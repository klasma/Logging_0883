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46081</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46081</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46081</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46081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46081</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46081</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46081</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46081</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46081</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46081</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46081</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34414-2024</t>
        </is>
      </c>
      <c r="B15" s="1" t="n">
        <v>45525</v>
      </c>
      <c r="C15" s="1" t="n">
        <v>46081</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46081</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26281-2024</t>
        </is>
      </c>
      <c r="B17" s="1" t="n">
        <v>45468</v>
      </c>
      <c r="C17" s="1" t="n">
        <v>46081</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14121-2025</t>
        </is>
      </c>
      <c r="B18" s="1" t="n">
        <v>45740.46803240741</v>
      </c>
      <c r="C18" s="1" t="n">
        <v>46081</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42888-2025</t>
        </is>
      </c>
      <c r="B19" s="1" t="n">
        <v>45908</v>
      </c>
      <c r="C19" s="1" t="n">
        <v>46081</v>
      </c>
      <c r="D19" t="inlineStr">
        <is>
          <t>KALMAR LÄN</t>
        </is>
      </c>
      <c r="E19" t="inlineStr">
        <is>
          <t>VÄSTERVIK</t>
        </is>
      </c>
      <c r="F19" t="inlineStr">
        <is>
          <t>Holmen skog AB</t>
        </is>
      </c>
      <c r="G19" t="n">
        <v>4.2</v>
      </c>
      <c r="H19" t="n">
        <v>4</v>
      </c>
      <c r="I19" t="n">
        <v>2</v>
      </c>
      <c r="J19" t="n">
        <v>4</v>
      </c>
      <c r="K19" t="n">
        <v>1</v>
      </c>
      <c r="L19" t="n">
        <v>0</v>
      </c>
      <c r="M19" t="n">
        <v>0</v>
      </c>
      <c r="N19" t="n">
        <v>0</v>
      </c>
      <c r="O19" t="n">
        <v>5</v>
      </c>
      <c r="P19" t="n">
        <v>1</v>
      </c>
      <c r="Q19" t="n">
        <v>8</v>
      </c>
      <c r="R19" s="2" t="inlineStr">
        <is>
          <t>Knärot
Ekticka
Havsörn
Tallticka
Ullticka
Bronshjon
Grön sköldmossa
Blåsippa</t>
        </is>
      </c>
      <c r="S19">
        <f>HYPERLINK("https://klasma.github.io/Logging_0883/artfynd/A 42888-2025 artfynd.xlsx", "A 42888-2025")</f>
        <v/>
      </c>
      <c r="T19">
        <f>HYPERLINK("https://klasma.github.io/Logging_0883/kartor/A 42888-2025 karta.png", "A 42888-2025")</f>
        <v/>
      </c>
      <c r="U19">
        <f>HYPERLINK("https://klasma.github.io/Logging_0883/knärot/A 42888-2025 karta knärot.png", "A 42888-2025")</f>
        <v/>
      </c>
      <c r="V19">
        <f>HYPERLINK("https://klasma.github.io/Logging_0883/klagomål/A 42888-2025 FSC-klagomål.docx", "A 42888-2025")</f>
        <v/>
      </c>
      <c r="W19">
        <f>HYPERLINK("https://klasma.github.io/Logging_0883/klagomålsmail/A 42888-2025 FSC-klagomål mail.docx", "A 42888-2025")</f>
        <v/>
      </c>
      <c r="X19">
        <f>HYPERLINK("https://klasma.github.io/Logging_0883/tillsyn/A 42888-2025 tillsynsbegäran.docx", "A 42888-2025")</f>
        <v/>
      </c>
      <c r="Y19">
        <f>HYPERLINK("https://klasma.github.io/Logging_0883/tillsynsmail/A 42888-2025 tillsynsbegäran mail.docx", "A 42888-2025")</f>
        <v/>
      </c>
      <c r="Z19">
        <f>HYPERLINK("https://klasma.github.io/Logging_0883/fåglar/A 42888-2025 prioriterade fågelarter.docx", "A 42888-2025")</f>
        <v/>
      </c>
    </row>
    <row r="20" ht="15" customHeight="1">
      <c r="A20" t="inlineStr">
        <is>
          <t>A 42900-2025</t>
        </is>
      </c>
      <c r="B20" s="1" t="n">
        <v>45908</v>
      </c>
      <c r="C20" s="1" t="n">
        <v>46081</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1773-2025</t>
        </is>
      </c>
      <c r="B21" s="1" t="n">
        <v>45671</v>
      </c>
      <c r="C21" s="1" t="n">
        <v>46081</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56001-2025</t>
        </is>
      </c>
      <c r="B22" s="1" t="n">
        <v>45973</v>
      </c>
      <c r="C22" s="1" t="n">
        <v>46081</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51234-2025</t>
        </is>
      </c>
      <c r="B23" s="1" t="n">
        <v>45947</v>
      </c>
      <c r="C23" s="1" t="n">
        <v>46081</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56162-2025</t>
        </is>
      </c>
      <c r="B24" s="1" t="n">
        <v>45974</v>
      </c>
      <c r="C24" s="1" t="n">
        <v>46081</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26574-2025</t>
        </is>
      </c>
      <c r="B25" s="1" t="n">
        <v>45807.68491898148</v>
      </c>
      <c r="C25" s="1" t="n">
        <v>46081</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51597-2024</t>
        </is>
      </c>
      <c r="B26" s="1" t="n">
        <v>45604</v>
      </c>
      <c r="C26" s="1" t="n">
        <v>46081</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31082-2024</t>
        </is>
      </c>
      <c r="B27" s="1" t="n">
        <v>45502</v>
      </c>
      <c r="C27" s="1" t="n">
        <v>46081</v>
      </c>
      <c r="D27" t="inlineStr">
        <is>
          <t>KALMAR LÄN</t>
        </is>
      </c>
      <c r="E27" t="inlineStr">
        <is>
          <t>VÄSTERVIK</t>
        </is>
      </c>
      <c r="F27" t="inlineStr">
        <is>
          <t>Holmen skog AB</t>
        </is>
      </c>
      <c r="G27" t="n">
        <v>8</v>
      </c>
      <c r="H27" t="n">
        <v>3</v>
      </c>
      <c r="I27" t="n">
        <v>3</v>
      </c>
      <c r="J27" t="n">
        <v>2</v>
      </c>
      <c r="K27" t="n">
        <v>1</v>
      </c>
      <c r="L27" t="n">
        <v>0</v>
      </c>
      <c r="M27" t="n">
        <v>0</v>
      </c>
      <c r="N27" t="n">
        <v>0</v>
      </c>
      <c r="O27" t="n">
        <v>3</v>
      </c>
      <c r="P27" t="n">
        <v>1</v>
      </c>
      <c r="Q27" t="n">
        <v>7</v>
      </c>
      <c r="R27" s="2" t="inlineStr">
        <is>
          <t>Knärot
Orange taggsvamp
Talltita
Blåmossa
Dropptaggsvamp
Zontaggsvamp
Tjäder</t>
        </is>
      </c>
      <c r="S27">
        <f>HYPERLINK("https://klasma.github.io/Logging_0883/artfynd/A 31082-2024 artfynd.xlsx", "A 31082-2024")</f>
        <v/>
      </c>
      <c r="T27">
        <f>HYPERLINK("https://klasma.github.io/Logging_0883/kartor/A 31082-2024 karta.png", "A 31082-2024")</f>
        <v/>
      </c>
      <c r="U27">
        <f>HYPERLINK("https://klasma.github.io/Logging_0883/knärot/A 31082-2024 karta knärot.png", "A 31082-2024")</f>
        <v/>
      </c>
      <c r="V27">
        <f>HYPERLINK("https://klasma.github.io/Logging_0883/klagomål/A 31082-2024 FSC-klagomål.docx", "A 31082-2024")</f>
        <v/>
      </c>
      <c r="W27">
        <f>HYPERLINK("https://klasma.github.io/Logging_0883/klagomålsmail/A 31082-2024 FSC-klagomål mail.docx", "A 31082-2024")</f>
        <v/>
      </c>
      <c r="X27">
        <f>HYPERLINK("https://klasma.github.io/Logging_0883/tillsyn/A 31082-2024 tillsynsbegäran.docx", "A 31082-2024")</f>
        <v/>
      </c>
      <c r="Y27">
        <f>HYPERLINK("https://klasma.github.io/Logging_0883/tillsynsmail/A 31082-2024 tillsynsbegäran mail.docx", "A 31082-2024")</f>
        <v/>
      </c>
      <c r="Z27">
        <f>HYPERLINK("https://klasma.github.io/Logging_0883/fåglar/A 31082-2024 prioriterade fågelarter.docx", "A 31082-2024")</f>
        <v/>
      </c>
    </row>
    <row r="28" ht="15" customHeight="1">
      <c r="A28" t="inlineStr">
        <is>
          <t>A 4397-2025</t>
        </is>
      </c>
      <c r="B28" s="1" t="n">
        <v>45686</v>
      </c>
      <c r="C28" s="1" t="n">
        <v>46081</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34638-2025</t>
        </is>
      </c>
      <c r="B29" s="1" t="n">
        <v>45848.30584490741</v>
      </c>
      <c r="C29" s="1" t="n">
        <v>46081</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46081</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59457-2024</t>
        </is>
      </c>
      <c r="B31" s="1" t="n">
        <v>45638</v>
      </c>
      <c r="C31" s="1" t="n">
        <v>46081</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v>
      </c>
      <c r="C32" s="1" t="n">
        <v>46081</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56968-2025</t>
        </is>
      </c>
      <c r="B33" s="1" t="n">
        <v>45978</v>
      </c>
      <c r="C33" s="1" t="n">
        <v>46081</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16996-2025</t>
        </is>
      </c>
      <c r="B34" s="1" t="n">
        <v>45755</v>
      </c>
      <c r="C34" s="1" t="n">
        <v>46081</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63850-2021</t>
        </is>
      </c>
      <c r="B35" s="1" t="n">
        <v>44505</v>
      </c>
      <c r="C35" s="1" t="n">
        <v>46081</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46081</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71188-2021</t>
        </is>
      </c>
      <c r="B37" s="1" t="n">
        <v>44539</v>
      </c>
      <c r="C37" s="1" t="n">
        <v>46081</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46081</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46081</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46081</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974-2023</t>
        </is>
      </c>
      <c r="B41" s="1" t="n">
        <v>44935</v>
      </c>
      <c r="C41" s="1" t="n">
        <v>46081</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5067-2025</t>
        </is>
      </c>
      <c r="B42" s="1" t="n">
        <v>45691</v>
      </c>
      <c r="C42" s="1" t="n">
        <v>46081</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34642-2025</t>
        </is>
      </c>
      <c r="B43" s="1" t="n">
        <v>45848.32703703704</v>
      </c>
      <c r="C43" s="1" t="n">
        <v>46081</v>
      </c>
      <c r="D43" t="inlineStr">
        <is>
          <t>KALMAR LÄN</t>
        </is>
      </c>
      <c r="E43" t="inlineStr">
        <is>
          <t>VÄSTERVIK</t>
        </is>
      </c>
      <c r="G43" t="n">
        <v>1.8</v>
      </c>
      <c r="H43" t="n">
        <v>3</v>
      </c>
      <c r="I43" t="n">
        <v>2</v>
      </c>
      <c r="J43" t="n">
        <v>3</v>
      </c>
      <c r="K43" t="n">
        <v>1</v>
      </c>
      <c r="L43" t="n">
        <v>0</v>
      </c>
      <c r="M43" t="n">
        <v>0</v>
      </c>
      <c r="N43" t="n">
        <v>0</v>
      </c>
      <c r="O43" t="n">
        <v>4</v>
      </c>
      <c r="P43" t="n">
        <v>1</v>
      </c>
      <c r="Q43" t="n">
        <v>6</v>
      </c>
      <c r="R43" s="2" t="inlineStr">
        <is>
          <t>Knärot
Spillkråka
Tallticka
Talltita
Blåmossa
Grönpyrola</t>
        </is>
      </c>
      <c r="S43">
        <f>HYPERLINK("https://klasma.github.io/Logging_0883/artfynd/A 34642-2025 artfynd.xlsx", "A 34642-2025")</f>
        <v/>
      </c>
      <c r="T43">
        <f>HYPERLINK("https://klasma.github.io/Logging_0883/kartor/A 34642-2025 karta.png", "A 34642-2025")</f>
        <v/>
      </c>
      <c r="U43">
        <f>HYPERLINK("https://klasma.github.io/Logging_0883/knärot/A 34642-2025 karta knärot.png", "A 34642-2025")</f>
        <v/>
      </c>
      <c r="V43">
        <f>HYPERLINK("https://klasma.github.io/Logging_0883/klagomål/A 34642-2025 FSC-klagomål.docx", "A 34642-2025")</f>
        <v/>
      </c>
      <c r="W43">
        <f>HYPERLINK("https://klasma.github.io/Logging_0883/klagomålsmail/A 34642-2025 FSC-klagomål mail.docx", "A 34642-2025")</f>
        <v/>
      </c>
      <c r="X43">
        <f>HYPERLINK("https://klasma.github.io/Logging_0883/tillsyn/A 34642-2025 tillsynsbegäran.docx", "A 34642-2025")</f>
        <v/>
      </c>
      <c r="Y43">
        <f>HYPERLINK("https://klasma.github.io/Logging_0883/tillsynsmail/A 34642-2025 tillsynsbegäran mail.docx", "A 34642-2025")</f>
        <v/>
      </c>
      <c r="Z43">
        <f>HYPERLINK("https://klasma.github.io/Logging_0883/fåglar/A 34642-2025 prioriterade fågelarter.docx", "A 34642-2025")</f>
        <v/>
      </c>
    </row>
    <row r="44" ht="15" customHeight="1">
      <c r="A44" t="inlineStr">
        <is>
          <t>A 47936-2023</t>
        </is>
      </c>
      <c r="B44" s="1" t="n">
        <v>45204</v>
      </c>
      <c r="C44" s="1" t="n">
        <v>46081</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47774-2025</t>
        </is>
      </c>
      <c r="B45" s="1" t="n">
        <v>45931.72415509259</v>
      </c>
      <c r="C45" s="1" t="n">
        <v>46081</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5922-2024</t>
        </is>
      </c>
      <c r="B46" s="1" t="n">
        <v>45335</v>
      </c>
      <c r="C46" s="1" t="n">
        <v>46081</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53849-2025</t>
        </is>
      </c>
      <c r="B47" s="1" t="n">
        <v>45961.36885416666</v>
      </c>
      <c r="C47" s="1" t="n">
        <v>46081</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46081</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55286-2023</t>
        </is>
      </c>
      <c r="B49" s="1" t="n">
        <v>45237</v>
      </c>
      <c r="C49" s="1" t="n">
        <v>46081</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2806-2025</t>
        </is>
      </c>
      <c r="B50" s="1" t="n">
        <v>45677</v>
      </c>
      <c r="C50" s="1" t="n">
        <v>46081</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54334-2024</t>
        </is>
      </c>
      <c r="B51" s="1" t="n">
        <v>45617.38247685185</v>
      </c>
      <c r="C51" s="1" t="n">
        <v>46081</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46081</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49412-2025</t>
        </is>
      </c>
      <c r="B53" s="1" t="n">
        <v>45938.68405092593</v>
      </c>
      <c r="C53" s="1" t="n">
        <v>46081</v>
      </c>
      <c r="D53" t="inlineStr">
        <is>
          <t>KALMAR LÄN</t>
        </is>
      </c>
      <c r="E53" t="inlineStr">
        <is>
          <t>VÄSTERVIK</t>
        </is>
      </c>
      <c r="G53" t="n">
        <v>0.7</v>
      </c>
      <c r="H53" t="n">
        <v>4</v>
      </c>
      <c r="I53" t="n">
        <v>0</v>
      </c>
      <c r="J53" t="n">
        <v>3</v>
      </c>
      <c r="K53" t="n">
        <v>1</v>
      </c>
      <c r="L53" t="n">
        <v>0</v>
      </c>
      <c r="M53" t="n">
        <v>0</v>
      </c>
      <c r="N53" t="n">
        <v>0</v>
      </c>
      <c r="O53" t="n">
        <v>4</v>
      </c>
      <c r="P53" t="n">
        <v>1</v>
      </c>
      <c r="Q53" t="n">
        <v>5</v>
      </c>
      <c r="R53" s="2" t="inlineStr">
        <is>
          <t>Knärot
Motaggsvamp
Spillkråka
Talltita
Kungsfågel</t>
        </is>
      </c>
      <c r="S53">
        <f>HYPERLINK("https://klasma.github.io/Logging_0883/artfynd/A 49412-2025 artfynd.xlsx", "A 49412-2025")</f>
        <v/>
      </c>
      <c r="T53">
        <f>HYPERLINK("https://klasma.github.io/Logging_0883/kartor/A 49412-2025 karta.png", "A 49412-2025")</f>
        <v/>
      </c>
      <c r="U53">
        <f>HYPERLINK("https://klasma.github.io/Logging_0883/knärot/A 49412-2025 karta knärot.png", "A 49412-2025")</f>
        <v/>
      </c>
      <c r="V53">
        <f>HYPERLINK("https://klasma.github.io/Logging_0883/klagomål/A 49412-2025 FSC-klagomål.docx", "A 49412-2025")</f>
        <v/>
      </c>
      <c r="W53">
        <f>HYPERLINK("https://klasma.github.io/Logging_0883/klagomålsmail/A 49412-2025 FSC-klagomål mail.docx", "A 49412-2025")</f>
        <v/>
      </c>
      <c r="X53">
        <f>HYPERLINK("https://klasma.github.io/Logging_0883/tillsyn/A 49412-2025 tillsynsbegäran.docx", "A 49412-2025")</f>
        <v/>
      </c>
      <c r="Y53">
        <f>HYPERLINK("https://klasma.github.io/Logging_0883/tillsynsmail/A 49412-2025 tillsynsbegäran mail.docx", "A 49412-2025")</f>
        <v/>
      </c>
      <c r="Z53">
        <f>HYPERLINK("https://klasma.github.io/Logging_0883/fåglar/A 49412-2025 prioriterade fågelarter.docx", "A 49412-2025")</f>
        <v/>
      </c>
    </row>
    <row r="54" ht="15" customHeight="1">
      <c r="A54" t="inlineStr">
        <is>
          <t>A 51923-2022</t>
        </is>
      </c>
      <c r="B54" s="1" t="n">
        <v>44868</v>
      </c>
      <c r="C54" s="1" t="n">
        <v>46081</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55518-2025</t>
        </is>
      </c>
      <c r="B55" s="1" t="n">
        <v>45971.60497685185</v>
      </c>
      <c r="C55" s="1" t="n">
        <v>46081</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58378-2025</t>
        </is>
      </c>
      <c r="B56" s="1" t="n">
        <v>45985.53541666667</v>
      </c>
      <c r="C56" s="1" t="n">
        <v>46081</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60491-2025</t>
        </is>
      </c>
      <c r="B57" s="1" t="n">
        <v>45995.6065625</v>
      </c>
      <c r="C57" s="1" t="n">
        <v>46081</v>
      </c>
      <c r="D57" t="inlineStr">
        <is>
          <t>KALMAR LÄN</t>
        </is>
      </c>
      <c r="E57" t="inlineStr">
        <is>
          <t>VÄSTERVIK</t>
        </is>
      </c>
      <c r="G57" t="n">
        <v>5</v>
      </c>
      <c r="H57" t="n">
        <v>3</v>
      </c>
      <c r="I57" t="n">
        <v>1</v>
      </c>
      <c r="J57" t="n">
        <v>2</v>
      </c>
      <c r="K57" t="n">
        <v>0</v>
      </c>
      <c r="L57" t="n">
        <v>0</v>
      </c>
      <c r="M57" t="n">
        <v>0</v>
      </c>
      <c r="N57" t="n">
        <v>0</v>
      </c>
      <c r="O57" t="n">
        <v>2</v>
      </c>
      <c r="P57" t="n">
        <v>0</v>
      </c>
      <c r="Q57" t="n">
        <v>5</v>
      </c>
      <c r="R57" s="2" t="inlineStr">
        <is>
          <t>Spillkråka
Ullticka
Grönpyrola
Kungsfågel
Tjäder</t>
        </is>
      </c>
      <c r="S57">
        <f>HYPERLINK("https://klasma.github.io/Logging_0883/artfynd/A 60491-2025 artfynd.xlsx", "A 60491-2025")</f>
        <v/>
      </c>
      <c r="T57">
        <f>HYPERLINK("https://klasma.github.io/Logging_0883/kartor/A 60491-2025 karta.png", "A 60491-2025")</f>
        <v/>
      </c>
      <c r="V57">
        <f>HYPERLINK("https://klasma.github.io/Logging_0883/klagomål/A 60491-2025 FSC-klagomål.docx", "A 60491-2025")</f>
        <v/>
      </c>
      <c r="W57">
        <f>HYPERLINK("https://klasma.github.io/Logging_0883/klagomålsmail/A 60491-2025 FSC-klagomål mail.docx", "A 60491-2025")</f>
        <v/>
      </c>
      <c r="X57">
        <f>HYPERLINK("https://klasma.github.io/Logging_0883/tillsyn/A 60491-2025 tillsynsbegäran.docx", "A 60491-2025")</f>
        <v/>
      </c>
      <c r="Y57">
        <f>HYPERLINK("https://klasma.github.io/Logging_0883/tillsynsmail/A 60491-2025 tillsynsbegäran mail.docx", "A 60491-2025")</f>
        <v/>
      </c>
      <c r="Z57">
        <f>HYPERLINK("https://klasma.github.io/Logging_0883/fåglar/A 60491-2025 prioriterade fågelarter.docx", "A 60491-2025")</f>
        <v/>
      </c>
    </row>
    <row r="58" ht="15" customHeight="1">
      <c r="A58" t="inlineStr">
        <is>
          <t>A 48724-2024</t>
        </is>
      </c>
      <c r="B58" s="1" t="n">
        <v>45593.55731481482</v>
      </c>
      <c r="C58" s="1" t="n">
        <v>46081</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27737-2024</t>
        </is>
      </c>
      <c r="B59" s="1" t="n">
        <v>45475</v>
      </c>
      <c r="C59" s="1" t="n">
        <v>46081</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1779-2025</t>
        </is>
      </c>
      <c r="B60" s="1" t="n">
        <v>45671</v>
      </c>
      <c r="C60" s="1" t="n">
        <v>46081</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58727-2024</t>
        </is>
      </c>
      <c r="B61" s="1" t="n">
        <v>45635</v>
      </c>
      <c r="C61" s="1" t="n">
        <v>46081</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31060-2024</t>
        </is>
      </c>
      <c r="B62" s="1" t="n">
        <v>45502</v>
      </c>
      <c r="C62" s="1" t="n">
        <v>46081</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27727-2024</t>
        </is>
      </c>
      <c r="B63" s="1" t="n">
        <v>45475</v>
      </c>
      <c r="C63" s="1" t="n">
        <v>46081</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60670-2025</t>
        </is>
      </c>
      <c r="B64" s="1" t="n">
        <v>45996</v>
      </c>
      <c r="C64" s="1" t="n">
        <v>46081</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58927-2022</t>
        </is>
      </c>
      <c r="B65" s="1" t="n">
        <v>44896</v>
      </c>
      <c r="C65" s="1" t="n">
        <v>46081</v>
      </c>
      <c r="D65" t="inlineStr">
        <is>
          <t>KALMAR LÄN</t>
        </is>
      </c>
      <c r="E65" t="inlineStr">
        <is>
          <t>VÄSTERVIK</t>
        </is>
      </c>
      <c r="G65" t="n">
        <v>2.5</v>
      </c>
      <c r="H65" t="n">
        <v>0</v>
      </c>
      <c r="I65" t="n">
        <v>3</v>
      </c>
      <c r="J65" t="n">
        <v>2</v>
      </c>
      <c r="K65" t="n">
        <v>0</v>
      </c>
      <c r="L65" t="n">
        <v>0</v>
      </c>
      <c r="M65" t="n">
        <v>0</v>
      </c>
      <c r="N65" t="n">
        <v>0</v>
      </c>
      <c r="O65" t="n">
        <v>2</v>
      </c>
      <c r="P65" t="n">
        <v>0</v>
      </c>
      <c r="Q65" t="n">
        <v>5</v>
      </c>
      <c r="R65" s="2" t="inlineStr">
        <is>
          <t>Ekticka
Grynig filtlav
Fällmossa
Gulpudrad spiklav
Liten baronmossa</t>
        </is>
      </c>
      <c r="S65">
        <f>HYPERLINK("https://klasma.github.io/Logging_0883/artfynd/A 58927-2022 artfynd.xlsx", "A 58927-2022")</f>
        <v/>
      </c>
      <c r="T65">
        <f>HYPERLINK("https://klasma.github.io/Logging_0883/kartor/A 58927-2022 karta.png", "A 58927-2022")</f>
        <v/>
      </c>
      <c r="V65">
        <f>HYPERLINK("https://klasma.github.io/Logging_0883/klagomål/A 58927-2022 FSC-klagomål.docx", "A 58927-2022")</f>
        <v/>
      </c>
      <c r="W65">
        <f>HYPERLINK("https://klasma.github.io/Logging_0883/klagomålsmail/A 58927-2022 FSC-klagomål mail.docx", "A 58927-2022")</f>
        <v/>
      </c>
      <c r="X65">
        <f>HYPERLINK("https://klasma.github.io/Logging_0883/tillsyn/A 58927-2022 tillsynsbegäran.docx", "A 58927-2022")</f>
        <v/>
      </c>
      <c r="Y65">
        <f>HYPERLINK("https://klasma.github.io/Logging_0883/tillsynsmail/A 58927-2022 tillsynsbegäran mail.docx", "A 58927-2022")</f>
        <v/>
      </c>
    </row>
    <row r="66" ht="15" customHeight="1">
      <c r="A66" t="inlineStr">
        <is>
          <t>A 12335-2025</t>
        </is>
      </c>
      <c r="B66" s="1" t="n">
        <v>45730</v>
      </c>
      <c r="C66" s="1" t="n">
        <v>46081</v>
      </c>
      <c r="D66" t="inlineStr">
        <is>
          <t>KALMAR LÄN</t>
        </is>
      </c>
      <c r="E66" t="inlineStr">
        <is>
          <t>VÄSTERVIK</t>
        </is>
      </c>
      <c r="G66" t="n">
        <v>3.1</v>
      </c>
      <c r="H66" t="n">
        <v>4</v>
      </c>
      <c r="I66" t="n">
        <v>1</v>
      </c>
      <c r="J66" t="n">
        <v>3</v>
      </c>
      <c r="K66" t="n">
        <v>0</v>
      </c>
      <c r="L66" t="n">
        <v>0</v>
      </c>
      <c r="M66" t="n">
        <v>0</v>
      </c>
      <c r="N66" t="n">
        <v>0</v>
      </c>
      <c r="O66" t="n">
        <v>3</v>
      </c>
      <c r="P66" t="n">
        <v>0</v>
      </c>
      <c r="Q66" t="n">
        <v>5</v>
      </c>
      <c r="R66" s="2" t="inlineStr">
        <is>
          <t>Mindre hackspett
Spillkråka
Talltita
Blåmossa
Grönsiska</t>
        </is>
      </c>
      <c r="S66">
        <f>HYPERLINK("https://klasma.github.io/Logging_0883/artfynd/A 12335-2025 artfynd.xlsx", "A 12335-2025")</f>
        <v/>
      </c>
      <c r="T66">
        <f>HYPERLINK("https://klasma.github.io/Logging_0883/kartor/A 12335-2025 karta.png", "A 12335-2025")</f>
        <v/>
      </c>
      <c r="V66">
        <f>HYPERLINK("https://klasma.github.io/Logging_0883/klagomål/A 12335-2025 FSC-klagomål.docx", "A 12335-2025")</f>
        <v/>
      </c>
      <c r="W66">
        <f>HYPERLINK("https://klasma.github.io/Logging_0883/klagomålsmail/A 12335-2025 FSC-klagomål mail.docx", "A 12335-2025")</f>
        <v/>
      </c>
      <c r="X66">
        <f>HYPERLINK("https://klasma.github.io/Logging_0883/tillsyn/A 12335-2025 tillsynsbegäran.docx", "A 12335-2025")</f>
        <v/>
      </c>
      <c r="Y66">
        <f>HYPERLINK("https://klasma.github.io/Logging_0883/tillsynsmail/A 12335-2025 tillsynsbegäran mail.docx", "A 12335-2025")</f>
        <v/>
      </c>
      <c r="Z66">
        <f>HYPERLINK("https://klasma.github.io/Logging_0883/fåglar/A 12335-2025 prioriterade fågelarter.docx", "A 12335-2025")</f>
        <v/>
      </c>
    </row>
    <row r="67" ht="15" customHeight="1">
      <c r="A67" t="inlineStr">
        <is>
          <t>A 31431-2024</t>
        </is>
      </c>
      <c r="B67" s="1" t="n">
        <v>45505</v>
      </c>
      <c r="C67" s="1" t="n">
        <v>46081</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35939-2024</t>
        </is>
      </c>
      <c r="B68" s="1" t="n">
        <v>45533.45459490741</v>
      </c>
      <c r="C68" s="1" t="n">
        <v>46081</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31914-2025</t>
        </is>
      </c>
      <c r="B69" s="1" t="n">
        <v>45834</v>
      </c>
      <c r="C69" s="1" t="n">
        <v>46081</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35214-2025</t>
        </is>
      </c>
      <c r="B70" s="1" t="n">
        <v>45853.47163194444</v>
      </c>
      <c r="C70" s="1" t="n">
        <v>46081</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41312-2025</t>
        </is>
      </c>
      <c r="B71" s="1" t="n">
        <v>45898.80314814814</v>
      </c>
      <c r="C71" s="1" t="n">
        <v>46081</v>
      </c>
      <c r="D71" t="inlineStr">
        <is>
          <t>KALMAR LÄN</t>
        </is>
      </c>
      <c r="E71" t="inlineStr">
        <is>
          <t>VÄSTERVIK</t>
        </is>
      </c>
      <c r="G71" t="n">
        <v>0.8</v>
      </c>
      <c r="H71" t="n">
        <v>2</v>
      </c>
      <c r="I71" t="n">
        <v>2</v>
      </c>
      <c r="J71" t="n">
        <v>2</v>
      </c>
      <c r="K71" t="n">
        <v>0</v>
      </c>
      <c r="L71" t="n">
        <v>0</v>
      </c>
      <c r="M71" t="n">
        <v>0</v>
      </c>
      <c r="N71" t="n">
        <v>0</v>
      </c>
      <c r="O71" t="n">
        <v>2</v>
      </c>
      <c r="P71" t="n">
        <v>0</v>
      </c>
      <c r="Q71" t="n">
        <v>4</v>
      </c>
      <c r="R71" s="2" t="inlineStr">
        <is>
          <t>Spillkråka
Talltita
Skinnlav
Svart trolldruva</t>
        </is>
      </c>
      <c r="S71">
        <f>HYPERLINK("https://klasma.github.io/Logging_0883/artfynd/A 41312-2025 artfynd.xlsx", "A 41312-2025")</f>
        <v/>
      </c>
      <c r="T71">
        <f>HYPERLINK("https://klasma.github.io/Logging_0883/kartor/A 41312-2025 karta.png", "A 41312-2025")</f>
        <v/>
      </c>
      <c r="V71">
        <f>HYPERLINK("https://klasma.github.io/Logging_0883/klagomål/A 41312-2025 FSC-klagomål.docx", "A 41312-2025")</f>
        <v/>
      </c>
      <c r="W71">
        <f>HYPERLINK("https://klasma.github.io/Logging_0883/klagomålsmail/A 41312-2025 FSC-klagomål mail.docx", "A 41312-2025")</f>
        <v/>
      </c>
      <c r="X71">
        <f>HYPERLINK("https://klasma.github.io/Logging_0883/tillsyn/A 41312-2025 tillsynsbegäran.docx", "A 41312-2025")</f>
        <v/>
      </c>
      <c r="Y71">
        <f>HYPERLINK("https://klasma.github.io/Logging_0883/tillsynsmail/A 41312-2025 tillsynsbegäran mail.docx", "A 41312-2025")</f>
        <v/>
      </c>
      <c r="Z71">
        <f>HYPERLINK("https://klasma.github.io/Logging_0883/fåglar/A 41312-2025 prioriterade fågelarter.docx", "A 41312-2025")</f>
        <v/>
      </c>
    </row>
    <row r="72" ht="15" customHeight="1">
      <c r="A72" t="inlineStr">
        <is>
          <t>A 29455-2021</t>
        </is>
      </c>
      <c r="B72" s="1" t="n">
        <v>44361</v>
      </c>
      <c r="C72" s="1" t="n">
        <v>46081</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9975-2024</t>
        </is>
      </c>
      <c r="B73" s="1" t="n">
        <v>45363</v>
      </c>
      <c r="C73" s="1" t="n">
        <v>46081</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58955-2022</t>
        </is>
      </c>
      <c r="B74" s="1" t="n">
        <v>44896</v>
      </c>
      <c r="C74" s="1" t="n">
        <v>46081</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26985-2025</t>
        </is>
      </c>
      <c r="B75" s="1" t="n">
        <v>45811</v>
      </c>
      <c r="C75" s="1" t="n">
        <v>46081</v>
      </c>
      <c r="D75" t="inlineStr">
        <is>
          <t>KALMAR LÄN</t>
        </is>
      </c>
      <c r="E75" t="inlineStr">
        <is>
          <t>VÄSTERVIK</t>
        </is>
      </c>
      <c r="G75" t="n">
        <v>2.5</v>
      </c>
      <c r="H75" t="n">
        <v>3</v>
      </c>
      <c r="I75" t="n">
        <v>0</v>
      </c>
      <c r="J75" t="n">
        <v>3</v>
      </c>
      <c r="K75" t="n">
        <v>0</v>
      </c>
      <c r="L75" t="n">
        <v>0</v>
      </c>
      <c r="M75" t="n">
        <v>0</v>
      </c>
      <c r="N75" t="n">
        <v>0</v>
      </c>
      <c r="O75" t="n">
        <v>3</v>
      </c>
      <c r="P75" t="n">
        <v>0</v>
      </c>
      <c r="Q75" t="n">
        <v>4</v>
      </c>
      <c r="R75" s="2" t="inlineStr">
        <is>
          <t>Entita
Spillkråka
Tallticka
Gröngöling</t>
        </is>
      </c>
      <c r="S75">
        <f>HYPERLINK("https://klasma.github.io/Logging_0883/artfynd/A 26985-2025 artfynd.xlsx", "A 26985-2025")</f>
        <v/>
      </c>
      <c r="T75">
        <f>HYPERLINK("https://klasma.github.io/Logging_0883/kartor/A 26985-2025 karta.png", "A 26985-2025")</f>
        <v/>
      </c>
      <c r="V75">
        <f>HYPERLINK("https://klasma.github.io/Logging_0883/klagomål/A 26985-2025 FSC-klagomål.docx", "A 26985-2025")</f>
        <v/>
      </c>
      <c r="W75">
        <f>HYPERLINK("https://klasma.github.io/Logging_0883/klagomålsmail/A 26985-2025 FSC-klagomål mail.docx", "A 26985-2025")</f>
        <v/>
      </c>
      <c r="X75">
        <f>HYPERLINK("https://klasma.github.io/Logging_0883/tillsyn/A 26985-2025 tillsynsbegäran.docx", "A 26985-2025")</f>
        <v/>
      </c>
      <c r="Y75">
        <f>HYPERLINK("https://klasma.github.io/Logging_0883/tillsynsmail/A 26985-2025 tillsynsbegäran mail.docx", "A 26985-2025")</f>
        <v/>
      </c>
      <c r="Z75">
        <f>HYPERLINK("https://klasma.github.io/Logging_0883/fåglar/A 26985-2025 prioriterade fågelarter.docx", "A 26985-2025")</f>
        <v/>
      </c>
    </row>
    <row r="76" ht="15" customHeight="1">
      <c r="A76" t="inlineStr">
        <is>
          <t>A 34644-2025</t>
        </is>
      </c>
      <c r="B76" s="1" t="n">
        <v>45848.33202546297</v>
      </c>
      <c r="C76" s="1" t="n">
        <v>46081</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6472-2025</t>
        </is>
      </c>
      <c r="B77" s="1" t="n">
        <v>45699</v>
      </c>
      <c r="C77" s="1" t="n">
        <v>46081</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25280-2021</t>
        </is>
      </c>
      <c r="B78" s="1" t="n">
        <v>44342</v>
      </c>
      <c r="C78" s="1" t="n">
        <v>46081</v>
      </c>
      <c r="D78" t="inlineStr">
        <is>
          <t>KALMAR LÄN</t>
        </is>
      </c>
      <c r="E78" t="inlineStr">
        <is>
          <t>VÄSTERVIK</t>
        </is>
      </c>
      <c r="G78" t="n">
        <v>6.5</v>
      </c>
      <c r="H78" t="n">
        <v>3</v>
      </c>
      <c r="I78" t="n">
        <v>0</v>
      </c>
      <c r="J78" t="n">
        <v>3</v>
      </c>
      <c r="K78" t="n">
        <v>1</v>
      </c>
      <c r="L78" t="n">
        <v>0</v>
      </c>
      <c r="M78" t="n">
        <v>0</v>
      </c>
      <c r="N78" t="n">
        <v>0</v>
      </c>
      <c r="O78" t="n">
        <v>4</v>
      </c>
      <c r="P78" t="n">
        <v>1</v>
      </c>
      <c r="Q78" t="n">
        <v>4</v>
      </c>
      <c r="R78" s="2" t="inlineStr">
        <is>
          <t>Knärot
Smalsprötad bastardsvärmare
Spillkråka
Talltita</t>
        </is>
      </c>
      <c r="S78">
        <f>HYPERLINK("https://klasma.github.io/Logging_0883/artfynd/A 25280-2021 artfynd.xlsx", "A 25280-2021")</f>
        <v/>
      </c>
      <c r="T78">
        <f>HYPERLINK("https://klasma.github.io/Logging_0883/kartor/A 25280-2021 karta.png", "A 25280-2021")</f>
        <v/>
      </c>
      <c r="U78">
        <f>HYPERLINK("https://klasma.github.io/Logging_0883/knärot/A 25280-2021 karta knärot.png", "A 25280-2021")</f>
        <v/>
      </c>
      <c r="V78">
        <f>HYPERLINK("https://klasma.github.io/Logging_0883/klagomål/A 25280-2021 FSC-klagomål.docx", "A 25280-2021")</f>
        <v/>
      </c>
      <c r="W78">
        <f>HYPERLINK("https://klasma.github.io/Logging_0883/klagomålsmail/A 25280-2021 FSC-klagomål mail.docx", "A 25280-2021")</f>
        <v/>
      </c>
      <c r="X78">
        <f>HYPERLINK("https://klasma.github.io/Logging_0883/tillsyn/A 25280-2021 tillsynsbegäran.docx", "A 25280-2021")</f>
        <v/>
      </c>
      <c r="Y78">
        <f>HYPERLINK("https://klasma.github.io/Logging_0883/tillsynsmail/A 25280-2021 tillsynsbegäran mail.docx", "A 25280-2021")</f>
        <v/>
      </c>
      <c r="Z78">
        <f>HYPERLINK("https://klasma.github.io/Logging_0883/fåglar/A 25280-2021 prioriterade fågelarter.docx", "A 25280-2021")</f>
        <v/>
      </c>
    </row>
    <row r="79" ht="15" customHeight="1">
      <c r="A79" t="inlineStr">
        <is>
          <t>A 36109-2025</t>
        </is>
      </c>
      <c r="B79" s="1" t="n">
        <v>45866.56780092593</v>
      </c>
      <c r="C79" s="1" t="n">
        <v>46081</v>
      </c>
      <c r="D79" t="inlineStr">
        <is>
          <t>KALMAR LÄN</t>
        </is>
      </c>
      <c r="E79" t="inlineStr">
        <is>
          <t>VÄSTERVIK</t>
        </is>
      </c>
      <c r="G79" t="n">
        <v>12.5</v>
      </c>
      <c r="H79" t="n">
        <v>1</v>
      </c>
      <c r="I79" t="n">
        <v>3</v>
      </c>
      <c r="J79" t="n">
        <v>0</v>
      </c>
      <c r="K79" t="n">
        <v>1</v>
      </c>
      <c r="L79" t="n">
        <v>0</v>
      </c>
      <c r="M79" t="n">
        <v>0</v>
      </c>
      <c r="N79" t="n">
        <v>0</v>
      </c>
      <c r="O79" t="n">
        <v>1</v>
      </c>
      <c r="P79" t="n">
        <v>1</v>
      </c>
      <c r="Q79" t="n">
        <v>4</v>
      </c>
      <c r="R79" s="2" t="inlineStr">
        <is>
          <t>Knärot
Blodticka
Blåmossa
Grönpyrola</t>
        </is>
      </c>
      <c r="S79">
        <f>HYPERLINK("https://klasma.github.io/Logging_0883/artfynd/A 36109-2025 artfynd.xlsx", "A 36109-2025")</f>
        <v/>
      </c>
      <c r="T79">
        <f>HYPERLINK("https://klasma.github.io/Logging_0883/kartor/A 36109-2025 karta.png", "A 36109-2025")</f>
        <v/>
      </c>
      <c r="U79">
        <f>HYPERLINK("https://klasma.github.io/Logging_0883/knärot/A 36109-2025 karta knärot.png", "A 36109-2025")</f>
        <v/>
      </c>
      <c r="V79">
        <f>HYPERLINK("https://klasma.github.io/Logging_0883/klagomål/A 36109-2025 FSC-klagomål.docx", "A 36109-2025")</f>
        <v/>
      </c>
      <c r="W79">
        <f>HYPERLINK("https://klasma.github.io/Logging_0883/klagomålsmail/A 36109-2025 FSC-klagomål mail.docx", "A 36109-2025")</f>
        <v/>
      </c>
      <c r="X79">
        <f>HYPERLINK("https://klasma.github.io/Logging_0883/tillsyn/A 36109-2025 tillsynsbegäran.docx", "A 36109-2025")</f>
        <v/>
      </c>
      <c r="Y79">
        <f>HYPERLINK("https://klasma.github.io/Logging_0883/tillsynsmail/A 36109-2025 tillsynsbegäran mail.docx", "A 36109-2025")</f>
        <v/>
      </c>
    </row>
    <row r="80" ht="15" customHeight="1">
      <c r="A80" t="inlineStr">
        <is>
          <t>A 938-2024</t>
        </is>
      </c>
      <c r="B80" s="1" t="n">
        <v>45301</v>
      </c>
      <c r="C80" s="1" t="n">
        <v>46081</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10781-2025</t>
        </is>
      </c>
      <c r="B81" s="1" t="n">
        <v>45722</v>
      </c>
      <c r="C81" s="1" t="n">
        <v>46081</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37438-2021</t>
        </is>
      </c>
      <c r="B82" s="1" t="n">
        <v>44398</v>
      </c>
      <c r="C82" s="1" t="n">
        <v>46081</v>
      </c>
      <c r="D82" t="inlineStr">
        <is>
          <t>KALMAR LÄN</t>
        </is>
      </c>
      <c r="E82" t="inlineStr">
        <is>
          <t>VÄSTERVIK</t>
        </is>
      </c>
      <c r="G82" t="n">
        <v>14.3</v>
      </c>
      <c r="H82" t="n">
        <v>2</v>
      </c>
      <c r="I82" t="n">
        <v>2</v>
      </c>
      <c r="J82" t="n">
        <v>0</v>
      </c>
      <c r="K82" t="n">
        <v>1</v>
      </c>
      <c r="L82" t="n">
        <v>0</v>
      </c>
      <c r="M82" t="n">
        <v>0</v>
      </c>
      <c r="N82" t="n">
        <v>0</v>
      </c>
      <c r="O82" t="n">
        <v>1</v>
      </c>
      <c r="P82" t="n">
        <v>1</v>
      </c>
      <c r="Q82" t="n">
        <v>4</v>
      </c>
      <c r="R82" s="2" t="inlineStr">
        <is>
          <t>Knärot
Grönpyrola
Kambräken
Tjäder</t>
        </is>
      </c>
      <c r="S82">
        <f>HYPERLINK("https://klasma.github.io/Logging_0883/artfynd/A 37438-2021 artfynd.xlsx", "A 37438-2021")</f>
        <v/>
      </c>
      <c r="T82">
        <f>HYPERLINK("https://klasma.github.io/Logging_0883/kartor/A 37438-2021 karta.png", "A 37438-2021")</f>
        <v/>
      </c>
      <c r="U82">
        <f>HYPERLINK("https://klasma.github.io/Logging_0883/knärot/A 37438-2021 karta knärot.png", "A 37438-2021")</f>
        <v/>
      </c>
      <c r="V82">
        <f>HYPERLINK("https://klasma.github.io/Logging_0883/klagomål/A 37438-2021 FSC-klagomål.docx", "A 37438-2021")</f>
        <v/>
      </c>
      <c r="W82">
        <f>HYPERLINK("https://klasma.github.io/Logging_0883/klagomålsmail/A 37438-2021 FSC-klagomål mail.docx", "A 37438-2021")</f>
        <v/>
      </c>
      <c r="X82">
        <f>HYPERLINK("https://klasma.github.io/Logging_0883/tillsyn/A 37438-2021 tillsynsbegäran.docx", "A 37438-2021")</f>
        <v/>
      </c>
      <c r="Y82">
        <f>HYPERLINK("https://klasma.github.io/Logging_0883/tillsynsmail/A 37438-2021 tillsynsbegäran mail.docx", "A 37438-2021")</f>
        <v/>
      </c>
      <c r="Z82">
        <f>HYPERLINK("https://klasma.github.io/Logging_0883/fåglar/A 37438-2021 prioriterade fågelarter.docx", "A 37438-2021")</f>
        <v/>
      </c>
    </row>
    <row r="83" ht="15" customHeight="1">
      <c r="A83" t="inlineStr">
        <is>
          <t>A 51590-2024</t>
        </is>
      </c>
      <c r="B83" s="1" t="n">
        <v>45604</v>
      </c>
      <c r="C83" s="1" t="n">
        <v>46081</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44635-2021</t>
        </is>
      </c>
      <c r="B84" s="1" t="n">
        <v>44437</v>
      </c>
      <c r="C84" s="1" t="n">
        <v>46081</v>
      </c>
      <c r="D84" t="inlineStr">
        <is>
          <t>KALMAR LÄN</t>
        </is>
      </c>
      <c r="E84" t="inlineStr">
        <is>
          <t>VÄSTERVIK</t>
        </is>
      </c>
      <c r="G84" t="n">
        <v>0.9</v>
      </c>
      <c r="H84" t="n">
        <v>1</v>
      </c>
      <c r="I84" t="n">
        <v>2</v>
      </c>
      <c r="J84" t="n">
        <v>1</v>
      </c>
      <c r="K84" t="n">
        <v>1</v>
      </c>
      <c r="L84" t="n">
        <v>0</v>
      </c>
      <c r="M84" t="n">
        <v>0</v>
      </c>
      <c r="N84" t="n">
        <v>0</v>
      </c>
      <c r="O84" t="n">
        <v>2</v>
      </c>
      <c r="P84" t="n">
        <v>1</v>
      </c>
      <c r="Q84" t="n">
        <v>4</v>
      </c>
      <c r="R84" s="2" t="inlineStr">
        <is>
          <t>Gräddporing
Spillkråka
Blodticka
Brandticka</t>
        </is>
      </c>
      <c r="S84">
        <f>HYPERLINK("https://klasma.github.io/Logging_0883/artfynd/A 44635-2021 artfynd.xlsx", "A 44635-2021")</f>
        <v/>
      </c>
      <c r="T84">
        <f>HYPERLINK("https://klasma.github.io/Logging_0883/kartor/A 44635-2021 karta.png", "A 44635-2021")</f>
        <v/>
      </c>
      <c r="V84">
        <f>HYPERLINK("https://klasma.github.io/Logging_0883/klagomål/A 44635-2021 FSC-klagomål.docx", "A 44635-2021")</f>
        <v/>
      </c>
      <c r="W84">
        <f>HYPERLINK("https://klasma.github.io/Logging_0883/klagomålsmail/A 44635-2021 FSC-klagomål mail.docx", "A 44635-2021")</f>
        <v/>
      </c>
      <c r="X84">
        <f>HYPERLINK("https://klasma.github.io/Logging_0883/tillsyn/A 44635-2021 tillsynsbegäran.docx", "A 44635-2021")</f>
        <v/>
      </c>
      <c r="Y84">
        <f>HYPERLINK("https://klasma.github.io/Logging_0883/tillsynsmail/A 44635-2021 tillsynsbegäran mail.docx", "A 44635-2021")</f>
        <v/>
      </c>
      <c r="Z84">
        <f>HYPERLINK("https://klasma.github.io/Logging_0883/fåglar/A 44635-2021 prioriterade fågelarter.docx", "A 44635-2021")</f>
        <v/>
      </c>
    </row>
    <row r="85" ht="15" customHeight="1">
      <c r="A85" t="inlineStr">
        <is>
          <t>A 53842-2025</t>
        </is>
      </c>
      <c r="B85" s="1" t="n">
        <v>45961.36251157407</v>
      </c>
      <c r="C85" s="1" t="n">
        <v>46081</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58343-2025</t>
        </is>
      </c>
      <c r="B86" s="1" t="n">
        <v>45985.49952546296</v>
      </c>
      <c r="C86" s="1" t="n">
        <v>46081</v>
      </c>
      <c r="D86" t="inlineStr">
        <is>
          <t>KALMAR LÄN</t>
        </is>
      </c>
      <c r="E86" t="inlineStr">
        <is>
          <t>VÄSTERVIK</t>
        </is>
      </c>
      <c r="G86" t="n">
        <v>5.2</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58343-2025 artfynd.xlsx", "A 58343-2025")</f>
        <v/>
      </c>
      <c r="T86">
        <f>HYPERLINK("https://klasma.github.io/Logging_0883/kartor/A 58343-2025 karta.png", "A 58343-2025")</f>
        <v/>
      </c>
      <c r="U86">
        <f>HYPERLINK("https://klasma.github.io/Logging_0883/knärot/A 58343-2025 karta knärot.png", "A 58343-2025")</f>
        <v/>
      </c>
      <c r="V86">
        <f>HYPERLINK("https://klasma.github.io/Logging_0883/klagomål/A 58343-2025 FSC-klagomål.docx", "A 58343-2025")</f>
        <v/>
      </c>
      <c r="W86">
        <f>HYPERLINK("https://klasma.github.io/Logging_0883/klagomålsmail/A 58343-2025 FSC-klagomål mail.docx", "A 58343-2025")</f>
        <v/>
      </c>
      <c r="X86">
        <f>HYPERLINK("https://klasma.github.io/Logging_0883/tillsyn/A 58343-2025 tillsynsbegäran.docx", "A 58343-2025")</f>
        <v/>
      </c>
      <c r="Y86">
        <f>HYPERLINK("https://klasma.github.io/Logging_0883/tillsynsmail/A 58343-2025 tillsynsbegäran mail.docx", "A 58343-2025")</f>
        <v/>
      </c>
      <c r="Z86">
        <f>HYPERLINK("https://klasma.github.io/Logging_0883/fåglar/A 58343-2025 prioriterade fågelarter.docx", "A 58343-2025")</f>
        <v/>
      </c>
    </row>
    <row r="87" ht="15" customHeight="1">
      <c r="A87" t="inlineStr">
        <is>
          <t>A 61551-2025</t>
        </is>
      </c>
      <c r="B87" s="1" t="n">
        <v>46001.76877314815</v>
      </c>
      <c r="C87" s="1" t="n">
        <v>46081</v>
      </c>
      <c r="D87" t="inlineStr">
        <is>
          <t>KALMAR LÄN</t>
        </is>
      </c>
      <c r="E87" t="inlineStr">
        <is>
          <t>VÄSTERVIK</t>
        </is>
      </c>
      <c r="F87" t="inlineStr">
        <is>
          <t>Sveaskog</t>
        </is>
      </c>
      <c r="G87" t="n">
        <v>10.4</v>
      </c>
      <c r="H87" t="n">
        <v>3</v>
      </c>
      <c r="I87" t="n">
        <v>0</v>
      </c>
      <c r="J87" t="n">
        <v>3</v>
      </c>
      <c r="K87" t="n">
        <v>0</v>
      </c>
      <c r="L87" t="n">
        <v>0</v>
      </c>
      <c r="M87" t="n">
        <v>0</v>
      </c>
      <c r="N87" t="n">
        <v>0</v>
      </c>
      <c r="O87" t="n">
        <v>3</v>
      </c>
      <c r="P87" t="n">
        <v>0</v>
      </c>
      <c r="Q87" t="n">
        <v>4</v>
      </c>
      <c r="R87" s="2" t="inlineStr">
        <is>
          <t>Ekticka
Havsörn
Talltita
Kungsfågel</t>
        </is>
      </c>
      <c r="S87">
        <f>HYPERLINK("https://klasma.github.io/Logging_0883/artfynd/A 61551-2025 artfynd.xlsx", "A 61551-2025")</f>
        <v/>
      </c>
      <c r="T87">
        <f>HYPERLINK("https://klasma.github.io/Logging_0883/kartor/A 61551-2025 karta.png", "A 61551-2025")</f>
        <v/>
      </c>
      <c r="V87">
        <f>HYPERLINK("https://klasma.github.io/Logging_0883/klagomål/A 61551-2025 FSC-klagomål.docx", "A 61551-2025")</f>
        <v/>
      </c>
      <c r="W87">
        <f>HYPERLINK("https://klasma.github.io/Logging_0883/klagomålsmail/A 61551-2025 FSC-klagomål mail.docx", "A 61551-2025")</f>
        <v/>
      </c>
      <c r="X87">
        <f>HYPERLINK("https://klasma.github.io/Logging_0883/tillsyn/A 61551-2025 tillsynsbegäran.docx", "A 61551-2025")</f>
        <v/>
      </c>
      <c r="Y87">
        <f>HYPERLINK("https://klasma.github.io/Logging_0883/tillsynsmail/A 61551-2025 tillsynsbegäran mail.docx", "A 61551-2025")</f>
        <v/>
      </c>
      <c r="Z87">
        <f>HYPERLINK("https://klasma.github.io/Logging_0883/fåglar/A 61551-2025 prioriterade fågelarter.docx", "A 61551-2025")</f>
        <v/>
      </c>
    </row>
    <row r="88" ht="15" customHeight="1">
      <c r="A88" t="inlineStr">
        <is>
          <t>A 54233-2023</t>
        </is>
      </c>
      <c r="B88" s="1" t="n">
        <v>45232</v>
      </c>
      <c r="C88" s="1" t="n">
        <v>46081</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63366-2023</t>
        </is>
      </c>
      <c r="B89" s="1" t="n">
        <v>45274</v>
      </c>
      <c r="C89" s="1" t="n">
        <v>46081</v>
      </c>
      <c r="D89" t="inlineStr">
        <is>
          <t>KALMAR LÄN</t>
        </is>
      </c>
      <c r="E89" t="inlineStr">
        <is>
          <t>VÄSTERVIK</t>
        </is>
      </c>
      <c r="G89" t="n">
        <v>4.1</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63366-2023 artfynd.xlsx", "A 63366-2023")</f>
        <v/>
      </c>
      <c r="T89">
        <f>HYPERLINK("https://klasma.github.io/Logging_0883/kartor/A 63366-2023 karta.png", "A 63366-2023")</f>
        <v/>
      </c>
      <c r="U89">
        <f>HYPERLINK("https://klasma.github.io/Logging_0883/knärot/A 63366-2023 karta knärot.png", "A 63366-2023")</f>
        <v/>
      </c>
      <c r="V89">
        <f>HYPERLINK("https://klasma.github.io/Logging_0883/klagomål/A 63366-2023 FSC-klagomål.docx", "A 63366-2023")</f>
        <v/>
      </c>
      <c r="W89">
        <f>HYPERLINK("https://klasma.github.io/Logging_0883/klagomålsmail/A 63366-2023 FSC-klagomål mail.docx", "A 63366-2023")</f>
        <v/>
      </c>
      <c r="X89">
        <f>HYPERLINK("https://klasma.github.io/Logging_0883/tillsyn/A 63366-2023 tillsynsbegäran.docx", "A 63366-2023")</f>
        <v/>
      </c>
      <c r="Y89">
        <f>HYPERLINK("https://klasma.github.io/Logging_0883/tillsynsmail/A 63366-2023 tillsynsbegäran mail.docx", "A 63366-2023")</f>
        <v/>
      </c>
      <c r="Z89">
        <f>HYPERLINK("https://klasma.github.io/Logging_0883/fåglar/A 63366-2023 prioriterade fågelarter.docx", "A 63366-2023")</f>
        <v/>
      </c>
    </row>
    <row r="90" ht="15" customHeight="1">
      <c r="A90" t="inlineStr">
        <is>
          <t>A 56908-2025</t>
        </is>
      </c>
      <c r="B90" s="1" t="n">
        <v>45978</v>
      </c>
      <c r="C90" s="1" t="n">
        <v>46081</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37524-2025</t>
        </is>
      </c>
      <c r="B91" s="1" t="n">
        <v>45877</v>
      </c>
      <c r="C91" s="1" t="n">
        <v>46081</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18397-2024</t>
        </is>
      </c>
      <c r="B92" s="1" t="n">
        <v>45425</v>
      </c>
      <c r="C92" s="1" t="n">
        <v>46081</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1107-2026</t>
        </is>
      </c>
      <c r="B93" s="1" t="n">
        <v>46030.67351851852</v>
      </c>
      <c r="C93" s="1" t="n">
        <v>46081</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25534-2024</t>
        </is>
      </c>
      <c r="B94" s="1" t="n">
        <v>45463</v>
      </c>
      <c r="C94" s="1" t="n">
        <v>46081</v>
      </c>
      <c r="D94" t="inlineStr">
        <is>
          <t>KALMAR LÄN</t>
        </is>
      </c>
      <c r="E94" t="inlineStr">
        <is>
          <t>VÄSTERVIK</t>
        </is>
      </c>
      <c r="F94" t="inlineStr">
        <is>
          <t>Holmen skog AB</t>
        </is>
      </c>
      <c r="G94" t="n">
        <v>9.5</v>
      </c>
      <c r="H94" t="n">
        <v>1</v>
      </c>
      <c r="I94" t="n">
        <v>2</v>
      </c>
      <c r="J94" t="n">
        <v>1</v>
      </c>
      <c r="K94" t="n">
        <v>1</v>
      </c>
      <c r="L94" t="n">
        <v>0</v>
      </c>
      <c r="M94" t="n">
        <v>0</v>
      </c>
      <c r="N94" t="n">
        <v>0</v>
      </c>
      <c r="O94" t="n">
        <v>2</v>
      </c>
      <c r="P94" t="n">
        <v>1</v>
      </c>
      <c r="Q94" t="n">
        <v>4</v>
      </c>
      <c r="R94" s="2" t="inlineStr">
        <is>
          <t>Knärot
Tallticka
Brandticka
Bronshjon</t>
        </is>
      </c>
      <c r="S94">
        <f>HYPERLINK("https://klasma.github.io/Logging_0883/artfynd/A 25534-2024 artfynd.xlsx", "A 25534-2024")</f>
        <v/>
      </c>
      <c r="T94">
        <f>HYPERLINK("https://klasma.github.io/Logging_0883/kartor/A 25534-2024 karta.png", "A 25534-2024")</f>
        <v/>
      </c>
      <c r="U94">
        <f>HYPERLINK("https://klasma.github.io/Logging_0883/knärot/A 25534-2024 karta knärot.png", "A 25534-2024")</f>
        <v/>
      </c>
      <c r="V94">
        <f>HYPERLINK("https://klasma.github.io/Logging_0883/klagomål/A 25534-2024 FSC-klagomål.docx", "A 25534-2024")</f>
        <v/>
      </c>
      <c r="W94">
        <f>HYPERLINK("https://klasma.github.io/Logging_0883/klagomålsmail/A 25534-2024 FSC-klagomål mail.docx", "A 25534-2024")</f>
        <v/>
      </c>
      <c r="X94">
        <f>HYPERLINK("https://klasma.github.io/Logging_0883/tillsyn/A 25534-2024 tillsynsbegäran.docx", "A 25534-2024")</f>
        <v/>
      </c>
      <c r="Y94">
        <f>HYPERLINK("https://klasma.github.io/Logging_0883/tillsynsmail/A 25534-2024 tillsynsbegäran mail.docx", "A 25534-2024")</f>
        <v/>
      </c>
    </row>
    <row r="95" ht="15" customHeight="1">
      <c r="A95" t="inlineStr">
        <is>
          <t>A 3781-2025</t>
        </is>
      </c>
      <c r="B95" s="1" t="n">
        <v>45681.62086805556</v>
      </c>
      <c r="C95" s="1" t="n">
        <v>46081</v>
      </c>
      <c r="D95" t="inlineStr">
        <is>
          <t>KALMAR LÄN</t>
        </is>
      </c>
      <c r="E95" t="inlineStr">
        <is>
          <t>VÄSTERVIK</t>
        </is>
      </c>
      <c r="G95" t="n">
        <v>1.4</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3781-2025 artfynd.xlsx", "A 3781-2025")</f>
        <v/>
      </c>
      <c r="T95">
        <f>HYPERLINK("https://klasma.github.io/Logging_0883/kartor/A 3781-2025 karta.png", "A 3781-2025")</f>
        <v/>
      </c>
      <c r="V95">
        <f>HYPERLINK("https://klasma.github.io/Logging_0883/klagomål/A 3781-2025 FSC-klagomål.docx", "A 3781-2025")</f>
        <v/>
      </c>
      <c r="W95">
        <f>HYPERLINK("https://klasma.github.io/Logging_0883/klagomålsmail/A 3781-2025 FSC-klagomål mail.docx", "A 3781-2025")</f>
        <v/>
      </c>
      <c r="X95">
        <f>HYPERLINK("https://klasma.github.io/Logging_0883/tillsyn/A 3781-2025 tillsynsbegäran.docx", "A 3781-2025")</f>
        <v/>
      </c>
      <c r="Y95">
        <f>HYPERLINK("https://klasma.github.io/Logging_0883/tillsynsmail/A 3781-2025 tillsynsbegäran mail.docx", "A 3781-2025")</f>
        <v/>
      </c>
      <c r="Z95">
        <f>HYPERLINK("https://klasma.github.io/Logging_0883/fåglar/A 3781-2025 prioriterade fågelarter.docx", "A 3781-2025")</f>
        <v/>
      </c>
    </row>
    <row r="96" ht="15" customHeight="1">
      <c r="A96" t="inlineStr">
        <is>
          <t>A 20366-2024</t>
        </is>
      </c>
      <c r="B96" s="1" t="n">
        <v>45435</v>
      </c>
      <c r="C96" s="1" t="n">
        <v>46081</v>
      </c>
      <c r="D96" t="inlineStr">
        <is>
          <t>KALMAR LÄN</t>
        </is>
      </c>
      <c r="E96" t="inlineStr">
        <is>
          <t>VÄSTERVIK</t>
        </is>
      </c>
      <c r="G96" t="n">
        <v>0.8</v>
      </c>
      <c r="H96" t="n">
        <v>3</v>
      </c>
      <c r="I96" t="n">
        <v>1</v>
      </c>
      <c r="J96" t="n">
        <v>3</v>
      </c>
      <c r="K96" t="n">
        <v>0</v>
      </c>
      <c r="L96" t="n">
        <v>0</v>
      </c>
      <c r="M96" t="n">
        <v>0</v>
      </c>
      <c r="N96" t="n">
        <v>0</v>
      </c>
      <c r="O96" t="n">
        <v>3</v>
      </c>
      <c r="P96" t="n">
        <v>0</v>
      </c>
      <c r="Q96" t="n">
        <v>4</v>
      </c>
      <c r="R96" s="2" t="inlineStr">
        <is>
          <t>Entita
Spillkråka
Tallticka
Purpurknipprot</t>
        </is>
      </c>
      <c r="S96">
        <f>HYPERLINK("https://klasma.github.io/Logging_0883/artfynd/A 20366-2024 artfynd.xlsx", "A 20366-2024")</f>
        <v/>
      </c>
      <c r="T96">
        <f>HYPERLINK("https://klasma.github.io/Logging_0883/kartor/A 20366-2024 karta.png", "A 20366-2024")</f>
        <v/>
      </c>
      <c r="V96">
        <f>HYPERLINK("https://klasma.github.io/Logging_0883/klagomål/A 20366-2024 FSC-klagomål.docx", "A 20366-2024")</f>
        <v/>
      </c>
      <c r="W96">
        <f>HYPERLINK("https://klasma.github.io/Logging_0883/klagomålsmail/A 20366-2024 FSC-klagomål mail.docx", "A 20366-2024")</f>
        <v/>
      </c>
      <c r="X96">
        <f>HYPERLINK("https://klasma.github.io/Logging_0883/tillsyn/A 20366-2024 tillsynsbegäran.docx", "A 20366-2024")</f>
        <v/>
      </c>
      <c r="Y96">
        <f>HYPERLINK("https://klasma.github.io/Logging_0883/tillsynsmail/A 20366-2024 tillsynsbegäran mail.docx", "A 20366-2024")</f>
        <v/>
      </c>
      <c r="Z96">
        <f>HYPERLINK("https://klasma.github.io/Logging_0883/fåglar/A 20366-2024 prioriterade fågelarter.docx", "A 20366-2024")</f>
        <v/>
      </c>
    </row>
    <row r="97" ht="15" customHeight="1">
      <c r="A97" t="inlineStr">
        <is>
          <t>A 59319-2023</t>
        </is>
      </c>
      <c r="B97" s="1" t="n">
        <v>45253</v>
      </c>
      <c r="C97" s="1" t="n">
        <v>46081</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16948-2024</t>
        </is>
      </c>
      <c r="B98" s="1" t="n">
        <v>45411</v>
      </c>
      <c r="C98" s="1" t="n">
        <v>46081</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21658-2025</t>
        </is>
      </c>
      <c r="B99" s="1" t="n">
        <v>45783.45474537037</v>
      </c>
      <c r="C99" s="1" t="n">
        <v>46081</v>
      </c>
      <c r="D99" t="inlineStr">
        <is>
          <t>KALMAR LÄN</t>
        </is>
      </c>
      <c r="E99" t="inlineStr">
        <is>
          <t>VÄSTERVIK</t>
        </is>
      </c>
      <c r="F99" t="inlineStr">
        <is>
          <t>Sveaskog</t>
        </is>
      </c>
      <c r="G99" t="n">
        <v>4</v>
      </c>
      <c r="H99" t="n">
        <v>3</v>
      </c>
      <c r="I99" t="n">
        <v>0</v>
      </c>
      <c r="J99" t="n">
        <v>2</v>
      </c>
      <c r="K99" t="n">
        <v>0</v>
      </c>
      <c r="L99" t="n">
        <v>0</v>
      </c>
      <c r="M99" t="n">
        <v>0</v>
      </c>
      <c r="N99" t="n">
        <v>0</v>
      </c>
      <c r="O99" t="n">
        <v>2</v>
      </c>
      <c r="P99" t="n">
        <v>0</v>
      </c>
      <c r="Q99" t="n">
        <v>3</v>
      </c>
      <c r="R99" s="2" t="inlineStr">
        <is>
          <t>Mindre hackspett
Talltita
Kungsfågel</t>
        </is>
      </c>
      <c r="S99">
        <f>HYPERLINK("https://klasma.github.io/Logging_0883/artfynd/A 21658-2025 artfynd.xlsx", "A 21658-2025")</f>
        <v/>
      </c>
      <c r="T99">
        <f>HYPERLINK("https://klasma.github.io/Logging_0883/kartor/A 21658-2025 karta.png", "A 21658-2025")</f>
        <v/>
      </c>
      <c r="V99">
        <f>HYPERLINK("https://klasma.github.io/Logging_0883/klagomål/A 21658-2025 FSC-klagomål.docx", "A 21658-2025")</f>
        <v/>
      </c>
      <c r="W99">
        <f>HYPERLINK("https://klasma.github.io/Logging_0883/klagomålsmail/A 21658-2025 FSC-klagomål mail.docx", "A 21658-2025")</f>
        <v/>
      </c>
      <c r="X99">
        <f>HYPERLINK("https://klasma.github.io/Logging_0883/tillsyn/A 21658-2025 tillsynsbegäran.docx", "A 21658-2025")</f>
        <v/>
      </c>
      <c r="Y99">
        <f>HYPERLINK("https://klasma.github.io/Logging_0883/tillsynsmail/A 21658-2025 tillsynsbegäran mail.docx", "A 21658-2025")</f>
        <v/>
      </c>
      <c r="Z99">
        <f>HYPERLINK("https://klasma.github.io/Logging_0883/fåglar/A 21658-2025 prioriterade fågelarter.docx", "A 21658-2025")</f>
        <v/>
      </c>
    </row>
    <row r="100" ht="15" customHeight="1">
      <c r="A100" t="inlineStr">
        <is>
          <t>A 12708-2023</t>
        </is>
      </c>
      <c r="B100" s="1" t="n">
        <v>45000</v>
      </c>
      <c r="C100" s="1" t="n">
        <v>46081</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35705-2025</t>
        </is>
      </c>
      <c r="B101" s="1" t="n">
        <v>45860.36769675926</v>
      </c>
      <c r="C101" s="1" t="n">
        <v>46081</v>
      </c>
      <c r="D101" t="inlineStr">
        <is>
          <t>KALMAR LÄN</t>
        </is>
      </c>
      <c r="E101" t="inlineStr">
        <is>
          <t>VÄSTERVIK</t>
        </is>
      </c>
      <c r="G101" t="n">
        <v>2.5</v>
      </c>
      <c r="H101" t="n">
        <v>2</v>
      </c>
      <c r="I101" t="n">
        <v>1</v>
      </c>
      <c r="J101" t="n">
        <v>1</v>
      </c>
      <c r="K101" t="n">
        <v>0</v>
      </c>
      <c r="L101" t="n">
        <v>0</v>
      </c>
      <c r="M101" t="n">
        <v>0</v>
      </c>
      <c r="N101" t="n">
        <v>0</v>
      </c>
      <c r="O101" t="n">
        <v>1</v>
      </c>
      <c r="P101" t="n">
        <v>0</v>
      </c>
      <c r="Q101" t="n">
        <v>3</v>
      </c>
      <c r="R101" s="2" t="inlineStr">
        <is>
          <t>Talltita
Grovticka
Kungsfågel</t>
        </is>
      </c>
      <c r="S101">
        <f>HYPERLINK("https://klasma.github.io/Logging_0883/artfynd/A 35705-2025 artfynd.xlsx", "A 35705-2025")</f>
        <v/>
      </c>
      <c r="T101">
        <f>HYPERLINK("https://klasma.github.io/Logging_0883/kartor/A 35705-2025 karta.png", "A 35705-2025")</f>
        <v/>
      </c>
      <c r="U101">
        <f>HYPERLINK("https://klasma.github.io/Logging_0883/knärot/A 35705-2025 karta knärot.png", "A 35705-2025")</f>
        <v/>
      </c>
      <c r="V101">
        <f>HYPERLINK("https://klasma.github.io/Logging_0883/klagomål/A 35705-2025 FSC-klagomål.docx", "A 35705-2025")</f>
        <v/>
      </c>
      <c r="W101">
        <f>HYPERLINK("https://klasma.github.io/Logging_0883/klagomålsmail/A 35705-2025 FSC-klagomål mail.docx", "A 35705-2025")</f>
        <v/>
      </c>
      <c r="X101">
        <f>HYPERLINK("https://klasma.github.io/Logging_0883/tillsyn/A 35705-2025 tillsynsbegäran.docx", "A 35705-2025")</f>
        <v/>
      </c>
      <c r="Y101">
        <f>HYPERLINK("https://klasma.github.io/Logging_0883/tillsynsmail/A 35705-2025 tillsynsbegäran mail.docx", "A 35705-2025")</f>
        <v/>
      </c>
      <c r="Z101">
        <f>HYPERLINK("https://klasma.github.io/Logging_0883/fåglar/A 35705-2025 prioriterade fågelarter.docx", "A 35705-2025")</f>
        <v/>
      </c>
    </row>
    <row r="102" ht="15" customHeight="1">
      <c r="A102" t="inlineStr">
        <is>
          <t>A 49607-2025</t>
        </is>
      </c>
      <c r="B102" s="1" t="n">
        <v>45939.5674074074</v>
      </c>
      <c r="C102" s="1" t="n">
        <v>46081</v>
      </c>
      <c r="D102" t="inlineStr">
        <is>
          <t>KALMAR LÄN</t>
        </is>
      </c>
      <c r="E102" t="inlineStr">
        <is>
          <t>VÄSTERVIK</t>
        </is>
      </c>
      <c r="F102" t="inlineStr">
        <is>
          <t>Holmen skog AB</t>
        </is>
      </c>
      <c r="G102" t="n">
        <v>1.2</v>
      </c>
      <c r="H102" t="n">
        <v>3</v>
      </c>
      <c r="I102" t="n">
        <v>0</v>
      </c>
      <c r="J102" t="n">
        <v>2</v>
      </c>
      <c r="K102" t="n">
        <v>0</v>
      </c>
      <c r="L102" t="n">
        <v>0</v>
      </c>
      <c r="M102" t="n">
        <v>0</v>
      </c>
      <c r="N102" t="n">
        <v>0</v>
      </c>
      <c r="O102" t="n">
        <v>2</v>
      </c>
      <c r="P102" t="n">
        <v>0</v>
      </c>
      <c r="Q102" t="n">
        <v>3</v>
      </c>
      <c r="R102" s="2" t="inlineStr">
        <is>
          <t>Spillkråka
Talltita
Tjäder</t>
        </is>
      </c>
      <c r="S102">
        <f>HYPERLINK("https://klasma.github.io/Logging_0883/artfynd/A 49607-2025 artfynd.xlsx", "A 49607-2025")</f>
        <v/>
      </c>
      <c r="T102">
        <f>HYPERLINK("https://klasma.github.io/Logging_0883/kartor/A 49607-2025 karta.png", "A 49607-2025")</f>
        <v/>
      </c>
      <c r="V102">
        <f>HYPERLINK("https://klasma.github.io/Logging_0883/klagomål/A 49607-2025 FSC-klagomål.docx", "A 49607-2025")</f>
        <v/>
      </c>
      <c r="W102">
        <f>HYPERLINK("https://klasma.github.io/Logging_0883/klagomålsmail/A 49607-2025 FSC-klagomål mail.docx", "A 49607-2025")</f>
        <v/>
      </c>
      <c r="X102">
        <f>HYPERLINK("https://klasma.github.io/Logging_0883/tillsyn/A 49607-2025 tillsynsbegäran.docx", "A 49607-2025")</f>
        <v/>
      </c>
      <c r="Y102">
        <f>HYPERLINK("https://klasma.github.io/Logging_0883/tillsynsmail/A 49607-2025 tillsynsbegäran mail.docx", "A 49607-2025")</f>
        <v/>
      </c>
      <c r="Z102">
        <f>HYPERLINK("https://klasma.github.io/Logging_0883/fåglar/A 49607-2025 prioriterade fågelarter.docx", "A 49607-2025")</f>
        <v/>
      </c>
    </row>
    <row r="103" ht="15" customHeight="1">
      <c r="A103" t="inlineStr">
        <is>
          <t>A 804-2023</t>
        </is>
      </c>
      <c r="B103" s="1" t="n">
        <v>44931</v>
      </c>
      <c r="C103" s="1" t="n">
        <v>46081</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46081</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55506-2022</t>
        </is>
      </c>
      <c r="B105" s="1" t="n">
        <v>44887</v>
      </c>
      <c r="C105" s="1" t="n">
        <v>46081</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61552-2025</t>
        </is>
      </c>
      <c r="B106" s="1" t="n">
        <v>46001.7772337963</v>
      </c>
      <c r="C106" s="1" t="n">
        <v>46081</v>
      </c>
      <c r="D106" t="inlineStr">
        <is>
          <t>KALMAR LÄN</t>
        </is>
      </c>
      <c r="E106" t="inlineStr">
        <is>
          <t>VÄSTERVIK</t>
        </is>
      </c>
      <c r="F106" t="inlineStr">
        <is>
          <t>Sveaskog</t>
        </is>
      </c>
      <c r="G106" t="n">
        <v>8.1</v>
      </c>
      <c r="H106" t="n">
        <v>2</v>
      </c>
      <c r="I106" t="n">
        <v>0</v>
      </c>
      <c r="J106" t="n">
        <v>3</v>
      </c>
      <c r="K106" t="n">
        <v>0</v>
      </c>
      <c r="L106" t="n">
        <v>0</v>
      </c>
      <c r="M106" t="n">
        <v>0</v>
      </c>
      <c r="N106" t="n">
        <v>0</v>
      </c>
      <c r="O106" t="n">
        <v>3</v>
      </c>
      <c r="P106" t="n">
        <v>0</v>
      </c>
      <c r="Q106" t="n">
        <v>3</v>
      </c>
      <c r="R106" s="2" t="inlineStr">
        <is>
          <t>Motaggsvamp
Spillkråka
Talltita</t>
        </is>
      </c>
      <c r="S106">
        <f>HYPERLINK("https://klasma.github.io/Logging_0883/artfynd/A 61552-2025 artfynd.xlsx", "A 61552-2025")</f>
        <v/>
      </c>
      <c r="T106">
        <f>HYPERLINK("https://klasma.github.io/Logging_0883/kartor/A 61552-2025 karta.png", "A 61552-2025")</f>
        <v/>
      </c>
      <c r="V106">
        <f>HYPERLINK("https://klasma.github.io/Logging_0883/klagomål/A 61552-2025 FSC-klagomål.docx", "A 61552-2025")</f>
        <v/>
      </c>
      <c r="W106">
        <f>HYPERLINK("https://klasma.github.io/Logging_0883/klagomålsmail/A 61552-2025 FSC-klagomål mail.docx", "A 61552-2025")</f>
        <v/>
      </c>
      <c r="X106">
        <f>HYPERLINK("https://klasma.github.io/Logging_0883/tillsyn/A 61552-2025 tillsynsbegäran.docx", "A 61552-2025")</f>
        <v/>
      </c>
      <c r="Y106">
        <f>HYPERLINK("https://klasma.github.io/Logging_0883/tillsynsmail/A 61552-2025 tillsynsbegäran mail.docx", "A 61552-2025")</f>
        <v/>
      </c>
      <c r="Z106">
        <f>HYPERLINK("https://klasma.github.io/Logging_0883/fåglar/A 61552-2025 prioriterade fågelarter.docx", "A 61552-2025")</f>
        <v/>
      </c>
    </row>
    <row r="107" ht="15" customHeight="1">
      <c r="A107" t="inlineStr">
        <is>
          <t>A 1763-2025</t>
        </is>
      </c>
      <c r="B107" s="1" t="n">
        <v>45671</v>
      </c>
      <c r="C107" s="1" t="n">
        <v>46081</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1764-2025</t>
        </is>
      </c>
      <c r="B108" s="1" t="n">
        <v>45671</v>
      </c>
      <c r="C108" s="1" t="n">
        <v>46081</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27067-2024</t>
        </is>
      </c>
      <c r="B109" s="1" t="n">
        <v>45471</v>
      </c>
      <c r="C109" s="1" t="n">
        <v>46081</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2657-2024</t>
        </is>
      </c>
      <c r="B110" s="1" t="n">
        <v>45314</v>
      </c>
      <c r="C110" s="1" t="n">
        <v>46081</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52992-2024</t>
        </is>
      </c>
      <c r="B111" s="1" t="n">
        <v>45611</v>
      </c>
      <c r="C111" s="1" t="n">
        <v>46081</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433-2026</t>
        </is>
      </c>
      <c r="B112" s="1" t="n">
        <v>46029.32555555556</v>
      </c>
      <c r="C112" s="1" t="n">
        <v>46081</v>
      </c>
      <c r="D112" t="inlineStr">
        <is>
          <t>KALMAR LÄN</t>
        </is>
      </c>
      <c r="E112" t="inlineStr">
        <is>
          <t>VÄSTERVIK</t>
        </is>
      </c>
      <c r="G112" t="n">
        <v>4.6</v>
      </c>
      <c r="H112" t="n">
        <v>1</v>
      </c>
      <c r="I112" t="n">
        <v>1</v>
      </c>
      <c r="J112" t="n">
        <v>1</v>
      </c>
      <c r="K112" t="n">
        <v>0</v>
      </c>
      <c r="L112" t="n">
        <v>0</v>
      </c>
      <c r="M112" t="n">
        <v>0</v>
      </c>
      <c r="N112" t="n">
        <v>0</v>
      </c>
      <c r="O112" t="n">
        <v>1</v>
      </c>
      <c r="P112" t="n">
        <v>0</v>
      </c>
      <c r="Q112" t="n">
        <v>3</v>
      </c>
      <c r="R112" s="2" t="inlineStr">
        <is>
          <t>Slåtterfibbla
Grovticka
Grönvit nattviol</t>
        </is>
      </c>
      <c r="S112">
        <f>HYPERLINK("https://klasma.github.io/Logging_0883/artfynd/A 433-2026 artfynd.xlsx", "A 433-2026")</f>
        <v/>
      </c>
      <c r="T112">
        <f>HYPERLINK("https://klasma.github.io/Logging_0883/kartor/A 433-2026 karta.png", "A 433-2026")</f>
        <v/>
      </c>
      <c r="V112">
        <f>HYPERLINK("https://klasma.github.io/Logging_0883/klagomål/A 433-2026 FSC-klagomål.docx", "A 433-2026")</f>
        <v/>
      </c>
      <c r="W112">
        <f>HYPERLINK("https://klasma.github.io/Logging_0883/klagomålsmail/A 433-2026 FSC-klagomål mail.docx", "A 433-2026")</f>
        <v/>
      </c>
      <c r="X112">
        <f>HYPERLINK("https://klasma.github.io/Logging_0883/tillsyn/A 433-2026 tillsynsbegäran.docx", "A 433-2026")</f>
        <v/>
      </c>
      <c r="Y112">
        <f>HYPERLINK("https://klasma.github.io/Logging_0883/tillsynsmail/A 433-2026 tillsynsbegäran mail.docx", "A 433-2026")</f>
        <v/>
      </c>
    </row>
    <row r="113" ht="15" customHeight="1">
      <c r="A113" t="inlineStr">
        <is>
          <t>A 49560-2025</t>
        </is>
      </c>
      <c r="B113" s="1" t="n">
        <v>45939</v>
      </c>
      <c r="C113" s="1" t="n">
        <v>46081</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31854-2025</t>
        </is>
      </c>
      <c r="B114" s="1" t="n">
        <v>45834</v>
      </c>
      <c r="C114" s="1" t="n">
        <v>46081</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39190-2024</t>
        </is>
      </c>
      <c r="B115" s="1" t="n">
        <v>45548</v>
      </c>
      <c r="C115" s="1" t="n">
        <v>46081</v>
      </c>
      <c r="D115" t="inlineStr">
        <is>
          <t>KALMAR LÄN</t>
        </is>
      </c>
      <c r="E115" t="inlineStr">
        <is>
          <t>VÄSTERVIK</t>
        </is>
      </c>
      <c r="G115" t="n">
        <v>1.7</v>
      </c>
      <c r="H115" t="n">
        <v>2</v>
      </c>
      <c r="I115" t="n">
        <v>0</v>
      </c>
      <c r="J115" t="n">
        <v>2</v>
      </c>
      <c r="K115" t="n">
        <v>1</v>
      </c>
      <c r="L115" t="n">
        <v>0</v>
      </c>
      <c r="M115" t="n">
        <v>0</v>
      </c>
      <c r="N115" t="n">
        <v>0</v>
      </c>
      <c r="O115" t="n">
        <v>3</v>
      </c>
      <c r="P115" t="n">
        <v>1</v>
      </c>
      <c r="Q115" t="n">
        <v>3</v>
      </c>
      <c r="R115" s="2" t="inlineStr">
        <is>
          <t>Knärot
Svart taggsvamp
Talltita</t>
        </is>
      </c>
      <c r="S115">
        <f>HYPERLINK("https://klasma.github.io/Logging_0883/artfynd/A 39190-2024 artfynd.xlsx", "A 39190-2024")</f>
        <v/>
      </c>
      <c r="T115">
        <f>HYPERLINK("https://klasma.github.io/Logging_0883/kartor/A 39190-2024 karta.png", "A 39190-2024")</f>
        <v/>
      </c>
      <c r="U115">
        <f>HYPERLINK("https://klasma.github.io/Logging_0883/knärot/A 39190-2024 karta knärot.png", "A 39190-2024")</f>
        <v/>
      </c>
      <c r="V115">
        <f>HYPERLINK("https://klasma.github.io/Logging_0883/klagomål/A 39190-2024 FSC-klagomål.docx", "A 39190-2024")</f>
        <v/>
      </c>
      <c r="W115">
        <f>HYPERLINK("https://klasma.github.io/Logging_0883/klagomålsmail/A 39190-2024 FSC-klagomål mail.docx", "A 39190-2024")</f>
        <v/>
      </c>
      <c r="X115">
        <f>HYPERLINK("https://klasma.github.io/Logging_0883/tillsyn/A 39190-2024 tillsynsbegäran.docx", "A 39190-2024")</f>
        <v/>
      </c>
      <c r="Y115">
        <f>HYPERLINK("https://klasma.github.io/Logging_0883/tillsynsmail/A 39190-2024 tillsynsbegäran mail.docx", "A 39190-2024")</f>
        <v/>
      </c>
      <c r="Z115">
        <f>HYPERLINK("https://klasma.github.io/Logging_0883/fåglar/A 39190-2024 prioriterade fågelarter.docx", "A 39190-2024")</f>
        <v/>
      </c>
    </row>
    <row r="116" ht="15" customHeight="1">
      <c r="A116" t="inlineStr">
        <is>
          <t>A 56336-2025</t>
        </is>
      </c>
      <c r="B116" s="1" t="n">
        <v>45974</v>
      </c>
      <c r="C116" s="1" t="n">
        <v>46081</v>
      </c>
      <c r="D116" t="inlineStr">
        <is>
          <t>KALMAR LÄN</t>
        </is>
      </c>
      <c r="E116" t="inlineStr">
        <is>
          <t>VÄSTERVIK</t>
        </is>
      </c>
      <c r="F116" t="inlineStr">
        <is>
          <t>Holmen skog AB</t>
        </is>
      </c>
      <c r="G116" t="n">
        <v>2.2</v>
      </c>
      <c r="H116" t="n">
        <v>0</v>
      </c>
      <c r="I116" t="n">
        <v>1</v>
      </c>
      <c r="J116" t="n">
        <v>2</v>
      </c>
      <c r="K116" t="n">
        <v>0</v>
      </c>
      <c r="L116" t="n">
        <v>0</v>
      </c>
      <c r="M116" t="n">
        <v>0</v>
      </c>
      <c r="N116" t="n">
        <v>0</v>
      </c>
      <c r="O116" t="n">
        <v>2</v>
      </c>
      <c r="P116" t="n">
        <v>0</v>
      </c>
      <c r="Q116" t="n">
        <v>3</v>
      </c>
      <c r="R116" s="2" t="inlineStr">
        <is>
          <t>Tallticka
Ullticka
Blåmossa</t>
        </is>
      </c>
      <c r="S116">
        <f>HYPERLINK("https://klasma.github.io/Logging_0883/artfynd/A 56336-2025 artfynd.xlsx", "A 56336-2025")</f>
        <v/>
      </c>
      <c r="T116">
        <f>HYPERLINK("https://klasma.github.io/Logging_0883/kartor/A 56336-2025 karta.png", "A 56336-2025")</f>
        <v/>
      </c>
      <c r="V116">
        <f>HYPERLINK("https://klasma.github.io/Logging_0883/klagomål/A 56336-2025 FSC-klagomål.docx", "A 56336-2025")</f>
        <v/>
      </c>
      <c r="W116">
        <f>HYPERLINK("https://klasma.github.io/Logging_0883/klagomålsmail/A 56336-2025 FSC-klagomål mail.docx", "A 56336-2025")</f>
        <v/>
      </c>
      <c r="X116">
        <f>HYPERLINK("https://klasma.github.io/Logging_0883/tillsyn/A 56336-2025 tillsynsbegäran.docx", "A 56336-2025")</f>
        <v/>
      </c>
      <c r="Y116">
        <f>HYPERLINK("https://klasma.github.io/Logging_0883/tillsynsmail/A 56336-2025 tillsynsbegäran mail.docx", "A 56336-2025")</f>
        <v/>
      </c>
    </row>
    <row r="117" ht="15" customHeight="1">
      <c r="A117" t="inlineStr">
        <is>
          <t>A 60671-2025</t>
        </is>
      </c>
      <c r="B117" s="1" t="n">
        <v>45996</v>
      </c>
      <c r="C117" s="1" t="n">
        <v>46081</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Motaggsvamp
Grönpyrola</t>
        </is>
      </c>
      <c r="S117">
        <f>HYPERLINK("https://klasma.github.io/Logging_0883/artfynd/A 60671-2025 artfynd.xlsx", "A 60671-2025")</f>
        <v/>
      </c>
      <c r="T117">
        <f>HYPERLINK("https://klasma.github.io/Logging_0883/kartor/A 60671-2025 karta.png", "A 60671-2025")</f>
        <v/>
      </c>
      <c r="U117">
        <f>HYPERLINK("https://klasma.github.io/Logging_0883/knärot/A 60671-2025 karta knärot.png", "A 60671-2025")</f>
        <v/>
      </c>
      <c r="V117">
        <f>HYPERLINK("https://klasma.github.io/Logging_0883/klagomål/A 60671-2025 FSC-klagomål.docx", "A 60671-2025")</f>
        <v/>
      </c>
      <c r="W117">
        <f>HYPERLINK("https://klasma.github.io/Logging_0883/klagomålsmail/A 60671-2025 FSC-klagomål mail.docx", "A 60671-2025")</f>
        <v/>
      </c>
      <c r="X117">
        <f>HYPERLINK("https://klasma.github.io/Logging_0883/tillsyn/A 60671-2025 tillsynsbegäran.docx", "A 60671-2025")</f>
        <v/>
      </c>
      <c r="Y117">
        <f>HYPERLINK("https://klasma.github.io/Logging_0883/tillsynsmail/A 60671-2025 tillsynsbegäran mail.docx", "A 60671-2025")</f>
        <v/>
      </c>
    </row>
    <row r="118" ht="15" customHeight="1">
      <c r="A118" t="inlineStr">
        <is>
          <t>A 8620-2024</t>
        </is>
      </c>
      <c r="B118" s="1" t="n">
        <v>45355.74270833333</v>
      </c>
      <c r="C118" s="1" t="n">
        <v>46081</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56080-2025</t>
        </is>
      </c>
      <c r="B119" s="1" t="n">
        <v>45973</v>
      </c>
      <c r="C119" s="1" t="n">
        <v>46081</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2340-2025</t>
        </is>
      </c>
      <c r="B120" s="1" t="n">
        <v>45673</v>
      </c>
      <c r="C120" s="1" t="n">
        <v>46081</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46081</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46081</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46081</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46081</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46081</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3658-2024</t>
        </is>
      </c>
      <c r="B126" s="1" t="n">
        <v>45321</v>
      </c>
      <c r="C126" s="1" t="n">
        <v>46081</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46081</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46081</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46081</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46787-2022</t>
        </is>
      </c>
      <c r="B130" s="1" t="n">
        <v>44851</v>
      </c>
      <c r="C130" s="1" t="n">
        <v>46081</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61804-2023</t>
        </is>
      </c>
      <c r="B131" s="1" t="n">
        <v>45266</v>
      </c>
      <c r="C131" s="1" t="n">
        <v>46081</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2126-2024</t>
        </is>
      </c>
      <c r="B132" s="1" t="n">
        <v>45309</v>
      </c>
      <c r="C132" s="1" t="n">
        <v>46081</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3173-2023</t>
        </is>
      </c>
      <c r="B133" s="1" t="n">
        <v>44946</v>
      </c>
      <c r="C133" s="1" t="n">
        <v>46081</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46081</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33687-2025</t>
        </is>
      </c>
      <c r="B135" s="1" t="n">
        <v>45841.69072916666</v>
      </c>
      <c r="C135" s="1" t="n">
        <v>46081</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2515-2023</t>
        </is>
      </c>
      <c r="B136" s="1" t="n">
        <v>44943</v>
      </c>
      <c r="C136" s="1" t="n">
        <v>46081</v>
      </c>
      <c r="D136" t="inlineStr">
        <is>
          <t>KALMAR LÄN</t>
        </is>
      </c>
      <c r="E136" t="inlineStr">
        <is>
          <t>VÄSTERVIK</t>
        </is>
      </c>
      <c r="G136" t="n">
        <v>1.3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2515-2023 artfynd.xlsx", "A 2515-2023")</f>
        <v/>
      </c>
      <c r="T136">
        <f>HYPERLINK("https://klasma.github.io/Logging_0883/kartor/A 2515-2023 karta.png", "A 2515-2023")</f>
        <v/>
      </c>
      <c r="U136">
        <f>HYPERLINK("https://klasma.github.io/Logging_0883/knärot/A 2515-2023 karta knärot.png", "A 2515-2023")</f>
        <v/>
      </c>
      <c r="V136">
        <f>HYPERLINK("https://klasma.github.io/Logging_0883/klagomål/A 2515-2023 FSC-klagomål.docx", "A 2515-2023")</f>
        <v/>
      </c>
      <c r="W136">
        <f>HYPERLINK("https://klasma.github.io/Logging_0883/klagomålsmail/A 2515-2023 FSC-klagomål mail.docx", "A 2515-2023")</f>
        <v/>
      </c>
      <c r="X136">
        <f>HYPERLINK("https://klasma.github.io/Logging_0883/tillsyn/A 2515-2023 tillsynsbegäran.docx", "A 2515-2023")</f>
        <v/>
      </c>
      <c r="Y136">
        <f>HYPERLINK("https://klasma.github.io/Logging_0883/tillsynsmail/A 2515-2023 tillsynsbegäran mail.docx", "A 2515-2023")</f>
        <v/>
      </c>
    </row>
    <row r="137" ht="15" customHeight="1">
      <c r="A137" t="inlineStr">
        <is>
          <t>A 52723-2024</t>
        </is>
      </c>
      <c r="B137" s="1" t="n">
        <v>45610.44008101852</v>
      </c>
      <c r="C137" s="1" t="n">
        <v>46081</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46081</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25435-2023</t>
        </is>
      </c>
      <c r="B139" s="1" t="n">
        <v>45089</v>
      </c>
      <c r="C139" s="1" t="n">
        <v>46081</v>
      </c>
      <c r="D139" t="inlineStr">
        <is>
          <t>KALMAR LÄN</t>
        </is>
      </c>
      <c r="E139" t="inlineStr">
        <is>
          <t>VÄSTERVIK</t>
        </is>
      </c>
      <c r="G139" t="n">
        <v>1.6</v>
      </c>
      <c r="H139" t="n">
        <v>2</v>
      </c>
      <c r="I139" t="n">
        <v>0</v>
      </c>
      <c r="J139" t="n">
        <v>0</v>
      </c>
      <c r="K139" t="n">
        <v>1</v>
      </c>
      <c r="L139" t="n">
        <v>0</v>
      </c>
      <c r="M139" t="n">
        <v>0</v>
      </c>
      <c r="N139" t="n">
        <v>0</v>
      </c>
      <c r="O139" t="n">
        <v>1</v>
      </c>
      <c r="P139" t="n">
        <v>1</v>
      </c>
      <c r="Q139" t="n">
        <v>2</v>
      </c>
      <c r="R139" s="2" t="inlineStr">
        <is>
          <t>Knärot
Tjäder</t>
        </is>
      </c>
      <c r="S139">
        <f>HYPERLINK("https://klasma.github.io/Logging_0883/artfynd/A 25435-2023 artfynd.xlsx", "A 25435-2023")</f>
        <v/>
      </c>
      <c r="T139">
        <f>HYPERLINK("https://klasma.github.io/Logging_0883/kartor/A 25435-2023 karta.png", "A 25435-2023")</f>
        <v/>
      </c>
      <c r="U139">
        <f>HYPERLINK("https://klasma.github.io/Logging_0883/knärot/A 25435-2023 karta knärot.png", "A 25435-2023")</f>
        <v/>
      </c>
      <c r="V139">
        <f>HYPERLINK("https://klasma.github.io/Logging_0883/klagomål/A 25435-2023 FSC-klagomål.docx", "A 25435-2023")</f>
        <v/>
      </c>
      <c r="W139">
        <f>HYPERLINK("https://klasma.github.io/Logging_0883/klagomålsmail/A 25435-2023 FSC-klagomål mail.docx", "A 25435-2023")</f>
        <v/>
      </c>
      <c r="X139">
        <f>HYPERLINK("https://klasma.github.io/Logging_0883/tillsyn/A 25435-2023 tillsynsbegäran.docx", "A 25435-2023")</f>
        <v/>
      </c>
      <c r="Y139">
        <f>HYPERLINK("https://klasma.github.io/Logging_0883/tillsynsmail/A 25435-2023 tillsynsbegäran mail.docx", "A 25435-2023")</f>
        <v/>
      </c>
      <c r="Z139">
        <f>HYPERLINK("https://klasma.github.io/Logging_0883/fåglar/A 25435-2023 prioriterade fågelarter.docx", "A 25435-2023")</f>
        <v/>
      </c>
    </row>
    <row r="140" ht="15" customHeight="1">
      <c r="A140" t="inlineStr">
        <is>
          <t>A 34292-2025</t>
        </is>
      </c>
      <c r="B140" s="1" t="n">
        <v>45846.34083333334</v>
      </c>
      <c r="C140" s="1" t="n">
        <v>46081</v>
      </c>
      <c r="D140" t="inlineStr">
        <is>
          <t>KALMAR LÄN</t>
        </is>
      </c>
      <c r="E140" t="inlineStr">
        <is>
          <t>VÄSTERVIK</t>
        </is>
      </c>
      <c r="G140" t="n">
        <v>3.4</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34292-2025 artfynd.xlsx", "A 34292-2025")</f>
        <v/>
      </c>
      <c r="T140">
        <f>HYPERLINK("https://klasma.github.io/Logging_0883/kartor/A 34292-2025 karta.png", "A 34292-2025")</f>
        <v/>
      </c>
      <c r="V140">
        <f>HYPERLINK("https://klasma.github.io/Logging_0883/klagomål/A 34292-2025 FSC-klagomål.docx", "A 34292-2025")</f>
        <v/>
      </c>
      <c r="W140">
        <f>HYPERLINK("https://klasma.github.io/Logging_0883/klagomålsmail/A 34292-2025 FSC-klagomål mail.docx", "A 34292-2025")</f>
        <v/>
      </c>
      <c r="X140">
        <f>HYPERLINK("https://klasma.github.io/Logging_0883/tillsyn/A 34292-2025 tillsynsbegäran.docx", "A 34292-2025")</f>
        <v/>
      </c>
      <c r="Y140">
        <f>HYPERLINK("https://klasma.github.io/Logging_0883/tillsynsmail/A 34292-2025 tillsynsbegäran mail.docx", "A 34292-2025")</f>
        <v/>
      </c>
    </row>
    <row r="141" ht="15" customHeight="1">
      <c r="A141" t="inlineStr">
        <is>
          <t>A 53769-2021</t>
        </is>
      </c>
      <c r="B141" s="1" t="n">
        <v>44467</v>
      </c>
      <c r="C141" s="1" t="n">
        <v>46081</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17438-2024</t>
        </is>
      </c>
      <c r="B142" s="1" t="n">
        <v>45415</v>
      </c>
      <c r="C142" s="1" t="n">
        <v>46081</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46081</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14086-2025</t>
        </is>
      </c>
      <c r="B144" s="1" t="n">
        <v>45740.44130787037</v>
      </c>
      <c r="C144" s="1" t="n">
        <v>46081</v>
      </c>
      <c r="D144" t="inlineStr">
        <is>
          <t>KALMAR LÄN</t>
        </is>
      </c>
      <c r="E144" t="inlineStr">
        <is>
          <t>VÄSTERVIK</t>
        </is>
      </c>
      <c r="F144" t="inlineStr">
        <is>
          <t>Sveaskog</t>
        </is>
      </c>
      <c r="G144" t="n">
        <v>3.2</v>
      </c>
      <c r="H144" t="n">
        <v>1</v>
      </c>
      <c r="I144" t="n">
        <v>1</v>
      </c>
      <c r="J144" t="n">
        <v>0</v>
      </c>
      <c r="K144" t="n">
        <v>0</v>
      </c>
      <c r="L144" t="n">
        <v>0</v>
      </c>
      <c r="M144" t="n">
        <v>0</v>
      </c>
      <c r="N144" t="n">
        <v>0</v>
      </c>
      <c r="O144" t="n">
        <v>0</v>
      </c>
      <c r="P144" t="n">
        <v>0</v>
      </c>
      <c r="Q144" t="n">
        <v>2</v>
      </c>
      <c r="R144" s="2" t="inlineStr">
        <is>
          <t>Skogsbräsma
Åkergroda</t>
        </is>
      </c>
      <c r="S144">
        <f>HYPERLINK("https://klasma.github.io/Logging_0883/artfynd/A 14086-2025 artfynd.xlsx", "A 14086-2025")</f>
        <v/>
      </c>
      <c r="T144">
        <f>HYPERLINK("https://klasma.github.io/Logging_0883/kartor/A 14086-2025 karta.png", "A 14086-2025")</f>
        <v/>
      </c>
      <c r="V144">
        <f>HYPERLINK("https://klasma.github.io/Logging_0883/klagomål/A 14086-2025 FSC-klagomål.docx", "A 14086-2025")</f>
        <v/>
      </c>
      <c r="W144">
        <f>HYPERLINK("https://klasma.github.io/Logging_0883/klagomålsmail/A 14086-2025 FSC-klagomål mail.docx", "A 14086-2025")</f>
        <v/>
      </c>
      <c r="X144">
        <f>HYPERLINK("https://klasma.github.io/Logging_0883/tillsyn/A 14086-2025 tillsynsbegäran.docx", "A 14086-2025")</f>
        <v/>
      </c>
      <c r="Y144">
        <f>HYPERLINK("https://klasma.github.io/Logging_0883/tillsynsmail/A 14086-2025 tillsynsbegäran mail.docx", "A 14086-2025")</f>
        <v/>
      </c>
    </row>
    <row r="145" ht="15" customHeight="1">
      <c r="A145" t="inlineStr">
        <is>
          <t>A 14089-2025</t>
        </is>
      </c>
      <c r="B145" s="1" t="n">
        <v>45740.44363425926</v>
      </c>
      <c r="C145" s="1" t="n">
        <v>46081</v>
      </c>
      <c r="D145" t="inlineStr">
        <is>
          <t>KALMAR LÄN</t>
        </is>
      </c>
      <c r="E145" t="inlineStr">
        <is>
          <t>VÄSTERVIK</t>
        </is>
      </c>
      <c r="F145" t="inlineStr">
        <is>
          <t>Sveaskog</t>
        </is>
      </c>
      <c r="G145" t="n">
        <v>1.3</v>
      </c>
      <c r="H145" t="n">
        <v>2</v>
      </c>
      <c r="I145" t="n">
        <v>0</v>
      </c>
      <c r="J145" t="n">
        <v>2</v>
      </c>
      <c r="K145" t="n">
        <v>0</v>
      </c>
      <c r="L145" t="n">
        <v>0</v>
      </c>
      <c r="M145" t="n">
        <v>0</v>
      </c>
      <c r="N145" t="n">
        <v>0</v>
      </c>
      <c r="O145" t="n">
        <v>2</v>
      </c>
      <c r="P145" t="n">
        <v>0</v>
      </c>
      <c r="Q145" t="n">
        <v>2</v>
      </c>
      <c r="R145" s="2" t="inlineStr">
        <is>
          <t>Mindre hackspett
Spillkråka</t>
        </is>
      </c>
      <c r="S145">
        <f>HYPERLINK("https://klasma.github.io/Logging_0883/artfynd/A 14089-2025 artfynd.xlsx", "A 14089-2025")</f>
        <v/>
      </c>
      <c r="T145">
        <f>HYPERLINK("https://klasma.github.io/Logging_0883/kartor/A 14089-2025 karta.png", "A 14089-2025")</f>
        <v/>
      </c>
      <c r="V145">
        <f>HYPERLINK("https://klasma.github.io/Logging_0883/klagomål/A 14089-2025 FSC-klagomål.docx", "A 14089-2025")</f>
        <v/>
      </c>
      <c r="W145">
        <f>HYPERLINK("https://klasma.github.io/Logging_0883/klagomålsmail/A 14089-2025 FSC-klagomål mail.docx", "A 14089-2025")</f>
        <v/>
      </c>
      <c r="X145">
        <f>HYPERLINK("https://klasma.github.io/Logging_0883/tillsyn/A 14089-2025 tillsynsbegäran.docx", "A 14089-2025")</f>
        <v/>
      </c>
      <c r="Y145">
        <f>HYPERLINK("https://klasma.github.io/Logging_0883/tillsynsmail/A 14089-2025 tillsynsbegäran mail.docx", "A 14089-2025")</f>
        <v/>
      </c>
      <c r="Z145">
        <f>HYPERLINK("https://klasma.github.io/Logging_0883/fåglar/A 14089-2025 prioriterade fågelarter.docx", "A 14089-2025")</f>
        <v/>
      </c>
    </row>
    <row r="146" ht="15" customHeight="1">
      <c r="A146" t="inlineStr">
        <is>
          <t>A 1373-2024</t>
        </is>
      </c>
      <c r="B146" s="1" t="n">
        <v>45303</v>
      </c>
      <c r="C146" s="1" t="n">
        <v>46081</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48877-2025</t>
        </is>
      </c>
      <c r="B147" s="1" t="n">
        <v>45937.4565162037</v>
      </c>
      <c r="C147" s="1" t="n">
        <v>46081</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48892-2025</t>
        </is>
      </c>
      <c r="B148" s="1" t="n">
        <v>45937.47267361111</v>
      </c>
      <c r="C148" s="1" t="n">
        <v>46081</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55408-2023</t>
        </is>
      </c>
      <c r="B149" s="1" t="n">
        <v>45238</v>
      </c>
      <c r="C149" s="1" t="n">
        <v>46081</v>
      </c>
      <c r="D149" t="inlineStr">
        <is>
          <t>KALMAR LÄN</t>
        </is>
      </c>
      <c r="E149" t="inlineStr">
        <is>
          <t>VÄSTERVIK</t>
        </is>
      </c>
      <c r="G149" t="n">
        <v>2.8</v>
      </c>
      <c r="H149" t="n">
        <v>0</v>
      </c>
      <c r="I149" t="n">
        <v>0</v>
      </c>
      <c r="J149" t="n">
        <v>2</v>
      </c>
      <c r="K149" t="n">
        <v>0</v>
      </c>
      <c r="L149" t="n">
        <v>0</v>
      </c>
      <c r="M149" t="n">
        <v>0</v>
      </c>
      <c r="N149" t="n">
        <v>0</v>
      </c>
      <c r="O149" t="n">
        <v>2</v>
      </c>
      <c r="P149" t="n">
        <v>0</v>
      </c>
      <c r="Q149" t="n">
        <v>2</v>
      </c>
      <c r="R149" s="2" t="inlineStr">
        <is>
          <t>Ekticka
Tallticka</t>
        </is>
      </c>
      <c r="S149">
        <f>HYPERLINK("https://klasma.github.io/Logging_0883/artfynd/A 55408-2023 artfynd.xlsx", "A 55408-2023")</f>
        <v/>
      </c>
      <c r="T149">
        <f>HYPERLINK("https://klasma.github.io/Logging_0883/kartor/A 55408-2023 karta.png", "A 55408-2023")</f>
        <v/>
      </c>
      <c r="V149">
        <f>HYPERLINK("https://klasma.github.io/Logging_0883/klagomål/A 55408-2023 FSC-klagomål.docx", "A 55408-2023")</f>
        <v/>
      </c>
      <c r="W149">
        <f>HYPERLINK("https://klasma.github.io/Logging_0883/klagomålsmail/A 55408-2023 FSC-klagomål mail.docx", "A 55408-2023")</f>
        <v/>
      </c>
      <c r="X149">
        <f>HYPERLINK("https://klasma.github.io/Logging_0883/tillsyn/A 55408-2023 tillsynsbegäran.docx", "A 55408-2023")</f>
        <v/>
      </c>
      <c r="Y149">
        <f>HYPERLINK("https://klasma.github.io/Logging_0883/tillsynsmail/A 55408-2023 tillsynsbegäran mail.docx", "A 55408-2023")</f>
        <v/>
      </c>
    </row>
    <row r="150" ht="15" customHeight="1">
      <c r="A150" t="inlineStr">
        <is>
          <t>A 49414-2025</t>
        </is>
      </c>
      <c r="B150" s="1" t="n">
        <v>45938.68725694445</v>
      </c>
      <c r="C150" s="1" t="n">
        <v>46081</v>
      </c>
      <c r="D150" t="inlineStr">
        <is>
          <t>KALMAR LÄN</t>
        </is>
      </c>
      <c r="E150" t="inlineStr">
        <is>
          <t>VÄSTERVIK</t>
        </is>
      </c>
      <c r="G150" t="n">
        <v>1.3</v>
      </c>
      <c r="H150" t="n">
        <v>2</v>
      </c>
      <c r="I150" t="n">
        <v>0</v>
      </c>
      <c r="J150" t="n">
        <v>1</v>
      </c>
      <c r="K150" t="n">
        <v>0</v>
      </c>
      <c r="L150" t="n">
        <v>0</v>
      </c>
      <c r="M150" t="n">
        <v>0</v>
      </c>
      <c r="N150" t="n">
        <v>0</v>
      </c>
      <c r="O150" t="n">
        <v>1</v>
      </c>
      <c r="P150" t="n">
        <v>0</v>
      </c>
      <c r="Q150" t="n">
        <v>2</v>
      </c>
      <c r="R150" s="2" t="inlineStr">
        <is>
          <t>Spillkråka
Revlummer</t>
        </is>
      </c>
      <c r="S150">
        <f>HYPERLINK("https://klasma.github.io/Logging_0883/artfynd/A 49414-2025 artfynd.xlsx", "A 49414-2025")</f>
        <v/>
      </c>
      <c r="T150">
        <f>HYPERLINK("https://klasma.github.io/Logging_0883/kartor/A 49414-2025 karta.png", "A 49414-2025")</f>
        <v/>
      </c>
      <c r="V150">
        <f>HYPERLINK("https://klasma.github.io/Logging_0883/klagomål/A 49414-2025 FSC-klagomål.docx", "A 49414-2025")</f>
        <v/>
      </c>
      <c r="W150">
        <f>HYPERLINK("https://klasma.github.io/Logging_0883/klagomålsmail/A 49414-2025 FSC-klagomål mail.docx", "A 49414-2025")</f>
        <v/>
      </c>
      <c r="X150">
        <f>HYPERLINK("https://klasma.github.io/Logging_0883/tillsyn/A 49414-2025 tillsynsbegäran.docx", "A 49414-2025")</f>
        <v/>
      </c>
      <c r="Y150">
        <f>HYPERLINK("https://klasma.github.io/Logging_0883/tillsynsmail/A 49414-2025 tillsynsbegäran mail.docx", "A 49414-2025")</f>
        <v/>
      </c>
      <c r="Z150">
        <f>HYPERLINK("https://klasma.github.io/Logging_0883/fåglar/A 49414-2025 prioriterade fågelarter.docx", "A 49414-2025")</f>
        <v/>
      </c>
    </row>
    <row r="151" ht="15" customHeight="1">
      <c r="A151" t="inlineStr">
        <is>
          <t>A 15534-2024</t>
        </is>
      </c>
      <c r="B151" s="1" t="n">
        <v>45401</v>
      </c>
      <c r="C151" s="1" t="n">
        <v>46081</v>
      </c>
      <c r="D151" t="inlineStr">
        <is>
          <t>KALMAR LÄN</t>
        </is>
      </c>
      <c r="E151" t="inlineStr">
        <is>
          <t>VÄSTERVIK</t>
        </is>
      </c>
      <c r="F151" t="inlineStr">
        <is>
          <t>Holmen skog AB</t>
        </is>
      </c>
      <c r="G151" t="n">
        <v>5.1</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15534-2024 artfynd.xlsx", "A 15534-2024")</f>
        <v/>
      </c>
      <c r="T151">
        <f>HYPERLINK("https://klasma.github.io/Logging_0883/kartor/A 15534-2024 karta.png", "A 15534-2024")</f>
        <v/>
      </c>
      <c r="U151">
        <f>HYPERLINK("https://klasma.github.io/Logging_0883/knärot/A 15534-2024 karta knärot.png", "A 15534-2024")</f>
        <v/>
      </c>
      <c r="V151">
        <f>HYPERLINK("https://klasma.github.io/Logging_0883/klagomål/A 15534-2024 FSC-klagomål.docx", "A 15534-2024")</f>
        <v/>
      </c>
      <c r="W151">
        <f>HYPERLINK("https://klasma.github.io/Logging_0883/klagomålsmail/A 15534-2024 FSC-klagomål mail.docx", "A 15534-2024")</f>
        <v/>
      </c>
      <c r="X151">
        <f>HYPERLINK("https://klasma.github.io/Logging_0883/tillsyn/A 15534-2024 tillsynsbegäran.docx", "A 15534-2024")</f>
        <v/>
      </c>
      <c r="Y151">
        <f>HYPERLINK("https://klasma.github.io/Logging_0883/tillsynsmail/A 15534-2024 tillsynsbegäran mail.docx", "A 15534-2024")</f>
        <v/>
      </c>
    </row>
    <row r="152" ht="15" customHeight="1">
      <c r="A152" t="inlineStr">
        <is>
          <t>A 50647-2025</t>
        </is>
      </c>
      <c r="B152" s="1" t="n">
        <v>45945.65792824074</v>
      </c>
      <c r="C152" s="1" t="n">
        <v>46081</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52030-2025</t>
        </is>
      </c>
      <c r="B153" s="1" t="n">
        <v>45952.60846064815</v>
      </c>
      <c r="C153" s="1" t="n">
        <v>46081</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14126-2025</t>
        </is>
      </c>
      <c r="B154" s="1" t="n">
        <v>45740.47012731482</v>
      </c>
      <c r="C154" s="1" t="n">
        <v>46081</v>
      </c>
      <c r="D154" t="inlineStr">
        <is>
          <t>KALMAR LÄN</t>
        </is>
      </c>
      <c r="E154" t="inlineStr">
        <is>
          <t>VÄSTERVIK</t>
        </is>
      </c>
      <c r="F154" t="inlineStr">
        <is>
          <t>Sveaskog</t>
        </is>
      </c>
      <c r="G154" t="n">
        <v>1.3</v>
      </c>
      <c r="H154" t="n">
        <v>2</v>
      </c>
      <c r="I154" t="n">
        <v>0</v>
      </c>
      <c r="J154" t="n">
        <v>1</v>
      </c>
      <c r="K154" t="n">
        <v>0</v>
      </c>
      <c r="L154" t="n">
        <v>0</v>
      </c>
      <c r="M154" t="n">
        <v>0</v>
      </c>
      <c r="N154" t="n">
        <v>0</v>
      </c>
      <c r="O154" t="n">
        <v>1</v>
      </c>
      <c r="P154" t="n">
        <v>0</v>
      </c>
      <c r="Q154" t="n">
        <v>2</v>
      </c>
      <c r="R154" s="2" t="inlineStr">
        <is>
          <t>Grönsångare
Blåsippa</t>
        </is>
      </c>
      <c r="S154">
        <f>HYPERLINK("https://klasma.github.io/Logging_0883/artfynd/A 14126-2025 artfynd.xlsx", "A 14126-2025")</f>
        <v/>
      </c>
      <c r="T154">
        <f>HYPERLINK("https://klasma.github.io/Logging_0883/kartor/A 14126-2025 karta.png", "A 14126-2025")</f>
        <v/>
      </c>
      <c r="V154">
        <f>HYPERLINK("https://klasma.github.io/Logging_0883/klagomål/A 14126-2025 FSC-klagomål.docx", "A 14126-2025")</f>
        <v/>
      </c>
      <c r="W154">
        <f>HYPERLINK("https://klasma.github.io/Logging_0883/klagomålsmail/A 14126-2025 FSC-klagomål mail.docx", "A 14126-2025")</f>
        <v/>
      </c>
      <c r="X154">
        <f>HYPERLINK("https://klasma.github.io/Logging_0883/tillsyn/A 14126-2025 tillsynsbegäran.docx", "A 14126-2025")</f>
        <v/>
      </c>
      <c r="Y154">
        <f>HYPERLINK("https://klasma.github.io/Logging_0883/tillsynsmail/A 14126-2025 tillsynsbegäran mail.docx", "A 14126-2025")</f>
        <v/>
      </c>
      <c r="Z154">
        <f>HYPERLINK("https://klasma.github.io/Logging_0883/fåglar/A 14126-2025 prioriterade fågelarter.docx", "A 14126-2025")</f>
        <v/>
      </c>
    </row>
    <row r="155" ht="15" customHeight="1">
      <c r="A155" t="inlineStr">
        <is>
          <t>A 53129-2025</t>
        </is>
      </c>
      <c r="B155" s="1" t="n">
        <v>45958.46118055555</v>
      </c>
      <c r="C155" s="1" t="n">
        <v>46081</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14301-2023</t>
        </is>
      </c>
      <c r="B156" s="1" t="n">
        <v>45011</v>
      </c>
      <c r="C156" s="1" t="n">
        <v>46081</v>
      </c>
      <c r="D156" t="inlineStr">
        <is>
          <t>KALMAR LÄN</t>
        </is>
      </c>
      <c r="E156" t="inlineStr">
        <is>
          <t>VÄSTERVIK</t>
        </is>
      </c>
      <c r="G156" t="n">
        <v>4.4</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14301-2023 artfynd.xlsx", "A 14301-2023")</f>
        <v/>
      </c>
      <c r="T156">
        <f>HYPERLINK("https://klasma.github.io/Logging_0883/kartor/A 14301-2023 karta.png", "A 14301-2023")</f>
        <v/>
      </c>
      <c r="U156">
        <f>HYPERLINK("https://klasma.github.io/Logging_0883/knärot/A 14301-2023 karta knärot.png", "A 14301-2023")</f>
        <v/>
      </c>
      <c r="V156">
        <f>HYPERLINK("https://klasma.github.io/Logging_0883/klagomål/A 14301-2023 FSC-klagomål.docx", "A 14301-2023")</f>
        <v/>
      </c>
      <c r="W156">
        <f>HYPERLINK("https://klasma.github.io/Logging_0883/klagomålsmail/A 14301-2023 FSC-klagomål mail.docx", "A 14301-2023")</f>
        <v/>
      </c>
      <c r="X156">
        <f>HYPERLINK("https://klasma.github.io/Logging_0883/tillsyn/A 14301-2023 tillsynsbegäran.docx", "A 14301-2023")</f>
        <v/>
      </c>
      <c r="Y156">
        <f>HYPERLINK("https://klasma.github.io/Logging_0883/tillsynsmail/A 14301-2023 tillsynsbegäran mail.docx", "A 14301-2023")</f>
        <v/>
      </c>
    </row>
    <row r="157" ht="15" customHeight="1">
      <c r="A157" t="inlineStr">
        <is>
          <t>A 8618-2024</t>
        </is>
      </c>
      <c r="B157" s="1" t="n">
        <v>45355.73453703704</v>
      </c>
      <c r="C157" s="1" t="n">
        <v>46081</v>
      </c>
      <c r="D157" t="inlineStr">
        <is>
          <t>KALMAR LÄN</t>
        </is>
      </c>
      <c r="E157" t="inlineStr">
        <is>
          <t>VÄSTERVIK</t>
        </is>
      </c>
      <c r="G157" t="n">
        <v>4.3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8618-2024 artfynd.xlsx", "A 8618-2024")</f>
        <v/>
      </c>
      <c r="T157">
        <f>HYPERLINK("https://klasma.github.io/Logging_0883/kartor/A 8618-2024 karta.png", "A 8618-2024")</f>
        <v/>
      </c>
      <c r="U157">
        <f>HYPERLINK("https://klasma.github.io/Logging_0883/knärot/A 8618-2024 karta knärot.png", "A 8618-2024")</f>
        <v/>
      </c>
      <c r="V157">
        <f>HYPERLINK("https://klasma.github.io/Logging_0883/klagomål/A 8618-2024 FSC-klagomål.docx", "A 8618-2024")</f>
        <v/>
      </c>
      <c r="W157">
        <f>HYPERLINK("https://klasma.github.io/Logging_0883/klagomålsmail/A 8618-2024 FSC-klagomål mail.docx", "A 8618-2024")</f>
        <v/>
      </c>
      <c r="X157">
        <f>HYPERLINK("https://klasma.github.io/Logging_0883/tillsyn/A 8618-2024 tillsynsbegäran.docx", "A 8618-2024")</f>
        <v/>
      </c>
      <c r="Y157">
        <f>HYPERLINK("https://klasma.github.io/Logging_0883/tillsynsmail/A 8618-2024 tillsynsbegäran mail.docx", "A 8618-2024")</f>
        <v/>
      </c>
    </row>
    <row r="158" ht="15" customHeight="1">
      <c r="A158" t="inlineStr">
        <is>
          <t>A 32649-2023</t>
        </is>
      </c>
      <c r="B158" s="1" t="n">
        <v>45121</v>
      </c>
      <c r="C158" s="1" t="n">
        <v>46081</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Blåmossa</t>
        </is>
      </c>
      <c r="S158">
        <f>HYPERLINK("https://klasma.github.io/Logging_0883/artfynd/A 32649-2023 artfynd.xlsx", "A 32649-2023")</f>
        <v/>
      </c>
      <c r="T158">
        <f>HYPERLINK("https://klasma.github.io/Logging_0883/kartor/A 32649-2023 karta.png", "A 32649-2023")</f>
        <v/>
      </c>
      <c r="U158">
        <f>HYPERLINK("https://klasma.github.io/Logging_0883/knärot/A 32649-2023 karta knärot.png", "A 32649-2023")</f>
        <v/>
      </c>
      <c r="V158">
        <f>HYPERLINK("https://klasma.github.io/Logging_0883/klagomål/A 32649-2023 FSC-klagomål.docx", "A 32649-2023")</f>
        <v/>
      </c>
      <c r="W158">
        <f>HYPERLINK("https://klasma.github.io/Logging_0883/klagomålsmail/A 32649-2023 FSC-klagomål mail.docx", "A 32649-2023")</f>
        <v/>
      </c>
      <c r="X158">
        <f>HYPERLINK("https://klasma.github.io/Logging_0883/tillsyn/A 32649-2023 tillsynsbegäran.docx", "A 32649-2023")</f>
        <v/>
      </c>
      <c r="Y158">
        <f>HYPERLINK("https://klasma.github.io/Logging_0883/tillsynsmail/A 32649-2023 tillsynsbegäran mail.docx", "A 32649-2023")</f>
        <v/>
      </c>
    </row>
    <row r="159" ht="15" customHeight="1">
      <c r="A159" t="inlineStr">
        <is>
          <t>A 55142-2025</t>
        </is>
      </c>
      <c r="B159" s="1" t="n">
        <v>45968</v>
      </c>
      <c r="C159" s="1" t="n">
        <v>46081</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55086-2025</t>
        </is>
      </c>
      <c r="B160" s="1" t="n">
        <v>45968.33027777778</v>
      </c>
      <c r="C160" s="1" t="n">
        <v>46081</v>
      </c>
      <c r="D160" t="inlineStr">
        <is>
          <t>KALMAR LÄN</t>
        </is>
      </c>
      <c r="E160" t="inlineStr">
        <is>
          <t>VÄSTERVIK</t>
        </is>
      </c>
      <c r="G160" t="n">
        <v>0.7</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55086-2025 artfynd.xlsx", "A 55086-2025")</f>
        <v/>
      </c>
      <c r="T160">
        <f>HYPERLINK("https://klasma.github.io/Logging_0883/kartor/A 55086-2025 karta.png", "A 55086-2025")</f>
        <v/>
      </c>
      <c r="V160">
        <f>HYPERLINK("https://klasma.github.io/Logging_0883/klagomål/A 55086-2025 FSC-klagomål.docx", "A 55086-2025")</f>
        <v/>
      </c>
      <c r="W160">
        <f>HYPERLINK("https://klasma.github.io/Logging_0883/klagomålsmail/A 55086-2025 FSC-klagomål mail.docx", "A 55086-2025")</f>
        <v/>
      </c>
      <c r="X160">
        <f>HYPERLINK("https://klasma.github.io/Logging_0883/tillsyn/A 55086-2025 tillsynsbegäran.docx", "A 55086-2025")</f>
        <v/>
      </c>
      <c r="Y160">
        <f>HYPERLINK("https://klasma.github.io/Logging_0883/tillsynsmail/A 55086-2025 tillsynsbegäran mail.docx", "A 55086-2025")</f>
        <v/>
      </c>
      <c r="Z160">
        <f>HYPERLINK("https://klasma.github.io/Logging_0883/fåglar/A 55086-2025 prioriterade fågelarter.docx", "A 55086-2025")</f>
        <v/>
      </c>
    </row>
    <row r="161" ht="15" customHeight="1">
      <c r="A161" t="inlineStr">
        <is>
          <t>A 51833-2021</t>
        </is>
      </c>
      <c r="B161" s="1" t="n">
        <v>44462</v>
      </c>
      <c r="C161" s="1" t="n">
        <v>46081</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57977-2025</t>
        </is>
      </c>
      <c r="B162" s="1" t="n">
        <v>45982.39497685185</v>
      </c>
      <c r="C162" s="1" t="n">
        <v>46081</v>
      </c>
      <c r="D162" t="inlineStr">
        <is>
          <t>KALMAR LÄN</t>
        </is>
      </c>
      <c r="E162" t="inlineStr">
        <is>
          <t>VÄSTERVIK</t>
        </is>
      </c>
      <c r="F162" t="inlineStr">
        <is>
          <t>Holmen skog AB</t>
        </is>
      </c>
      <c r="G162" t="n">
        <v>6.5</v>
      </c>
      <c r="H162" t="n">
        <v>0</v>
      </c>
      <c r="I162" t="n">
        <v>1</v>
      </c>
      <c r="J162" t="n">
        <v>1</v>
      </c>
      <c r="K162" t="n">
        <v>0</v>
      </c>
      <c r="L162" t="n">
        <v>0</v>
      </c>
      <c r="M162" t="n">
        <v>0</v>
      </c>
      <c r="N162" t="n">
        <v>0</v>
      </c>
      <c r="O162" t="n">
        <v>1</v>
      </c>
      <c r="P162" t="n">
        <v>0</v>
      </c>
      <c r="Q162" t="n">
        <v>2</v>
      </c>
      <c r="R162" s="2" t="inlineStr">
        <is>
          <t>Orange taggsvamp
Blåmossa</t>
        </is>
      </c>
      <c r="S162">
        <f>HYPERLINK("https://klasma.github.io/Logging_0883/artfynd/A 57977-2025 artfynd.xlsx", "A 57977-2025")</f>
        <v/>
      </c>
      <c r="T162">
        <f>HYPERLINK("https://klasma.github.io/Logging_0883/kartor/A 57977-2025 karta.png", "A 57977-2025")</f>
        <v/>
      </c>
      <c r="V162">
        <f>HYPERLINK("https://klasma.github.io/Logging_0883/klagomål/A 57977-2025 FSC-klagomål.docx", "A 57977-2025")</f>
        <v/>
      </c>
      <c r="W162">
        <f>HYPERLINK("https://klasma.github.io/Logging_0883/klagomålsmail/A 57977-2025 FSC-klagomål mail.docx", "A 57977-2025")</f>
        <v/>
      </c>
      <c r="X162">
        <f>HYPERLINK("https://klasma.github.io/Logging_0883/tillsyn/A 57977-2025 tillsynsbegäran.docx", "A 57977-2025")</f>
        <v/>
      </c>
      <c r="Y162">
        <f>HYPERLINK("https://klasma.github.io/Logging_0883/tillsynsmail/A 57977-2025 tillsynsbegäran mail.docx", "A 57977-2025")</f>
        <v/>
      </c>
    </row>
    <row r="163" ht="15" customHeight="1">
      <c r="A163" t="inlineStr">
        <is>
          <t>A 58348-2025</t>
        </is>
      </c>
      <c r="B163" s="1" t="n">
        <v>45985.50482638889</v>
      </c>
      <c r="C163" s="1" t="n">
        <v>46081</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Leptoporus erubescens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46157-2025</t>
        </is>
      </c>
      <c r="B164" s="1" t="n">
        <v>45924.63246527778</v>
      </c>
      <c r="C164" s="1" t="n">
        <v>46081</v>
      </c>
      <c r="D164" t="inlineStr">
        <is>
          <t>KALMAR LÄN</t>
        </is>
      </c>
      <c r="E164" t="inlineStr">
        <is>
          <t>VÄSTERVIK</t>
        </is>
      </c>
      <c r="G164" t="n">
        <v>3.1</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46157-2025 artfynd.xlsx", "A 46157-2025")</f>
        <v/>
      </c>
      <c r="T164">
        <f>HYPERLINK("https://klasma.github.io/Logging_0883/kartor/A 46157-2025 karta.png", "A 46157-2025")</f>
        <v/>
      </c>
      <c r="V164">
        <f>HYPERLINK("https://klasma.github.io/Logging_0883/klagomål/A 46157-2025 FSC-klagomål.docx", "A 46157-2025")</f>
        <v/>
      </c>
      <c r="W164">
        <f>HYPERLINK("https://klasma.github.io/Logging_0883/klagomålsmail/A 46157-2025 FSC-klagomål mail.docx", "A 46157-2025")</f>
        <v/>
      </c>
      <c r="X164">
        <f>HYPERLINK("https://klasma.github.io/Logging_0883/tillsyn/A 46157-2025 tillsynsbegäran.docx", "A 46157-2025")</f>
        <v/>
      </c>
      <c r="Y164">
        <f>HYPERLINK("https://klasma.github.io/Logging_0883/tillsynsmail/A 46157-2025 tillsynsbegäran mail.docx", "A 46157-2025")</f>
        <v/>
      </c>
      <c r="Z164">
        <f>HYPERLINK("https://klasma.github.io/Logging_0883/fåglar/A 46157-2025 prioriterade fågelarter.docx", "A 46157-2025")</f>
        <v/>
      </c>
    </row>
    <row r="165" ht="15" customHeight="1">
      <c r="A165" t="inlineStr">
        <is>
          <t>A 72945-2021</t>
        </is>
      </c>
      <c r="B165" s="1" t="n">
        <v>44547.90868055556</v>
      </c>
      <c r="C165" s="1" t="n">
        <v>46081</v>
      </c>
      <c r="D165" t="inlineStr">
        <is>
          <t>KALMAR LÄN</t>
        </is>
      </c>
      <c r="E165" t="inlineStr">
        <is>
          <t>VÄSTERVIK</t>
        </is>
      </c>
      <c r="G165" t="n">
        <v>1.6</v>
      </c>
      <c r="H165" t="n">
        <v>0</v>
      </c>
      <c r="I165" t="n">
        <v>1</v>
      </c>
      <c r="J165" t="n">
        <v>1</v>
      </c>
      <c r="K165" t="n">
        <v>0</v>
      </c>
      <c r="L165" t="n">
        <v>0</v>
      </c>
      <c r="M165" t="n">
        <v>0</v>
      </c>
      <c r="N165" t="n">
        <v>0</v>
      </c>
      <c r="O165" t="n">
        <v>1</v>
      </c>
      <c r="P165" t="n">
        <v>0</v>
      </c>
      <c r="Q165" t="n">
        <v>2</v>
      </c>
      <c r="R165" s="2" t="inlineStr">
        <is>
          <t>Veckticka
Rävticka</t>
        </is>
      </c>
      <c r="S165">
        <f>HYPERLINK("https://klasma.github.io/Logging_0883/artfynd/A 72945-2021 artfynd.xlsx", "A 72945-2021")</f>
        <v/>
      </c>
      <c r="T165">
        <f>HYPERLINK("https://klasma.github.io/Logging_0883/kartor/A 72945-2021 karta.png", "A 72945-2021")</f>
        <v/>
      </c>
      <c r="V165">
        <f>HYPERLINK("https://klasma.github.io/Logging_0883/klagomål/A 72945-2021 FSC-klagomål.docx", "A 72945-2021")</f>
        <v/>
      </c>
      <c r="W165">
        <f>HYPERLINK("https://klasma.github.io/Logging_0883/klagomålsmail/A 72945-2021 FSC-klagomål mail.docx", "A 72945-2021")</f>
        <v/>
      </c>
      <c r="X165">
        <f>HYPERLINK("https://klasma.github.io/Logging_0883/tillsyn/A 72945-2021 tillsynsbegäran.docx", "A 72945-2021")</f>
        <v/>
      </c>
      <c r="Y165">
        <f>HYPERLINK("https://klasma.github.io/Logging_0883/tillsynsmail/A 72945-2021 tillsynsbegäran mail.docx", "A 72945-2021")</f>
        <v/>
      </c>
    </row>
    <row r="166" ht="15" customHeight="1">
      <c r="A166" t="inlineStr">
        <is>
          <t>A 40331-2024</t>
        </is>
      </c>
      <c r="B166" s="1" t="n">
        <v>45555.31039351852</v>
      </c>
      <c r="C166" s="1" t="n">
        <v>46081</v>
      </c>
      <c r="D166" t="inlineStr">
        <is>
          <t>KALMAR LÄN</t>
        </is>
      </c>
      <c r="E166" t="inlineStr">
        <is>
          <t>VÄSTERVIK</t>
        </is>
      </c>
      <c r="G166" t="n">
        <v>1.5</v>
      </c>
      <c r="H166" t="n">
        <v>1</v>
      </c>
      <c r="I166" t="n">
        <v>1</v>
      </c>
      <c r="J166" t="n">
        <v>0</v>
      </c>
      <c r="K166" t="n">
        <v>0</v>
      </c>
      <c r="L166" t="n">
        <v>0</v>
      </c>
      <c r="M166" t="n">
        <v>0</v>
      </c>
      <c r="N166" t="n">
        <v>0</v>
      </c>
      <c r="O166" t="n">
        <v>0</v>
      </c>
      <c r="P166" t="n">
        <v>0</v>
      </c>
      <c r="Q166" t="n">
        <v>2</v>
      </c>
      <c r="R166" s="2" t="inlineStr">
        <is>
          <t>Murgröna
Blåsippa</t>
        </is>
      </c>
      <c r="S166">
        <f>HYPERLINK("https://klasma.github.io/Logging_0883/artfynd/A 40331-2024 artfynd.xlsx", "A 40331-2024")</f>
        <v/>
      </c>
      <c r="T166">
        <f>HYPERLINK("https://klasma.github.io/Logging_0883/kartor/A 40331-2024 karta.png", "A 40331-2024")</f>
        <v/>
      </c>
      <c r="V166">
        <f>HYPERLINK("https://klasma.github.io/Logging_0883/klagomål/A 40331-2024 FSC-klagomål.docx", "A 40331-2024")</f>
        <v/>
      </c>
      <c r="W166">
        <f>HYPERLINK("https://klasma.github.io/Logging_0883/klagomålsmail/A 40331-2024 FSC-klagomål mail.docx", "A 40331-2024")</f>
        <v/>
      </c>
      <c r="X166">
        <f>HYPERLINK("https://klasma.github.io/Logging_0883/tillsyn/A 40331-2024 tillsynsbegäran.docx", "A 40331-2024")</f>
        <v/>
      </c>
      <c r="Y166">
        <f>HYPERLINK("https://klasma.github.io/Logging_0883/tillsynsmail/A 40331-2024 tillsynsbegäran mail.docx", "A 40331-2024")</f>
        <v/>
      </c>
    </row>
    <row r="167" ht="15" customHeight="1">
      <c r="A167" t="inlineStr">
        <is>
          <t>A 59852-2025</t>
        </is>
      </c>
      <c r="B167" s="1" t="n">
        <v>45992.71744212963</v>
      </c>
      <c r="C167" s="1" t="n">
        <v>46081</v>
      </c>
      <c r="D167" t="inlineStr">
        <is>
          <t>KALMAR LÄN</t>
        </is>
      </c>
      <c r="E167" t="inlineStr">
        <is>
          <t>VÄSTERVIK</t>
        </is>
      </c>
      <c r="F167" t="inlineStr">
        <is>
          <t>Holmen skog AB</t>
        </is>
      </c>
      <c r="G167" t="n">
        <v>3.3</v>
      </c>
      <c r="H167" t="n">
        <v>2</v>
      </c>
      <c r="I167" t="n">
        <v>0</v>
      </c>
      <c r="J167" t="n">
        <v>1</v>
      </c>
      <c r="K167" t="n">
        <v>0</v>
      </c>
      <c r="L167" t="n">
        <v>0</v>
      </c>
      <c r="M167" t="n">
        <v>0</v>
      </c>
      <c r="N167" t="n">
        <v>0</v>
      </c>
      <c r="O167" t="n">
        <v>1</v>
      </c>
      <c r="P167" t="n">
        <v>0</v>
      </c>
      <c r="Q167" t="n">
        <v>2</v>
      </c>
      <c r="R167" s="2" t="inlineStr">
        <is>
          <t>Spillkråka
Gröngöling</t>
        </is>
      </c>
      <c r="S167">
        <f>HYPERLINK("https://klasma.github.io/Logging_0883/artfynd/A 59852-2025 artfynd.xlsx", "A 59852-2025")</f>
        <v/>
      </c>
      <c r="T167">
        <f>HYPERLINK("https://klasma.github.io/Logging_0883/kartor/A 59852-2025 karta.png", "A 59852-2025")</f>
        <v/>
      </c>
      <c r="V167">
        <f>HYPERLINK("https://klasma.github.io/Logging_0883/klagomål/A 59852-2025 FSC-klagomål.docx", "A 59852-2025")</f>
        <v/>
      </c>
      <c r="W167">
        <f>HYPERLINK("https://klasma.github.io/Logging_0883/klagomålsmail/A 59852-2025 FSC-klagomål mail.docx", "A 59852-2025")</f>
        <v/>
      </c>
      <c r="X167">
        <f>HYPERLINK("https://klasma.github.io/Logging_0883/tillsyn/A 59852-2025 tillsynsbegäran.docx", "A 59852-2025")</f>
        <v/>
      </c>
      <c r="Y167">
        <f>HYPERLINK("https://klasma.github.io/Logging_0883/tillsynsmail/A 59852-2025 tillsynsbegäran mail.docx", "A 59852-2025")</f>
        <v/>
      </c>
      <c r="Z167">
        <f>HYPERLINK("https://klasma.github.io/Logging_0883/fåglar/A 59852-2025 prioriterade fågelarter.docx", "A 59852-2025")</f>
        <v/>
      </c>
    </row>
    <row r="168" ht="15" customHeight="1">
      <c r="A168" t="inlineStr">
        <is>
          <t>A 59654-2025</t>
        </is>
      </c>
      <c r="B168" s="1" t="n">
        <v>45992.43790509259</v>
      </c>
      <c r="C168" s="1" t="n">
        <v>46081</v>
      </c>
      <c r="D168" t="inlineStr">
        <is>
          <t>KALMAR LÄN</t>
        </is>
      </c>
      <c r="E168" t="inlineStr">
        <is>
          <t>VÄSTERVIK</t>
        </is>
      </c>
      <c r="G168" t="n">
        <v>3.3</v>
      </c>
      <c r="H168" t="n">
        <v>1</v>
      </c>
      <c r="I168" t="n">
        <v>0</v>
      </c>
      <c r="J168" t="n">
        <v>2</v>
      </c>
      <c r="K168" t="n">
        <v>0</v>
      </c>
      <c r="L168" t="n">
        <v>0</v>
      </c>
      <c r="M168" t="n">
        <v>0</v>
      </c>
      <c r="N168" t="n">
        <v>0</v>
      </c>
      <c r="O168" t="n">
        <v>2</v>
      </c>
      <c r="P168" t="n">
        <v>0</v>
      </c>
      <c r="Q168" t="n">
        <v>2</v>
      </c>
      <c r="R168" s="2" t="inlineStr">
        <is>
          <t>Rutskinn
Spillkråka</t>
        </is>
      </c>
      <c r="S168">
        <f>HYPERLINK("https://klasma.github.io/Logging_0883/artfynd/A 59654-2025 artfynd.xlsx", "A 59654-2025")</f>
        <v/>
      </c>
      <c r="T168">
        <f>HYPERLINK("https://klasma.github.io/Logging_0883/kartor/A 59654-2025 karta.png", "A 59654-2025")</f>
        <v/>
      </c>
      <c r="V168">
        <f>HYPERLINK("https://klasma.github.io/Logging_0883/klagomål/A 59654-2025 FSC-klagomål.docx", "A 59654-2025")</f>
        <v/>
      </c>
      <c r="W168">
        <f>HYPERLINK("https://klasma.github.io/Logging_0883/klagomålsmail/A 59654-2025 FSC-klagomål mail.docx", "A 59654-2025")</f>
        <v/>
      </c>
      <c r="X168">
        <f>HYPERLINK("https://klasma.github.io/Logging_0883/tillsyn/A 59654-2025 tillsynsbegäran.docx", "A 59654-2025")</f>
        <v/>
      </c>
      <c r="Y168">
        <f>HYPERLINK("https://klasma.github.io/Logging_0883/tillsynsmail/A 59654-2025 tillsynsbegäran mail.docx", "A 59654-2025")</f>
        <v/>
      </c>
      <c r="Z168">
        <f>HYPERLINK("https://klasma.github.io/Logging_0883/fåglar/A 59654-2025 prioriterade fågelarter.docx", "A 59654-2025")</f>
        <v/>
      </c>
    </row>
    <row r="169" ht="15" customHeight="1">
      <c r="A169" t="inlineStr">
        <is>
          <t>A 25439-2021</t>
        </is>
      </c>
      <c r="B169" s="1" t="n">
        <v>44342</v>
      </c>
      <c r="C169" s="1" t="n">
        <v>46081</v>
      </c>
      <c r="D169" t="inlineStr">
        <is>
          <t>KALMAR LÄN</t>
        </is>
      </c>
      <c r="E169" t="inlineStr">
        <is>
          <t>VÄSTERVIK</t>
        </is>
      </c>
      <c r="F169" t="inlineStr">
        <is>
          <t>Holmen skog AB</t>
        </is>
      </c>
      <c r="G169" t="n">
        <v>2.4</v>
      </c>
      <c r="H169" t="n">
        <v>2</v>
      </c>
      <c r="I169" t="n">
        <v>1</v>
      </c>
      <c r="J169" t="n">
        <v>0</v>
      </c>
      <c r="K169" t="n">
        <v>0</v>
      </c>
      <c r="L169" t="n">
        <v>0</v>
      </c>
      <c r="M169" t="n">
        <v>0</v>
      </c>
      <c r="N169" t="n">
        <v>0</v>
      </c>
      <c r="O169" t="n">
        <v>0</v>
      </c>
      <c r="P169" t="n">
        <v>0</v>
      </c>
      <c r="Q169" t="n">
        <v>2</v>
      </c>
      <c r="R169" s="2" t="inlineStr">
        <is>
          <t>Grön sköldmossa
Röd glada</t>
        </is>
      </c>
      <c r="S169">
        <f>HYPERLINK("https://klasma.github.io/Logging_0883/artfynd/A 25439-2021 artfynd.xlsx", "A 25439-2021")</f>
        <v/>
      </c>
      <c r="T169">
        <f>HYPERLINK("https://klasma.github.io/Logging_0883/kartor/A 25439-2021 karta.png", "A 25439-2021")</f>
        <v/>
      </c>
      <c r="V169">
        <f>HYPERLINK("https://klasma.github.io/Logging_0883/klagomål/A 25439-2021 FSC-klagomål.docx", "A 25439-2021")</f>
        <v/>
      </c>
      <c r="W169">
        <f>HYPERLINK("https://klasma.github.io/Logging_0883/klagomålsmail/A 25439-2021 FSC-klagomål mail.docx", "A 25439-2021")</f>
        <v/>
      </c>
      <c r="X169">
        <f>HYPERLINK("https://klasma.github.io/Logging_0883/tillsyn/A 25439-2021 tillsynsbegäran.docx", "A 25439-2021")</f>
        <v/>
      </c>
      <c r="Y169">
        <f>HYPERLINK("https://klasma.github.io/Logging_0883/tillsynsmail/A 25439-2021 tillsynsbegäran mail.docx", "A 25439-2021")</f>
        <v/>
      </c>
      <c r="Z169">
        <f>HYPERLINK("https://klasma.github.io/Logging_0883/fåglar/A 25439-2021 prioriterade fågelarter.docx", "A 25439-2021")</f>
        <v/>
      </c>
    </row>
    <row r="170" ht="15" customHeight="1">
      <c r="A170" t="inlineStr">
        <is>
          <t>A 61229-2025</t>
        </is>
      </c>
      <c r="B170" s="1" t="n">
        <v>46000.63108796296</v>
      </c>
      <c r="C170" s="1" t="n">
        <v>46081</v>
      </c>
      <c r="D170" t="inlineStr">
        <is>
          <t>KALMAR LÄN</t>
        </is>
      </c>
      <c r="E170" t="inlineStr">
        <is>
          <t>VÄSTERVIK</t>
        </is>
      </c>
      <c r="G170" t="n">
        <v>1.3</v>
      </c>
      <c r="H170" t="n">
        <v>1</v>
      </c>
      <c r="I170" t="n">
        <v>1</v>
      </c>
      <c r="J170" t="n">
        <v>1</v>
      </c>
      <c r="K170" t="n">
        <v>0</v>
      </c>
      <c r="L170" t="n">
        <v>0</v>
      </c>
      <c r="M170" t="n">
        <v>0</v>
      </c>
      <c r="N170" t="n">
        <v>0</v>
      </c>
      <c r="O170" t="n">
        <v>1</v>
      </c>
      <c r="P170" t="n">
        <v>0</v>
      </c>
      <c r="Q170" t="n">
        <v>2</v>
      </c>
      <c r="R170" s="2" t="inlineStr">
        <is>
          <t>Spillkråka
Dropptaggsvamp</t>
        </is>
      </c>
      <c r="S170">
        <f>HYPERLINK("https://klasma.github.io/Logging_0883/artfynd/A 61229-2025 artfynd.xlsx", "A 61229-2025")</f>
        <v/>
      </c>
      <c r="T170">
        <f>HYPERLINK("https://klasma.github.io/Logging_0883/kartor/A 61229-2025 karta.png", "A 61229-2025")</f>
        <v/>
      </c>
      <c r="V170">
        <f>HYPERLINK("https://klasma.github.io/Logging_0883/klagomål/A 61229-2025 FSC-klagomål.docx", "A 61229-2025")</f>
        <v/>
      </c>
      <c r="W170">
        <f>HYPERLINK("https://klasma.github.io/Logging_0883/klagomålsmail/A 61229-2025 FSC-klagomål mail.docx", "A 61229-2025")</f>
        <v/>
      </c>
      <c r="X170">
        <f>HYPERLINK("https://klasma.github.io/Logging_0883/tillsyn/A 61229-2025 tillsynsbegäran.docx", "A 61229-2025")</f>
        <v/>
      </c>
      <c r="Y170">
        <f>HYPERLINK("https://klasma.github.io/Logging_0883/tillsynsmail/A 61229-2025 tillsynsbegäran mail.docx", "A 61229-2025")</f>
        <v/>
      </c>
      <c r="Z170">
        <f>HYPERLINK("https://klasma.github.io/Logging_0883/fåglar/A 61229-2025 prioriterade fågelarter.docx", "A 61229-2025")</f>
        <v/>
      </c>
    </row>
    <row r="171" ht="15" customHeight="1">
      <c r="A171" t="inlineStr">
        <is>
          <t>A 958-2025</t>
        </is>
      </c>
      <c r="B171" s="1" t="n">
        <v>45666</v>
      </c>
      <c r="C171" s="1" t="n">
        <v>46081</v>
      </c>
      <c r="D171" t="inlineStr">
        <is>
          <t>KALMAR LÄN</t>
        </is>
      </c>
      <c r="E171" t="inlineStr">
        <is>
          <t>VÄSTERVIK</t>
        </is>
      </c>
      <c r="G171" t="n">
        <v>2.8</v>
      </c>
      <c r="H171" t="n">
        <v>1</v>
      </c>
      <c r="I171" t="n">
        <v>0</v>
      </c>
      <c r="J171" t="n">
        <v>2</v>
      </c>
      <c r="K171" t="n">
        <v>0</v>
      </c>
      <c r="L171" t="n">
        <v>0</v>
      </c>
      <c r="M171" t="n">
        <v>0</v>
      </c>
      <c r="N171" t="n">
        <v>0</v>
      </c>
      <c r="O171" t="n">
        <v>2</v>
      </c>
      <c r="P171" t="n">
        <v>0</v>
      </c>
      <c r="Q171" t="n">
        <v>2</v>
      </c>
      <c r="R171" s="2" t="inlineStr">
        <is>
          <t>Orange taggsvamp
Spillkråka</t>
        </is>
      </c>
      <c r="S171">
        <f>HYPERLINK("https://klasma.github.io/Logging_0883/artfynd/A 958-2025 artfynd.xlsx", "A 958-2025")</f>
        <v/>
      </c>
      <c r="T171">
        <f>HYPERLINK("https://klasma.github.io/Logging_0883/kartor/A 958-2025 karta.png", "A 958-2025")</f>
        <v/>
      </c>
      <c r="V171">
        <f>HYPERLINK("https://klasma.github.io/Logging_0883/klagomål/A 958-2025 FSC-klagomål.docx", "A 958-2025")</f>
        <v/>
      </c>
      <c r="W171">
        <f>HYPERLINK("https://klasma.github.io/Logging_0883/klagomålsmail/A 958-2025 FSC-klagomål mail.docx", "A 958-2025")</f>
        <v/>
      </c>
      <c r="X171">
        <f>HYPERLINK("https://klasma.github.io/Logging_0883/tillsyn/A 958-2025 tillsynsbegäran.docx", "A 958-2025")</f>
        <v/>
      </c>
      <c r="Y171">
        <f>HYPERLINK("https://klasma.github.io/Logging_0883/tillsynsmail/A 958-2025 tillsynsbegäran mail.docx", "A 958-2025")</f>
        <v/>
      </c>
      <c r="Z171">
        <f>HYPERLINK("https://klasma.github.io/Logging_0883/fåglar/A 958-2025 prioriterade fågelarter.docx", "A 958-2025")</f>
        <v/>
      </c>
    </row>
    <row r="172" ht="15" customHeight="1">
      <c r="A172" t="inlineStr">
        <is>
          <t>A 4306-2026</t>
        </is>
      </c>
      <c r="B172" s="1" t="n">
        <v>46045.43553240741</v>
      </c>
      <c r="C172" s="1" t="n">
        <v>46081</v>
      </c>
      <c r="D172" t="inlineStr">
        <is>
          <t>KALMAR LÄN</t>
        </is>
      </c>
      <c r="E172" t="inlineStr">
        <is>
          <t>VÄSTERVIK</t>
        </is>
      </c>
      <c r="F172" t="inlineStr">
        <is>
          <t>Övriga Aktiebolag</t>
        </is>
      </c>
      <c r="G172" t="n">
        <v>2.9</v>
      </c>
      <c r="H172" t="n">
        <v>2</v>
      </c>
      <c r="I172" t="n">
        <v>0</v>
      </c>
      <c r="J172" t="n">
        <v>1</v>
      </c>
      <c r="K172" t="n">
        <v>0</v>
      </c>
      <c r="L172" t="n">
        <v>0</v>
      </c>
      <c r="M172" t="n">
        <v>0</v>
      </c>
      <c r="N172" t="n">
        <v>0</v>
      </c>
      <c r="O172" t="n">
        <v>1</v>
      </c>
      <c r="P172" t="n">
        <v>0</v>
      </c>
      <c r="Q172" t="n">
        <v>2</v>
      </c>
      <c r="R172" s="2" t="inlineStr">
        <is>
          <t>Talltita
Kungsfågel</t>
        </is>
      </c>
      <c r="S172">
        <f>HYPERLINK("https://klasma.github.io/Logging_0883/artfynd/A 4306-2026 artfynd.xlsx", "A 4306-2026")</f>
        <v/>
      </c>
      <c r="T172">
        <f>HYPERLINK("https://klasma.github.io/Logging_0883/kartor/A 4306-2026 karta.png", "A 4306-2026")</f>
        <v/>
      </c>
      <c r="V172">
        <f>HYPERLINK("https://klasma.github.io/Logging_0883/klagomål/A 4306-2026 FSC-klagomål.docx", "A 4306-2026")</f>
        <v/>
      </c>
      <c r="W172">
        <f>HYPERLINK("https://klasma.github.io/Logging_0883/klagomålsmail/A 4306-2026 FSC-klagomål mail.docx", "A 4306-2026")</f>
        <v/>
      </c>
      <c r="X172">
        <f>HYPERLINK("https://klasma.github.io/Logging_0883/tillsyn/A 4306-2026 tillsynsbegäran.docx", "A 4306-2026")</f>
        <v/>
      </c>
      <c r="Y172">
        <f>HYPERLINK("https://klasma.github.io/Logging_0883/tillsynsmail/A 4306-2026 tillsynsbegäran mail.docx", "A 4306-2026")</f>
        <v/>
      </c>
      <c r="Z172">
        <f>HYPERLINK("https://klasma.github.io/Logging_0883/fåglar/A 4306-2026 prioriterade fågelarter.docx", "A 4306-2026")</f>
        <v/>
      </c>
    </row>
    <row r="173" ht="15" customHeight="1">
      <c r="A173" t="inlineStr">
        <is>
          <t>A 41271-2025</t>
        </is>
      </c>
      <c r="B173" s="1" t="n">
        <v>45898</v>
      </c>
      <c r="C173" s="1" t="n">
        <v>46081</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63387-2025</t>
        </is>
      </c>
      <c r="B174" s="1" t="n">
        <v>46011.668125</v>
      </c>
      <c r="C174" s="1" t="n">
        <v>46081</v>
      </c>
      <c r="D174" t="inlineStr">
        <is>
          <t>KALMAR LÄN</t>
        </is>
      </c>
      <c r="E174" t="inlineStr">
        <is>
          <t>VÄSTERVIK</t>
        </is>
      </c>
      <c r="G174" t="n">
        <v>1.3</v>
      </c>
      <c r="H174" t="n">
        <v>1</v>
      </c>
      <c r="I174" t="n">
        <v>1</v>
      </c>
      <c r="J174" t="n">
        <v>0</v>
      </c>
      <c r="K174" t="n">
        <v>0</v>
      </c>
      <c r="L174" t="n">
        <v>0</v>
      </c>
      <c r="M174" t="n">
        <v>0</v>
      </c>
      <c r="N174" t="n">
        <v>0</v>
      </c>
      <c r="O174" t="n">
        <v>0</v>
      </c>
      <c r="P174" t="n">
        <v>0</v>
      </c>
      <c r="Q174" t="n">
        <v>2</v>
      </c>
      <c r="R174" s="2" t="inlineStr">
        <is>
          <t>Guldlockmossa
Blåsippa</t>
        </is>
      </c>
      <c r="S174">
        <f>HYPERLINK("https://klasma.github.io/Logging_0883/artfynd/A 63387-2025 artfynd.xlsx", "A 63387-2025")</f>
        <v/>
      </c>
      <c r="T174">
        <f>HYPERLINK("https://klasma.github.io/Logging_0883/kartor/A 63387-2025 karta.png", "A 63387-2025")</f>
        <v/>
      </c>
      <c r="V174">
        <f>HYPERLINK("https://klasma.github.io/Logging_0883/klagomål/A 63387-2025 FSC-klagomål.docx", "A 63387-2025")</f>
        <v/>
      </c>
      <c r="W174">
        <f>HYPERLINK("https://klasma.github.io/Logging_0883/klagomålsmail/A 63387-2025 FSC-klagomål mail.docx", "A 63387-2025")</f>
        <v/>
      </c>
      <c r="X174">
        <f>HYPERLINK("https://klasma.github.io/Logging_0883/tillsyn/A 63387-2025 tillsynsbegäran.docx", "A 63387-2025")</f>
        <v/>
      </c>
      <c r="Y174">
        <f>HYPERLINK("https://klasma.github.io/Logging_0883/tillsynsmail/A 63387-2025 tillsynsbegäran mail.docx", "A 63387-2025")</f>
        <v/>
      </c>
    </row>
    <row r="175" ht="15" customHeight="1">
      <c r="A175" t="inlineStr">
        <is>
          <t>A 26992-2024</t>
        </is>
      </c>
      <c r="B175" s="1" t="n">
        <v>45471</v>
      </c>
      <c r="C175" s="1" t="n">
        <v>46081</v>
      </c>
      <c r="D175" t="inlineStr">
        <is>
          <t>KALMAR LÄN</t>
        </is>
      </c>
      <c r="E175" t="inlineStr">
        <is>
          <t>VÄSTERVIK</t>
        </is>
      </c>
      <c r="F175" t="inlineStr">
        <is>
          <t>Holmen skog AB</t>
        </is>
      </c>
      <c r="G175" t="n">
        <v>4.6</v>
      </c>
      <c r="H175" t="n">
        <v>2</v>
      </c>
      <c r="I175" t="n">
        <v>0</v>
      </c>
      <c r="J175" t="n">
        <v>2</v>
      </c>
      <c r="K175" t="n">
        <v>0</v>
      </c>
      <c r="L175" t="n">
        <v>0</v>
      </c>
      <c r="M175" t="n">
        <v>0</v>
      </c>
      <c r="N175" t="n">
        <v>0</v>
      </c>
      <c r="O175" t="n">
        <v>2</v>
      </c>
      <c r="P175" t="n">
        <v>0</v>
      </c>
      <c r="Q175" t="n">
        <v>2</v>
      </c>
      <c r="R175" s="2" t="inlineStr">
        <is>
          <t>Mindre hackspett
Talltita</t>
        </is>
      </c>
      <c r="S175">
        <f>HYPERLINK("https://klasma.github.io/Logging_0883/artfynd/A 26992-2024 artfynd.xlsx", "A 26992-2024")</f>
        <v/>
      </c>
      <c r="T175">
        <f>HYPERLINK("https://klasma.github.io/Logging_0883/kartor/A 26992-2024 karta.png", "A 26992-2024")</f>
        <v/>
      </c>
      <c r="V175">
        <f>HYPERLINK("https://klasma.github.io/Logging_0883/klagomål/A 26992-2024 FSC-klagomål.docx", "A 26992-2024")</f>
        <v/>
      </c>
      <c r="W175">
        <f>HYPERLINK("https://klasma.github.io/Logging_0883/klagomålsmail/A 26992-2024 FSC-klagomål mail.docx", "A 26992-2024")</f>
        <v/>
      </c>
      <c r="X175">
        <f>HYPERLINK("https://klasma.github.io/Logging_0883/tillsyn/A 26992-2024 tillsynsbegäran.docx", "A 26992-2024")</f>
        <v/>
      </c>
      <c r="Y175">
        <f>HYPERLINK("https://klasma.github.io/Logging_0883/tillsynsmail/A 26992-2024 tillsynsbegäran mail.docx", "A 26992-2024")</f>
        <v/>
      </c>
      <c r="Z175">
        <f>HYPERLINK("https://klasma.github.io/Logging_0883/fåglar/A 26992-2024 prioriterade fågelarter.docx", "A 26992-2024")</f>
        <v/>
      </c>
    </row>
    <row r="176" ht="15" customHeight="1">
      <c r="A176" t="inlineStr">
        <is>
          <t>A 14090-2025</t>
        </is>
      </c>
      <c r="B176" s="1" t="n">
        <v>45740.44487268518</v>
      </c>
      <c r="C176" s="1" t="n">
        <v>46081</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25145-2022</t>
        </is>
      </c>
      <c r="B177" s="1" t="n">
        <v>44729</v>
      </c>
      <c r="C177" s="1" t="n">
        <v>46081</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28401-2024</t>
        </is>
      </c>
      <c r="B178" s="1" t="n">
        <v>45477</v>
      </c>
      <c r="C178" s="1" t="n">
        <v>46081</v>
      </c>
      <c r="D178" t="inlineStr">
        <is>
          <t>KALMAR LÄN</t>
        </is>
      </c>
      <c r="E178" t="inlineStr">
        <is>
          <t>VÄSTERVIK</t>
        </is>
      </c>
      <c r="F178" t="inlineStr">
        <is>
          <t>Holmen skog AB</t>
        </is>
      </c>
      <c r="G178" t="n">
        <v>2.4</v>
      </c>
      <c r="H178" t="n">
        <v>2</v>
      </c>
      <c r="I178" t="n">
        <v>0</v>
      </c>
      <c r="J178" t="n">
        <v>1</v>
      </c>
      <c r="K178" t="n">
        <v>0</v>
      </c>
      <c r="L178" t="n">
        <v>0</v>
      </c>
      <c r="M178" t="n">
        <v>0</v>
      </c>
      <c r="N178" t="n">
        <v>0</v>
      </c>
      <c r="O178" t="n">
        <v>1</v>
      </c>
      <c r="P178" t="n">
        <v>0</v>
      </c>
      <c r="Q178" t="n">
        <v>2</v>
      </c>
      <c r="R178" s="2" t="inlineStr">
        <is>
          <t>Talltita
Revlummer</t>
        </is>
      </c>
      <c r="S178">
        <f>HYPERLINK("https://klasma.github.io/Logging_0883/artfynd/A 28401-2024 artfynd.xlsx", "A 28401-2024")</f>
        <v/>
      </c>
      <c r="T178">
        <f>HYPERLINK("https://klasma.github.io/Logging_0883/kartor/A 28401-2024 karta.png", "A 28401-2024")</f>
        <v/>
      </c>
      <c r="V178">
        <f>HYPERLINK("https://klasma.github.io/Logging_0883/klagomål/A 28401-2024 FSC-klagomål.docx", "A 28401-2024")</f>
        <v/>
      </c>
      <c r="W178">
        <f>HYPERLINK("https://klasma.github.io/Logging_0883/klagomålsmail/A 28401-2024 FSC-klagomål mail.docx", "A 28401-2024")</f>
        <v/>
      </c>
      <c r="X178">
        <f>HYPERLINK("https://klasma.github.io/Logging_0883/tillsyn/A 28401-2024 tillsynsbegäran.docx", "A 28401-2024")</f>
        <v/>
      </c>
      <c r="Y178">
        <f>HYPERLINK("https://klasma.github.io/Logging_0883/tillsynsmail/A 28401-2024 tillsynsbegäran mail.docx", "A 28401-2024")</f>
        <v/>
      </c>
      <c r="Z178">
        <f>HYPERLINK("https://klasma.github.io/Logging_0883/fåglar/A 28401-2024 prioriterade fågelarter.docx", "A 28401-2024")</f>
        <v/>
      </c>
    </row>
    <row r="179" ht="15" customHeight="1">
      <c r="A179" t="inlineStr">
        <is>
          <t>A 16700-2025</t>
        </is>
      </c>
      <c r="B179" s="1" t="n">
        <v>45754.46833333333</v>
      </c>
      <c r="C179" s="1" t="n">
        <v>46081</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47935-2023</t>
        </is>
      </c>
      <c r="B180" s="1" t="n">
        <v>45204</v>
      </c>
      <c r="C180" s="1" t="n">
        <v>46081</v>
      </c>
      <c r="D180" t="inlineStr">
        <is>
          <t>KALMAR LÄN</t>
        </is>
      </c>
      <c r="E180" t="inlineStr">
        <is>
          <t>VÄSTERVIK</t>
        </is>
      </c>
      <c r="G180" t="n">
        <v>4.3</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47935-2023 artfynd.xlsx", "A 47935-2023")</f>
        <v/>
      </c>
      <c r="T180">
        <f>HYPERLINK("https://klasma.github.io/Logging_0883/kartor/A 47935-2023 karta.png", "A 47935-2023")</f>
        <v/>
      </c>
      <c r="V180">
        <f>HYPERLINK("https://klasma.github.io/Logging_0883/klagomål/A 47935-2023 FSC-klagomål.docx", "A 47935-2023")</f>
        <v/>
      </c>
      <c r="W180">
        <f>HYPERLINK("https://klasma.github.io/Logging_0883/klagomålsmail/A 47935-2023 FSC-klagomål mail.docx", "A 47935-2023")</f>
        <v/>
      </c>
      <c r="X180">
        <f>HYPERLINK("https://klasma.github.io/Logging_0883/tillsyn/A 47935-2023 tillsynsbegäran.docx", "A 47935-2023")</f>
        <v/>
      </c>
      <c r="Y180">
        <f>HYPERLINK("https://klasma.github.io/Logging_0883/tillsynsmail/A 47935-2023 tillsynsbegäran mail.docx", "A 47935-2023")</f>
        <v/>
      </c>
    </row>
    <row r="181" ht="15" customHeight="1">
      <c r="A181" t="inlineStr">
        <is>
          <t>A 56036-2024</t>
        </is>
      </c>
      <c r="B181" s="1" t="n">
        <v>45624</v>
      </c>
      <c r="C181" s="1" t="n">
        <v>46081</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21081-2025</t>
        </is>
      </c>
      <c r="B182" s="1" t="n">
        <v>45777</v>
      </c>
      <c r="C182" s="1" t="n">
        <v>46081</v>
      </c>
      <c r="D182" t="inlineStr">
        <is>
          <t>KALMAR LÄN</t>
        </is>
      </c>
      <c r="E182" t="inlineStr">
        <is>
          <t>VÄSTERVIK</t>
        </is>
      </c>
      <c r="G182" t="n">
        <v>1</v>
      </c>
      <c r="H182" t="n">
        <v>1</v>
      </c>
      <c r="I182" t="n">
        <v>0</v>
      </c>
      <c r="J182" t="n">
        <v>1</v>
      </c>
      <c r="K182" t="n">
        <v>1</v>
      </c>
      <c r="L182" t="n">
        <v>0</v>
      </c>
      <c r="M182" t="n">
        <v>0</v>
      </c>
      <c r="N182" t="n">
        <v>0</v>
      </c>
      <c r="O182" t="n">
        <v>2</v>
      </c>
      <c r="P182" t="n">
        <v>1</v>
      </c>
      <c r="Q182" t="n">
        <v>2</v>
      </c>
      <c r="R182" s="2" t="inlineStr">
        <is>
          <t>Knärot
Ullticka</t>
        </is>
      </c>
      <c r="S182">
        <f>HYPERLINK("https://klasma.github.io/Logging_0883/artfynd/A 21081-2025 artfynd.xlsx", "A 21081-2025")</f>
        <v/>
      </c>
      <c r="T182">
        <f>HYPERLINK("https://klasma.github.io/Logging_0883/kartor/A 21081-2025 karta.png", "A 21081-2025")</f>
        <v/>
      </c>
      <c r="U182">
        <f>HYPERLINK("https://klasma.github.io/Logging_0883/knärot/A 21081-2025 karta knärot.png", "A 21081-2025")</f>
        <v/>
      </c>
      <c r="V182">
        <f>HYPERLINK("https://klasma.github.io/Logging_0883/klagomål/A 21081-2025 FSC-klagomål.docx", "A 21081-2025")</f>
        <v/>
      </c>
      <c r="W182">
        <f>HYPERLINK("https://klasma.github.io/Logging_0883/klagomålsmail/A 21081-2025 FSC-klagomål mail.docx", "A 21081-2025")</f>
        <v/>
      </c>
      <c r="X182">
        <f>HYPERLINK("https://klasma.github.io/Logging_0883/tillsyn/A 21081-2025 tillsynsbegäran.docx", "A 21081-2025")</f>
        <v/>
      </c>
      <c r="Y182">
        <f>HYPERLINK("https://klasma.github.io/Logging_0883/tillsynsmail/A 21081-2025 tillsynsbegäran mail.docx", "A 21081-2025")</f>
        <v/>
      </c>
    </row>
    <row r="183" ht="15" customHeight="1">
      <c r="A183" t="inlineStr">
        <is>
          <t>A 932-2024</t>
        </is>
      </c>
      <c r="B183" s="1" t="n">
        <v>45301</v>
      </c>
      <c r="C183" s="1" t="n">
        <v>46081</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12598-2024</t>
        </is>
      </c>
      <c r="B184" s="1" t="n">
        <v>45380</v>
      </c>
      <c r="C184" s="1" t="n">
        <v>46081</v>
      </c>
      <c r="D184" t="inlineStr">
        <is>
          <t>KALMAR LÄN</t>
        </is>
      </c>
      <c r="E184" t="inlineStr">
        <is>
          <t>VÄSTERVIK</t>
        </is>
      </c>
      <c r="F184" t="inlineStr">
        <is>
          <t>Holmen skog AB</t>
        </is>
      </c>
      <c r="G184" t="n">
        <v>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12598-2024 artfynd.xlsx", "A 12598-2024")</f>
        <v/>
      </c>
      <c r="T184">
        <f>HYPERLINK("https://klasma.github.io/Logging_0883/kartor/A 12598-2024 karta.png", "A 12598-2024")</f>
        <v/>
      </c>
      <c r="U184">
        <f>HYPERLINK("https://klasma.github.io/Logging_0883/knärot/A 12598-2024 karta knärot.png", "A 12598-2024")</f>
        <v/>
      </c>
      <c r="V184">
        <f>HYPERLINK("https://klasma.github.io/Logging_0883/klagomål/A 12598-2024 FSC-klagomål.docx", "A 12598-2024")</f>
        <v/>
      </c>
      <c r="W184">
        <f>HYPERLINK("https://klasma.github.io/Logging_0883/klagomålsmail/A 12598-2024 FSC-klagomål mail.docx", "A 12598-2024")</f>
        <v/>
      </c>
      <c r="X184">
        <f>HYPERLINK("https://klasma.github.io/Logging_0883/tillsyn/A 12598-2024 tillsynsbegäran.docx", "A 12598-2024")</f>
        <v/>
      </c>
      <c r="Y184">
        <f>HYPERLINK("https://klasma.github.io/Logging_0883/tillsynsmail/A 12598-2024 tillsynsbegäran mail.docx", "A 12598-2024")</f>
        <v/>
      </c>
    </row>
    <row r="185" ht="15" customHeight="1">
      <c r="A185" t="inlineStr">
        <is>
          <t>A 16419-2024</t>
        </is>
      </c>
      <c r="B185" s="1" t="n">
        <v>45407</v>
      </c>
      <c r="C185" s="1" t="n">
        <v>46081</v>
      </c>
      <c r="D185" t="inlineStr">
        <is>
          <t>KALMAR LÄN</t>
        </is>
      </c>
      <c r="E185" t="inlineStr">
        <is>
          <t>VÄSTERVIK</t>
        </is>
      </c>
      <c r="F185" t="inlineStr">
        <is>
          <t>Holmen skog AB</t>
        </is>
      </c>
      <c r="G185" t="n">
        <v>1.8</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16419-2024 artfynd.xlsx", "A 16419-2024")</f>
        <v/>
      </c>
      <c r="T185">
        <f>HYPERLINK("https://klasma.github.io/Logging_0883/kartor/A 16419-2024 karta.png", "A 16419-2024")</f>
        <v/>
      </c>
      <c r="U185">
        <f>HYPERLINK("https://klasma.github.io/Logging_0883/knärot/A 16419-2024 karta knärot.png", "A 16419-2024")</f>
        <v/>
      </c>
      <c r="V185">
        <f>HYPERLINK("https://klasma.github.io/Logging_0883/klagomål/A 16419-2024 FSC-klagomål.docx", "A 16419-2024")</f>
        <v/>
      </c>
      <c r="W185">
        <f>HYPERLINK("https://klasma.github.io/Logging_0883/klagomålsmail/A 16419-2024 FSC-klagomål mail.docx", "A 16419-2024")</f>
        <v/>
      </c>
      <c r="X185">
        <f>HYPERLINK("https://klasma.github.io/Logging_0883/tillsyn/A 16419-2024 tillsynsbegäran.docx", "A 16419-2024")</f>
        <v/>
      </c>
      <c r="Y185">
        <f>HYPERLINK("https://klasma.github.io/Logging_0883/tillsynsmail/A 16419-2024 tillsynsbegäran mail.docx", "A 16419-2024")</f>
        <v/>
      </c>
      <c r="Z185">
        <f>HYPERLINK("https://klasma.github.io/Logging_0883/fåglar/A 16419-2024 prioriterade fågelarter.docx", "A 16419-2024")</f>
        <v/>
      </c>
    </row>
    <row r="186" ht="15" customHeight="1">
      <c r="A186" t="inlineStr">
        <is>
          <t>A 911-2024</t>
        </is>
      </c>
      <c r="B186" s="1" t="n">
        <v>45301</v>
      </c>
      <c r="C186" s="1" t="n">
        <v>46081</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62889-2025</t>
        </is>
      </c>
      <c r="B187" s="1" t="n">
        <v>46009.32436342593</v>
      </c>
      <c r="C187" s="1" t="n">
        <v>46081</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59940-2021</t>
        </is>
      </c>
      <c r="B188" s="1" t="n">
        <v>44494</v>
      </c>
      <c r="C188" s="1" t="n">
        <v>46081</v>
      </c>
      <c r="D188" t="inlineStr">
        <is>
          <t>KALMAR LÄN</t>
        </is>
      </c>
      <c r="E188" t="inlineStr">
        <is>
          <t>VÄSTERVIK</t>
        </is>
      </c>
      <c r="G188" t="n">
        <v>4.3</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59940-2021 artfynd.xlsx", "A 59940-2021")</f>
        <v/>
      </c>
      <c r="T188">
        <f>HYPERLINK("https://klasma.github.io/Logging_0883/kartor/A 59940-2021 karta.png", "A 59940-2021")</f>
        <v/>
      </c>
      <c r="U188">
        <f>HYPERLINK("https://klasma.github.io/Logging_0883/knärot/A 59940-2021 karta knärot.png", "A 59940-2021")</f>
        <v/>
      </c>
      <c r="V188">
        <f>HYPERLINK("https://klasma.github.io/Logging_0883/klagomål/A 59940-2021 FSC-klagomål.docx", "A 59940-2021")</f>
        <v/>
      </c>
      <c r="W188">
        <f>HYPERLINK("https://klasma.github.io/Logging_0883/klagomålsmail/A 59940-2021 FSC-klagomål mail.docx", "A 59940-2021")</f>
        <v/>
      </c>
      <c r="X188">
        <f>HYPERLINK("https://klasma.github.io/Logging_0883/tillsyn/A 59940-2021 tillsynsbegäran.docx", "A 59940-2021")</f>
        <v/>
      </c>
      <c r="Y188">
        <f>HYPERLINK("https://klasma.github.io/Logging_0883/tillsynsmail/A 59940-2021 tillsynsbegäran mail.docx", "A 59940-2021")</f>
        <v/>
      </c>
    </row>
    <row r="189" ht="15" customHeight="1">
      <c r="A189" t="inlineStr">
        <is>
          <t>A 59231-2022</t>
        </is>
      </c>
      <c r="B189" s="1" t="n">
        <v>44904.55646990741</v>
      </c>
      <c r="C189" s="1" t="n">
        <v>46081</v>
      </c>
      <c r="D189" t="inlineStr">
        <is>
          <t>KALMAR LÄN</t>
        </is>
      </c>
      <c r="E189" t="inlineStr">
        <is>
          <t>VÄSTERVIK</t>
        </is>
      </c>
      <c r="G189" t="n">
        <v>1.8</v>
      </c>
      <c r="H189" t="n">
        <v>0</v>
      </c>
      <c r="I189" t="n">
        <v>1</v>
      </c>
      <c r="J189" t="n">
        <v>1</v>
      </c>
      <c r="K189" t="n">
        <v>0</v>
      </c>
      <c r="L189" t="n">
        <v>0</v>
      </c>
      <c r="M189" t="n">
        <v>0</v>
      </c>
      <c r="N189" t="n">
        <v>0</v>
      </c>
      <c r="O189" t="n">
        <v>1</v>
      </c>
      <c r="P189" t="n">
        <v>0</v>
      </c>
      <c r="Q189" t="n">
        <v>2</v>
      </c>
      <c r="R189" s="2" t="inlineStr">
        <is>
          <t>Tallticka
Grönpyrola</t>
        </is>
      </c>
      <c r="S189">
        <f>HYPERLINK("https://klasma.github.io/Logging_0883/artfynd/A 59231-2022 artfynd.xlsx", "A 59231-2022")</f>
        <v/>
      </c>
      <c r="T189">
        <f>HYPERLINK("https://klasma.github.io/Logging_0883/kartor/A 59231-2022 karta.png", "A 59231-2022")</f>
        <v/>
      </c>
      <c r="V189">
        <f>HYPERLINK("https://klasma.github.io/Logging_0883/klagomål/A 59231-2022 FSC-klagomål.docx", "A 59231-2022")</f>
        <v/>
      </c>
      <c r="W189">
        <f>HYPERLINK("https://klasma.github.io/Logging_0883/klagomålsmail/A 59231-2022 FSC-klagomål mail.docx", "A 59231-2022")</f>
        <v/>
      </c>
      <c r="X189">
        <f>HYPERLINK("https://klasma.github.io/Logging_0883/tillsyn/A 59231-2022 tillsynsbegäran.docx", "A 59231-2022")</f>
        <v/>
      </c>
      <c r="Y189">
        <f>HYPERLINK("https://klasma.github.io/Logging_0883/tillsynsmail/A 59231-2022 tillsynsbegäran mail.docx", "A 59231-2022")</f>
        <v/>
      </c>
    </row>
    <row r="190" ht="15" customHeight="1">
      <c r="A190" t="inlineStr">
        <is>
          <t>A 1767-2025</t>
        </is>
      </c>
      <c r="B190" s="1" t="n">
        <v>45671</v>
      </c>
      <c r="C190" s="1" t="n">
        <v>46081</v>
      </c>
      <c r="D190" t="inlineStr">
        <is>
          <t>KALMAR LÄN</t>
        </is>
      </c>
      <c r="E190" t="inlineStr">
        <is>
          <t>VÄSTERVIK</t>
        </is>
      </c>
      <c r="G190" t="n">
        <v>1.4</v>
      </c>
      <c r="H190" t="n">
        <v>1</v>
      </c>
      <c r="I190" t="n">
        <v>0</v>
      </c>
      <c r="J190" t="n">
        <v>2</v>
      </c>
      <c r="K190" t="n">
        <v>0</v>
      </c>
      <c r="L190" t="n">
        <v>0</v>
      </c>
      <c r="M190" t="n">
        <v>0</v>
      </c>
      <c r="N190" t="n">
        <v>0</v>
      </c>
      <c r="O190" t="n">
        <v>2</v>
      </c>
      <c r="P190" t="n">
        <v>0</v>
      </c>
      <c r="Q190" t="n">
        <v>2</v>
      </c>
      <c r="R190" s="2" t="inlineStr">
        <is>
          <t>Garnlav
Spillkråka</t>
        </is>
      </c>
      <c r="S190">
        <f>HYPERLINK("https://klasma.github.io/Logging_0883/artfynd/A 1767-2025 artfynd.xlsx", "A 1767-2025")</f>
        <v/>
      </c>
      <c r="T190">
        <f>HYPERLINK("https://klasma.github.io/Logging_0883/kartor/A 1767-2025 karta.png", "A 1767-2025")</f>
        <v/>
      </c>
      <c r="U190">
        <f>HYPERLINK("https://klasma.github.io/Logging_0883/knärot/A 1767-2025 karta knärot.png", "A 1767-2025")</f>
        <v/>
      </c>
      <c r="V190">
        <f>HYPERLINK("https://klasma.github.io/Logging_0883/klagomål/A 1767-2025 FSC-klagomål.docx", "A 1767-2025")</f>
        <v/>
      </c>
      <c r="W190">
        <f>HYPERLINK("https://klasma.github.io/Logging_0883/klagomålsmail/A 1767-2025 FSC-klagomål mail.docx", "A 1767-2025")</f>
        <v/>
      </c>
      <c r="X190">
        <f>HYPERLINK("https://klasma.github.io/Logging_0883/tillsyn/A 1767-2025 tillsynsbegäran.docx", "A 1767-2025")</f>
        <v/>
      </c>
      <c r="Y190">
        <f>HYPERLINK("https://klasma.github.io/Logging_0883/tillsynsmail/A 1767-2025 tillsynsbegäran mail.docx", "A 1767-2025")</f>
        <v/>
      </c>
      <c r="Z190">
        <f>HYPERLINK("https://klasma.github.io/Logging_0883/fåglar/A 1767-2025 prioriterade fågelarter.docx", "A 1767-2025")</f>
        <v/>
      </c>
    </row>
    <row r="191" ht="15" customHeight="1">
      <c r="A191" t="inlineStr">
        <is>
          <t>A 1879-2026</t>
        </is>
      </c>
      <c r="B191" s="1" t="n">
        <v>46035.47266203703</v>
      </c>
      <c r="C191" s="1" t="n">
        <v>46081</v>
      </c>
      <c r="D191" t="inlineStr">
        <is>
          <t>KALMAR LÄN</t>
        </is>
      </c>
      <c r="E191" t="inlineStr">
        <is>
          <t>VÄSTERVIK</t>
        </is>
      </c>
      <c r="G191" t="n">
        <v>1.6</v>
      </c>
      <c r="H191" t="n">
        <v>1</v>
      </c>
      <c r="I191" t="n">
        <v>0</v>
      </c>
      <c r="J191" t="n">
        <v>1</v>
      </c>
      <c r="K191" t="n">
        <v>1</v>
      </c>
      <c r="L191" t="n">
        <v>0</v>
      </c>
      <c r="M191" t="n">
        <v>0</v>
      </c>
      <c r="N191" t="n">
        <v>0</v>
      </c>
      <c r="O191" t="n">
        <v>2</v>
      </c>
      <c r="P191" t="n">
        <v>1</v>
      </c>
      <c r="Q191" t="n">
        <v>2</v>
      </c>
      <c r="R191" s="2" t="inlineStr">
        <is>
          <t>Knärot
Motaggsvamp</t>
        </is>
      </c>
      <c r="S191">
        <f>HYPERLINK("https://klasma.github.io/Logging_0883/artfynd/A 1879-2026 artfynd.xlsx", "A 1879-2026")</f>
        <v/>
      </c>
      <c r="T191">
        <f>HYPERLINK("https://klasma.github.io/Logging_0883/kartor/A 1879-2026 karta.png", "A 1879-2026")</f>
        <v/>
      </c>
      <c r="U191">
        <f>HYPERLINK("https://klasma.github.io/Logging_0883/knärot/A 1879-2026 karta knärot.png", "A 1879-2026")</f>
        <v/>
      </c>
      <c r="V191">
        <f>HYPERLINK("https://klasma.github.io/Logging_0883/klagomål/A 1879-2026 FSC-klagomål.docx", "A 1879-2026")</f>
        <v/>
      </c>
      <c r="W191">
        <f>HYPERLINK("https://klasma.github.io/Logging_0883/klagomålsmail/A 1879-2026 FSC-klagomål mail.docx", "A 1879-2026")</f>
        <v/>
      </c>
      <c r="X191">
        <f>HYPERLINK("https://klasma.github.io/Logging_0883/tillsyn/A 1879-2026 tillsynsbegäran.docx", "A 1879-2026")</f>
        <v/>
      </c>
      <c r="Y191">
        <f>HYPERLINK("https://klasma.github.io/Logging_0883/tillsynsmail/A 1879-2026 tillsynsbegäran mail.docx", "A 1879-2026")</f>
        <v/>
      </c>
    </row>
    <row r="192" ht="15" customHeight="1">
      <c r="A192" t="inlineStr">
        <is>
          <t>A 9770-2024</t>
        </is>
      </c>
      <c r="B192" s="1" t="n">
        <v>45362.63960648148</v>
      </c>
      <c r="C192" s="1" t="n">
        <v>46081</v>
      </c>
      <c r="D192" t="inlineStr">
        <is>
          <t>KALMAR LÄN</t>
        </is>
      </c>
      <c r="E192" t="inlineStr">
        <is>
          <t>VÄSTERVIK</t>
        </is>
      </c>
      <c r="G192" t="n">
        <v>2.6</v>
      </c>
      <c r="H192" t="n">
        <v>2</v>
      </c>
      <c r="I192" t="n">
        <v>0</v>
      </c>
      <c r="J192" t="n">
        <v>1</v>
      </c>
      <c r="K192" t="n">
        <v>0</v>
      </c>
      <c r="L192" t="n">
        <v>0</v>
      </c>
      <c r="M192" t="n">
        <v>0</v>
      </c>
      <c r="N192" t="n">
        <v>0</v>
      </c>
      <c r="O192" t="n">
        <v>1</v>
      </c>
      <c r="P192" t="n">
        <v>0</v>
      </c>
      <c r="Q192" t="n">
        <v>2</v>
      </c>
      <c r="R192" s="2" t="inlineStr">
        <is>
          <t>Talltita
Tjäder</t>
        </is>
      </c>
      <c r="S192">
        <f>HYPERLINK("https://klasma.github.io/Logging_0883/artfynd/A 9770-2024 artfynd.xlsx", "A 9770-2024")</f>
        <v/>
      </c>
      <c r="T192">
        <f>HYPERLINK("https://klasma.github.io/Logging_0883/kartor/A 9770-2024 karta.png", "A 9770-2024")</f>
        <v/>
      </c>
      <c r="V192">
        <f>HYPERLINK("https://klasma.github.io/Logging_0883/klagomål/A 9770-2024 FSC-klagomål.docx", "A 9770-2024")</f>
        <v/>
      </c>
      <c r="W192">
        <f>HYPERLINK("https://klasma.github.io/Logging_0883/klagomålsmail/A 9770-2024 FSC-klagomål mail.docx", "A 9770-2024")</f>
        <v/>
      </c>
      <c r="X192">
        <f>HYPERLINK("https://klasma.github.io/Logging_0883/tillsyn/A 9770-2024 tillsynsbegäran.docx", "A 9770-2024")</f>
        <v/>
      </c>
      <c r="Y192">
        <f>HYPERLINK("https://klasma.github.io/Logging_0883/tillsynsmail/A 9770-2024 tillsynsbegäran mail.docx", "A 9770-2024")</f>
        <v/>
      </c>
      <c r="Z192">
        <f>HYPERLINK("https://klasma.github.io/Logging_0883/fåglar/A 9770-2024 prioriterade fågelarter.docx", "A 9770-2024")</f>
        <v/>
      </c>
    </row>
    <row r="193" ht="15" customHeight="1">
      <c r="A193" t="inlineStr">
        <is>
          <t>A 948-2024</t>
        </is>
      </c>
      <c r="B193" s="1" t="n">
        <v>45301</v>
      </c>
      <c r="C193" s="1" t="n">
        <v>46081</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941-2024</t>
        </is>
      </c>
      <c r="B194" s="1" t="n">
        <v>45301</v>
      </c>
      <c r="C194" s="1" t="n">
        <v>46081</v>
      </c>
      <c r="D194" t="inlineStr">
        <is>
          <t>KALMAR LÄN</t>
        </is>
      </c>
      <c r="E194" t="inlineStr">
        <is>
          <t>VÄSTERVIK</t>
        </is>
      </c>
      <c r="G194" t="n">
        <v>2.7</v>
      </c>
      <c r="H194" t="n">
        <v>1</v>
      </c>
      <c r="I194" t="n">
        <v>0</v>
      </c>
      <c r="J194" t="n">
        <v>1</v>
      </c>
      <c r="K194" t="n">
        <v>1</v>
      </c>
      <c r="L194" t="n">
        <v>0</v>
      </c>
      <c r="M194" t="n">
        <v>0</v>
      </c>
      <c r="N194" t="n">
        <v>0</v>
      </c>
      <c r="O194" t="n">
        <v>2</v>
      </c>
      <c r="P194" t="n">
        <v>1</v>
      </c>
      <c r="Q194" t="n">
        <v>2</v>
      </c>
      <c r="R194" s="2" t="inlineStr">
        <is>
          <t>Knärot
Svinrot</t>
        </is>
      </c>
      <c r="S194">
        <f>HYPERLINK("https://klasma.github.io/Logging_0883/artfynd/A 941-2024 artfynd.xlsx", "A 941-2024")</f>
        <v/>
      </c>
      <c r="T194">
        <f>HYPERLINK("https://klasma.github.io/Logging_0883/kartor/A 941-2024 karta.png", "A 941-2024")</f>
        <v/>
      </c>
      <c r="U194">
        <f>HYPERLINK("https://klasma.github.io/Logging_0883/knärot/A 941-2024 karta knärot.png", "A 941-2024")</f>
        <v/>
      </c>
      <c r="V194">
        <f>HYPERLINK("https://klasma.github.io/Logging_0883/klagomål/A 941-2024 FSC-klagomål.docx", "A 941-2024")</f>
        <v/>
      </c>
      <c r="W194">
        <f>HYPERLINK("https://klasma.github.io/Logging_0883/klagomålsmail/A 941-2024 FSC-klagomål mail.docx", "A 941-2024")</f>
        <v/>
      </c>
      <c r="X194">
        <f>HYPERLINK("https://klasma.github.io/Logging_0883/tillsyn/A 941-2024 tillsynsbegäran.docx", "A 941-2024")</f>
        <v/>
      </c>
      <c r="Y194">
        <f>HYPERLINK("https://klasma.github.io/Logging_0883/tillsynsmail/A 941-2024 tillsynsbegäran mail.docx", "A 941-2024")</f>
        <v/>
      </c>
    </row>
    <row r="195" ht="15" customHeight="1">
      <c r="A195" t="inlineStr">
        <is>
          <t>A 34119-2023</t>
        </is>
      </c>
      <c r="B195" s="1" t="n">
        <v>45135</v>
      </c>
      <c r="C195" s="1" t="n">
        <v>46081</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56857-2023</t>
        </is>
      </c>
      <c r="B196" s="1" t="n">
        <v>45244</v>
      </c>
      <c r="C196" s="1" t="n">
        <v>46081</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35236-2024</t>
        </is>
      </c>
      <c r="B197" s="1" t="n">
        <v>45530.54184027778</v>
      </c>
      <c r="C197" s="1" t="n">
        <v>46081</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38373-2022</t>
        </is>
      </c>
      <c r="B198" s="1" t="n">
        <v>44812</v>
      </c>
      <c r="C198" s="1" t="n">
        <v>46081</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62008-2023</t>
        </is>
      </c>
      <c r="B199" s="1" t="n">
        <v>45266</v>
      </c>
      <c r="C199" s="1" t="n">
        <v>46081</v>
      </c>
      <c r="D199" t="inlineStr">
        <is>
          <t>KALMAR LÄN</t>
        </is>
      </c>
      <c r="E199" t="inlineStr">
        <is>
          <t>VÄSTERVIK</t>
        </is>
      </c>
      <c r="G199" t="n">
        <v>4</v>
      </c>
      <c r="H199" t="n">
        <v>2</v>
      </c>
      <c r="I199" t="n">
        <v>0</v>
      </c>
      <c r="J199" t="n">
        <v>1</v>
      </c>
      <c r="K199" t="n">
        <v>1</v>
      </c>
      <c r="L199" t="n">
        <v>0</v>
      </c>
      <c r="M199" t="n">
        <v>0</v>
      </c>
      <c r="N199" t="n">
        <v>0</v>
      </c>
      <c r="O199" t="n">
        <v>2</v>
      </c>
      <c r="P199" t="n">
        <v>1</v>
      </c>
      <c r="Q199" t="n">
        <v>2</v>
      </c>
      <c r="R199" s="2" t="inlineStr">
        <is>
          <t>Knärot
Talltita</t>
        </is>
      </c>
      <c r="S199">
        <f>HYPERLINK("https://klasma.github.io/Logging_0883/artfynd/A 62008-2023 artfynd.xlsx", "A 62008-2023")</f>
        <v/>
      </c>
      <c r="T199">
        <f>HYPERLINK("https://klasma.github.io/Logging_0883/kartor/A 62008-2023 karta.png", "A 62008-2023")</f>
        <v/>
      </c>
      <c r="U199">
        <f>HYPERLINK("https://klasma.github.io/Logging_0883/knärot/A 62008-2023 karta knärot.png", "A 62008-2023")</f>
        <v/>
      </c>
      <c r="V199">
        <f>HYPERLINK("https://klasma.github.io/Logging_0883/klagomål/A 62008-2023 FSC-klagomål.docx", "A 62008-2023")</f>
        <v/>
      </c>
      <c r="W199">
        <f>HYPERLINK("https://klasma.github.io/Logging_0883/klagomålsmail/A 62008-2023 FSC-klagomål mail.docx", "A 62008-2023")</f>
        <v/>
      </c>
      <c r="X199">
        <f>HYPERLINK("https://klasma.github.io/Logging_0883/tillsyn/A 62008-2023 tillsynsbegäran.docx", "A 62008-2023")</f>
        <v/>
      </c>
      <c r="Y199">
        <f>HYPERLINK("https://klasma.github.io/Logging_0883/tillsynsmail/A 62008-2023 tillsynsbegäran mail.docx", "A 62008-2023")</f>
        <v/>
      </c>
      <c r="Z199">
        <f>HYPERLINK("https://klasma.github.io/Logging_0883/fåglar/A 62008-2023 prioriterade fågelarter.docx", "A 62008-2023")</f>
        <v/>
      </c>
    </row>
    <row r="200" ht="15" customHeight="1">
      <c r="A200" t="inlineStr">
        <is>
          <t>A 50977-2021</t>
        </is>
      </c>
      <c r="B200" s="1" t="n">
        <v>44460.68069444445</v>
      </c>
      <c r="C200" s="1" t="n">
        <v>46081</v>
      </c>
      <c r="D200" t="inlineStr">
        <is>
          <t>KALMAR LÄN</t>
        </is>
      </c>
      <c r="E200" t="inlineStr">
        <is>
          <t>VÄSTERVIK</t>
        </is>
      </c>
      <c r="G200" t="n">
        <v>0.8</v>
      </c>
      <c r="H200" t="n">
        <v>1</v>
      </c>
      <c r="I200" t="n">
        <v>0</v>
      </c>
      <c r="J200" t="n">
        <v>1</v>
      </c>
      <c r="K200" t="n">
        <v>0</v>
      </c>
      <c r="L200" t="n">
        <v>0</v>
      </c>
      <c r="M200" t="n">
        <v>0</v>
      </c>
      <c r="N200" t="n">
        <v>0</v>
      </c>
      <c r="O200" t="n">
        <v>1</v>
      </c>
      <c r="P200" t="n">
        <v>0</v>
      </c>
      <c r="Q200" t="n">
        <v>1</v>
      </c>
      <c r="R200" s="2" t="inlineStr">
        <is>
          <t>Entita</t>
        </is>
      </c>
      <c r="S200">
        <f>HYPERLINK("https://klasma.github.io/Logging_0883/artfynd/A 50977-2021 artfynd.xlsx", "A 50977-2021")</f>
        <v/>
      </c>
      <c r="T200">
        <f>HYPERLINK("https://klasma.github.io/Logging_0883/kartor/A 50977-2021 karta.png", "A 50977-2021")</f>
        <v/>
      </c>
      <c r="V200">
        <f>HYPERLINK("https://klasma.github.io/Logging_0883/klagomål/A 50977-2021 FSC-klagomål.docx", "A 50977-2021")</f>
        <v/>
      </c>
      <c r="W200">
        <f>HYPERLINK("https://klasma.github.io/Logging_0883/klagomålsmail/A 50977-2021 FSC-klagomål mail.docx", "A 50977-2021")</f>
        <v/>
      </c>
      <c r="X200">
        <f>HYPERLINK("https://klasma.github.io/Logging_0883/tillsyn/A 50977-2021 tillsynsbegäran.docx", "A 50977-2021")</f>
        <v/>
      </c>
      <c r="Y200">
        <f>HYPERLINK("https://klasma.github.io/Logging_0883/tillsynsmail/A 50977-2021 tillsynsbegäran mail.docx", "A 50977-2021")</f>
        <v/>
      </c>
      <c r="Z200">
        <f>HYPERLINK("https://klasma.github.io/Logging_0883/fåglar/A 50977-2021 prioriterade fågelarter.docx", "A 50977-2021")</f>
        <v/>
      </c>
    </row>
    <row r="201" ht="15" customHeight="1">
      <c r="A201" t="inlineStr">
        <is>
          <t>A 52831-2021</t>
        </is>
      </c>
      <c r="B201" s="1" t="n">
        <v>44467</v>
      </c>
      <c r="C201" s="1" t="n">
        <v>46081</v>
      </c>
      <c r="D201" t="inlineStr">
        <is>
          <t>KALMAR LÄN</t>
        </is>
      </c>
      <c r="E201" t="inlineStr">
        <is>
          <t>VÄSTERVIK</t>
        </is>
      </c>
      <c r="G201" t="n">
        <v>0.8</v>
      </c>
      <c r="H201" t="n">
        <v>0</v>
      </c>
      <c r="I201" t="n">
        <v>0</v>
      </c>
      <c r="J201" t="n">
        <v>1</v>
      </c>
      <c r="K201" t="n">
        <v>0</v>
      </c>
      <c r="L201" t="n">
        <v>0</v>
      </c>
      <c r="M201" t="n">
        <v>0</v>
      </c>
      <c r="N201" t="n">
        <v>0</v>
      </c>
      <c r="O201" t="n">
        <v>1</v>
      </c>
      <c r="P201" t="n">
        <v>0</v>
      </c>
      <c r="Q201" t="n">
        <v>1</v>
      </c>
      <c r="R201" s="2" t="inlineStr">
        <is>
          <t>Tallticka</t>
        </is>
      </c>
      <c r="S201">
        <f>HYPERLINK("https://klasma.github.io/Logging_0883/artfynd/A 52831-2021 artfynd.xlsx", "A 52831-2021")</f>
        <v/>
      </c>
      <c r="T201">
        <f>HYPERLINK("https://klasma.github.io/Logging_0883/kartor/A 52831-2021 karta.png", "A 52831-2021")</f>
        <v/>
      </c>
      <c r="V201">
        <f>HYPERLINK("https://klasma.github.io/Logging_0883/klagomål/A 52831-2021 FSC-klagomål.docx", "A 52831-2021")</f>
        <v/>
      </c>
      <c r="W201">
        <f>HYPERLINK("https://klasma.github.io/Logging_0883/klagomålsmail/A 52831-2021 FSC-klagomål mail.docx", "A 52831-2021")</f>
        <v/>
      </c>
      <c r="X201">
        <f>HYPERLINK("https://klasma.github.io/Logging_0883/tillsyn/A 52831-2021 tillsynsbegäran.docx", "A 52831-2021")</f>
        <v/>
      </c>
      <c r="Y201">
        <f>HYPERLINK("https://klasma.github.io/Logging_0883/tillsynsmail/A 52831-2021 tillsynsbegäran mail.docx", "A 52831-2021")</f>
        <v/>
      </c>
    </row>
    <row r="202" ht="15" customHeight="1">
      <c r="A202" t="inlineStr">
        <is>
          <t>A 46556-2022</t>
        </is>
      </c>
      <c r="B202" s="1" t="n">
        <v>44848</v>
      </c>
      <c r="C202" s="1" t="n">
        <v>46081</v>
      </c>
      <c r="D202" t="inlineStr">
        <is>
          <t>KALMAR LÄN</t>
        </is>
      </c>
      <c r="E202" t="inlineStr">
        <is>
          <t>VÄSTERVIK</t>
        </is>
      </c>
      <c r="F202" t="inlineStr">
        <is>
          <t>Sveaskog</t>
        </is>
      </c>
      <c r="G202" t="n">
        <v>1.5</v>
      </c>
      <c r="H202" t="n">
        <v>0</v>
      </c>
      <c r="I202" t="n">
        <v>1</v>
      </c>
      <c r="J202" t="n">
        <v>0</v>
      </c>
      <c r="K202" t="n">
        <v>0</v>
      </c>
      <c r="L202" t="n">
        <v>0</v>
      </c>
      <c r="M202" t="n">
        <v>0</v>
      </c>
      <c r="N202" t="n">
        <v>0</v>
      </c>
      <c r="O202" t="n">
        <v>0</v>
      </c>
      <c r="P202" t="n">
        <v>0</v>
      </c>
      <c r="Q202" t="n">
        <v>1</v>
      </c>
      <c r="R202" s="2" t="inlineStr">
        <is>
          <t>Fjällig taggsvamp s.str.</t>
        </is>
      </c>
      <c r="S202">
        <f>HYPERLINK("https://klasma.github.io/Logging_0883/artfynd/A 46556-2022 artfynd.xlsx", "A 46556-2022")</f>
        <v/>
      </c>
      <c r="T202">
        <f>HYPERLINK("https://klasma.github.io/Logging_0883/kartor/A 46556-2022 karta.png", "A 46556-2022")</f>
        <v/>
      </c>
      <c r="V202">
        <f>HYPERLINK("https://klasma.github.io/Logging_0883/klagomål/A 46556-2022 FSC-klagomål.docx", "A 46556-2022")</f>
        <v/>
      </c>
      <c r="W202">
        <f>HYPERLINK("https://klasma.github.io/Logging_0883/klagomålsmail/A 46556-2022 FSC-klagomål mail.docx", "A 46556-2022")</f>
        <v/>
      </c>
      <c r="X202">
        <f>HYPERLINK("https://klasma.github.io/Logging_0883/tillsyn/A 46556-2022 tillsynsbegäran.docx", "A 46556-2022")</f>
        <v/>
      </c>
      <c r="Y202">
        <f>HYPERLINK("https://klasma.github.io/Logging_0883/tillsynsmail/A 46556-2022 tillsynsbegäran mail.docx", "A 46556-2022")</f>
        <v/>
      </c>
    </row>
    <row r="203" ht="15" customHeight="1">
      <c r="A203" t="inlineStr">
        <is>
          <t>A 46559-2022</t>
        </is>
      </c>
      <c r="B203" s="1" t="n">
        <v>44848</v>
      </c>
      <c r="C203" s="1" t="n">
        <v>46081</v>
      </c>
      <c r="D203" t="inlineStr">
        <is>
          <t>KALMAR LÄN</t>
        </is>
      </c>
      <c r="E203" t="inlineStr">
        <is>
          <t>VÄSTERVIK</t>
        </is>
      </c>
      <c r="F203" t="inlineStr">
        <is>
          <t>Sveaskog</t>
        </is>
      </c>
      <c r="G203" t="n">
        <v>2.2</v>
      </c>
      <c r="H203" t="n">
        <v>1</v>
      </c>
      <c r="I203" t="n">
        <v>0</v>
      </c>
      <c r="J203" t="n">
        <v>0</v>
      </c>
      <c r="K203" t="n">
        <v>0</v>
      </c>
      <c r="L203" t="n">
        <v>0</v>
      </c>
      <c r="M203" t="n">
        <v>0</v>
      </c>
      <c r="N203" t="n">
        <v>0</v>
      </c>
      <c r="O203" t="n">
        <v>0</v>
      </c>
      <c r="P203" t="n">
        <v>0</v>
      </c>
      <c r="Q203" t="n">
        <v>1</v>
      </c>
      <c r="R203" s="2" t="inlineStr">
        <is>
          <t>Blåsippa</t>
        </is>
      </c>
      <c r="S203">
        <f>HYPERLINK("https://klasma.github.io/Logging_0883/artfynd/A 46559-2022 artfynd.xlsx", "A 46559-2022")</f>
        <v/>
      </c>
      <c r="T203">
        <f>HYPERLINK("https://klasma.github.io/Logging_0883/kartor/A 46559-2022 karta.png", "A 46559-2022")</f>
        <v/>
      </c>
      <c r="V203">
        <f>HYPERLINK("https://klasma.github.io/Logging_0883/klagomål/A 46559-2022 FSC-klagomål.docx", "A 46559-2022")</f>
        <v/>
      </c>
      <c r="W203">
        <f>HYPERLINK("https://klasma.github.io/Logging_0883/klagomålsmail/A 46559-2022 FSC-klagomål mail.docx", "A 46559-2022")</f>
        <v/>
      </c>
      <c r="X203">
        <f>HYPERLINK("https://klasma.github.io/Logging_0883/tillsyn/A 46559-2022 tillsynsbegäran.docx", "A 46559-2022")</f>
        <v/>
      </c>
      <c r="Y203">
        <f>HYPERLINK("https://klasma.github.io/Logging_0883/tillsynsmail/A 46559-2022 tillsynsbegäran mail.docx", "A 46559-2022")</f>
        <v/>
      </c>
    </row>
    <row r="204" ht="15" customHeight="1">
      <c r="A204" t="inlineStr">
        <is>
          <t>A 25594-2021</t>
        </is>
      </c>
      <c r="B204" s="1" t="n">
        <v>44343</v>
      </c>
      <c r="C204" s="1" t="n">
        <v>46081</v>
      </c>
      <c r="D204" t="inlineStr">
        <is>
          <t>KALMAR LÄN</t>
        </is>
      </c>
      <c r="E204" t="inlineStr">
        <is>
          <t>VÄSTERVIK</t>
        </is>
      </c>
      <c r="F204" t="inlineStr">
        <is>
          <t>Holmen skog AB</t>
        </is>
      </c>
      <c r="G204" t="n">
        <v>3.2</v>
      </c>
      <c r="H204" t="n">
        <v>1</v>
      </c>
      <c r="I204" t="n">
        <v>0</v>
      </c>
      <c r="J204" t="n">
        <v>0</v>
      </c>
      <c r="K204" t="n">
        <v>1</v>
      </c>
      <c r="L204" t="n">
        <v>0</v>
      </c>
      <c r="M204" t="n">
        <v>0</v>
      </c>
      <c r="N204" t="n">
        <v>0</v>
      </c>
      <c r="O204" t="n">
        <v>1</v>
      </c>
      <c r="P204" t="n">
        <v>1</v>
      </c>
      <c r="Q204" t="n">
        <v>1</v>
      </c>
      <c r="R204" s="2" t="inlineStr">
        <is>
          <t>Knärot</t>
        </is>
      </c>
      <c r="S204">
        <f>HYPERLINK("https://klasma.github.io/Logging_0883/artfynd/A 25594-2021 artfynd.xlsx", "A 25594-2021")</f>
        <v/>
      </c>
      <c r="T204">
        <f>HYPERLINK("https://klasma.github.io/Logging_0883/kartor/A 25594-2021 karta.png", "A 25594-2021")</f>
        <v/>
      </c>
      <c r="U204">
        <f>HYPERLINK("https://klasma.github.io/Logging_0883/knärot/A 25594-2021 karta knärot.png", "A 25594-2021")</f>
        <v/>
      </c>
      <c r="V204">
        <f>HYPERLINK("https://klasma.github.io/Logging_0883/klagomål/A 25594-2021 FSC-klagomål.docx", "A 25594-2021")</f>
        <v/>
      </c>
      <c r="W204">
        <f>HYPERLINK("https://klasma.github.io/Logging_0883/klagomålsmail/A 25594-2021 FSC-klagomål mail.docx", "A 25594-2021")</f>
        <v/>
      </c>
      <c r="X204">
        <f>HYPERLINK("https://klasma.github.io/Logging_0883/tillsyn/A 25594-2021 tillsynsbegäran.docx", "A 25594-2021")</f>
        <v/>
      </c>
      <c r="Y204">
        <f>HYPERLINK("https://klasma.github.io/Logging_0883/tillsynsmail/A 25594-2021 tillsynsbegäran mail.docx", "A 25594-2021")</f>
        <v/>
      </c>
    </row>
    <row r="205" ht="15" customHeight="1">
      <c r="A205" t="inlineStr">
        <is>
          <t>A 26516-2025</t>
        </is>
      </c>
      <c r="B205" s="1" t="n">
        <v>45807.55402777778</v>
      </c>
      <c r="C205" s="1" t="n">
        <v>46081</v>
      </c>
      <c r="D205" t="inlineStr">
        <is>
          <t>KALMAR LÄN</t>
        </is>
      </c>
      <c r="E205" t="inlineStr">
        <is>
          <t>VÄSTERVIK</t>
        </is>
      </c>
      <c r="G205" t="n">
        <v>1.3</v>
      </c>
      <c r="H205" t="n">
        <v>1</v>
      </c>
      <c r="I205" t="n">
        <v>0</v>
      </c>
      <c r="J205" t="n">
        <v>1</v>
      </c>
      <c r="K205" t="n">
        <v>0</v>
      </c>
      <c r="L205" t="n">
        <v>0</v>
      </c>
      <c r="M205" t="n">
        <v>0</v>
      </c>
      <c r="N205" t="n">
        <v>0</v>
      </c>
      <c r="O205" t="n">
        <v>1</v>
      </c>
      <c r="P205" t="n">
        <v>0</v>
      </c>
      <c r="Q205" t="n">
        <v>1</v>
      </c>
      <c r="R205" s="2" t="inlineStr">
        <is>
          <t>Grönsångare</t>
        </is>
      </c>
      <c r="S205">
        <f>HYPERLINK("https://klasma.github.io/Logging_0883/artfynd/A 26516-2025 artfynd.xlsx", "A 26516-2025")</f>
        <v/>
      </c>
      <c r="T205">
        <f>HYPERLINK("https://klasma.github.io/Logging_0883/kartor/A 26516-2025 karta.png", "A 26516-2025")</f>
        <v/>
      </c>
      <c r="V205">
        <f>HYPERLINK("https://klasma.github.io/Logging_0883/klagomål/A 26516-2025 FSC-klagomål.docx", "A 26516-2025")</f>
        <v/>
      </c>
      <c r="W205">
        <f>HYPERLINK("https://klasma.github.io/Logging_0883/klagomålsmail/A 26516-2025 FSC-klagomål mail.docx", "A 26516-2025")</f>
        <v/>
      </c>
      <c r="X205">
        <f>HYPERLINK("https://klasma.github.io/Logging_0883/tillsyn/A 26516-2025 tillsynsbegäran.docx", "A 26516-2025")</f>
        <v/>
      </c>
      <c r="Y205">
        <f>HYPERLINK("https://klasma.github.io/Logging_0883/tillsynsmail/A 26516-2025 tillsynsbegäran mail.docx", "A 26516-2025")</f>
        <v/>
      </c>
      <c r="Z205">
        <f>HYPERLINK("https://klasma.github.io/Logging_0883/fåglar/A 26516-2025 prioriterade fågelarter.docx", "A 26516-2025")</f>
        <v/>
      </c>
    </row>
    <row r="206" ht="15" customHeight="1">
      <c r="A206" t="inlineStr">
        <is>
          <t>A 47112-2023</t>
        </is>
      </c>
      <c r="B206" s="1" t="n">
        <v>45201</v>
      </c>
      <c r="C206" s="1" t="n">
        <v>46081</v>
      </c>
      <c r="D206" t="inlineStr">
        <is>
          <t>KALMAR LÄN</t>
        </is>
      </c>
      <c r="E206" t="inlineStr">
        <is>
          <t>VÄSTERVIK</t>
        </is>
      </c>
      <c r="G206" t="n">
        <v>1</v>
      </c>
      <c r="H206" t="n">
        <v>0</v>
      </c>
      <c r="I206" t="n">
        <v>0</v>
      </c>
      <c r="J206" t="n">
        <v>1</v>
      </c>
      <c r="K206" t="n">
        <v>0</v>
      </c>
      <c r="L206" t="n">
        <v>0</v>
      </c>
      <c r="M206" t="n">
        <v>0</v>
      </c>
      <c r="N206" t="n">
        <v>0</v>
      </c>
      <c r="O206" t="n">
        <v>1</v>
      </c>
      <c r="P206" t="n">
        <v>0</v>
      </c>
      <c r="Q206" t="n">
        <v>1</v>
      </c>
      <c r="R206" s="2" t="inlineStr">
        <is>
          <t>Tallticka</t>
        </is>
      </c>
      <c r="S206">
        <f>HYPERLINK("https://klasma.github.io/Logging_0883/artfynd/A 47112-2023 artfynd.xlsx", "A 47112-2023")</f>
        <v/>
      </c>
      <c r="T206">
        <f>HYPERLINK("https://klasma.github.io/Logging_0883/kartor/A 47112-2023 karta.png", "A 47112-2023")</f>
        <v/>
      </c>
      <c r="V206">
        <f>HYPERLINK("https://klasma.github.io/Logging_0883/klagomål/A 47112-2023 FSC-klagomål.docx", "A 47112-2023")</f>
        <v/>
      </c>
      <c r="W206">
        <f>HYPERLINK("https://klasma.github.io/Logging_0883/klagomålsmail/A 47112-2023 FSC-klagomål mail.docx", "A 47112-2023")</f>
        <v/>
      </c>
      <c r="X206">
        <f>HYPERLINK("https://klasma.github.io/Logging_0883/tillsyn/A 47112-2023 tillsynsbegäran.docx", "A 47112-2023")</f>
        <v/>
      </c>
      <c r="Y206">
        <f>HYPERLINK("https://klasma.github.io/Logging_0883/tillsynsmail/A 47112-2023 tillsynsbegäran mail.docx", "A 47112-2023")</f>
        <v/>
      </c>
    </row>
    <row r="207" ht="15" customHeight="1">
      <c r="A207" t="inlineStr">
        <is>
          <t>A 51488-2024</t>
        </is>
      </c>
      <c r="B207" s="1" t="n">
        <v>45604</v>
      </c>
      <c r="C207" s="1" t="n">
        <v>46081</v>
      </c>
      <c r="D207" t="inlineStr">
        <is>
          <t>KALMAR LÄN</t>
        </is>
      </c>
      <c r="E207" t="inlineStr">
        <is>
          <t>VÄSTERVIK</t>
        </is>
      </c>
      <c r="F207" t="inlineStr">
        <is>
          <t>Övriga Aktiebolag</t>
        </is>
      </c>
      <c r="G207" t="n">
        <v>2.9</v>
      </c>
      <c r="H207" t="n">
        <v>1</v>
      </c>
      <c r="I207" t="n">
        <v>0</v>
      </c>
      <c r="J207" t="n">
        <v>1</v>
      </c>
      <c r="K207" t="n">
        <v>0</v>
      </c>
      <c r="L207" t="n">
        <v>0</v>
      </c>
      <c r="M207" t="n">
        <v>0</v>
      </c>
      <c r="N207" t="n">
        <v>0</v>
      </c>
      <c r="O207" t="n">
        <v>1</v>
      </c>
      <c r="P207" t="n">
        <v>0</v>
      </c>
      <c r="Q207" t="n">
        <v>1</v>
      </c>
      <c r="R207" s="2" t="inlineStr">
        <is>
          <t>Entita</t>
        </is>
      </c>
      <c r="S207">
        <f>HYPERLINK("https://klasma.github.io/Logging_0883/artfynd/A 51488-2024 artfynd.xlsx", "A 51488-2024")</f>
        <v/>
      </c>
      <c r="T207">
        <f>HYPERLINK("https://klasma.github.io/Logging_0883/kartor/A 51488-2024 karta.png", "A 51488-2024")</f>
        <v/>
      </c>
      <c r="V207">
        <f>HYPERLINK("https://klasma.github.io/Logging_0883/klagomål/A 51488-2024 FSC-klagomål.docx", "A 51488-2024")</f>
        <v/>
      </c>
      <c r="W207">
        <f>HYPERLINK("https://klasma.github.io/Logging_0883/klagomålsmail/A 51488-2024 FSC-klagomål mail.docx", "A 51488-2024")</f>
        <v/>
      </c>
      <c r="X207">
        <f>HYPERLINK("https://klasma.github.io/Logging_0883/tillsyn/A 51488-2024 tillsynsbegäran.docx", "A 51488-2024")</f>
        <v/>
      </c>
      <c r="Y207">
        <f>HYPERLINK("https://klasma.github.io/Logging_0883/tillsynsmail/A 51488-2024 tillsynsbegäran mail.docx", "A 51488-2024")</f>
        <v/>
      </c>
      <c r="Z207">
        <f>HYPERLINK("https://klasma.github.io/Logging_0883/fåglar/A 51488-2024 prioriterade fågelarter.docx", "A 51488-2024")</f>
        <v/>
      </c>
    </row>
    <row r="208" ht="15" customHeight="1">
      <c r="A208" t="inlineStr">
        <is>
          <t>A 30794-2025</t>
        </is>
      </c>
      <c r="B208" s="1" t="n">
        <v>45831.63834490741</v>
      </c>
      <c r="C208" s="1" t="n">
        <v>46081</v>
      </c>
      <c r="D208" t="inlineStr">
        <is>
          <t>KALMAR LÄN</t>
        </is>
      </c>
      <c r="E208" t="inlineStr">
        <is>
          <t>VÄSTERVIK</t>
        </is>
      </c>
      <c r="G208" t="n">
        <v>4.8</v>
      </c>
      <c r="H208" t="n">
        <v>0</v>
      </c>
      <c r="I208" t="n">
        <v>0</v>
      </c>
      <c r="J208" t="n">
        <v>1</v>
      </c>
      <c r="K208" t="n">
        <v>0</v>
      </c>
      <c r="L208" t="n">
        <v>0</v>
      </c>
      <c r="M208" t="n">
        <v>0</v>
      </c>
      <c r="N208" t="n">
        <v>0</v>
      </c>
      <c r="O208" t="n">
        <v>1</v>
      </c>
      <c r="P208" t="n">
        <v>0</v>
      </c>
      <c r="Q208" t="n">
        <v>1</v>
      </c>
      <c r="R208" s="2" t="inlineStr">
        <is>
          <t>Tallticka</t>
        </is>
      </c>
      <c r="S208">
        <f>HYPERLINK("https://klasma.github.io/Logging_0883/artfynd/A 30794-2025 artfynd.xlsx", "A 30794-2025")</f>
        <v/>
      </c>
      <c r="T208">
        <f>HYPERLINK("https://klasma.github.io/Logging_0883/kartor/A 30794-2025 karta.png", "A 30794-2025")</f>
        <v/>
      </c>
      <c r="V208">
        <f>HYPERLINK("https://klasma.github.io/Logging_0883/klagomål/A 30794-2025 FSC-klagomål.docx", "A 30794-2025")</f>
        <v/>
      </c>
      <c r="W208">
        <f>HYPERLINK("https://klasma.github.io/Logging_0883/klagomålsmail/A 30794-2025 FSC-klagomål mail.docx", "A 30794-2025")</f>
        <v/>
      </c>
      <c r="X208">
        <f>HYPERLINK("https://klasma.github.io/Logging_0883/tillsyn/A 30794-2025 tillsynsbegäran.docx", "A 30794-2025")</f>
        <v/>
      </c>
      <c r="Y208">
        <f>HYPERLINK("https://klasma.github.io/Logging_0883/tillsynsmail/A 30794-2025 tillsynsbegäran mail.docx", "A 30794-2025")</f>
        <v/>
      </c>
    </row>
    <row r="209" ht="15" customHeight="1">
      <c r="A209" t="inlineStr">
        <is>
          <t>A 26056-2022</t>
        </is>
      </c>
      <c r="B209" s="1" t="n">
        <v>44734</v>
      </c>
      <c r="C209" s="1" t="n">
        <v>46081</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6657-2025</t>
        </is>
      </c>
      <c r="B210" s="1" t="n">
        <v>45700</v>
      </c>
      <c r="C210" s="1" t="n">
        <v>46081</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46081</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61806-2023</t>
        </is>
      </c>
      <c r="B212" s="1" t="n">
        <v>45266.27928240741</v>
      </c>
      <c r="C212" s="1" t="n">
        <v>46081</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Veckticka</t>
        </is>
      </c>
      <c r="S212">
        <f>HYPERLINK("https://klasma.github.io/Logging_0883/artfynd/A 61806-2023 artfynd.xlsx", "A 61806-2023")</f>
        <v/>
      </c>
      <c r="T212">
        <f>HYPERLINK("https://klasma.github.io/Logging_0883/kartor/A 61806-2023 karta.png", "A 61806-2023")</f>
        <v/>
      </c>
      <c r="V212">
        <f>HYPERLINK("https://klasma.github.io/Logging_0883/klagomål/A 61806-2023 FSC-klagomål.docx", "A 61806-2023")</f>
        <v/>
      </c>
      <c r="W212">
        <f>HYPERLINK("https://klasma.github.io/Logging_0883/klagomålsmail/A 61806-2023 FSC-klagomål mail.docx", "A 61806-2023")</f>
        <v/>
      </c>
      <c r="X212">
        <f>HYPERLINK("https://klasma.github.io/Logging_0883/tillsyn/A 61806-2023 tillsynsbegäran.docx", "A 61806-2023")</f>
        <v/>
      </c>
      <c r="Y212">
        <f>HYPERLINK("https://klasma.github.io/Logging_0883/tillsynsmail/A 61806-2023 tillsynsbegäran mail.docx", "A 61806-2023")</f>
        <v/>
      </c>
    </row>
    <row r="213" ht="15" customHeight="1">
      <c r="A213" t="inlineStr">
        <is>
          <t>A 9261-2025</t>
        </is>
      </c>
      <c r="B213" s="1" t="n">
        <v>45714.60472222222</v>
      </c>
      <c r="C213" s="1" t="n">
        <v>46081</v>
      </c>
      <c r="D213" t="inlineStr">
        <is>
          <t>KALMAR LÄN</t>
        </is>
      </c>
      <c r="E213" t="inlineStr">
        <is>
          <t>VÄSTERVIK</t>
        </is>
      </c>
      <c r="F213" t="inlineStr">
        <is>
          <t>Sveaskog</t>
        </is>
      </c>
      <c r="G213" t="n">
        <v>4.9</v>
      </c>
      <c r="H213" t="n">
        <v>1</v>
      </c>
      <c r="I213" t="n">
        <v>0</v>
      </c>
      <c r="J213" t="n">
        <v>1</v>
      </c>
      <c r="K213" t="n">
        <v>0</v>
      </c>
      <c r="L213" t="n">
        <v>0</v>
      </c>
      <c r="M213" t="n">
        <v>0</v>
      </c>
      <c r="N213" t="n">
        <v>0</v>
      </c>
      <c r="O213" t="n">
        <v>1</v>
      </c>
      <c r="P213" t="n">
        <v>0</v>
      </c>
      <c r="Q213" t="n">
        <v>1</v>
      </c>
      <c r="R213" s="2" t="inlineStr">
        <is>
          <t>Havsörn</t>
        </is>
      </c>
      <c r="S213">
        <f>HYPERLINK("https://klasma.github.io/Logging_0883/artfynd/A 9261-2025 artfynd.xlsx", "A 9261-2025")</f>
        <v/>
      </c>
      <c r="T213">
        <f>HYPERLINK("https://klasma.github.io/Logging_0883/kartor/A 9261-2025 karta.png", "A 9261-2025")</f>
        <v/>
      </c>
      <c r="V213">
        <f>HYPERLINK("https://klasma.github.io/Logging_0883/klagomål/A 9261-2025 FSC-klagomål.docx", "A 9261-2025")</f>
        <v/>
      </c>
      <c r="W213">
        <f>HYPERLINK("https://klasma.github.io/Logging_0883/klagomålsmail/A 9261-2025 FSC-klagomål mail.docx", "A 9261-2025")</f>
        <v/>
      </c>
      <c r="X213">
        <f>HYPERLINK("https://klasma.github.io/Logging_0883/tillsyn/A 9261-2025 tillsynsbegäran.docx", "A 9261-2025")</f>
        <v/>
      </c>
      <c r="Y213">
        <f>HYPERLINK("https://klasma.github.io/Logging_0883/tillsynsmail/A 9261-2025 tillsynsbegäran mail.docx", "A 9261-2025")</f>
        <v/>
      </c>
      <c r="Z213">
        <f>HYPERLINK("https://klasma.github.io/Logging_0883/fåglar/A 9261-2025 prioriterade fågelarter.docx", "A 9261-2025")</f>
        <v/>
      </c>
    </row>
    <row r="214" ht="15" customHeight="1">
      <c r="A214" t="inlineStr">
        <is>
          <t>A 55616-2024</t>
        </is>
      </c>
      <c r="B214" s="1" t="n">
        <v>45622.5916087963</v>
      </c>
      <c r="C214" s="1" t="n">
        <v>46081</v>
      </c>
      <c r="D214" t="inlineStr">
        <is>
          <t>KALMAR LÄN</t>
        </is>
      </c>
      <c r="E214" t="inlineStr">
        <is>
          <t>VÄSTERVIK</t>
        </is>
      </c>
      <c r="G214" t="n">
        <v>0.5</v>
      </c>
      <c r="H214" t="n">
        <v>1</v>
      </c>
      <c r="I214" t="n">
        <v>0</v>
      </c>
      <c r="J214" t="n">
        <v>1</v>
      </c>
      <c r="K214" t="n">
        <v>0</v>
      </c>
      <c r="L214" t="n">
        <v>0</v>
      </c>
      <c r="M214" t="n">
        <v>0</v>
      </c>
      <c r="N214" t="n">
        <v>0</v>
      </c>
      <c r="O214" t="n">
        <v>1</v>
      </c>
      <c r="P214" t="n">
        <v>0</v>
      </c>
      <c r="Q214" t="n">
        <v>1</v>
      </c>
      <c r="R214" s="2" t="inlineStr">
        <is>
          <t>Entita</t>
        </is>
      </c>
      <c r="S214">
        <f>HYPERLINK("https://klasma.github.io/Logging_0883/artfynd/A 55616-2024 artfynd.xlsx", "A 55616-2024")</f>
        <v/>
      </c>
      <c r="T214">
        <f>HYPERLINK("https://klasma.github.io/Logging_0883/kartor/A 55616-2024 karta.png", "A 55616-2024")</f>
        <v/>
      </c>
      <c r="V214">
        <f>HYPERLINK("https://klasma.github.io/Logging_0883/klagomål/A 55616-2024 FSC-klagomål.docx", "A 55616-2024")</f>
        <v/>
      </c>
      <c r="W214">
        <f>HYPERLINK("https://klasma.github.io/Logging_0883/klagomålsmail/A 55616-2024 FSC-klagomål mail.docx", "A 55616-2024")</f>
        <v/>
      </c>
      <c r="X214">
        <f>HYPERLINK("https://klasma.github.io/Logging_0883/tillsyn/A 55616-2024 tillsynsbegäran.docx", "A 55616-2024")</f>
        <v/>
      </c>
      <c r="Y214">
        <f>HYPERLINK("https://klasma.github.io/Logging_0883/tillsynsmail/A 55616-2024 tillsynsbegäran mail.docx", "A 55616-2024")</f>
        <v/>
      </c>
      <c r="Z214">
        <f>HYPERLINK("https://klasma.github.io/Logging_0883/fåglar/A 55616-2024 prioriterade fågelarter.docx", "A 55616-2024")</f>
        <v/>
      </c>
    </row>
    <row r="215" ht="15" customHeight="1">
      <c r="A215" t="inlineStr">
        <is>
          <t>A 27426-2025</t>
        </is>
      </c>
      <c r="B215" s="1" t="n">
        <v>45813</v>
      </c>
      <c r="C215" s="1" t="n">
        <v>46081</v>
      </c>
      <c r="D215" t="inlineStr">
        <is>
          <t>KALMAR LÄN</t>
        </is>
      </c>
      <c r="E215" t="inlineStr">
        <is>
          <t>VÄSTERVIK</t>
        </is>
      </c>
      <c r="G215" t="n">
        <v>2</v>
      </c>
      <c r="H215" t="n">
        <v>0</v>
      </c>
      <c r="I215" t="n">
        <v>1</v>
      </c>
      <c r="J215" t="n">
        <v>0</v>
      </c>
      <c r="K215" t="n">
        <v>0</v>
      </c>
      <c r="L215" t="n">
        <v>0</v>
      </c>
      <c r="M215" t="n">
        <v>0</v>
      </c>
      <c r="N215" t="n">
        <v>0</v>
      </c>
      <c r="O215" t="n">
        <v>0</v>
      </c>
      <c r="P215" t="n">
        <v>0</v>
      </c>
      <c r="Q215" t="n">
        <v>1</v>
      </c>
      <c r="R215" s="2" t="inlineStr">
        <is>
          <t>Vätteros</t>
        </is>
      </c>
      <c r="S215">
        <f>HYPERLINK("https://klasma.github.io/Logging_0883/artfynd/A 27426-2025 artfynd.xlsx", "A 27426-2025")</f>
        <v/>
      </c>
      <c r="T215">
        <f>HYPERLINK("https://klasma.github.io/Logging_0883/kartor/A 27426-2025 karta.png", "A 27426-2025")</f>
        <v/>
      </c>
      <c r="V215">
        <f>HYPERLINK("https://klasma.github.io/Logging_0883/klagomål/A 27426-2025 FSC-klagomål.docx", "A 27426-2025")</f>
        <v/>
      </c>
      <c r="W215">
        <f>HYPERLINK("https://klasma.github.io/Logging_0883/klagomålsmail/A 27426-2025 FSC-klagomål mail.docx", "A 27426-2025")</f>
        <v/>
      </c>
      <c r="X215">
        <f>HYPERLINK("https://klasma.github.io/Logging_0883/tillsyn/A 27426-2025 tillsynsbegäran.docx", "A 27426-2025")</f>
        <v/>
      </c>
      <c r="Y215">
        <f>HYPERLINK("https://klasma.github.io/Logging_0883/tillsynsmail/A 27426-2025 tillsynsbegäran mail.docx", "A 27426-2025")</f>
        <v/>
      </c>
    </row>
    <row r="216" ht="15" customHeight="1">
      <c r="A216" t="inlineStr">
        <is>
          <t>A 33916-2025</t>
        </is>
      </c>
      <c r="B216" s="1" t="n">
        <v>45842.61306712963</v>
      </c>
      <c r="C216" s="1" t="n">
        <v>46081</v>
      </c>
      <c r="D216" t="inlineStr">
        <is>
          <t>KALMAR LÄN</t>
        </is>
      </c>
      <c r="E216" t="inlineStr">
        <is>
          <t>VÄSTERVIK</t>
        </is>
      </c>
      <c r="G216" t="n">
        <v>0.7</v>
      </c>
      <c r="H216" t="n">
        <v>1</v>
      </c>
      <c r="I216" t="n">
        <v>0</v>
      </c>
      <c r="J216" t="n">
        <v>1</v>
      </c>
      <c r="K216" t="n">
        <v>0</v>
      </c>
      <c r="L216" t="n">
        <v>0</v>
      </c>
      <c r="M216" t="n">
        <v>0</v>
      </c>
      <c r="N216" t="n">
        <v>0</v>
      </c>
      <c r="O216" t="n">
        <v>1</v>
      </c>
      <c r="P216" t="n">
        <v>0</v>
      </c>
      <c r="Q216" t="n">
        <v>1</v>
      </c>
      <c r="R216" s="2" t="inlineStr">
        <is>
          <t>Talltita</t>
        </is>
      </c>
      <c r="S216">
        <f>HYPERLINK("https://klasma.github.io/Logging_0883/artfynd/A 33916-2025 artfynd.xlsx", "A 33916-2025")</f>
        <v/>
      </c>
      <c r="T216">
        <f>HYPERLINK("https://klasma.github.io/Logging_0883/kartor/A 33916-2025 karta.png", "A 33916-2025")</f>
        <v/>
      </c>
      <c r="V216">
        <f>HYPERLINK("https://klasma.github.io/Logging_0883/klagomål/A 33916-2025 FSC-klagomål.docx", "A 33916-2025")</f>
        <v/>
      </c>
      <c r="W216">
        <f>HYPERLINK("https://klasma.github.io/Logging_0883/klagomålsmail/A 33916-2025 FSC-klagomål mail.docx", "A 33916-2025")</f>
        <v/>
      </c>
      <c r="X216">
        <f>HYPERLINK("https://klasma.github.io/Logging_0883/tillsyn/A 33916-2025 tillsynsbegäran.docx", "A 33916-2025")</f>
        <v/>
      </c>
      <c r="Y216">
        <f>HYPERLINK("https://klasma.github.io/Logging_0883/tillsynsmail/A 33916-2025 tillsynsbegäran mail.docx", "A 33916-2025")</f>
        <v/>
      </c>
      <c r="Z216">
        <f>HYPERLINK("https://klasma.github.io/Logging_0883/fåglar/A 33916-2025 prioriterade fågelarter.docx", "A 33916-2025")</f>
        <v/>
      </c>
    </row>
    <row r="217" ht="15" customHeight="1">
      <c r="A217" t="inlineStr">
        <is>
          <t>A 25436-2023</t>
        </is>
      </c>
      <c r="B217" s="1" t="n">
        <v>45089</v>
      </c>
      <c r="C217" s="1" t="n">
        <v>46081</v>
      </c>
      <c r="D217" t="inlineStr">
        <is>
          <t>KALMAR LÄN</t>
        </is>
      </c>
      <c r="E217" t="inlineStr">
        <is>
          <t>VÄSTERVIK</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HYPERLINK("https://klasma.github.io/Logging_0883/artfynd/A 25436-2023 artfynd.xlsx", "A 25436-2023")</f>
        <v/>
      </c>
      <c r="T217">
        <f>HYPERLINK("https://klasma.github.io/Logging_0883/kartor/A 25436-2023 karta.png", "A 25436-2023")</f>
        <v/>
      </c>
      <c r="U217">
        <f>HYPERLINK("https://klasma.github.io/Logging_0883/knärot/A 25436-2023 karta knärot.png", "A 25436-2023")</f>
        <v/>
      </c>
      <c r="V217">
        <f>HYPERLINK("https://klasma.github.io/Logging_0883/klagomål/A 25436-2023 FSC-klagomål.docx", "A 25436-2023")</f>
        <v/>
      </c>
      <c r="W217">
        <f>HYPERLINK("https://klasma.github.io/Logging_0883/klagomålsmail/A 25436-2023 FSC-klagomål mail.docx", "A 25436-2023")</f>
        <v/>
      </c>
      <c r="X217">
        <f>HYPERLINK("https://klasma.github.io/Logging_0883/tillsyn/A 25436-2023 tillsynsbegäran.docx", "A 25436-2023")</f>
        <v/>
      </c>
      <c r="Y217">
        <f>HYPERLINK("https://klasma.github.io/Logging_0883/tillsynsmail/A 25436-2023 tillsynsbegäran mail.docx", "A 25436-2023")</f>
        <v/>
      </c>
    </row>
    <row r="218" ht="15" customHeight="1">
      <c r="A218" t="inlineStr">
        <is>
          <t>A 11609-2022</t>
        </is>
      </c>
      <c r="B218" s="1" t="n">
        <v>44631</v>
      </c>
      <c r="C218" s="1" t="n">
        <v>46081</v>
      </c>
      <c r="D218" t="inlineStr">
        <is>
          <t>KALMAR LÄN</t>
        </is>
      </c>
      <c r="E218" t="inlineStr">
        <is>
          <t>VÄSTERVIK</t>
        </is>
      </c>
      <c r="F218" t="inlineStr">
        <is>
          <t>Holmen skog AB</t>
        </is>
      </c>
      <c r="G218" t="n">
        <v>3.2</v>
      </c>
      <c r="H218" t="n">
        <v>0</v>
      </c>
      <c r="I218" t="n">
        <v>0</v>
      </c>
      <c r="J218" t="n">
        <v>1</v>
      </c>
      <c r="K218" t="n">
        <v>0</v>
      </c>
      <c r="L218" t="n">
        <v>0</v>
      </c>
      <c r="M218" t="n">
        <v>0</v>
      </c>
      <c r="N218" t="n">
        <v>0</v>
      </c>
      <c r="O218" t="n">
        <v>1</v>
      </c>
      <c r="P218" t="n">
        <v>0</v>
      </c>
      <c r="Q218" t="n">
        <v>1</v>
      </c>
      <c r="R218" s="2" t="inlineStr">
        <is>
          <t>Tallticka</t>
        </is>
      </c>
      <c r="S218">
        <f>HYPERLINK("https://klasma.github.io/Logging_0883/artfynd/A 11609-2022 artfynd.xlsx", "A 11609-2022")</f>
        <v/>
      </c>
      <c r="T218">
        <f>HYPERLINK("https://klasma.github.io/Logging_0883/kartor/A 11609-2022 karta.png", "A 11609-2022")</f>
        <v/>
      </c>
      <c r="U218">
        <f>HYPERLINK("https://klasma.github.io/Logging_0883/knärot/A 11609-2022 karta knärot.png", "A 11609-2022")</f>
        <v/>
      </c>
      <c r="V218">
        <f>HYPERLINK("https://klasma.github.io/Logging_0883/klagomål/A 11609-2022 FSC-klagomål.docx", "A 11609-2022")</f>
        <v/>
      </c>
      <c r="W218">
        <f>HYPERLINK("https://klasma.github.io/Logging_0883/klagomålsmail/A 11609-2022 FSC-klagomål mail.docx", "A 11609-2022")</f>
        <v/>
      </c>
      <c r="X218">
        <f>HYPERLINK("https://klasma.github.io/Logging_0883/tillsyn/A 11609-2022 tillsynsbegäran.docx", "A 11609-2022")</f>
        <v/>
      </c>
      <c r="Y218">
        <f>HYPERLINK("https://klasma.github.io/Logging_0883/tillsynsmail/A 11609-2022 tillsynsbegäran mail.docx", "A 11609-2022")</f>
        <v/>
      </c>
    </row>
    <row r="219" ht="15" customHeight="1">
      <c r="A219" t="inlineStr">
        <is>
          <t>A 34168-2025</t>
        </is>
      </c>
      <c r="B219" s="1" t="n">
        <v>45845.58349537037</v>
      </c>
      <c r="C219" s="1" t="n">
        <v>46081</v>
      </c>
      <c r="D219" t="inlineStr">
        <is>
          <t>KALMAR LÄN</t>
        </is>
      </c>
      <c r="E219" t="inlineStr">
        <is>
          <t>VÄSTERVIK</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HYPERLINK("https://klasma.github.io/Logging_0883/artfynd/A 34168-2025 artfynd.xlsx", "A 34168-2025")</f>
        <v/>
      </c>
      <c r="T219">
        <f>HYPERLINK("https://klasma.github.io/Logging_0883/kartor/A 34168-2025 karta.png", "A 34168-2025")</f>
        <v/>
      </c>
      <c r="V219">
        <f>HYPERLINK("https://klasma.github.io/Logging_0883/klagomål/A 34168-2025 FSC-klagomål.docx", "A 34168-2025")</f>
        <v/>
      </c>
      <c r="W219">
        <f>HYPERLINK("https://klasma.github.io/Logging_0883/klagomålsmail/A 34168-2025 FSC-klagomål mail.docx", "A 34168-2025")</f>
        <v/>
      </c>
      <c r="X219">
        <f>HYPERLINK("https://klasma.github.io/Logging_0883/tillsyn/A 34168-2025 tillsynsbegäran.docx", "A 34168-2025")</f>
        <v/>
      </c>
      <c r="Y219">
        <f>HYPERLINK("https://klasma.github.io/Logging_0883/tillsynsmail/A 34168-2025 tillsynsbegäran mail.docx", "A 34168-2025")</f>
        <v/>
      </c>
      <c r="Z219">
        <f>HYPERLINK("https://klasma.github.io/Logging_0883/fåglar/A 34168-2025 prioriterade fågelarter.docx", "A 34168-2025")</f>
        <v/>
      </c>
    </row>
    <row r="220" ht="15" customHeight="1">
      <c r="A220" t="inlineStr">
        <is>
          <t>A 34166-2025</t>
        </is>
      </c>
      <c r="B220" s="1" t="n">
        <v>45845.5819675926</v>
      </c>
      <c r="C220" s="1" t="n">
        <v>46081</v>
      </c>
      <c r="D220" t="inlineStr">
        <is>
          <t>KALMAR LÄN</t>
        </is>
      </c>
      <c r="E220" t="inlineStr">
        <is>
          <t>VÄSTERVIK</t>
        </is>
      </c>
      <c r="G220" t="n">
        <v>3.5</v>
      </c>
      <c r="H220" t="n">
        <v>0</v>
      </c>
      <c r="I220" t="n">
        <v>0</v>
      </c>
      <c r="J220" t="n">
        <v>0</v>
      </c>
      <c r="K220" t="n">
        <v>0</v>
      </c>
      <c r="L220" t="n">
        <v>0</v>
      </c>
      <c r="M220" t="n">
        <v>1</v>
      </c>
      <c r="N220" t="n">
        <v>0</v>
      </c>
      <c r="O220" t="n">
        <v>1</v>
      </c>
      <c r="P220" t="n">
        <v>1</v>
      </c>
      <c r="Q220" t="n">
        <v>1</v>
      </c>
      <c r="R220" s="2" t="inlineStr">
        <is>
          <t>Skogsalm</t>
        </is>
      </c>
      <c r="S220">
        <f>HYPERLINK("https://klasma.github.io/Logging_0883/artfynd/A 34166-2025 artfynd.xlsx", "A 34166-2025")</f>
        <v/>
      </c>
      <c r="T220">
        <f>HYPERLINK("https://klasma.github.io/Logging_0883/kartor/A 34166-2025 karta.png", "A 34166-2025")</f>
        <v/>
      </c>
      <c r="V220">
        <f>HYPERLINK("https://klasma.github.io/Logging_0883/klagomål/A 34166-2025 FSC-klagomål.docx", "A 34166-2025")</f>
        <v/>
      </c>
      <c r="W220">
        <f>HYPERLINK("https://klasma.github.io/Logging_0883/klagomålsmail/A 34166-2025 FSC-klagomål mail.docx", "A 34166-2025")</f>
        <v/>
      </c>
      <c r="X220">
        <f>HYPERLINK("https://klasma.github.io/Logging_0883/tillsyn/A 34166-2025 tillsynsbegäran.docx", "A 34166-2025")</f>
        <v/>
      </c>
      <c r="Y220">
        <f>HYPERLINK("https://klasma.github.io/Logging_0883/tillsynsmail/A 34166-2025 tillsynsbegäran mail.docx", "A 34166-2025")</f>
        <v/>
      </c>
    </row>
    <row r="221" ht="15" customHeight="1">
      <c r="A221" t="inlineStr">
        <is>
          <t>A 34212-2025</t>
        </is>
      </c>
      <c r="B221" s="1" t="n">
        <v>45845.64383101852</v>
      </c>
      <c r="C221" s="1" t="n">
        <v>46081</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11195-2024</t>
        </is>
      </c>
      <c r="B222" s="1" t="n">
        <v>45371</v>
      </c>
      <c r="C222" s="1" t="n">
        <v>46081</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44618-2025</t>
        </is>
      </c>
      <c r="B223" s="1" t="n">
        <v>45917.46385416666</v>
      </c>
      <c r="C223" s="1" t="n">
        <v>46081</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46081</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34563-2023</t>
        </is>
      </c>
      <c r="B225" s="1" t="n">
        <v>45140.52086805556</v>
      </c>
      <c r="C225" s="1" t="n">
        <v>46081</v>
      </c>
      <c r="D225" t="inlineStr">
        <is>
          <t>KALMAR LÄN</t>
        </is>
      </c>
      <c r="E225" t="inlineStr">
        <is>
          <t>VÄSTERVIK</t>
        </is>
      </c>
      <c r="G225" t="n">
        <v>1.4</v>
      </c>
      <c r="H225" t="n">
        <v>0</v>
      </c>
      <c r="I225" t="n">
        <v>1</v>
      </c>
      <c r="J225" t="n">
        <v>0</v>
      </c>
      <c r="K225" t="n">
        <v>0</v>
      </c>
      <c r="L225" t="n">
        <v>0</v>
      </c>
      <c r="M225" t="n">
        <v>0</v>
      </c>
      <c r="N225" t="n">
        <v>0</v>
      </c>
      <c r="O225" t="n">
        <v>0</v>
      </c>
      <c r="P225" t="n">
        <v>0</v>
      </c>
      <c r="Q225" t="n">
        <v>1</v>
      </c>
      <c r="R225" s="2" t="inlineStr">
        <is>
          <t>Fjällig taggsvamp s.str.</t>
        </is>
      </c>
      <c r="S225">
        <f>HYPERLINK("https://klasma.github.io/Logging_0883/artfynd/A 34563-2023 artfynd.xlsx", "A 34563-2023")</f>
        <v/>
      </c>
      <c r="T225">
        <f>HYPERLINK("https://klasma.github.io/Logging_0883/kartor/A 34563-2023 karta.png", "A 34563-2023")</f>
        <v/>
      </c>
      <c r="U225">
        <f>HYPERLINK("https://klasma.github.io/Logging_0883/knärot/A 34563-2023 karta knärot.png", "A 34563-2023")</f>
        <v/>
      </c>
      <c r="V225">
        <f>HYPERLINK("https://klasma.github.io/Logging_0883/klagomål/A 34563-2023 FSC-klagomål.docx", "A 34563-2023")</f>
        <v/>
      </c>
      <c r="W225">
        <f>HYPERLINK("https://klasma.github.io/Logging_0883/klagomålsmail/A 34563-2023 FSC-klagomål mail.docx", "A 34563-2023")</f>
        <v/>
      </c>
      <c r="X225">
        <f>HYPERLINK("https://klasma.github.io/Logging_0883/tillsyn/A 34563-2023 tillsynsbegäran.docx", "A 34563-2023")</f>
        <v/>
      </c>
      <c r="Y225">
        <f>HYPERLINK("https://klasma.github.io/Logging_0883/tillsynsmail/A 34563-2023 tillsynsbegäran mail.docx", "A 34563-2023")</f>
        <v/>
      </c>
    </row>
    <row r="226" ht="15" customHeight="1">
      <c r="A226" t="inlineStr">
        <is>
          <t>A 25447-2021</t>
        </is>
      </c>
      <c r="B226" s="1" t="n">
        <v>44342</v>
      </c>
      <c r="C226" s="1" t="n">
        <v>46081</v>
      </c>
      <c r="D226" t="inlineStr">
        <is>
          <t>KALMAR LÄN</t>
        </is>
      </c>
      <c r="E226" t="inlineStr">
        <is>
          <t>VÄSTERVIK</t>
        </is>
      </c>
      <c r="F226" t="inlineStr">
        <is>
          <t>Holmen skog AB</t>
        </is>
      </c>
      <c r="G226" t="n">
        <v>9</v>
      </c>
      <c r="H226" t="n">
        <v>1</v>
      </c>
      <c r="I226" t="n">
        <v>0</v>
      </c>
      <c r="J226" t="n">
        <v>0</v>
      </c>
      <c r="K226" t="n">
        <v>1</v>
      </c>
      <c r="L226" t="n">
        <v>0</v>
      </c>
      <c r="M226" t="n">
        <v>0</v>
      </c>
      <c r="N226" t="n">
        <v>0</v>
      </c>
      <c r="O226" t="n">
        <v>1</v>
      </c>
      <c r="P226" t="n">
        <v>1</v>
      </c>
      <c r="Q226" t="n">
        <v>1</v>
      </c>
      <c r="R226" s="2" t="inlineStr">
        <is>
          <t>Knärot</t>
        </is>
      </c>
      <c r="S226">
        <f>HYPERLINK("https://klasma.github.io/Logging_0883/artfynd/A 25447-2021 artfynd.xlsx", "A 25447-2021")</f>
        <v/>
      </c>
      <c r="T226">
        <f>HYPERLINK("https://klasma.github.io/Logging_0883/kartor/A 25447-2021 karta.png", "A 25447-2021")</f>
        <v/>
      </c>
      <c r="U226">
        <f>HYPERLINK("https://klasma.github.io/Logging_0883/knärot/A 25447-2021 karta knärot.png", "A 25447-2021")</f>
        <v/>
      </c>
      <c r="V226">
        <f>HYPERLINK("https://klasma.github.io/Logging_0883/klagomål/A 25447-2021 FSC-klagomål.docx", "A 25447-2021")</f>
        <v/>
      </c>
      <c r="W226">
        <f>HYPERLINK("https://klasma.github.io/Logging_0883/klagomålsmail/A 25447-2021 FSC-klagomål mail.docx", "A 25447-2021")</f>
        <v/>
      </c>
      <c r="X226">
        <f>HYPERLINK("https://klasma.github.io/Logging_0883/tillsyn/A 25447-2021 tillsynsbegäran.docx", "A 25447-2021")</f>
        <v/>
      </c>
      <c r="Y226">
        <f>HYPERLINK("https://klasma.github.io/Logging_0883/tillsynsmail/A 25447-2021 tillsynsbegäran mail.docx", "A 25447-2021")</f>
        <v/>
      </c>
    </row>
    <row r="227" ht="15" customHeight="1">
      <c r="A227" t="inlineStr">
        <is>
          <t>A 10768-2025</t>
        </is>
      </c>
      <c r="B227" s="1" t="n">
        <v>45722.46649305556</v>
      </c>
      <c r="C227" s="1" t="n">
        <v>46081</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12292-2025</t>
        </is>
      </c>
      <c r="B228" s="1" t="n">
        <v>45729.68322916667</v>
      </c>
      <c r="C228" s="1" t="n">
        <v>46081</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46081</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24048-2021</t>
        </is>
      </c>
      <c r="B230" s="1" t="n">
        <v>44336</v>
      </c>
      <c r="C230" s="1" t="n">
        <v>46081</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1370-2024</t>
        </is>
      </c>
      <c r="B231" s="1" t="n">
        <v>45303</v>
      </c>
      <c r="C231" s="1" t="n">
        <v>46081</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14131-2025</t>
        </is>
      </c>
      <c r="B232" s="1" t="n">
        <v>45740.47480324074</v>
      </c>
      <c r="C232" s="1" t="n">
        <v>46081</v>
      </c>
      <c r="D232" t="inlineStr">
        <is>
          <t>KALMAR LÄN</t>
        </is>
      </c>
      <c r="E232" t="inlineStr">
        <is>
          <t>VÄSTERVIK</t>
        </is>
      </c>
      <c r="F232" t="inlineStr">
        <is>
          <t>Sveaskog</t>
        </is>
      </c>
      <c r="G232" t="n">
        <v>0.7</v>
      </c>
      <c r="H232" t="n">
        <v>1</v>
      </c>
      <c r="I232" t="n">
        <v>0</v>
      </c>
      <c r="J232" t="n">
        <v>0</v>
      </c>
      <c r="K232" t="n">
        <v>0</v>
      </c>
      <c r="L232" t="n">
        <v>0</v>
      </c>
      <c r="M232" t="n">
        <v>0</v>
      </c>
      <c r="N232" t="n">
        <v>0</v>
      </c>
      <c r="O232" t="n">
        <v>0</v>
      </c>
      <c r="P232" t="n">
        <v>0</v>
      </c>
      <c r="Q232" t="n">
        <v>1</v>
      </c>
      <c r="R232" s="2" t="inlineStr">
        <is>
          <t>Blåsippa</t>
        </is>
      </c>
      <c r="S232">
        <f>HYPERLINK("https://klasma.github.io/Logging_0883/artfynd/A 14131-2025 artfynd.xlsx", "A 14131-2025")</f>
        <v/>
      </c>
      <c r="T232">
        <f>HYPERLINK("https://klasma.github.io/Logging_0883/kartor/A 14131-2025 karta.png", "A 14131-2025")</f>
        <v/>
      </c>
      <c r="V232">
        <f>HYPERLINK("https://klasma.github.io/Logging_0883/klagomål/A 14131-2025 FSC-klagomål.docx", "A 14131-2025")</f>
        <v/>
      </c>
      <c r="W232">
        <f>HYPERLINK("https://klasma.github.io/Logging_0883/klagomålsmail/A 14131-2025 FSC-klagomål mail.docx", "A 14131-2025")</f>
        <v/>
      </c>
      <c r="X232">
        <f>HYPERLINK("https://klasma.github.io/Logging_0883/tillsyn/A 14131-2025 tillsynsbegäran.docx", "A 14131-2025")</f>
        <v/>
      </c>
      <c r="Y232">
        <f>HYPERLINK("https://klasma.github.io/Logging_0883/tillsynsmail/A 14131-2025 tillsynsbegäran mail.docx", "A 14131-2025")</f>
        <v/>
      </c>
    </row>
    <row r="233" ht="15" customHeight="1">
      <c r="A233" t="inlineStr">
        <is>
          <t>A 48897-2025</t>
        </is>
      </c>
      <c r="B233" s="1" t="n">
        <v>45937.47533564815</v>
      </c>
      <c r="C233" s="1" t="n">
        <v>46081</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11165-2024</t>
        </is>
      </c>
      <c r="B234" s="1" t="n">
        <v>45371</v>
      </c>
      <c r="C234" s="1" t="n">
        <v>46081</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50172-2025</t>
        </is>
      </c>
      <c r="B235" s="1" t="n">
        <v>45943.60153935185</v>
      </c>
      <c r="C235" s="1" t="n">
        <v>46081</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16695-2025</t>
        </is>
      </c>
      <c r="B236" s="1" t="n">
        <v>45754.46579861111</v>
      </c>
      <c r="C236" s="1" t="n">
        <v>46081</v>
      </c>
      <c r="D236" t="inlineStr">
        <is>
          <t>KALMAR LÄN</t>
        </is>
      </c>
      <c r="E236" t="inlineStr">
        <is>
          <t>VÄSTERVIK</t>
        </is>
      </c>
      <c r="F236" t="inlineStr">
        <is>
          <t>Sveaskog</t>
        </is>
      </c>
      <c r="G236" t="n">
        <v>1.8</v>
      </c>
      <c r="H236" t="n">
        <v>1</v>
      </c>
      <c r="I236" t="n">
        <v>0</v>
      </c>
      <c r="J236" t="n">
        <v>0</v>
      </c>
      <c r="K236" t="n">
        <v>0</v>
      </c>
      <c r="L236" t="n">
        <v>0</v>
      </c>
      <c r="M236" t="n">
        <v>0</v>
      </c>
      <c r="N236" t="n">
        <v>0</v>
      </c>
      <c r="O236" t="n">
        <v>0</v>
      </c>
      <c r="P236" t="n">
        <v>0</v>
      </c>
      <c r="Q236" t="n">
        <v>1</v>
      </c>
      <c r="R236" s="2" t="inlineStr">
        <is>
          <t>Kungsfågel</t>
        </is>
      </c>
      <c r="S236">
        <f>HYPERLINK("https://klasma.github.io/Logging_0883/artfynd/A 16695-2025 artfynd.xlsx", "A 16695-2025")</f>
        <v/>
      </c>
      <c r="T236">
        <f>HYPERLINK("https://klasma.github.io/Logging_0883/kartor/A 16695-2025 karta.png", "A 16695-2025")</f>
        <v/>
      </c>
      <c r="V236">
        <f>HYPERLINK("https://klasma.github.io/Logging_0883/klagomål/A 16695-2025 FSC-klagomål.docx", "A 16695-2025")</f>
        <v/>
      </c>
      <c r="W236">
        <f>HYPERLINK("https://klasma.github.io/Logging_0883/klagomålsmail/A 16695-2025 FSC-klagomål mail.docx", "A 16695-2025")</f>
        <v/>
      </c>
      <c r="X236">
        <f>HYPERLINK("https://klasma.github.io/Logging_0883/tillsyn/A 16695-2025 tillsynsbegäran.docx", "A 16695-2025")</f>
        <v/>
      </c>
      <c r="Y236">
        <f>HYPERLINK("https://klasma.github.io/Logging_0883/tillsynsmail/A 16695-2025 tillsynsbegäran mail.docx", "A 16695-2025")</f>
        <v/>
      </c>
      <c r="Z236">
        <f>HYPERLINK("https://klasma.github.io/Logging_0883/fåglar/A 16695-2025 prioriterade fågelarter.docx", "A 16695-2025")</f>
        <v/>
      </c>
    </row>
    <row r="237" ht="15" customHeight="1">
      <c r="A237" t="inlineStr">
        <is>
          <t>A 16697-2025</t>
        </is>
      </c>
      <c r="B237" s="1" t="n">
        <v>45754.46709490741</v>
      </c>
      <c r="C237" s="1" t="n">
        <v>46081</v>
      </c>
      <c r="D237" t="inlineStr">
        <is>
          <t>KALMAR LÄN</t>
        </is>
      </c>
      <c r="E237" t="inlineStr">
        <is>
          <t>VÄSTERVIK</t>
        </is>
      </c>
      <c r="F237" t="inlineStr">
        <is>
          <t>Sveaskog</t>
        </is>
      </c>
      <c r="G237" t="n">
        <v>1.3</v>
      </c>
      <c r="H237" t="n">
        <v>1</v>
      </c>
      <c r="I237" t="n">
        <v>0</v>
      </c>
      <c r="J237" t="n">
        <v>1</v>
      </c>
      <c r="K237" t="n">
        <v>0</v>
      </c>
      <c r="L237" t="n">
        <v>0</v>
      </c>
      <c r="M237" t="n">
        <v>0</v>
      </c>
      <c r="N237" t="n">
        <v>0</v>
      </c>
      <c r="O237" t="n">
        <v>1</v>
      </c>
      <c r="P237" t="n">
        <v>0</v>
      </c>
      <c r="Q237" t="n">
        <v>1</v>
      </c>
      <c r="R237" s="2" t="inlineStr">
        <is>
          <t>Spillkråka</t>
        </is>
      </c>
      <c r="S237">
        <f>HYPERLINK("https://klasma.github.io/Logging_0883/artfynd/A 16697-2025 artfynd.xlsx", "A 16697-2025")</f>
        <v/>
      </c>
      <c r="T237">
        <f>HYPERLINK("https://klasma.github.io/Logging_0883/kartor/A 16697-2025 karta.png", "A 16697-2025")</f>
        <v/>
      </c>
      <c r="V237">
        <f>HYPERLINK("https://klasma.github.io/Logging_0883/klagomål/A 16697-2025 FSC-klagomål.docx", "A 16697-2025")</f>
        <v/>
      </c>
      <c r="W237">
        <f>HYPERLINK("https://klasma.github.io/Logging_0883/klagomålsmail/A 16697-2025 FSC-klagomål mail.docx", "A 16697-2025")</f>
        <v/>
      </c>
      <c r="X237">
        <f>HYPERLINK("https://klasma.github.io/Logging_0883/tillsyn/A 16697-2025 tillsynsbegäran.docx", "A 16697-2025")</f>
        <v/>
      </c>
      <c r="Y237">
        <f>HYPERLINK("https://klasma.github.io/Logging_0883/tillsynsmail/A 16697-2025 tillsynsbegäran mail.docx", "A 16697-2025")</f>
        <v/>
      </c>
      <c r="Z237">
        <f>HYPERLINK("https://klasma.github.io/Logging_0883/fåglar/A 16697-2025 prioriterade fågelarter.docx", "A 16697-2025")</f>
        <v/>
      </c>
    </row>
    <row r="238" ht="15" customHeight="1">
      <c r="A238" t="inlineStr">
        <is>
          <t>A 17952-2025</t>
        </is>
      </c>
      <c r="B238" s="1" t="n">
        <v>45760.85842592592</v>
      </c>
      <c r="C238" s="1" t="n">
        <v>46081</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52194-2025</t>
        </is>
      </c>
      <c r="B239" s="1" t="n">
        <v>45953.39189814815</v>
      </c>
      <c r="C239" s="1" t="n">
        <v>46081</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52194-2025 artfynd.xlsx", "A 52194-2025")</f>
        <v/>
      </c>
      <c r="T239">
        <f>HYPERLINK("https://klasma.github.io/Logging_0883/kartor/A 52194-2025 karta.png", "A 52194-2025")</f>
        <v/>
      </c>
      <c r="V239">
        <f>HYPERLINK("https://klasma.github.io/Logging_0883/klagomål/A 52194-2025 FSC-klagomål.docx", "A 52194-2025")</f>
        <v/>
      </c>
      <c r="W239">
        <f>HYPERLINK("https://klasma.github.io/Logging_0883/klagomålsmail/A 52194-2025 FSC-klagomål mail.docx", "A 52194-2025")</f>
        <v/>
      </c>
      <c r="X239">
        <f>HYPERLINK("https://klasma.github.io/Logging_0883/tillsyn/A 52194-2025 tillsynsbegäran.docx", "A 52194-2025")</f>
        <v/>
      </c>
      <c r="Y239">
        <f>HYPERLINK("https://klasma.github.io/Logging_0883/tillsynsmail/A 52194-2025 tillsynsbegäran mail.docx", "A 52194-2025")</f>
        <v/>
      </c>
    </row>
    <row r="240" ht="15" customHeight="1">
      <c r="A240" t="inlineStr">
        <is>
          <t>A 6025-2024</t>
        </is>
      </c>
      <c r="B240" s="1" t="n">
        <v>45336</v>
      </c>
      <c r="C240" s="1" t="n">
        <v>46081</v>
      </c>
      <c r="D240" t="inlineStr">
        <is>
          <t>KALMAR LÄN</t>
        </is>
      </c>
      <c r="E240" t="inlineStr">
        <is>
          <t>VÄSTERVIK</t>
        </is>
      </c>
      <c r="G240" t="n">
        <v>2.8</v>
      </c>
      <c r="H240" t="n">
        <v>0</v>
      </c>
      <c r="I240" t="n">
        <v>0</v>
      </c>
      <c r="J240" t="n">
        <v>1</v>
      </c>
      <c r="K240" t="n">
        <v>0</v>
      </c>
      <c r="L240" t="n">
        <v>0</v>
      </c>
      <c r="M240" t="n">
        <v>0</v>
      </c>
      <c r="N240" t="n">
        <v>0</v>
      </c>
      <c r="O240" t="n">
        <v>1</v>
      </c>
      <c r="P240" t="n">
        <v>0</v>
      </c>
      <c r="Q240" t="n">
        <v>1</v>
      </c>
      <c r="R240" s="2" t="inlineStr">
        <is>
          <t>Tallticka</t>
        </is>
      </c>
      <c r="S240">
        <f>HYPERLINK("https://klasma.github.io/Logging_0883/artfynd/A 6025-2024 artfynd.xlsx", "A 6025-2024")</f>
        <v/>
      </c>
      <c r="T240">
        <f>HYPERLINK("https://klasma.github.io/Logging_0883/kartor/A 6025-2024 karta.png", "A 6025-2024")</f>
        <v/>
      </c>
      <c r="V240">
        <f>HYPERLINK("https://klasma.github.io/Logging_0883/klagomål/A 6025-2024 FSC-klagomål.docx", "A 6025-2024")</f>
        <v/>
      </c>
      <c r="W240">
        <f>HYPERLINK("https://klasma.github.io/Logging_0883/klagomålsmail/A 6025-2024 FSC-klagomål mail.docx", "A 6025-2024")</f>
        <v/>
      </c>
      <c r="X240">
        <f>HYPERLINK("https://klasma.github.io/Logging_0883/tillsyn/A 6025-2024 tillsynsbegäran.docx", "A 6025-2024")</f>
        <v/>
      </c>
      <c r="Y240">
        <f>HYPERLINK("https://klasma.github.io/Logging_0883/tillsynsmail/A 6025-2024 tillsynsbegäran mail.docx", "A 6025-2024")</f>
        <v/>
      </c>
    </row>
    <row r="241" ht="15" customHeight="1">
      <c r="A241" t="inlineStr">
        <is>
          <t>A 53877-2025</t>
        </is>
      </c>
      <c r="B241" s="1" t="n">
        <v>45961.39565972222</v>
      </c>
      <c r="C241" s="1" t="n">
        <v>46081</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46081</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53860-2025</t>
        </is>
      </c>
      <c r="B243" s="1" t="n">
        <v>45961.37815972222</v>
      </c>
      <c r="C243" s="1" t="n">
        <v>46081</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53875-2025</t>
        </is>
      </c>
      <c r="B244" s="1" t="n">
        <v>45961.3937962963</v>
      </c>
      <c r="C244" s="1" t="n">
        <v>46081</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32653-2023</t>
        </is>
      </c>
      <c r="B245" s="1" t="n">
        <v>45121</v>
      </c>
      <c r="C245" s="1" t="n">
        <v>46081</v>
      </c>
      <c r="D245" t="inlineStr">
        <is>
          <t>KALMAR LÄN</t>
        </is>
      </c>
      <c r="E245" t="inlineStr">
        <is>
          <t>VÄSTERVIK</t>
        </is>
      </c>
      <c r="G245" t="n">
        <v>1.4</v>
      </c>
      <c r="H245" t="n">
        <v>1</v>
      </c>
      <c r="I245" t="n">
        <v>0</v>
      </c>
      <c r="J245" t="n">
        <v>0</v>
      </c>
      <c r="K245" t="n">
        <v>1</v>
      </c>
      <c r="L245" t="n">
        <v>0</v>
      </c>
      <c r="M245" t="n">
        <v>0</v>
      </c>
      <c r="N245" t="n">
        <v>0</v>
      </c>
      <c r="O245" t="n">
        <v>1</v>
      </c>
      <c r="P245" t="n">
        <v>1</v>
      </c>
      <c r="Q245" t="n">
        <v>1</v>
      </c>
      <c r="R245" s="2" t="inlineStr">
        <is>
          <t>Knärot</t>
        </is>
      </c>
      <c r="S245">
        <f>HYPERLINK("https://klasma.github.io/Logging_0883/artfynd/A 32653-2023 artfynd.xlsx", "A 32653-2023")</f>
        <v/>
      </c>
      <c r="T245">
        <f>HYPERLINK("https://klasma.github.io/Logging_0883/kartor/A 32653-2023 karta.png", "A 32653-2023")</f>
        <v/>
      </c>
      <c r="U245">
        <f>HYPERLINK("https://klasma.github.io/Logging_0883/knärot/A 32653-2023 karta knärot.png", "A 32653-2023")</f>
        <v/>
      </c>
      <c r="V245">
        <f>HYPERLINK("https://klasma.github.io/Logging_0883/klagomål/A 32653-2023 FSC-klagomål.docx", "A 32653-2023")</f>
        <v/>
      </c>
      <c r="W245">
        <f>HYPERLINK("https://klasma.github.io/Logging_0883/klagomålsmail/A 32653-2023 FSC-klagomål mail.docx", "A 32653-2023")</f>
        <v/>
      </c>
      <c r="X245">
        <f>HYPERLINK("https://klasma.github.io/Logging_0883/tillsyn/A 32653-2023 tillsynsbegäran.docx", "A 32653-2023")</f>
        <v/>
      </c>
      <c r="Y245">
        <f>HYPERLINK("https://klasma.github.io/Logging_0883/tillsynsmail/A 32653-2023 tillsynsbegäran mail.docx", "A 32653-2023")</f>
        <v/>
      </c>
    </row>
    <row r="246" ht="15" customHeight="1">
      <c r="A246" t="inlineStr">
        <is>
          <t>A 54859-2025</t>
        </is>
      </c>
      <c r="B246" s="1" t="n">
        <v>45966.75758101852</v>
      </c>
      <c r="C246" s="1" t="n">
        <v>46081</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57451-2025</t>
        </is>
      </c>
      <c r="B247" s="1" t="n">
        <v>45980.50101851852</v>
      </c>
      <c r="C247" s="1" t="n">
        <v>46081</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33815-2023</t>
        </is>
      </c>
      <c r="B248" s="1" t="n">
        <v>45133.59306712963</v>
      </c>
      <c r="C248" s="1" t="n">
        <v>46081</v>
      </c>
      <c r="D248" t="inlineStr">
        <is>
          <t>KALMAR LÄN</t>
        </is>
      </c>
      <c r="E248" t="inlineStr">
        <is>
          <t>VÄSTERVIK</t>
        </is>
      </c>
      <c r="G248" t="n">
        <v>3.4</v>
      </c>
      <c r="H248" t="n">
        <v>0</v>
      </c>
      <c r="I248" t="n">
        <v>1</v>
      </c>
      <c r="J248" t="n">
        <v>0</v>
      </c>
      <c r="K248" t="n">
        <v>0</v>
      </c>
      <c r="L248" t="n">
        <v>0</v>
      </c>
      <c r="M248" t="n">
        <v>0</v>
      </c>
      <c r="N248" t="n">
        <v>0</v>
      </c>
      <c r="O248" t="n">
        <v>0</v>
      </c>
      <c r="P248" t="n">
        <v>0</v>
      </c>
      <c r="Q248" t="n">
        <v>1</v>
      </c>
      <c r="R248" s="2" t="inlineStr">
        <is>
          <t>Grönpyrola</t>
        </is>
      </c>
      <c r="S248">
        <f>HYPERLINK("https://klasma.github.io/Logging_0883/artfynd/A 33815-2023 artfynd.xlsx", "A 33815-2023")</f>
        <v/>
      </c>
      <c r="T248">
        <f>HYPERLINK("https://klasma.github.io/Logging_0883/kartor/A 33815-2023 karta.png", "A 33815-2023")</f>
        <v/>
      </c>
      <c r="V248">
        <f>HYPERLINK("https://klasma.github.io/Logging_0883/klagomål/A 33815-2023 FSC-klagomål.docx", "A 33815-2023")</f>
        <v/>
      </c>
      <c r="W248">
        <f>HYPERLINK("https://klasma.github.io/Logging_0883/klagomålsmail/A 33815-2023 FSC-klagomål mail.docx", "A 33815-2023")</f>
        <v/>
      </c>
      <c r="X248">
        <f>HYPERLINK("https://klasma.github.io/Logging_0883/tillsyn/A 33815-2023 tillsynsbegäran.docx", "A 33815-2023")</f>
        <v/>
      </c>
      <c r="Y248">
        <f>HYPERLINK("https://klasma.github.io/Logging_0883/tillsynsmail/A 33815-2023 tillsynsbegäran mail.docx", "A 33815-2023")</f>
        <v/>
      </c>
    </row>
    <row r="249" ht="15" customHeight="1">
      <c r="A249" t="inlineStr">
        <is>
          <t>A 33816-2023</t>
        </is>
      </c>
      <c r="B249" s="1" t="n">
        <v>45133.59490740741</v>
      </c>
      <c r="C249" s="1" t="n">
        <v>46081</v>
      </c>
      <c r="D249" t="inlineStr">
        <is>
          <t>KALMAR LÄN</t>
        </is>
      </c>
      <c r="E249" t="inlineStr">
        <is>
          <t>VÄSTERVIK</t>
        </is>
      </c>
      <c r="G249" t="n">
        <v>4.9</v>
      </c>
      <c r="H249" t="n">
        <v>0</v>
      </c>
      <c r="I249" t="n">
        <v>0</v>
      </c>
      <c r="J249" t="n">
        <v>1</v>
      </c>
      <c r="K249" t="n">
        <v>0</v>
      </c>
      <c r="L249" t="n">
        <v>0</v>
      </c>
      <c r="M249" t="n">
        <v>0</v>
      </c>
      <c r="N249" t="n">
        <v>0</v>
      </c>
      <c r="O249" t="n">
        <v>1</v>
      </c>
      <c r="P249" t="n">
        <v>0</v>
      </c>
      <c r="Q249" t="n">
        <v>1</v>
      </c>
      <c r="R249" s="2" t="inlineStr">
        <is>
          <t>Tallticka</t>
        </is>
      </c>
      <c r="S249">
        <f>HYPERLINK("https://klasma.github.io/Logging_0883/artfynd/A 33816-2023 artfynd.xlsx", "A 33816-2023")</f>
        <v/>
      </c>
      <c r="T249">
        <f>HYPERLINK("https://klasma.github.io/Logging_0883/kartor/A 33816-2023 karta.png", "A 33816-2023")</f>
        <v/>
      </c>
      <c r="V249">
        <f>HYPERLINK("https://klasma.github.io/Logging_0883/klagomål/A 33816-2023 FSC-klagomål.docx", "A 33816-2023")</f>
        <v/>
      </c>
      <c r="W249">
        <f>HYPERLINK("https://klasma.github.io/Logging_0883/klagomålsmail/A 33816-2023 FSC-klagomål mail.docx", "A 33816-2023")</f>
        <v/>
      </c>
      <c r="X249">
        <f>HYPERLINK("https://klasma.github.io/Logging_0883/tillsyn/A 33816-2023 tillsynsbegäran.docx", "A 33816-2023")</f>
        <v/>
      </c>
      <c r="Y249">
        <f>HYPERLINK("https://klasma.github.io/Logging_0883/tillsynsmail/A 33816-2023 tillsynsbegäran mail.docx", "A 33816-2023")</f>
        <v/>
      </c>
    </row>
    <row r="250" ht="15" customHeight="1">
      <c r="A250" t="inlineStr">
        <is>
          <t>A 1775-2025</t>
        </is>
      </c>
      <c r="B250" s="1" t="n">
        <v>45671.44059027778</v>
      </c>
      <c r="C250" s="1" t="n">
        <v>46081</v>
      </c>
      <c r="D250" t="inlineStr">
        <is>
          <t>KALMAR LÄN</t>
        </is>
      </c>
      <c r="E250" t="inlineStr">
        <is>
          <t>VÄSTERVIK</t>
        </is>
      </c>
      <c r="G250" t="n">
        <v>0.9</v>
      </c>
      <c r="H250" t="n">
        <v>1</v>
      </c>
      <c r="I250" t="n">
        <v>0</v>
      </c>
      <c r="J250" t="n">
        <v>0</v>
      </c>
      <c r="K250" t="n">
        <v>0</v>
      </c>
      <c r="L250" t="n">
        <v>0</v>
      </c>
      <c r="M250" t="n">
        <v>0</v>
      </c>
      <c r="N250" t="n">
        <v>0</v>
      </c>
      <c r="O250" t="n">
        <v>0</v>
      </c>
      <c r="P250" t="n">
        <v>0</v>
      </c>
      <c r="Q250" t="n">
        <v>1</v>
      </c>
      <c r="R250" s="2" t="inlineStr">
        <is>
          <t>Kungsfågel</t>
        </is>
      </c>
      <c r="S250">
        <f>HYPERLINK("https://klasma.github.io/Logging_0883/artfynd/A 1775-2025 artfynd.xlsx", "A 1775-2025")</f>
        <v/>
      </c>
      <c r="T250">
        <f>HYPERLINK("https://klasma.github.io/Logging_0883/kartor/A 1775-2025 karta.png", "A 1775-2025")</f>
        <v/>
      </c>
      <c r="V250">
        <f>HYPERLINK("https://klasma.github.io/Logging_0883/klagomål/A 1775-2025 FSC-klagomål.docx", "A 1775-2025")</f>
        <v/>
      </c>
      <c r="W250">
        <f>HYPERLINK("https://klasma.github.io/Logging_0883/klagomålsmail/A 1775-2025 FSC-klagomål mail.docx", "A 1775-2025")</f>
        <v/>
      </c>
      <c r="X250">
        <f>HYPERLINK("https://klasma.github.io/Logging_0883/tillsyn/A 1775-2025 tillsynsbegäran.docx", "A 1775-2025")</f>
        <v/>
      </c>
      <c r="Y250">
        <f>HYPERLINK("https://klasma.github.io/Logging_0883/tillsynsmail/A 1775-2025 tillsynsbegäran mail.docx", "A 1775-2025")</f>
        <v/>
      </c>
      <c r="Z250">
        <f>HYPERLINK("https://klasma.github.io/Logging_0883/fåglar/A 1775-2025 prioriterade fågelarter.docx", "A 1775-2025")</f>
        <v/>
      </c>
    </row>
    <row r="251" ht="15" customHeight="1">
      <c r="A251" t="inlineStr">
        <is>
          <t>A 43788-2023</t>
        </is>
      </c>
      <c r="B251" s="1" t="n">
        <v>45187.53707175926</v>
      </c>
      <c r="C251" s="1" t="n">
        <v>46081</v>
      </c>
      <c r="D251" t="inlineStr">
        <is>
          <t>KALMAR LÄN</t>
        </is>
      </c>
      <c r="E251" t="inlineStr">
        <is>
          <t>VÄSTERVIK</t>
        </is>
      </c>
      <c r="G251" t="n">
        <v>4.5</v>
      </c>
      <c r="H251" t="n">
        <v>0</v>
      </c>
      <c r="I251" t="n">
        <v>0</v>
      </c>
      <c r="J251" t="n">
        <v>1</v>
      </c>
      <c r="K251" t="n">
        <v>0</v>
      </c>
      <c r="L251" t="n">
        <v>0</v>
      </c>
      <c r="M251" t="n">
        <v>0</v>
      </c>
      <c r="N251" t="n">
        <v>0</v>
      </c>
      <c r="O251" t="n">
        <v>1</v>
      </c>
      <c r="P251" t="n">
        <v>0</v>
      </c>
      <c r="Q251" t="n">
        <v>1</v>
      </c>
      <c r="R251" s="2" t="inlineStr">
        <is>
          <t>Motaggsvamp</t>
        </is>
      </c>
      <c r="S251">
        <f>HYPERLINK("https://klasma.github.io/Logging_0883/artfynd/A 43788-2023 artfynd.xlsx", "A 43788-2023")</f>
        <v/>
      </c>
      <c r="T251">
        <f>HYPERLINK("https://klasma.github.io/Logging_0883/kartor/A 43788-2023 karta.png", "A 43788-2023")</f>
        <v/>
      </c>
      <c r="V251">
        <f>HYPERLINK("https://klasma.github.io/Logging_0883/klagomål/A 43788-2023 FSC-klagomål.docx", "A 43788-2023")</f>
        <v/>
      </c>
      <c r="W251">
        <f>HYPERLINK("https://klasma.github.io/Logging_0883/klagomålsmail/A 43788-2023 FSC-klagomål mail.docx", "A 43788-2023")</f>
        <v/>
      </c>
      <c r="X251">
        <f>HYPERLINK("https://klasma.github.io/Logging_0883/tillsyn/A 43788-2023 tillsynsbegäran.docx", "A 43788-2023")</f>
        <v/>
      </c>
      <c r="Y251">
        <f>HYPERLINK("https://klasma.github.io/Logging_0883/tillsynsmail/A 43788-2023 tillsynsbegäran mail.docx", "A 43788-2023")</f>
        <v/>
      </c>
    </row>
    <row r="252" ht="15" customHeight="1">
      <c r="A252" t="inlineStr">
        <is>
          <t>A 58172-2025</t>
        </is>
      </c>
      <c r="B252" s="1" t="n">
        <v>45982</v>
      </c>
      <c r="C252" s="1" t="n">
        <v>46081</v>
      </c>
      <c r="D252" t="inlineStr">
        <is>
          <t>KALMAR LÄN</t>
        </is>
      </c>
      <c r="E252" t="inlineStr">
        <is>
          <t>VÄSTERVIK</t>
        </is>
      </c>
      <c r="G252" t="n">
        <v>4.6</v>
      </c>
      <c r="H252" t="n">
        <v>0</v>
      </c>
      <c r="I252" t="n">
        <v>0</v>
      </c>
      <c r="J252" t="n">
        <v>1</v>
      </c>
      <c r="K252" t="n">
        <v>0</v>
      </c>
      <c r="L252" t="n">
        <v>0</v>
      </c>
      <c r="M252" t="n">
        <v>0</v>
      </c>
      <c r="N252" t="n">
        <v>0</v>
      </c>
      <c r="O252" t="n">
        <v>1</v>
      </c>
      <c r="P252" t="n">
        <v>0</v>
      </c>
      <c r="Q252" t="n">
        <v>1</v>
      </c>
      <c r="R252" s="2" t="inlineStr">
        <is>
          <t>Vippärt</t>
        </is>
      </c>
      <c r="S252">
        <f>HYPERLINK("https://klasma.github.io/Logging_0883/artfynd/A 58172-2025 artfynd.xlsx", "A 58172-2025")</f>
        <v/>
      </c>
      <c r="T252">
        <f>HYPERLINK("https://klasma.github.io/Logging_0883/kartor/A 58172-2025 karta.png", "A 58172-2025")</f>
        <v/>
      </c>
      <c r="V252">
        <f>HYPERLINK("https://klasma.github.io/Logging_0883/klagomål/A 58172-2025 FSC-klagomål.docx", "A 58172-2025")</f>
        <v/>
      </c>
      <c r="W252">
        <f>HYPERLINK("https://klasma.github.io/Logging_0883/klagomålsmail/A 58172-2025 FSC-klagomål mail.docx", "A 58172-2025")</f>
        <v/>
      </c>
      <c r="X252">
        <f>HYPERLINK("https://klasma.github.io/Logging_0883/tillsyn/A 58172-2025 tillsynsbegäran.docx", "A 58172-2025")</f>
        <v/>
      </c>
      <c r="Y252">
        <f>HYPERLINK("https://klasma.github.io/Logging_0883/tillsynsmail/A 58172-2025 tillsynsbegäran mail.docx", "A 58172-2025")</f>
        <v/>
      </c>
    </row>
    <row r="253" ht="15" customHeight="1">
      <c r="A253" t="inlineStr">
        <is>
          <t>A 59241-2025</t>
        </is>
      </c>
      <c r="B253" s="1" t="n">
        <v>45988.63915509259</v>
      </c>
      <c r="C253" s="1" t="n">
        <v>46081</v>
      </c>
      <c r="D253" t="inlineStr">
        <is>
          <t>KALMAR LÄN</t>
        </is>
      </c>
      <c r="E253" t="inlineStr">
        <is>
          <t>VÄSTERVIK</t>
        </is>
      </c>
      <c r="F253" t="inlineStr">
        <is>
          <t>Holmen skog AB</t>
        </is>
      </c>
      <c r="G253" t="n">
        <v>1.7</v>
      </c>
      <c r="H253" t="n">
        <v>1</v>
      </c>
      <c r="I253" t="n">
        <v>0</v>
      </c>
      <c r="J253" t="n">
        <v>1</v>
      </c>
      <c r="K253" t="n">
        <v>0</v>
      </c>
      <c r="L253" t="n">
        <v>0</v>
      </c>
      <c r="M253" t="n">
        <v>0</v>
      </c>
      <c r="N253" t="n">
        <v>0</v>
      </c>
      <c r="O253" t="n">
        <v>1</v>
      </c>
      <c r="P253" t="n">
        <v>0</v>
      </c>
      <c r="Q253" t="n">
        <v>1</v>
      </c>
      <c r="R253" s="2" t="inlineStr">
        <is>
          <t>Spillkråka</t>
        </is>
      </c>
      <c r="S253">
        <f>HYPERLINK("https://klasma.github.io/Logging_0883/artfynd/A 59241-2025 artfynd.xlsx", "A 59241-2025")</f>
        <v/>
      </c>
      <c r="T253">
        <f>HYPERLINK("https://klasma.github.io/Logging_0883/kartor/A 59241-2025 karta.png", "A 59241-2025")</f>
        <v/>
      </c>
      <c r="V253">
        <f>HYPERLINK("https://klasma.github.io/Logging_0883/klagomål/A 59241-2025 FSC-klagomål.docx", "A 59241-2025")</f>
        <v/>
      </c>
      <c r="W253">
        <f>HYPERLINK("https://klasma.github.io/Logging_0883/klagomålsmail/A 59241-2025 FSC-klagomål mail.docx", "A 59241-2025")</f>
        <v/>
      </c>
      <c r="X253">
        <f>HYPERLINK("https://klasma.github.io/Logging_0883/tillsyn/A 59241-2025 tillsynsbegäran.docx", "A 59241-2025")</f>
        <v/>
      </c>
      <c r="Y253">
        <f>HYPERLINK("https://klasma.github.io/Logging_0883/tillsynsmail/A 59241-2025 tillsynsbegäran mail.docx", "A 59241-2025")</f>
        <v/>
      </c>
      <c r="Z253">
        <f>HYPERLINK("https://klasma.github.io/Logging_0883/fåglar/A 59241-2025 prioriterade fågelarter.docx", "A 59241-2025")</f>
        <v/>
      </c>
    </row>
    <row r="254" ht="15" customHeight="1">
      <c r="A254" t="inlineStr">
        <is>
          <t>A 14082-2025</t>
        </is>
      </c>
      <c r="B254" s="1" t="n">
        <v>45740.43934027778</v>
      </c>
      <c r="C254" s="1" t="n">
        <v>46081</v>
      </c>
      <c r="D254" t="inlineStr">
        <is>
          <t>KALMAR LÄN</t>
        </is>
      </c>
      <c r="E254" t="inlineStr">
        <is>
          <t>VÄSTERVIK</t>
        </is>
      </c>
      <c r="F254" t="inlineStr">
        <is>
          <t>Sveaskog</t>
        </is>
      </c>
      <c r="G254" t="n">
        <v>1.2</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HYPERLINK("https://klasma.github.io/Logging_0883/artfynd/A 14082-2025 artfynd.xlsx", "A 14082-2025")</f>
        <v/>
      </c>
      <c r="T254">
        <f>HYPERLINK("https://klasma.github.io/Logging_0883/kartor/A 14082-2025 karta.png", "A 14082-2025")</f>
        <v/>
      </c>
      <c r="V254">
        <f>HYPERLINK("https://klasma.github.io/Logging_0883/klagomål/A 14082-2025 FSC-klagomål.docx", "A 14082-2025")</f>
        <v/>
      </c>
      <c r="W254">
        <f>HYPERLINK("https://klasma.github.io/Logging_0883/klagomålsmail/A 14082-2025 FSC-klagomål mail.docx", "A 14082-2025")</f>
        <v/>
      </c>
      <c r="X254">
        <f>HYPERLINK("https://klasma.github.io/Logging_0883/tillsyn/A 14082-2025 tillsynsbegäran.docx", "A 14082-2025")</f>
        <v/>
      </c>
      <c r="Y254">
        <f>HYPERLINK("https://klasma.github.io/Logging_0883/tillsynsmail/A 14082-2025 tillsynsbegäran mail.docx", "A 14082-2025")</f>
        <v/>
      </c>
    </row>
    <row r="255" ht="15" customHeight="1">
      <c r="A255" t="inlineStr">
        <is>
          <t>A 40924-2022</t>
        </is>
      </c>
      <c r="B255" s="1" t="n">
        <v>44825</v>
      </c>
      <c r="C255" s="1" t="n">
        <v>46081</v>
      </c>
      <c r="D255" t="inlineStr">
        <is>
          <t>KALMAR LÄN</t>
        </is>
      </c>
      <c r="E255" t="inlineStr">
        <is>
          <t>VÄSTERVIK</t>
        </is>
      </c>
      <c r="F255" t="inlineStr">
        <is>
          <t>Sveaskog</t>
        </is>
      </c>
      <c r="G255" t="n">
        <v>0.5</v>
      </c>
      <c r="H255" t="n">
        <v>1</v>
      </c>
      <c r="I255" t="n">
        <v>0</v>
      </c>
      <c r="J255" t="n">
        <v>1</v>
      </c>
      <c r="K255" t="n">
        <v>0</v>
      </c>
      <c r="L255" t="n">
        <v>0</v>
      </c>
      <c r="M255" t="n">
        <v>0</v>
      </c>
      <c r="N255" t="n">
        <v>0</v>
      </c>
      <c r="O255" t="n">
        <v>1</v>
      </c>
      <c r="P255" t="n">
        <v>0</v>
      </c>
      <c r="Q255" t="n">
        <v>1</v>
      </c>
      <c r="R255" s="2" t="inlineStr">
        <is>
          <t>Barbastell</t>
        </is>
      </c>
      <c r="S255">
        <f>HYPERLINK("https://klasma.github.io/Logging_0883/artfynd/A 40924-2022 artfynd.xlsx", "A 40924-2022")</f>
        <v/>
      </c>
      <c r="T255">
        <f>HYPERLINK("https://klasma.github.io/Logging_0883/kartor/A 40924-2022 karta.png", "A 40924-2022")</f>
        <v/>
      </c>
      <c r="V255">
        <f>HYPERLINK("https://klasma.github.io/Logging_0883/klagomål/A 40924-2022 FSC-klagomål.docx", "A 40924-2022")</f>
        <v/>
      </c>
      <c r="W255">
        <f>HYPERLINK("https://klasma.github.io/Logging_0883/klagomålsmail/A 40924-2022 FSC-klagomål mail.docx", "A 40924-2022")</f>
        <v/>
      </c>
      <c r="X255">
        <f>HYPERLINK("https://klasma.github.io/Logging_0883/tillsyn/A 40924-2022 tillsynsbegäran.docx", "A 40924-2022")</f>
        <v/>
      </c>
      <c r="Y255">
        <f>HYPERLINK("https://klasma.github.io/Logging_0883/tillsynsmail/A 40924-2022 tillsynsbegäran mail.docx", "A 40924-2022")</f>
        <v/>
      </c>
    </row>
    <row r="256" ht="15" customHeight="1">
      <c r="A256" t="inlineStr">
        <is>
          <t>A 55360-2024</t>
        </is>
      </c>
      <c r="B256" s="1" t="n">
        <v>45621.8252199074</v>
      </c>
      <c r="C256" s="1" t="n">
        <v>46081</v>
      </c>
      <c r="D256" t="inlineStr">
        <is>
          <t>KALMAR LÄN</t>
        </is>
      </c>
      <c r="E256" t="inlineStr">
        <is>
          <t>VÄSTERVIK</t>
        </is>
      </c>
      <c r="F256" t="inlineStr">
        <is>
          <t>Sveaskog</t>
        </is>
      </c>
      <c r="G256" t="n">
        <v>11.1</v>
      </c>
      <c r="H256" t="n">
        <v>0</v>
      </c>
      <c r="I256" t="n">
        <v>0</v>
      </c>
      <c r="J256" t="n">
        <v>1</v>
      </c>
      <c r="K256" t="n">
        <v>0</v>
      </c>
      <c r="L256" t="n">
        <v>0</v>
      </c>
      <c r="M256" t="n">
        <v>0</v>
      </c>
      <c r="N256" t="n">
        <v>0</v>
      </c>
      <c r="O256" t="n">
        <v>1</v>
      </c>
      <c r="P256" t="n">
        <v>0</v>
      </c>
      <c r="Q256" t="n">
        <v>1</v>
      </c>
      <c r="R256" s="2" t="inlineStr">
        <is>
          <t>Vårstarr</t>
        </is>
      </c>
      <c r="S256">
        <f>HYPERLINK("https://klasma.github.io/Logging_0883/artfynd/A 55360-2024 artfynd.xlsx", "A 55360-2024")</f>
        <v/>
      </c>
      <c r="T256">
        <f>HYPERLINK("https://klasma.github.io/Logging_0883/kartor/A 55360-2024 karta.png", "A 55360-2024")</f>
        <v/>
      </c>
      <c r="V256">
        <f>HYPERLINK("https://klasma.github.io/Logging_0883/klagomål/A 55360-2024 FSC-klagomål.docx", "A 55360-2024")</f>
        <v/>
      </c>
      <c r="W256">
        <f>HYPERLINK("https://klasma.github.io/Logging_0883/klagomålsmail/A 55360-2024 FSC-klagomål mail.docx", "A 55360-2024")</f>
        <v/>
      </c>
      <c r="X256">
        <f>HYPERLINK("https://klasma.github.io/Logging_0883/tillsyn/A 55360-2024 tillsynsbegäran.docx", "A 55360-2024")</f>
        <v/>
      </c>
      <c r="Y256">
        <f>HYPERLINK("https://klasma.github.io/Logging_0883/tillsynsmail/A 55360-2024 tillsynsbegäran mail.docx", "A 55360-2024")</f>
        <v/>
      </c>
    </row>
    <row r="257" ht="15" customHeight="1">
      <c r="A257" t="inlineStr">
        <is>
          <t>A 3624-2026</t>
        </is>
      </c>
      <c r="B257" s="1" t="n">
        <v>46043</v>
      </c>
      <c r="C257" s="1" t="n">
        <v>46081</v>
      </c>
      <c r="D257" t="inlineStr">
        <is>
          <t>KALMAR LÄN</t>
        </is>
      </c>
      <c r="E257" t="inlineStr">
        <is>
          <t>VÄSTERVIK</t>
        </is>
      </c>
      <c r="G257" t="n">
        <v>2.2</v>
      </c>
      <c r="H257" t="n">
        <v>1</v>
      </c>
      <c r="I257" t="n">
        <v>1</v>
      </c>
      <c r="J257" t="n">
        <v>0</v>
      </c>
      <c r="K257" t="n">
        <v>0</v>
      </c>
      <c r="L257" t="n">
        <v>0</v>
      </c>
      <c r="M257" t="n">
        <v>0</v>
      </c>
      <c r="N257" t="n">
        <v>0</v>
      </c>
      <c r="O257" t="n">
        <v>0</v>
      </c>
      <c r="P257" t="n">
        <v>0</v>
      </c>
      <c r="Q257" t="n">
        <v>1</v>
      </c>
      <c r="R257" s="2" t="inlineStr">
        <is>
          <t>Purpurknipprot</t>
        </is>
      </c>
      <c r="S257">
        <f>HYPERLINK("https://klasma.github.io/Logging_0883/artfynd/A 3624-2026 artfynd.xlsx", "A 3624-2026")</f>
        <v/>
      </c>
      <c r="T257">
        <f>HYPERLINK("https://klasma.github.io/Logging_0883/kartor/A 3624-2026 karta.png", "A 3624-2026")</f>
        <v/>
      </c>
      <c r="V257">
        <f>HYPERLINK("https://klasma.github.io/Logging_0883/klagomål/A 3624-2026 FSC-klagomål.docx", "A 3624-2026")</f>
        <v/>
      </c>
      <c r="W257">
        <f>HYPERLINK("https://klasma.github.io/Logging_0883/klagomålsmail/A 3624-2026 FSC-klagomål mail.docx", "A 3624-2026")</f>
        <v/>
      </c>
      <c r="X257">
        <f>HYPERLINK("https://klasma.github.io/Logging_0883/tillsyn/A 3624-2026 tillsynsbegäran.docx", "A 3624-2026")</f>
        <v/>
      </c>
      <c r="Y257">
        <f>HYPERLINK("https://klasma.github.io/Logging_0883/tillsynsmail/A 3624-2026 tillsynsbegäran mail.docx", "A 3624-2026")</f>
        <v/>
      </c>
    </row>
    <row r="258" ht="15" customHeight="1">
      <c r="A258" t="inlineStr">
        <is>
          <t>A 9571-2025</t>
        </is>
      </c>
      <c r="B258" s="1" t="n">
        <v>45715.61996527778</v>
      </c>
      <c r="C258" s="1" t="n">
        <v>46081</v>
      </c>
      <c r="D258" t="inlineStr">
        <is>
          <t>KALMAR LÄN</t>
        </is>
      </c>
      <c r="E258" t="inlineStr">
        <is>
          <t>VÄSTERVIK</t>
        </is>
      </c>
      <c r="G258" t="n">
        <v>12</v>
      </c>
      <c r="H258" t="n">
        <v>1</v>
      </c>
      <c r="I258" t="n">
        <v>0</v>
      </c>
      <c r="J258" t="n">
        <v>0</v>
      </c>
      <c r="K258" t="n">
        <v>0</v>
      </c>
      <c r="L258" t="n">
        <v>0</v>
      </c>
      <c r="M258" t="n">
        <v>0</v>
      </c>
      <c r="N258" t="n">
        <v>0</v>
      </c>
      <c r="O258" t="n">
        <v>0</v>
      </c>
      <c r="P258" t="n">
        <v>0</v>
      </c>
      <c r="Q258" t="n">
        <v>1</v>
      </c>
      <c r="R258" s="2" t="inlineStr">
        <is>
          <t>Revlummer</t>
        </is>
      </c>
      <c r="S258">
        <f>HYPERLINK("https://klasma.github.io/Logging_0883/artfynd/A 9571-2025 artfynd.xlsx", "A 9571-2025")</f>
        <v/>
      </c>
      <c r="T258">
        <f>HYPERLINK("https://klasma.github.io/Logging_0883/kartor/A 9571-2025 karta.png", "A 9571-2025")</f>
        <v/>
      </c>
      <c r="V258">
        <f>HYPERLINK("https://klasma.github.io/Logging_0883/klagomål/A 9571-2025 FSC-klagomål.docx", "A 9571-2025")</f>
        <v/>
      </c>
      <c r="W258">
        <f>HYPERLINK("https://klasma.github.io/Logging_0883/klagomålsmail/A 9571-2025 FSC-klagomål mail.docx", "A 9571-2025")</f>
        <v/>
      </c>
      <c r="X258">
        <f>HYPERLINK("https://klasma.github.io/Logging_0883/tillsyn/A 9571-2025 tillsynsbegäran.docx", "A 9571-2025")</f>
        <v/>
      </c>
      <c r="Y258">
        <f>HYPERLINK("https://klasma.github.io/Logging_0883/tillsynsmail/A 9571-2025 tillsynsbegäran mail.docx", "A 9571-2025")</f>
        <v/>
      </c>
    </row>
    <row r="259" ht="15" customHeight="1">
      <c r="A259" t="inlineStr">
        <is>
          <t>A 4120-2026</t>
        </is>
      </c>
      <c r="B259" s="1" t="n">
        <v>46044.6109375</v>
      </c>
      <c r="C259" s="1" t="n">
        <v>46081</v>
      </c>
      <c r="D259" t="inlineStr">
        <is>
          <t>KALMAR LÄN</t>
        </is>
      </c>
      <c r="E259" t="inlineStr">
        <is>
          <t>VÄSTERVIK</t>
        </is>
      </c>
      <c r="G259" t="n">
        <v>4</v>
      </c>
      <c r="H259" t="n">
        <v>1</v>
      </c>
      <c r="I259" t="n">
        <v>0</v>
      </c>
      <c r="J259" t="n">
        <v>0</v>
      </c>
      <c r="K259" t="n">
        <v>0</v>
      </c>
      <c r="L259" t="n">
        <v>0</v>
      </c>
      <c r="M259" t="n">
        <v>0</v>
      </c>
      <c r="N259" t="n">
        <v>0</v>
      </c>
      <c r="O259" t="n">
        <v>0</v>
      </c>
      <c r="P259" t="n">
        <v>0</v>
      </c>
      <c r="Q259" t="n">
        <v>1</v>
      </c>
      <c r="R259" s="2" t="inlineStr">
        <is>
          <t>Tjäder</t>
        </is>
      </c>
      <c r="S259">
        <f>HYPERLINK("https://klasma.github.io/Logging_0883/artfynd/A 4120-2026 artfynd.xlsx", "A 4120-2026")</f>
        <v/>
      </c>
      <c r="T259">
        <f>HYPERLINK("https://klasma.github.io/Logging_0883/kartor/A 4120-2026 karta.png", "A 4120-2026")</f>
        <v/>
      </c>
      <c r="V259">
        <f>HYPERLINK("https://klasma.github.io/Logging_0883/klagomål/A 4120-2026 FSC-klagomål.docx", "A 4120-2026")</f>
        <v/>
      </c>
      <c r="W259">
        <f>HYPERLINK("https://klasma.github.io/Logging_0883/klagomålsmail/A 4120-2026 FSC-klagomål mail.docx", "A 4120-2026")</f>
        <v/>
      </c>
      <c r="X259">
        <f>HYPERLINK("https://klasma.github.io/Logging_0883/tillsyn/A 4120-2026 tillsynsbegäran.docx", "A 4120-2026")</f>
        <v/>
      </c>
      <c r="Y259">
        <f>HYPERLINK("https://klasma.github.io/Logging_0883/tillsynsmail/A 4120-2026 tillsynsbegäran mail.docx", "A 4120-2026")</f>
        <v/>
      </c>
      <c r="Z259">
        <f>HYPERLINK("https://klasma.github.io/Logging_0883/fåglar/A 4120-2026 prioriterade fågelarter.docx", "A 4120-2026")</f>
        <v/>
      </c>
    </row>
    <row r="260" ht="15" customHeight="1">
      <c r="A260" t="inlineStr">
        <is>
          <t>A 6634-2025</t>
        </is>
      </c>
      <c r="B260" s="1" t="n">
        <v>45700.38141203704</v>
      </c>
      <c r="C260" s="1" t="n">
        <v>46081</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46722-2023</t>
        </is>
      </c>
      <c r="B261" s="1" t="n">
        <v>45194</v>
      </c>
      <c r="C261" s="1" t="n">
        <v>46081</v>
      </c>
      <c r="D261" t="inlineStr">
        <is>
          <t>KALMAR LÄN</t>
        </is>
      </c>
      <c r="E261" t="inlineStr">
        <is>
          <t>VÄSTERVIK</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HYPERLINK("https://klasma.github.io/Logging_0883/artfynd/A 46722-2023 artfynd.xlsx", "A 46722-2023")</f>
        <v/>
      </c>
      <c r="T261">
        <f>HYPERLINK("https://klasma.github.io/Logging_0883/kartor/A 46722-2023 karta.png", "A 46722-2023")</f>
        <v/>
      </c>
      <c r="U261">
        <f>HYPERLINK("https://klasma.github.io/Logging_0883/knärot/A 46722-2023 karta knärot.png", "A 46722-2023")</f>
        <v/>
      </c>
      <c r="V261">
        <f>HYPERLINK("https://klasma.github.io/Logging_0883/klagomål/A 46722-2023 FSC-klagomål.docx", "A 46722-2023")</f>
        <v/>
      </c>
      <c r="W261">
        <f>HYPERLINK("https://klasma.github.io/Logging_0883/klagomålsmail/A 46722-2023 FSC-klagomål mail.docx", "A 46722-2023")</f>
        <v/>
      </c>
      <c r="X261">
        <f>HYPERLINK("https://klasma.github.io/Logging_0883/tillsyn/A 46722-2023 tillsynsbegäran.docx", "A 46722-2023")</f>
        <v/>
      </c>
      <c r="Y261">
        <f>HYPERLINK("https://klasma.github.io/Logging_0883/tillsynsmail/A 46722-2023 tillsynsbegäran mail.docx", "A 46722-2023")</f>
        <v/>
      </c>
    </row>
    <row r="262" ht="15" customHeight="1">
      <c r="A262" t="inlineStr">
        <is>
          <t>A 3600-2025</t>
        </is>
      </c>
      <c r="B262" s="1" t="n">
        <v>45681.34420138889</v>
      </c>
      <c r="C262" s="1" t="n">
        <v>46081</v>
      </c>
      <c r="D262" t="inlineStr">
        <is>
          <t>KALMAR LÄN</t>
        </is>
      </c>
      <c r="E262" t="inlineStr">
        <is>
          <t>VÄSTERVIK</t>
        </is>
      </c>
      <c r="G262" t="n">
        <v>1</v>
      </c>
      <c r="H262" t="n">
        <v>1</v>
      </c>
      <c r="I262" t="n">
        <v>0</v>
      </c>
      <c r="J262" t="n">
        <v>1</v>
      </c>
      <c r="K262" t="n">
        <v>0</v>
      </c>
      <c r="L262" t="n">
        <v>0</v>
      </c>
      <c r="M262" t="n">
        <v>0</v>
      </c>
      <c r="N262" t="n">
        <v>0</v>
      </c>
      <c r="O262" t="n">
        <v>1</v>
      </c>
      <c r="P262" t="n">
        <v>0</v>
      </c>
      <c r="Q262" t="n">
        <v>1</v>
      </c>
      <c r="R262" s="2" t="inlineStr">
        <is>
          <t>Spillkråka</t>
        </is>
      </c>
      <c r="S262">
        <f>HYPERLINK("https://klasma.github.io/Logging_0883/artfynd/A 3600-2025 artfynd.xlsx", "A 3600-2025")</f>
        <v/>
      </c>
      <c r="T262">
        <f>HYPERLINK("https://klasma.github.io/Logging_0883/kartor/A 3600-2025 karta.png", "A 3600-2025")</f>
        <v/>
      </c>
      <c r="V262">
        <f>HYPERLINK("https://klasma.github.io/Logging_0883/klagomål/A 3600-2025 FSC-klagomål.docx", "A 3600-2025")</f>
        <v/>
      </c>
      <c r="W262">
        <f>HYPERLINK("https://klasma.github.io/Logging_0883/klagomålsmail/A 3600-2025 FSC-klagomål mail.docx", "A 3600-2025")</f>
        <v/>
      </c>
      <c r="X262">
        <f>HYPERLINK("https://klasma.github.io/Logging_0883/tillsyn/A 3600-2025 tillsynsbegäran.docx", "A 3600-2025")</f>
        <v/>
      </c>
      <c r="Y262">
        <f>HYPERLINK("https://klasma.github.io/Logging_0883/tillsynsmail/A 3600-2025 tillsynsbegäran mail.docx", "A 3600-2025")</f>
        <v/>
      </c>
      <c r="Z262">
        <f>HYPERLINK("https://klasma.github.io/Logging_0883/fåglar/A 3600-2025 prioriterade fågelarter.docx", "A 3600-2025")</f>
        <v/>
      </c>
    </row>
    <row r="263" ht="15" customHeight="1">
      <c r="A263" t="inlineStr">
        <is>
          <t>A 62888-2025</t>
        </is>
      </c>
      <c r="B263" s="1" t="n">
        <v>46009.3238425926</v>
      </c>
      <c r="C263" s="1" t="n">
        <v>46081</v>
      </c>
      <c r="D263" t="inlineStr">
        <is>
          <t>KALMAR LÄN</t>
        </is>
      </c>
      <c r="E263" t="inlineStr">
        <is>
          <t>VÄSTERVIK</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HYPERLINK("https://klasma.github.io/Logging_0883/artfynd/A 62888-2025 artfynd.xlsx", "A 62888-2025")</f>
        <v/>
      </c>
      <c r="T263">
        <f>HYPERLINK("https://klasma.github.io/Logging_0883/kartor/A 62888-2025 karta.png", "A 62888-2025")</f>
        <v/>
      </c>
      <c r="U263">
        <f>HYPERLINK("https://klasma.github.io/Logging_0883/knärot/A 62888-2025 karta knärot.png", "A 62888-2025")</f>
        <v/>
      </c>
      <c r="V263">
        <f>HYPERLINK("https://klasma.github.io/Logging_0883/klagomål/A 62888-2025 FSC-klagomål.docx", "A 62888-2025")</f>
        <v/>
      </c>
      <c r="W263">
        <f>HYPERLINK("https://klasma.github.io/Logging_0883/klagomålsmail/A 62888-2025 FSC-klagomål mail.docx", "A 62888-2025")</f>
        <v/>
      </c>
      <c r="X263">
        <f>HYPERLINK("https://klasma.github.io/Logging_0883/tillsyn/A 62888-2025 tillsynsbegäran.docx", "A 62888-2025")</f>
        <v/>
      </c>
      <c r="Y263">
        <f>HYPERLINK("https://klasma.github.io/Logging_0883/tillsynsmail/A 62888-2025 tillsynsbegäran mail.docx", "A 62888-2025")</f>
        <v/>
      </c>
      <c r="Z263">
        <f>HYPERLINK("https://klasma.github.io/Logging_0883/fåglar/A 62888-2025 prioriterade fågelarter.docx", "A 62888-2025")</f>
        <v/>
      </c>
    </row>
    <row r="264" ht="15" customHeight="1">
      <c r="A264" t="inlineStr">
        <is>
          <t>A 6195-2026</t>
        </is>
      </c>
      <c r="B264" s="1" t="n">
        <v>46055.39365740741</v>
      </c>
      <c r="C264" s="1" t="n">
        <v>46081</v>
      </c>
      <c r="D264" t="inlineStr">
        <is>
          <t>KALMAR LÄN</t>
        </is>
      </c>
      <c r="E264" t="inlineStr">
        <is>
          <t>VÄSTERVIK</t>
        </is>
      </c>
      <c r="G264" t="n">
        <v>1.4</v>
      </c>
      <c r="H264" t="n">
        <v>1</v>
      </c>
      <c r="I264" t="n">
        <v>1</v>
      </c>
      <c r="J264" t="n">
        <v>0</v>
      </c>
      <c r="K264" t="n">
        <v>0</v>
      </c>
      <c r="L264" t="n">
        <v>0</v>
      </c>
      <c r="M264" t="n">
        <v>0</v>
      </c>
      <c r="N264" t="n">
        <v>0</v>
      </c>
      <c r="O264" t="n">
        <v>0</v>
      </c>
      <c r="P264" t="n">
        <v>0</v>
      </c>
      <c r="Q264" t="n">
        <v>1</v>
      </c>
      <c r="R264" s="2" t="inlineStr">
        <is>
          <t>Korallrot</t>
        </is>
      </c>
      <c r="S264">
        <f>HYPERLINK("https://klasma.github.io/Logging_0883/artfynd/A 6195-2026 artfynd.xlsx", "A 6195-2026")</f>
        <v/>
      </c>
      <c r="T264">
        <f>HYPERLINK("https://klasma.github.io/Logging_0883/kartor/A 6195-2026 karta.png", "A 6195-2026")</f>
        <v/>
      </c>
      <c r="V264">
        <f>HYPERLINK("https://klasma.github.io/Logging_0883/klagomål/A 6195-2026 FSC-klagomål.docx", "A 6195-2026")</f>
        <v/>
      </c>
      <c r="W264">
        <f>HYPERLINK("https://klasma.github.io/Logging_0883/klagomålsmail/A 6195-2026 FSC-klagomål mail.docx", "A 6195-2026")</f>
        <v/>
      </c>
      <c r="X264">
        <f>HYPERLINK("https://klasma.github.io/Logging_0883/tillsyn/A 6195-2026 tillsynsbegäran.docx", "A 6195-2026")</f>
        <v/>
      </c>
      <c r="Y264">
        <f>HYPERLINK("https://klasma.github.io/Logging_0883/tillsynsmail/A 6195-2026 tillsynsbegäran mail.docx", "A 6195-2026")</f>
        <v/>
      </c>
    </row>
    <row r="265" ht="15" customHeight="1">
      <c r="A265" t="inlineStr">
        <is>
          <t>A 20233-2021</t>
        </is>
      </c>
      <c r="B265" s="1" t="n">
        <v>44314</v>
      </c>
      <c r="C265" s="1" t="n">
        <v>46081</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27708-2024</t>
        </is>
      </c>
      <c r="B266" s="1" t="n">
        <v>45475</v>
      </c>
      <c r="C266" s="1" t="n">
        <v>46081</v>
      </c>
      <c r="D266" t="inlineStr">
        <is>
          <t>KALMAR LÄN</t>
        </is>
      </c>
      <c r="E266" t="inlineStr">
        <is>
          <t>VÄSTERVIK</t>
        </is>
      </c>
      <c r="F266" t="inlineStr">
        <is>
          <t>Holmen skog AB</t>
        </is>
      </c>
      <c r="G266" t="n">
        <v>1.7</v>
      </c>
      <c r="H266" t="n">
        <v>1</v>
      </c>
      <c r="I266" t="n">
        <v>0</v>
      </c>
      <c r="J266" t="n">
        <v>1</v>
      </c>
      <c r="K266" t="n">
        <v>0</v>
      </c>
      <c r="L266" t="n">
        <v>0</v>
      </c>
      <c r="M266" t="n">
        <v>0</v>
      </c>
      <c r="N266" t="n">
        <v>0</v>
      </c>
      <c r="O266" t="n">
        <v>1</v>
      </c>
      <c r="P266" t="n">
        <v>0</v>
      </c>
      <c r="Q266" t="n">
        <v>1</v>
      </c>
      <c r="R266" s="2" t="inlineStr">
        <is>
          <t>Spillkråka</t>
        </is>
      </c>
      <c r="S266">
        <f>HYPERLINK("https://klasma.github.io/Logging_0883/artfynd/A 27708-2024 artfynd.xlsx", "A 27708-2024")</f>
        <v/>
      </c>
      <c r="T266">
        <f>HYPERLINK("https://klasma.github.io/Logging_0883/kartor/A 27708-2024 karta.png", "A 27708-2024")</f>
        <v/>
      </c>
      <c r="V266">
        <f>HYPERLINK("https://klasma.github.io/Logging_0883/klagomål/A 27708-2024 FSC-klagomål.docx", "A 27708-2024")</f>
        <v/>
      </c>
      <c r="W266">
        <f>HYPERLINK("https://klasma.github.io/Logging_0883/klagomålsmail/A 27708-2024 FSC-klagomål mail.docx", "A 27708-2024")</f>
        <v/>
      </c>
      <c r="X266">
        <f>HYPERLINK("https://klasma.github.io/Logging_0883/tillsyn/A 27708-2024 tillsynsbegäran.docx", "A 27708-2024")</f>
        <v/>
      </c>
      <c r="Y266">
        <f>HYPERLINK("https://klasma.github.io/Logging_0883/tillsynsmail/A 27708-2024 tillsynsbegäran mail.docx", "A 27708-2024")</f>
        <v/>
      </c>
      <c r="Z266">
        <f>HYPERLINK("https://klasma.github.io/Logging_0883/fåglar/A 27708-2024 prioriterade fågelarter.docx", "A 27708-2024")</f>
        <v/>
      </c>
    </row>
    <row r="267" ht="15" customHeight="1">
      <c r="A267" t="inlineStr">
        <is>
          <t>A 3673-2025</t>
        </is>
      </c>
      <c r="B267" s="1" t="n">
        <v>45681.43706018518</v>
      </c>
      <c r="C267" s="1" t="n">
        <v>46081</v>
      </c>
      <c r="D267" t="inlineStr">
        <is>
          <t>KALMAR LÄN</t>
        </is>
      </c>
      <c r="E267" t="inlineStr">
        <is>
          <t>VÄSTERVIK</t>
        </is>
      </c>
      <c r="G267" t="n">
        <v>1.1</v>
      </c>
      <c r="H267" t="n">
        <v>0</v>
      </c>
      <c r="I267" t="n">
        <v>1</v>
      </c>
      <c r="J267" t="n">
        <v>0</v>
      </c>
      <c r="K267" t="n">
        <v>0</v>
      </c>
      <c r="L267" t="n">
        <v>0</v>
      </c>
      <c r="M267" t="n">
        <v>0</v>
      </c>
      <c r="N267" t="n">
        <v>0</v>
      </c>
      <c r="O267" t="n">
        <v>0</v>
      </c>
      <c r="P267" t="n">
        <v>0</v>
      </c>
      <c r="Q267" t="n">
        <v>1</v>
      </c>
      <c r="R267" s="2" t="inlineStr">
        <is>
          <t>Blodticka</t>
        </is>
      </c>
      <c r="S267">
        <f>HYPERLINK("https://klasma.github.io/Logging_0883/artfynd/A 3673-2025 artfynd.xlsx", "A 3673-2025")</f>
        <v/>
      </c>
      <c r="T267">
        <f>HYPERLINK("https://klasma.github.io/Logging_0883/kartor/A 3673-2025 karta.png", "A 3673-2025")</f>
        <v/>
      </c>
      <c r="V267">
        <f>HYPERLINK("https://klasma.github.io/Logging_0883/klagomål/A 3673-2025 FSC-klagomål.docx", "A 3673-2025")</f>
        <v/>
      </c>
      <c r="W267">
        <f>HYPERLINK("https://klasma.github.io/Logging_0883/klagomålsmail/A 3673-2025 FSC-klagomål mail.docx", "A 3673-2025")</f>
        <v/>
      </c>
      <c r="X267">
        <f>HYPERLINK("https://klasma.github.io/Logging_0883/tillsyn/A 3673-2025 tillsynsbegäran.docx", "A 3673-2025")</f>
        <v/>
      </c>
      <c r="Y267">
        <f>HYPERLINK("https://klasma.github.io/Logging_0883/tillsynsmail/A 3673-2025 tillsynsbegäran mail.docx", "A 3673-2025")</f>
        <v/>
      </c>
    </row>
    <row r="268" ht="15" customHeight="1">
      <c r="A268" t="inlineStr">
        <is>
          <t>A 59198-2025</t>
        </is>
      </c>
      <c r="B268" s="1" t="n">
        <v>45988</v>
      </c>
      <c r="C268" s="1" t="n">
        <v>46081</v>
      </c>
      <c r="D268" t="inlineStr">
        <is>
          <t>KALMAR LÄN</t>
        </is>
      </c>
      <c r="E268" t="inlineStr">
        <is>
          <t>VÄSTERVIK</t>
        </is>
      </c>
      <c r="F268" t="inlineStr">
        <is>
          <t>Holmen skog AB</t>
        </is>
      </c>
      <c r="G268" t="n">
        <v>0.8</v>
      </c>
      <c r="H268" t="n">
        <v>1</v>
      </c>
      <c r="I268" t="n">
        <v>0</v>
      </c>
      <c r="J268" t="n">
        <v>0</v>
      </c>
      <c r="K268" t="n">
        <v>1</v>
      </c>
      <c r="L268" t="n">
        <v>0</v>
      </c>
      <c r="M268" t="n">
        <v>0</v>
      </c>
      <c r="N268" t="n">
        <v>0</v>
      </c>
      <c r="O268" t="n">
        <v>1</v>
      </c>
      <c r="P268" t="n">
        <v>1</v>
      </c>
      <c r="Q268" t="n">
        <v>1</v>
      </c>
      <c r="R268" s="2" t="inlineStr">
        <is>
          <t>Knärot</t>
        </is>
      </c>
      <c r="S268">
        <f>HYPERLINK("https://klasma.github.io/Logging_0883/artfynd/A 59198-2025 artfynd.xlsx", "A 59198-2025")</f>
        <v/>
      </c>
      <c r="T268">
        <f>HYPERLINK("https://klasma.github.io/Logging_0883/kartor/A 59198-2025 karta.png", "A 59198-2025")</f>
        <v/>
      </c>
      <c r="U268">
        <f>HYPERLINK("https://klasma.github.io/Logging_0883/knärot/A 59198-2025 karta knärot.png", "A 59198-2025")</f>
        <v/>
      </c>
      <c r="V268">
        <f>HYPERLINK("https://klasma.github.io/Logging_0883/klagomål/A 59198-2025 FSC-klagomål.docx", "A 59198-2025")</f>
        <v/>
      </c>
      <c r="W268">
        <f>HYPERLINK("https://klasma.github.io/Logging_0883/klagomålsmail/A 59198-2025 FSC-klagomål mail.docx", "A 59198-2025")</f>
        <v/>
      </c>
      <c r="X268">
        <f>HYPERLINK("https://klasma.github.io/Logging_0883/tillsyn/A 59198-2025 tillsynsbegäran.docx", "A 59198-2025")</f>
        <v/>
      </c>
      <c r="Y268">
        <f>HYPERLINK("https://klasma.github.io/Logging_0883/tillsynsmail/A 59198-2025 tillsynsbegäran mail.docx", "A 59198-2025")</f>
        <v/>
      </c>
    </row>
    <row r="269" ht="15" customHeight="1">
      <c r="A269" t="inlineStr">
        <is>
          <t>A 53075-2024</t>
        </is>
      </c>
      <c r="B269" s="1" t="n">
        <v>45611</v>
      </c>
      <c r="C269" s="1" t="n">
        <v>46081</v>
      </c>
      <c r="D269" t="inlineStr">
        <is>
          <t>KALMAR LÄN</t>
        </is>
      </c>
      <c r="E269" t="inlineStr">
        <is>
          <t>VÄSTERVIK</t>
        </is>
      </c>
      <c r="F269" t="inlineStr">
        <is>
          <t>Holmen skog AB</t>
        </is>
      </c>
      <c r="G269" t="n">
        <v>8.5</v>
      </c>
      <c r="H269" t="n">
        <v>1</v>
      </c>
      <c r="I269" t="n">
        <v>0</v>
      </c>
      <c r="J269" t="n">
        <v>1</v>
      </c>
      <c r="K269" t="n">
        <v>0</v>
      </c>
      <c r="L269" t="n">
        <v>0</v>
      </c>
      <c r="M269" t="n">
        <v>0</v>
      </c>
      <c r="N269" t="n">
        <v>0</v>
      </c>
      <c r="O269" t="n">
        <v>1</v>
      </c>
      <c r="P269" t="n">
        <v>0</v>
      </c>
      <c r="Q269" t="n">
        <v>1</v>
      </c>
      <c r="R269" s="2" t="inlineStr">
        <is>
          <t>Talltita</t>
        </is>
      </c>
      <c r="S269">
        <f>HYPERLINK("https://klasma.github.io/Logging_0883/artfynd/A 53075-2024 artfynd.xlsx", "A 53075-2024")</f>
        <v/>
      </c>
      <c r="T269">
        <f>HYPERLINK("https://klasma.github.io/Logging_0883/kartor/A 53075-2024 karta.png", "A 53075-2024")</f>
        <v/>
      </c>
      <c r="V269">
        <f>HYPERLINK("https://klasma.github.io/Logging_0883/klagomål/A 53075-2024 FSC-klagomål.docx", "A 53075-2024")</f>
        <v/>
      </c>
      <c r="W269">
        <f>HYPERLINK("https://klasma.github.io/Logging_0883/klagomålsmail/A 53075-2024 FSC-klagomål mail.docx", "A 53075-2024")</f>
        <v/>
      </c>
      <c r="X269">
        <f>HYPERLINK("https://klasma.github.io/Logging_0883/tillsyn/A 53075-2024 tillsynsbegäran.docx", "A 53075-2024")</f>
        <v/>
      </c>
      <c r="Y269">
        <f>HYPERLINK("https://klasma.github.io/Logging_0883/tillsynsmail/A 53075-2024 tillsynsbegäran mail.docx", "A 53075-2024")</f>
        <v/>
      </c>
      <c r="Z269">
        <f>HYPERLINK("https://klasma.github.io/Logging_0883/fåglar/A 53075-2024 prioriterade fågelarter.docx", "A 53075-2024")</f>
        <v/>
      </c>
    </row>
    <row r="270" ht="15" customHeight="1">
      <c r="A270" t="inlineStr">
        <is>
          <t>A 1176-2024</t>
        </is>
      </c>
      <c r="B270" s="1" t="n">
        <v>45302</v>
      </c>
      <c r="C270" s="1" t="n">
        <v>46081</v>
      </c>
      <c r="D270" t="inlineStr">
        <is>
          <t>KALMAR LÄN</t>
        </is>
      </c>
      <c r="E270" t="inlineStr">
        <is>
          <t>VÄSTERVIK</t>
        </is>
      </c>
      <c r="G270" t="n">
        <v>2.5</v>
      </c>
      <c r="H270" t="n">
        <v>0</v>
      </c>
      <c r="I270" t="n">
        <v>0</v>
      </c>
      <c r="J270" t="n">
        <v>1</v>
      </c>
      <c r="K270" t="n">
        <v>0</v>
      </c>
      <c r="L270" t="n">
        <v>0</v>
      </c>
      <c r="M270" t="n">
        <v>0</v>
      </c>
      <c r="N270" t="n">
        <v>0</v>
      </c>
      <c r="O270" t="n">
        <v>1</v>
      </c>
      <c r="P270" t="n">
        <v>0</v>
      </c>
      <c r="Q270" t="n">
        <v>1</v>
      </c>
      <c r="R270" s="2" t="inlineStr">
        <is>
          <t>Tallticka</t>
        </is>
      </c>
      <c r="S270">
        <f>HYPERLINK("https://klasma.github.io/Logging_0883/artfynd/A 1176-2024 artfynd.xlsx", "A 1176-2024")</f>
        <v/>
      </c>
      <c r="T270">
        <f>HYPERLINK("https://klasma.github.io/Logging_0883/kartor/A 1176-2024 karta.png", "A 1176-2024")</f>
        <v/>
      </c>
      <c r="V270">
        <f>HYPERLINK("https://klasma.github.io/Logging_0883/klagomål/A 1176-2024 FSC-klagomål.docx", "A 1176-2024")</f>
        <v/>
      </c>
      <c r="W270">
        <f>HYPERLINK("https://klasma.github.io/Logging_0883/klagomålsmail/A 1176-2024 FSC-klagomål mail.docx", "A 1176-2024")</f>
        <v/>
      </c>
      <c r="X270">
        <f>HYPERLINK("https://klasma.github.io/Logging_0883/tillsyn/A 1176-2024 tillsynsbegäran.docx", "A 1176-2024")</f>
        <v/>
      </c>
      <c r="Y270">
        <f>HYPERLINK("https://klasma.github.io/Logging_0883/tillsynsmail/A 1176-2024 tillsynsbegäran mail.docx", "A 1176-2024")</f>
        <v/>
      </c>
    </row>
    <row r="271" ht="15" customHeight="1">
      <c r="A271" t="inlineStr">
        <is>
          <t>A 1041-2026</t>
        </is>
      </c>
      <c r="B271" s="1" t="n">
        <v>46030.62386574074</v>
      </c>
      <c r="C271" s="1" t="n">
        <v>46081</v>
      </c>
      <c r="D271" t="inlineStr">
        <is>
          <t>KALMAR LÄN</t>
        </is>
      </c>
      <c r="E271" t="inlineStr">
        <is>
          <t>VÄSTERVIK</t>
        </is>
      </c>
      <c r="G271" t="n">
        <v>1.2</v>
      </c>
      <c r="H271" t="n">
        <v>0</v>
      </c>
      <c r="I271" t="n">
        <v>1</v>
      </c>
      <c r="J271" t="n">
        <v>0</v>
      </c>
      <c r="K271" t="n">
        <v>0</v>
      </c>
      <c r="L271" t="n">
        <v>0</v>
      </c>
      <c r="M271" t="n">
        <v>0</v>
      </c>
      <c r="N271" t="n">
        <v>0</v>
      </c>
      <c r="O271" t="n">
        <v>0</v>
      </c>
      <c r="P271" t="n">
        <v>0</v>
      </c>
      <c r="Q271" t="n">
        <v>1</v>
      </c>
      <c r="R271" s="2" t="inlineStr">
        <is>
          <t>Ögonpyrola</t>
        </is>
      </c>
      <c r="S271">
        <f>HYPERLINK("https://klasma.github.io/Logging_0883/artfynd/A 1041-2026 artfynd.xlsx", "A 1041-2026")</f>
        <v/>
      </c>
      <c r="T271">
        <f>HYPERLINK("https://klasma.github.io/Logging_0883/kartor/A 1041-2026 karta.png", "A 1041-2026")</f>
        <v/>
      </c>
      <c r="V271">
        <f>HYPERLINK("https://klasma.github.io/Logging_0883/klagomål/A 1041-2026 FSC-klagomål.docx", "A 1041-2026")</f>
        <v/>
      </c>
      <c r="W271">
        <f>HYPERLINK("https://klasma.github.io/Logging_0883/klagomålsmail/A 1041-2026 FSC-klagomål mail.docx", "A 1041-2026")</f>
        <v/>
      </c>
      <c r="X271">
        <f>HYPERLINK("https://klasma.github.io/Logging_0883/tillsyn/A 1041-2026 tillsynsbegäran.docx", "A 1041-2026")</f>
        <v/>
      </c>
      <c r="Y271">
        <f>HYPERLINK("https://klasma.github.io/Logging_0883/tillsynsmail/A 1041-2026 tillsynsbegäran mail.docx", "A 1041-2026")</f>
        <v/>
      </c>
    </row>
    <row r="272" ht="15" customHeight="1">
      <c r="A272" t="inlineStr">
        <is>
          <t>A 35028-2024</t>
        </is>
      </c>
      <c r="B272" s="1" t="n">
        <v>45527.60524305556</v>
      </c>
      <c r="C272" s="1" t="n">
        <v>46081</v>
      </c>
      <c r="D272" t="inlineStr">
        <is>
          <t>KALMAR LÄN</t>
        </is>
      </c>
      <c r="E272" t="inlineStr">
        <is>
          <t>VÄSTERVIK</t>
        </is>
      </c>
      <c r="G272" t="n">
        <v>1.3</v>
      </c>
      <c r="H272" t="n">
        <v>0</v>
      </c>
      <c r="I272" t="n">
        <v>1</v>
      </c>
      <c r="J272" t="n">
        <v>0</v>
      </c>
      <c r="K272" t="n">
        <v>0</v>
      </c>
      <c r="L272" t="n">
        <v>0</v>
      </c>
      <c r="M272" t="n">
        <v>0</v>
      </c>
      <c r="N272" t="n">
        <v>0</v>
      </c>
      <c r="O272" t="n">
        <v>0</v>
      </c>
      <c r="P272" t="n">
        <v>0</v>
      </c>
      <c r="Q272" t="n">
        <v>1</v>
      </c>
      <c r="R272" s="2" t="inlineStr">
        <is>
          <t>Blomkålssvamp</t>
        </is>
      </c>
      <c r="S272">
        <f>HYPERLINK("https://klasma.github.io/Logging_0883/artfynd/A 35028-2024 artfynd.xlsx", "A 35028-2024")</f>
        <v/>
      </c>
      <c r="T272">
        <f>HYPERLINK("https://klasma.github.io/Logging_0883/kartor/A 35028-2024 karta.png", "A 35028-2024")</f>
        <v/>
      </c>
      <c r="V272">
        <f>HYPERLINK("https://klasma.github.io/Logging_0883/klagomål/A 35028-2024 FSC-klagomål.docx", "A 35028-2024")</f>
        <v/>
      </c>
      <c r="W272">
        <f>HYPERLINK("https://klasma.github.io/Logging_0883/klagomålsmail/A 35028-2024 FSC-klagomål mail.docx", "A 35028-2024")</f>
        <v/>
      </c>
      <c r="X272">
        <f>HYPERLINK("https://klasma.github.io/Logging_0883/tillsyn/A 35028-2024 tillsynsbegäran.docx", "A 35028-2024")</f>
        <v/>
      </c>
      <c r="Y272">
        <f>HYPERLINK("https://klasma.github.io/Logging_0883/tillsynsmail/A 35028-2024 tillsynsbegäran mail.docx", "A 35028-2024")</f>
        <v/>
      </c>
    </row>
    <row r="273" ht="15" customHeight="1">
      <c r="A273" t="inlineStr">
        <is>
          <t>A 9952-2026</t>
        </is>
      </c>
      <c r="B273" s="1" t="n">
        <v>46073.47287037037</v>
      </c>
      <c r="C273" s="1" t="n">
        <v>46081</v>
      </c>
      <c r="D273" t="inlineStr">
        <is>
          <t>KALMAR LÄN</t>
        </is>
      </c>
      <c r="E273" t="inlineStr">
        <is>
          <t>VÄSTERVIK</t>
        </is>
      </c>
      <c r="G273" t="n">
        <v>3.4</v>
      </c>
      <c r="H273" t="n">
        <v>0</v>
      </c>
      <c r="I273" t="n">
        <v>0</v>
      </c>
      <c r="J273" t="n">
        <v>1</v>
      </c>
      <c r="K273" t="n">
        <v>0</v>
      </c>
      <c r="L273" t="n">
        <v>0</v>
      </c>
      <c r="M273" t="n">
        <v>0</v>
      </c>
      <c r="N273" t="n">
        <v>0</v>
      </c>
      <c r="O273" t="n">
        <v>1</v>
      </c>
      <c r="P273" t="n">
        <v>0</v>
      </c>
      <c r="Q273" t="n">
        <v>1</v>
      </c>
      <c r="R273" s="2" t="inlineStr">
        <is>
          <t>Krusfrö</t>
        </is>
      </c>
      <c r="S273">
        <f>HYPERLINK("https://klasma.github.io/Logging_0883/artfynd/A 9952-2026 artfynd.xlsx", "A 9952-2026")</f>
        <v/>
      </c>
      <c r="T273">
        <f>HYPERLINK("https://klasma.github.io/Logging_0883/kartor/A 9952-2026 karta.png", "A 9952-2026")</f>
        <v/>
      </c>
      <c r="V273">
        <f>HYPERLINK("https://klasma.github.io/Logging_0883/klagomål/A 9952-2026 FSC-klagomål.docx", "A 9952-2026")</f>
        <v/>
      </c>
      <c r="W273">
        <f>HYPERLINK("https://klasma.github.io/Logging_0883/klagomålsmail/A 9952-2026 FSC-klagomål mail.docx", "A 9952-2026")</f>
        <v/>
      </c>
      <c r="X273">
        <f>HYPERLINK("https://klasma.github.io/Logging_0883/tillsyn/A 9952-2026 tillsynsbegäran.docx", "A 9952-2026")</f>
        <v/>
      </c>
      <c r="Y273">
        <f>HYPERLINK("https://klasma.github.io/Logging_0883/tillsynsmail/A 9952-2026 tillsynsbegäran mail.docx", "A 9952-2026")</f>
        <v/>
      </c>
    </row>
    <row r="274" ht="15" customHeight="1">
      <c r="A274" t="inlineStr">
        <is>
          <t>A 31315-2021</t>
        </is>
      </c>
      <c r="B274" s="1" t="n">
        <v>44368</v>
      </c>
      <c r="C274" s="1" t="n">
        <v>46081</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51024-2022</t>
        </is>
      </c>
      <c r="B275" s="1" t="n">
        <v>44867</v>
      </c>
      <c r="C275" s="1" t="n">
        <v>46081</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58221-2025</t>
        </is>
      </c>
      <c r="B276" s="1" t="n">
        <v>45985.36417824074</v>
      </c>
      <c r="C276" s="1" t="n">
        <v>46081</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58221-2025 artfynd.xlsx", "A 58221-2025")</f>
        <v/>
      </c>
      <c r="T276">
        <f>HYPERLINK("https://klasma.github.io/Logging_0883/kartor/A 58221-2025 karta.png", "A 58221-2025")</f>
        <v/>
      </c>
      <c r="V276">
        <f>HYPERLINK("https://klasma.github.io/Logging_0883/klagomål/A 58221-2025 FSC-klagomål.docx", "A 58221-2025")</f>
        <v/>
      </c>
      <c r="W276">
        <f>HYPERLINK("https://klasma.github.io/Logging_0883/klagomålsmail/A 58221-2025 FSC-klagomål mail.docx", "A 58221-2025")</f>
        <v/>
      </c>
      <c r="X276">
        <f>HYPERLINK("https://klasma.github.io/Logging_0883/tillsyn/A 58221-2025 tillsynsbegäran.docx", "A 58221-2025")</f>
        <v/>
      </c>
      <c r="Y276">
        <f>HYPERLINK("https://klasma.github.io/Logging_0883/tillsynsmail/A 58221-2025 tillsynsbegäran mail.docx", "A 58221-2025")</f>
        <v/>
      </c>
    </row>
    <row r="277" ht="15" customHeight="1">
      <c r="A277" t="inlineStr">
        <is>
          <t>A 19900-2022</t>
        </is>
      </c>
      <c r="B277" s="1" t="n">
        <v>44697</v>
      </c>
      <c r="C277" s="1" t="n">
        <v>46081</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1024-2023</t>
        </is>
      </c>
      <c r="B278" s="1" t="n">
        <v>44935</v>
      </c>
      <c r="C278" s="1" t="n">
        <v>46081</v>
      </c>
      <c r="D278" t="inlineStr">
        <is>
          <t>KALMAR LÄN</t>
        </is>
      </c>
      <c r="E278" t="inlineStr">
        <is>
          <t>VÄSTERVIK</t>
        </is>
      </c>
      <c r="F278" t="inlineStr">
        <is>
          <t>Holmen skog AB</t>
        </is>
      </c>
      <c r="G278" t="n">
        <v>1.9</v>
      </c>
      <c r="H278" t="n">
        <v>0</v>
      </c>
      <c r="I278" t="n">
        <v>0</v>
      </c>
      <c r="J278" t="n">
        <v>1</v>
      </c>
      <c r="K278" t="n">
        <v>0</v>
      </c>
      <c r="L278" t="n">
        <v>0</v>
      </c>
      <c r="M278" t="n">
        <v>0</v>
      </c>
      <c r="N278" t="n">
        <v>0</v>
      </c>
      <c r="O278" t="n">
        <v>1</v>
      </c>
      <c r="P278" t="n">
        <v>0</v>
      </c>
      <c r="Q278" t="n">
        <v>1</v>
      </c>
      <c r="R278" s="2" t="inlineStr">
        <is>
          <t>Ekticka</t>
        </is>
      </c>
      <c r="S278">
        <f>HYPERLINK("https://klasma.github.io/Logging_0883/artfynd/A 1024-2023 artfynd.xlsx", "A 1024-2023")</f>
        <v/>
      </c>
      <c r="T278">
        <f>HYPERLINK("https://klasma.github.io/Logging_0883/kartor/A 1024-2023 karta.png", "A 1024-2023")</f>
        <v/>
      </c>
      <c r="V278">
        <f>HYPERLINK("https://klasma.github.io/Logging_0883/klagomål/A 1024-2023 FSC-klagomål.docx", "A 1024-2023")</f>
        <v/>
      </c>
      <c r="W278">
        <f>HYPERLINK("https://klasma.github.io/Logging_0883/klagomålsmail/A 1024-2023 FSC-klagomål mail.docx", "A 1024-2023")</f>
        <v/>
      </c>
      <c r="X278">
        <f>HYPERLINK("https://klasma.github.io/Logging_0883/tillsyn/A 1024-2023 tillsynsbegäran.docx", "A 1024-2023")</f>
        <v/>
      </c>
      <c r="Y278">
        <f>HYPERLINK("https://klasma.github.io/Logging_0883/tillsynsmail/A 1024-2023 tillsynsbegäran mail.docx", "A 1024-2023")</f>
        <v/>
      </c>
    </row>
    <row r="279" ht="15" customHeight="1">
      <c r="A279" t="inlineStr">
        <is>
          <t>A 54272-2023</t>
        </is>
      </c>
      <c r="B279" s="1" t="n">
        <v>45232</v>
      </c>
      <c r="C279" s="1" t="n">
        <v>46081</v>
      </c>
      <c r="D279" t="inlineStr">
        <is>
          <t>KALMAR LÄN</t>
        </is>
      </c>
      <c r="E279" t="inlineStr">
        <is>
          <t>VÄSTERVIK</t>
        </is>
      </c>
      <c r="G279" t="n">
        <v>1</v>
      </c>
      <c r="H279" t="n">
        <v>0</v>
      </c>
      <c r="I279" t="n">
        <v>1</v>
      </c>
      <c r="J279" t="n">
        <v>0</v>
      </c>
      <c r="K279" t="n">
        <v>0</v>
      </c>
      <c r="L279" t="n">
        <v>0</v>
      </c>
      <c r="M279" t="n">
        <v>0</v>
      </c>
      <c r="N279" t="n">
        <v>0</v>
      </c>
      <c r="O279" t="n">
        <v>0</v>
      </c>
      <c r="P279" t="n">
        <v>0</v>
      </c>
      <c r="Q279" t="n">
        <v>1</v>
      </c>
      <c r="R279" s="2" t="inlineStr">
        <is>
          <t>Aprikosfingersvamp</t>
        </is>
      </c>
      <c r="S279">
        <f>HYPERLINK("https://klasma.github.io/Logging_0883/artfynd/A 54272-2023 artfynd.xlsx", "A 54272-2023")</f>
        <v/>
      </c>
      <c r="T279">
        <f>HYPERLINK("https://klasma.github.io/Logging_0883/kartor/A 54272-2023 karta.png", "A 54272-2023")</f>
        <v/>
      </c>
      <c r="V279">
        <f>HYPERLINK("https://klasma.github.io/Logging_0883/klagomål/A 54272-2023 FSC-klagomål.docx", "A 54272-2023")</f>
        <v/>
      </c>
      <c r="W279">
        <f>HYPERLINK("https://klasma.github.io/Logging_0883/klagomålsmail/A 54272-2023 FSC-klagomål mail.docx", "A 54272-2023")</f>
        <v/>
      </c>
      <c r="X279">
        <f>HYPERLINK("https://klasma.github.io/Logging_0883/tillsyn/A 54272-2023 tillsynsbegäran.docx", "A 54272-2023")</f>
        <v/>
      </c>
      <c r="Y279">
        <f>HYPERLINK("https://klasma.github.io/Logging_0883/tillsynsmail/A 54272-2023 tillsynsbegäran mail.docx", "A 54272-2023")</f>
        <v/>
      </c>
    </row>
    <row r="280" ht="15" customHeight="1">
      <c r="A280" t="inlineStr">
        <is>
          <t>A 59178-2022</t>
        </is>
      </c>
      <c r="B280" s="1" t="n">
        <v>44904</v>
      </c>
      <c r="C280" s="1" t="n">
        <v>46081</v>
      </c>
      <c r="D280" t="inlineStr">
        <is>
          <t>KALMAR LÄN</t>
        </is>
      </c>
      <c r="E280" t="inlineStr">
        <is>
          <t>VÄSTERVIK</t>
        </is>
      </c>
      <c r="G280" t="n">
        <v>3.3</v>
      </c>
      <c r="H280" t="n">
        <v>0</v>
      </c>
      <c r="I280" t="n">
        <v>0</v>
      </c>
      <c r="J280" t="n">
        <v>1</v>
      </c>
      <c r="K280" t="n">
        <v>0</v>
      </c>
      <c r="L280" t="n">
        <v>0</v>
      </c>
      <c r="M280" t="n">
        <v>0</v>
      </c>
      <c r="N280" t="n">
        <v>0</v>
      </c>
      <c r="O280" t="n">
        <v>1</v>
      </c>
      <c r="P280" t="n">
        <v>0</v>
      </c>
      <c r="Q280" t="n">
        <v>1</v>
      </c>
      <c r="R280" s="2" t="inlineStr">
        <is>
          <t>Tallticka</t>
        </is>
      </c>
      <c r="S280">
        <f>HYPERLINK("https://klasma.github.io/Logging_0883/artfynd/A 59178-2022 artfynd.xlsx", "A 59178-2022")</f>
        <v/>
      </c>
      <c r="T280">
        <f>HYPERLINK("https://klasma.github.io/Logging_0883/kartor/A 59178-2022 karta.png", "A 59178-2022")</f>
        <v/>
      </c>
      <c r="V280">
        <f>HYPERLINK("https://klasma.github.io/Logging_0883/klagomål/A 59178-2022 FSC-klagomål.docx", "A 59178-2022")</f>
        <v/>
      </c>
      <c r="W280">
        <f>HYPERLINK("https://klasma.github.io/Logging_0883/klagomålsmail/A 59178-2022 FSC-klagomål mail.docx", "A 59178-2022")</f>
        <v/>
      </c>
      <c r="X280">
        <f>HYPERLINK("https://klasma.github.io/Logging_0883/tillsyn/A 59178-2022 tillsynsbegäran.docx", "A 59178-2022")</f>
        <v/>
      </c>
      <c r="Y280">
        <f>HYPERLINK("https://klasma.github.io/Logging_0883/tillsynsmail/A 59178-2022 tillsynsbegäran mail.docx", "A 59178-2022")</f>
        <v/>
      </c>
    </row>
    <row r="281" ht="15" customHeight="1">
      <c r="A281" t="inlineStr">
        <is>
          <t>A 12662-2022</t>
        </is>
      </c>
      <c r="B281" s="1" t="n">
        <v>44641</v>
      </c>
      <c r="C281" s="1" t="n">
        <v>46081</v>
      </c>
      <c r="D281" t="inlineStr">
        <is>
          <t>KALMAR LÄN</t>
        </is>
      </c>
      <c r="E281" t="inlineStr">
        <is>
          <t>VÄSTERVIK</t>
        </is>
      </c>
      <c r="G281" t="n">
        <v>2.1</v>
      </c>
      <c r="H281" t="n">
        <v>0</v>
      </c>
      <c r="I281" t="n">
        <v>1</v>
      </c>
      <c r="J281" t="n">
        <v>0</v>
      </c>
      <c r="K281" t="n">
        <v>0</v>
      </c>
      <c r="L281" t="n">
        <v>0</v>
      </c>
      <c r="M281" t="n">
        <v>0</v>
      </c>
      <c r="N281" t="n">
        <v>0</v>
      </c>
      <c r="O281" t="n">
        <v>0</v>
      </c>
      <c r="P281" t="n">
        <v>0</v>
      </c>
      <c r="Q281" t="n">
        <v>1</v>
      </c>
      <c r="R281" s="2" t="inlineStr">
        <is>
          <t>Blåmossa</t>
        </is>
      </c>
      <c r="S281">
        <f>HYPERLINK("https://klasma.github.io/Logging_0883/artfynd/A 12662-2022 artfynd.xlsx", "A 12662-2022")</f>
        <v/>
      </c>
      <c r="T281">
        <f>HYPERLINK("https://klasma.github.io/Logging_0883/kartor/A 12662-2022 karta.png", "A 12662-2022")</f>
        <v/>
      </c>
      <c r="V281">
        <f>HYPERLINK("https://klasma.github.io/Logging_0883/klagomål/A 12662-2022 FSC-klagomål.docx", "A 12662-2022")</f>
        <v/>
      </c>
      <c r="W281">
        <f>HYPERLINK("https://klasma.github.io/Logging_0883/klagomålsmail/A 12662-2022 FSC-klagomål mail.docx", "A 12662-2022")</f>
        <v/>
      </c>
      <c r="X281">
        <f>HYPERLINK("https://klasma.github.io/Logging_0883/tillsyn/A 12662-2022 tillsynsbegäran.docx", "A 12662-2022")</f>
        <v/>
      </c>
      <c r="Y281">
        <f>HYPERLINK("https://klasma.github.io/Logging_0883/tillsynsmail/A 12662-2022 tillsynsbegäran mail.docx", "A 12662-2022")</f>
        <v/>
      </c>
    </row>
    <row r="282" ht="15" customHeight="1">
      <c r="A282" t="inlineStr">
        <is>
          <t>A 51514-2024</t>
        </is>
      </c>
      <c r="B282" s="1" t="n">
        <v>45604.5640625</v>
      </c>
      <c r="C282" s="1" t="n">
        <v>46081</v>
      </c>
      <c r="D282" t="inlineStr">
        <is>
          <t>KALMAR LÄN</t>
        </is>
      </c>
      <c r="E282" t="inlineStr">
        <is>
          <t>VÄSTERVIK</t>
        </is>
      </c>
      <c r="F282" t="inlineStr">
        <is>
          <t>Övriga Aktiebolag</t>
        </is>
      </c>
      <c r="G282" t="n">
        <v>2.4</v>
      </c>
      <c r="H282" t="n">
        <v>1</v>
      </c>
      <c r="I282" t="n">
        <v>0</v>
      </c>
      <c r="J282" t="n">
        <v>1</v>
      </c>
      <c r="K282" t="n">
        <v>0</v>
      </c>
      <c r="L282" t="n">
        <v>0</v>
      </c>
      <c r="M282" t="n">
        <v>0</v>
      </c>
      <c r="N282" t="n">
        <v>0</v>
      </c>
      <c r="O282" t="n">
        <v>1</v>
      </c>
      <c r="P282" t="n">
        <v>0</v>
      </c>
      <c r="Q282" t="n">
        <v>1</v>
      </c>
      <c r="R282" s="2" t="inlineStr">
        <is>
          <t>Havsörn</t>
        </is>
      </c>
      <c r="S282">
        <f>HYPERLINK("https://klasma.github.io/Logging_0883/artfynd/A 51514-2024 artfynd.xlsx", "A 51514-2024")</f>
        <v/>
      </c>
      <c r="T282">
        <f>HYPERLINK("https://klasma.github.io/Logging_0883/kartor/A 51514-2024 karta.png", "A 51514-2024")</f>
        <v/>
      </c>
      <c r="V282">
        <f>HYPERLINK("https://klasma.github.io/Logging_0883/klagomål/A 51514-2024 FSC-klagomål.docx", "A 51514-2024")</f>
        <v/>
      </c>
      <c r="W282">
        <f>HYPERLINK("https://klasma.github.io/Logging_0883/klagomålsmail/A 51514-2024 FSC-klagomål mail.docx", "A 51514-2024")</f>
        <v/>
      </c>
      <c r="X282">
        <f>HYPERLINK("https://klasma.github.io/Logging_0883/tillsyn/A 51514-2024 tillsynsbegäran.docx", "A 51514-2024")</f>
        <v/>
      </c>
      <c r="Y282">
        <f>HYPERLINK("https://klasma.github.io/Logging_0883/tillsynsmail/A 51514-2024 tillsynsbegäran mail.docx", "A 51514-2024")</f>
        <v/>
      </c>
      <c r="Z282">
        <f>HYPERLINK("https://klasma.github.io/Logging_0883/fåglar/A 51514-2024 prioriterade fågelarter.docx", "A 51514-2024")</f>
        <v/>
      </c>
    </row>
    <row r="283" ht="15" customHeight="1">
      <c r="A283" t="inlineStr">
        <is>
          <t>A 975-2023</t>
        </is>
      </c>
      <c r="B283" s="1" t="n">
        <v>44935</v>
      </c>
      <c r="C283" s="1" t="n">
        <v>46081</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61319-2021</t>
        </is>
      </c>
      <c r="B284" s="1" t="n">
        <v>44498</v>
      </c>
      <c r="C284" s="1" t="n">
        <v>46081</v>
      </c>
      <c r="D284" t="inlineStr">
        <is>
          <t>KALMAR LÄN</t>
        </is>
      </c>
      <c r="E284" t="inlineStr">
        <is>
          <t>VÄSTERVIK</t>
        </is>
      </c>
      <c r="G284" t="n">
        <v>2.2</v>
      </c>
      <c r="H284" t="n">
        <v>1</v>
      </c>
      <c r="I284" t="n">
        <v>1</v>
      </c>
      <c r="J284" t="n">
        <v>0</v>
      </c>
      <c r="K284" t="n">
        <v>0</v>
      </c>
      <c r="L284" t="n">
        <v>0</v>
      </c>
      <c r="M284" t="n">
        <v>0</v>
      </c>
      <c r="N284" t="n">
        <v>0</v>
      </c>
      <c r="O284" t="n">
        <v>0</v>
      </c>
      <c r="P284" t="n">
        <v>0</v>
      </c>
      <c r="Q284" t="n">
        <v>1</v>
      </c>
      <c r="R284" s="2" t="inlineStr">
        <is>
          <t>Ekoxe</t>
        </is>
      </c>
      <c r="S284">
        <f>HYPERLINK("https://klasma.github.io/Logging_0883/artfynd/A 61319-2021 artfynd.xlsx", "A 61319-2021")</f>
        <v/>
      </c>
      <c r="T284">
        <f>HYPERLINK("https://klasma.github.io/Logging_0883/kartor/A 61319-2021 karta.png", "A 61319-2021")</f>
        <v/>
      </c>
      <c r="V284">
        <f>HYPERLINK("https://klasma.github.io/Logging_0883/klagomål/A 61319-2021 FSC-klagomål.docx", "A 61319-2021")</f>
        <v/>
      </c>
      <c r="W284">
        <f>HYPERLINK("https://klasma.github.io/Logging_0883/klagomålsmail/A 61319-2021 FSC-klagomål mail.docx", "A 61319-2021")</f>
        <v/>
      </c>
      <c r="X284">
        <f>HYPERLINK("https://klasma.github.io/Logging_0883/tillsyn/A 61319-2021 tillsynsbegäran.docx", "A 61319-2021")</f>
        <v/>
      </c>
      <c r="Y284">
        <f>HYPERLINK("https://klasma.github.io/Logging_0883/tillsynsmail/A 61319-2021 tillsynsbegäran mail.docx", "A 61319-2021")</f>
        <v/>
      </c>
    </row>
    <row r="285" ht="15" customHeight="1">
      <c r="A285" t="inlineStr">
        <is>
          <t>A 9265-2025</t>
        </is>
      </c>
      <c r="B285" s="1" t="n">
        <v>45714.61153935185</v>
      </c>
      <c r="C285" s="1" t="n">
        <v>46081</v>
      </c>
      <c r="D285" t="inlineStr">
        <is>
          <t>KALMAR LÄN</t>
        </is>
      </c>
      <c r="E285" t="inlineStr">
        <is>
          <t>VÄSTERVIK</t>
        </is>
      </c>
      <c r="F285" t="inlineStr">
        <is>
          <t>Sveaskog</t>
        </is>
      </c>
      <c r="G285" t="n">
        <v>2.2</v>
      </c>
      <c r="H285" t="n">
        <v>1</v>
      </c>
      <c r="I285" t="n">
        <v>0</v>
      </c>
      <c r="J285" t="n">
        <v>1</v>
      </c>
      <c r="K285" t="n">
        <v>0</v>
      </c>
      <c r="L285" t="n">
        <v>0</v>
      </c>
      <c r="M285" t="n">
        <v>0</v>
      </c>
      <c r="N285" t="n">
        <v>0</v>
      </c>
      <c r="O285" t="n">
        <v>1</v>
      </c>
      <c r="P285" t="n">
        <v>0</v>
      </c>
      <c r="Q285" t="n">
        <v>1</v>
      </c>
      <c r="R285" s="2" t="inlineStr">
        <is>
          <t>Havsörn</t>
        </is>
      </c>
      <c r="S285">
        <f>HYPERLINK("https://klasma.github.io/Logging_0883/artfynd/A 9265-2025 artfynd.xlsx", "A 9265-2025")</f>
        <v/>
      </c>
      <c r="T285">
        <f>HYPERLINK("https://klasma.github.io/Logging_0883/kartor/A 9265-2025 karta.png", "A 9265-2025")</f>
        <v/>
      </c>
      <c r="V285">
        <f>HYPERLINK("https://klasma.github.io/Logging_0883/klagomål/A 9265-2025 FSC-klagomål.docx", "A 9265-2025")</f>
        <v/>
      </c>
      <c r="W285">
        <f>HYPERLINK("https://klasma.github.io/Logging_0883/klagomålsmail/A 9265-2025 FSC-klagomål mail.docx", "A 9265-2025")</f>
        <v/>
      </c>
      <c r="X285">
        <f>HYPERLINK("https://klasma.github.io/Logging_0883/tillsyn/A 9265-2025 tillsynsbegäran.docx", "A 9265-2025")</f>
        <v/>
      </c>
      <c r="Y285">
        <f>HYPERLINK("https://klasma.github.io/Logging_0883/tillsynsmail/A 9265-2025 tillsynsbegäran mail.docx", "A 9265-2025")</f>
        <v/>
      </c>
      <c r="Z285">
        <f>HYPERLINK("https://klasma.github.io/Logging_0883/fåglar/A 9265-2025 prioriterade fågelarter.docx", "A 9265-2025")</f>
        <v/>
      </c>
    </row>
    <row r="286" ht="15" customHeight="1">
      <c r="A286" t="inlineStr">
        <is>
          <t>A 56439-2024</t>
        </is>
      </c>
      <c r="B286" s="1" t="n">
        <v>45625.4175</v>
      </c>
      <c r="C286" s="1" t="n">
        <v>46081</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28495-2023</t>
        </is>
      </c>
      <c r="B287" s="1" t="n">
        <v>45103</v>
      </c>
      <c r="C287" s="1" t="n">
        <v>46081</v>
      </c>
      <c r="D287" t="inlineStr">
        <is>
          <t>KALMAR LÄN</t>
        </is>
      </c>
      <c r="E287" t="inlineStr">
        <is>
          <t>VÄSTERVIK</t>
        </is>
      </c>
      <c r="G287" t="n">
        <v>3.1</v>
      </c>
      <c r="H287" t="n">
        <v>1</v>
      </c>
      <c r="I287" t="n">
        <v>0</v>
      </c>
      <c r="J287" t="n">
        <v>0</v>
      </c>
      <c r="K287" t="n">
        <v>1</v>
      </c>
      <c r="L287" t="n">
        <v>0</v>
      </c>
      <c r="M287" t="n">
        <v>0</v>
      </c>
      <c r="N287" t="n">
        <v>0</v>
      </c>
      <c r="O287" t="n">
        <v>1</v>
      </c>
      <c r="P287" t="n">
        <v>1</v>
      </c>
      <c r="Q287" t="n">
        <v>1</v>
      </c>
      <c r="R287" s="2" t="inlineStr">
        <is>
          <t>Knärot</t>
        </is>
      </c>
      <c r="S287">
        <f>HYPERLINK("https://klasma.github.io/Logging_0883/artfynd/A 28495-2023 artfynd.xlsx", "A 28495-2023")</f>
        <v/>
      </c>
      <c r="T287">
        <f>HYPERLINK("https://klasma.github.io/Logging_0883/kartor/A 28495-2023 karta.png", "A 28495-2023")</f>
        <v/>
      </c>
      <c r="U287">
        <f>HYPERLINK("https://klasma.github.io/Logging_0883/knärot/A 28495-2023 karta knärot.png", "A 28495-2023")</f>
        <v/>
      </c>
      <c r="V287">
        <f>HYPERLINK("https://klasma.github.io/Logging_0883/klagomål/A 28495-2023 FSC-klagomål.docx", "A 28495-2023")</f>
        <v/>
      </c>
      <c r="W287">
        <f>HYPERLINK("https://klasma.github.io/Logging_0883/klagomålsmail/A 28495-2023 FSC-klagomål mail.docx", "A 28495-2023")</f>
        <v/>
      </c>
      <c r="X287">
        <f>HYPERLINK("https://klasma.github.io/Logging_0883/tillsyn/A 28495-2023 tillsynsbegäran.docx", "A 28495-2023")</f>
        <v/>
      </c>
      <c r="Y287">
        <f>HYPERLINK("https://klasma.github.io/Logging_0883/tillsynsmail/A 28495-2023 tillsynsbegäran mail.docx", "A 28495-2023")</f>
        <v/>
      </c>
    </row>
    <row r="288" ht="15" customHeight="1">
      <c r="A288" t="inlineStr">
        <is>
          <t>A 14103-2025</t>
        </is>
      </c>
      <c r="B288" s="1" t="n">
        <v>45740.45232638889</v>
      </c>
      <c r="C288" s="1" t="n">
        <v>46081</v>
      </c>
      <c r="D288" t="inlineStr">
        <is>
          <t>KALMAR LÄN</t>
        </is>
      </c>
      <c r="E288" t="inlineStr">
        <is>
          <t>VÄSTERVIK</t>
        </is>
      </c>
      <c r="F288" t="inlineStr">
        <is>
          <t>Sveaskog</t>
        </is>
      </c>
      <c r="G288" t="n">
        <v>0.8</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14103-2025 artfynd.xlsx", "A 14103-2025")</f>
        <v/>
      </c>
      <c r="T288">
        <f>HYPERLINK("https://klasma.github.io/Logging_0883/kartor/A 14103-2025 karta.png", "A 14103-2025")</f>
        <v/>
      </c>
      <c r="V288">
        <f>HYPERLINK("https://klasma.github.io/Logging_0883/klagomål/A 14103-2025 FSC-klagomål.docx", "A 14103-2025")</f>
        <v/>
      </c>
      <c r="W288">
        <f>HYPERLINK("https://klasma.github.io/Logging_0883/klagomålsmail/A 14103-2025 FSC-klagomål mail.docx", "A 14103-2025")</f>
        <v/>
      </c>
      <c r="X288">
        <f>HYPERLINK("https://klasma.github.io/Logging_0883/tillsyn/A 14103-2025 tillsynsbegäran.docx", "A 14103-2025")</f>
        <v/>
      </c>
      <c r="Y288">
        <f>HYPERLINK("https://klasma.github.io/Logging_0883/tillsynsmail/A 14103-2025 tillsynsbegäran mail.docx", "A 14103-2025")</f>
        <v/>
      </c>
    </row>
    <row r="289" ht="15" customHeight="1">
      <c r="A289" t="inlineStr">
        <is>
          <t>A 59368-2023</t>
        </is>
      </c>
      <c r="B289" s="1" t="n">
        <v>45253</v>
      </c>
      <c r="C289" s="1" t="n">
        <v>46081</v>
      </c>
      <c r="D289" t="inlineStr">
        <is>
          <t>KALMAR LÄN</t>
        </is>
      </c>
      <c r="E289" t="inlineStr">
        <is>
          <t>VÄSTERVIK</t>
        </is>
      </c>
      <c r="G289" t="n">
        <v>2.4</v>
      </c>
      <c r="H289" t="n">
        <v>1</v>
      </c>
      <c r="I289" t="n">
        <v>0</v>
      </c>
      <c r="J289" t="n">
        <v>0</v>
      </c>
      <c r="K289" t="n">
        <v>1</v>
      </c>
      <c r="L289" t="n">
        <v>0</v>
      </c>
      <c r="M289" t="n">
        <v>0</v>
      </c>
      <c r="N289" t="n">
        <v>0</v>
      </c>
      <c r="O289" t="n">
        <v>1</v>
      </c>
      <c r="P289" t="n">
        <v>1</v>
      </c>
      <c r="Q289" t="n">
        <v>1</v>
      </c>
      <c r="R289" s="2" t="inlineStr">
        <is>
          <t>Knärot</t>
        </is>
      </c>
      <c r="S289">
        <f>HYPERLINK("https://klasma.github.io/Logging_0883/artfynd/A 59368-2023 artfynd.xlsx", "A 59368-2023")</f>
        <v/>
      </c>
      <c r="T289">
        <f>HYPERLINK("https://klasma.github.io/Logging_0883/kartor/A 59368-2023 karta.png", "A 59368-2023")</f>
        <v/>
      </c>
      <c r="U289">
        <f>HYPERLINK("https://klasma.github.io/Logging_0883/knärot/A 59368-2023 karta knärot.png", "A 59368-2023")</f>
        <v/>
      </c>
      <c r="V289">
        <f>HYPERLINK("https://klasma.github.io/Logging_0883/klagomål/A 59368-2023 FSC-klagomål.docx", "A 59368-2023")</f>
        <v/>
      </c>
      <c r="W289">
        <f>HYPERLINK("https://klasma.github.io/Logging_0883/klagomålsmail/A 59368-2023 FSC-klagomål mail.docx", "A 59368-2023")</f>
        <v/>
      </c>
      <c r="X289">
        <f>HYPERLINK("https://klasma.github.io/Logging_0883/tillsyn/A 59368-2023 tillsynsbegäran.docx", "A 59368-2023")</f>
        <v/>
      </c>
      <c r="Y289">
        <f>HYPERLINK("https://klasma.github.io/Logging_0883/tillsynsmail/A 59368-2023 tillsynsbegäran mail.docx", "A 59368-2023")</f>
        <v/>
      </c>
    </row>
    <row r="290" ht="15" customHeight="1">
      <c r="A290" t="inlineStr">
        <is>
          <t>A 21409-2025</t>
        </is>
      </c>
      <c r="B290" s="1" t="n">
        <v>45782</v>
      </c>
      <c r="C290" s="1" t="n">
        <v>46081</v>
      </c>
      <c r="D290" t="inlineStr">
        <is>
          <t>KALMAR LÄN</t>
        </is>
      </c>
      <c r="E290" t="inlineStr">
        <is>
          <t>VÄSTERVIK</t>
        </is>
      </c>
      <c r="G290" t="n">
        <v>2.5</v>
      </c>
      <c r="H290" t="n">
        <v>1</v>
      </c>
      <c r="I290" t="n">
        <v>0</v>
      </c>
      <c r="J290" t="n">
        <v>0</v>
      </c>
      <c r="K290" t="n">
        <v>0</v>
      </c>
      <c r="L290" t="n">
        <v>0</v>
      </c>
      <c r="M290" t="n">
        <v>0</v>
      </c>
      <c r="N290" t="n">
        <v>0</v>
      </c>
      <c r="O290" t="n">
        <v>0</v>
      </c>
      <c r="P290" t="n">
        <v>0</v>
      </c>
      <c r="Q290" t="n">
        <v>1</v>
      </c>
      <c r="R290" s="2" t="inlineStr">
        <is>
          <t>Grönvit nattviol</t>
        </is>
      </c>
      <c r="S290">
        <f>HYPERLINK("https://klasma.github.io/Logging_0883/artfynd/A 21409-2025 artfynd.xlsx", "A 21409-2025")</f>
        <v/>
      </c>
      <c r="T290">
        <f>HYPERLINK("https://klasma.github.io/Logging_0883/kartor/A 21409-2025 karta.png", "A 21409-2025")</f>
        <v/>
      </c>
      <c r="V290">
        <f>HYPERLINK("https://klasma.github.io/Logging_0883/klagomål/A 21409-2025 FSC-klagomål.docx", "A 21409-2025")</f>
        <v/>
      </c>
      <c r="W290">
        <f>HYPERLINK("https://klasma.github.io/Logging_0883/klagomålsmail/A 21409-2025 FSC-klagomål mail.docx", "A 21409-2025")</f>
        <v/>
      </c>
      <c r="X290">
        <f>HYPERLINK("https://klasma.github.io/Logging_0883/tillsyn/A 21409-2025 tillsynsbegäran.docx", "A 21409-2025")</f>
        <v/>
      </c>
      <c r="Y290">
        <f>HYPERLINK("https://klasma.github.io/Logging_0883/tillsynsmail/A 21409-2025 tillsynsbegäran mail.docx", "A 21409-2025")</f>
        <v/>
      </c>
    </row>
    <row r="291" ht="15" customHeight="1">
      <c r="A291" t="inlineStr">
        <is>
          <t>A 21653-2025</t>
        </is>
      </c>
      <c r="B291" s="1" t="n">
        <v>45783.45039351852</v>
      </c>
      <c r="C291" s="1" t="n">
        <v>46081</v>
      </c>
      <c r="D291" t="inlineStr">
        <is>
          <t>KALMAR LÄN</t>
        </is>
      </c>
      <c r="E291" t="inlineStr">
        <is>
          <t>VÄSTERVIK</t>
        </is>
      </c>
      <c r="F291" t="inlineStr">
        <is>
          <t>Sveaskog</t>
        </is>
      </c>
      <c r="G291" t="n">
        <v>2.8</v>
      </c>
      <c r="H291" t="n">
        <v>1</v>
      </c>
      <c r="I291" t="n">
        <v>0</v>
      </c>
      <c r="J291" t="n">
        <v>1</v>
      </c>
      <c r="K291" t="n">
        <v>0</v>
      </c>
      <c r="L291" t="n">
        <v>0</v>
      </c>
      <c r="M291" t="n">
        <v>0</v>
      </c>
      <c r="N291" t="n">
        <v>0</v>
      </c>
      <c r="O291" t="n">
        <v>1</v>
      </c>
      <c r="P291" t="n">
        <v>0</v>
      </c>
      <c r="Q291" t="n">
        <v>1</v>
      </c>
      <c r="R291" s="2" t="inlineStr">
        <is>
          <t>Entita</t>
        </is>
      </c>
      <c r="S291">
        <f>HYPERLINK("https://klasma.github.io/Logging_0883/artfynd/A 21653-2025 artfynd.xlsx", "A 21653-2025")</f>
        <v/>
      </c>
      <c r="T291">
        <f>HYPERLINK("https://klasma.github.io/Logging_0883/kartor/A 21653-2025 karta.png", "A 21653-2025")</f>
        <v/>
      </c>
      <c r="V291">
        <f>HYPERLINK("https://klasma.github.io/Logging_0883/klagomål/A 21653-2025 FSC-klagomål.docx", "A 21653-2025")</f>
        <v/>
      </c>
      <c r="W291">
        <f>HYPERLINK("https://klasma.github.io/Logging_0883/klagomålsmail/A 21653-2025 FSC-klagomål mail.docx", "A 21653-2025")</f>
        <v/>
      </c>
      <c r="X291">
        <f>HYPERLINK("https://klasma.github.io/Logging_0883/tillsyn/A 21653-2025 tillsynsbegäran.docx", "A 21653-2025")</f>
        <v/>
      </c>
      <c r="Y291">
        <f>HYPERLINK("https://klasma.github.io/Logging_0883/tillsynsmail/A 21653-2025 tillsynsbegäran mail.docx", "A 21653-2025")</f>
        <v/>
      </c>
      <c r="Z291">
        <f>HYPERLINK("https://klasma.github.io/Logging_0883/fåglar/A 21653-2025 prioriterade fågelarter.docx", "A 21653-2025")</f>
        <v/>
      </c>
    </row>
    <row r="292" ht="15" customHeight="1">
      <c r="A292" t="inlineStr">
        <is>
          <t>A 11729-2023</t>
        </is>
      </c>
      <c r="B292" s="1" t="n">
        <v>44994</v>
      </c>
      <c r="C292" s="1" t="n">
        <v>46081</v>
      </c>
      <c r="D292" t="inlineStr">
        <is>
          <t>KALMAR LÄN</t>
        </is>
      </c>
      <c r="E292" t="inlineStr">
        <is>
          <t>VÄSTERVIK</t>
        </is>
      </c>
      <c r="F292" t="inlineStr">
        <is>
          <t>Sveaskog</t>
        </is>
      </c>
      <c r="G292" t="n">
        <v>4.1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HYPERLINK("https://klasma.github.io/Logging_0883/artfynd/A 11729-2023 artfynd.xlsx", "A 11729-2023")</f>
        <v/>
      </c>
      <c r="T292">
        <f>HYPERLINK("https://klasma.github.io/Logging_0883/kartor/A 11729-2023 karta.png", "A 11729-2023")</f>
        <v/>
      </c>
      <c r="V292">
        <f>HYPERLINK("https://klasma.github.io/Logging_0883/klagomål/A 11729-2023 FSC-klagomål.docx", "A 11729-2023")</f>
        <v/>
      </c>
      <c r="W292">
        <f>HYPERLINK("https://klasma.github.io/Logging_0883/klagomålsmail/A 11729-2023 FSC-klagomål mail.docx", "A 11729-2023")</f>
        <v/>
      </c>
      <c r="X292">
        <f>HYPERLINK("https://klasma.github.io/Logging_0883/tillsyn/A 11729-2023 tillsynsbegäran.docx", "A 11729-2023")</f>
        <v/>
      </c>
      <c r="Y292">
        <f>HYPERLINK("https://klasma.github.io/Logging_0883/tillsynsmail/A 11729-2023 tillsynsbegäran mail.docx", "A 11729-2023")</f>
        <v/>
      </c>
    </row>
    <row r="293" ht="15" customHeight="1">
      <c r="A293" t="inlineStr">
        <is>
          <t>A 23186-2025</t>
        </is>
      </c>
      <c r="B293" s="1" t="n">
        <v>45791.44415509259</v>
      </c>
      <c r="C293" s="1" t="n">
        <v>46081</v>
      </c>
      <c r="D293" t="inlineStr">
        <is>
          <t>KALMAR LÄN</t>
        </is>
      </c>
      <c r="E293" t="inlineStr">
        <is>
          <t>VÄSTERVIK</t>
        </is>
      </c>
      <c r="G293" t="n">
        <v>1.4</v>
      </c>
      <c r="H293" t="n">
        <v>0</v>
      </c>
      <c r="I293" t="n">
        <v>0</v>
      </c>
      <c r="J293" t="n">
        <v>1</v>
      </c>
      <c r="K293" t="n">
        <v>0</v>
      </c>
      <c r="L293" t="n">
        <v>0</v>
      </c>
      <c r="M293" t="n">
        <v>0</v>
      </c>
      <c r="N293" t="n">
        <v>0</v>
      </c>
      <c r="O293" t="n">
        <v>1</v>
      </c>
      <c r="P293" t="n">
        <v>0</v>
      </c>
      <c r="Q293" t="n">
        <v>1</v>
      </c>
      <c r="R293" s="2" t="inlineStr">
        <is>
          <t>Krusfrö</t>
        </is>
      </c>
      <c r="S293">
        <f>HYPERLINK("https://klasma.github.io/Logging_0883/artfynd/A 23186-2025 artfynd.xlsx", "A 23186-2025")</f>
        <v/>
      </c>
      <c r="T293">
        <f>HYPERLINK("https://klasma.github.io/Logging_0883/kartor/A 23186-2025 karta.png", "A 23186-2025")</f>
        <v/>
      </c>
      <c r="V293">
        <f>HYPERLINK("https://klasma.github.io/Logging_0883/klagomål/A 23186-2025 FSC-klagomål.docx", "A 23186-2025")</f>
        <v/>
      </c>
      <c r="W293">
        <f>HYPERLINK("https://klasma.github.io/Logging_0883/klagomålsmail/A 23186-2025 FSC-klagomål mail.docx", "A 23186-2025")</f>
        <v/>
      </c>
      <c r="X293">
        <f>HYPERLINK("https://klasma.github.io/Logging_0883/tillsyn/A 23186-2025 tillsynsbegäran.docx", "A 23186-2025")</f>
        <v/>
      </c>
      <c r="Y293">
        <f>HYPERLINK("https://klasma.github.io/Logging_0883/tillsynsmail/A 23186-2025 tillsynsbegäran mail.docx", "A 23186-2025")</f>
        <v/>
      </c>
    </row>
    <row r="294" ht="15" customHeight="1">
      <c r="A294" t="inlineStr">
        <is>
          <t>A 23192-2025</t>
        </is>
      </c>
      <c r="B294" s="1" t="n">
        <v>45791.45371527778</v>
      </c>
      <c r="C294" s="1" t="n">
        <v>46081</v>
      </c>
      <c r="D294" t="inlineStr">
        <is>
          <t>KALMAR LÄN</t>
        </is>
      </c>
      <c r="E294" t="inlineStr">
        <is>
          <t>VÄSTERVIK</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HYPERLINK("https://klasma.github.io/Logging_0883/artfynd/A 23192-2025 artfynd.xlsx", "A 23192-2025")</f>
        <v/>
      </c>
      <c r="T294">
        <f>HYPERLINK("https://klasma.github.io/Logging_0883/kartor/A 23192-2025 karta.png", "A 23192-2025")</f>
        <v/>
      </c>
      <c r="V294">
        <f>HYPERLINK("https://klasma.github.io/Logging_0883/klagomål/A 23192-2025 FSC-klagomål.docx", "A 23192-2025")</f>
        <v/>
      </c>
      <c r="W294">
        <f>HYPERLINK("https://klasma.github.io/Logging_0883/klagomålsmail/A 23192-2025 FSC-klagomål mail.docx", "A 23192-2025")</f>
        <v/>
      </c>
      <c r="X294">
        <f>HYPERLINK("https://klasma.github.io/Logging_0883/tillsyn/A 23192-2025 tillsynsbegäran.docx", "A 23192-2025")</f>
        <v/>
      </c>
      <c r="Y294">
        <f>HYPERLINK("https://klasma.github.io/Logging_0883/tillsynsmail/A 23192-2025 tillsynsbegäran mail.docx", "A 23192-2025")</f>
        <v/>
      </c>
      <c r="Z294">
        <f>HYPERLINK("https://klasma.github.io/Logging_0883/fåglar/A 23192-2025 prioriterade fågelarter.docx", "A 23192-2025")</f>
        <v/>
      </c>
    </row>
    <row r="295" ht="15" customHeight="1">
      <c r="A295" t="inlineStr">
        <is>
          <t>A 23199-2025</t>
        </is>
      </c>
      <c r="B295" s="1" t="n">
        <v>45791.45887731481</v>
      </c>
      <c r="C295" s="1" t="n">
        <v>46081</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23199-2025 artfynd.xlsx", "A 23199-2025")</f>
        <v/>
      </c>
      <c r="T295">
        <f>HYPERLINK("https://klasma.github.io/Logging_0883/kartor/A 23199-2025 karta.png", "A 23199-2025")</f>
        <v/>
      </c>
      <c r="V295">
        <f>HYPERLINK("https://klasma.github.io/Logging_0883/klagomål/A 23199-2025 FSC-klagomål.docx", "A 23199-2025")</f>
        <v/>
      </c>
      <c r="W295">
        <f>HYPERLINK("https://klasma.github.io/Logging_0883/klagomålsmail/A 23199-2025 FSC-klagomål mail.docx", "A 23199-2025")</f>
        <v/>
      </c>
      <c r="X295">
        <f>HYPERLINK("https://klasma.github.io/Logging_0883/tillsyn/A 23199-2025 tillsynsbegäran.docx", "A 23199-2025")</f>
        <v/>
      </c>
      <c r="Y295">
        <f>HYPERLINK("https://klasma.github.io/Logging_0883/tillsynsmail/A 23199-2025 tillsynsbegäran mail.docx", "A 23199-2025")</f>
        <v/>
      </c>
    </row>
    <row r="296" ht="15" customHeight="1">
      <c r="A296" t="inlineStr">
        <is>
          <t>A 24884-2025</t>
        </is>
      </c>
      <c r="B296" s="1" t="n">
        <v>45799.50620370371</v>
      </c>
      <c r="C296" s="1" t="n">
        <v>46081</v>
      </c>
      <c r="D296" t="inlineStr">
        <is>
          <t>KALMAR LÄN</t>
        </is>
      </c>
      <c r="E296" t="inlineStr">
        <is>
          <t>VÄSTERVIK</t>
        </is>
      </c>
      <c r="F296" t="inlineStr">
        <is>
          <t>Holmen skog AB</t>
        </is>
      </c>
      <c r="G296" t="n">
        <v>5.1</v>
      </c>
      <c r="H296" t="n">
        <v>0</v>
      </c>
      <c r="I296" t="n">
        <v>1</v>
      </c>
      <c r="J296" t="n">
        <v>0</v>
      </c>
      <c r="K296" t="n">
        <v>0</v>
      </c>
      <c r="L296" t="n">
        <v>0</v>
      </c>
      <c r="M296" t="n">
        <v>0</v>
      </c>
      <c r="N296" t="n">
        <v>0</v>
      </c>
      <c r="O296" t="n">
        <v>0</v>
      </c>
      <c r="P296" t="n">
        <v>0</v>
      </c>
      <c r="Q296" t="n">
        <v>1</v>
      </c>
      <c r="R296" s="2" t="inlineStr">
        <is>
          <t>Strävlosta</t>
        </is>
      </c>
      <c r="S296">
        <f>HYPERLINK("https://klasma.github.io/Logging_0883/artfynd/A 24884-2025 artfynd.xlsx", "A 24884-2025")</f>
        <v/>
      </c>
      <c r="T296">
        <f>HYPERLINK("https://klasma.github.io/Logging_0883/kartor/A 24884-2025 karta.png", "A 24884-2025")</f>
        <v/>
      </c>
      <c r="V296">
        <f>HYPERLINK("https://klasma.github.io/Logging_0883/klagomål/A 24884-2025 FSC-klagomål.docx", "A 24884-2025")</f>
        <v/>
      </c>
      <c r="W296">
        <f>HYPERLINK("https://klasma.github.io/Logging_0883/klagomålsmail/A 24884-2025 FSC-klagomål mail.docx", "A 24884-2025")</f>
        <v/>
      </c>
      <c r="X296">
        <f>HYPERLINK("https://klasma.github.io/Logging_0883/tillsyn/A 24884-2025 tillsynsbegäran.docx", "A 24884-2025")</f>
        <v/>
      </c>
      <c r="Y296">
        <f>HYPERLINK("https://klasma.github.io/Logging_0883/tillsynsmail/A 24884-2025 tillsynsbegäran mail.docx", "A 24884-2025")</f>
        <v/>
      </c>
    </row>
    <row r="297" ht="15" customHeight="1">
      <c r="A297" t="inlineStr">
        <is>
          <t>A 16697-2021</t>
        </is>
      </c>
      <c r="B297" s="1" t="n">
        <v>44294</v>
      </c>
      <c r="C297" s="1" t="n">
        <v>46081</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23626-2021</t>
        </is>
      </c>
      <c r="B298" s="1" t="n">
        <v>44334</v>
      </c>
      <c r="C298" s="1" t="n">
        <v>46081</v>
      </c>
      <c r="D298" t="inlineStr">
        <is>
          <t>KALMAR LÄN</t>
        </is>
      </c>
      <c r="E298" t="inlineStr">
        <is>
          <t>VÄSTERVIK</t>
        </is>
      </c>
      <c r="G298" t="n">
        <v>9</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46081</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46081</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46081</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46081</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14149-2021</t>
        </is>
      </c>
      <c r="B303" s="1" t="n">
        <v>44278</v>
      </c>
      <c r="C303" s="1" t="n">
        <v>46081</v>
      </c>
      <c r="D303" t="inlineStr">
        <is>
          <t>KALMAR LÄN</t>
        </is>
      </c>
      <c r="E303" t="inlineStr">
        <is>
          <t>VÄSTERVIK</t>
        </is>
      </c>
      <c r="G303" t="n">
        <v>4.1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46081</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46081</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46081</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46081</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46081</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46081</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64822-2021</t>
        </is>
      </c>
      <c r="B310" s="1" t="n">
        <v>44512</v>
      </c>
      <c r="C310" s="1" t="n">
        <v>46081</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46081</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46081</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57808-2021</t>
        </is>
      </c>
      <c r="B313" s="1" t="n">
        <v>44484</v>
      </c>
      <c r="C313" s="1" t="n">
        <v>46081</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46081</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46081</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23097-2021</t>
        </is>
      </c>
      <c r="B316" s="1" t="n">
        <v>44330</v>
      </c>
      <c r="C316" s="1" t="n">
        <v>46081</v>
      </c>
      <c r="D316" t="inlineStr">
        <is>
          <t>KALMAR LÄN</t>
        </is>
      </c>
      <c r="E316" t="inlineStr">
        <is>
          <t>VÄSTERVIK</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46081</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46081</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46081</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46081</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46081</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46081</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46081</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46081</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46081</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46081</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46081</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46081</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42150-2021</t>
        </is>
      </c>
      <c r="B329" s="1" t="n">
        <v>44426</v>
      </c>
      <c r="C329" s="1" t="n">
        <v>46081</v>
      </c>
      <c r="D329" t="inlineStr">
        <is>
          <t>KALMAR LÄN</t>
        </is>
      </c>
      <c r="E329" t="inlineStr">
        <is>
          <t>VÄSTERVIK</t>
        </is>
      </c>
      <c r="G329" t="n">
        <v>0.3</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46081</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34958-2021</t>
        </is>
      </c>
      <c r="B331" s="1" t="n">
        <v>44383</v>
      </c>
      <c r="C331" s="1" t="n">
        <v>46081</v>
      </c>
      <c r="D331" t="inlineStr">
        <is>
          <t>KALMAR LÄN</t>
        </is>
      </c>
      <c r="E331" t="inlineStr">
        <is>
          <t>VÄSTERVIK</t>
        </is>
      </c>
      <c r="G331" t="n">
        <v>2.7</v>
      </c>
      <c r="H331" t="n">
        <v>0</v>
      </c>
      <c r="I331" t="n">
        <v>0</v>
      </c>
      <c r="J331" t="n">
        <v>0</v>
      </c>
      <c r="K331" t="n">
        <v>0</v>
      </c>
      <c r="L331" t="n">
        <v>0</v>
      </c>
      <c r="M331" t="n">
        <v>0</v>
      </c>
      <c r="N331" t="n">
        <v>0</v>
      </c>
      <c r="O331" t="n">
        <v>0</v>
      </c>
      <c r="P331" t="n">
        <v>0</v>
      </c>
      <c r="Q331" t="n">
        <v>0</v>
      </c>
      <c r="R331" s="2" t="inlineStr"/>
    </row>
    <row r="332" ht="15" customHeight="1">
      <c r="A332" t="inlineStr">
        <is>
          <t>A 72733-2021</t>
        </is>
      </c>
      <c r="B332" s="1" t="n">
        <v>44546</v>
      </c>
      <c r="C332" s="1" t="n">
        <v>46081</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46781-2022</t>
        </is>
      </c>
      <c r="B333" s="1" t="n">
        <v>44851.49836805555</v>
      </c>
      <c r="C333" s="1" t="n">
        <v>46081</v>
      </c>
      <c r="D333" t="inlineStr">
        <is>
          <t>KALMAR LÄN</t>
        </is>
      </c>
      <c r="E333" t="inlineStr">
        <is>
          <t>VÄSTERVIK</t>
        </is>
      </c>
      <c r="G333" t="n">
        <v>13.2</v>
      </c>
      <c r="H333" t="n">
        <v>0</v>
      </c>
      <c r="I333" t="n">
        <v>0</v>
      </c>
      <c r="J333" t="n">
        <v>0</v>
      </c>
      <c r="K333" t="n">
        <v>0</v>
      </c>
      <c r="L333" t="n">
        <v>0</v>
      </c>
      <c r="M333" t="n">
        <v>0</v>
      </c>
      <c r="N333" t="n">
        <v>0</v>
      </c>
      <c r="O333" t="n">
        <v>0</v>
      </c>
      <c r="P333" t="n">
        <v>0</v>
      </c>
      <c r="Q333" t="n">
        <v>0</v>
      </c>
      <c r="R333" s="2" t="inlineStr"/>
    </row>
    <row r="334" ht="15" customHeight="1">
      <c r="A334" t="inlineStr">
        <is>
          <t>A 38613-2021</t>
        </is>
      </c>
      <c r="B334" s="1" t="n">
        <v>44409</v>
      </c>
      <c r="C334" s="1" t="n">
        <v>46081</v>
      </c>
      <c r="D334" t="inlineStr">
        <is>
          <t>KALMAR LÄN</t>
        </is>
      </c>
      <c r="E334" t="inlineStr">
        <is>
          <t>VÄSTERVIK</t>
        </is>
      </c>
      <c r="G334" t="n">
        <v>7</v>
      </c>
      <c r="H334" t="n">
        <v>0</v>
      </c>
      <c r="I334" t="n">
        <v>0</v>
      </c>
      <c r="J334" t="n">
        <v>0</v>
      </c>
      <c r="K334" t="n">
        <v>0</v>
      </c>
      <c r="L334" t="n">
        <v>0</v>
      </c>
      <c r="M334" t="n">
        <v>0</v>
      </c>
      <c r="N334" t="n">
        <v>0</v>
      </c>
      <c r="O334" t="n">
        <v>0</v>
      </c>
      <c r="P334" t="n">
        <v>0</v>
      </c>
      <c r="Q334" t="n">
        <v>0</v>
      </c>
      <c r="R334" s="2" t="inlineStr"/>
    </row>
    <row r="335" ht="15" customHeight="1">
      <c r="A335" t="inlineStr">
        <is>
          <t>A 15834-2021</t>
        </is>
      </c>
      <c r="B335" s="1" t="n">
        <v>44286</v>
      </c>
      <c r="C335" s="1" t="n">
        <v>46081</v>
      </c>
      <c r="D335" t="inlineStr">
        <is>
          <t>KALMAR LÄN</t>
        </is>
      </c>
      <c r="E335" t="inlineStr">
        <is>
          <t>VÄSTERVIK</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23997-2021</t>
        </is>
      </c>
      <c r="B336" s="1" t="n">
        <v>44335</v>
      </c>
      <c r="C336" s="1" t="n">
        <v>46081</v>
      </c>
      <c r="D336" t="inlineStr">
        <is>
          <t>KALMAR LÄN</t>
        </is>
      </c>
      <c r="E336" t="inlineStr">
        <is>
          <t>VÄSTERVIK</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53108-2022</t>
        </is>
      </c>
      <c r="B337" s="1" t="n">
        <v>44876.43712962963</v>
      </c>
      <c r="C337" s="1" t="n">
        <v>46081</v>
      </c>
      <c r="D337" t="inlineStr">
        <is>
          <t>KALMAR LÄN</t>
        </is>
      </c>
      <c r="E337" t="inlineStr">
        <is>
          <t>VÄSTERVIK</t>
        </is>
      </c>
      <c r="G337" t="n">
        <v>1</v>
      </c>
      <c r="H337" t="n">
        <v>0</v>
      </c>
      <c r="I337" t="n">
        <v>0</v>
      </c>
      <c r="J337" t="n">
        <v>0</v>
      </c>
      <c r="K337" t="n">
        <v>0</v>
      </c>
      <c r="L337" t="n">
        <v>0</v>
      </c>
      <c r="M337" t="n">
        <v>0</v>
      </c>
      <c r="N337" t="n">
        <v>0</v>
      </c>
      <c r="O337" t="n">
        <v>0</v>
      </c>
      <c r="P337" t="n">
        <v>0</v>
      </c>
      <c r="Q337" t="n">
        <v>0</v>
      </c>
      <c r="R337" s="2" t="inlineStr"/>
    </row>
    <row r="338" ht="15" customHeight="1">
      <c r="A338" t="inlineStr">
        <is>
          <t>A 23628-2021</t>
        </is>
      </c>
      <c r="B338" s="1" t="n">
        <v>44334</v>
      </c>
      <c r="C338" s="1" t="n">
        <v>46081</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46081</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46081</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46081</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46081</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46081</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46081</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13761-2021</t>
        </is>
      </c>
      <c r="B345" s="1" t="n">
        <v>44274.71607638889</v>
      </c>
      <c r="C345" s="1" t="n">
        <v>46081</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31545-2021</t>
        </is>
      </c>
      <c r="B346" s="1" t="n">
        <v>44369</v>
      </c>
      <c r="C346" s="1" t="n">
        <v>46081</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46081</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18013-2021</t>
        </is>
      </c>
      <c r="B348" s="1" t="n">
        <v>44302</v>
      </c>
      <c r="C348" s="1" t="n">
        <v>46081</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55382-2022</t>
        </is>
      </c>
      <c r="B349" s="1" t="n">
        <v>44887</v>
      </c>
      <c r="C349" s="1" t="n">
        <v>46081</v>
      </c>
      <c r="D349" t="inlineStr">
        <is>
          <t>KALMAR LÄN</t>
        </is>
      </c>
      <c r="E349" t="inlineStr">
        <is>
          <t>VÄSTERVIK</t>
        </is>
      </c>
      <c r="G349" t="n">
        <v>3.2</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46081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46081</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12123-2021</t>
        </is>
      </c>
      <c r="B352" s="1" t="n">
        <v>44266.55212962963</v>
      </c>
      <c r="C352" s="1" t="n">
        <v>46081</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46081</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46081</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46081</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46081</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46081</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46081</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46081</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46081</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46081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46081</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46081</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46081</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46081</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51504-2021</t>
        </is>
      </c>
      <c r="B366" s="1" t="n">
        <v>44461</v>
      </c>
      <c r="C366" s="1" t="n">
        <v>46081</v>
      </c>
      <c r="D366" t="inlineStr">
        <is>
          <t>KALMAR LÄN</t>
        </is>
      </c>
      <c r="E366" t="inlineStr">
        <is>
          <t>VÄSTERVIK</t>
        </is>
      </c>
      <c r="G366" t="n">
        <v>6.4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46081</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46081</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46081</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46081</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46081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46081</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47530-2021</t>
        </is>
      </c>
      <c r="B373" s="1" t="n">
        <v>44447</v>
      </c>
      <c r="C373" s="1" t="n">
        <v>46081</v>
      </c>
      <c r="D373" t="inlineStr">
        <is>
          <t>KALMAR LÄN</t>
        </is>
      </c>
      <c r="E373" t="inlineStr">
        <is>
          <t>VÄSTERVIK</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46081</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46081</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10517-2021</t>
        </is>
      </c>
      <c r="B376" s="1" t="n">
        <v>44258</v>
      </c>
      <c r="C376" s="1" t="n">
        <v>46081</v>
      </c>
      <c r="D376" t="inlineStr">
        <is>
          <t>KALMAR LÄN</t>
        </is>
      </c>
      <c r="E376" t="inlineStr">
        <is>
          <t>VÄSTERVIK</t>
        </is>
      </c>
      <c r="G376" t="n">
        <v>3.6</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46081</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46081</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46081</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46081</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46081</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46081</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46081</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46081</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46081</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46081</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46081</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46081</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46081</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46081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46081</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46081</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46081</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46081</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46081</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46081</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46081</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46081</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46081</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46081</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46081</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46081</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46081</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46081</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12333-2025</t>
        </is>
      </c>
      <c r="B405" s="1" t="n">
        <v>45730</v>
      </c>
      <c r="C405" s="1" t="n">
        <v>46081</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46081</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46081</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4520-2024</t>
        </is>
      </c>
      <c r="B408" s="1" t="n">
        <v>45327</v>
      </c>
      <c r="C408" s="1" t="n">
        <v>46081</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47363-2023</t>
        </is>
      </c>
      <c r="B409" s="1" t="n">
        <v>45202.59584490741</v>
      </c>
      <c r="C409" s="1" t="n">
        <v>46081</v>
      </c>
      <c r="D409" t="inlineStr">
        <is>
          <t>KALMAR LÄN</t>
        </is>
      </c>
      <c r="E409" t="inlineStr">
        <is>
          <t>VÄSTERVIK</t>
        </is>
      </c>
      <c r="G409" t="n">
        <v>2.5</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46081</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5355-2024</t>
        </is>
      </c>
      <c r="B411" s="1" t="n">
        <v>45331</v>
      </c>
      <c r="C411" s="1" t="n">
        <v>46081</v>
      </c>
      <c r="D411" t="inlineStr">
        <is>
          <t>KALMAR LÄN</t>
        </is>
      </c>
      <c r="E411" t="inlineStr">
        <is>
          <t>VÄSTERVIK</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46081</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46081</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562-2023</t>
        </is>
      </c>
      <c r="B414" s="1" t="n">
        <v>44930</v>
      </c>
      <c r="C414" s="1" t="n">
        <v>46081</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12433-2024</t>
        </is>
      </c>
      <c r="B415" s="1" t="n">
        <v>45379.44450231481</v>
      </c>
      <c r="C415" s="1" t="n">
        <v>46081</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46560-2022</t>
        </is>
      </c>
      <c r="B416" s="1" t="n">
        <v>44848</v>
      </c>
      <c r="C416" s="1" t="n">
        <v>46081</v>
      </c>
      <c r="D416" t="inlineStr">
        <is>
          <t>KALMAR LÄN</t>
        </is>
      </c>
      <c r="E416" t="inlineStr">
        <is>
          <t>VÄSTERVIK</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46081</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17650-2023</t>
        </is>
      </c>
      <c r="B418" s="1" t="n">
        <v>45036.70215277778</v>
      </c>
      <c r="C418" s="1" t="n">
        <v>46081</v>
      </c>
      <c r="D418" t="inlineStr">
        <is>
          <t>KALMAR LÄN</t>
        </is>
      </c>
      <c r="E418" t="inlineStr">
        <is>
          <t>VÄSTERVIK</t>
        </is>
      </c>
      <c r="G418" t="n">
        <v>0.3</v>
      </c>
      <c r="H418" t="n">
        <v>0</v>
      </c>
      <c r="I418" t="n">
        <v>0</v>
      </c>
      <c r="J418" t="n">
        <v>0</v>
      </c>
      <c r="K418" t="n">
        <v>0</v>
      </c>
      <c r="L418" t="n">
        <v>0</v>
      </c>
      <c r="M418" t="n">
        <v>0</v>
      </c>
      <c r="N418" t="n">
        <v>0</v>
      </c>
      <c r="O418" t="n">
        <v>0</v>
      </c>
      <c r="P418" t="n">
        <v>0</v>
      </c>
      <c r="Q418" t="n">
        <v>0</v>
      </c>
      <c r="R418" s="2" t="inlineStr"/>
    </row>
    <row r="419" ht="15" customHeight="1">
      <c r="A419" t="inlineStr">
        <is>
          <t>A 13836-2024</t>
        </is>
      </c>
      <c r="B419" s="1" t="n">
        <v>45391.44385416667</v>
      </c>
      <c r="C419" s="1" t="n">
        <v>46081</v>
      </c>
      <c r="D419" t="inlineStr">
        <is>
          <t>KALMAR LÄN</t>
        </is>
      </c>
      <c r="E419" t="inlineStr">
        <is>
          <t>VÄSTERVIK</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64920-2021</t>
        </is>
      </c>
      <c r="B420" s="1" t="n">
        <v>44512</v>
      </c>
      <c r="C420" s="1" t="n">
        <v>46081</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c r="U420">
        <f>HYPERLINK("https://klasma.github.io/Logging_0883/knärot/A 64920-2021 karta knärot.png", "A 64920-2021")</f>
        <v/>
      </c>
      <c r="V420">
        <f>HYPERLINK("https://klasma.github.io/Logging_0883/klagomål/A 64920-2021 FSC-klagomål.docx", "A 64920-2021")</f>
        <v/>
      </c>
      <c r="W420">
        <f>HYPERLINK("https://klasma.github.io/Logging_0883/klagomålsmail/A 64920-2021 FSC-klagomål mail.docx", "A 64920-2021")</f>
        <v/>
      </c>
      <c r="X420">
        <f>HYPERLINK("https://klasma.github.io/Logging_0883/tillsyn/A 64920-2021 tillsynsbegäran.docx", "A 64920-2021")</f>
        <v/>
      </c>
      <c r="Y420">
        <f>HYPERLINK("https://klasma.github.io/Logging_0883/tillsynsmail/A 64920-2021 tillsynsbegäran mail.docx", "A 64920-2021")</f>
        <v/>
      </c>
    </row>
    <row r="421" ht="15" customHeight="1">
      <c r="A421" t="inlineStr">
        <is>
          <t>A 31952-2021</t>
        </is>
      </c>
      <c r="B421" s="1" t="n">
        <v>44370</v>
      </c>
      <c r="C421" s="1" t="n">
        <v>46081</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12643-2024</t>
        </is>
      </c>
      <c r="B422" s="1" t="n">
        <v>45379</v>
      </c>
      <c r="C422" s="1" t="n">
        <v>46081</v>
      </c>
      <c r="D422" t="inlineStr">
        <is>
          <t>KALMAR LÄN</t>
        </is>
      </c>
      <c r="E422" t="inlineStr">
        <is>
          <t>VÄSTERVIK</t>
        </is>
      </c>
      <c r="F422" t="inlineStr">
        <is>
          <t>Kommuner</t>
        </is>
      </c>
      <c r="G422" t="n">
        <v>2.1</v>
      </c>
      <c r="H422" t="n">
        <v>0</v>
      </c>
      <c r="I422" t="n">
        <v>0</v>
      </c>
      <c r="J422" t="n">
        <v>0</v>
      </c>
      <c r="K422" t="n">
        <v>0</v>
      </c>
      <c r="L422" t="n">
        <v>0</v>
      </c>
      <c r="M422" t="n">
        <v>0</v>
      </c>
      <c r="N422" t="n">
        <v>0</v>
      </c>
      <c r="O422" t="n">
        <v>0</v>
      </c>
      <c r="P422" t="n">
        <v>0</v>
      </c>
      <c r="Q422" t="n">
        <v>0</v>
      </c>
      <c r="R422" s="2" t="inlineStr"/>
    </row>
    <row r="423" ht="15" customHeight="1">
      <c r="A423" t="inlineStr">
        <is>
          <t>A 24567-2024</t>
        </is>
      </c>
      <c r="B423" s="1" t="n">
        <v>45460.44732638889</v>
      </c>
      <c r="C423" s="1" t="n">
        <v>46081</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1096-2024</t>
        </is>
      </c>
      <c r="B424" s="1" t="n">
        <v>45302</v>
      </c>
      <c r="C424" s="1" t="n">
        <v>46081</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25561-2024</t>
        </is>
      </c>
      <c r="B425" s="1" t="n">
        <v>45463.58467592593</v>
      </c>
      <c r="C425" s="1" t="n">
        <v>46081</v>
      </c>
      <c r="D425" t="inlineStr">
        <is>
          <t>KALMAR LÄN</t>
        </is>
      </c>
      <c r="E425" t="inlineStr">
        <is>
          <t>VÄSTERVIK</t>
        </is>
      </c>
      <c r="F425" t="inlineStr">
        <is>
          <t>Holmen skog AB</t>
        </is>
      </c>
      <c r="G425" t="n">
        <v>7.2</v>
      </c>
      <c r="H425" t="n">
        <v>0</v>
      </c>
      <c r="I425" t="n">
        <v>0</v>
      </c>
      <c r="J425" t="n">
        <v>0</v>
      </c>
      <c r="K425" t="n">
        <v>0</v>
      </c>
      <c r="L425" t="n">
        <v>0</v>
      </c>
      <c r="M425" t="n">
        <v>0</v>
      </c>
      <c r="N425" t="n">
        <v>0</v>
      </c>
      <c r="O425" t="n">
        <v>0</v>
      </c>
      <c r="P425" t="n">
        <v>0</v>
      </c>
      <c r="Q425" t="n">
        <v>0</v>
      </c>
      <c r="R425" s="2" t="inlineStr"/>
    </row>
    <row r="426" ht="15" customHeight="1">
      <c r="A426" t="inlineStr">
        <is>
          <t>A 43759-2023</t>
        </is>
      </c>
      <c r="B426" s="1" t="n">
        <v>45187</v>
      </c>
      <c r="C426" s="1" t="n">
        <v>46081</v>
      </c>
      <c r="D426" t="inlineStr">
        <is>
          <t>KALMAR LÄN</t>
        </is>
      </c>
      <c r="E426" t="inlineStr">
        <is>
          <t>VÄSTERVIK</t>
        </is>
      </c>
      <c r="G426" t="n">
        <v>3.3</v>
      </c>
      <c r="H426" t="n">
        <v>0</v>
      </c>
      <c r="I426" t="n">
        <v>0</v>
      </c>
      <c r="J426" t="n">
        <v>0</v>
      </c>
      <c r="K426" t="n">
        <v>0</v>
      </c>
      <c r="L426" t="n">
        <v>0</v>
      </c>
      <c r="M426" t="n">
        <v>0</v>
      </c>
      <c r="N426" t="n">
        <v>0</v>
      </c>
      <c r="O426" t="n">
        <v>0</v>
      </c>
      <c r="P426" t="n">
        <v>0</v>
      </c>
      <c r="Q426" t="n">
        <v>0</v>
      </c>
      <c r="R426" s="2" t="inlineStr"/>
    </row>
    <row r="427" ht="15" customHeight="1">
      <c r="A427" t="inlineStr">
        <is>
          <t>A 944-2024</t>
        </is>
      </c>
      <c r="B427" s="1" t="n">
        <v>45301.54230324074</v>
      </c>
      <c r="C427" s="1" t="n">
        <v>46081</v>
      </c>
      <c r="D427" t="inlineStr">
        <is>
          <t>KALMAR LÄN</t>
        </is>
      </c>
      <c r="E427" t="inlineStr">
        <is>
          <t>VÄSTERVIK</t>
        </is>
      </c>
      <c r="G427" t="n">
        <v>2.2</v>
      </c>
      <c r="H427" t="n">
        <v>0</v>
      </c>
      <c r="I427" t="n">
        <v>0</v>
      </c>
      <c r="J427" t="n">
        <v>0</v>
      </c>
      <c r="K427" t="n">
        <v>0</v>
      </c>
      <c r="L427" t="n">
        <v>0</v>
      </c>
      <c r="M427" t="n">
        <v>0</v>
      </c>
      <c r="N427" t="n">
        <v>0</v>
      </c>
      <c r="O427" t="n">
        <v>0</v>
      </c>
      <c r="P427" t="n">
        <v>0</v>
      </c>
      <c r="Q427" t="n">
        <v>0</v>
      </c>
      <c r="R427" s="2" t="inlineStr"/>
    </row>
    <row r="428" ht="15" customHeight="1">
      <c r="A428" t="inlineStr">
        <is>
          <t>A 946-2024</t>
        </is>
      </c>
      <c r="B428" s="1" t="n">
        <v>45301.54412037037</v>
      </c>
      <c r="C428" s="1" t="n">
        <v>46081</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44705-2023</t>
        </is>
      </c>
      <c r="B429" s="1" t="n">
        <v>45190</v>
      </c>
      <c r="C429" s="1" t="n">
        <v>46081</v>
      </c>
      <c r="D429" t="inlineStr">
        <is>
          <t>KALMAR LÄN</t>
        </is>
      </c>
      <c r="E429" t="inlineStr">
        <is>
          <t>VÄSTERVIK</t>
        </is>
      </c>
      <c r="G429" t="n">
        <v>1.4</v>
      </c>
      <c r="H429" t="n">
        <v>0</v>
      </c>
      <c r="I429" t="n">
        <v>0</v>
      </c>
      <c r="J429" t="n">
        <v>0</v>
      </c>
      <c r="K429" t="n">
        <v>0</v>
      </c>
      <c r="L429" t="n">
        <v>0</v>
      </c>
      <c r="M429" t="n">
        <v>0</v>
      </c>
      <c r="N429" t="n">
        <v>0</v>
      </c>
      <c r="O429" t="n">
        <v>0</v>
      </c>
      <c r="P429" t="n">
        <v>0</v>
      </c>
      <c r="Q429" t="n">
        <v>0</v>
      </c>
      <c r="R429" s="2" t="inlineStr"/>
    </row>
    <row r="430" ht="15" customHeight="1">
      <c r="A430" t="inlineStr">
        <is>
          <t>A 31592-2021</t>
        </is>
      </c>
      <c r="B430" s="1" t="n">
        <v>44369.56576388889</v>
      </c>
      <c r="C430" s="1" t="n">
        <v>46081</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18143-2024</t>
        </is>
      </c>
      <c r="B431" s="1" t="n">
        <v>45420</v>
      </c>
      <c r="C431" s="1" t="n">
        <v>46081</v>
      </c>
      <c r="D431" t="inlineStr">
        <is>
          <t>KALMAR LÄN</t>
        </is>
      </c>
      <c r="E431" t="inlineStr">
        <is>
          <t>VÄSTERVIK</t>
        </is>
      </c>
      <c r="G431" t="n">
        <v>3</v>
      </c>
      <c r="H431" t="n">
        <v>0</v>
      </c>
      <c r="I431" t="n">
        <v>0</v>
      </c>
      <c r="J431" t="n">
        <v>0</v>
      </c>
      <c r="K431" t="n">
        <v>0</v>
      </c>
      <c r="L431" t="n">
        <v>0</v>
      </c>
      <c r="M431" t="n">
        <v>0</v>
      </c>
      <c r="N431" t="n">
        <v>0</v>
      </c>
      <c r="O431" t="n">
        <v>0</v>
      </c>
      <c r="P431" t="n">
        <v>0</v>
      </c>
      <c r="Q431" t="n">
        <v>0</v>
      </c>
      <c r="R431" s="2" t="inlineStr"/>
    </row>
    <row r="432" ht="15" customHeight="1">
      <c r="A432" t="inlineStr">
        <is>
          <t>A 31686-2023</t>
        </is>
      </c>
      <c r="B432" s="1" t="n">
        <v>45117</v>
      </c>
      <c r="C432" s="1" t="n">
        <v>46081</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23626-2024</t>
        </is>
      </c>
      <c r="B433" s="1" t="n">
        <v>45454</v>
      </c>
      <c r="C433" s="1" t="n">
        <v>46081</v>
      </c>
      <c r="D433" t="inlineStr">
        <is>
          <t>KALMAR LÄN</t>
        </is>
      </c>
      <c r="E433" t="inlineStr">
        <is>
          <t>VÄSTERVIK</t>
        </is>
      </c>
      <c r="G433" t="n">
        <v>2.1</v>
      </c>
      <c r="H433" t="n">
        <v>0</v>
      </c>
      <c r="I433" t="n">
        <v>0</v>
      </c>
      <c r="J433" t="n">
        <v>0</v>
      </c>
      <c r="K433" t="n">
        <v>0</v>
      </c>
      <c r="L433" t="n">
        <v>0</v>
      </c>
      <c r="M433" t="n">
        <v>0</v>
      </c>
      <c r="N433" t="n">
        <v>0</v>
      </c>
      <c r="O433" t="n">
        <v>0</v>
      </c>
      <c r="P433" t="n">
        <v>0</v>
      </c>
      <c r="Q433" t="n">
        <v>0</v>
      </c>
      <c r="R433" s="2" t="inlineStr"/>
    </row>
    <row r="434" ht="15" customHeight="1">
      <c r="A434" t="inlineStr">
        <is>
          <t>A 21752-2024</t>
        </is>
      </c>
      <c r="B434" s="1" t="n">
        <v>45442.58048611111</v>
      </c>
      <c r="C434" s="1" t="n">
        <v>46081</v>
      </c>
      <c r="D434" t="inlineStr">
        <is>
          <t>KALMAR LÄN</t>
        </is>
      </c>
      <c r="E434" t="inlineStr">
        <is>
          <t>VÄSTERVIK</t>
        </is>
      </c>
      <c r="F434" t="inlineStr">
        <is>
          <t>Holmen skog AB</t>
        </is>
      </c>
      <c r="G434" t="n">
        <v>2.3</v>
      </c>
      <c r="H434" t="n">
        <v>0</v>
      </c>
      <c r="I434" t="n">
        <v>0</v>
      </c>
      <c r="J434" t="n">
        <v>0</v>
      </c>
      <c r="K434" t="n">
        <v>0</v>
      </c>
      <c r="L434" t="n">
        <v>0</v>
      </c>
      <c r="M434" t="n">
        <v>0</v>
      </c>
      <c r="N434" t="n">
        <v>0</v>
      </c>
      <c r="O434" t="n">
        <v>0</v>
      </c>
      <c r="P434" t="n">
        <v>0</v>
      </c>
      <c r="Q434" t="n">
        <v>0</v>
      </c>
      <c r="R434" s="2" t="inlineStr"/>
    </row>
    <row r="435" ht="15" customHeight="1">
      <c r="A435" t="inlineStr">
        <is>
          <t>A 13837-2024</t>
        </is>
      </c>
      <c r="B435" s="1" t="n">
        <v>45391.4450462963</v>
      </c>
      <c r="C435" s="1" t="n">
        <v>46081</v>
      </c>
      <c r="D435" t="inlineStr">
        <is>
          <t>KALMAR LÄN</t>
        </is>
      </c>
      <c r="E435" t="inlineStr">
        <is>
          <t>VÄSTERVIK</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13839-2024</t>
        </is>
      </c>
      <c r="B436" s="1" t="n">
        <v>45391.44789351852</v>
      </c>
      <c r="C436" s="1" t="n">
        <v>46081</v>
      </c>
      <c r="D436" t="inlineStr">
        <is>
          <t>KALMAR LÄN</t>
        </is>
      </c>
      <c r="E436" t="inlineStr">
        <is>
          <t>VÄSTERVIK</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25180-2023</t>
        </is>
      </c>
      <c r="B437" s="1" t="n">
        <v>45086</v>
      </c>
      <c r="C437" s="1" t="n">
        <v>46081</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60634-2023</t>
        </is>
      </c>
      <c r="B438" s="1" t="n">
        <v>45260.40186342593</v>
      </c>
      <c r="C438" s="1" t="n">
        <v>46081</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26140-2024</t>
        </is>
      </c>
      <c r="B439" s="1" t="n">
        <v>45468</v>
      </c>
      <c r="C439" s="1" t="n">
        <v>46081</v>
      </c>
      <c r="D439" t="inlineStr">
        <is>
          <t>KALMAR LÄN</t>
        </is>
      </c>
      <c r="E439" t="inlineStr">
        <is>
          <t>VÄSTERVIK</t>
        </is>
      </c>
      <c r="G439" t="n">
        <v>1</v>
      </c>
      <c r="H439" t="n">
        <v>0</v>
      </c>
      <c r="I439" t="n">
        <v>0</v>
      </c>
      <c r="J439" t="n">
        <v>0</v>
      </c>
      <c r="K439" t="n">
        <v>0</v>
      </c>
      <c r="L439" t="n">
        <v>0</v>
      </c>
      <c r="M439" t="n">
        <v>0</v>
      </c>
      <c r="N439" t="n">
        <v>0</v>
      </c>
      <c r="O439" t="n">
        <v>0</v>
      </c>
      <c r="P439" t="n">
        <v>0</v>
      </c>
      <c r="Q439" t="n">
        <v>0</v>
      </c>
      <c r="R439" s="2" t="inlineStr"/>
    </row>
    <row r="440" ht="15" customHeight="1">
      <c r="A440" t="inlineStr">
        <is>
          <t>A 56188-2023</t>
        </is>
      </c>
      <c r="B440" s="1" t="n">
        <v>45240.65173611111</v>
      </c>
      <c r="C440" s="1" t="n">
        <v>46081</v>
      </c>
      <c r="D440" t="inlineStr">
        <is>
          <t>KALMAR LÄN</t>
        </is>
      </c>
      <c r="E440" t="inlineStr">
        <is>
          <t>VÄSTERVIK</t>
        </is>
      </c>
      <c r="G440" t="n">
        <v>1.9</v>
      </c>
      <c r="H440" t="n">
        <v>0</v>
      </c>
      <c r="I440" t="n">
        <v>0</v>
      </c>
      <c r="J440" t="n">
        <v>0</v>
      </c>
      <c r="K440" t="n">
        <v>0</v>
      </c>
      <c r="L440" t="n">
        <v>0</v>
      </c>
      <c r="M440" t="n">
        <v>0</v>
      </c>
      <c r="N440" t="n">
        <v>0</v>
      </c>
      <c r="O440" t="n">
        <v>0</v>
      </c>
      <c r="P440" t="n">
        <v>0</v>
      </c>
      <c r="Q440" t="n">
        <v>0</v>
      </c>
      <c r="R440" s="2" t="inlineStr"/>
    </row>
    <row r="441" ht="15" customHeight="1">
      <c r="A441" t="inlineStr">
        <is>
          <t>A 59696-2023</t>
        </is>
      </c>
      <c r="B441" s="1" t="n">
        <v>45256.85211805555</v>
      </c>
      <c r="C441" s="1" t="n">
        <v>46081</v>
      </c>
      <c r="D441" t="inlineStr">
        <is>
          <t>KALMAR LÄN</t>
        </is>
      </c>
      <c r="E441" t="inlineStr">
        <is>
          <t>VÄSTERVIK</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32388-2024</t>
        </is>
      </c>
      <c r="B442" s="1" t="n">
        <v>45512.63465277778</v>
      </c>
      <c r="C442" s="1" t="n">
        <v>46081</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32389-2024</t>
        </is>
      </c>
      <c r="B443" s="1" t="n">
        <v>45512.63642361111</v>
      </c>
      <c r="C443" s="1" t="n">
        <v>46081</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60056-2023</t>
        </is>
      </c>
      <c r="B444" s="1" t="n">
        <v>45258</v>
      </c>
      <c r="C444" s="1" t="n">
        <v>46081</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54190-2022</t>
        </is>
      </c>
      <c r="B445" s="1" t="n">
        <v>44881.68282407407</v>
      </c>
      <c r="C445" s="1" t="n">
        <v>46081</v>
      </c>
      <c r="D445" t="inlineStr">
        <is>
          <t>KALMAR LÄN</t>
        </is>
      </c>
      <c r="E445" t="inlineStr">
        <is>
          <t>VÄSTERVIK</t>
        </is>
      </c>
      <c r="G445" t="n">
        <v>7.4</v>
      </c>
      <c r="H445" t="n">
        <v>0</v>
      </c>
      <c r="I445" t="n">
        <v>0</v>
      </c>
      <c r="J445" t="n">
        <v>0</v>
      </c>
      <c r="K445" t="n">
        <v>0</v>
      </c>
      <c r="L445" t="n">
        <v>0</v>
      </c>
      <c r="M445" t="n">
        <v>0</v>
      </c>
      <c r="N445" t="n">
        <v>0</v>
      </c>
      <c r="O445" t="n">
        <v>0</v>
      </c>
      <c r="P445" t="n">
        <v>0</v>
      </c>
      <c r="Q445" t="n">
        <v>0</v>
      </c>
      <c r="R445" s="2" t="inlineStr"/>
    </row>
    <row r="446" ht="15" customHeight="1">
      <c r="A446" t="inlineStr">
        <is>
          <t>A 36725-2024</t>
        </is>
      </c>
      <c r="B446" s="1" t="n">
        <v>45537.90300925926</v>
      </c>
      <c r="C446" s="1" t="n">
        <v>46081</v>
      </c>
      <c r="D446" t="inlineStr">
        <is>
          <t>KALMAR LÄN</t>
        </is>
      </c>
      <c r="E446" t="inlineStr">
        <is>
          <t>VÄSTERVIK</t>
        </is>
      </c>
      <c r="G446" t="n">
        <v>10.1</v>
      </c>
      <c r="H446" t="n">
        <v>0</v>
      </c>
      <c r="I446" t="n">
        <v>0</v>
      </c>
      <c r="J446" t="n">
        <v>0</v>
      </c>
      <c r="K446" t="n">
        <v>0</v>
      </c>
      <c r="L446" t="n">
        <v>0</v>
      </c>
      <c r="M446" t="n">
        <v>0</v>
      </c>
      <c r="N446" t="n">
        <v>0</v>
      </c>
      <c r="O446" t="n">
        <v>0</v>
      </c>
      <c r="P446" t="n">
        <v>0</v>
      </c>
      <c r="Q446" t="n">
        <v>0</v>
      </c>
      <c r="R446" s="2" t="inlineStr"/>
    </row>
    <row r="447" ht="15" customHeight="1">
      <c r="A447" t="inlineStr">
        <is>
          <t>A 29405-2024</t>
        </is>
      </c>
      <c r="B447" s="1" t="n">
        <v>45483</v>
      </c>
      <c r="C447" s="1" t="n">
        <v>46081</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55023-2021</t>
        </is>
      </c>
      <c r="B448" s="1" t="n">
        <v>44474</v>
      </c>
      <c r="C448" s="1" t="n">
        <v>46081</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3190-2023</t>
        </is>
      </c>
      <c r="B449" s="1" t="n">
        <v>44946.61086805556</v>
      </c>
      <c r="C449" s="1" t="n">
        <v>46081</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49286-2022</t>
        </is>
      </c>
      <c r="B450" s="1" t="n">
        <v>44861.45876157407</v>
      </c>
      <c r="C450" s="1" t="n">
        <v>46081</v>
      </c>
      <c r="D450" t="inlineStr">
        <is>
          <t>KALMAR LÄN</t>
        </is>
      </c>
      <c r="E450" t="inlineStr">
        <is>
          <t>VÄSTERVIK</t>
        </is>
      </c>
      <c r="G450" t="n">
        <v>2.6</v>
      </c>
      <c r="H450" t="n">
        <v>0</v>
      </c>
      <c r="I450" t="n">
        <v>0</v>
      </c>
      <c r="J450" t="n">
        <v>0</v>
      </c>
      <c r="K450" t="n">
        <v>0</v>
      </c>
      <c r="L450" t="n">
        <v>0</v>
      </c>
      <c r="M450" t="n">
        <v>0</v>
      </c>
      <c r="N450" t="n">
        <v>0</v>
      </c>
      <c r="O450" t="n">
        <v>0</v>
      </c>
      <c r="P450" t="n">
        <v>0</v>
      </c>
      <c r="Q450" t="n">
        <v>0</v>
      </c>
      <c r="R450" s="2" t="inlineStr"/>
    </row>
    <row r="451" ht="15" customHeight="1">
      <c r="A451" t="inlineStr">
        <is>
          <t>A 55047-2024</t>
        </is>
      </c>
      <c r="B451" s="1" t="n">
        <v>45621.39516203704</v>
      </c>
      <c r="C451" s="1" t="n">
        <v>46081</v>
      </c>
      <c r="D451" t="inlineStr">
        <is>
          <t>KALMAR LÄN</t>
        </is>
      </c>
      <c r="E451" t="inlineStr">
        <is>
          <t>VÄSTERVIK</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35162-2024</t>
        </is>
      </c>
      <c r="B452" s="1" t="n">
        <v>45530.40025462963</v>
      </c>
      <c r="C452" s="1" t="n">
        <v>46081</v>
      </c>
      <c r="D452" t="inlineStr">
        <is>
          <t>KALMAR LÄN</t>
        </is>
      </c>
      <c r="E452" t="inlineStr">
        <is>
          <t>VÄSTERVIK</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45721-2022</t>
        </is>
      </c>
      <c r="B453" s="1" t="n">
        <v>44845</v>
      </c>
      <c r="C453" s="1" t="n">
        <v>46081</v>
      </c>
      <c r="D453" t="inlineStr">
        <is>
          <t>KALMAR LÄN</t>
        </is>
      </c>
      <c r="E453" t="inlineStr">
        <is>
          <t>VÄSTERVIK</t>
        </is>
      </c>
      <c r="F453" t="inlineStr">
        <is>
          <t>Holmen skog AB</t>
        </is>
      </c>
      <c r="G453" t="n">
        <v>3.3</v>
      </c>
      <c r="H453" t="n">
        <v>0</v>
      </c>
      <c r="I453" t="n">
        <v>0</v>
      </c>
      <c r="J453" t="n">
        <v>0</v>
      </c>
      <c r="K453" t="n">
        <v>0</v>
      </c>
      <c r="L453" t="n">
        <v>0</v>
      </c>
      <c r="M453" t="n">
        <v>0</v>
      </c>
      <c r="N453" t="n">
        <v>0</v>
      </c>
      <c r="O453" t="n">
        <v>0</v>
      </c>
      <c r="P453" t="n">
        <v>0</v>
      </c>
      <c r="Q453" t="n">
        <v>0</v>
      </c>
      <c r="R453" s="2" t="inlineStr"/>
      <c r="U453">
        <f>HYPERLINK("https://klasma.github.io/Logging_0883/knärot/A 45721-2022 karta knärot.png", "A 45721-2022")</f>
        <v/>
      </c>
      <c r="V453">
        <f>HYPERLINK("https://klasma.github.io/Logging_0883/klagomål/A 45721-2022 FSC-klagomål.docx", "A 45721-2022")</f>
        <v/>
      </c>
      <c r="W453">
        <f>HYPERLINK("https://klasma.github.io/Logging_0883/klagomålsmail/A 45721-2022 FSC-klagomål mail.docx", "A 45721-2022")</f>
        <v/>
      </c>
      <c r="X453">
        <f>HYPERLINK("https://klasma.github.io/Logging_0883/tillsyn/A 45721-2022 tillsynsbegäran.docx", "A 45721-2022")</f>
        <v/>
      </c>
      <c r="Y453">
        <f>HYPERLINK("https://klasma.github.io/Logging_0883/tillsynsmail/A 45721-2022 tillsynsbegäran mail.docx", "A 45721-2022")</f>
        <v/>
      </c>
    </row>
    <row r="454" ht="15" customHeight="1">
      <c r="A454" t="inlineStr">
        <is>
          <t>A 52645-2021</t>
        </is>
      </c>
      <c r="B454" s="1" t="n">
        <v>44466</v>
      </c>
      <c r="C454" s="1" t="n">
        <v>46081</v>
      </c>
      <c r="D454" t="inlineStr">
        <is>
          <t>KALMAR LÄN</t>
        </is>
      </c>
      <c r="E454" t="inlineStr">
        <is>
          <t>VÄSTERVIK</t>
        </is>
      </c>
      <c r="G454" t="n">
        <v>5</v>
      </c>
      <c r="H454" t="n">
        <v>0</v>
      </c>
      <c r="I454" t="n">
        <v>0</v>
      </c>
      <c r="J454" t="n">
        <v>0</v>
      </c>
      <c r="K454" t="n">
        <v>0</v>
      </c>
      <c r="L454" t="n">
        <v>0</v>
      </c>
      <c r="M454" t="n">
        <v>0</v>
      </c>
      <c r="N454" t="n">
        <v>0</v>
      </c>
      <c r="O454" t="n">
        <v>0</v>
      </c>
      <c r="P454" t="n">
        <v>0</v>
      </c>
      <c r="Q454" t="n">
        <v>0</v>
      </c>
      <c r="R454" s="2" t="inlineStr"/>
    </row>
    <row r="455" ht="15" customHeight="1">
      <c r="A455" t="inlineStr">
        <is>
          <t>A 1568-2023</t>
        </is>
      </c>
      <c r="B455" s="1" t="n">
        <v>44937</v>
      </c>
      <c r="C455" s="1" t="n">
        <v>46081</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170-2022</t>
        </is>
      </c>
      <c r="B456" s="1" t="n">
        <v>44564.62540509259</v>
      </c>
      <c r="C456" s="1" t="n">
        <v>46081</v>
      </c>
      <c r="D456" t="inlineStr">
        <is>
          <t>KALMAR LÄN</t>
        </is>
      </c>
      <c r="E456" t="inlineStr">
        <is>
          <t>VÄSTERVIK</t>
        </is>
      </c>
      <c r="G456" t="n">
        <v>0.8</v>
      </c>
      <c r="H456" t="n">
        <v>0</v>
      </c>
      <c r="I456" t="n">
        <v>0</v>
      </c>
      <c r="J456" t="n">
        <v>0</v>
      </c>
      <c r="K456" t="n">
        <v>0</v>
      </c>
      <c r="L456" t="n">
        <v>0</v>
      </c>
      <c r="M456" t="n">
        <v>0</v>
      </c>
      <c r="N456" t="n">
        <v>0</v>
      </c>
      <c r="O456" t="n">
        <v>0</v>
      </c>
      <c r="P456" t="n">
        <v>0</v>
      </c>
      <c r="Q456" t="n">
        <v>0</v>
      </c>
      <c r="R456" s="2" t="inlineStr"/>
    </row>
    <row r="457" ht="15" customHeight="1">
      <c r="A457" t="inlineStr">
        <is>
          <t>A 174-2022</t>
        </is>
      </c>
      <c r="B457" s="1" t="n">
        <v>44564.62763888889</v>
      </c>
      <c r="C457" s="1" t="n">
        <v>46081</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2738-2023</t>
        </is>
      </c>
      <c r="B458" s="1" t="n">
        <v>44944</v>
      </c>
      <c r="C458" s="1" t="n">
        <v>46081</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8005-2023</t>
        </is>
      </c>
      <c r="B459" s="1" t="n">
        <v>44973.88452546296</v>
      </c>
      <c r="C459" s="1" t="n">
        <v>46081</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58731-2024</t>
        </is>
      </c>
      <c r="B460" s="1" t="n">
        <v>45635.67120370371</v>
      </c>
      <c r="C460" s="1" t="n">
        <v>46081</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36400-2024</t>
        </is>
      </c>
      <c r="B461" s="1" t="n">
        <v>45535.67180555555</v>
      </c>
      <c r="C461" s="1" t="n">
        <v>46081</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3776-2024</t>
        </is>
      </c>
      <c r="B462" s="1" t="n">
        <v>45321.58569444445</v>
      </c>
      <c r="C462" s="1" t="n">
        <v>46081</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4463-2022</t>
        </is>
      </c>
      <c r="B463" s="1" t="n">
        <v>44589</v>
      </c>
      <c r="C463" s="1" t="n">
        <v>46081</v>
      </c>
      <c r="D463" t="inlineStr">
        <is>
          <t>KALMAR LÄN</t>
        </is>
      </c>
      <c r="E463" t="inlineStr">
        <is>
          <t>VÄSTERVIK</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14068-2025</t>
        </is>
      </c>
      <c r="B464" s="1" t="n">
        <v>45740.42127314815</v>
      </c>
      <c r="C464" s="1" t="n">
        <v>46081</v>
      </c>
      <c r="D464" t="inlineStr">
        <is>
          <t>KALMAR LÄN</t>
        </is>
      </c>
      <c r="E464" t="inlineStr">
        <is>
          <t>VÄSTERVIK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14071-2025</t>
        </is>
      </c>
      <c r="B465" s="1" t="n">
        <v>45740.42738425926</v>
      </c>
      <c r="C465" s="1" t="n">
        <v>46081</v>
      </c>
      <c r="D465" t="inlineStr">
        <is>
          <t>KALMAR LÄN</t>
        </is>
      </c>
      <c r="E465" t="inlineStr">
        <is>
          <t>VÄSTERVIK</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56440-2024</t>
        </is>
      </c>
      <c r="B466" s="1" t="n">
        <v>45625.41949074074</v>
      </c>
      <c r="C466" s="1" t="n">
        <v>46081</v>
      </c>
      <c r="D466" t="inlineStr">
        <is>
          <t>KALMAR LÄN</t>
        </is>
      </c>
      <c r="E466" t="inlineStr">
        <is>
          <t>VÄSTERVIK</t>
        </is>
      </c>
      <c r="F466" t="inlineStr">
        <is>
          <t>Övriga Aktiebolag</t>
        </is>
      </c>
      <c r="G466" t="n">
        <v>3</v>
      </c>
      <c r="H466" t="n">
        <v>0</v>
      </c>
      <c r="I466" t="n">
        <v>0</v>
      </c>
      <c r="J466" t="n">
        <v>0</v>
      </c>
      <c r="K466" t="n">
        <v>0</v>
      </c>
      <c r="L466" t="n">
        <v>0</v>
      </c>
      <c r="M466" t="n">
        <v>0</v>
      </c>
      <c r="N466" t="n">
        <v>0</v>
      </c>
      <c r="O466" t="n">
        <v>0</v>
      </c>
      <c r="P466" t="n">
        <v>0</v>
      </c>
      <c r="Q466" t="n">
        <v>0</v>
      </c>
      <c r="R466" s="2" t="inlineStr"/>
    </row>
    <row r="467" ht="15" customHeight="1">
      <c r="A467" t="inlineStr">
        <is>
          <t>A 24578-2024</t>
        </is>
      </c>
      <c r="B467" s="1" t="n">
        <v>45460</v>
      </c>
      <c r="C467" s="1" t="n">
        <v>46081</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60710-2022</t>
        </is>
      </c>
      <c r="B468" s="1" t="n">
        <v>44912</v>
      </c>
      <c r="C468" s="1" t="n">
        <v>46081</v>
      </c>
      <c r="D468" t="inlineStr">
        <is>
          <t>KALMAR LÄN</t>
        </is>
      </c>
      <c r="E468" t="inlineStr">
        <is>
          <t>VÄSTERVIK</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60713-2022</t>
        </is>
      </c>
      <c r="B469" s="1" t="n">
        <v>44912</v>
      </c>
      <c r="C469" s="1" t="n">
        <v>46081</v>
      </c>
      <c r="D469" t="inlineStr">
        <is>
          <t>KALMAR LÄN</t>
        </is>
      </c>
      <c r="E469" t="inlineStr">
        <is>
          <t>VÄSTERVIK</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50911-2022</t>
        </is>
      </c>
      <c r="B470" s="1" t="n">
        <v>44867.62262731481</v>
      </c>
      <c r="C470" s="1" t="n">
        <v>46081</v>
      </c>
      <c r="D470" t="inlineStr">
        <is>
          <t>KALMAR LÄN</t>
        </is>
      </c>
      <c r="E470" t="inlineStr">
        <is>
          <t>VÄSTERVIK</t>
        </is>
      </c>
      <c r="F470" t="inlineStr">
        <is>
          <t>Sveaskog</t>
        </is>
      </c>
      <c r="G470" t="n">
        <v>3</v>
      </c>
      <c r="H470" t="n">
        <v>0</v>
      </c>
      <c r="I470" t="n">
        <v>0</v>
      </c>
      <c r="J470" t="n">
        <v>0</v>
      </c>
      <c r="K470" t="n">
        <v>0</v>
      </c>
      <c r="L470" t="n">
        <v>0</v>
      </c>
      <c r="M470" t="n">
        <v>0</v>
      </c>
      <c r="N470" t="n">
        <v>0</v>
      </c>
      <c r="O470" t="n">
        <v>0</v>
      </c>
      <c r="P470" t="n">
        <v>0</v>
      </c>
      <c r="Q470" t="n">
        <v>0</v>
      </c>
      <c r="R470" s="2" t="inlineStr"/>
    </row>
    <row r="471" ht="15" customHeight="1">
      <c r="A471" t="inlineStr">
        <is>
          <t>A 36906-2024</t>
        </is>
      </c>
      <c r="B471" s="1" t="n">
        <v>45538</v>
      </c>
      <c r="C471" s="1" t="n">
        <v>46081</v>
      </c>
      <c r="D471" t="inlineStr">
        <is>
          <t>KALMAR LÄN</t>
        </is>
      </c>
      <c r="E471" t="inlineStr">
        <is>
          <t>VÄSTERVIK</t>
        </is>
      </c>
      <c r="G471" t="n">
        <v>2</v>
      </c>
      <c r="H471" t="n">
        <v>0</v>
      </c>
      <c r="I471" t="n">
        <v>0</v>
      </c>
      <c r="J471" t="n">
        <v>0</v>
      </c>
      <c r="K471" t="n">
        <v>0</v>
      </c>
      <c r="L471" t="n">
        <v>0</v>
      </c>
      <c r="M471" t="n">
        <v>0</v>
      </c>
      <c r="N471" t="n">
        <v>0</v>
      </c>
      <c r="O471" t="n">
        <v>0</v>
      </c>
      <c r="P471" t="n">
        <v>0</v>
      </c>
      <c r="Q471" t="n">
        <v>0</v>
      </c>
      <c r="R471" s="2" t="inlineStr"/>
    </row>
    <row r="472" ht="15" customHeight="1">
      <c r="A472" t="inlineStr">
        <is>
          <t>A 38442-2025</t>
        </is>
      </c>
      <c r="B472" s="1" t="n">
        <v>45883</v>
      </c>
      <c r="C472" s="1" t="n">
        <v>46081</v>
      </c>
      <c r="D472" t="inlineStr">
        <is>
          <t>KALMAR LÄN</t>
        </is>
      </c>
      <c r="E472" t="inlineStr">
        <is>
          <t>VÄSTERVIK</t>
        </is>
      </c>
      <c r="G472" t="n">
        <v>3.5</v>
      </c>
      <c r="H472" t="n">
        <v>0</v>
      </c>
      <c r="I472" t="n">
        <v>0</v>
      </c>
      <c r="J472" t="n">
        <v>0</v>
      </c>
      <c r="K472" t="n">
        <v>0</v>
      </c>
      <c r="L472" t="n">
        <v>0</v>
      </c>
      <c r="M472" t="n">
        <v>0</v>
      </c>
      <c r="N472" t="n">
        <v>0</v>
      </c>
      <c r="O472" t="n">
        <v>0</v>
      </c>
      <c r="P472" t="n">
        <v>0</v>
      </c>
      <c r="Q472" t="n">
        <v>0</v>
      </c>
      <c r="R472" s="2" t="inlineStr"/>
    </row>
    <row r="473" ht="15" customHeight="1">
      <c r="A473" t="inlineStr">
        <is>
          <t>A 62921-2023</t>
        </is>
      </c>
      <c r="B473" s="1" t="n">
        <v>45272</v>
      </c>
      <c r="C473" s="1" t="n">
        <v>46081</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2872-2025</t>
        </is>
      </c>
      <c r="B474" s="1" t="n">
        <v>45677.68357638889</v>
      </c>
      <c r="C474" s="1" t="n">
        <v>46081</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34958-2021</t>
        </is>
      </c>
      <c r="B475" s="1" t="n">
        <v>44383</v>
      </c>
      <c r="C475" s="1" t="n">
        <v>46081</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5982-2023</t>
        </is>
      </c>
      <c r="B476" s="1" t="n">
        <v>44964.35730324074</v>
      </c>
      <c r="C476" s="1" t="n">
        <v>46081</v>
      </c>
      <c r="D476" t="inlineStr">
        <is>
          <t>KALMAR LÄN</t>
        </is>
      </c>
      <c r="E476" t="inlineStr">
        <is>
          <t>VÄSTERVIK</t>
        </is>
      </c>
      <c r="G476" t="n">
        <v>2.8</v>
      </c>
      <c r="H476" t="n">
        <v>0</v>
      </c>
      <c r="I476" t="n">
        <v>0</v>
      </c>
      <c r="J476" t="n">
        <v>0</v>
      </c>
      <c r="K476" t="n">
        <v>0</v>
      </c>
      <c r="L476" t="n">
        <v>0</v>
      </c>
      <c r="M476" t="n">
        <v>0</v>
      </c>
      <c r="N476" t="n">
        <v>0</v>
      </c>
      <c r="O476" t="n">
        <v>0</v>
      </c>
      <c r="P476" t="n">
        <v>0</v>
      </c>
      <c r="Q476" t="n">
        <v>0</v>
      </c>
      <c r="R476" s="2" t="inlineStr"/>
    </row>
    <row r="477" ht="15" customHeight="1">
      <c r="A477" t="inlineStr">
        <is>
          <t>A 60453-2024</t>
        </is>
      </c>
      <c r="B477" s="1" t="n">
        <v>45643.60487268519</v>
      </c>
      <c r="C477" s="1" t="n">
        <v>46081</v>
      </c>
      <c r="D477" t="inlineStr">
        <is>
          <t>KALMAR LÄN</t>
        </is>
      </c>
      <c r="E477" t="inlineStr">
        <is>
          <t>VÄSTERVIK</t>
        </is>
      </c>
      <c r="G477" t="n">
        <v>7.1</v>
      </c>
      <c r="H477" t="n">
        <v>0</v>
      </c>
      <c r="I477" t="n">
        <v>0</v>
      </c>
      <c r="J477" t="n">
        <v>0</v>
      </c>
      <c r="K477" t="n">
        <v>0</v>
      </c>
      <c r="L477" t="n">
        <v>0</v>
      </c>
      <c r="M477" t="n">
        <v>0</v>
      </c>
      <c r="N477" t="n">
        <v>0</v>
      </c>
      <c r="O477" t="n">
        <v>0</v>
      </c>
      <c r="P477" t="n">
        <v>0</v>
      </c>
      <c r="Q477" t="n">
        <v>0</v>
      </c>
      <c r="R477" s="2" t="inlineStr"/>
    </row>
    <row r="478" ht="15" customHeight="1">
      <c r="A478" t="inlineStr">
        <is>
          <t>A 26633-2025</t>
        </is>
      </c>
      <c r="B478" s="1" t="n">
        <v>45810.35262731482</v>
      </c>
      <c r="C478" s="1" t="n">
        <v>46081</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5079-2025</t>
        </is>
      </c>
      <c r="B479" s="1" t="n">
        <v>45691.50069444445</v>
      </c>
      <c r="C479" s="1" t="n">
        <v>46081</v>
      </c>
      <c r="D479" t="inlineStr">
        <is>
          <t>KALMAR LÄN</t>
        </is>
      </c>
      <c r="E479" t="inlineStr">
        <is>
          <t>VÄSTERVIK</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26566-2025</t>
        </is>
      </c>
      <c r="B480" s="1" t="n">
        <v>45807.66685185185</v>
      </c>
      <c r="C480" s="1" t="n">
        <v>46081</v>
      </c>
      <c r="D480" t="inlineStr">
        <is>
          <t>KALMAR LÄN</t>
        </is>
      </c>
      <c r="E480" t="inlineStr">
        <is>
          <t>VÄSTERVIK</t>
        </is>
      </c>
      <c r="G480" t="n">
        <v>2.5</v>
      </c>
      <c r="H480" t="n">
        <v>0</v>
      </c>
      <c r="I480" t="n">
        <v>0</v>
      </c>
      <c r="J480" t="n">
        <v>0</v>
      </c>
      <c r="K480" t="n">
        <v>0</v>
      </c>
      <c r="L480" t="n">
        <v>0</v>
      </c>
      <c r="M480" t="n">
        <v>0</v>
      </c>
      <c r="N480" t="n">
        <v>0</v>
      </c>
      <c r="O480" t="n">
        <v>0</v>
      </c>
      <c r="P480" t="n">
        <v>0</v>
      </c>
      <c r="Q480" t="n">
        <v>0</v>
      </c>
      <c r="R480" s="2" t="inlineStr"/>
    </row>
    <row r="481" ht="15" customHeight="1">
      <c r="A481" t="inlineStr">
        <is>
          <t>A 26569-2025</t>
        </is>
      </c>
      <c r="B481" s="1" t="n">
        <v>45807.67638888889</v>
      </c>
      <c r="C481" s="1" t="n">
        <v>46081</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26572-2025</t>
        </is>
      </c>
      <c r="B482" s="1" t="n">
        <v>45807.68232638889</v>
      </c>
      <c r="C482" s="1" t="n">
        <v>46081</v>
      </c>
      <c r="D482" t="inlineStr">
        <is>
          <t>KALMAR LÄN</t>
        </is>
      </c>
      <c r="E482" t="inlineStr">
        <is>
          <t>VÄSTERVIK</t>
        </is>
      </c>
      <c r="G482" t="n">
        <v>2.9</v>
      </c>
      <c r="H482" t="n">
        <v>0</v>
      </c>
      <c r="I482" t="n">
        <v>0</v>
      </c>
      <c r="J482" t="n">
        <v>0</v>
      </c>
      <c r="K482" t="n">
        <v>0</v>
      </c>
      <c r="L482" t="n">
        <v>0</v>
      </c>
      <c r="M482" t="n">
        <v>0</v>
      </c>
      <c r="N482" t="n">
        <v>0</v>
      </c>
      <c r="O482" t="n">
        <v>0</v>
      </c>
      <c r="P482" t="n">
        <v>0</v>
      </c>
      <c r="Q482" t="n">
        <v>0</v>
      </c>
      <c r="R482" s="2" t="inlineStr"/>
    </row>
    <row r="483" ht="15" customHeight="1">
      <c r="A483" t="inlineStr">
        <is>
          <t>A 22891-2025</t>
        </is>
      </c>
      <c r="B483" s="1" t="n">
        <v>45790.39267361111</v>
      </c>
      <c r="C483" s="1" t="n">
        <v>46081</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32137-2024</t>
        </is>
      </c>
      <c r="B484" s="1" t="n">
        <v>45511</v>
      </c>
      <c r="C484" s="1" t="n">
        <v>46081</v>
      </c>
      <c r="D484" t="inlineStr">
        <is>
          <t>KALMAR LÄN</t>
        </is>
      </c>
      <c r="E484" t="inlineStr">
        <is>
          <t>VÄSTERVIK</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26568-2025</t>
        </is>
      </c>
      <c r="B485" s="1" t="n">
        <v>45807.67447916666</v>
      </c>
      <c r="C485" s="1" t="n">
        <v>46081</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26571-2025</t>
        </is>
      </c>
      <c r="B486" s="1" t="n">
        <v>45807.6794212963</v>
      </c>
      <c r="C486" s="1" t="n">
        <v>46081</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5450-2022</t>
        </is>
      </c>
      <c r="B487" s="1" t="n">
        <v>44595</v>
      </c>
      <c r="C487" s="1" t="n">
        <v>46081</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16586-2022</t>
        </is>
      </c>
      <c r="B488" s="1" t="n">
        <v>44672.47105324074</v>
      </c>
      <c r="C488" s="1" t="n">
        <v>46081</v>
      </c>
      <c r="D488" t="inlineStr">
        <is>
          <t>KALMAR LÄN</t>
        </is>
      </c>
      <c r="E488" t="inlineStr">
        <is>
          <t>VÄSTERVIK</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1867-2025</t>
        </is>
      </c>
      <c r="B489" s="1" t="n">
        <v>45671.61569444444</v>
      </c>
      <c r="C489" s="1" t="n">
        <v>46081</v>
      </c>
      <c r="D489" t="inlineStr">
        <is>
          <t>KALMAR LÄN</t>
        </is>
      </c>
      <c r="E489" t="inlineStr">
        <is>
          <t>VÄSTERVIK</t>
        </is>
      </c>
      <c r="G489" t="n">
        <v>1.8</v>
      </c>
      <c r="H489" t="n">
        <v>0</v>
      </c>
      <c r="I489" t="n">
        <v>0</v>
      </c>
      <c r="J489" t="n">
        <v>0</v>
      </c>
      <c r="K489" t="n">
        <v>0</v>
      </c>
      <c r="L489" t="n">
        <v>0</v>
      </c>
      <c r="M489" t="n">
        <v>0</v>
      </c>
      <c r="N489" t="n">
        <v>0</v>
      </c>
      <c r="O489" t="n">
        <v>0</v>
      </c>
      <c r="P489" t="n">
        <v>0</v>
      </c>
      <c r="Q489" t="n">
        <v>0</v>
      </c>
      <c r="R489" s="2" t="inlineStr"/>
    </row>
    <row r="490" ht="15" customHeight="1">
      <c r="A490" t="inlineStr">
        <is>
          <t>A 39442-2025</t>
        </is>
      </c>
      <c r="B490" s="1" t="n">
        <v>45889.6947337963</v>
      </c>
      <c r="C490" s="1" t="n">
        <v>46081</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39428-2025</t>
        </is>
      </c>
      <c r="B491" s="1" t="n">
        <v>45889.67436342593</v>
      </c>
      <c r="C491" s="1" t="n">
        <v>46081</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39430-2025</t>
        </is>
      </c>
      <c r="B492" s="1" t="n">
        <v>45889.67606481481</v>
      </c>
      <c r="C492" s="1" t="n">
        <v>46081</v>
      </c>
      <c r="D492" t="inlineStr">
        <is>
          <t>KALMAR LÄN</t>
        </is>
      </c>
      <c r="E492" t="inlineStr">
        <is>
          <t>VÄSTERVIK</t>
        </is>
      </c>
      <c r="G492" t="n">
        <v>2.7</v>
      </c>
      <c r="H492" t="n">
        <v>0</v>
      </c>
      <c r="I492" t="n">
        <v>0</v>
      </c>
      <c r="J492" t="n">
        <v>0</v>
      </c>
      <c r="K492" t="n">
        <v>0</v>
      </c>
      <c r="L492" t="n">
        <v>0</v>
      </c>
      <c r="M492" t="n">
        <v>0</v>
      </c>
      <c r="N492" t="n">
        <v>0</v>
      </c>
      <c r="O492" t="n">
        <v>0</v>
      </c>
      <c r="P492" t="n">
        <v>0</v>
      </c>
      <c r="Q492" t="n">
        <v>0</v>
      </c>
      <c r="R492" s="2" t="inlineStr"/>
    </row>
    <row r="493" ht="15" customHeight="1">
      <c r="A493" t="inlineStr">
        <is>
          <t>A 27446-2025</t>
        </is>
      </c>
      <c r="B493" s="1" t="n">
        <v>45813.32667824074</v>
      </c>
      <c r="C493" s="1" t="n">
        <v>46081</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35108-2024</t>
        </is>
      </c>
      <c r="B494" s="1" t="n">
        <v>45529.64638888889</v>
      </c>
      <c r="C494" s="1" t="n">
        <v>46081</v>
      </c>
      <c r="D494" t="inlineStr">
        <is>
          <t>KALMAR LÄN</t>
        </is>
      </c>
      <c r="E494" t="inlineStr">
        <is>
          <t>VÄSTERVIK</t>
        </is>
      </c>
      <c r="G494" t="n">
        <v>10.5</v>
      </c>
      <c r="H494" t="n">
        <v>0</v>
      </c>
      <c r="I494" t="n">
        <v>0</v>
      </c>
      <c r="J494" t="n">
        <v>0</v>
      </c>
      <c r="K494" t="n">
        <v>0</v>
      </c>
      <c r="L494" t="n">
        <v>0</v>
      </c>
      <c r="M494" t="n">
        <v>0</v>
      </c>
      <c r="N494" t="n">
        <v>0</v>
      </c>
      <c r="O494" t="n">
        <v>0</v>
      </c>
      <c r="P494" t="n">
        <v>0</v>
      </c>
      <c r="Q494" t="n">
        <v>0</v>
      </c>
      <c r="R494" s="2" t="inlineStr"/>
    </row>
    <row r="495" ht="15" customHeight="1">
      <c r="A495" t="inlineStr">
        <is>
          <t>A 27980-2025</t>
        </is>
      </c>
      <c r="B495" s="1" t="n">
        <v>45817.57395833333</v>
      </c>
      <c r="C495" s="1" t="n">
        <v>46081</v>
      </c>
      <c r="D495" t="inlineStr">
        <is>
          <t>KALMAR LÄN</t>
        </is>
      </c>
      <c r="E495" t="inlineStr">
        <is>
          <t>VÄSTERVIK</t>
        </is>
      </c>
      <c r="F495" t="inlineStr">
        <is>
          <t>Sveaskog</t>
        </is>
      </c>
      <c r="G495" t="n">
        <v>7.2</v>
      </c>
      <c r="H495" t="n">
        <v>0</v>
      </c>
      <c r="I495" t="n">
        <v>0</v>
      </c>
      <c r="J495" t="n">
        <v>0</v>
      </c>
      <c r="K495" t="n">
        <v>0</v>
      </c>
      <c r="L495" t="n">
        <v>0</v>
      </c>
      <c r="M495" t="n">
        <v>0</v>
      </c>
      <c r="N495" t="n">
        <v>0</v>
      </c>
      <c r="O495" t="n">
        <v>0</v>
      </c>
      <c r="P495" t="n">
        <v>0</v>
      </c>
      <c r="Q495" t="n">
        <v>0</v>
      </c>
      <c r="R495" s="2" t="inlineStr"/>
    </row>
    <row r="496" ht="15" customHeight="1">
      <c r="A496" t="inlineStr">
        <is>
          <t>A 39425-2025</t>
        </is>
      </c>
      <c r="B496" s="1" t="n">
        <v>45889.67297453704</v>
      </c>
      <c r="C496" s="1" t="n">
        <v>46081</v>
      </c>
      <c r="D496" t="inlineStr">
        <is>
          <t>KALMAR LÄN</t>
        </is>
      </c>
      <c r="E496" t="inlineStr">
        <is>
          <t>VÄSTERVIK</t>
        </is>
      </c>
      <c r="G496" t="n">
        <v>6.7</v>
      </c>
      <c r="H496" t="n">
        <v>0</v>
      </c>
      <c r="I496" t="n">
        <v>0</v>
      </c>
      <c r="J496" t="n">
        <v>0</v>
      </c>
      <c r="K496" t="n">
        <v>0</v>
      </c>
      <c r="L496" t="n">
        <v>0</v>
      </c>
      <c r="M496" t="n">
        <v>0</v>
      </c>
      <c r="N496" t="n">
        <v>0</v>
      </c>
      <c r="O496" t="n">
        <v>0</v>
      </c>
      <c r="P496" t="n">
        <v>0</v>
      </c>
      <c r="Q496" t="n">
        <v>0</v>
      </c>
      <c r="R496" s="2" t="inlineStr"/>
    </row>
    <row r="497" ht="15" customHeight="1">
      <c r="A497" t="inlineStr">
        <is>
          <t>A 47527-2021</t>
        </is>
      </c>
      <c r="B497" s="1" t="n">
        <v>44447</v>
      </c>
      <c r="C497" s="1" t="n">
        <v>46081</v>
      </c>
      <c r="D497" t="inlineStr">
        <is>
          <t>KALMAR LÄN</t>
        </is>
      </c>
      <c r="E497" t="inlineStr">
        <is>
          <t>VÄSTERVIK</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27978-2025</t>
        </is>
      </c>
      <c r="B498" s="1" t="n">
        <v>45817.57153935185</v>
      </c>
      <c r="C498" s="1" t="n">
        <v>46081</v>
      </c>
      <c r="D498" t="inlineStr">
        <is>
          <t>KALMAR LÄN</t>
        </is>
      </c>
      <c r="E498" t="inlineStr">
        <is>
          <t>VÄSTERVIK</t>
        </is>
      </c>
      <c r="F498" t="inlineStr">
        <is>
          <t>Sveaskog</t>
        </is>
      </c>
      <c r="G498" t="n">
        <v>10.8</v>
      </c>
      <c r="H498" t="n">
        <v>0</v>
      </c>
      <c r="I498" t="n">
        <v>0</v>
      </c>
      <c r="J498" t="n">
        <v>0</v>
      </c>
      <c r="K498" t="n">
        <v>0</v>
      </c>
      <c r="L498" t="n">
        <v>0</v>
      </c>
      <c r="M498" t="n">
        <v>0</v>
      </c>
      <c r="N498" t="n">
        <v>0</v>
      </c>
      <c r="O498" t="n">
        <v>0</v>
      </c>
      <c r="P498" t="n">
        <v>0</v>
      </c>
      <c r="Q498" t="n">
        <v>0</v>
      </c>
      <c r="R498" s="2" t="inlineStr"/>
    </row>
    <row r="499" ht="15" customHeight="1">
      <c r="A499" t="inlineStr">
        <is>
          <t>A 28203-2025</t>
        </is>
      </c>
      <c r="B499" s="1" t="n">
        <v>45818.44662037037</v>
      </c>
      <c r="C499" s="1" t="n">
        <v>46081</v>
      </c>
      <c r="D499" t="inlineStr">
        <is>
          <t>KALMAR LÄN</t>
        </is>
      </c>
      <c r="E499" t="inlineStr">
        <is>
          <t>VÄSTERVIK</t>
        </is>
      </c>
      <c r="G499" t="n">
        <v>1.7</v>
      </c>
      <c r="H499" t="n">
        <v>0</v>
      </c>
      <c r="I499" t="n">
        <v>0</v>
      </c>
      <c r="J499" t="n">
        <v>0</v>
      </c>
      <c r="K499" t="n">
        <v>0</v>
      </c>
      <c r="L499" t="n">
        <v>0</v>
      </c>
      <c r="M499" t="n">
        <v>0</v>
      </c>
      <c r="N499" t="n">
        <v>0</v>
      </c>
      <c r="O499" t="n">
        <v>0</v>
      </c>
      <c r="P499" t="n">
        <v>0</v>
      </c>
      <c r="Q499" t="n">
        <v>0</v>
      </c>
      <c r="R499" s="2" t="inlineStr"/>
    </row>
    <row r="500" ht="15" customHeight="1">
      <c r="A500" t="inlineStr">
        <is>
          <t>A 35456-2024</t>
        </is>
      </c>
      <c r="B500" s="1" t="n">
        <v>45531</v>
      </c>
      <c r="C500" s="1" t="n">
        <v>46081</v>
      </c>
      <c r="D500" t="inlineStr">
        <is>
          <t>KALMAR LÄN</t>
        </is>
      </c>
      <c r="E500" t="inlineStr">
        <is>
          <t>VÄSTERVIK</t>
        </is>
      </c>
      <c r="G500" t="n">
        <v>5.8</v>
      </c>
      <c r="H500" t="n">
        <v>0</v>
      </c>
      <c r="I500" t="n">
        <v>0</v>
      </c>
      <c r="J500" t="n">
        <v>0</v>
      </c>
      <c r="K500" t="n">
        <v>0</v>
      </c>
      <c r="L500" t="n">
        <v>0</v>
      </c>
      <c r="M500" t="n">
        <v>0</v>
      </c>
      <c r="N500" t="n">
        <v>0</v>
      </c>
      <c r="O500" t="n">
        <v>0</v>
      </c>
      <c r="P500" t="n">
        <v>0</v>
      </c>
      <c r="Q500" t="n">
        <v>0</v>
      </c>
      <c r="R500" s="2" t="inlineStr"/>
    </row>
    <row r="501" ht="15" customHeight="1">
      <c r="A501" t="inlineStr">
        <is>
          <t>A 31691-2023</t>
        </is>
      </c>
      <c r="B501" s="1" t="n">
        <v>45117.72543981481</v>
      </c>
      <c r="C501" s="1" t="n">
        <v>46081</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52035-2023</t>
        </is>
      </c>
      <c r="B502" s="1" t="n">
        <v>45216</v>
      </c>
      <c r="C502" s="1" t="n">
        <v>46081</v>
      </c>
      <c r="D502" t="inlineStr">
        <is>
          <t>KALMAR LÄN</t>
        </is>
      </c>
      <c r="E502" t="inlineStr">
        <is>
          <t>VÄSTERVIK</t>
        </is>
      </c>
      <c r="G502" t="n">
        <v>3.4</v>
      </c>
      <c r="H502" t="n">
        <v>0</v>
      </c>
      <c r="I502" t="n">
        <v>0</v>
      </c>
      <c r="J502" t="n">
        <v>0</v>
      </c>
      <c r="K502" t="n">
        <v>0</v>
      </c>
      <c r="L502" t="n">
        <v>0</v>
      </c>
      <c r="M502" t="n">
        <v>0</v>
      </c>
      <c r="N502" t="n">
        <v>0</v>
      </c>
      <c r="O502" t="n">
        <v>0</v>
      </c>
      <c r="P502" t="n">
        <v>0</v>
      </c>
      <c r="Q502" t="n">
        <v>0</v>
      </c>
      <c r="R502" s="2" t="inlineStr"/>
    </row>
    <row r="503" ht="15" customHeight="1">
      <c r="A503" t="inlineStr">
        <is>
          <t>A 27974-2025</t>
        </is>
      </c>
      <c r="B503" s="1" t="n">
        <v>45817.56891203704</v>
      </c>
      <c r="C503" s="1" t="n">
        <v>46081</v>
      </c>
      <c r="D503" t="inlineStr">
        <is>
          <t>KALMAR LÄN</t>
        </is>
      </c>
      <c r="E503" t="inlineStr">
        <is>
          <t>VÄSTERVIK</t>
        </is>
      </c>
      <c r="F503" t="inlineStr">
        <is>
          <t>Sveaskog</t>
        </is>
      </c>
      <c r="G503" t="n">
        <v>5</v>
      </c>
      <c r="H503" t="n">
        <v>0</v>
      </c>
      <c r="I503" t="n">
        <v>0</v>
      </c>
      <c r="J503" t="n">
        <v>0</v>
      </c>
      <c r="K503" t="n">
        <v>0</v>
      </c>
      <c r="L503" t="n">
        <v>0</v>
      </c>
      <c r="M503" t="n">
        <v>0</v>
      </c>
      <c r="N503" t="n">
        <v>0</v>
      </c>
      <c r="O503" t="n">
        <v>0</v>
      </c>
      <c r="P503" t="n">
        <v>0</v>
      </c>
      <c r="Q503" t="n">
        <v>0</v>
      </c>
      <c r="R503" s="2" t="inlineStr"/>
    </row>
    <row r="504" ht="15" customHeight="1">
      <c r="A504" t="inlineStr">
        <is>
          <t>A 9249-2024</t>
        </is>
      </c>
      <c r="B504" s="1" t="n">
        <v>45358.59056712963</v>
      </c>
      <c r="C504" s="1" t="n">
        <v>46081</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40038-2025</t>
        </is>
      </c>
      <c r="B505" s="1" t="n">
        <v>45894.39395833333</v>
      </c>
      <c r="C505" s="1" t="n">
        <v>46081</v>
      </c>
      <c r="D505" t="inlineStr">
        <is>
          <t>KALMAR LÄN</t>
        </is>
      </c>
      <c r="E505" t="inlineStr">
        <is>
          <t>VÄSTERVIK</t>
        </is>
      </c>
      <c r="G505" t="n">
        <v>3.2</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46081</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28096-2025</t>
        </is>
      </c>
      <c r="B507" s="1" t="n">
        <v>45817.81831018518</v>
      </c>
      <c r="C507" s="1" t="n">
        <v>46081</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12435-2024</t>
        </is>
      </c>
      <c r="B508" s="1" t="n">
        <v>45379.4459375</v>
      </c>
      <c r="C508" s="1" t="n">
        <v>46081</v>
      </c>
      <c r="D508" t="inlineStr">
        <is>
          <t>KALMAR LÄN</t>
        </is>
      </c>
      <c r="E508" t="inlineStr">
        <is>
          <t>VÄSTERVIK</t>
        </is>
      </c>
      <c r="G508" t="n">
        <v>0.4</v>
      </c>
      <c r="H508" t="n">
        <v>0</v>
      </c>
      <c r="I508" t="n">
        <v>0</v>
      </c>
      <c r="J508" t="n">
        <v>0</v>
      </c>
      <c r="K508" t="n">
        <v>0</v>
      </c>
      <c r="L508" t="n">
        <v>0</v>
      </c>
      <c r="M508" t="n">
        <v>0</v>
      </c>
      <c r="N508" t="n">
        <v>0</v>
      </c>
      <c r="O508" t="n">
        <v>0</v>
      </c>
      <c r="P508" t="n">
        <v>0</v>
      </c>
      <c r="Q508" t="n">
        <v>0</v>
      </c>
      <c r="R508" s="2" t="inlineStr"/>
    </row>
    <row r="509" ht="15" customHeight="1">
      <c r="A509" t="inlineStr">
        <is>
          <t>A 3828-2024</t>
        </is>
      </c>
      <c r="B509" s="1" t="n">
        <v>45321</v>
      </c>
      <c r="C509" s="1" t="n">
        <v>46081</v>
      </c>
      <c r="D509" t="inlineStr">
        <is>
          <t>KALMAR LÄN</t>
        </is>
      </c>
      <c r="E509" t="inlineStr">
        <is>
          <t>VÄSTERVIK</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39193-2024</t>
        </is>
      </c>
      <c r="B510" s="1" t="n">
        <v>45548.68</v>
      </c>
      <c r="C510" s="1" t="n">
        <v>46081</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16689-2025</t>
        </is>
      </c>
      <c r="B511" s="1" t="n">
        <v>45754.45739583333</v>
      </c>
      <c r="C511" s="1" t="n">
        <v>46081</v>
      </c>
      <c r="D511" t="inlineStr">
        <is>
          <t>KALMAR LÄN</t>
        </is>
      </c>
      <c r="E511" t="inlineStr">
        <is>
          <t>VÄSTERVIK</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16693-2025</t>
        </is>
      </c>
      <c r="B512" s="1" t="n">
        <v>45754.4644675926</v>
      </c>
      <c r="C512" s="1" t="n">
        <v>46081</v>
      </c>
      <c r="D512" t="inlineStr">
        <is>
          <t>KALMAR LÄN</t>
        </is>
      </c>
      <c r="E512" t="inlineStr">
        <is>
          <t>VÄSTERVIK</t>
        </is>
      </c>
      <c r="F512" t="inlineStr">
        <is>
          <t>Sveaskog</t>
        </is>
      </c>
      <c r="G512" t="n">
        <v>3.7</v>
      </c>
      <c r="H512" t="n">
        <v>0</v>
      </c>
      <c r="I512" t="n">
        <v>0</v>
      </c>
      <c r="J512" t="n">
        <v>0</v>
      </c>
      <c r="K512" t="n">
        <v>0</v>
      </c>
      <c r="L512" t="n">
        <v>0</v>
      </c>
      <c r="M512" t="n">
        <v>0</v>
      </c>
      <c r="N512" t="n">
        <v>0</v>
      </c>
      <c r="O512" t="n">
        <v>0</v>
      </c>
      <c r="P512" t="n">
        <v>0</v>
      </c>
      <c r="Q512" t="n">
        <v>0</v>
      </c>
      <c r="R512" s="2" t="inlineStr"/>
    </row>
    <row r="513" ht="15" customHeight="1">
      <c r="A513" t="inlineStr">
        <is>
          <t>A 28696-2025</t>
        </is>
      </c>
      <c r="B513" s="1" t="n">
        <v>45819.91342592592</v>
      </c>
      <c r="C513" s="1" t="n">
        <v>46081</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7925-2023</t>
        </is>
      </c>
      <c r="B514" s="1" t="n">
        <v>44973.64606481481</v>
      </c>
      <c r="C514" s="1" t="n">
        <v>46081</v>
      </c>
      <c r="D514" t="inlineStr">
        <is>
          <t>KALMAR LÄN</t>
        </is>
      </c>
      <c r="E514" t="inlineStr">
        <is>
          <t>VÄSTERVIK</t>
        </is>
      </c>
      <c r="G514" t="n">
        <v>4.9</v>
      </c>
      <c r="H514" t="n">
        <v>0</v>
      </c>
      <c r="I514" t="n">
        <v>0</v>
      </c>
      <c r="J514" t="n">
        <v>0</v>
      </c>
      <c r="K514" t="n">
        <v>0</v>
      </c>
      <c r="L514" t="n">
        <v>0</v>
      </c>
      <c r="M514" t="n">
        <v>0</v>
      </c>
      <c r="N514" t="n">
        <v>0</v>
      </c>
      <c r="O514" t="n">
        <v>0</v>
      </c>
      <c r="P514" t="n">
        <v>0</v>
      </c>
      <c r="Q514" t="n">
        <v>0</v>
      </c>
      <c r="R514" s="2" t="inlineStr"/>
    </row>
    <row r="515" ht="15" customHeight="1">
      <c r="A515" t="inlineStr">
        <is>
          <t>A 51510-2024</t>
        </is>
      </c>
      <c r="B515" s="1" t="n">
        <v>45604.55837962963</v>
      </c>
      <c r="C515" s="1" t="n">
        <v>46081</v>
      </c>
      <c r="D515" t="inlineStr">
        <is>
          <t>KALMAR LÄN</t>
        </is>
      </c>
      <c r="E515" t="inlineStr">
        <is>
          <t>VÄSTERVIK</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40168-2025</t>
        </is>
      </c>
      <c r="B516" s="1" t="n">
        <v>45894.62775462963</v>
      </c>
      <c r="C516" s="1" t="n">
        <v>46081</v>
      </c>
      <c r="D516" t="inlineStr">
        <is>
          <t>KALMAR LÄN</t>
        </is>
      </c>
      <c r="E516" t="inlineStr">
        <is>
          <t>VÄSTERVIK</t>
        </is>
      </c>
      <c r="G516" t="n">
        <v>0.3</v>
      </c>
      <c r="H516" t="n">
        <v>0</v>
      </c>
      <c r="I516" t="n">
        <v>0</v>
      </c>
      <c r="J516" t="n">
        <v>0</v>
      </c>
      <c r="K516" t="n">
        <v>0</v>
      </c>
      <c r="L516" t="n">
        <v>0</v>
      </c>
      <c r="M516" t="n">
        <v>0</v>
      </c>
      <c r="N516" t="n">
        <v>0</v>
      </c>
      <c r="O516" t="n">
        <v>0</v>
      </c>
      <c r="P516" t="n">
        <v>0</v>
      </c>
      <c r="Q516" t="n">
        <v>0</v>
      </c>
      <c r="R516" s="2" t="inlineStr"/>
    </row>
    <row r="517" ht="15" customHeight="1">
      <c r="A517" t="inlineStr">
        <is>
          <t>A 8007-2023</t>
        </is>
      </c>
      <c r="B517" s="1" t="n">
        <v>44973.88759259259</v>
      </c>
      <c r="C517" s="1" t="n">
        <v>46081</v>
      </c>
      <c r="D517" t="inlineStr">
        <is>
          <t>KALMAR LÄN</t>
        </is>
      </c>
      <c r="E517" t="inlineStr">
        <is>
          <t>VÄSTERVIK</t>
        </is>
      </c>
      <c r="G517" t="n">
        <v>4.5</v>
      </c>
      <c r="H517" t="n">
        <v>0</v>
      </c>
      <c r="I517" t="n">
        <v>0</v>
      </c>
      <c r="J517" t="n">
        <v>0</v>
      </c>
      <c r="K517" t="n">
        <v>0</v>
      </c>
      <c r="L517" t="n">
        <v>0</v>
      </c>
      <c r="M517" t="n">
        <v>0</v>
      </c>
      <c r="N517" t="n">
        <v>0</v>
      </c>
      <c r="O517" t="n">
        <v>0</v>
      </c>
      <c r="P517" t="n">
        <v>0</v>
      </c>
      <c r="Q517" t="n">
        <v>0</v>
      </c>
      <c r="R517" s="2" t="inlineStr"/>
    </row>
    <row r="518" ht="15" customHeight="1">
      <c r="A518" t="inlineStr">
        <is>
          <t>A 48035-2024</t>
        </is>
      </c>
      <c r="B518" s="1" t="n">
        <v>45589.49168981481</v>
      </c>
      <c r="C518" s="1" t="n">
        <v>46081</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49452-2023</t>
        </is>
      </c>
      <c r="B519" s="1" t="n">
        <v>45211.49424768519</v>
      </c>
      <c r="C519" s="1" t="n">
        <v>46081</v>
      </c>
      <c r="D519" t="inlineStr">
        <is>
          <t>KALMAR LÄN</t>
        </is>
      </c>
      <c r="E519" t="inlineStr">
        <is>
          <t>VÄSTERVIK</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59170-2022</t>
        </is>
      </c>
      <c r="B520" s="1" t="n">
        <v>44904.48152777777</v>
      </c>
      <c r="C520" s="1" t="n">
        <v>46081</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59212-2022</t>
        </is>
      </c>
      <c r="B521" s="1" t="n">
        <v>44904.52560185185</v>
      </c>
      <c r="C521" s="1" t="n">
        <v>46081</v>
      </c>
      <c r="D521" t="inlineStr">
        <is>
          <t>KALMAR LÄN</t>
        </is>
      </c>
      <c r="E521" t="inlineStr">
        <is>
          <t>VÄSTERVIK</t>
        </is>
      </c>
      <c r="G521" t="n">
        <v>2.3</v>
      </c>
      <c r="H521" t="n">
        <v>0</v>
      </c>
      <c r="I521" t="n">
        <v>0</v>
      </c>
      <c r="J521" t="n">
        <v>0</v>
      </c>
      <c r="K521" t="n">
        <v>0</v>
      </c>
      <c r="L521" t="n">
        <v>0</v>
      </c>
      <c r="M521" t="n">
        <v>0</v>
      </c>
      <c r="N521" t="n">
        <v>0</v>
      </c>
      <c r="O521" t="n">
        <v>0</v>
      </c>
      <c r="P521" t="n">
        <v>0</v>
      </c>
      <c r="Q521" t="n">
        <v>0</v>
      </c>
      <c r="R521" s="2" t="inlineStr"/>
    </row>
    <row r="522" ht="15" customHeight="1">
      <c r="A522" t="inlineStr">
        <is>
          <t>A 59227-2022</t>
        </is>
      </c>
      <c r="B522" s="1" t="n">
        <v>44904</v>
      </c>
      <c r="C522" s="1" t="n">
        <v>46081</v>
      </c>
      <c r="D522" t="inlineStr">
        <is>
          <t>KALMAR LÄN</t>
        </is>
      </c>
      <c r="E522" t="inlineStr">
        <is>
          <t>VÄSTERVIK</t>
        </is>
      </c>
      <c r="G522" t="n">
        <v>6</v>
      </c>
      <c r="H522" t="n">
        <v>0</v>
      </c>
      <c r="I522" t="n">
        <v>0</v>
      </c>
      <c r="J522" t="n">
        <v>0</v>
      </c>
      <c r="K522" t="n">
        <v>0</v>
      </c>
      <c r="L522" t="n">
        <v>0</v>
      </c>
      <c r="M522" t="n">
        <v>0</v>
      </c>
      <c r="N522" t="n">
        <v>0</v>
      </c>
      <c r="O522" t="n">
        <v>0</v>
      </c>
      <c r="P522" t="n">
        <v>0</v>
      </c>
      <c r="Q522" t="n">
        <v>0</v>
      </c>
      <c r="R522" s="2" t="inlineStr"/>
    </row>
    <row r="523" ht="15" customHeight="1">
      <c r="A523" t="inlineStr">
        <is>
          <t>A 29678-2025</t>
        </is>
      </c>
      <c r="B523" s="1" t="n">
        <v>45825.50804398148</v>
      </c>
      <c r="C523" s="1" t="n">
        <v>46081</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33907-2025</t>
        </is>
      </c>
      <c r="B524" s="1" t="n">
        <v>45842.59880787037</v>
      </c>
      <c r="C524" s="1" t="n">
        <v>46081</v>
      </c>
      <c r="D524" t="inlineStr">
        <is>
          <t>KALMAR LÄN</t>
        </is>
      </c>
      <c r="E524" t="inlineStr">
        <is>
          <t>VÄSTERVIK</t>
        </is>
      </c>
      <c r="G524" t="n">
        <v>3.1</v>
      </c>
      <c r="H524" t="n">
        <v>0</v>
      </c>
      <c r="I524" t="n">
        <v>0</v>
      </c>
      <c r="J524" t="n">
        <v>0</v>
      </c>
      <c r="K524" t="n">
        <v>0</v>
      </c>
      <c r="L524" t="n">
        <v>0</v>
      </c>
      <c r="M524" t="n">
        <v>0</v>
      </c>
      <c r="N524" t="n">
        <v>0</v>
      </c>
      <c r="O524" t="n">
        <v>0</v>
      </c>
      <c r="P524" t="n">
        <v>0</v>
      </c>
      <c r="Q524" t="n">
        <v>0</v>
      </c>
      <c r="R524" s="2" t="inlineStr"/>
    </row>
    <row r="525" ht="15" customHeight="1">
      <c r="A525" t="inlineStr">
        <is>
          <t>A 7255-2023</t>
        </is>
      </c>
      <c r="B525" s="1" t="n">
        <v>44970</v>
      </c>
      <c r="C525" s="1" t="n">
        <v>46081</v>
      </c>
      <c r="D525" t="inlineStr">
        <is>
          <t>KALMAR LÄN</t>
        </is>
      </c>
      <c r="E525" t="inlineStr">
        <is>
          <t>VÄSTERVIK</t>
        </is>
      </c>
      <c r="F525" t="inlineStr">
        <is>
          <t>Naturvårdsverket</t>
        </is>
      </c>
      <c r="G525" t="n">
        <v>0.6</v>
      </c>
      <c r="H525" t="n">
        <v>0</v>
      </c>
      <c r="I525" t="n">
        <v>0</v>
      </c>
      <c r="J525" t="n">
        <v>0</v>
      </c>
      <c r="K525" t="n">
        <v>0</v>
      </c>
      <c r="L525" t="n">
        <v>0</v>
      </c>
      <c r="M525" t="n">
        <v>0</v>
      </c>
      <c r="N525" t="n">
        <v>0</v>
      </c>
      <c r="O525" t="n">
        <v>0</v>
      </c>
      <c r="P525" t="n">
        <v>0</v>
      </c>
      <c r="Q525" t="n">
        <v>0</v>
      </c>
      <c r="R525" s="2" t="inlineStr"/>
      <c r="U525">
        <f>HYPERLINK("https://klasma.github.io/Logging_0883/knärot/A 7255-2023 karta knärot.png", "A 7255-2023")</f>
        <v/>
      </c>
      <c r="V525">
        <f>HYPERLINK("https://klasma.github.io/Logging_0883/klagomål/A 7255-2023 FSC-klagomål.docx", "A 7255-2023")</f>
        <v/>
      </c>
      <c r="W525">
        <f>HYPERLINK("https://klasma.github.io/Logging_0883/klagomålsmail/A 7255-2023 FSC-klagomål mail.docx", "A 7255-2023")</f>
        <v/>
      </c>
      <c r="X525">
        <f>HYPERLINK("https://klasma.github.io/Logging_0883/tillsyn/A 7255-2023 tillsynsbegäran.docx", "A 7255-2023")</f>
        <v/>
      </c>
      <c r="Y525">
        <f>HYPERLINK("https://klasma.github.io/Logging_0883/tillsynsmail/A 7255-2023 tillsynsbegäran mail.docx", "A 7255-2023")</f>
        <v/>
      </c>
    </row>
    <row r="526" ht="15" customHeight="1">
      <c r="A526" t="inlineStr">
        <is>
          <t>A 36050-2024</t>
        </is>
      </c>
      <c r="B526" s="1" t="n">
        <v>45533.620625</v>
      </c>
      <c r="C526" s="1" t="n">
        <v>46081</v>
      </c>
      <c r="D526" t="inlineStr">
        <is>
          <t>KALMAR LÄN</t>
        </is>
      </c>
      <c r="E526" t="inlineStr">
        <is>
          <t>VÄSTERVIK</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45463-2024</t>
        </is>
      </c>
      <c r="B527" s="1" t="n">
        <v>45576.69753472223</v>
      </c>
      <c r="C527" s="1" t="n">
        <v>46081</v>
      </c>
      <c r="D527" t="inlineStr">
        <is>
          <t>KALMAR LÄN</t>
        </is>
      </c>
      <c r="E527" t="inlineStr">
        <is>
          <t>VÄSTERVIK</t>
        </is>
      </c>
      <c r="G527" t="n">
        <v>0.8</v>
      </c>
      <c r="H527" t="n">
        <v>0</v>
      </c>
      <c r="I527" t="n">
        <v>0</v>
      </c>
      <c r="J527" t="n">
        <v>0</v>
      </c>
      <c r="K527" t="n">
        <v>0</v>
      </c>
      <c r="L527" t="n">
        <v>0</v>
      </c>
      <c r="M527" t="n">
        <v>0</v>
      </c>
      <c r="N527" t="n">
        <v>0</v>
      </c>
      <c r="O527" t="n">
        <v>0</v>
      </c>
      <c r="P527" t="n">
        <v>0</v>
      </c>
      <c r="Q527" t="n">
        <v>0</v>
      </c>
      <c r="R527" s="2" t="inlineStr"/>
    </row>
    <row r="528" ht="15" customHeight="1">
      <c r="A528" t="inlineStr">
        <is>
          <t>A 9025-2022</t>
        </is>
      </c>
      <c r="B528" s="1" t="n">
        <v>44615</v>
      </c>
      <c r="C528" s="1" t="n">
        <v>46081</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30644-2025</t>
        </is>
      </c>
      <c r="B529" s="1" t="n">
        <v>45831</v>
      </c>
      <c r="C529" s="1" t="n">
        <v>46081</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30811-2025</t>
        </is>
      </c>
      <c r="B530" s="1" t="n">
        <v>45831.65712962963</v>
      </c>
      <c r="C530" s="1" t="n">
        <v>46081</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30800-2025</t>
        </is>
      </c>
      <c r="B531" s="1" t="n">
        <v>45831.65177083333</v>
      </c>
      <c r="C531" s="1" t="n">
        <v>46081</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6941-2025</t>
        </is>
      </c>
      <c r="B532" s="1" t="n">
        <v>45701.46835648148</v>
      </c>
      <c r="C532" s="1" t="n">
        <v>46081</v>
      </c>
      <c r="D532" t="inlineStr">
        <is>
          <t>KALMAR LÄN</t>
        </is>
      </c>
      <c r="E532" t="inlineStr">
        <is>
          <t>VÄSTERVIK</t>
        </is>
      </c>
      <c r="G532" t="n">
        <v>1.3</v>
      </c>
      <c r="H532" t="n">
        <v>0</v>
      </c>
      <c r="I532" t="n">
        <v>0</v>
      </c>
      <c r="J532" t="n">
        <v>0</v>
      </c>
      <c r="K532" t="n">
        <v>0</v>
      </c>
      <c r="L532" t="n">
        <v>0</v>
      </c>
      <c r="M532" t="n">
        <v>0</v>
      </c>
      <c r="N532" t="n">
        <v>0</v>
      </c>
      <c r="O532" t="n">
        <v>0</v>
      </c>
      <c r="P532" t="n">
        <v>0</v>
      </c>
      <c r="Q532" t="n">
        <v>0</v>
      </c>
      <c r="R532" s="2" t="inlineStr"/>
    </row>
    <row r="533" ht="15" customHeight="1">
      <c r="A533" t="inlineStr">
        <is>
          <t>A 19608-2025</t>
        </is>
      </c>
      <c r="B533" s="1" t="n">
        <v>45770.60177083333</v>
      </c>
      <c r="C533" s="1" t="n">
        <v>46081</v>
      </c>
      <c r="D533" t="inlineStr">
        <is>
          <t>KALMAR LÄN</t>
        </is>
      </c>
      <c r="E533" t="inlineStr">
        <is>
          <t>VÄSTERVIK</t>
        </is>
      </c>
      <c r="G533" t="n">
        <v>3.5</v>
      </c>
      <c r="H533" t="n">
        <v>0</v>
      </c>
      <c r="I533" t="n">
        <v>0</v>
      </c>
      <c r="J533" t="n">
        <v>0</v>
      </c>
      <c r="K533" t="n">
        <v>0</v>
      </c>
      <c r="L533" t="n">
        <v>0</v>
      </c>
      <c r="M533" t="n">
        <v>0</v>
      </c>
      <c r="N533" t="n">
        <v>0</v>
      </c>
      <c r="O533" t="n">
        <v>0</v>
      </c>
      <c r="P533" t="n">
        <v>0</v>
      </c>
      <c r="Q533" t="n">
        <v>0</v>
      </c>
      <c r="R533" s="2" t="inlineStr"/>
    </row>
    <row r="534" ht="15" customHeight="1">
      <c r="A534" t="inlineStr">
        <is>
          <t>A 30789-2025</t>
        </is>
      </c>
      <c r="B534" s="1" t="n">
        <v>45831.63174768518</v>
      </c>
      <c r="C534" s="1" t="n">
        <v>46081</v>
      </c>
      <c r="D534" t="inlineStr">
        <is>
          <t>KALMAR LÄN</t>
        </is>
      </c>
      <c r="E534" t="inlineStr">
        <is>
          <t>VÄSTERVIK</t>
        </is>
      </c>
      <c r="G534" t="n">
        <v>7</v>
      </c>
      <c r="H534" t="n">
        <v>0</v>
      </c>
      <c r="I534" t="n">
        <v>0</v>
      </c>
      <c r="J534" t="n">
        <v>0</v>
      </c>
      <c r="K534" t="n">
        <v>0</v>
      </c>
      <c r="L534" t="n">
        <v>0</v>
      </c>
      <c r="M534" t="n">
        <v>0</v>
      </c>
      <c r="N534" t="n">
        <v>0</v>
      </c>
      <c r="O534" t="n">
        <v>0</v>
      </c>
      <c r="P534" t="n">
        <v>0</v>
      </c>
      <c r="Q534" t="n">
        <v>0</v>
      </c>
      <c r="R534" s="2" t="inlineStr"/>
    </row>
    <row r="535" ht="15" customHeight="1">
      <c r="A535" t="inlineStr">
        <is>
          <t>A 41993-2025</t>
        </is>
      </c>
      <c r="B535" s="1" t="n">
        <v>45903.54821759259</v>
      </c>
      <c r="C535" s="1" t="n">
        <v>46081</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30690-2025</t>
        </is>
      </c>
      <c r="B536" s="1" t="n">
        <v>45831.53775462963</v>
      </c>
      <c r="C536" s="1" t="n">
        <v>46081</v>
      </c>
      <c r="D536" t="inlineStr">
        <is>
          <t>KALMAR LÄN</t>
        </is>
      </c>
      <c r="E536" t="inlineStr">
        <is>
          <t>VÄSTERVIK</t>
        </is>
      </c>
      <c r="G536" t="n">
        <v>1.6</v>
      </c>
      <c r="H536" t="n">
        <v>0</v>
      </c>
      <c r="I536" t="n">
        <v>0</v>
      </c>
      <c r="J536" t="n">
        <v>0</v>
      </c>
      <c r="K536" t="n">
        <v>0</v>
      </c>
      <c r="L536" t="n">
        <v>0</v>
      </c>
      <c r="M536" t="n">
        <v>0</v>
      </c>
      <c r="N536" t="n">
        <v>0</v>
      </c>
      <c r="O536" t="n">
        <v>0</v>
      </c>
      <c r="P536" t="n">
        <v>0</v>
      </c>
      <c r="Q536" t="n">
        <v>0</v>
      </c>
      <c r="R536" s="2" t="inlineStr"/>
    </row>
    <row r="537" ht="15" customHeight="1">
      <c r="A537" t="inlineStr">
        <is>
          <t>A 9760-2024</t>
        </is>
      </c>
      <c r="B537" s="1" t="n">
        <v>45362</v>
      </c>
      <c r="C537" s="1" t="n">
        <v>46081</v>
      </c>
      <c r="D537" t="inlineStr">
        <is>
          <t>KALMAR LÄN</t>
        </is>
      </c>
      <c r="E537" t="inlineStr">
        <is>
          <t>VÄSTERVIK</t>
        </is>
      </c>
      <c r="G537" t="n">
        <v>2.1</v>
      </c>
      <c r="H537" t="n">
        <v>0</v>
      </c>
      <c r="I537" t="n">
        <v>0</v>
      </c>
      <c r="J537" t="n">
        <v>0</v>
      </c>
      <c r="K537" t="n">
        <v>0</v>
      </c>
      <c r="L537" t="n">
        <v>0</v>
      </c>
      <c r="M537" t="n">
        <v>0</v>
      </c>
      <c r="N537" t="n">
        <v>0</v>
      </c>
      <c r="O537" t="n">
        <v>0</v>
      </c>
      <c r="P537" t="n">
        <v>0</v>
      </c>
      <c r="Q537" t="n">
        <v>0</v>
      </c>
      <c r="R537" s="2" t="inlineStr"/>
    </row>
    <row r="538" ht="15" customHeight="1">
      <c r="A538" t="inlineStr">
        <is>
          <t>A 15106-2023</t>
        </is>
      </c>
      <c r="B538" s="1" t="n">
        <v>45016.41767361111</v>
      </c>
      <c r="C538" s="1" t="n">
        <v>46081</v>
      </c>
      <c r="D538" t="inlineStr">
        <is>
          <t>KALMAR LÄN</t>
        </is>
      </c>
      <c r="E538" t="inlineStr">
        <is>
          <t>VÄSTERVIK</t>
        </is>
      </c>
      <c r="G538" t="n">
        <v>0.4</v>
      </c>
      <c r="H538" t="n">
        <v>0</v>
      </c>
      <c r="I538" t="n">
        <v>0</v>
      </c>
      <c r="J538" t="n">
        <v>0</v>
      </c>
      <c r="K538" t="n">
        <v>0</v>
      </c>
      <c r="L538" t="n">
        <v>0</v>
      </c>
      <c r="M538" t="n">
        <v>0</v>
      </c>
      <c r="N538" t="n">
        <v>0</v>
      </c>
      <c r="O538" t="n">
        <v>0</v>
      </c>
      <c r="P538" t="n">
        <v>0</v>
      </c>
      <c r="Q538" t="n">
        <v>0</v>
      </c>
      <c r="R538" s="2" t="inlineStr"/>
    </row>
    <row r="539" ht="15" customHeight="1">
      <c r="A539" t="inlineStr">
        <is>
          <t>A 28588-2022</t>
        </is>
      </c>
      <c r="B539" s="1" t="n">
        <v>44748</v>
      </c>
      <c r="C539" s="1" t="n">
        <v>46081</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30648-2025</t>
        </is>
      </c>
      <c r="B540" s="1" t="n">
        <v>45831</v>
      </c>
      <c r="C540" s="1" t="n">
        <v>46081</v>
      </c>
      <c r="D540" t="inlineStr">
        <is>
          <t>KALMAR LÄN</t>
        </is>
      </c>
      <c r="E540" t="inlineStr">
        <is>
          <t>VÄSTERVIK</t>
        </is>
      </c>
      <c r="G540" t="n">
        <v>3</v>
      </c>
      <c r="H540" t="n">
        <v>0</v>
      </c>
      <c r="I540" t="n">
        <v>0</v>
      </c>
      <c r="J540" t="n">
        <v>0</v>
      </c>
      <c r="K540" t="n">
        <v>0</v>
      </c>
      <c r="L540" t="n">
        <v>0</v>
      </c>
      <c r="M540" t="n">
        <v>0</v>
      </c>
      <c r="N540" t="n">
        <v>0</v>
      </c>
      <c r="O540" t="n">
        <v>0</v>
      </c>
      <c r="P540" t="n">
        <v>0</v>
      </c>
      <c r="Q540" t="n">
        <v>0</v>
      </c>
      <c r="R540" s="2" t="inlineStr"/>
    </row>
    <row r="541" ht="15" customHeight="1">
      <c r="A541" t="inlineStr">
        <is>
          <t>A 31576-2025</t>
        </is>
      </c>
      <c r="B541" s="1" t="n">
        <v>45833.67266203704</v>
      </c>
      <c r="C541" s="1" t="n">
        <v>46081</v>
      </c>
      <c r="D541" t="inlineStr">
        <is>
          <t>KALMAR LÄN</t>
        </is>
      </c>
      <c r="E541" t="inlineStr">
        <is>
          <t>VÄSTERVIK</t>
        </is>
      </c>
      <c r="F541" t="inlineStr">
        <is>
          <t>Holmen skog AB</t>
        </is>
      </c>
      <c r="G541" t="n">
        <v>3.5</v>
      </c>
      <c r="H541" t="n">
        <v>0</v>
      </c>
      <c r="I541" t="n">
        <v>0</v>
      </c>
      <c r="J541" t="n">
        <v>0</v>
      </c>
      <c r="K541" t="n">
        <v>0</v>
      </c>
      <c r="L541" t="n">
        <v>0</v>
      </c>
      <c r="M541" t="n">
        <v>0</v>
      </c>
      <c r="N541" t="n">
        <v>0</v>
      </c>
      <c r="O541" t="n">
        <v>0</v>
      </c>
      <c r="P541" t="n">
        <v>0</v>
      </c>
      <c r="Q541" t="n">
        <v>0</v>
      </c>
      <c r="R541" s="2" t="inlineStr"/>
    </row>
    <row r="542" ht="15" customHeight="1">
      <c r="A542" t="inlineStr">
        <is>
          <t>A 31826-2025</t>
        </is>
      </c>
      <c r="B542" s="1" t="n">
        <v>45834.58306712963</v>
      </c>
      <c r="C542" s="1" t="n">
        <v>46081</v>
      </c>
      <c r="D542" t="inlineStr">
        <is>
          <t>KALMAR LÄN</t>
        </is>
      </c>
      <c r="E542" t="inlineStr">
        <is>
          <t>VÄSTERVIK</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31843-2025</t>
        </is>
      </c>
      <c r="B543" s="1" t="n">
        <v>45834.5984375</v>
      </c>
      <c r="C543" s="1" t="n">
        <v>46081</v>
      </c>
      <c r="D543" t="inlineStr">
        <is>
          <t>KALMAR LÄN</t>
        </is>
      </c>
      <c r="E543" t="inlineStr">
        <is>
          <t>VÄSTERVIK</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31857-2025</t>
        </is>
      </c>
      <c r="B544" s="1" t="n">
        <v>45834.62629629629</v>
      </c>
      <c r="C544" s="1" t="n">
        <v>46081</v>
      </c>
      <c r="D544" t="inlineStr">
        <is>
          <t>KALMAR LÄN</t>
        </is>
      </c>
      <c r="E544" t="inlineStr">
        <is>
          <t>VÄSTERVIK</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15553-2024</t>
        </is>
      </c>
      <c r="B545" s="1" t="n">
        <v>45401.63736111111</v>
      </c>
      <c r="C545" s="1" t="n">
        <v>46081</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31419-2025</t>
        </is>
      </c>
      <c r="B546" s="1" t="n">
        <v>45833.48370370371</v>
      </c>
      <c r="C546" s="1" t="n">
        <v>46081</v>
      </c>
      <c r="D546" t="inlineStr">
        <is>
          <t>KALMAR LÄN</t>
        </is>
      </c>
      <c r="E546" t="inlineStr">
        <is>
          <t>VÄSTERVIK</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13957-2025</t>
        </is>
      </c>
      <c r="B547" s="1" t="n">
        <v>45737.85231481482</v>
      </c>
      <c r="C547" s="1" t="n">
        <v>46081</v>
      </c>
      <c r="D547" t="inlineStr">
        <is>
          <t>KALMAR LÄN</t>
        </is>
      </c>
      <c r="E547" t="inlineStr">
        <is>
          <t>VÄSTERVIK</t>
        </is>
      </c>
      <c r="G547" t="n">
        <v>1</v>
      </c>
      <c r="H547" t="n">
        <v>0</v>
      </c>
      <c r="I547" t="n">
        <v>0</v>
      </c>
      <c r="J547" t="n">
        <v>0</v>
      </c>
      <c r="K547" t="n">
        <v>0</v>
      </c>
      <c r="L547" t="n">
        <v>0</v>
      </c>
      <c r="M547" t="n">
        <v>0</v>
      </c>
      <c r="N547" t="n">
        <v>0</v>
      </c>
      <c r="O547" t="n">
        <v>0</v>
      </c>
      <c r="P547" t="n">
        <v>0</v>
      </c>
      <c r="Q547" t="n">
        <v>0</v>
      </c>
      <c r="R547" s="2" t="inlineStr"/>
    </row>
    <row r="548" ht="15" customHeight="1">
      <c r="A548" t="inlineStr">
        <is>
          <t>A 23706-2025</t>
        </is>
      </c>
      <c r="B548" s="1" t="n">
        <v>45793.36922453704</v>
      </c>
      <c r="C548" s="1" t="n">
        <v>46081</v>
      </c>
      <c r="D548" t="inlineStr">
        <is>
          <t>KALMAR LÄN</t>
        </is>
      </c>
      <c r="E548" t="inlineStr">
        <is>
          <t>VÄSTERVIK</t>
        </is>
      </c>
      <c r="G548" t="n">
        <v>2.2</v>
      </c>
      <c r="H548" t="n">
        <v>0</v>
      </c>
      <c r="I548" t="n">
        <v>0</v>
      </c>
      <c r="J548" t="n">
        <v>0</v>
      </c>
      <c r="K548" t="n">
        <v>0</v>
      </c>
      <c r="L548" t="n">
        <v>0</v>
      </c>
      <c r="M548" t="n">
        <v>0</v>
      </c>
      <c r="N548" t="n">
        <v>0</v>
      </c>
      <c r="O548" t="n">
        <v>0</v>
      </c>
      <c r="P548" t="n">
        <v>0</v>
      </c>
      <c r="Q548" t="n">
        <v>0</v>
      </c>
      <c r="R548" s="2" t="inlineStr"/>
    </row>
    <row r="549" ht="15" customHeight="1">
      <c r="A549" t="inlineStr">
        <is>
          <t>A 31886-2025</t>
        </is>
      </c>
      <c r="B549" s="1" t="n">
        <v>45834.65864583333</v>
      </c>
      <c r="C549" s="1" t="n">
        <v>46081</v>
      </c>
      <c r="D549" t="inlineStr">
        <is>
          <t>KALMAR LÄN</t>
        </is>
      </c>
      <c r="E549" t="inlineStr">
        <is>
          <t>VÄSTERVIK</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31600-2025</t>
        </is>
      </c>
      <c r="B550" s="1" t="n">
        <v>45833.72505787037</v>
      </c>
      <c r="C550" s="1" t="n">
        <v>46081</v>
      </c>
      <c r="D550" t="inlineStr">
        <is>
          <t>KALMAR LÄN</t>
        </is>
      </c>
      <c r="E550" t="inlineStr">
        <is>
          <t>VÄSTERVIK</t>
        </is>
      </c>
      <c r="F550" t="inlineStr">
        <is>
          <t>Holmen skog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23580-2023</t>
        </is>
      </c>
      <c r="B551" s="1" t="n">
        <v>45077</v>
      </c>
      <c r="C551" s="1" t="n">
        <v>46081</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11584-2023</t>
        </is>
      </c>
      <c r="B552" s="1" t="n">
        <v>44994.35707175926</v>
      </c>
      <c r="C552" s="1" t="n">
        <v>46081</v>
      </c>
      <c r="D552" t="inlineStr">
        <is>
          <t>KALMAR LÄN</t>
        </is>
      </c>
      <c r="E552" t="inlineStr">
        <is>
          <t>VÄSTERVIK</t>
        </is>
      </c>
      <c r="G552" t="n">
        <v>1</v>
      </c>
      <c r="H552" t="n">
        <v>0</v>
      </c>
      <c r="I552" t="n">
        <v>0</v>
      </c>
      <c r="J552" t="n">
        <v>0</v>
      </c>
      <c r="K552" t="n">
        <v>0</v>
      </c>
      <c r="L552" t="n">
        <v>0</v>
      </c>
      <c r="M552" t="n">
        <v>0</v>
      </c>
      <c r="N552" t="n">
        <v>0</v>
      </c>
      <c r="O552" t="n">
        <v>0</v>
      </c>
      <c r="P552" t="n">
        <v>0</v>
      </c>
      <c r="Q552" t="n">
        <v>0</v>
      </c>
      <c r="R552" s="2" t="inlineStr"/>
    </row>
    <row r="553" ht="15" customHeight="1">
      <c r="A553" t="inlineStr">
        <is>
          <t>A 32018-2025</t>
        </is>
      </c>
      <c r="B553" s="1" t="n">
        <v>45835.40452546296</v>
      </c>
      <c r="C553" s="1" t="n">
        <v>46081</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7100-2023</t>
        </is>
      </c>
      <c r="B554" s="1" t="n">
        <v>44970.37244212963</v>
      </c>
      <c r="C554" s="1" t="n">
        <v>46081</v>
      </c>
      <c r="D554" t="inlineStr">
        <is>
          <t>KALMAR LÄN</t>
        </is>
      </c>
      <c r="E554" t="inlineStr">
        <is>
          <t>VÄSTERVIK</t>
        </is>
      </c>
      <c r="G554" t="n">
        <v>1.7</v>
      </c>
      <c r="H554" t="n">
        <v>0</v>
      </c>
      <c r="I554" t="n">
        <v>0</v>
      </c>
      <c r="J554" t="n">
        <v>0</v>
      </c>
      <c r="K554" t="n">
        <v>0</v>
      </c>
      <c r="L554" t="n">
        <v>0</v>
      </c>
      <c r="M554" t="n">
        <v>0</v>
      </c>
      <c r="N554" t="n">
        <v>0</v>
      </c>
      <c r="O554" t="n">
        <v>0</v>
      </c>
      <c r="P554" t="n">
        <v>0</v>
      </c>
      <c r="Q554" t="n">
        <v>0</v>
      </c>
      <c r="R554" s="2" t="inlineStr"/>
    </row>
    <row r="555" ht="15" customHeight="1">
      <c r="A555" t="inlineStr">
        <is>
          <t>A 32495-2025</t>
        </is>
      </c>
      <c r="B555" s="1" t="n">
        <v>45838.4546875</v>
      </c>
      <c r="C555" s="1" t="n">
        <v>46081</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32778-2025</t>
        </is>
      </c>
      <c r="B556" s="1" t="n">
        <v>45839.46924768519</v>
      </c>
      <c r="C556" s="1" t="n">
        <v>46081</v>
      </c>
      <c r="D556" t="inlineStr">
        <is>
          <t>KALMAR LÄN</t>
        </is>
      </c>
      <c r="E556" t="inlineStr">
        <is>
          <t>VÄSTERVIK</t>
        </is>
      </c>
      <c r="G556" t="n">
        <v>2.2</v>
      </c>
      <c r="H556" t="n">
        <v>0</v>
      </c>
      <c r="I556" t="n">
        <v>0</v>
      </c>
      <c r="J556" t="n">
        <v>0</v>
      </c>
      <c r="K556" t="n">
        <v>0</v>
      </c>
      <c r="L556" t="n">
        <v>0</v>
      </c>
      <c r="M556" t="n">
        <v>0</v>
      </c>
      <c r="N556" t="n">
        <v>0</v>
      </c>
      <c r="O556" t="n">
        <v>0</v>
      </c>
      <c r="P556" t="n">
        <v>0</v>
      </c>
      <c r="Q556" t="n">
        <v>0</v>
      </c>
      <c r="R556" s="2" t="inlineStr"/>
    </row>
    <row r="557" ht="15" customHeight="1">
      <c r="A557" t="inlineStr">
        <is>
          <t>A 24881-2023</t>
        </is>
      </c>
      <c r="B557" s="1" t="n">
        <v>45085</v>
      </c>
      <c r="C557" s="1" t="n">
        <v>46081</v>
      </c>
      <c r="D557" t="inlineStr">
        <is>
          <t>KALMAR LÄN</t>
        </is>
      </c>
      <c r="E557" t="inlineStr">
        <is>
          <t>VÄSTERVIK</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32647-2023</t>
        </is>
      </c>
      <c r="B558" s="1" t="n">
        <v>45121</v>
      </c>
      <c r="C558" s="1" t="n">
        <v>46081</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1785-2025</t>
        </is>
      </c>
      <c r="B559" s="1" t="n">
        <v>45671.45061342593</v>
      </c>
      <c r="C559" s="1" t="n">
        <v>46081</v>
      </c>
      <c r="D559" t="inlineStr">
        <is>
          <t>KALMAR LÄN</t>
        </is>
      </c>
      <c r="E559" t="inlineStr">
        <is>
          <t>VÄSTERVIK</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32400-2025</t>
        </is>
      </c>
      <c r="B560" s="1" t="n">
        <v>45838.25818287037</v>
      </c>
      <c r="C560" s="1" t="n">
        <v>46081</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24584-2024</t>
        </is>
      </c>
      <c r="B561" s="1" t="n">
        <v>45460</v>
      </c>
      <c r="C561" s="1" t="n">
        <v>46081</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33922-2025</t>
        </is>
      </c>
      <c r="B562" s="1" t="n">
        <v>45842.61993055556</v>
      </c>
      <c r="C562" s="1" t="n">
        <v>46081</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33928-2025</t>
        </is>
      </c>
      <c r="B563" s="1" t="n">
        <v>45842.62488425926</v>
      </c>
      <c r="C563" s="1" t="n">
        <v>46081</v>
      </c>
      <c r="D563" t="inlineStr">
        <is>
          <t>KALMAR LÄN</t>
        </is>
      </c>
      <c r="E563" t="inlineStr">
        <is>
          <t>VÄSTERVIK</t>
        </is>
      </c>
      <c r="G563" t="n">
        <v>2.4</v>
      </c>
      <c r="H563" t="n">
        <v>0</v>
      </c>
      <c r="I563" t="n">
        <v>0</v>
      </c>
      <c r="J563" t="n">
        <v>0</v>
      </c>
      <c r="K563" t="n">
        <v>0</v>
      </c>
      <c r="L563" t="n">
        <v>0</v>
      </c>
      <c r="M563" t="n">
        <v>0</v>
      </c>
      <c r="N563" t="n">
        <v>0</v>
      </c>
      <c r="O563" t="n">
        <v>0</v>
      </c>
      <c r="P563" t="n">
        <v>0</v>
      </c>
      <c r="Q563" t="n">
        <v>0</v>
      </c>
      <c r="R563" s="2" t="inlineStr"/>
    </row>
    <row r="564" ht="15" customHeight="1">
      <c r="A564" t="inlineStr">
        <is>
          <t>A 32764-2022</t>
        </is>
      </c>
      <c r="B564" s="1" t="n">
        <v>44783</v>
      </c>
      <c r="C564" s="1" t="n">
        <v>46081</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4624-2023</t>
        </is>
      </c>
      <c r="B565" s="1" t="n">
        <v>44956</v>
      </c>
      <c r="C565" s="1" t="n">
        <v>46081</v>
      </c>
      <c r="D565" t="inlineStr">
        <is>
          <t>KALMAR LÄN</t>
        </is>
      </c>
      <c r="E565" t="inlineStr">
        <is>
          <t>VÄSTERVIK</t>
        </is>
      </c>
      <c r="F565" t="inlineStr">
        <is>
          <t>Holmen skog AB</t>
        </is>
      </c>
      <c r="G565" t="n">
        <v>7.1</v>
      </c>
      <c r="H565" t="n">
        <v>0</v>
      </c>
      <c r="I565" t="n">
        <v>0</v>
      </c>
      <c r="J565" t="n">
        <v>0</v>
      </c>
      <c r="K565" t="n">
        <v>0</v>
      </c>
      <c r="L565" t="n">
        <v>0</v>
      </c>
      <c r="M565" t="n">
        <v>0</v>
      </c>
      <c r="N565" t="n">
        <v>0</v>
      </c>
      <c r="O565" t="n">
        <v>0</v>
      </c>
      <c r="P565" t="n">
        <v>0</v>
      </c>
      <c r="Q565" t="n">
        <v>0</v>
      </c>
      <c r="R565" s="2" t="inlineStr"/>
    </row>
    <row r="566" ht="15" customHeight="1">
      <c r="A566" t="inlineStr">
        <is>
          <t>A 33924-2025</t>
        </is>
      </c>
      <c r="B566" s="1" t="n">
        <v>45842.62152777778</v>
      </c>
      <c r="C566" s="1" t="n">
        <v>46081</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9549-2024</t>
        </is>
      </c>
      <c r="B567" s="1" t="n">
        <v>45359.87989583334</v>
      </c>
      <c r="C567" s="1" t="n">
        <v>46081</v>
      </c>
      <c r="D567" t="inlineStr">
        <is>
          <t>KALMAR LÄN</t>
        </is>
      </c>
      <c r="E567" t="inlineStr">
        <is>
          <t>VÄSTERVIK</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33921-2025</t>
        </is>
      </c>
      <c r="B568" s="1" t="n">
        <v>45842.61626157408</v>
      </c>
      <c r="C568" s="1" t="n">
        <v>46081</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3185-2023</t>
        </is>
      </c>
      <c r="B569" s="1" t="n">
        <v>44946.60753472222</v>
      </c>
      <c r="C569" s="1" t="n">
        <v>46081</v>
      </c>
      <c r="D569" t="inlineStr">
        <is>
          <t>KALMAR LÄN</t>
        </is>
      </c>
      <c r="E569" t="inlineStr">
        <is>
          <t>VÄSTERVIK</t>
        </is>
      </c>
      <c r="G569" t="n">
        <v>0.9</v>
      </c>
      <c r="H569" t="n">
        <v>0</v>
      </c>
      <c r="I569" t="n">
        <v>0</v>
      </c>
      <c r="J569" t="n">
        <v>0</v>
      </c>
      <c r="K569" t="n">
        <v>0</v>
      </c>
      <c r="L569" t="n">
        <v>0</v>
      </c>
      <c r="M569" t="n">
        <v>0</v>
      </c>
      <c r="N569" t="n">
        <v>0</v>
      </c>
      <c r="O569" t="n">
        <v>0</v>
      </c>
      <c r="P569" t="n">
        <v>0</v>
      </c>
      <c r="Q569" t="n">
        <v>0</v>
      </c>
      <c r="R569" s="2" t="inlineStr"/>
    </row>
    <row r="570" ht="15" customHeight="1">
      <c r="A570" t="inlineStr">
        <is>
          <t>A 33931-2025</t>
        </is>
      </c>
      <c r="B570" s="1" t="n">
        <v>45842.63288194445</v>
      </c>
      <c r="C570" s="1" t="n">
        <v>46081</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23024-2025</t>
        </is>
      </c>
      <c r="B571" s="1" t="n">
        <v>45790.65615740741</v>
      </c>
      <c r="C571" s="1" t="n">
        <v>46081</v>
      </c>
      <c r="D571" t="inlineStr">
        <is>
          <t>KALMAR LÄN</t>
        </is>
      </c>
      <c r="E571" t="inlineStr">
        <is>
          <t>VÄSTERVIK</t>
        </is>
      </c>
      <c r="G571" t="n">
        <v>1.7</v>
      </c>
      <c r="H571" t="n">
        <v>0</v>
      </c>
      <c r="I571" t="n">
        <v>0</v>
      </c>
      <c r="J571" t="n">
        <v>0</v>
      </c>
      <c r="K571" t="n">
        <v>0</v>
      </c>
      <c r="L571" t="n">
        <v>0</v>
      </c>
      <c r="M571" t="n">
        <v>0</v>
      </c>
      <c r="N571" t="n">
        <v>0</v>
      </c>
      <c r="O571" t="n">
        <v>0</v>
      </c>
      <c r="P571" t="n">
        <v>0</v>
      </c>
      <c r="Q571" t="n">
        <v>0</v>
      </c>
      <c r="R571" s="2" t="inlineStr"/>
    </row>
    <row r="572" ht="15" customHeight="1">
      <c r="A572" t="inlineStr">
        <is>
          <t>A 43651-2025</t>
        </is>
      </c>
      <c r="B572" s="1" t="n">
        <v>45912.32259259259</v>
      </c>
      <c r="C572" s="1" t="n">
        <v>46081</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34162-2025</t>
        </is>
      </c>
      <c r="B573" s="1" t="n">
        <v>45845.57983796296</v>
      </c>
      <c r="C573" s="1" t="n">
        <v>46081</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34289-2025</t>
        </is>
      </c>
      <c r="B574" s="1" t="n">
        <v>45846.334375</v>
      </c>
      <c r="C574" s="1" t="n">
        <v>46081</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2098-2023</t>
        </is>
      </c>
      <c r="B575" s="1" t="n">
        <v>44939</v>
      </c>
      <c r="C575" s="1" t="n">
        <v>46081</v>
      </c>
      <c r="D575" t="inlineStr">
        <is>
          <t>KALMAR LÄN</t>
        </is>
      </c>
      <c r="E575" t="inlineStr">
        <is>
          <t>VÄSTERVIK</t>
        </is>
      </c>
      <c r="G575" t="n">
        <v>1.9</v>
      </c>
      <c r="H575" t="n">
        <v>0</v>
      </c>
      <c r="I575" t="n">
        <v>0</v>
      </c>
      <c r="J575" t="n">
        <v>0</v>
      </c>
      <c r="K575" t="n">
        <v>0</v>
      </c>
      <c r="L575" t="n">
        <v>0</v>
      </c>
      <c r="M575" t="n">
        <v>0</v>
      </c>
      <c r="N575" t="n">
        <v>0</v>
      </c>
      <c r="O575" t="n">
        <v>0</v>
      </c>
      <c r="P575" t="n">
        <v>0</v>
      </c>
      <c r="Q575" t="n">
        <v>0</v>
      </c>
      <c r="R575" s="2" t="inlineStr"/>
    </row>
    <row r="576" ht="15" customHeight="1">
      <c r="A576" t="inlineStr">
        <is>
          <t>A 34397-2025</t>
        </is>
      </c>
      <c r="B576" s="1" t="n">
        <v>45846.59813657407</v>
      </c>
      <c r="C576" s="1" t="n">
        <v>46081</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34160-2025</t>
        </is>
      </c>
      <c r="B577" s="1" t="n">
        <v>45845.57701388889</v>
      </c>
      <c r="C577" s="1" t="n">
        <v>46081</v>
      </c>
      <c r="D577" t="inlineStr">
        <is>
          <t>KALMAR LÄN</t>
        </is>
      </c>
      <c r="E577" t="inlineStr">
        <is>
          <t>VÄSTERVIK</t>
        </is>
      </c>
      <c r="G577" t="n">
        <v>2.4</v>
      </c>
      <c r="H577" t="n">
        <v>0</v>
      </c>
      <c r="I577" t="n">
        <v>0</v>
      </c>
      <c r="J577" t="n">
        <v>0</v>
      </c>
      <c r="K577" t="n">
        <v>0</v>
      </c>
      <c r="L577" t="n">
        <v>0</v>
      </c>
      <c r="M577" t="n">
        <v>0</v>
      </c>
      <c r="N577" t="n">
        <v>0</v>
      </c>
      <c r="O577" t="n">
        <v>0</v>
      </c>
      <c r="P577" t="n">
        <v>0</v>
      </c>
      <c r="Q577" t="n">
        <v>0</v>
      </c>
      <c r="R577" s="2" t="inlineStr"/>
    </row>
    <row r="578" ht="15" customHeight="1">
      <c r="A578" t="inlineStr">
        <is>
          <t>A 51883-2021</t>
        </is>
      </c>
      <c r="B578" s="1" t="n">
        <v>44462.80449074074</v>
      </c>
      <c r="C578" s="1" t="n">
        <v>46081</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51884-2021</t>
        </is>
      </c>
      <c r="B579" s="1" t="n">
        <v>44462.806875</v>
      </c>
      <c r="C579" s="1" t="n">
        <v>46081</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34171-2025</t>
        </is>
      </c>
      <c r="B580" s="1" t="n">
        <v>45845.58966435185</v>
      </c>
      <c r="C580" s="1" t="n">
        <v>46081</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61728-2023</t>
        </is>
      </c>
      <c r="B581" s="1" t="n">
        <v>45265</v>
      </c>
      <c r="C581" s="1" t="n">
        <v>46081</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35655-2023</t>
        </is>
      </c>
      <c r="B582" s="1" t="n">
        <v>45147.59408564815</v>
      </c>
      <c r="C582" s="1" t="n">
        <v>46081</v>
      </c>
      <c r="D582" t="inlineStr">
        <is>
          <t>KALMAR LÄN</t>
        </is>
      </c>
      <c r="E582" t="inlineStr">
        <is>
          <t>VÄSTERVIK</t>
        </is>
      </c>
      <c r="G582" t="n">
        <v>3.3</v>
      </c>
      <c r="H582" t="n">
        <v>0</v>
      </c>
      <c r="I582" t="n">
        <v>0</v>
      </c>
      <c r="J582" t="n">
        <v>0</v>
      </c>
      <c r="K582" t="n">
        <v>0</v>
      </c>
      <c r="L582" t="n">
        <v>0</v>
      </c>
      <c r="M582" t="n">
        <v>0</v>
      </c>
      <c r="N582" t="n">
        <v>0</v>
      </c>
      <c r="O582" t="n">
        <v>0</v>
      </c>
      <c r="P582" t="n">
        <v>0</v>
      </c>
      <c r="Q582" t="n">
        <v>0</v>
      </c>
      <c r="R582" s="2" t="inlineStr"/>
    </row>
    <row r="583" ht="15" customHeight="1">
      <c r="A583" t="inlineStr">
        <is>
          <t>A 34617-2025</t>
        </is>
      </c>
      <c r="B583" s="1" t="n">
        <v>45847</v>
      </c>
      <c r="C583" s="1" t="n">
        <v>46081</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34618-2025</t>
        </is>
      </c>
      <c r="B584" s="1" t="n">
        <v>45847</v>
      </c>
      <c r="C584" s="1" t="n">
        <v>46081</v>
      </c>
      <c r="D584" t="inlineStr">
        <is>
          <t>KALMAR LÄN</t>
        </is>
      </c>
      <c r="E584" t="inlineStr">
        <is>
          <t>VÄSTERVIK</t>
        </is>
      </c>
      <c r="G584" t="n">
        <v>2.6</v>
      </c>
      <c r="H584" t="n">
        <v>0</v>
      </c>
      <c r="I584" t="n">
        <v>0</v>
      </c>
      <c r="J584" t="n">
        <v>0</v>
      </c>
      <c r="K584" t="n">
        <v>0</v>
      </c>
      <c r="L584" t="n">
        <v>0</v>
      </c>
      <c r="M584" t="n">
        <v>0</v>
      </c>
      <c r="N584" t="n">
        <v>0</v>
      </c>
      <c r="O584" t="n">
        <v>0</v>
      </c>
      <c r="P584" t="n">
        <v>0</v>
      </c>
      <c r="Q584" t="n">
        <v>0</v>
      </c>
      <c r="R584" s="2" t="inlineStr"/>
    </row>
    <row r="585" ht="15" customHeight="1">
      <c r="A585" t="inlineStr">
        <is>
          <t>A 34639-2025</t>
        </is>
      </c>
      <c r="B585" s="1" t="n">
        <v>45848</v>
      </c>
      <c r="C585" s="1" t="n">
        <v>46081</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34531-2025</t>
        </is>
      </c>
      <c r="B586" s="1" t="n">
        <v>45847.50152777778</v>
      </c>
      <c r="C586" s="1" t="n">
        <v>46081</v>
      </c>
      <c r="D586" t="inlineStr">
        <is>
          <t>KALMAR LÄN</t>
        </is>
      </c>
      <c r="E586" t="inlineStr">
        <is>
          <t>VÄSTERVIK</t>
        </is>
      </c>
      <c r="G586" t="n">
        <v>1.3</v>
      </c>
      <c r="H586" t="n">
        <v>0</v>
      </c>
      <c r="I586" t="n">
        <v>0</v>
      </c>
      <c r="J586" t="n">
        <v>0</v>
      </c>
      <c r="K586" t="n">
        <v>0</v>
      </c>
      <c r="L586" t="n">
        <v>0</v>
      </c>
      <c r="M586" t="n">
        <v>0</v>
      </c>
      <c r="N586" t="n">
        <v>0</v>
      </c>
      <c r="O586" t="n">
        <v>0</v>
      </c>
      <c r="P586" t="n">
        <v>0</v>
      </c>
      <c r="Q586" t="n">
        <v>0</v>
      </c>
      <c r="R586" s="2" t="inlineStr"/>
    </row>
    <row r="587" ht="15" customHeight="1">
      <c r="A587" t="inlineStr">
        <is>
          <t>A 58090-2021</t>
        </is>
      </c>
      <c r="B587" s="1" t="n">
        <v>44487.50277777778</v>
      </c>
      <c r="C587" s="1" t="n">
        <v>46081</v>
      </c>
      <c r="D587" t="inlineStr">
        <is>
          <t>KALMAR LÄN</t>
        </is>
      </c>
      <c r="E587" t="inlineStr">
        <is>
          <t>VÄSTERVIK</t>
        </is>
      </c>
      <c r="G587" t="n">
        <v>2.9</v>
      </c>
      <c r="H587" t="n">
        <v>0</v>
      </c>
      <c r="I587" t="n">
        <v>0</v>
      </c>
      <c r="J587" t="n">
        <v>0</v>
      </c>
      <c r="K587" t="n">
        <v>0</v>
      </c>
      <c r="L587" t="n">
        <v>0</v>
      </c>
      <c r="M587" t="n">
        <v>0</v>
      </c>
      <c r="N587" t="n">
        <v>0</v>
      </c>
      <c r="O587" t="n">
        <v>0</v>
      </c>
      <c r="P587" t="n">
        <v>0</v>
      </c>
      <c r="Q587" t="n">
        <v>0</v>
      </c>
      <c r="R587" s="2" t="inlineStr"/>
    </row>
    <row r="588" ht="15" customHeight="1">
      <c r="A588" t="inlineStr">
        <is>
          <t>A 34619-2025</t>
        </is>
      </c>
      <c r="B588" s="1" t="n">
        <v>45847</v>
      </c>
      <c r="C588" s="1" t="n">
        <v>46081</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34643-2025</t>
        </is>
      </c>
      <c r="B589" s="1" t="n">
        <v>45848.32959490741</v>
      </c>
      <c r="C589" s="1" t="n">
        <v>46081</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31825-2022</t>
        </is>
      </c>
      <c r="B590" s="1" t="n">
        <v>44776.74908564815</v>
      </c>
      <c r="C590" s="1" t="n">
        <v>46081</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34916-2025</t>
        </is>
      </c>
      <c r="B591" s="1" t="n">
        <v>45849.54420138889</v>
      </c>
      <c r="C591" s="1" t="n">
        <v>46081</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57366-2023</t>
        </is>
      </c>
      <c r="B592" s="1" t="n">
        <v>45245</v>
      </c>
      <c r="C592" s="1" t="n">
        <v>46081</v>
      </c>
      <c r="D592" t="inlineStr">
        <is>
          <t>KALMAR LÄN</t>
        </is>
      </c>
      <c r="E592" t="inlineStr">
        <is>
          <t>VÄSTERVIK</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10012-2025</t>
        </is>
      </c>
      <c r="B593" s="1" t="n">
        <v>45719.46681712963</v>
      </c>
      <c r="C593" s="1" t="n">
        <v>46081</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12595-2023</t>
        </is>
      </c>
      <c r="B594" s="1" t="n">
        <v>45000.43240740741</v>
      </c>
      <c r="C594" s="1" t="n">
        <v>46081</v>
      </c>
      <c r="D594" t="inlineStr">
        <is>
          <t>KALMAR LÄN</t>
        </is>
      </c>
      <c r="E594" t="inlineStr">
        <is>
          <t>VÄSTERVIK</t>
        </is>
      </c>
      <c r="F594" t="inlineStr">
        <is>
          <t>Holmen skog AB</t>
        </is>
      </c>
      <c r="G594" t="n">
        <v>2.2</v>
      </c>
      <c r="H594" t="n">
        <v>0</v>
      </c>
      <c r="I594" t="n">
        <v>0</v>
      </c>
      <c r="J594" t="n">
        <v>0</v>
      </c>
      <c r="K594" t="n">
        <v>0</v>
      </c>
      <c r="L594" t="n">
        <v>0</v>
      </c>
      <c r="M594" t="n">
        <v>0</v>
      </c>
      <c r="N594" t="n">
        <v>0</v>
      </c>
      <c r="O594" t="n">
        <v>0</v>
      </c>
      <c r="P594" t="n">
        <v>0</v>
      </c>
      <c r="Q594" t="n">
        <v>0</v>
      </c>
      <c r="R594" s="2" t="inlineStr"/>
    </row>
    <row r="595" ht="15" customHeight="1">
      <c r="A595" t="inlineStr">
        <is>
          <t>A 23411-2022</t>
        </is>
      </c>
      <c r="B595" s="1" t="n">
        <v>44720.70361111111</v>
      </c>
      <c r="C595" s="1" t="n">
        <v>46081</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6042-2023</t>
        </is>
      </c>
      <c r="B596" s="1" t="n">
        <v>44964</v>
      </c>
      <c r="C596" s="1" t="n">
        <v>46081</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27982-2025</t>
        </is>
      </c>
      <c r="B597" s="1" t="n">
        <v>45817.57549768518</v>
      </c>
      <c r="C597" s="1" t="n">
        <v>46081</v>
      </c>
      <c r="D597" t="inlineStr">
        <is>
          <t>KALMAR LÄN</t>
        </is>
      </c>
      <c r="E597" t="inlineStr">
        <is>
          <t>VÄSTERVIK</t>
        </is>
      </c>
      <c r="G597" t="n">
        <v>2.5</v>
      </c>
      <c r="H597" t="n">
        <v>0</v>
      </c>
      <c r="I597" t="n">
        <v>0</v>
      </c>
      <c r="J597" t="n">
        <v>0</v>
      </c>
      <c r="K597" t="n">
        <v>0</v>
      </c>
      <c r="L597" t="n">
        <v>0</v>
      </c>
      <c r="M597" t="n">
        <v>0</v>
      </c>
      <c r="N597" t="n">
        <v>0</v>
      </c>
      <c r="O597" t="n">
        <v>0</v>
      </c>
      <c r="P597" t="n">
        <v>0</v>
      </c>
      <c r="Q597" t="n">
        <v>0</v>
      </c>
      <c r="R597" s="2" t="inlineStr"/>
    </row>
    <row r="598" ht="15" customHeight="1">
      <c r="A598" t="inlineStr">
        <is>
          <t>A 43828-2021</t>
        </is>
      </c>
      <c r="B598" s="1" t="n">
        <v>44433</v>
      </c>
      <c r="C598" s="1" t="n">
        <v>46081</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44461-2025</t>
        </is>
      </c>
      <c r="B599" s="1" t="n">
        <v>45916.62190972222</v>
      </c>
      <c r="C599" s="1" t="n">
        <v>46081</v>
      </c>
      <c r="D599" t="inlineStr">
        <is>
          <t>KALMAR LÄN</t>
        </is>
      </c>
      <c r="E599" t="inlineStr">
        <is>
          <t>VÄSTERVIK</t>
        </is>
      </c>
      <c r="G599" t="n">
        <v>3.4</v>
      </c>
      <c r="H599" t="n">
        <v>0</v>
      </c>
      <c r="I599" t="n">
        <v>0</v>
      </c>
      <c r="J599" t="n">
        <v>0</v>
      </c>
      <c r="K599" t="n">
        <v>0</v>
      </c>
      <c r="L599" t="n">
        <v>0</v>
      </c>
      <c r="M599" t="n">
        <v>0</v>
      </c>
      <c r="N599" t="n">
        <v>0</v>
      </c>
      <c r="O599" t="n">
        <v>0</v>
      </c>
      <c r="P599" t="n">
        <v>0</v>
      </c>
      <c r="Q599" t="n">
        <v>0</v>
      </c>
      <c r="R599" s="2" t="inlineStr"/>
    </row>
    <row r="600" ht="15" customHeight="1">
      <c r="A600" t="inlineStr">
        <is>
          <t>A 4508-2023</t>
        </is>
      </c>
      <c r="B600" s="1" t="n">
        <v>44956</v>
      </c>
      <c r="C600" s="1" t="n">
        <v>46081</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35207-2025</t>
        </is>
      </c>
      <c r="B601" s="1" t="n">
        <v>45853.43320601852</v>
      </c>
      <c r="C601" s="1" t="n">
        <v>46081</v>
      </c>
      <c r="D601" t="inlineStr">
        <is>
          <t>KALMAR LÄN</t>
        </is>
      </c>
      <c r="E601" t="inlineStr">
        <is>
          <t>VÄSTERVIK</t>
        </is>
      </c>
      <c r="G601" t="n">
        <v>7</v>
      </c>
      <c r="H601" t="n">
        <v>0</v>
      </c>
      <c r="I601" t="n">
        <v>0</v>
      </c>
      <c r="J601" t="n">
        <v>0</v>
      </c>
      <c r="K601" t="n">
        <v>0</v>
      </c>
      <c r="L601" t="n">
        <v>0</v>
      </c>
      <c r="M601" t="n">
        <v>0</v>
      </c>
      <c r="N601" t="n">
        <v>0</v>
      </c>
      <c r="O601" t="n">
        <v>0</v>
      </c>
      <c r="P601" t="n">
        <v>0</v>
      </c>
      <c r="Q601" t="n">
        <v>0</v>
      </c>
      <c r="R601" s="2" t="inlineStr"/>
    </row>
    <row r="602" ht="15" customHeight="1">
      <c r="A602" t="inlineStr">
        <is>
          <t>A 35187-2025</t>
        </is>
      </c>
      <c r="B602" s="1" t="n">
        <v>45853.31940972222</v>
      </c>
      <c r="C602" s="1" t="n">
        <v>46081</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44849-2025</t>
        </is>
      </c>
      <c r="B603" s="1" t="n">
        <v>45918.44545138889</v>
      </c>
      <c r="C603" s="1" t="n">
        <v>46081</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60147-2024</t>
        </is>
      </c>
      <c r="B604" s="1" t="n">
        <v>45642.61109953704</v>
      </c>
      <c r="C604" s="1" t="n">
        <v>46081</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7163-2025</t>
        </is>
      </c>
      <c r="B605" s="1" t="n">
        <v>45702.3918287037</v>
      </c>
      <c r="C605" s="1" t="n">
        <v>46081</v>
      </c>
      <c r="D605" t="inlineStr">
        <is>
          <t>KALMAR LÄN</t>
        </is>
      </c>
      <c r="E605" t="inlineStr">
        <is>
          <t>VÄSTERVIK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44848-2025</t>
        </is>
      </c>
      <c r="B606" s="1" t="n">
        <v>45918.44344907408</v>
      </c>
      <c r="C606" s="1" t="n">
        <v>46081</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44853-2025</t>
        </is>
      </c>
      <c r="B607" s="1" t="n">
        <v>45918.44818287037</v>
      </c>
      <c r="C607" s="1" t="n">
        <v>46081</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44861-2025</t>
        </is>
      </c>
      <c r="B608" s="1" t="n">
        <v>45918.45793981481</v>
      </c>
      <c r="C608" s="1" t="n">
        <v>46081</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c r="U608">
        <f>HYPERLINK("https://klasma.github.io/Logging_0883/knärot/A 44861-2025 karta knärot.png", "A 44861-2025")</f>
        <v/>
      </c>
      <c r="V608">
        <f>HYPERLINK("https://klasma.github.io/Logging_0883/klagomål/A 44861-2025 FSC-klagomål.docx", "A 44861-2025")</f>
        <v/>
      </c>
      <c r="W608">
        <f>HYPERLINK("https://klasma.github.io/Logging_0883/klagomålsmail/A 44861-2025 FSC-klagomål mail.docx", "A 44861-2025")</f>
        <v/>
      </c>
      <c r="X608">
        <f>HYPERLINK("https://klasma.github.io/Logging_0883/tillsyn/A 44861-2025 tillsynsbegäran.docx", "A 44861-2025")</f>
        <v/>
      </c>
      <c r="Y608">
        <f>HYPERLINK("https://klasma.github.io/Logging_0883/tillsynsmail/A 44861-2025 tillsynsbegäran mail.docx", "A 44861-2025")</f>
        <v/>
      </c>
    </row>
    <row r="609" ht="15" customHeight="1">
      <c r="A609" t="inlineStr">
        <is>
          <t>A 44792-2025</t>
        </is>
      </c>
      <c r="B609" s="1" t="n">
        <v>45918.31287037037</v>
      </c>
      <c r="C609" s="1" t="n">
        <v>46081</v>
      </c>
      <c r="D609" t="inlineStr">
        <is>
          <t>KALMAR LÄN</t>
        </is>
      </c>
      <c r="E609" t="inlineStr">
        <is>
          <t>VÄSTERVIK</t>
        </is>
      </c>
      <c r="G609" t="n">
        <v>3.9</v>
      </c>
      <c r="H609" t="n">
        <v>0</v>
      </c>
      <c r="I609" t="n">
        <v>0</v>
      </c>
      <c r="J609" t="n">
        <v>0</v>
      </c>
      <c r="K609" t="n">
        <v>0</v>
      </c>
      <c r="L609" t="n">
        <v>0</v>
      </c>
      <c r="M609" t="n">
        <v>0</v>
      </c>
      <c r="N609" t="n">
        <v>0</v>
      </c>
      <c r="O609" t="n">
        <v>0</v>
      </c>
      <c r="P609" t="n">
        <v>0</v>
      </c>
      <c r="Q609" t="n">
        <v>0</v>
      </c>
      <c r="R609" s="2" t="inlineStr"/>
    </row>
    <row r="610" ht="15" customHeight="1">
      <c r="A610" t="inlineStr">
        <is>
          <t>A 44981-2025</t>
        </is>
      </c>
      <c r="B610" s="1" t="n">
        <v>45918.64869212963</v>
      </c>
      <c r="C610" s="1" t="n">
        <v>46081</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23148-2025</t>
        </is>
      </c>
      <c r="B611" s="1" t="n">
        <v>45791.40225694444</v>
      </c>
      <c r="C611" s="1" t="n">
        <v>46081</v>
      </c>
      <c r="D611" t="inlineStr">
        <is>
          <t>KALMAR LÄN</t>
        </is>
      </c>
      <c r="E611" t="inlineStr">
        <is>
          <t>VÄSTERVIK</t>
        </is>
      </c>
      <c r="G611" t="n">
        <v>1.5</v>
      </c>
      <c r="H611" t="n">
        <v>0</v>
      </c>
      <c r="I611" t="n">
        <v>0</v>
      </c>
      <c r="J611" t="n">
        <v>0</v>
      </c>
      <c r="K611" t="n">
        <v>0</v>
      </c>
      <c r="L611" t="n">
        <v>0</v>
      </c>
      <c r="M611" t="n">
        <v>0</v>
      </c>
      <c r="N611" t="n">
        <v>0</v>
      </c>
      <c r="O611" t="n">
        <v>0</v>
      </c>
      <c r="P611" t="n">
        <v>0</v>
      </c>
      <c r="Q611" t="n">
        <v>0</v>
      </c>
      <c r="R611" s="2" t="inlineStr"/>
    </row>
    <row r="612" ht="15" customHeight="1">
      <c r="A612" t="inlineStr">
        <is>
          <t>A 21660-2025</t>
        </is>
      </c>
      <c r="B612" s="1" t="n">
        <v>45783.45542824074</v>
      </c>
      <c r="C612" s="1" t="n">
        <v>46081</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35417-2022</t>
        </is>
      </c>
      <c r="B613" s="1" t="n">
        <v>44798</v>
      </c>
      <c r="C613" s="1" t="n">
        <v>46081</v>
      </c>
      <c r="D613" t="inlineStr">
        <is>
          <t>KALMAR LÄN</t>
        </is>
      </c>
      <c r="E613" t="inlineStr">
        <is>
          <t>VÄSTERVIK</t>
        </is>
      </c>
      <c r="G613" t="n">
        <v>5.2</v>
      </c>
      <c r="H613" t="n">
        <v>0</v>
      </c>
      <c r="I613" t="n">
        <v>0</v>
      </c>
      <c r="J613" t="n">
        <v>0</v>
      </c>
      <c r="K613" t="n">
        <v>0</v>
      </c>
      <c r="L613" t="n">
        <v>0</v>
      </c>
      <c r="M613" t="n">
        <v>0</v>
      </c>
      <c r="N613" t="n">
        <v>0</v>
      </c>
      <c r="O613" t="n">
        <v>0</v>
      </c>
      <c r="P613" t="n">
        <v>0</v>
      </c>
      <c r="Q613" t="n">
        <v>0</v>
      </c>
      <c r="R613" s="2" t="inlineStr"/>
    </row>
    <row r="614" ht="15" customHeight="1">
      <c r="A614" t="inlineStr">
        <is>
          <t>A 29722-2025</t>
        </is>
      </c>
      <c r="B614" s="1" t="n">
        <v>45825.57524305556</v>
      </c>
      <c r="C614" s="1" t="n">
        <v>46081</v>
      </c>
      <c r="D614" t="inlineStr">
        <is>
          <t>KALMAR LÄN</t>
        </is>
      </c>
      <c r="E614" t="inlineStr">
        <is>
          <t>VÄSTERVIK</t>
        </is>
      </c>
      <c r="G614" t="n">
        <v>2.9</v>
      </c>
      <c r="H614" t="n">
        <v>0</v>
      </c>
      <c r="I614" t="n">
        <v>0</v>
      </c>
      <c r="J614" t="n">
        <v>0</v>
      </c>
      <c r="K614" t="n">
        <v>0</v>
      </c>
      <c r="L614" t="n">
        <v>0</v>
      </c>
      <c r="M614" t="n">
        <v>0</v>
      </c>
      <c r="N614" t="n">
        <v>0</v>
      </c>
      <c r="O614" t="n">
        <v>0</v>
      </c>
      <c r="P614" t="n">
        <v>0</v>
      </c>
      <c r="Q614" t="n">
        <v>0</v>
      </c>
      <c r="R614" s="2" t="inlineStr"/>
    </row>
    <row r="615" ht="15" customHeight="1">
      <c r="A615" t="inlineStr">
        <is>
          <t>A 25238-2021</t>
        </is>
      </c>
      <c r="B615" s="1" t="n">
        <v>44342</v>
      </c>
      <c r="C615" s="1" t="n">
        <v>46081</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49708-2024</t>
        </is>
      </c>
      <c r="B616" s="1" t="n">
        <v>45596.69846064815</v>
      </c>
      <c r="C616" s="1" t="n">
        <v>46081</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12520-2021</t>
        </is>
      </c>
      <c r="B617" s="1" t="n">
        <v>44269</v>
      </c>
      <c r="C617" s="1" t="n">
        <v>46081</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8593-2023</t>
        </is>
      </c>
      <c r="B618" s="1" t="n">
        <v>44977</v>
      </c>
      <c r="C618" s="1" t="n">
        <v>46081</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46158-2025</t>
        </is>
      </c>
      <c r="B619" s="1" t="n">
        <v>45924.63511574074</v>
      </c>
      <c r="C619" s="1" t="n">
        <v>46081</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46161-2025</t>
        </is>
      </c>
      <c r="B620" s="1" t="n">
        <v>45924.63733796297</v>
      </c>
      <c r="C620" s="1" t="n">
        <v>46081</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45877-2025</t>
        </is>
      </c>
      <c r="B621" s="1" t="n">
        <v>45923.65804398148</v>
      </c>
      <c r="C621" s="1" t="n">
        <v>46081</v>
      </c>
      <c r="D621" t="inlineStr">
        <is>
          <t>KALMAR LÄN</t>
        </is>
      </c>
      <c r="E621" t="inlineStr">
        <is>
          <t>VÄSTERVIK</t>
        </is>
      </c>
      <c r="G621" t="n">
        <v>5.6</v>
      </c>
      <c r="H621" t="n">
        <v>0</v>
      </c>
      <c r="I621" t="n">
        <v>0</v>
      </c>
      <c r="J621" t="n">
        <v>0</v>
      </c>
      <c r="K621" t="n">
        <v>0</v>
      </c>
      <c r="L621" t="n">
        <v>0</v>
      </c>
      <c r="M621" t="n">
        <v>0</v>
      </c>
      <c r="N621" t="n">
        <v>0</v>
      </c>
      <c r="O621" t="n">
        <v>0</v>
      </c>
      <c r="P621" t="n">
        <v>0</v>
      </c>
      <c r="Q621" t="n">
        <v>0</v>
      </c>
      <c r="R621" s="2" t="inlineStr"/>
    </row>
    <row r="622" ht="15" customHeight="1">
      <c r="A622" t="inlineStr">
        <is>
          <t>A 6940-2025</t>
        </is>
      </c>
      <c r="B622" s="1" t="n">
        <v>45701.46581018518</v>
      </c>
      <c r="C622" s="1" t="n">
        <v>46081</v>
      </c>
      <c r="D622" t="inlineStr">
        <is>
          <t>KALMAR LÄN</t>
        </is>
      </c>
      <c r="E622" t="inlineStr">
        <is>
          <t>VÄSTERVIK</t>
        </is>
      </c>
      <c r="G622" t="n">
        <v>1.2</v>
      </c>
      <c r="H622" t="n">
        <v>0</v>
      </c>
      <c r="I622" t="n">
        <v>0</v>
      </c>
      <c r="J622" t="n">
        <v>0</v>
      </c>
      <c r="K622" t="n">
        <v>0</v>
      </c>
      <c r="L622" t="n">
        <v>0</v>
      </c>
      <c r="M622" t="n">
        <v>0</v>
      </c>
      <c r="N622" t="n">
        <v>0</v>
      </c>
      <c r="O622" t="n">
        <v>0</v>
      </c>
      <c r="P622" t="n">
        <v>0</v>
      </c>
      <c r="Q622" t="n">
        <v>0</v>
      </c>
      <c r="R622" s="2" t="inlineStr"/>
    </row>
    <row r="623" ht="15" customHeight="1">
      <c r="A623" t="inlineStr">
        <is>
          <t>A 47939-2023</t>
        </is>
      </c>
      <c r="B623" s="1" t="n">
        <v>45204.56195601852</v>
      </c>
      <c r="C623" s="1" t="n">
        <v>46081</v>
      </c>
      <c r="D623" t="inlineStr">
        <is>
          <t>KALMAR LÄN</t>
        </is>
      </c>
      <c r="E623" t="inlineStr">
        <is>
          <t>VÄSTERVIK</t>
        </is>
      </c>
      <c r="G623" t="n">
        <v>3.7</v>
      </c>
      <c r="H623" t="n">
        <v>0</v>
      </c>
      <c r="I623" t="n">
        <v>0</v>
      </c>
      <c r="J623" t="n">
        <v>0</v>
      </c>
      <c r="K623" t="n">
        <v>0</v>
      </c>
      <c r="L623" t="n">
        <v>0</v>
      </c>
      <c r="M623" t="n">
        <v>0</v>
      </c>
      <c r="N623" t="n">
        <v>0</v>
      </c>
      <c r="O623" t="n">
        <v>0</v>
      </c>
      <c r="P623" t="n">
        <v>0</v>
      </c>
      <c r="Q623" t="n">
        <v>0</v>
      </c>
      <c r="R623" s="2" t="inlineStr"/>
    </row>
    <row r="624" ht="15" customHeight="1">
      <c r="A624" t="inlineStr">
        <is>
          <t>A 10778-2025</t>
        </is>
      </c>
      <c r="B624" s="1" t="n">
        <v>45722</v>
      </c>
      <c r="C624" s="1" t="n">
        <v>46081</v>
      </c>
      <c r="D624" t="inlineStr">
        <is>
          <t>KALMAR LÄN</t>
        </is>
      </c>
      <c r="E624" t="inlineStr">
        <is>
          <t>VÄSTERVIK</t>
        </is>
      </c>
      <c r="G624" t="n">
        <v>0.6</v>
      </c>
      <c r="H624" t="n">
        <v>0</v>
      </c>
      <c r="I624" t="n">
        <v>0</v>
      </c>
      <c r="J624" t="n">
        <v>0</v>
      </c>
      <c r="K624" t="n">
        <v>0</v>
      </c>
      <c r="L624" t="n">
        <v>0</v>
      </c>
      <c r="M624" t="n">
        <v>0</v>
      </c>
      <c r="N624" t="n">
        <v>0</v>
      </c>
      <c r="O624" t="n">
        <v>0</v>
      </c>
      <c r="P624" t="n">
        <v>0</v>
      </c>
      <c r="Q624" t="n">
        <v>0</v>
      </c>
      <c r="R624" s="2" t="inlineStr"/>
    </row>
    <row r="625" ht="15" customHeight="1">
      <c r="A625" t="inlineStr">
        <is>
          <t>A 35652-2023</t>
        </is>
      </c>
      <c r="B625" s="1" t="n">
        <v>45147.59215277778</v>
      </c>
      <c r="C625" s="1" t="n">
        <v>46081</v>
      </c>
      <c r="D625" t="inlineStr">
        <is>
          <t>KALMAR LÄN</t>
        </is>
      </c>
      <c r="E625" t="inlineStr">
        <is>
          <t>VÄSTERVIK</t>
        </is>
      </c>
      <c r="G625" t="n">
        <v>0.5</v>
      </c>
      <c r="H625" t="n">
        <v>0</v>
      </c>
      <c r="I625" t="n">
        <v>0</v>
      </c>
      <c r="J625" t="n">
        <v>0</v>
      </c>
      <c r="K625" t="n">
        <v>0</v>
      </c>
      <c r="L625" t="n">
        <v>0</v>
      </c>
      <c r="M625" t="n">
        <v>0</v>
      </c>
      <c r="N625" t="n">
        <v>0</v>
      </c>
      <c r="O625" t="n">
        <v>0</v>
      </c>
      <c r="P625" t="n">
        <v>0</v>
      </c>
      <c r="Q625" t="n">
        <v>0</v>
      </c>
      <c r="R625" s="2" t="inlineStr"/>
    </row>
    <row r="626" ht="15" customHeight="1">
      <c r="A626" t="inlineStr">
        <is>
          <t>A 6938-2025</t>
        </is>
      </c>
      <c r="B626" s="1" t="n">
        <v>45701.46288194445</v>
      </c>
      <c r="C626" s="1" t="n">
        <v>46081</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1115-2025</t>
        </is>
      </c>
      <c r="B627" s="1" t="n">
        <v>45666.65664351852</v>
      </c>
      <c r="C627" s="1" t="n">
        <v>46081</v>
      </c>
      <c r="D627" t="inlineStr">
        <is>
          <t>KALMAR LÄN</t>
        </is>
      </c>
      <c r="E627" t="inlineStr">
        <is>
          <t>VÄSTERVIK</t>
        </is>
      </c>
      <c r="G627" t="n">
        <v>1.9</v>
      </c>
      <c r="H627" t="n">
        <v>0</v>
      </c>
      <c r="I627" t="n">
        <v>0</v>
      </c>
      <c r="J627" t="n">
        <v>0</v>
      </c>
      <c r="K627" t="n">
        <v>0</v>
      </c>
      <c r="L627" t="n">
        <v>0</v>
      </c>
      <c r="M627" t="n">
        <v>0</v>
      </c>
      <c r="N627" t="n">
        <v>0</v>
      </c>
      <c r="O627" t="n">
        <v>0</v>
      </c>
      <c r="P627" t="n">
        <v>0</v>
      </c>
      <c r="Q627" t="n">
        <v>0</v>
      </c>
      <c r="R627" s="2" t="inlineStr"/>
    </row>
    <row r="628" ht="15" customHeight="1">
      <c r="A628" t="inlineStr">
        <is>
          <t>A 20483-2025</t>
        </is>
      </c>
      <c r="B628" s="1" t="n">
        <v>45775.55954861111</v>
      </c>
      <c r="C628" s="1" t="n">
        <v>46081</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10766-2025</t>
        </is>
      </c>
      <c r="B629" s="1" t="n">
        <v>45722.4630787037</v>
      </c>
      <c r="C629" s="1" t="n">
        <v>46081</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36754-2025</t>
        </is>
      </c>
      <c r="B630" s="1" t="n">
        <v>45873.5591087963</v>
      </c>
      <c r="C630" s="1" t="n">
        <v>46081</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9770-2023</t>
        </is>
      </c>
      <c r="B631" s="1" t="n">
        <v>44984</v>
      </c>
      <c r="C631" s="1" t="n">
        <v>46081</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9792-2023</t>
        </is>
      </c>
      <c r="B632" s="1" t="n">
        <v>44984.64269675926</v>
      </c>
      <c r="C632" s="1" t="n">
        <v>46081</v>
      </c>
      <c r="D632" t="inlineStr">
        <is>
          <t>KALMAR LÄN</t>
        </is>
      </c>
      <c r="E632" t="inlineStr">
        <is>
          <t>VÄSTERVIK</t>
        </is>
      </c>
      <c r="F632" t="inlineStr">
        <is>
          <t>Holmen skog AB</t>
        </is>
      </c>
      <c r="G632" t="n">
        <v>2</v>
      </c>
      <c r="H632" t="n">
        <v>0</v>
      </c>
      <c r="I632" t="n">
        <v>0</v>
      </c>
      <c r="J632" t="n">
        <v>0</v>
      </c>
      <c r="K632" t="n">
        <v>0</v>
      </c>
      <c r="L632" t="n">
        <v>0</v>
      </c>
      <c r="M632" t="n">
        <v>0</v>
      </c>
      <c r="N632" t="n">
        <v>0</v>
      </c>
      <c r="O632" t="n">
        <v>0</v>
      </c>
      <c r="P632" t="n">
        <v>0</v>
      </c>
      <c r="Q632" t="n">
        <v>0</v>
      </c>
      <c r="R632" s="2" t="inlineStr"/>
    </row>
    <row r="633" ht="15" customHeight="1">
      <c r="A633" t="inlineStr">
        <is>
          <t>A 47775-2025</t>
        </is>
      </c>
      <c r="B633" s="1" t="n">
        <v>45931.72548611111</v>
      </c>
      <c r="C633" s="1" t="n">
        <v>46081</v>
      </c>
      <c r="D633" t="inlineStr">
        <is>
          <t>KALMAR LÄN</t>
        </is>
      </c>
      <c r="E633" t="inlineStr">
        <is>
          <t>VÄSTERVIK</t>
        </is>
      </c>
      <c r="G633" t="n">
        <v>4.2</v>
      </c>
      <c r="H633" t="n">
        <v>0</v>
      </c>
      <c r="I633" t="n">
        <v>0</v>
      </c>
      <c r="J633" t="n">
        <v>0</v>
      </c>
      <c r="K633" t="n">
        <v>0</v>
      </c>
      <c r="L633" t="n">
        <v>0</v>
      </c>
      <c r="M633" t="n">
        <v>0</v>
      </c>
      <c r="N633" t="n">
        <v>0</v>
      </c>
      <c r="O633" t="n">
        <v>0</v>
      </c>
      <c r="P633" t="n">
        <v>0</v>
      </c>
      <c r="Q633" t="n">
        <v>0</v>
      </c>
      <c r="R633" s="2" t="inlineStr"/>
    </row>
    <row r="634" ht="15" customHeight="1">
      <c r="A634" t="inlineStr">
        <is>
          <t>A 47776-2025</t>
        </is>
      </c>
      <c r="B634" s="1" t="n">
        <v>45931.7262962963</v>
      </c>
      <c r="C634" s="1" t="n">
        <v>46081</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10803-2025</t>
        </is>
      </c>
      <c r="B635" s="1" t="n">
        <v>45722.52284722222</v>
      </c>
      <c r="C635" s="1" t="n">
        <v>46081</v>
      </c>
      <c r="D635" t="inlineStr">
        <is>
          <t>KALMAR LÄN</t>
        </is>
      </c>
      <c r="E635" t="inlineStr">
        <is>
          <t>VÄSTERVIK</t>
        </is>
      </c>
      <c r="F635" t="inlineStr">
        <is>
          <t>Övriga Aktiebolag</t>
        </is>
      </c>
      <c r="G635" t="n">
        <v>3.5</v>
      </c>
      <c r="H635" t="n">
        <v>0</v>
      </c>
      <c r="I635" t="n">
        <v>0</v>
      </c>
      <c r="J635" t="n">
        <v>0</v>
      </c>
      <c r="K635" t="n">
        <v>0</v>
      </c>
      <c r="L635" t="n">
        <v>0</v>
      </c>
      <c r="M635" t="n">
        <v>0</v>
      </c>
      <c r="N635" t="n">
        <v>0</v>
      </c>
      <c r="O635" t="n">
        <v>0</v>
      </c>
      <c r="P635" t="n">
        <v>0</v>
      </c>
      <c r="Q635" t="n">
        <v>0</v>
      </c>
      <c r="R635" s="2" t="inlineStr"/>
    </row>
    <row r="636" ht="15" customHeight="1">
      <c r="A636" t="inlineStr">
        <is>
          <t>A 36757-2025</t>
        </is>
      </c>
      <c r="B636" s="1" t="n">
        <v>45873.56483796296</v>
      </c>
      <c r="C636" s="1" t="n">
        <v>46081</v>
      </c>
      <c r="D636" t="inlineStr">
        <is>
          <t>KALMAR LÄN</t>
        </is>
      </c>
      <c r="E636" t="inlineStr">
        <is>
          <t>VÄSTERVIK</t>
        </is>
      </c>
      <c r="G636" t="n">
        <v>2.3</v>
      </c>
      <c r="H636" t="n">
        <v>0</v>
      </c>
      <c r="I636" t="n">
        <v>0</v>
      </c>
      <c r="J636" t="n">
        <v>0</v>
      </c>
      <c r="K636" t="n">
        <v>0</v>
      </c>
      <c r="L636" t="n">
        <v>0</v>
      </c>
      <c r="M636" t="n">
        <v>0</v>
      </c>
      <c r="N636" t="n">
        <v>0</v>
      </c>
      <c r="O636" t="n">
        <v>0</v>
      </c>
      <c r="P636" t="n">
        <v>0</v>
      </c>
      <c r="Q636" t="n">
        <v>0</v>
      </c>
      <c r="R636" s="2" t="inlineStr"/>
    </row>
    <row r="637" ht="15" customHeight="1">
      <c r="A637" t="inlineStr">
        <is>
          <t>A 34650-2023</t>
        </is>
      </c>
      <c r="B637" s="1" t="n">
        <v>45140</v>
      </c>
      <c r="C637" s="1" t="n">
        <v>46081</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48039-2025</t>
        </is>
      </c>
      <c r="B638" s="1" t="n">
        <v>45932</v>
      </c>
      <c r="C638" s="1" t="n">
        <v>46081</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48024-2025</t>
        </is>
      </c>
      <c r="B639" s="1" t="n">
        <v>45932.65021990741</v>
      </c>
      <c r="C639" s="1" t="n">
        <v>46081</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63606-2023</t>
        </is>
      </c>
      <c r="B640" s="1" t="n">
        <v>45275</v>
      </c>
      <c r="C640" s="1" t="n">
        <v>46081</v>
      </c>
      <c r="D640" t="inlineStr">
        <is>
          <t>KALMAR LÄN</t>
        </is>
      </c>
      <c r="E640" t="inlineStr">
        <is>
          <t>VÄSTERVIK</t>
        </is>
      </c>
      <c r="G640" t="n">
        <v>2.9</v>
      </c>
      <c r="H640" t="n">
        <v>0</v>
      </c>
      <c r="I640" t="n">
        <v>0</v>
      </c>
      <c r="J640" t="n">
        <v>0</v>
      </c>
      <c r="K640" t="n">
        <v>0</v>
      </c>
      <c r="L640" t="n">
        <v>0</v>
      </c>
      <c r="M640" t="n">
        <v>0</v>
      </c>
      <c r="N640" t="n">
        <v>0</v>
      </c>
      <c r="O640" t="n">
        <v>0</v>
      </c>
      <c r="P640" t="n">
        <v>0</v>
      </c>
      <c r="Q640" t="n">
        <v>0</v>
      </c>
      <c r="R640" s="2" t="inlineStr"/>
    </row>
    <row r="641" ht="15" customHeight="1">
      <c r="A641" t="inlineStr">
        <is>
          <t>A 37774-2025</t>
        </is>
      </c>
      <c r="B641" s="1" t="n">
        <v>45880</v>
      </c>
      <c r="C641" s="1" t="n">
        <v>46081</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37523-2025</t>
        </is>
      </c>
      <c r="B642" s="1" t="n">
        <v>45877</v>
      </c>
      <c r="C642" s="1" t="n">
        <v>46081</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7381-2025</t>
        </is>
      </c>
      <c r="B643" s="1" t="n">
        <v>45705.32234953704</v>
      </c>
      <c r="C643" s="1" t="n">
        <v>46081</v>
      </c>
      <c r="D643" t="inlineStr">
        <is>
          <t>KALMAR LÄN</t>
        </is>
      </c>
      <c r="E643" t="inlineStr">
        <is>
          <t>VÄSTERVIK</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37526-2025</t>
        </is>
      </c>
      <c r="B644" s="1" t="n">
        <v>45877</v>
      </c>
      <c r="C644" s="1" t="n">
        <v>46081</v>
      </c>
      <c r="D644" t="inlineStr">
        <is>
          <t>KALMAR LÄN</t>
        </is>
      </c>
      <c r="E644" t="inlineStr">
        <is>
          <t>VÄSTERVIK</t>
        </is>
      </c>
      <c r="G644" t="n">
        <v>1.4</v>
      </c>
      <c r="H644" t="n">
        <v>0</v>
      </c>
      <c r="I644" t="n">
        <v>0</v>
      </c>
      <c r="J644" t="n">
        <v>0</v>
      </c>
      <c r="K644" t="n">
        <v>0</v>
      </c>
      <c r="L644" t="n">
        <v>0</v>
      </c>
      <c r="M644" t="n">
        <v>0</v>
      </c>
      <c r="N644" t="n">
        <v>0</v>
      </c>
      <c r="O644" t="n">
        <v>0</v>
      </c>
      <c r="P644" t="n">
        <v>0</v>
      </c>
      <c r="Q644" t="n">
        <v>0</v>
      </c>
      <c r="R644" s="2" t="inlineStr"/>
    </row>
    <row r="645" ht="15" customHeight="1">
      <c r="A645" t="inlineStr">
        <is>
          <t>A 17315-2023</t>
        </is>
      </c>
      <c r="B645" s="1" t="n">
        <v>45035.54475694444</v>
      </c>
      <c r="C645" s="1" t="n">
        <v>46081</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14529-2022</t>
        </is>
      </c>
      <c r="B646" s="1" t="n">
        <v>44655</v>
      </c>
      <c r="C646" s="1" t="n">
        <v>46081</v>
      </c>
      <c r="D646" t="inlineStr">
        <is>
          <t>KALMAR LÄN</t>
        </is>
      </c>
      <c r="E646" t="inlineStr">
        <is>
          <t>VÄSTERVIK</t>
        </is>
      </c>
      <c r="G646" t="n">
        <v>1</v>
      </c>
      <c r="H646" t="n">
        <v>0</v>
      </c>
      <c r="I646" t="n">
        <v>0</v>
      </c>
      <c r="J646" t="n">
        <v>0</v>
      </c>
      <c r="K646" t="n">
        <v>0</v>
      </c>
      <c r="L646" t="n">
        <v>0</v>
      </c>
      <c r="M646" t="n">
        <v>0</v>
      </c>
      <c r="N646" t="n">
        <v>0</v>
      </c>
      <c r="O646" t="n">
        <v>0</v>
      </c>
      <c r="P646" t="n">
        <v>0</v>
      </c>
      <c r="Q646" t="n">
        <v>0</v>
      </c>
      <c r="R646" s="2" t="inlineStr"/>
    </row>
    <row r="647" ht="15" customHeight="1">
      <c r="A647" t="inlineStr">
        <is>
          <t>A 47777-2025</t>
        </is>
      </c>
      <c r="B647" s="1" t="n">
        <v>45931.72782407407</v>
      </c>
      <c r="C647" s="1" t="n">
        <v>46081</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34672-2022</t>
        </is>
      </c>
      <c r="B648" s="1" t="n">
        <v>44795.48444444445</v>
      </c>
      <c r="C648" s="1" t="n">
        <v>46081</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2866-2025</t>
        </is>
      </c>
      <c r="B649" s="1" t="n">
        <v>45677.67711805556</v>
      </c>
      <c r="C649" s="1" t="n">
        <v>46081</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42130-2022</t>
        </is>
      </c>
      <c r="B650" s="1" t="n">
        <v>44830</v>
      </c>
      <c r="C650" s="1" t="n">
        <v>46081</v>
      </c>
      <c r="D650" t="inlineStr">
        <is>
          <t>KALMAR LÄN</t>
        </is>
      </c>
      <c r="E650" t="inlineStr">
        <is>
          <t>VÄSTERVIK</t>
        </is>
      </c>
      <c r="G650" t="n">
        <v>1.8</v>
      </c>
      <c r="H650" t="n">
        <v>0</v>
      </c>
      <c r="I650" t="n">
        <v>0</v>
      </c>
      <c r="J650" t="n">
        <v>0</v>
      </c>
      <c r="K650" t="n">
        <v>0</v>
      </c>
      <c r="L650" t="n">
        <v>0</v>
      </c>
      <c r="M650" t="n">
        <v>0</v>
      </c>
      <c r="N650" t="n">
        <v>0</v>
      </c>
      <c r="O650" t="n">
        <v>0</v>
      </c>
      <c r="P650" t="n">
        <v>0</v>
      </c>
      <c r="Q650" t="n">
        <v>0</v>
      </c>
      <c r="R650" s="2" t="inlineStr"/>
    </row>
    <row r="651" ht="15" customHeight="1">
      <c r="A651" t="inlineStr">
        <is>
          <t>A 2951-2025</t>
        </is>
      </c>
      <c r="B651" s="1" t="n">
        <v>45678</v>
      </c>
      <c r="C651" s="1" t="n">
        <v>46081</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12455-2025</t>
        </is>
      </c>
      <c r="B652" s="1" t="n">
        <v>45730</v>
      </c>
      <c r="C652" s="1" t="n">
        <v>46081</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47267-2023</t>
        </is>
      </c>
      <c r="B653" s="1" t="n">
        <v>45202.42667824074</v>
      </c>
      <c r="C653" s="1" t="n">
        <v>46081</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29404-2024</t>
        </is>
      </c>
      <c r="B654" s="1" t="n">
        <v>45483</v>
      </c>
      <c r="C654" s="1" t="n">
        <v>46081</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48738-2025</t>
        </is>
      </c>
      <c r="B655" s="1" t="n">
        <v>45936.67061342593</v>
      </c>
      <c r="C655" s="1" t="n">
        <v>46081</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4496-2022</t>
        </is>
      </c>
      <c r="B656" s="1" t="n">
        <v>44589.67060185185</v>
      </c>
      <c r="C656" s="1" t="n">
        <v>46081</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14080-2025</t>
        </is>
      </c>
      <c r="B657" s="1" t="n">
        <v>45740.43785879629</v>
      </c>
      <c r="C657" s="1" t="n">
        <v>46081</v>
      </c>
      <c r="D657" t="inlineStr">
        <is>
          <t>KALMAR LÄN</t>
        </is>
      </c>
      <c r="E657" t="inlineStr">
        <is>
          <t>VÄSTERVIK</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48887-2025</t>
        </is>
      </c>
      <c r="B658" s="1" t="n">
        <v>45937.46826388889</v>
      </c>
      <c r="C658" s="1" t="n">
        <v>46081</v>
      </c>
      <c r="D658" t="inlineStr">
        <is>
          <t>KALMAR LÄN</t>
        </is>
      </c>
      <c r="E658" t="inlineStr">
        <is>
          <t>VÄSTERVIK</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48881-2025</t>
        </is>
      </c>
      <c r="B659" s="1" t="n">
        <v>45937.46157407408</v>
      </c>
      <c r="C659" s="1" t="n">
        <v>46081</v>
      </c>
      <c r="D659" t="inlineStr">
        <is>
          <t>KALMAR LÄN</t>
        </is>
      </c>
      <c r="E659" t="inlineStr">
        <is>
          <t>VÄSTERVIK</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56046-2023</t>
        </is>
      </c>
      <c r="B660" s="1" t="n">
        <v>45240.45217592592</v>
      </c>
      <c r="C660" s="1" t="n">
        <v>46081</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48873-2025</t>
        </is>
      </c>
      <c r="B661" s="1" t="n">
        <v>45937.45417824074</v>
      </c>
      <c r="C661" s="1" t="n">
        <v>46081</v>
      </c>
      <c r="D661" t="inlineStr">
        <is>
          <t>KALMAR LÄN</t>
        </is>
      </c>
      <c r="E661" t="inlineStr">
        <is>
          <t>VÄSTERVIK</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47124-2023</t>
        </is>
      </c>
      <c r="B662" s="1" t="n">
        <v>45201</v>
      </c>
      <c r="C662" s="1" t="n">
        <v>46081</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49409-2025</t>
        </is>
      </c>
      <c r="B663" s="1" t="n">
        <v>45938.678125</v>
      </c>
      <c r="C663" s="1" t="n">
        <v>46081</v>
      </c>
      <c r="D663" t="inlineStr">
        <is>
          <t>KALMAR LÄN</t>
        </is>
      </c>
      <c r="E663" t="inlineStr">
        <is>
          <t>VÄSTERVIK</t>
        </is>
      </c>
      <c r="G663" t="n">
        <v>2.6</v>
      </c>
      <c r="H663" t="n">
        <v>0</v>
      </c>
      <c r="I663" t="n">
        <v>0</v>
      </c>
      <c r="J663" t="n">
        <v>0</v>
      </c>
      <c r="K663" t="n">
        <v>0</v>
      </c>
      <c r="L663" t="n">
        <v>0</v>
      </c>
      <c r="M663" t="n">
        <v>0</v>
      </c>
      <c r="N663" t="n">
        <v>0</v>
      </c>
      <c r="O663" t="n">
        <v>0</v>
      </c>
      <c r="P663" t="n">
        <v>0</v>
      </c>
      <c r="Q663" t="n">
        <v>0</v>
      </c>
      <c r="R663" s="2" t="inlineStr"/>
    </row>
    <row r="664" ht="15" customHeight="1">
      <c r="A664" t="inlineStr">
        <is>
          <t>A 49411-2025</t>
        </is>
      </c>
      <c r="B664" s="1" t="n">
        <v>45938.68115740741</v>
      </c>
      <c r="C664" s="1" t="n">
        <v>46081</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46790-2022</t>
        </is>
      </c>
      <c r="B665" s="1" t="n">
        <v>44851</v>
      </c>
      <c r="C665" s="1" t="n">
        <v>46081</v>
      </c>
      <c r="D665" t="inlineStr">
        <is>
          <t>KALMAR LÄN</t>
        </is>
      </c>
      <c r="E665" t="inlineStr">
        <is>
          <t>VÄSTERVIK</t>
        </is>
      </c>
      <c r="G665" t="n">
        <v>9.9</v>
      </c>
      <c r="H665" t="n">
        <v>0</v>
      </c>
      <c r="I665" t="n">
        <v>0</v>
      </c>
      <c r="J665" t="n">
        <v>0</v>
      </c>
      <c r="K665" t="n">
        <v>0</v>
      </c>
      <c r="L665" t="n">
        <v>0</v>
      </c>
      <c r="M665" t="n">
        <v>0</v>
      </c>
      <c r="N665" t="n">
        <v>0</v>
      </c>
      <c r="O665" t="n">
        <v>0</v>
      </c>
      <c r="P665" t="n">
        <v>0</v>
      </c>
      <c r="Q665" t="n">
        <v>0</v>
      </c>
      <c r="R665" s="2" t="inlineStr"/>
    </row>
    <row r="666" ht="15" customHeight="1">
      <c r="A666" t="inlineStr">
        <is>
          <t>A 50127-2023</t>
        </is>
      </c>
      <c r="B666" s="1" t="n">
        <v>45215.65043981482</v>
      </c>
      <c r="C666" s="1" t="n">
        <v>46081</v>
      </c>
      <c r="D666" t="inlineStr">
        <is>
          <t>KALMAR LÄN</t>
        </is>
      </c>
      <c r="E666" t="inlineStr">
        <is>
          <t>VÄSTERVIK</t>
        </is>
      </c>
      <c r="G666" t="n">
        <v>1.2</v>
      </c>
      <c r="H666" t="n">
        <v>0</v>
      </c>
      <c r="I666" t="n">
        <v>0</v>
      </c>
      <c r="J666" t="n">
        <v>0</v>
      </c>
      <c r="K666" t="n">
        <v>0</v>
      </c>
      <c r="L666" t="n">
        <v>0</v>
      </c>
      <c r="M666" t="n">
        <v>0</v>
      </c>
      <c r="N666" t="n">
        <v>0</v>
      </c>
      <c r="O666" t="n">
        <v>0</v>
      </c>
      <c r="P666" t="n">
        <v>0</v>
      </c>
      <c r="Q666" t="n">
        <v>0</v>
      </c>
      <c r="R666" s="2" t="inlineStr"/>
    </row>
    <row r="667" ht="15" customHeight="1">
      <c r="A667" t="inlineStr">
        <is>
          <t>A 15379-2025</t>
        </is>
      </c>
      <c r="B667" s="1" t="n">
        <v>45747.40813657407</v>
      </c>
      <c r="C667" s="1" t="n">
        <v>46081</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49004-2025</t>
        </is>
      </c>
      <c r="B668" s="1" t="n">
        <v>45937.59958333334</v>
      </c>
      <c r="C668" s="1" t="n">
        <v>46081</v>
      </c>
      <c r="D668" t="inlineStr">
        <is>
          <t>KALMAR LÄN</t>
        </is>
      </c>
      <c r="E668" t="inlineStr">
        <is>
          <t>VÄSTERVIK</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62304-2022</t>
        </is>
      </c>
      <c r="B669" s="1" t="n">
        <v>44923.46215277778</v>
      </c>
      <c r="C669" s="1" t="n">
        <v>46081</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62306-2022</t>
        </is>
      </c>
      <c r="B670" s="1" t="n">
        <v>44923</v>
      </c>
      <c r="C670" s="1" t="n">
        <v>46081</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49616-2025</t>
        </is>
      </c>
      <c r="B671" s="1" t="n">
        <v>45939.58503472222</v>
      </c>
      <c r="C671" s="1" t="n">
        <v>46081</v>
      </c>
      <c r="D671" t="inlineStr">
        <is>
          <t>KALMAR LÄN</t>
        </is>
      </c>
      <c r="E671" t="inlineStr">
        <is>
          <t>VÄSTERVIK</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46081</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11198-2024</t>
        </is>
      </c>
      <c r="B673" s="1" t="n">
        <v>45371</v>
      </c>
      <c r="C673" s="1" t="n">
        <v>46081</v>
      </c>
      <c r="D673" t="inlineStr">
        <is>
          <t>KALMAR LÄN</t>
        </is>
      </c>
      <c r="E673" t="inlineStr">
        <is>
          <t>VÄSTERVIK</t>
        </is>
      </c>
      <c r="G673" t="n">
        <v>4.1</v>
      </c>
      <c r="H673" t="n">
        <v>0</v>
      </c>
      <c r="I673" t="n">
        <v>0</v>
      </c>
      <c r="J673" t="n">
        <v>0</v>
      </c>
      <c r="K673" t="n">
        <v>0</v>
      </c>
      <c r="L673" t="n">
        <v>0</v>
      </c>
      <c r="M673" t="n">
        <v>0</v>
      </c>
      <c r="N673" t="n">
        <v>0</v>
      </c>
      <c r="O673" t="n">
        <v>0</v>
      </c>
      <c r="P673" t="n">
        <v>0</v>
      </c>
      <c r="Q673" t="n">
        <v>0</v>
      </c>
      <c r="R673" s="2" t="inlineStr"/>
    </row>
    <row r="674" ht="15" customHeight="1">
      <c r="A674" t="inlineStr">
        <is>
          <t>A 23080-2023</t>
        </is>
      </c>
      <c r="B674" s="1" t="n">
        <v>45075</v>
      </c>
      <c r="C674" s="1" t="n">
        <v>46081</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49525-2025</t>
        </is>
      </c>
      <c r="B675" s="1" t="n">
        <v>45939.4015625</v>
      </c>
      <c r="C675" s="1" t="n">
        <v>46081</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20204-2021</t>
        </is>
      </c>
      <c r="B676" s="1" t="n">
        <v>44314</v>
      </c>
      <c r="C676" s="1" t="n">
        <v>46081</v>
      </c>
      <c r="D676" t="inlineStr">
        <is>
          <t>KALMAR LÄN</t>
        </is>
      </c>
      <c r="E676" t="inlineStr">
        <is>
          <t>VÄSTERVIK</t>
        </is>
      </c>
      <c r="F676" t="inlineStr">
        <is>
          <t>Holmen skog AB</t>
        </is>
      </c>
      <c r="G676" t="n">
        <v>12.1</v>
      </c>
      <c r="H676" t="n">
        <v>0</v>
      </c>
      <c r="I676" t="n">
        <v>0</v>
      </c>
      <c r="J676" t="n">
        <v>0</v>
      </c>
      <c r="K676" t="n">
        <v>0</v>
      </c>
      <c r="L676" t="n">
        <v>0</v>
      </c>
      <c r="M676" t="n">
        <v>0</v>
      </c>
      <c r="N676" t="n">
        <v>0</v>
      </c>
      <c r="O676" t="n">
        <v>0</v>
      </c>
      <c r="P676" t="n">
        <v>0</v>
      </c>
      <c r="Q676" t="n">
        <v>0</v>
      </c>
      <c r="R676" s="2" t="inlineStr"/>
    </row>
    <row r="677" ht="15" customHeight="1">
      <c r="A677" t="inlineStr">
        <is>
          <t>A 11741-2023</t>
        </is>
      </c>
      <c r="B677" s="1" t="n">
        <v>44994.58689814815</v>
      </c>
      <c r="C677" s="1" t="n">
        <v>46081</v>
      </c>
      <c r="D677" t="inlineStr">
        <is>
          <t>KALMAR LÄN</t>
        </is>
      </c>
      <c r="E677" t="inlineStr">
        <is>
          <t>VÄSTERVIK</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49539-2025</t>
        </is>
      </c>
      <c r="B678" s="1" t="n">
        <v>45939.42453703703</v>
      </c>
      <c r="C678" s="1" t="n">
        <v>46081</v>
      </c>
      <c r="D678" t="inlineStr">
        <is>
          <t>KALMAR LÄN</t>
        </is>
      </c>
      <c r="E678" t="inlineStr">
        <is>
          <t>VÄSTERVIK</t>
        </is>
      </c>
      <c r="G678" t="n">
        <v>0.8</v>
      </c>
      <c r="H678" t="n">
        <v>0</v>
      </c>
      <c r="I678" t="n">
        <v>0</v>
      </c>
      <c r="J678" t="n">
        <v>0</v>
      </c>
      <c r="K678" t="n">
        <v>0</v>
      </c>
      <c r="L678" t="n">
        <v>0</v>
      </c>
      <c r="M678" t="n">
        <v>0</v>
      </c>
      <c r="N678" t="n">
        <v>0</v>
      </c>
      <c r="O678" t="n">
        <v>0</v>
      </c>
      <c r="P678" t="n">
        <v>0</v>
      </c>
      <c r="Q678" t="n">
        <v>0</v>
      </c>
      <c r="R678" s="2" t="inlineStr"/>
    </row>
    <row r="679" ht="15" customHeight="1">
      <c r="A679" t="inlineStr">
        <is>
          <t>A 49542-2025</t>
        </is>
      </c>
      <c r="B679" s="1" t="n">
        <v>45939.4284837963</v>
      </c>
      <c r="C679" s="1" t="n">
        <v>46081</v>
      </c>
      <c r="D679" t="inlineStr">
        <is>
          <t>KALMAR LÄN</t>
        </is>
      </c>
      <c r="E679" t="inlineStr">
        <is>
          <t>VÄSTERVIK</t>
        </is>
      </c>
      <c r="G679" t="n">
        <v>2.2</v>
      </c>
      <c r="H679" t="n">
        <v>0</v>
      </c>
      <c r="I679" t="n">
        <v>0</v>
      </c>
      <c r="J679" t="n">
        <v>0</v>
      </c>
      <c r="K679" t="n">
        <v>0</v>
      </c>
      <c r="L679" t="n">
        <v>0</v>
      </c>
      <c r="M679" t="n">
        <v>0</v>
      </c>
      <c r="N679" t="n">
        <v>0</v>
      </c>
      <c r="O679" t="n">
        <v>0</v>
      </c>
      <c r="P679" t="n">
        <v>0</v>
      </c>
      <c r="Q679" t="n">
        <v>0</v>
      </c>
      <c r="R679" s="2" t="inlineStr"/>
    </row>
    <row r="680" ht="15" customHeight="1">
      <c r="A680" t="inlineStr">
        <is>
          <t>A 11120-2025</t>
        </is>
      </c>
      <c r="B680" s="1" t="n">
        <v>45723.63655092593</v>
      </c>
      <c r="C680" s="1" t="n">
        <v>46081</v>
      </c>
      <c r="D680" t="inlineStr">
        <is>
          <t>KALMAR LÄN</t>
        </is>
      </c>
      <c r="E680" t="inlineStr">
        <is>
          <t>VÄSTERVIK</t>
        </is>
      </c>
      <c r="G680" t="n">
        <v>1.1</v>
      </c>
      <c r="H680" t="n">
        <v>0</v>
      </c>
      <c r="I680" t="n">
        <v>0</v>
      </c>
      <c r="J680" t="n">
        <v>0</v>
      </c>
      <c r="K680" t="n">
        <v>0</v>
      </c>
      <c r="L680" t="n">
        <v>0</v>
      </c>
      <c r="M680" t="n">
        <v>0</v>
      </c>
      <c r="N680" t="n">
        <v>0</v>
      </c>
      <c r="O680" t="n">
        <v>0</v>
      </c>
      <c r="P680" t="n">
        <v>0</v>
      </c>
      <c r="Q680" t="n">
        <v>0</v>
      </c>
      <c r="R680" s="2" t="inlineStr"/>
    </row>
    <row r="681" ht="15" customHeight="1">
      <c r="A681" t="inlineStr">
        <is>
          <t>A 11122-2025</t>
        </is>
      </c>
      <c r="B681" s="1" t="n">
        <v>45723.63827546296</v>
      </c>
      <c r="C681" s="1" t="n">
        <v>46081</v>
      </c>
      <c r="D681" t="inlineStr">
        <is>
          <t>KALMAR LÄN</t>
        </is>
      </c>
      <c r="E681" t="inlineStr">
        <is>
          <t>VÄSTERVIK</t>
        </is>
      </c>
      <c r="G681" t="n">
        <v>0.3</v>
      </c>
      <c r="H681" t="n">
        <v>0</v>
      </c>
      <c r="I681" t="n">
        <v>0</v>
      </c>
      <c r="J681" t="n">
        <v>0</v>
      </c>
      <c r="K681" t="n">
        <v>0</v>
      </c>
      <c r="L681" t="n">
        <v>0</v>
      </c>
      <c r="M681" t="n">
        <v>0</v>
      </c>
      <c r="N681" t="n">
        <v>0</v>
      </c>
      <c r="O681" t="n">
        <v>0</v>
      </c>
      <c r="P681" t="n">
        <v>0</v>
      </c>
      <c r="Q681" t="n">
        <v>0</v>
      </c>
      <c r="R681" s="2" t="inlineStr"/>
    </row>
    <row r="682" ht="15" customHeight="1">
      <c r="A682" t="inlineStr">
        <is>
          <t>A 16680-2025</t>
        </is>
      </c>
      <c r="B682" s="1" t="n">
        <v>45754.44952546297</v>
      </c>
      <c r="C682" s="1" t="n">
        <v>46081</v>
      </c>
      <c r="D682" t="inlineStr">
        <is>
          <t>KALMAR LÄN</t>
        </is>
      </c>
      <c r="E682" t="inlineStr">
        <is>
          <t>VÄSTERVIK</t>
        </is>
      </c>
      <c r="F682" t="inlineStr">
        <is>
          <t>Sveaskog</t>
        </is>
      </c>
      <c r="G682" t="n">
        <v>2.4</v>
      </c>
      <c r="H682" t="n">
        <v>0</v>
      </c>
      <c r="I682" t="n">
        <v>0</v>
      </c>
      <c r="J682" t="n">
        <v>0</v>
      </c>
      <c r="K682" t="n">
        <v>0</v>
      </c>
      <c r="L682" t="n">
        <v>0</v>
      </c>
      <c r="M682" t="n">
        <v>0</v>
      </c>
      <c r="N682" t="n">
        <v>0</v>
      </c>
      <c r="O682" t="n">
        <v>0</v>
      </c>
      <c r="P682" t="n">
        <v>0</v>
      </c>
      <c r="Q682" t="n">
        <v>0</v>
      </c>
      <c r="R682" s="2" t="inlineStr"/>
    </row>
    <row r="683" ht="15" customHeight="1">
      <c r="A683" t="inlineStr">
        <is>
          <t>A 16691-2025</t>
        </is>
      </c>
      <c r="B683" s="1" t="n">
        <v>45754.46086805555</v>
      </c>
      <c r="C683" s="1" t="n">
        <v>46081</v>
      </c>
      <c r="D683" t="inlineStr">
        <is>
          <t>KALMAR LÄN</t>
        </is>
      </c>
      <c r="E683" t="inlineStr">
        <is>
          <t>VÄSTERVIK</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8597-2023</t>
        </is>
      </c>
      <c r="B684" s="1" t="n">
        <v>44977</v>
      </c>
      <c r="C684" s="1" t="n">
        <v>46081</v>
      </c>
      <c r="D684" t="inlineStr">
        <is>
          <t>KALMAR LÄN</t>
        </is>
      </c>
      <c r="E684" t="inlineStr">
        <is>
          <t>VÄSTERVIK</t>
        </is>
      </c>
      <c r="G684" t="n">
        <v>0.2</v>
      </c>
      <c r="H684" t="n">
        <v>0</v>
      </c>
      <c r="I684" t="n">
        <v>0</v>
      </c>
      <c r="J684" t="n">
        <v>0</v>
      </c>
      <c r="K684" t="n">
        <v>0</v>
      </c>
      <c r="L684" t="n">
        <v>0</v>
      </c>
      <c r="M684" t="n">
        <v>0</v>
      </c>
      <c r="N684" t="n">
        <v>0</v>
      </c>
      <c r="O684" t="n">
        <v>0</v>
      </c>
      <c r="P684" t="n">
        <v>0</v>
      </c>
      <c r="Q684" t="n">
        <v>0</v>
      </c>
      <c r="R684" s="2" t="inlineStr"/>
    </row>
    <row r="685" ht="15" customHeight="1">
      <c r="A685" t="inlineStr">
        <is>
          <t>A 21831-2023</t>
        </is>
      </c>
      <c r="B685" s="1" t="n">
        <v>45068</v>
      </c>
      <c r="C685" s="1" t="n">
        <v>46081</v>
      </c>
      <c r="D685" t="inlineStr">
        <is>
          <t>KALMAR LÄN</t>
        </is>
      </c>
      <c r="E685" t="inlineStr">
        <is>
          <t>VÄSTERVIK</t>
        </is>
      </c>
      <c r="G685" t="n">
        <v>0.4</v>
      </c>
      <c r="H685" t="n">
        <v>0</v>
      </c>
      <c r="I685" t="n">
        <v>0</v>
      </c>
      <c r="J685" t="n">
        <v>0</v>
      </c>
      <c r="K685" t="n">
        <v>0</v>
      </c>
      <c r="L685" t="n">
        <v>0</v>
      </c>
      <c r="M685" t="n">
        <v>0</v>
      </c>
      <c r="N685" t="n">
        <v>0</v>
      </c>
      <c r="O685" t="n">
        <v>0</v>
      </c>
      <c r="P685" t="n">
        <v>0</v>
      </c>
      <c r="Q685" t="n">
        <v>0</v>
      </c>
      <c r="R685" s="2" t="inlineStr"/>
    </row>
    <row r="686" ht="15" customHeight="1">
      <c r="A686" t="inlineStr">
        <is>
          <t>A 7165-2025</t>
        </is>
      </c>
      <c r="B686" s="1" t="n">
        <v>45702.39491898148</v>
      </c>
      <c r="C686" s="1" t="n">
        <v>46081</v>
      </c>
      <c r="D686" t="inlineStr">
        <is>
          <t>KALMAR LÄN</t>
        </is>
      </c>
      <c r="E686" t="inlineStr">
        <is>
          <t>VÄSTERVIK</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33969-2024</t>
        </is>
      </c>
      <c r="B687" s="1" t="n">
        <v>45523.49450231482</v>
      </c>
      <c r="C687" s="1" t="n">
        <v>46081</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40969-2025</t>
        </is>
      </c>
      <c r="B688" s="1" t="n">
        <v>45897</v>
      </c>
      <c r="C688" s="1" t="n">
        <v>46081</v>
      </c>
      <c r="D688" t="inlineStr">
        <is>
          <t>KALMAR LÄN</t>
        </is>
      </c>
      <c r="E688" t="inlineStr">
        <is>
          <t>VÄSTERVIK</t>
        </is>
      </c>
      <c r="G688" t="n">
        <v>2.5</v>
      </c>
      <c r="H688" t="n">
        <v>0</v>
      </c>
      <c r="I688" t="n">
        <v>0</v>
      </c>
      <c r="J688" t="n">
        <v>0</v>
      </c>
      <c r="K688" t="n">
        <v>0</v>
      </c>
      <c r="L688" t="n">
        <v>0</v>
      </c>
      <c r="M688" t="n">
        <v>0</v>
      </c>
      <c r="N688" t="n">
        <v>0</v>
      </c>
      <c r="O688" t="n">
        <v>0</v>
      </c>
      <c r="P688" t="n">
        <v>0</v>
      </c>
      <c r="Q688" t="n">
        <v>0</v>
      </c>
      <c r="R688" s="2" t="inlineStr"/>
    </row>
    <row r="689" ht="15" customHeight="1">
      <c r="A689" t="inlineStr">
        <is>
          <t>A 23316-2023</t>
        </is>
      </c>
      <c r="B689" s="1" t="n">
        <v>45076.02563657407</v>
      </c>
      <c r="C689" s="1" t="n">
        <v>46081</v>
      </c>
      <c r="D689" t="inlineStr">
        <is>
          <t>KALMAR LÄN</t>
        </is>
      </c>
      <c r="E689" t="inlineStr">
        <is>
          <t>VÄSTERVIK</t>
        </is>
      </c>
      <c r="G689" t="n">
        <v>3.6</v>
      </c>
      <c r="H689" t="n">
        <v>0</v>
      </c>
      <c r="I689" t="n">
        <v>0</v>
      </c>
      <c r="J689" t="n">
        <v>0</v>
      </c>
      <c r="K689" t="n">
        <v>0</v>
      </c>
      <c r="L689" t="n">
        <v>0</v>
      </c>
      <c r="M689" t="n">
        <v>0</v>
      </c>
      <c r="N689" t="n">
        <v>0</v>
      </c>
      <c r="O689" t="n">
        <v>0</v>
      </c>
      <c r="P689" t="n">
        <v>0</v>
      </c>
      <c r="Q689" t="n">
        <v>0</v>
      </c>
      <c r="R689" s="2" t="inlineStr"/>
    </row>
    <row r="690" ht="15" customHeight="1">
      <c r="A690" t="inlineStr">
        <is>
          <t>A 9269-2025</t>
        </is>
      </c>
      <c r="B690" s="1" t="n">
        <v>45714.61543981481</v>
      </c>
      <c r="C690" s="1" t="n">
        <v>46081</v>
      </c>
      <c r="D690" t="inlineStr">
        <is>
          <t>KALMAR LÄN</t>
        </is>
      </c>
      <c r="E690" t="inlineStr">
        <is>
          <t>VÄSTERVIK</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5348-2024</t>
        </is>
      </c>
      <c r="B691" s="1" t="n">
        <v>45331</v>
      </c>
      <c r="C691" s="1" t="n">
        <v>46081</v>
      </c>
      <c r="D691" t="inlineStr">
        <is>
          <t>KALMAR LÄN</t>
        </is>
      </c>
      <c r="E691" t="inlineStr">
        <is>
          <t>VÄSTERVIK</t>
        </is>
      </c>
      <c r="F691" t="inlineStr">
        <is>
          <t>Övriga Aktiebolag</t>
        </is>
      </c>
      <c r="G691" t="n">
        <v>0.8</v>
      </c>
      <c r="H691" t="n">
        <v>0</v>
      </c>
      <c r="I691" t="n">
        <v>0</v>
      </c>
      <c r="J691" t="n">
        <v>0</v>
      </c>
      <c r="K691" t="n">
        <v>0</v>
      </c>
      <c r="L691" t="n">
        <v>0</v>
      </c>
      <c r="M691" t="n">
        <v>0</v>
      </c>
      <c r="N691" t="n">
        <v>0</v>
      </c>
      <c r="O691" t="n">
        <v>0</v>
      </c>
      <c r="P691" t="n">
        <v>0</v>
      </c>
      <c r="Q691" t="n">
        <v>0</v>
      </c>
      <c r="R691" s="2" t="inlineStr"/>
    </row>
    <row r="692" ht="15" customHeight="1">
      <c r="A692" t="inlineStr">
        <is>
          <t>A 46562-2022</t>
        </is>
      </c>
      <c r="B692" s="1" t="n">
        <v>44848</v>
      </c>
      <c r="C692" s="1" t="n">
        <v>46081</v>
      </c>
      <c r="D692" t="inlineStr">
        <is>
          <t>KALMAR LÄN</t>
        </is>
      </c>
      <c r="E692" t="inlineStr">
        <is>
          <t>VÄSTERVIK</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32822-2021</t>
        </is>
      </c>
      <c r="B693" s="1" t="n">
        <v>44375</v>
      </c>
      <c r="C693" s="1" t="n">
        <v>46081</v>
      </c>
      <c r="D693" t="inlineStr">
        <is>
          <t>KALMAR LÄN</t>
        </is>
      </c>
      <c r="E693" t="inlineStr">
        <is>
          <t>VÄSTERVIK</t>
        </is>
      </c>
      <c r="G693" t="n">
        <v>5.1</v>
      </c>
      <c r="H693" t="n">
        <v>0</v>
      </c>
      <c r="I693" t="n">
        <v>0</v>
      </c>
      <c r="J693" t="n">
        <v>0</v>
      </c>
      <c r="K693" t="n">
        <v>0</v>
      </c>
      <c r="L693" t="n">
        <v>0</v>
      </c>
      <c r="M693" t="n">
        <v>0</v>
      </c>
      <c r="N693" t="n">
        <v>0</v>
      </c>
      <c r="O693" t="n">
        <v>0</v>
      </c>
      <c r="P693" t="n">
        <v>0</v>
      </c>
      <c r="Q693" t="n">
        <v>0</v>
      </c>
      <c r="R693" s="2" t="inlineStr"/>
    </row>
    <row r="694" ht="15" customHeight="1">
      <c r="A694" t="inlineStr">
        <is>
          <t>A 50290-2025</t>
        </is>
      </c>
      <c r="B694" s="1" t="n">
        <v>45944.40484953704</v>
      </c>
      <c r="C694" s="1" t="n">
        <v>46081</v>
      </c>
      <c r="D694" t="inlineStr">
        <is>
          <t>KALMAR LÄN</t>
        </is>
      </c>
      <c r="E694" t="inlineStr">
        <is>
          <t>VÄSTERVIK</t>
        </is>
      </c>
      <c r="F694" t="inlineStr">
        <is>
          <t>Övriga Aktiebolag</t>
        </is>
      </c>
      <c r="G694" t="n">
        <v>6.4</v>
      </c>
      <c r="H694" t="n">
        <v>0</v>
      </c>
      <c r="I694" t="n">
        <v>0</v>
      </c>
      <c r="J694" t="n">
        <v>0</v>
      </c>
      <c r="K694" t="n">
        <v>0</v>
      </c>
      <c r="L694" t="n">
        <v>0</v>
      </c>
      <c r="M694" t="n">
        <v>0</v>
      </c>
      <c r="N694" t="n">
        <v>0</v>
      </c>
      <c r="O694" t="n">
        <v>0</v>
      </c>
      <c r="P694" t="n">
        <v>0</v>
      </c>
      <c r="Q694" t="n">
        <v>0</v>
      </c>
      <c r="R694" s="2" t="inlineStr"/>
    </row>
    <row r="695" ht="15" customHeight="1">
      <c r="A695" t="inlineStr">
        <is>
          <t>A 50692-2025</t>
        </is>
      </c>
      <c r="B695" s="1" t="n">
        <v>45945.8494212963</v>
      </c>
      <c r="C695" s="1" t="n">
        <v>46081</v>
      </c>
      <c r="D695" t="inlineStr">
        <is>
          <t>KALMAR LÄN</t>
        </is>
      </c>
      <c r="E695" t="inlineStr">
        <is>
          <t>VÄSTERVIK</t>
        </is>
      </c>
      <c r="F695" t="inlineStr">
        <is>
          <t>Övriga Aktiebolag</t>
        </is>
      </c>
      <c r="G695" t="n">
        <v>5</v>
      </c>
      <c r="H695" t="n">
        <v>0</v>
      </c>
      <c r="I695" t="n">
        <v>0</v>
      </c>
      <c r="J695" t="n">
        <v>0</v>
      </c>
      <c r="K695" t="n">
        <v>0</v>
      </c>
      <c r="L695" t="n">
        <v>0</v>
      </c>
      <c r="M695" t="n">
        <v>0</v>
      </c>
      <c r="N695" t="n">
        <v>0</v>
      </c>
      <c r="O695" t="n">
        <v>0</v>
      </c>
      <c r="P695" t="n">
        <v>0</v>
      </c>
      <c r="Q695" t="n">
        <v>0</v>
      </c>
      <c r="R695" s="2" t="inlineStr"/>
    </row>
    <row r="696" ht="15" customHeight="1">
      <c r="A696" t="inlineStr">
        <is>
          <t>A 16692-2025</t>
        </is>
      </c>
      <c r="B696" s="1" t="n">
        <v>45754.4621412037</v>
      </c>
      <c r="C696" s="1" t="n">
        <v>46081</v>
      </c>
      <c r="D696" t="inlineStr">
        <is>
          <t>KALMAR LÄN</t>
        </is>
      </c>
      <c r="E696" t="inlineStr">
        <is>
          <t>VÄSTERVIK</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54569-2023</t>
        </is>
      </c>
      <c r="B697" s="1" t="n">
        <v>45233.65532407408</v>
      </c>
      <c r="C697" s="1" t="n">
        <v>46081</v>
      </c>
      <c r="D697" t="inlineStr">
        <is>
          <t>KALMAR LÄN</t>
        </is>
      </c>
      <c r="E697" t="inlineStr">
        <is>
          <t>VÄSTERVIK</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50651-2025</t>
        </is>
      </c>
      <c r="B698" s="1" t="n">
        <v>45945.66497685185</v>
      </c>
      <c r="C698" s="1" t="n">
        <v>46081</v>
      </c>
      <c r="D698" t="inlineStr">
        <is>
          <t>KALMAR LÄN</t>
        </is>
      </c>
      <c r="E698" t="inlineStr">
        <is>
          <t>VÄSTERVIK</t>
        </is>
      </c>
      <c r="G698" t="n">
        <v>0.7</v>
      </c>
      <c r="H698" t="n">
        <v>0</v>
      </c>
      <c r="I698" t="n">
        <v>0</v>
      </c>
      <c r="J698" t="n">
        <v>0</v>
      </c>
      <c r="K698" t="n">
        <v>0</v>
      </c>
      <c r="L698" t="n">
        <v>0</v>
      </c>
      <c r="M698" t="n">
        <v>0</v>
      </c>
      <c r="N698" t="n">
        <v>0</v>
      </c>
      <c r="O698" t="n">
        <v>0</v>
      </c>
      <c r="P698" t="n">
        <v>0</v>
      </c>
      <c r="Q698" t="n">
        <v>0</v>
      </c>
      <c r="R698" s="2" t="inlineStr"/>
    </row>
    <row r="699" ht="15" customHeight="1">
      <c r="A699" t="inlineStr">
        <is>
          <t>A 50690-2025</t>
        </is>
      </c>
      <c r="B699" s="1" t="n">
        <v>45945.84136574074</v>
      </c>
      <c r="C699" s="1" t="n">
        <v>46081</v>
      </c>
      <c r="D699" t="inlineStr">
        <is>
          <t>KALMAR LÄN</t>
        </is>
      </c>
      <c r="E699" t="inlineStr">
        <is>
          <t>VÄSTERVIK</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10725-2023</t>
        </is>
      </c>
      <c r="B700" s="1" t="n">
        <v>44988.66966435185</v>
      </c>
      <c r="C700" s="1" t="n">
        <v>46081</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7360-2023</t>
        </is>
      </c>
      <c r="B701" s="1" t="n">
        <v>44971</v>
      </c>
      <c r="C701" s="1" t="n">
        <v>46081</v>
      </c>
      <c r="D701" t="inlineStr">
        <is>
          <t>KALMAR LÄN</t>
        </is>
      </c>
      <c r="E701" t="inlineStr">
        <is>
          <t>VÄSTERVIK</t>
        </is>
      </c>
      <c r="G701" t="n">
        <v>0.5</v>
      </c>
      <c r="H701" t="n">
        <v>0</v>
      </c>
      <c r="I701" t="n">
        <v>0</v>
      </c>
      <c r="J701" t="n">
        <v>0</v>
      </c>
      <c r="K701" t="n">
        <v>0</v>
      </c>
      <c r="L701" t="n">
        <v>0</v>
      </c>
      <c r="M701" t="n">
        <v>0</v>
      </c>
      <c r="N701" t="n">
        <v>0</v>
      </c>
      <c r="O701" t="n">
        <v>0</v>
      </c>
      <c r="P701" t="n">
        <v>0</v>
      </c>
      <c r="Q701" t="n">
        <v>0</v>
      </c>
      <c r="R701" s="2" t="inlineStr"/>
    </row>
    <row r="702" ht="15" customHeight="1">
      <c r="A702" t="inlineStr">
        <is>
          <t>A 17306-2023</t>
        </is>
      </c>
      <c r="B702" s="1" t="n">
        <v>45035</v>
      </c>
      <c r="C702" s="1" t="n">
        <v>46081</v>
      </c>
      <c r="D702" t="inlineStr">
        <is>
          <t>KALMAR LÄN</t>
        </is>
      </c>
      <c r="E702" t="inlineStr">
        <is>
          <t>VÄSTERVIK</t>
        </is>
      </c>
      <c r="G702" t="n">
        <v>4.3</v>
      </c>
      <c r="H702" t="n">
        <v>0</v>
      </c>
      <c r="I702" t="n">
        <v>0</v>
      </c>
      <c r="J702" t="n">
        <v>0</v>
      </c>
      <c r="K702" t="n">
        <v>0</v>
      </c>
      <c r="L702" t="n">
        <v>0</v>
      </c>
      <c r="M702" t="n">
        <v>0</v>
      </c>
      <c r="N702" t="n">
        <v>0</v>
      </c>
      <c r="O702" t="n">
        <v>0</v>
      </c>
      <c r="P702" t="n">
        <v>0</v>
      </c>
      <c r="Q702" t="n">
        <v>0</v>
      </c>
      <c r="R702" s="2" t="inlineStr"/>
    </row>
    <row r="703" ht="15" customHeight="1">
      <c r="A703" t="inlineStr">
        <is>
          <t>A 23317-2023</t>
        </is>
      </c>
      <c r="B703" s="1" t="n">
        <v>45076</v>
      </c>
      <c r="C703" s="1" t="n">
        <v>46081</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50539-2025</t>
        </is>
      </c>
      <c r="B704" s="1" t="n">
        <v>45945.49340277778</v>
      </c>
      <c r="C704" s="1" t="n">
        <v>46081</v>
      </c>
      <c r="D704" t="inlineStr">
        <is>
          <t>KALMAR LÄN</t>
        </is>
      </c>
      <c r="E704" t="inlineStr">
        <is>
          <t>VÄSTERVIK</t>
        </is>
      </c>
      <c r="G704" t="n">
        <v>2.4</v>
      </c>
      <c r="H704" t="n">
        <v>0</v>
      </c>
      <c r="I704" t="n">
        <v>0</v>
      </c>
      <c r="J704" t="n">
        <v>0</v>
      </c>
      <c r="K704" t="n">
        <v>0</v>
      </c>
      <c r="L704" t="n">
        <v>0</v>
      </c>
      <c r="M704" t="n">
        <v>0</v>
      </c>
      <c r="N704" t="n">
        <v>0</v>
      </c>
      <c r="O704" t="n">
        <v>0</v>
      </c>
      <c r="P704" t="n">
        <v>0</v>
      </c>
      <c r="Q704" t="n">
        <v>0</v>
      </c>
      <c r="R704" s="2" t="inlineStr"/>
    </row>
    <row r="705" ht="15" customHeight="1">
      <c r="A705" t="inlineStr">
        <is>
          <t>A 2543-2024</t>
        </is>
      </c>
      <c r="B705" s="1" t="n">
        <v>45313</v>
      </c>
      <c r="C705" s="1" t="n">
        <v>46081</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9220-2023</t>
        </is>
      </c>
      <c r="B706" s="1" t="n">
        <v>44980.52182870371</v>
      </c>
      <c r="C706" s="1" t="n">
        <v>46081</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50679-2025</t>
        </is>
      </c>
      <c r="B707" s="1" t="n">
        <v>45945.7796875</v>
      </c>
      <c r="C707" s="1" t="n">
        <v>46081</v>
      </c>
      <c r="D707" t="inlineStr">
        <is>
          <t>KALMAR LÄN</t>
        </is>
      </c>
      <c r="E707" t="inlineStr">
        <is>
          <t>VÄSTERVIK</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51437-2025</t>
        </is>
      </c>
      <c r="B708" s="1" t="n">
        <v>45950.56834490741</v>
      </c>
      <c r="C708" s="1" t="n">
        <v>46081</v>
      </c>
      <c r="D708" t="inlineStr">
        <is>
          <t>KALMAR LÄN</t>
        </is>
      </c>
      <c r="E708" t="inlineStr">
        <is>
          <t>VÄSTERVIK</t>
        </is>
      </c>
      <c r="G708" t="n">
        <v>3.1</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46081</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51520-2025</t>
        </is>
      </c>
      <c r="B710" s="1" t="n">
        <v>45950.65695601852</v>
      </c>
      <c r="C710" s="1" t="n">
        <v>46081</v>
      </c>
      <c r="D710" t="inlineStr">
        <is>
          <t>KALMAR LÄN</t>
        </is>
      </c>
      <c r="E710" t="inlineStr">
        <is>
          <t>VÄSTERVIK</t>
        </is>
      </c>
      <c r="G710" t="n">
        <v>3.6</v>
      </c>
      <c r="H710" t="n">
        <v>0</v>
      </c>
      <c r="I710" t="n">
        <v>0</v>
      </c>
      <c r="J710" t="n">
        <v>0</v>
      </c>
      <c r="K710" t="n">
        <v>0</v>
      </c>
      <c r="L710" t="n">
        <v>0</v>
      </c>
      <c r="M710" t="n">
        <v>0</v>
      </c>
      <c r="N710" t="n">
        <v>0</v>
      </c>
      <c r="O710" t="n">
        <v>0</v>
      </c>
      <c r="P710" t="n">
        <v>0</v>
      </c>
      <c r="Q710" t="n">
        <v>0</v>
      </c>
      <c r="R710" s="2" t="inlineStr"/>
    </row>
    <row r="711" ht="15" customHeight="1">
      <c r="A711" t="inlineStr">
        <is>
          <t>A 51182-2025</t>
        </is>
      </c>
      <c r="B711" s="1" t="n">
        <v>45947.6204050926</v>
      </c>
      <c r="C711" s="1" t="n">
        <v>46081</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51191-2025</t>
        </is>
      </c>
      <c r="B712" s="1" t="n">
        <v>45947.62629629629</v>
      </c>
      <c r="C712" s="1" t="n">
        <v>46081</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19950-2025</t>
        </is>
      </c>
      <c r="B713" s="1" t="n">
        <v>45771.65724537037</v>
      </c>
      <c r="C713" s="1" t="n">
        <v>46081</v>
      </c>
      <c r="D713" t="inlineStr">
        <is>
          <t>KALMAR LÄN</t>
        </is>
      </c>
      <c r="E713" t="inlineStr">
        <is>
          <t>VÄSTERVIK</t>
        </is>
      </c>
      <c r="G713" t="n">
        <v>2.4</v>
      </c>
      <c r="H713" t="n">
        <v>0</v>
      </c>
      <c r="I713" t="n">
        <v>0</v>
      </c>
      <c r="J713" t="n">
        <v>0</v>
      </c>
      <c r="K713" t="n">
        <v>0</v>
      </c>
      <c r="L713" t="n">
        <v>0</v>
      </c>
      <c r="M713" t="n">
        <v>0</v>
      </c>
      <c r="N713" t="n">
        <v>0</v>
      </c>
      <c r="O713" t="n">
        <v>0</v>
      </c>
      <c r="P713" t="n">
        <v>0</v>
      </c>
      <c r="Q713" t="n">
        <v>0</v>
      </c>
      <c r="R713" s="2" t="inlineStr"/>
    </row>
    <row r="714" ht="15" customHeight="1">
      <c r="A714" t="inlineStr">
        <is>
          <t>A 36418-2023</t>
        </is>
      </c>
      <c r="B714" s="1" t="n">
        <v>45152</v>
      </c>
      <c r="C714" s="1" t="n">
        <v>46081</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c r="U714">
        <f>HYPERLINK("https://klasma.github.io/Logging_0883/knärot/A 36418-2023 karta knärot.png", "A 36418-2023")</f>
        <v/>
      </c>
      <c r="V714">
        <f>HYPERLINK("https://klasma.github.io/Logging_0883/klagomål/A 36418-2023 FSC-klagomål.docx", "A 36418-2023")</f>
        <v/>
      </c>
      <c r="W714">
        <f>HYPERLINK("https://klasma.github.io/Logging_0883/klagomålsmail/A 36418-2023 FSC-klagomål mail.docx", "A 36418-2023")</f>
        <v/>
      </c>
      <c r="X714">
        <f>HYPERLINK("https://klasma.github.io/Logging_0883/tillsyn/A 36418-2023 tillsynsbegäran.docx", "A 36418-2023")</f>
        <v/>
      </c>
      <c r="Y714">
        <f>HYPERLINK("https://klasma.github.io/Logging_0883/tillsynsmail/A 36418-2023 tillsynsbegäran mail.docx", "A 36418-2023")</f>
        <v/>
      </c>
    </row>
    <row r="715" ht="15" customHeight="1">
      <c r="A715" t="inlineStr">
        <is>
          <t>A 51050-2025</t>
        </is>
      </c>
      <c r="B715" s="1" t="n">
        <v>45947.43621527778</v>
      </c>
      <c r="C715" s="1" t="n">
        <v>46081</v>
      </c>
      <c r="D715" t="inlineStr">
        <is>
          <t>KALMAR LÄN</t>
        </is>
      </c>
      <c r="E715" t="inlineStr">
        <is>
          <t>VÄSTERVIK</t>
        </is>
      </c>
      <c r="G715" t="n">
        <v>2.8</v>
      </c>
      <c r="H715" t="n">
        <v>0</v>
      </c>
      <c r="I715" t="n">
        <v>0</v>
      </c>
      <c r="J715" t="n">
        <v>0</v>
      </c>
      <c r="K715" t="n">
        <v>0</v>
      </c>
      <c r="L715" t="n">
        <v>0</v>
      </c>
      <c r="M715" t="n">
        <v>0</v>
      </c>
      <c r="N715" t="n">
        <v>0</v>
      </c>
      <c r="O715" t="n">
        <v>0</v>
      </c>
      <c r="P715" t="n">
        <v>0</v>
      </c>
      <c r="Q715" t="n">
        <v>0</v>
      </c>
      <c r="R715" s="2" t="inlineStr"/>
    </row>
    <row r="716" ht="15" customHeight="1">
      <c r="A716" t="inlineStr">
        <is>
          <t>A 34646-2023</t>
        </is>
      </c>
      <c r="B716" s="1" t="n">
        <v>45140</v>
      </c>
      <c r="C716" s="1" t="n">
        <v>46081</v>
      </c>
      <c r="D716" t="inlineStr">
        <is>
          <t>KALMAR LÄN</t>
        </is>
      </c>
      <c r="E716" t="inlineStr">
        <is>
          <t>VÄSTERVIK</t>
        </is>
      </c>
      <c r="G716" t="n">
        <v>3.1</v>
      </c>
      <c r="H716" t="n">
        <v>0</v>
      </c>
      <c r="I716" t="n">
        <v>0</v>
      </c>
      <c r="J716" t="n">
        <v>0</v>
      </c>
      <c r="K716" t="n">
        <v>0</v>
      </c>
      <c r="L716" t="n">
        <v>0</v>
      </c>
      <c r="M716" t="n">
        <v>0</v>
      </c>
      <c r="N716" t="n">
        <v>0</v>
      </c>
      <c r="O716" t="n">
        <v>0</v>
      </c>
      <c r="P716" t="n">
        <v>0</v>
      </c>
      <c r="Q716" t="n">
        <v>0</v>
      </c>
      <c r="R716" s="2" t="inlineStr"/>
    </row>
    <row r="717" ht="15" customHeight="1">
      <c r="A717" t="inlineStr">
        <is>
          <t>A 37033-2021</t>
        </is>
      </c>
      <c r="B717" s="1" t="n">
        <v>44393</v>
      </c>
      <c r="C717" s="1" t="n">
        <v>46081</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51441-2025</t>
        </is>
      </c>
      <c r="B718" s="1" t="n">
        <v>45950.57375</v>
      </c>
      <c r="C718" s="1" t="n">
        <v>46081</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58707-2022</t>
        </is>
      </c>
      <c r="B719" s="1" t="n">
        <v>44902.80462962963</v>
      </c>
      <c r="C719" s="1" t="n">
        <v>46081</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51426-2025</t>
        </is>
      </c>
      <c r="B720" s="1" t="n">
        <v>45950.53288194445</v>
      </c>
      <c r="C720" s="1" t="n">
        <v>46081</v>
      </c>
      <c r="D720" t="inlineStr">
        <is>
          <t>KALMAR LÄN</t>
        </is>
      </c>
      <c r="E720" t="inlineStr">
        <is>
          <t>VÄSTERVIK</t>
        </is>
      </c>
      <c r="G720" t="n">
        <v>3.8</v>
      </c>
      <c r="H720" t="n">
        <v>0</v>
      </c>
      <c r="I720" t="n">
        <v>0</v>
      </c>
      <c r="J720" t="n">
        <v>0</v>
      </c>
      <c r="K720" t="n">
        <v>0</v>
      </c>
      <c r="L720" t="n">
        <v>0</v>
      </c>
      <c r="M720" t="n">
        <v>0</v>
      </c>
      <c r="N720" t="n">
        <v>0</v>
      </c>
      <c r="O720" t="n">
        <v>0</v>
      </c>
      <c r="P720" t="n">
        <v>0</v>
      </c>
      <c r="Q720" t="n">
        <v>0</v>
      </c>
      <c r="R720" s="2" t="inlineStr"/>
    </row>
    <row r="721" ht="15" customHeight="1">
      <c r="A721" t="inlineStr">
        <is>
          <t>A 65-2023</t>
        </is>
      </c>
      <c r="B721" s="1" t="n">
        <v>44928.44431712963</v>
      </c>
      <c r="C721" s="1" t="n">
        <v>46081</v>
      </c>
      <c r="D721" t="inlineStr">
        <is>
          <t>KALMAR LÄN</t>
        </is>
      </c>
      <c r="E721" t="inlineStr">
        <is>
          <t>VÄSTERVIK</t>
        </is>
      </c>
      <c r="G721" t="n">
        <v>1.8</v>
      </c>
      <c r="H721" t="n">
        <v>0</v>
      </c>
      <c r="I721" t="n">
        <v>0</v>
      </c>
      <c r="J721" t="n">
        <v>0</v>
      </c>
      <c r="K721" t="n">
        <v>0</v>
      </c>
      <c r="L721" t="n">
        <v>0</v>
      </c>
      <c r="M721" t="n">
        <v>0</v>
      </c>
      <c r="N721" t="n">
        <v>0</v>
      </c>
      <c r="O721" t="n">
        <v>0</v>
      </c>
      <c r="P721" t="n">
        <v>0</v>
      </c>
      <c r="Q721" t="n">
        <v>0</v>
      </c>
      <c r="R721" s="2" t="inlineStr"/>
    </row>
    <row r="722" ht="15" customHeight="1">
      <c r="A722" t="inlineStr">
        <is>
          <t>A 51515-2025</t>
        </is>
      </c>
      <c r="B722" s="1" t="n">
        <v>45950.65560185185</v>
      </c>
      <c r="C722" s="1" t="n">
        <v>46081</v>
      </c>
      <c r="D722" t="inlineStr">
        <is>
          <t>KALMAR LÄN</t>
        </is>
      </c>
      <c r="E722" t="inlineStr">
        <is>
          <t>VÄSTERVIK</t>
        </is>
      </c>
      <c r="G722" t="n">
        <v>1.4</v>
      </c>
      <c r="H722" t="n">
        <v>0</v>
      </c>
      <c r="I722" t="n">
        <v>0</v>
      </c>
      <c r="J722" t="n">
        <v>0</v>
      </c>
      <c r="K722" t="n">
        <v>0</v>
      </c>
      <c r="L722" t="n">
        <v>0</v>
      </c>
      <c r="M722" t="n">
        <v>0</v>
      </c>
      <c r="N722" t="n">
        <v>0</v>
      </c>
      <c r="O722" t="n">
        <v>0</v>
      </c>
      <c r="P722" t="n">
        <v>0</v>
      </c>
      <c r="Q722" t="n">
        <v>0</v>
      </c>
      <c r="R722" s="2" t="inlineStr"/>
    </row>
    <row r="723" ht="15" customHeight="1">
      <c r="A723" t="inlineStr">
        <is>
          <t>A 51181-2025</t>
        </is>
      </c>
      <c r="B723" s="1" t="n">
        <v>45947.61859953704</v>
      </c>
      <c r="C723" s="1" t="n">
        <v>46081</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51439-2025</t>
        </is>
      </c>
      <c r="B724" s="1" t="n">
        <v>45950.57254629629</v>
      </c>
      <c r="C724" s="1" t="n">
        <v>46081</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25714-2023</t>
        </is>
      </c>
      <c r="B725" s="1" t="n">
        <v>45089</v>
      </c>
      <c r="C725" s="1" t="n">
        <v>46081</v>
      </c>
      <c r="D725" t="inlineStr">
        <is>
          <t>KALMAR LÄN</t>
        </is>
      </c>
      <c r="E725" t="inlineStr">
        <is>
          <t>VÄSTERVIK</t>
        </is>
      </c>
      <c r="G725" t="n">
        <v>10.5</v>
      </c>
      <c r="H725" t="n">
        <v>0</v>
      </c>
      <c r="I725" t="n">
        <v>0</v>
      </c>
      <c r="J725" t="n">
        <v>0</v>
      </c>
      <c r="K725" t="n">
        <v>0</v>
      </c>
      <c r="L725" t="n">
        <v>0</v>
      </c>
      <c r="M725" t="n">
        <v>0</v>
      </c>
      <c r="N725" t="n">
        <v>0</v>
      </c>
      <c r="O725" t="n">
        <v>0</v>
      </c>
      <c r="P725" t="n">
        <v>0</v>
      </c>
      <c r="Q725" t="n">
        <v>0</v>
      </c>
      <c r="R725" s="2" t="inlineStr"/>
    </row>
    <row r="726" ht="15" customHeight="1">
      <c r="A726" t="inlineStr">
        <is>
          <t>A 45202-2023</t>
        </is>
      </c>
      <c r="B726" s="1" t="n">
        <v>45191</v>
      </c>
      <c r="C726" s="1" t="n">
        <v>46081</v>
      </c>
      <c r="D726" t="inlineStr">
        <is>
          <t>KALMAR LÄN</t>
        </is>
      </c>
      <c r="E726" t="inlineStr">
        <is>
          <t>VÄSTERVIK</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51983-2025</t>
        </is>
      </c>
      <c r="B727" s="1" t="n">
        <v>45952.57481481481</v>
      </c>
      <c r="C727" s="1" t="n">
        <v>46081</v>
      </c>
      <c r="D727" t="inlineStr">
        <is>
          <t>KALMAR LÄN</t>
        </is>
      </c>
      <c r="E727" t="inlineStr">
        <is>
          <t>VÄSTERVIK</t>
        </is>
      </c>
      <c r="G727" t="n">
        <v>2.6</v>
      </c>
      <c r="H727" t="n">
        <v>0</v>
      </c>
      <c r="I727" t="n">
        <v>0</v>
      </c>
      <c r="J727" t="n">
        <v>0</v>
      </c>
      <c r="K727" t="n">
        <v>0</v>
      </c>
      <c r="L727" t="n">
        <v>0</v>
      </c>
      <c r="M727" t="n">
        <v>0</v>
      </c>
      <c r="N727" t="n">
        <v>0</v>
      </c>
      <c r="O727" t="n">
        <v>0</v>
      </c>
      <c r="P727" t="n">
        <v>0</v>
      </c>
      <c r="Q727" t="n">
        <v>0</v>
      </c>
      <c r="R727" s="2" t="inlineStr"/>
    </row>
    <row r="728" ht="15" customHeight="1">
      <c r="A728" t="inlineStr">
        <is>
          <t>A 52845-2023</t>
        </is>
      </c>
      <c r="B728" s="1" t="n">
        <v>45226.43667824074</v>
      </c>
      <c r="C728" s="1" t="n">
        <v>46081</v>
      </c>
      <c r="D728" t="inlineStr">
        <is>
          <t>KALMAR LÄN</t>
        </is>
      </c>
      <c r="E728" t="inlineStr">
        <is>
          <t>VÄSTERVIK</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51769-2025</t>
        </is>
      </c>
      <c r="B729" s="1" t="n">
        <v>45951.64155092592</v>
      </c>
      <c r="C729" s="1" t="n">
        <v>46081</v>
      </c>
      <c r="D729" t="inlineStr">
        <is>
          <t>KALMAR LÄN</t>
        </is>
      </c>
      <c r="E729" t="inlineStr">
        <is>
          <t>VÄSTERVIK</t>
        </is>
      </c>
      <c r="G729" t="n">
        <v>3.6</v>
      </c>
      <c r="H729" t="n">
        <v>0</v>
      </c>
      <c r="I729" t="n">
        <v>0</v>
      </c>
      <c r="J729" t="n">
        <v>0</v>
      </c>
      <c r="K729" t="n">
        <v>0</v>
      </c>
      <c r="L729" t="n">
        <v>0</v>
      </c>
      <c r="M729" t="n">
        <v>0</v>
      </c>
      <c r="N729" t="n">
        <v>0</v>
      </c>
      <c r="O729" t="n">
        <v>0</v>
      </c>
      <c r="P729" t="n">
        <v>0</v>
      </c>
      <c r="Q729" t="n">
        <v>0</v>
      </c>
      <c r="R729" s="2" t="inlineStr"/>
    </row>
    <row r="730" ht="15" customHeight="1">
      <c r="A730" t="inlineStr">
        <is>
          <t>A 14114-2025</t>
        </is>
      </c>
      <c r="B730" s="1" t="n">
        <v>45740.45964120371</v>
      </c>
      <c r="C730" s="1" t="n">
        <v>46081</v>
      </c>
      <c r="D730" t="inlineStr">
        <is>
          <t>KALMAR LÄN</t>
        </is>
      </c>
      <c r="E730" t="inlineStr">
        <is>
          <t>VÄSTERVIK</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51566-2025</t>
        </is>
      </c>
      <c r="B731" s="1" t="n">
        <v>45951.30868055556</v>
      </c>
      <c r="C731" s="1" t="n">
        <v>46081</v>
      </c>
      <c r="D731" t="inlineStr">
        <is>
          <t>KALMAR LÄN</t>
        </is>
      </c>
      <c r="E731" t="inlineStr">
        <is>
          <t>VÄSTERVIK</t>
        </is>
      </c>
      <c r="G731" t="n">
        <v>3.4</v>
      </c>
      <c r="H731" t="n">
        <v>0</v>
      </c>
      <c r="I731" t="n">
        <v>0</v>
      </c>
      <c r="J731" t="n">
        <v>0</v>
      </c>
      <c r="K731" t="n">
        <v>0</v>
      </c>
      <c r="L731" t="n">
        <v>0</v>
      </c>
      <c r="M731" t="n">
        <v>0</v>
      </c>
      <c r="N731" t="n">
        <v>0</v>
      </c>
      <c r="O731" t="n">
        <v>0</v>
      </c>
      <c r="P731" t="n">
        <v>0</v>
      </c>
      <c r="Q731" t="n">
        <v>0</v>
      </c>
      <c r="R731" s="2" t="inlineStr"/>
    </row>
    <row r="732" ht="15" customHeight="1">
      <c r="A732" t="inlineStr">
        <is>
          <t>A 52488-2025</t>
        </is>
      </c>
      <c r="B732" s="1" t="n">
        <v>45953</v>
      </c>
      <c r="C732" s="1" t="n">
        <v>46081</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52492-2025</t>
        </is>
      </c>
      <c r="B733" s="1" t="n">
        <v>45953</v>
      </c>
      <c r="C733" s="1" t="n">
        <v>46081</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52495-2025</t>
        </is>
      </c>
      <c r="B734" s="1" t="n">
        <v>45953</v>
      </c>
      <c r="C734" s="1" t="n">
        <v>46081</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52170-2025</t>
        </is>
      </c>
      <c r="B735" s="1" t="n">
        <v>45953.36766203704</v>
      </c>
      <c r="C735" s="1" t="n">
        <v>46081</v>
      </c>
      <c r="D735" t="inlineStr">
        <is>
          <t>KALMAR LÄN</t>
        </is>
      </c>
      <c r="E735" t="inlineStr">
        <is>
          <t>VÄSTERVIK</t>
        </is>
      </c>
      <c r="G735" t="n">
        <v>4.6</v>
      </c>
      <c r="H735" t="n">
        <v>0</v>
      </c>
      <c r="I735" t="n">
        <v>0</v>
      </c>
      <c r="J735" t="n">
        <v>0</v>
      </c>
      <c r="K735" t="n">
        <v>0</v>
      </c>
      <c r="L735" t="n">
        <v>0</v>
      </c>
      <c r="M735" t="n">
        <v>0</v>
      </c>
      <c r="N735" t="n">
        <v>0</v>
      </c>
      <c r="O735" t="n">
        <v>0</v>
      </c>
      <c r="P735" t="n">
        <v>0</v>
      </c>
      <c r="Q735" t="n">
        <v>0</v>
      </c>
      <c r="R735" s="2" t="inlineStr"/>
    </row>
    <row r="736" ht="15" customHeight="1">
      <c r="A736" t="inlineStr">
        <is>
          <t>A 52190-2025</t>
        </is>
      </c>
      <c r="B736" s="1" t="n">
        <v>45953.38814814815</v>
      </c>
      <c r="C736" s="1" t="n">
        <v>46081</v>
      </c>
      <c r="D736" t="inlineStr">
        <is>
          <t>KALMAR LÄN</t>
        </is>
      </c>
      <c r="E736" t="inlineStr">
        <is>
          <t>VÄSTERVIK</t>
        </is>
      </c>
      <c r="G736" t="n">
        <v>1.8</v>
      </c>
      <c r="H736" t="n">
        <v>0</v>
      </c>
      <c r="I736" t="n">
        <v>0</v>
      </c>
      <c r="J736" t="n">
        <v>0</v>
      </c>
      <c r="K736" t="n">
        <v>0</v>
      </c>
      <c r="L736" t="n">
        <v>0</v>
      </c>
      <c r="M736" t="n">
        <v>0</v>
      </c>
      <c r="N736" t="n">
        <v>0</v>
      </c>
      <c r="O736" t="n">
        <v>0</v>
      </c>
      <c r="P736" t="n">
        <v>0</v>
      </c>
      <c r="Q736" t="n">
        <v>0</v>
      </c>
      <c r="R736" s="2" t="inlineStr"/>
    </row>
    <row r="737" ht="15" customHeight="1">
      <c r="A737" t="inlineStr">
        <is>
          <t>A 25488-2023</t>
        </is>
      </c>
      <c r="B737" s="1" t="n">
        <v>45089</v>
      </c>
      <c r="C737" s="1" t="n">
        <v>46081</v>
      </c>
      <c r="D737" t="inlineStr">
        <is>
          <t>KALMAR LÄN</t>
        </is>
      </c>
      <c r="E737" t="inlineStr">
        <is>
          <t>VÄSTERVIK</t>
        </is>
      </c>
      <c r="G737" t="n">
        <v>2.3</v>
      </c>
      <c r="H737" t="n">
        <v>0</v>
      </c>
      <c r="I737" t="n">
        <v>0</v>
      </c>
      <c r="J737" t="n">
        <v>0</v>
      </c>
      <c r="K737" t="n">
        <v>0</v>
      </c>
      <c r="L737" t="n">
        <v>0</v>
      </c>
      <c r="M737" t="n">
        <v>0</v>
      </c>
      <c r="N737" t="n">
        <v>0</v>
      </c>
      <c r="O737" t="n">
        <v>0</v>
      </c>
      <c r="P737" t="n">
        <v>0</v>
      </c>
      <c r="Q737" t="n">
        <v>0</v>
      </c>
      <c r="R737" s="2" t="inlineStr"/>
    </row>
    <row r="738" ht="15" customHeight="1">
      <c r="A738" t="inlineStr">
        <is>
          <t>A 14212-2022</t>
        </is>
      </c>
      <c r="B738" s="1" t="n">
        <v>44651</v>
      </c>
      <c r="C738" s="1" t="n">
        <v>46081</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14105-2025</t>
        </is>
      </c>
      <c r="B739" s="1" t="n">
        <v>45740.45425925926</v>
      </c>
      <c r="C739" s="1" t="n">
        <v>46081</v>
      </c>
      <c r="D739" t="inlineStr">
        <is>
          <t>KALMAR LÄN</t>
        </is>
      </c>
      <c r="E739" t="inlineStr">
        <is>
          <t>VÄSTERVIK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14109-2025</t>
        </is>
      </c>
      <c r="B740" s="1" t="n">
        <v>45740.45748842593</v>
      </c>
      <c r="C740" s="1" t="n">
        <v>46081</v>
      </c>
      <c r="D740" t="inlineStr">
        <is>
          <t>KALMAR LÄN</t>
        </is>
      </c>
      <c r="E740" t="inlineStr">
        <is>
          <t>VÄSTERVIK</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28894-2023</t>
        </is>
      </c>
      <c r="B741" s="1" t="n">
        <v>45104.49659722222</v>
      </c>
      <c r="C741" s="1" t="n">
        <v>46081</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19333-2023</t>
        </is>
      </c>
      <c r="B742" s="1" t="n">
        <v>45049.566875</v>
      </c>
      <c r="C742" s="1" t="n">
        <v>46081</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15097-2023</t>
        </is>
      </c>
      <c r="B743" s="1" t="n">
        <v>45016</v>
      </c>
      <c r="C743" s="1" t="n">
        <v>46081</v>
      </c>
      <c r="D743" t="inlineStr">
        <is>
          <t>KALMAR LÄN</t>
        </is>
      </c>
      <c r="E743" t="inlineStr">
        <is>
          <t>VÄSTERVIK</t>
        </is>
      </c>
      <c r="G743" t="n">
        <v>5.9</v>
      </c>
      <c r="H743" t="n">
        <v>0</v>
      </c>
      <c r="I743" t="n">
        <v>0</v>
      </c>
      <c r="J743" t="n">
        <v>0</v>
      </c>
      <c r="K743" t="n">
        <v>0</v>
      </c>
      <c r="L743" t="n">
        <v>0</v>
      </c>
      <c r="M743" t="n">
        <v>0</v>
      </c>
      <c r="N743" t="n">
        <v>0</v>
      </c>
      <c r="O743" t="n">
        <v>0</v>
      </c>
      <c r="P743" t="n">
        <v>0</v>
      </c>
      <c r="Q743" t="n">
        <v>0</v>
      </c>
      <c r="R743" s="2" t="inlineStr"/>
    </row>
    <row r="744" ht="15" customHeight="1">
      <c r="A744" t="inlineStr">
        <is>
          <t>A 53145-2025</t>
        </is>
      </c>
      <c r="B744" s="1" t="n">
        <v>45958</v>
      </c>
      <c r="C744" s="1" t="n">
        <v>46081</v>
      </c>
      <c r="D744" t="inlineStr">
        <is>
          <t>KALMAR LÄN</t>
        </is>
      </c>
      <c r="E744" t="inlineStr">
        <is>
          <t>VÄSTERVIK</t>
        </is>
      </c>
      <c r="G744" t="n">
        <v>2.7</v>
      </c>
      <c r="H744" t="n">
        <v>0</v>
      </c>
      <c r="I744" t="n">
        <v>0</v>
      </c>
      <c r="J744" t="n">
        <v>0</v>
      </c>
      <c r="K744" t="n">
        <v>0</v>
      </c>
      <c r="L744" t="n">
        <v>0</v>
      </c>
      <c r="M744" t="n">
        <v>0</v>
      </c>
      <c r="N744" t="n">
        <v>0</v>
      </c>
      <c r="O744" t="n">
        <v>0</v>
      </c>
      <c r="P744" t="n">
        <v>0</v>
      </c>
      <c r="Q744" t="n">
        <v>0</v>
      </c>
      <c r="R744" s="2" t="inlineStr"/>
    </row>
    <row r="745" ht="15" customHeight="1">
      <c r="A745" t="inlineStr">
        <is>
          <t>A 46070-2023</t>
        </is>
      </c>
      <c r="B745" s="1" t="n">
        <v>45196</v>
      </c>
      <c r="C745" s="1" t="n">
        <v>46081</v>
      </c>
      <c r="D745" t="inlineStr">
        <is>
          <t>KALMAR LÄN</t>
        </is>
      </c>
      <c r="E745" t="inlineStr">
        <is>
          <t>VÄSTERVIK</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38174-2023</t>
        </is>
      </c>
      <c r="B746" s="1" t="n">
        <v>45161</v>
      </c>
      <c r="C746" s="1" t="n">
        <v>46081</v>
      </c>
      <c r="D746" t="inlineStr">
        <is>
          <t>KALMAR LÄN</t>
        </is>
      </c>
      <c r="E746" t="inlineStr">
        <is>
          <t>VÄSTERVIK</t>
        </is>
      </c>
      <c r="G746" t="n">
        <v>3.4</v>
      </c>
      <c r="H746" t="n">
        <v>0</v>
      </c>
      <c r="I746" t="n">
        <v>0</v>
      </c>
      <c r="J746" t="n">
        <v>0</v>
      </c>
      <c r="K746" t="n">
        <v>0</v>
      </c>
      <c r="L746" t="n">
        <v>0</v>
      </c>
      <c r="M746" t="n">
        <v>0</v>
      </c>
      <c r="N746" t="n">
        <v>0</v>
      </c>
      <c r="O746" t="n">
        <v>0</v>
      </c>
      <c r="P746" t="n">
        <v>0</v>
      </c>
      <c r="Q746" t="n">
        <v>0</v>
      </c>
      <c r="R746" s="2" t="inlineStr"/>
    </row>
    <row r="747" ht="15" customHeight="1">
      <c r="A747" t="inlineStr">
        <is>
          <t>A 37716-2023</t>
        </is>
      </c>
      <c r="B747" s="1" t="n">
        <v>45159</v>
      </c>
      <c r="C747" s="1" t="n">
        <v>46081</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58216-2022</t>
        </is>
      </c>
      <c r="B748" s="1" t="n">
        <v>44901.36292824074</v>
      </c>
      <c r="C748" s="1" t="n">
        <v>46081</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53334-2025</t>
        </is>
      </c>
      <c r="B749" s="1" t="n">
        <v>45959.38063657407</v>
      </c>
      <c r="C749" s="1" t="n">
        <v>46081</v>
      </c>
      <c r="D749" t="inlineStr">
        <is>
          <t>KALMAR LÄN</t>
        </is>
      </c>
      <c r="E749" t="inlineStr">
        <is>
          <t>VÄSTERVIK</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53364-2025</t>
        </is>
      </c>
      <c r="B750" s="1" t="n">
        <v>45959.48401620371</v>
      </c>
      <c r="C750" s="1" t="n">
        <v>46081</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5234-2024</t>
        </is>
      </c>
      <c r="B751" s="1" t="n">
        <v>45330.80729166666</v>
      </c>
      <c r="C751" s="1" t="n">
        <v>46081</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53394-2025</t>
        </is>
      </c>
      <c r="B752" s="1" t="n">
        <v>45959.5534837963</v>
      </c>
      <c r="C752" s="1" t="n">
        <v>46081</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53366-2025</t>
        </is>
      </c>
      <c r="B753" s="1" t="n">
        <v>45959.48521990741</v>
      </c>
      <c r="C753" s="1" t="n">
        <v>46081</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13748-2024</t>
        </is>
      </c>
      <c r="B754" s="1" t="n">
        <v>45390</v>
      </c>
      <c r="C754" s="1" t="n">
        <v>46081</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36888-2024</t>
        </is>
      </c>
      <c r="B755" s="1" t="n">
        <v>45538</v>
      </c>
      <c r="C755" s="1" t="n">
        <v>46081</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53333-2025</t>
        </is>
      </c>
      <c r="B756" s="1" t="n">
        <v>45959.37754629629</v>
      </c>
      <c r="C756" s="1" t="n">
        <v>46081</v>
      </c>
      <c r="D756" t="inlineStr">
        <is>
          <t>KALMAR LÄN</t>
        </is>
      </c>
      <c r="E756" t="inlineStr">
        <is>
          <t>VÄSTERVIK</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2746-2023</t>
        </is>
      </c>
      <c r="B757" s="1" t="n">
        <v>44944</v>
      </c>
      <c r="C757" s="1" t="n">
        <v>46081</v>
      </c>
      <c r="D757" t="inlineStr">
        <is>
          <t>KALMAR LÄN</t>
        </is>
      </c>
      <c r="E757" t="inlineStr">
        <is>
          <t>VÄSTERVIK</t>
        </is>
      </c>
      <c r="G757" t="n">
        <v>5.5</v>
      </c>
      <c r="H757" t="n">
        <v>0</v>
      </c>
      <c r="I757" t="n">
        <v>0</v>
      </c>
      <c r="J757" t="n">
        <v>0</v>
      </c>
      <c r="K757" t="n">
        <v>0</v>
      </c>
      <c r="L757" t="n">
        <v>0</v>
      </c>
      <c r="M757" t="n">
        <v>0</v>
      </c>
      <c r="N757" t="n">
        <v>0</v>
      </c>
      <c r="O757" t="n">
        <v>0</v>
      </c>
      <c r="P757" t="n">
        <v>0</v>
      </c>
      <c r="Q757" t="n">
        <v>0</v>
      </c>
      <c r="R757" s="2" t="inlineStr"/>
    </row>
    <row r="758" ht="15" customHeight="1">
      <c r="A758" t="inlineStr">
        <is>
          <t>A 58209-2022</t>
        </is>
      </c>
      <c r="B758" s="1" t="n">
        <v>44901</v>
      </c>
      <c r="C758" s="1" t="n">
        <v>46081</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52155-2021</t>
        </is>
      </c>
      <c r="B759" s="1" t="n">
        <v>44463</v>
      </c>
      <c r="C759" s="1" t="n">
        <v>46081</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row>
    <row r="760" ht="15" customHeight="1">
      <c r="A760" t="inlineStr">
        <is>
          <t>A 1877-2025</t>
        </is>
      </c>
      <c r="B760" s="1" t="n">
        <v>45671.62141203704</v>
      </c>
      <c r="C760" s="1" t="n">
        <v>46081</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53885-2025</t>
        </is>
      </c>
      <c r="B761" s="1" t="n">
        <v>45961.40505787037</v>
      </c>
      <c r="C761" s="1" t="n">
        <v>46081</v>
      </c>
      <c r="D761" t="inlineStr">
        <is>
          <t>KALMAR LÄN</t>
        </is>
      </c>
      <c r="E761" t="inlineStr">
        <is>
          <t>VÄSTERVIK</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53884-2025</t>
        </is>
      </c>
      <c r="B762" s="1" t="n">
        <v>45961.4030787037</v>
      </c>
      <c r="C762" s="1" t="n">
        <v>46081</v>
      </c>
      <c r="D762" t="inlineStr">
        <is>
          <t>KALMAR LÄN</t>
        </is>
      </c>
      <c r="E762" t="inlineStr">
        <is>
          <t>VÄSTERVIK</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53854-2025</t>
        </is>
      </c>
      <c r="B763" s="1" t="n">
        <v>45961.37491898148</v>
      </c>
      <c r="C763" s="1" t="n">
        <v>46081</v>
      </c>
      <c r="D763" t="inlineStr">
        <is>
          <t>KALMAR LÄN</t>
        </is>
      </c>
      <c r="E763" t="inlineStr">
        <is>
          <t>VÄSTERVIK</t>
        </is>
      </c>
      <c r="F763" t="inlineStr">
        <is>
          <t>Sveaskog</t>
        </is>
      </c>
      <c r="G763" t="n">
        <v>3.9</v>
      </c>
      <c r="H763" t="n">
        <v>0</v>
      </c>
      <c r="I763" t="n">
        <v>0</v>
      </c>
      <c r="J763" t="n">
        <v>0</v>
      </c>
      <c r="K763" t="n">
        <v>0</v>
      </c>
      <c r="L763" t="n">
        <v>0</v>
      </c>
      <c r="M763" t="n">
        <v>0</v>
      </c>
      <c r="N763" t="n">
        <v>0</v>
      </c>
      <c r="O763" t="n">
        <v>0</v>
      </c>
      <c r="P763" t="n">
        <v>0</v>
      </c>
      <c r="Q763" t="n">
        <v>0</v>
      </c>
      <c r="R763" s="2" t="inlineStr"/>
    </row>
    <row r="764" ht="15" customHeight="1">
      <c r="A764" t="inlineStr">
        <is>
          <t>A 53872-2025</t>
        </is>
      </c>
      <c r="B764" s="1" t="n">
        <v>45961.39266203704</v>
      </c>
      <c r="C764" s="1" t="n">
        <v>46081</v>
      </c>
      <c r="D764" t="inlineStr">
        <is>
          <t>KALMAR LÄN</t>
        </is>
      </c>
      <c r="E764" t="inlineStr">
        <is>
          <t>VÄSTERVIK</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4583-2023</t>
        </is>
      </c>
      <c r="B765" s="1" t="n">
        <v>44956</v>
      </c>
      <c r="C765" s="1" t="n">
        <v>46081</v>
      </c>
      <c r="D765" t="inlineStr">
        <is>
          <t>KALMAR LÄN</t>
        </is>
      </c>
      <c r="E765" t="inlineStr">
        <is>
          <t>VÄSTERVIK</t>
        </is>
      </c>
      <c r="G765" t="n">
        <v>2.2</v>
      </c>
      <c r="H765" t="n">
        <v>0</v>
      </c>
      <c r="I765" t="n">
        <v>0</v>
      </c>
      <c r="J765" t="n">
        <v>0</v>
      </c>
      <c r="K765" t="n">
        <v>0</v>
      </c>
      <c r="L765" t="n">
        <v>0</v>
      </c>
      <c r="M765" t="n">
        <v>0</v>
      </c>
      <c r="N765" t="n">
        <v>0</v>
      </c>
      <c r="O765" t="n">
        <v>0</v>
      </c>
      <c r="P765" t="n">
        <v>0</v>
      </c>
      <c r="Q765" t="n">
        <v>0</v>
      </c>
      <c r="R765" s="2" t="inlineStr"/>
    </row>
    <row r="766" ht="15" customHeight="1">
      <c r="A766" t="inlineStr">
        <is>
          <t>A 11848-2024</t>
        </is>
      </c>
      <c r="B766" s="1" t="n">
        <v>45376.41653935185</v>
      </c>
      <c r="C766" s="1" t="n">
        <v>46081</v>
      </c>
      <c r="D766" t="inlineStr">
        <is>
          <t>KALMAR LÄN</t>
        </is>
      </c>
      <c r="E766" t="inlineStr">
        <is>
          <t>VÄSTERVIK</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54567-2025</t>
        </is>
      </c>
      <c r="B767" s="1" t="n">
        <v>45965.67274305555</v>
      </c>
      <c r="C767" s="1" t="n">
        <v>46081</v>
      </c>
      <c r="D767" t="inlineStr">
        <is>
          <t>KALMAR LÄN</t>
        </is>
      </c>
      <c r="E767" t="inlineStr">
        <is>
          <t>VÄSTERVIK</t>
        </is>
      </c>
      <c r="G767" t="n">
        <v>5.7</v>
      </c>
      <c r="H767" t="n">
        <v>0</v>
      </c>
      <c r="I767" t="n">
        <v>0</v>
      </c>
      <c r="J767" t="n">
        <v>0</v>
      </c>
      <c r="K767" t="n">
        <v>0</v>
      </c>
      <c r="L767" t="n">
        <v>0</v>
      </c>
      <c r="M767" t="n">
        <v>0</v>
      </c>
      <c r="N767" t="n">
        <v>0</v>
      </c>
      <c r="O767" t="n">
        <v>0</v>
      </c>
      <c r="P767" t="n">
        <v>0</v>
      </c>
      <c r="Q767" t="n">
        <v>0</v>
      </c>
      <c r="R767" s="2" t="inlineStr"/>
    </row>
    <row r="768" ht="15" customHeight="1">
      <c r="A768" t="inlineStr">
        <is>
          <t>A 54286-2025</t>
        </is>
      </c>
      <c r="B768" s="1" t="n">
        <v>45964.79894675926</v>
      </c>
      <c r="C768" s="1" t="n">
        <v>46081</v>
      </c>
      <c r="D768" t="inlineStr">
        <is>
          <t>KALMAR LÄN</t>
        </is>
      </c>
      <c r="E768" t="inlineStr">
        <is>
          <t>VÄSTERVIK</t>
        </is>
      </c>
      <c r="F768" t="inlineStr">
        <is>
          <t>Holmen skog AB</t>
        </is>
      </c>
      <c r="G768" t="n">
        <v>5.9</v>
      </c>
      <c r="H768" t="n">
        <v>0</v>
      </c>
      <c r="I768" t="n">
        <v>0</v>
      </c>
      <c r="J768" t="n">
        <v>0</v>
      </c>
      <c r="K768" t="n">
        <v>0</v>
      </c>
      <c r="L768" t="n">
        <v>0</v>
      </c>
      <c r="M768" t="n">
        <v>0</v>
      </c>
      <c r="N768" t="n">
        <v>0</v>
      </c>
      <c r="O768" t="n">
        <v>0</v>
      </c>
      <c r="P768" t="n">
        <v>0</v>
      </c>
      <c r="Q768" t="n">
        <v>0</v>
      </c>
      <c r="R768" s="2" t="inlineStr"/>
    </row>
    <row r="769" ht="15" customHeight="1">
      <c r="A769" t="inlineStr">
        <is>
          <t>A 54290-2025</t>
        </is>
      </c>
      <c r="B769" s="1" t="n">
        <v>45964.81896990741</v>
      </c>
      <c r="C769" s="1" t="n">
        <v>46081</v>
      </c>
      <c r="D769" t="inlineStr">
        <is>
          <t>KALMAR LÄN</t>
        </is>
      </c>
      <c r="E769" t="inlineStr">
        <is>
          <t>VÄSTERVIK</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54292-2025</t>
        </is>
      </c>
      <c r="B770" s="1" t="n">
        <v>45964.82712962963</v>
      </c>
      <c r="C770" s="1" t="n">
        <v>46081</v>
      </c>
      <c r="D770" t="inlineStr">
        <is>
          <t>KALMAR LÄN</t>
        </is>
      </c>
      <c r="E770" t="inlineStr">
        <is>
          <t>VÄSTERVIK</t>
        </is>
      </c>
      <c r="F770" t="inlineStr">
        <is>
          <t>Holmen skog AB</t>
        </is>
      </c>
      <c r="G770" t="n">
        <v>3.6</v>
      </c>
      <c r="H770" t="n">
        <v>0</v>
      </c>
      <c r="I770" t="n">
        <v>0</v>
      </c>
      <c r="J770" t="n">
        <v>0</v>
      </c>
      <c r="K770" t="n">
        <v>0</v>
      </c>
      <c r="L770" t="n">
        <v>0</v>
      </c>
      <c r="M770" t="n">
        <v>0</v>
      </c>
      <c r="N770" t="n">
        <v>0</v>
      </c>
      <c r="O770" t="n">
        <v>0</v>
      </c>
      <c r="P770" t="n">
        <v>0</v>
      </c>
      <c r="Q770" t="n">
        <v>0</v>
      </c>
      <c r="R770" s="2" t="inlineStr"/>
    </row>
    <row r="771" ht="15" customHeight="1">
      <c r="A771" t="inlineStr">
        <is>
          <t>A 47120-2023</t>
        </is>
      </c>
      <c r="B771" s="1" t="n">
        <v>45201</v>
      </c>
      <c r="C771" s="1" t="n">
        <v>46081</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47123-2023</t>
        </is>
      </c>
      <c r="B772" s="1" t="n">
        <v>45201.68075231482</v>
      </c>
      <c r="C772" s="1" t="n">
        <v>46081</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46718-2023</t>
        </is>
      </c>
      <c r="B773" s="1" t="n">
        <v>45198</v>
      </c>
      <c r="C773" s="1" t="n">
        <v>46081</v>
      </c>
      <c r="D773" t="inlineStr">
        <is>
          <t>KALMAR LÄN</t>
        </is>
      </c>
      <c r="E773" t="inlineStr">
        <is>
          <t>VÄSTERVIK</t>
        </is>
      </c>
      <c r="G773" t="n">
        <v>0.4</v>
      </c>
      <c r="H773" t="n">
        <v>0</v>
      </c>
      <c r="I773" t="n">
        <v>0</v>
      </c>
      <c r="J773" t="n">
        <v>0</v>
      </c>
      <c r="K773" t="n">
        <v>0</v>
      </c>
      <c r="L773" t="n">
        <v>0</v>
      </c>
      <c r="M773" t="n">
        <v>0</v>
      </c>
      <c r="N773" t="n">
        <v>0</v>
      </c>
      <c r="O773" t="n">
        <v>0</v>
      </c>
      <c r="P773" t="n">
        <v>0</v>
      </c>
      <c r="Q773" t="n">
        <v>0</v>
      </c>
      <c r="R773" s="2" t="inlineStr"/>
    </row>
    <row r="774" ht="15" customHeight="1">
      <c r="A774" t="inlineStr">
        <is>
          <t>A 54577-2025</t>
        </is>
      </c>
      <c r="B774" s="1" t="n">
        <v>45965.6815162037</v>
      </c>
      <c r="C774" s="1" t="n">
        <v>46081</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60263-2022</t>
        </is>
      </c>
      <c r="B775" s="1" t="n">
        <v>44910.48520833333</v>
      </c>
      <c r="C775" s="1" t="n">
        <v>46081</v>
      </c>
      <c r="D775" t="inlineStr">
        <is>
          <t>KALMAR LÄN</t>
        </is>
      </c>
      <c r="E775" t="inlineStr">
        <is>
          <t>VÄSTERVIK</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1798-2023</t>
        </is>
      </c>
      <c r="B776" s="1" t="n">
        <v>44938</v>
      </c>
      <c r="C776" s="1" t="n">
        <v>46081</v>
      </c>
      <c r="D776" t="inlineStr">
        <is>
          <t>KALMAR LÄN</t>
        </is>
      </c>
      <c r="E776" t="inlineStr">
        <is>
          <t>VÄSTERVIK</t>
        </is>
      </c>
      <c r="G776" t="n">
        <v>3.9</v>
      </c>
      <c r="H776" t="n">
        <v>0</v>
      </c>
      <c r="I776" t="n">
        <v>0</v>
      </c>
      <c r="J776" t="n">
        <v>0</v>
      </c>
      <c r="K776" t="n">
        <v>0</v>
      </c>
      <c r="L776" t="n">
        <v>0</v>
      </c>
      <c r="M776" t="n">
        <v>0</v>
      </c>
      <c r="N776" t="n">
        <v>0</v>
      </c>
      <c r="O776" t="n">
        <v>0</v>
      </c>
      <c r="P776" t="n">
        <v>0</v>
      </c>
      <c r="Q776" t="n">
        <v>0</v>
      </c>
      <c r="R776" s="2" t="inlineStr"/>
    </row>
    <row r="777" ht="15" customHeight="1">
      <c r="A777" t="inlineStr">
        <is>
          <t>A 26776-2023</t>
        </is>
      </c>
      <c r="B777" s="1" t="n">
        <v>45093</v>
      </c>
      <c r="C777" s="1" t="n">
        <v>46081</v>
      </c>
      <c r="D777" t="inlineStr">
        <is>
          <t>KALMAR LÄN</t>
        </is>
      </c>
      <c r="E777" t="inlineStr">
        <is>
          <t>VÄSTERVIK</t>
        </is>
      </c>
      <c r="G777" t="n">
        <v>1.3</v>
      </c>
      <c r="H777" t="n">
        <v>0</v>
      </c>
      <c r="I777" t="n">
        <v>0</v>
      </c>
      <c r="J777" t="n">
        <v>0</v>
      </c>
      <c r="K777" t="n">
        <v>0</v>
      </c>
      <c r="L777" t="n">
        <v>0</v>
      </c>
      <c r="M777" t="n">
        <v>0</v>
      </c>
      <c r="N777" t="n">
        <v>0</v>
      </c>
      <c r="O777" t="n">
        <v>0</v>
      </c>
      <c r="P777" t="n">
        <v>0</v>
      </c>
      <c r="Q777" t="n">
        <v>0</v>
      </c>
      <c r="R777" s="2" t="inlineStr"/>
    </row>
    <row r="778" ht="15" customHeight="1">
      <c r="A778" t="inlineStr">
        <is>
          <t>A 55489-2025</t>
        </is>
      </c>
      <c r="B778" s="1" t="n">
        <v>45971</v>
      </c>
      <c r="C778" s="1" t="n">
        <v>46081</v>
      </c>
      <c r="D778" t="inlineStr">
        <is>
          <t>KALMAR LÄN</t>
        </is>
      </c>
      <c r="E778" t="inlineStr">
        <is>
          <t>VÄSTERVIK</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73640-2021</t>
        </is>
      </c>
      <c r="B779" s="1" t="n">
        <v>44552.43644675926</v>
      </c>
      <c r="C779" s="1" t="n">
        <v>46081</v>
      </c>
      <c r="D779" t="inlineStr">
        <is>
          <t>KALMAR LÄN</t>
        </is>
      </c>
      <c r="E779" t="inlineStr">
        <is>
          <t>VÄSTERVIK</t>
        </is>
      </c>
      <c r="G779" t="n">
        <v>1.9</v>
      </c>
      <c r="H779" t="n">
        <v>0</v>
      </c>
      <c r="I779" t="n">
        <v>0</v>
      </c>
      <c r="J779" t="n">
        <v>0</v>
      </c>
      <c r="K779" t="n">
        <v>0</v>
      </c>
      <c r="L779" t="n">
        <v>0</v>
      </c>
      <c r="M779" t="n">
        <v>0</v>
      </c>
      <c r="N779" t="n">
        <v>0</v>
      </c>
      <c r="O779" t="n">
        <v>0</v>
      </c>
      <c r="P779" t="n">
        <v>0</v>
      </c>
      <c r="Q779" t="n">
        <v>0</v>
      </c>
      <c r="R779" s="2" t="inlineStr"/>
    </row>
    <row r="780" ht="15" customHeight="1">
      <c r="A780" t="inlineStr">
        <is>
          <t>A 55184-2025</t>
        </is>
      </c>
      <c r="B780" s="1" t="n">
        <v>45968.53612268518</v>
      </c>
      <c r="C780" s="1" t="n">
        <v>46081</v>
      </c>
      <c r="D780" t="inlineStr">
        <is>
          <t>KALMAR LÄN</t>
        </is>
      </c>
      <c r="E780" t="inlineStr">
        <is>
          <t>VÄSTERVIK</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55557-2025</t>
        </is>
      </c>
      <c r="B781" s="1" t="n">
        <v>45971.6475</v>
      </c>
      <c r="C781" s="1" t="n">
        <v>46081</v>
      </c>
      <c r="D781" t="inlineStr">
        <is>
          <t>KALMAR LÄN</t>
        </is>
      </c>
      <c r="E781" t="inlineStr">
        <is>
          <t>VÄSTERVIK</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40050-2022</t>
        </is>
      </c>
      <c r="B782" s="1" t="n">
        <v>44820.44106481481</v>
      </c>
      <c r="C782" s="1" t="n">
        <v>46081</v>
      </c>
      <c r="D782" t="inlineStr">
        <is>
          <t>KALMAR LÄN</t>
        </is>
      </c>
      <c r="E782" t="inlineStr">
        <is>
          <t>VÄSTERVIK</t>
        </is>
      </c>
      <c r="G782" t="n">
        <v>1.8</v>
      </c>
      <c r="H782" t="n">
        <v>0</v>
      </c>
      <c r="I782" t="n">
        <v>0</v>
      </c>
      <c r="J782" t="n">
        <v>0</v>
      </c>
      <c r="K782" t="n">
        <v>0</v>
      </c>
      <c r="L782" t="n">
        <v>0</v>
      </c>
      <c r="M782" t="n">
        <v>0</v>
      </c>
      <c r="N782" t="n">
        <v>0</v>
      </c>
      <c r="O782" t="n">
        <v>0</v>
      </c>
      <c r="P782" t="n">
        <v>0</v>
      </c>
      <c r="Q782" t="n">
        <v>0</v>
      </c>
      <c r="R782" s="2" t="inlineStr"/>
    </row>
    <row r="783" ht="15" customHeight="1">
      <c r="A783" t="inlineStr">
        <is>
          <t>A 55152-2025</t>
        </is>
      </c>
      <c r="B783" s="1" t="n">
        <v>45968.4571412037</v>
      </c>
      <c r="C783" s="1" t="n">
        <v>46081</v>
      </c>
      <c r="D783" t="inlineStr">
        <is>
          <t>KALMAR LÄN</t>
        </is>
      </c>
      <c r="E783" t="inlineStr">
        <is>
          <t>VÄSTERVIK</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39980-2024</t>
        </is>
      </c>
      <c r="B784" s="1" t="n">
        <v>45553.61098379629</v>
      </c>
      <c r="C784" s="1" t="n">
        <v>46081</v>
      </c>
      <c r="D784" t="inlineStr">
        <is>
          <t>KALMAR LÄN</t>
        </is>
      </c>
      <c r="E784" t="inlineStr">
        <is>
          <t>VÄSTERVIK</t>
        </is>
      </c>
      <c r="G784" t="n">
        <v>2.3</v>
      </c>
      <c r="H784" t="n">
        <v>0</v>
      </c>
      <c r="I784" t="n">
        <v>0</v>
      </c>
      <c r="J784" t="n">
        <v>0</v>
      </c>
      <c r="K784" t="n">
        <v>0</v>
      </c>
      <c r="L784" t="n">
        <v>0</v>
      </c>
      <c r="M784" t="n">
        <v>0</v>
      </c>
      <c r="N784" t="n">
        <v>0</v>
      </c>
      <c r="O784" t="n">
        <v>0</v>
      </c>
      <c r="P784" t="n">
        <v>0</v>
      </c>
      <c r="Q784" t="n">
        <v>0</v>
      </c>
      <c r="R784" s="2" t="inlineStr"/>
    </row>
    <row r="785" ht="15" customHeight="1">
      <c r="A785" t="inlineStr">
        <is>
          <t>A 39982-2024</t>
        </is>
      </c>
      <c r="B785" s="1" t="n">
        <v>45553.61355324074</v>
      </c>
      <c r="C785" s="1" t="n">
        <v>46081</v>
      </c>
      <c r="D785" t="inlineStr">
        <is>
          <t>KALMAR LÄN</t>
        </is>
      </c>
      <c r="E785" t="inlineStr">
        <is>
          <t>VÄSTERVIK</t>
        </is>
      </c>
      <c r="G785" t="n">
        <v>2.1</v>
      </c>
      <c r="H785" t="n">
        <v>0</v>
      </c>
      <c r="I785" t="n">
        <v>0</v>
      </c>
      <c r="J785" t="n">
        <v>0</v>
      </c>
      <c r="K785" t="n">
        <v>0</v>
      </c>
      <c r="L785" t="n">
        <v>0</v>
      </c>
      <c r="M785" t="n">
        <v>0</v>
      </c>
      <c r="N785" t="n">
        <v>0</v>
      </c>
      <c r="O785" t="n">
        <v>0</v>
      </c>
      <c r="P785" t="n">
        <v>0</v>
      </c>
      <c r="Q785" t="n">
        <v>0</v>
      </c>
      <c r="R785" s="2" t="inlineStr"/>
    </row>
    <row r="786" ht="15" customHeight="1">
      <c r="A786" t="inlineStr">
        <is>
          <t>A 1568-2024</t>
        </is>
      </c>
      <c r="B786" s="1" t="n">
        <v>45306.53221064815</v>
      </c>
      <c r="C786" s="1" t="n">
        <v>46081</v>
      </c>
      <c r="D786" t="inlineStr">
        <is>
          <t>KALMAR LÄN</t>
        </is>
      </c>
      <c r="E786" t="inlineStr">
        <is>
          <t>VÄSTERVIK</t>
        </is>
      </c>
      <c r="G786" t="n">
        <v>3.4</v>
      </c>
      <c r="H786" t="n">
        <v>0</v>
      </c>
      <c r="I786" t="n">
        <v>0</v>
      </c>
      <c r="J786" t="n">
        <v>0</v>
      </c>
      <c r="K786" t="n">
        <v>0</v>
      </c>
      <c r="L786" t="n">
        <v>0</v>
      </c>
      <c r="M786" t="n">
        <v>0</v>
      </c>
      <c r="N786" t="n">
        <v>0</v>
      </c>
      <c r="O786" t="n">
        <v>0</v>
      </c>
      <c r="P786" t="n">
        <v>0</v>
      </c>
      <c r="Q786" t="n">
        <v>0</v>
      </c>
      <c r="R786" s="2" t="inlineStr"/>
    </row>
    <row r="787" ht="15" customHeight="1">
      <c r="A787" t="inlineStr">
        <is>
          <t>A 1572-2024</t>
        </is>
      </c>
      <c r="B787" s="1" t="n">
        <v>45306</v>
      </c>
      <c r="C787" s="1" t="n">
        <v>46081</v>
      </c>
      <c r="D787" t="inlineStr">
        <is>
          <t>KALMAR LÄN</t>
        </is>
      </c>
      <c r="E787" t="inlineStr">
        <is>
          <t>VÄSTERVIK</t>
        </is>
      </c>
      <c r="G787" t="n">
        <v>4.4</v>
      </c>
      <c r="H787" t="n">
        <v>0</v>
      </c>
      <c r="I787" t="n">
        <v>0</v>
      </c>
      <c r="J787" t="n">
        <v>0</v>
      </c>
      <c r="K787" t="n">
        <v>0</v>
      </c>
      <c r="L787" t="n">
        <v>0</v>
      </c>
      <c r="M787" t="n">
        <v>0</v>
      </c>
      <c r="N787" t="n">
        <v>0</v>
      </c>
      <c r="O787" t="n">
        <v>0</v>
      </c>
      <c r="P787" t="n">
        <v>0</v>
      </c>
      <c r="Q787" t="n">
        <v>0</v>
      </c>
      <c r="R787" s="2" t="inlineStr"/>
    </row>
    <row r="788" ht="15" customHeight="1">
      <c r="A788" t="inlineStr">
        <is>
          <t>A 7934-2023</t>
        </is>
      </c>
      <c r="B788" s="1" t="n">
        <v>44973.65422453704</v>
      </c>
      <c r="C788" s="1" t="n">
        <v>46081</v>
      </c>
      <c r="D788" t="inlineStr">
        <is>
          <t>KALMAR LÄN</t>
        </is>
      </c>
      <c r="E788" t="inlineStr">
        <is>
          <t>VÄSTERVIK</t>
        </is>
      </c>
      <c r="G788" t="n">
        <v>4.1</v>
      </c>
      <c r="H788" t="n">
        <v>0</v>
      </c>
      <c r="I788" t="n">
        <v>0</v>
      </c>
      <c r="J788" t="n">
        <v>0</v>
      </c>
      <c r="K788" t="n">
        <v>0</v>
      </c>
      <c r="L788" t="n">
        <v>0</v>
      </c>
      <c r="M788" t="n">
        <v>0</v>
      </c>
      <c r="N788" t="n">
        <v>0</v>
      </c>
      <c r="O788" t="n">
        <v>0</v>
      </c>
      <c r="P788" t="n">
        <v>0</v>
      </c>
      <c r="Q788" t="n">
        <v>0</v>
      </c>
      <c r="R788" s="2" t="inlineStr"/>
    </row>
    <row r="789" ht="15" customHeight="1">
      <c r="A789" t="inlineStr">
        <is>
          <t>A 55737-2025</t>
        </is>
      </c>
      <c r="B789" s="1" t="n">
        <v>45972.56077546296</v>
      </c>
      <c r="C789" s="1" t="n">
        <v>46081</v>
      </c>
      <c r="D789" t="inlineStr">
        <is>
          <t>KALMAR LÄN</t>
        </is>
      </c>
      <c r="E789" t="inlineStr">
        <is>
          <t>VÄSTERVIK</t>
        </is>
      </c>
      <c r="G789" t="n">
        <v>3.7</v>
      </c>
      <c r="H789" t="n">
        <v>0</v>
      </c>
      <c r="I789" t="n">
        <v>0</v>
      </c>
      <c r="J789" t="n">
        <v>0</v>
      </c>
      <c r="K789" t="n">
        <v>0</v>
      </c>
      <c r="L789" t="n">
        <v>0</v>
      </c>
      <c r="M789" t="n">
        <v>0</v>
      </c>
      <c r="N789" t="n">
        <v>0</v>
      </c>
      <c r="O789" t="n">
        <v>0</v>
      </c>
      <c r="P789" t="n">
        <v>0</v>
      </c>
      <c r="Q789" t="n">
        <v>0</v>
      </c>
      <c r="R789" s="2" t="inlineStr"/>
    </row>
    <row r="790" ht="15" customHeight="1">
      <c r="A790" t="inlineStr">
        <is>
          <t>A 17314-2023</t>
        </is>
      </c>
      <c r="B790" s="1" t="n">
        <v>45035</v>
      </c>
      <c r="C790" s="1" t="n">
        <v>46081</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8594-2023</t>
        </is>
      </c>
      <c r="B791" s="1" t="n">
        <v>44977</v>
      </c>
      <c r="C791" s="1" t="n">
        <v>46081</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28344-2024</t>
        </is>
      </c>
      <c r="B792" s="1" t="n">
        <v>45477.55280092593</v>
      </c>
      <c r="C792" s="1" t="n">
        <v>46081</v>
      </c>
      <c r="D792" t="inlineStr">
        <is>
          <t>KALMAR LÄN</t>
        </is>
      </c>
      <c r="E792" t="inlineStr">
        <is>
          <t>VÄSTERVIK</t>
        </is>
      </c>
      <c r="G792" t="n">
        <v>1.4</v>
      </c>
      <c r="H792" t="n">
        <v>0</v>
      </c>
      <c r="I792" t="n">
        <v>0</v>
      </c>
      <c r="J792" t="n">
        <v>0</v>
      </c>
      <c r="K792" t="n">
        <v>0</v>
      </c>
      <c r="L792" t="n">
        <v>0</v>
      </c>
      <c r="M792" t="n">
        <v>0</v>
      </c>
      <c r="N792" t="n">
        <v>0</v>
      </c>
      <c r="O792" t="n">
        <v>0</v>
      </c>
      <c r="P792" t="n">
        <v>0</v>
      </c>
      <c r="Q792" t="n">
        <v>0</v>
      </c>
      <c r="R792" s="2" t="inlineStr"/>
    </row>
    <row r="793" ht="15" customHeight="1">
      <c r="A793" t="inlineStr">
        <is>
          <t>A 56979-2025</t>
        </is>
      </c>
      <c r="B793" s="1" t="n">
        <v>45978.69274305556</v>
      </c>
      <c r="C793" s="1" t="n">
        <v>46081</v>
      </c>
      <c r="D793" t="inlineStr">
        <is>
          <t>KALMAR LÄN</t>
        </is>
      </c>
      <c r="E793" t="inlineStr">
        <is>
          <t>VÄSTERVIK</t>
        </is>
      </c>
      <c r="F793" t="inlineStr">
        <is>
          <t>Holmen skog AB</t>
        </is>
      </c>
      <c r="G793" t="n">
        <v>2.1</v>
      </c>
      <c r="H793" t="n">
        <v>0</v>
      </c>
      <c r="I793" t="n">
        <v>0</v>
      </c>
      <c r="J793" t="n">
        <v>0</v>
      </c>
      <c r="K793" t="n">
        <v>0</v>
      </c>
      <c r="L793" t="n">
        <v>0</v>
      </c>
      <c r="M793" t="n">
        <v>0</v>
      </c>
      <c r="N793" t="n">
        <v>0</v>
      </c>
      <c r="O793" t="n">
        <v>0</v>
      </c>
      <c r="P793" t="n">
        <v>0</v>
      </c>
      <c r="Q793" t="n">
        <v>0</v>
      </c>
      <c r="R793" s="2" t="inlineStr"/>
    </row>
    <row r="794" ht="15" customHeight="1">
      <c r="A794" t="inlineStr">
        <is>
          <t>A 56967-2025</t>
        </is>
      </c>
      <c r="B794" s="1" t="n">
        <v>45978.67582175926</v>
      </c>
      <c r="C794" s="1" t="n">
        <v>46081</v>
      </c>
      <c r="D794" t="inlineStr">
        <is>
          <t>KALMAR LÄN</t>
        </is>
      </c>
      <c r="E794" t="inlineStr">
        <is>
          <t>VÄSTERVIK</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56972-2025</t>
        </is>
      </c>
      <c r="B795" s="1" t="n">
        <v>45978.68155092592</v>
      </c>
      <c r="C795" s="1" t="n">
        <v>46081</v>
      </c>
      <c r="D795" t="inlineStr">
        <is>
          <t>KALMAR LÄN</t>
        </is>
      </c>
      <c r="E795" t="inlineStr">
        <is>
          <t>VÄSTERVIK</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56857-2025</t>
        </is>
      </c>
      <c r="B796" s="1" t="n">
        <v>45978.49924768518</v>
      </c>
      <c r="C796" s="1" t="n">
        <v>46081</v>
      </c>
      <c r="D796" t="inlineStr">
        <is>
          <t>KALMAR LÄN</t>
        </is>
      </c>
      <c r="E796" t="inlineStr">
        <is>
          <t>VÄSTERVIK</t>
        </is>
      </c>
      <c r="F796" t="inlineStr">
        <is>
          <t>Holmen skog AB</t>
        </is>
      </c>
      <c r="G796" t="n">
        <v>5.5</v>
      </c>
      <c r="H796" t="n">
        <v>0</v>
      </c>
      <c r="I796" t="n">
        <v>0</v>
      </c>
      <c r="J796" t="n">
        <v>0</v>
      </c>
      <c r="K796" t="n">
        <v>0</v>
      </c>
      <c r="L796" t="n">
        <v>0</v>
      </c>
      <c r="M796" t="n">
        <v>0</v>
      </c>
      <c r="N796" t="n">
        <v>0</v>
      </c>
      <c r="O796" t="n">
        <v>0</v>
      </c>
      <c r="P796" t="n">
        <v>0</v>
      </c>
      <c r="Q796" t="n">
        <v>0</v>
      </c>
      <c r="R796" s="2" t="inlineStr"/>
    </row>
    <row r="797" ht="15" customHeight="1">
      <c r="A797" t="inlineStr">
        <is>
          <t>A 42746-2024</t>
        </is>
      </c>
      <c r="B797" s="1" t="n">
        <v>45566.48361111111</v>
      </c>
      <c r="C797" s="1" t="n">
        <v>46081</v>
      </c>
      <c r="D797" t="inlineStr">
        <is>
          <t>KALMAR LÄN</t>
        </is>
      </c>
      <c r="E797" t="inlineStr">
        <is>
          <t>VÄSTERVIK</t>
        </is>
      </c>
      <c r="G797" t="n">
        <v>2</v>
      </c>
      <c r="H797" t="n">
        <v>0</v>
      </c>
      <c r="I797" t="n">
        <v>0</v>
      </c>
      <c r="J797" t="n">
        <v>0</v>
      </c>
      <c r="K797" t="n">
        <v>0</v>
      </c>
      <c r="L797" t="n">
        <v>0</v>
      </c>
      <c r="M797" t="n">
        <v>0</v>
      </c>
      <c r="N797" t="n">
        <v>0</v>
      </c>
      <c r="O797" t="n">
        <v>0</v>
      </c>
      <c r="P797" t="n">
        <v>0</v>
      </c>
      <c r="Q797" t="n">
        <v>0</v>
      </c>
      <c r="R797" s="2" t="inlineStr"/>
    </row>
    <row r="798" ht="15" customHeight="1">
      <c r="A798" t="inlineStr">
        <is>
          <t>A 61529-2022</t>
        </is>
      </c>
      <c r="B798" s="1" t="n">
        <v>44910</v>
      </c>
      <c r="C798" s="1" t="n">
        <v>46081</v>
      </c>
      <c r="D798" t="inlineStr">
        <is>
          <t>KALMAR LÄN</t>
        </is>
      </c>
      <c r="E798" t="inlineStr">
        <is>
          <t>VÄSTERVIK</t>
        </is>
      </c>
      <c r="G798" t="n">
        <v>6.5</v>
      </c>
      <c r="H798" t="n">
        <v>0</v>
      </c>
      <c r="I798" t="n">
        <v>0</v>
      </c>
      <c r="J798" t="n">
        <v>0</v>
      </c>
      <c r="K798" t="n">
        <v>0</v>
      </c>
      <c r="L798" t="n">
        <v>0</v>
      </c>
      <c r="M798" t="n">
        <v>0</v>
      </c>
      <c r="N798" t="n">
        <v>0</v>
      </c>
      <c r="O798" t="n">
        <v>0</v>
      </c>
      <c r="P798" t="n">
        <v>0</v>
      </c>
      <c r="Q798" t="n">
        <v>0</v>
      </c>
      <c r="R798" s="2" t="inlineStr"/>
    </row>
    <row r="799" ht="15" customHeight="1">
      <c r="A799" t="inlineStr">
        <is>
          <t>A 53259-2021</t>
        </is>
      </c>
      <c r="B799" s="1" t="n">
        <v>44468.47153935185</v>
      </c>
      <c r="C799" s="1" t="n">
        <v>46081</v>
      </c>
      <c r="D799" t="inlineStr">
        <is>
          <t>KALMAR LÄN</t>
        </is>
      </c>
      <c r="E799" t="inlineStr">
        <is>
          <t>VÄSTERVIK</t>
        </is>
      </c>
      <c r="G799" t="n">
        <v>2.8</v>
      </c>
      <c r="H799" t="n">
        <v>0</v>
      </c>
      <c r="I799" t="n">
        <v>0</v>
      </c>
      <c r="J799" t="n">
        <v>0</v>
      </c>
      <c r="K799" t="n">
        <v>0</v>
      </c>
      <c r="L799" t="n">
        <v>0</v>
      </c>
      <c r="M799" t="n">
        <v>0</v>
      </c>
      <c r="N799" t="n">
        <v>0</v>
      </c>
      <c r="O799" t="n">
        <v>0</v>
      </c>
      <c r="P799" t="n">
        <v>0</v>
      </c>
      <c r="Q799" t="n">
        <v>0</v>
      </c>
      <c r="R799" s="2" t="inlineStr"/>
    </row>
    <row r="800" ht="15" customHeight="1">
      <c r="A800" t="inlineStr">
        <is>
          <t>A 10116-2022</t>
        </is>
      </c>
      <c r="B800" s="1" t="n">
        <v>44621</v>
      </c>
      <c r="C800" s="1" t="n">
        <v>46081</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57452-2025</t>
        </is>
      </c>
      <c r="B801" s="1" t="n">
        <v>45980.50665509259</v>
      </c>
      <c r="C801" s="1" t="n">
        <v>46081</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54629-2024</t>
        </is>
      </c>
      <c r="B802" s="1" t="n">
        <v>45617.85399305556</v>
      </c>
      <c r="C802" s="1" t="n">
        <v>46081</v>
      </c>
      <c r="D802" t="inlineStr">
        <is>
          <t>KALMAR LÄN</t>
        </is>
      </c>
      <c r="E802" t="inlineStr">
        <is>
          <t>VÄSTERVIK</t>
        </is>
      </c>
      <c r="F802" t="inlineStr">
        <is>
          <t>Sveaskog</t>
        </is>
      </c>
      <c r="G802" t="n">
        <v>6.7</v>
      </c>
      <c r="H802" t="n">
        <v>0</v>
      </c>
      <c r="I802" t="n">
        <v>0</v>
      </c>
      <c r="J802" t="n">
        <v>0</v>
      </c>
      <c r="K802" t="n">
        <v>0</v>
      </c>
      <c r="L802" t="n">
        <v>0</v>
      </c>
      <c r="M802" t="n">
        <v>0</v>
      </c>
      <c r="N802" t="n">
        <v>0</v>
      </c>
      <c r="O802" t="n">
        <v>0</v>
      </c>
      <c r="P802" t="n">
        <v>0</v>
      </c>
      <c r="Q802" t="n">
        <v>0</v>
      </c>
      <c r="R802" s="2" t="inlineStr"/>
    </row>
    <row r="803" ht="15" customHeight="1">
      <c r="A803" t="inlineStr">
        <is>
          <t>A 29557-2024</t>
        </is>
      </c>
      <c r="B803" s="1" t="n">
        <v>45484.52023148148</v>
      </c>
      <c r="C803" s="1" t="n">
        <v>46081</v>
      </c>
      <c r="D803" t="inlineStr">
        <is>
          <t>KALMAR LÄN</t>
        </is>
      </c>
      <c r="E803" t="inlineStr">
        <is>
          <t>VÄSTERVIK</t>
        </is>
      </c>
      <c r="G803" t="n">
        <v>5.9</v>
      </c>
      <c r="H803" t="n">
        <v>0</v>
      </c>
      <c r="I803" t="n">
        <v>0</v>
      </c>
      <c r="J803" t="n">
        <v>0</v>
      </c>
      <c r="K803" t="n">
        <v>0</v>
      </c>
      <c r="L803" t="n">
        <v>0</v>
      </c>
      <c r="M803" t="n">
        <v>0</v>
      </c>
      <c r="N803" t="n">
        <v>0</v>
      </c>
      <c r="O803" t="n">
        <v>0</v>
      </c>
      <c r="P803" t="n">
        <v>0</v>
      </c>
      <c r="Q803" t="n">
        <v>0</v>
      </c>
      <c r="R803" s="2" t="inlineStr"/>
    </row>
    <row r="804" ht="15" customHeight="1">
      <c r="A804" t="inlineStr">
        <is>
          <t>A 57171-2025</t>
        </is>
      </c>
      <c r="B804" s="1" t="n">
        <v>45979.54754629629</v>
      </c>
      <c r="C804" s="1" t="n">
        <v>46081</v>
      </c>
      <c r="D804" t="inlineStr">
        <is>
          <t>KALMAR LÄN</t>
        </is>
      </c>
      <c r="E804" t="inlineStr">
        <is>
          <t>VÄSTERVIK</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8382-2023</t>
        </is>
      </c>
      <c r="B805" s="1" t="n">
        <v>44977.40112268519</v>
      </c>
      <c r="C805" s="1" t="n">
        <v>46081</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35959-2023</t>
        </is>
      </c>
      <c r="B806" s="1" t="n">
        <v>45148.84875</v>
      </c>
      <c r="C806" s="1" t="n">
        <v>46081</v>
      </c>
      <c r="D806" t="inlineStr">
        <is>
          <t>KALMAR LÄN</t>
        </is>
      </c>
      <c r="E806" t="inlineStr">
        <is>
          <t>VÄSTERVIK</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60685-2024</t>
        </is>
      </c>
      <c r="B807" s="1" t="n">
        <v>45644.46804398148</v>
      </c>
      <c r="C807" s="1" t="n">
        <v>46081</v>
      </c>
      <c r="D807" t="inlineStr">
        <is>
          <t>KALMAR LÄN</t>
        </is>
      </c>
      <c r="E807" t="inlineStr">
        <is>
          <t>VÄSTERVIK</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33814-2023</t>
        </is>
      </c>
      <c r="B808" s="1" t="n">
        <v>45133.59230324074</v>
      </c>
      <c r="C808" s="1" t="n">
        <v>46081</v>
      </c>
      <c r="D808" t="inlineStr">
        <is>
          <t>KALMAR LÄN</t>
        </is>
      </c>
      <c r="E808" t="inlineStr">
        <is>
          <t>VÄSTERVIK</t>
        </is>
      </c>
      <c r="G808" t="n">
        <v>3.9</v>
      </c>
      <c r="H808" t="n">
        <v>0</v>
      </c>
      <c r="I808" t="n">
        <v>0</v>
      </c>
      <c r="J808" t="n">
        <v>0</v>
      </c>
      <c r="K808" t="n">
        <v>0</v>
      </c>
      <c r="L808" t="n">
        <v>0</v>
      </c>
      <c r="M808" t="n">
        <v>0</v>
      </c>
      <c r="N808" t="n">
        <v>0</v>
      </c>
      <c r="O808" t="n">
        <v>0</v>
      </c>
      <c r="P808" t="n">
        <v>0</v>
      </c>
      <c r="Q808" t="n">
        <v>0</v>
      </c>
      <c r="R808" s="2" t="inlineStr"/>
    </row>
    <row r="809" ht="15" customHeight="1">
      <c r="A809" t="inlineStr">
        <is>
          <t>A 1787-2025</t>
        </is>
      </c>
      <c r="B809" s="1" t="n">
        <v>45671.45357638889</v>
      </c>
      <c r="C809" s="1" t="n">
        <v>46081</v>
      </c>
      <c r="D809" t="inlineStr">
        <is>
          <t>KALMAR LÄN</t>
        </is>
      </c>
      <c r="E809" t="inlineStr">
        <is>
          <t>VÄSTERVIK</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40674-2023</t>
        </is>
      </c>
      <c r="B810" s="1" t="n">
        <v>45170.59288194445</v>
      </c>
      <c r="C810" s="1" t="n">
        <v>46081</v>
      </c>
      <c r="D810" t="inlineStr">
        <is>
          <t>KALMAR LÄN</t>
        </is>
      </c>
      <c r="E810" t="inlineStr">
        <is>
          <t>VÄSTERVIK</t>
        </is>
      </c>
      <c r="G810" t="n">
        <v>4.2</v>
      </c>
      <c r="H810" t="n">
        <v>0</v>
      </c>
      <c r="I810" t="n">
        <v>0</v>
      </c>
      <c r="J810" t="n">
        <v>0</v>
      </c>
      <c r="K810" t="n">
        <v>0</v>
      </c>
      <c r="L810" t="n">
        <v>0</v>
      </c>
      <c r="M810" t="n">
        <v>0</v>
      </c>
      <c r="N810" t="n">
        <v>0</v>
      </c>
      <c r="O810" t="n">
        <v>0</v>
      </c>
      <c r="P810" t="n">
        <v>0</v>
      </c>
      <c r="Q810" t="n">
        <v>0</v>
      </c>
      <c r="R810" s="2" t="inlineStr"/>
    </row>
    <row r="811" ht="15" customHeight="1">
      <c r="A811" t="inlineStr">
        <is>
          <t>A 40677-2023</t>
        </is>
      </c>
      <c r="B811" s="1" t="n">
        <v>45170.59443287037</v>
      </c>
      <c r="C811" s="1" t="n">
        <v>46081</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57688-2024</t>
        </is>
      </c>
      <c r="B812" s="1" t="n">
        <v>45630.65180555556</v>
      </c>
      <c r="C812" s="1" t="n">
        <v>46081</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5923-2024</t>
        </is>
      </c>
      <c r="B813" s="1" t="n">
        <v>45335</v>
      </c>
      <c r="C813" s="1" t="n">
        <v>46081</v>
      </c>
      <c r="D813" t="inlineStr">
        <is>
          <t>KALMAR LÄN</t>
        </is>
      </c>
      <c r="E813" t="inlineStr">
        <is>
          <t>VÄSTERVIK</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58170-2025</t>
        </is>
      </c>
      <c r="B814" s="1" t="n">
        <v>45982</v>
      </c>
      <c r="C814" s="1" t="n">
        <v>46081</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58096-2025</t>
        </is>
      </c>
      <c r="B815" s="1" t="n">
        <v>45982.5784375</v>
      </c>
      <c r="C815" s="1" t="n">
        <v>46081</v>
      </c>
      <c r="D815" t="inlineStr">
        <is>
          <t>KALMAR LÄN</t>
        </is>
      </c>
      <c r="E815" t="inlineStr">
        <is>
          <t>VÄSTERVIK</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58118-2025</t>
        </is>
      </c>
      <c r="B816" s="1" t="n">
        <v>45982.60695601852</v>
      </c>
      <c r="C816" s="1" t="n">
        <v>46081</v>
      </c>
      <c r="D816" t="inlineStr">
        <is>
          <t>KALMAR LÄN</t>
        </is>
      </c>
      <c r="E816" t="inlineStr">
        <is>
          <t>VÄSTERVIK</t>
        </is>
      </c>
      <c r="F816" t="inlineStr">
        <is>
          <t>Holmen skog AB</t>
        </is>
      </c>
      <c r="G816" t="n">
        <v>6.7</v>
      </c>
      <c r="H816" t="n">
        <v>0</v>
      </c>
      <c r="I816" t="n">
        <v>0</v>
      </c>
      <c r="J816" t="n">
        <v>0</v>
      </c>
      <c r="K816" t="n">
        <v>0</v>
      </c>
      <c r="L816" t="n">
        <v>0</v>
      </c>
      <c r="M816" t="n">
        <v>0</v>
      </c>
      <c r="N816" t="n">
        <v>0</v>
      </c>
      <c r="O816" t="n">
        <v>0</v>
      </c>
      <c r="P816" t="n">
        <v>0</v>
      </c>
      <c r="Q816" t="n">
        <v>0</v>
      </c>
      <c r="R816" s="2" t="inlineStr"/>
    </row>
    <row r="817" ht="15" customHeight="1">
      <c r="A817" t="inlineStr">
        <is>
          <t>A 55359-2024</t>
        </is>
      </c>
      <c r="B817" s="1" t="n">
        <v>45621.82230324074</v>
      </c>
      <c r="C817" s="1" t="n">
        <v>46081</v>
      </c>
      <c r="D817" t="inlineStr">
        <is>
          <t>KALMAR LÄN</t>
        </is>
      </c>
      <c r="E817" t="inlineStr">
        <is>
          <t>VÄSTERVIK</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58360-2025</t>
        </is>
      </c>
      <c r="B818" s="1" t="n">
        <v>45985.51743055556</v>
      </c>
      <c r="C818" s="1" t="n">
        <v>46081</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9263-2025</t>
        </is>
      </c>
      <c r="B819" s="1" t="n">
        <v>45714.60927083333</v>
      </c>
      <c r="C819" s="1" t="n">
        <v>46081</v>
      </c>
      <c r="D819" t="inlineStr">
        <is>
          <t>KALMAR LÄN</t>
        </is>
      </c>
      <c r="E819" t="inlineStr">
        <is>
          <t>VÄSTERVIK</t>
        </is>
      </c>
      <c r="F819" t="inlineStr">
        <is>
          <t>Sveaskog</t>
        </is>
      </c>
      <c r="G819" t="n">
        <v>5.2</v>
      </c>
      <c r="H819" t="n">
        <v>0</v>
      </c>
      <c r="I819" t="n">
        <v>0</v>
      </c>
      <c r="J819" t="n">
        <v>0</v>
      </c>
      <c r="K819" t="n">
        <v>0</v>
      </c>
      <c r="L819" t="n">
        <v>0</v>
      </c>
      <c r="M819" t="n">
        <v>0</v>
      </c>
      <c r="N819" t="n">
        <v>0</v>
      </c>
      <c r="O819" t="n">
        <v>0</v>
      </c>
      <c r="P819" t="n">
        <v>0</v>
      </c>
      <c r="Q819" t="n">
        <v>0</v>
      </c>
      <c r="R819" s="2" t="inlineStr"/>
    </row>
    <row r="820" ht="15" customHeight="1">
      <c r="A820" t="inlineStr">
        <is>
          <t>A 58700-2025</t>
        </is>
      </c>
      <c r="B820" s="1" t="n">
        <v>45986.59064814815</v>
      </c>
      <c r="C820" s="1" t="n">
        <v>46081</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58338-2025</t>
        </is>
      </c>
      <c r="B821" s="1" t="n">
        <v>45985.48965277777</v>
      </c>
      <c r="C821" s="1" t="n">
        <v>46081</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58349-2025</t>
        </is>
      </c>
      <c r="B822" s="1" t="n">
        <v>45985.50574074074</v>
      </c>
      <c r="C822" s="1" t="n">
        <v>46081</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38045-2023</t>
        </is>
      </c>
      <c r="B823" s="1" t="n">
        <v>45160.67251157408</v>
      </c>
      <c r="C823" s="1" t="n">
        <v>46081</v>
      </c>
      <c r="D823" t="inlineStr">
        <is>
          <t>KALMAR LÄN</t>
        </is>
      </c>
      <c r="E823" t="inlineStr">
        <is>
          <t>VÄSTERVIK</t>
        </is>
      </c>
      <c r="F823" t="inlineStr">
        <is>
          <t>Sveaskog</t>
        </is>
      </c>
      <c r="G823" t="n">
        <v>7.9</v>
      </c>
      <c r="H823" t="n">
        <v>0</v>
      </c>
      <c r="I823" t="n">
        <v>0</v>
      </c>
      <c r="J823" t="n">
        <v>0</v>
      </c>
      <c r="K823" t="n">
        <v>0</v>
      </c>
      <c r="L823" t="n">
        <v>0</v>
      </c>
      <c r="M823" t="n">
        <v>0</v>
      </c>
      <c r="N823" t="n">
        <v>0</v>
      </c>
      <c r="O823" t="n">
        <v>0</v>
      </c>
      <c r="P823" t="n">
        <v>0</v>
      </c>
      <c r="Q823" t="n">
        <v>0</v>
      </c>
      <c r="R823" s="2" t="inlineStr"/>
    </row>
    <row r="824" ht="15" customHeight="1">
      <c r="A824" t="inlineStr">
        <is>
          <t>A 58771-2025</t>
        </is>
      </c>
      <c r="B824" s="1" t="n">
        <v>45986.68908564815</v>
      </c>
      <c r="C824" s="1" t="n">
        <v>46081</v>
      </c>
      <c r="D824" t="inlineStr">
        <is>
          <t>KALMAR LÄN</t>
        </is>
      </c>
      <c r="E824" t="inlineStr">
        <is>
          <t>VÄSTERVIK</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36555-2024</t>
        </is>
      </c>
      <c r="B825" s="1" t="n">
        <v>45537</v>
      </c>
      <c r="C825" s="1" t="n">
        <v>46081</v>
      </c>
      <c r="D825" t="inlineStr">
        <is>
          <t>KALMAR LÄN</t>
        </is>
      </c>
      <c r="E825" t="inlineStr">
        <is>
          <t>VÄSTERVIK</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58370-2025</t>
        </is>
      </c>
      <c r="B826" s="1" t="n">
        <v>45985.53002314815</v>
      </c>
      <c r="C826" s="1" t="n">
        <v>46081</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58377-2025</t>
        </is>
      </c>
      <c r="B827" s="1" t="n">
        <v>45985.53223379629</v>
      </c>
      <c r="C827" s="1" t="n">
        <v>46081</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46081</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58778-2025</t>
        </is>
      </c>
      <c r="B829" s="1" t="n">
        <v>45986.70459490741</v>
      </c>
      <c r="C829" s="1" t="n">
        <v>46081</v>
      </c>
      <c r="D829" t="inlineStr">
        <is>
          <t>KALMAR LÄN</t>
        </is>
      </c>
      <c r="E829" t="inlineStr">
        <is>
          <t>VÄSTERVIK</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58367-2025</t>
        </is>
      </c>
      <c r="B830" s="1" t="n">
        <v>45985.52637731482</v>
      </c>
      <c r="C830" s="1" t="n">
        <v>46081</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59216-2025</t>
        </is>
      </c>
      <c r="B831" s="1" t="n">
        <v>45988.61649305555</v>
      </c>
      <c r="C831" s="1" t="n">
        <v>46081</v>
      </c>
      <c r="D831" t="inlineStr">
        <is>
          <t>KALMAR LÄN</t>
        </is>
      </c>
      <c r="E831" t="inlineStr">
        <is>
          <t>VÄSTERVIK</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59045-2025</t>
        </is>
      </c>
      <c r="B832" s="1" t="n">
        <v>45988.37289351852</v>
      </c>
      <c r="C832" s="1" t="n">
        <v>46081</v>
      </c>
      <c r="D832" t="inlineStr">
        <is>
          <t>KALMAR LÄN</t>
        </is>
      </c>
      <c r="E832" t="inlineStr">
        <is>
          <t>VÄSTERVIK</t>
        </is>
      </c>
      <c r="F832" t="inlineStr">
        <is>
          <t>Kyrkan</t>
        </is>
      </c>
      <c r="G832" t="n">
        <v>6.9</v>
      </c>
      <c r="H832" t="n">
        <v>0</v>
      </c>
      <c r="I832" t="n">
        <v>0</v>
      </c>
      <c r="J832" t="n">
        <v>0</v>
      </c>
      <c r="K832" t="n">
        <v>0</v>
      </c>
      <c r="L832" t="n">
        <v>0</v>
      </c>
      <c r="M832" t="n">
        <v>0</v>
      </c>
      <c r="N832" t="n">
        <v>0</v>
      </c>
      <c r="O832" t="n">
        <v>0</v>
      </c>
      <c r="P832" t="n">
        <v>0</v>
      </c>
      <c r="Q832" t="n">
        <v>0</v>
      </c>
      <c r="R832" s="2" t="inlineStr"/>
    </row>
    <row r="833" ht="15" customHeight="1">
      <c r="A833" t="inlineStr">
        <is>
          <t>A 55361-2024</t>
        </is>
      </c>
      <c r="B833" s="1" t="n">
        <v>45621.83300925926</v>
      </c>
      <c r="C833" s="1" t="n">
        <v>46081</v>
      </c>
      <c r="D833" t="inlineStr">
        <is>
          <t>KALMAR LÄN</t>
        </is>
      </c>
      <c r="E833" t="inlineStr">
        <is>
          <t>VÄSTERVIK</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55362-2024</t>
        </is>
      </c>
      <c r="B834" s="1" t="n">
        <v>45621.83461805555</v>
      </c>
      <c r="C834" s="1" t="n">
        <v>46081</v>
      </c>
      <c r="D834" t="inlineStr">
        <is>
          <t>KALMAR LÄN</t>
        </is>
      </c>
      <c r="E834" t="inlineStr">
        <is>
          <t>VÄSTERVIK</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59189-2025</t>
        </is>
      </c>
      <c r="B835" s="1" t="n">
        <v>45988.5893287037</v>
      </c>
      <c r="C835" s="1" t="n">
        <v>46081</v>
      </c>
      <c r="D835" t="inlineStr">
        <is>
          <t>KALMAR LÄN</t>
        </is>
      </c>
      <c r="E835" t="inlineStr">
        <is>
          <t>VÄSTERVIK</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3041-2025</t>
        </is>
      </c>
      <c r="B836" s="1" t="n">
        <v>45678.60493055556</v>
      </c>
      <c r="C836" s="1" t="n">
        <v>46081</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c r="U836">
        <f>HYPERLINK("https://klasma.github.io/Logging_0883/knärot/A 3041-2025 karta knärot.png", "A 3041-2025")</f>
        <v/>
      </c>
      <c r="V836">
        <f>HYPERLINK("https://klasma.github.io/Logging_0883/klagomål/A 3041-2025 FSC-klagomål.docx", "A 3041-2025")</f>
        <v/>
      </c>
      <c r="W836">
        <f>HYPERLINK("https://klasma.github.io/Logging_0883/klagomålsmail/A 3041-2025 FSC-klagomål mail.docx", "A 3041-2025")</f>
        <v/>
      </c>
      <c r="X836">
        <f>HYPERLINK("https://klasma.github.io/Logging_0883/tillsyn/A 3041-2025 tillsynsbegäran.docx", "A 3041-2025")</f>
        <v/>
      </c>
      <c r="Y836">
        <f>HYPERLINK("https://klasma.github.io/Logging_0883/tillsynsmail/A 3041-2025 tillsynsbegäran mail.docx", "A 3041-2025")</f>
        <v/>
      </c>
    </row>
    <row r="837" ht="15" customHeight="1">
      <c r="A837" t="inlineStr">
        <is>
          <t>A 2360-2025</t>
        </is>
      </c>
      <c r="B837" s="1" t="n">
        <v>45673.69037037037</v>
      </c>
      <c r="C837" s="1" t="n">
        <v>46081</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42816-2024</t>
        </is>
      </c>
      <c r="B838" s="1" t="n">
        <v>45566</v>
      </c>
      <c r="C838" s="1" t="n">
        <v>46081</v>
      </c>
      <c r="D838" t="inlineStr">
        <is>
          <t>KALMAR LÄN</t>
        </is>
      </c>
      <c r="E838" t="inlineStr">
        <is>
          <t>VÄSTERVIK</t>
        </is>
      </c>
      <c r="G838" t="n">
        <v>0.1</v>
      </c>
      <c r="H838" t="n">
        <v>0</v>
      </c>
      <c r="I838" t="n">
        <v>0</v>
      </c>
      <c r="J838" t="n">
        <v>0</v>
      </c>
      <c r="K838" t="n">
        <v>0</v>
      </c>
      <c r="L838" t="n">
        <v>0</v>
      </c>
      <c r="M838" t="n">
        <v>0</v>
      </c>
      <c r="N838" t="n">
        <v>0</v>
      </c>
      <c r="O838" t="n">
        <v>0</v>
      </c>
      <c r="P838" t="n">
        <v>0</v>
      </c>
      <c r="Q838" t="n">
        <v>0</v>
      </c>
      <c r="R838" s="2" t="inlineStr"/>
    </row>
    <row r="839" ht="15" customHeight="1">
      <c r="A839" t="inlineStr">
        <is>
          <t>A 59093-2025</t>
        </is>
      </c>
      <c r="B839" s="1" t="n">
        <v>45988.44945601852</v>
      </c>
      <c r="C839" s="1" t="n">
        <v>46081</v>
      </c>
      <c r="D839" t="inlineStr">
        <is>
          <t>KALMAR LÄN</t>
        </is>
      </c>
      <c r="E839" t="inlineStr">
        <is>
          <t>VÄSTERVIK</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59187-2025</t>
        </is>
      </c>
      <c r="B840" s="1" t="n">
        <v>45988.58630787037</v>
      </c>
      <c r="C840" s="1" t="n">
        <v>46081</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21824-2023</t>
        </is>
      </c>
      <c r="B841" s="1" t="n">
        <v>45068</v>
      </c>
      <c r="C841" s="1" t="n">
        <v>46081</v>
      </c>
      <c r="D841" t="inlineStr">
        <is>
          <t>KALMAR LÄN</t>
        </is>
      </c>
      <c r="E841" t="inlineStr">
        <is>
          <t>VÄSTERVIK</t>
        </is>
      </c>
      <c r="G841" t="n">
        <v>1.7</v>
      </c>
      <c r="H841" t="n">
        <v>0</v>
      </c>
      <c r="I841" t="n">
        <v>0</v>
      </c>
      <c r="J841" t="n">
        <v>0</v>
      </c>
      <c r="K841" t="n">
        <v>0</v>
      </c>
      <c r="L841" t="n">
        <v>0</v>
      </c>
      <c r="M841" t="n">
        <v>0</v>
      </c>
      <c r="N841" t="n">
        <v>0</v>
      </c>
      <c r="O841" t="n">
        <v>0</v>
      </c>
      <c r="P841" t="n">
        <v>0</v>
      </c>
      <c r="Q841" t="n">
        <v>0</v>
      </c>
      <c r="R841" s="2" t="inlineStr"/>
    </row>
    <row r="842" ht="15" customHeight="1">
      <c r="A842" t="inlineStr">
        <is>
          <t>A 1788-2025</t>
        </is>
      </c>
      <c r="B842" s="1" t="n">
        <v>45671.45521990741</v>
      </c>
      <c r="C842" s="1" t="n">
        <v>46081</v>
      </c>
      <c r="D842" t="inlineStr">
        <is>
          <t>KALMAR LÄN</t>
        </is>
      </c>
      <c r="E842" t="inlineStr">
        <is>
          <t>VÄSTERVIK</t>
        </is>
      </c>
      <c r="F842" t="inlineStr">
        <is>
          <t>Sveaskog</t>
        </is>
      </c>
      <c r="G842" t="n">
        <v>2.7</v>
      </c>
      <c r="H842" t="n">
        <v>0</v>
      </c>
      <c r="I842" t="n">
        <v>0</v>
      </c>
      <c r="J842" t="n">
        <v>0</v>
      </c>
      <c r="K842" t="n">
        <v>0</v>
      </c>
      <c r="L842" t="n">
        <v>0</v>
      </c>
      <c r="M842" t="n">
        <v>0</v>
      </c>
      <c r="N842" t="n">
        <v>0</v>
      </c>
      <c r="O842" t="n">
        <v>0</v>
      </c>
      <c r="P842" t="n">
        <v>0</v>
      </c>
      <c r="Q842" t="n">
        <v>0</v>
      </c>
      <c r="R842" s="2" t="inlineStr"/>
    </row>
    <row r="843" ht="15" customHeight="1">
      <c r="A843" t="inlineStr">
        <is>
          <t>A 55565-2024</t>
        </is>
      </c>
      <c r="B843" s="1" t="n">
        <v>45622.54515046296</v>
      </c>
      <c r="C843" s="1" t="n">
        <v>46081</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10771-2025</t>
        </is>
      </c>
      <c r="B844" s="1" t="n">
        <v>45722.46953703704</v>
      </c>
      <c r="C844" s="1" t="n">
        <v>46081</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60178-2025</t>
        </is>
      </c>
      <c r="B845" s="1" t="n">
        <v>45994.45673611111</v>
      </c>
      <c r="C845" s="1" t="n">
        <v>46081</v>
      </c>
      <c r="D845" t="inlineStr">
        <is>
          <t>KALMAR LÄN</t>
        </is>
      </c>
      <c r="E845" t="inlineStr">
        <is>
          <t>VÄSTERVIK</t>
        </is>
      </c>
      <c r="G845" t="n">
        <v>1.4</v>
      </c>
      <c r="H845" t="n">
        <v>0</v>
      </c>
      <c r="I845" t="n">
        <v>0</v>
      </c>
      <c r="J845" t="n">
        <v>0</v>
      </c>
      <c r="K845" t="n">
        <v>0</v>
      </c>
      <c r="L845" t="n">
        <v>0</v>
      </c>
      <c r="M845" t="n">
        <v>0</v>
      </c>
      <c r="N845" t="n">
        <v>0</v>
      </c>
      <c r="O845" t="n">
        <v>0</v>
      </c>
      <c r="P845" t="n">
        <v>0</v>
      </c>
      <c r="Q845" t="n">
        <v>0</v>
      </c>
      <c r="R845" s="2" t="inlineStr"/>
    </row>
    <row r="846" ht="15" customHeight="1">
      <c r="A846" t="inlineStr">
        <is>
          <t>A 28657-2024</t>
        </is>
      </c>
      <c r="B846" s="1" t="n">
        <v>45478</v>
      </c>
      <c r="C846" s="1" t="n">
        <v>46081</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26061-2024</t>
        </is>
      </c>
      <c r="B847" s="1" t="n">
        <v>45468.35030092593</v>
      </c>
      <c r="C847" s="1" t="n">
        <v>46081</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26066-2024</t>
        </is>
      </c>
      <c r="B848" s="1" t="n">
        <v>45468.35390046296</v>
      </c>
      <c r="C848" s="1" t="n">
        <v>46081</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58764-2024</t>
        </is>
      </c>
      <c r="B849" s="1" t="n">
        <v>45635.72293981481</v>
      </c>
      <c r="C849" s="1" t="n">
        <v>46081</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46081</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7883-2025</t>
        </is>
      </c>
      <c r="B851" s="1" t="n">
        <v>45706.8156712963</v>
      </c>
      <c r="C851" s="1" t="n">
        <v>46081</v>
      </c>
      <c r="D851" t="inlineStr">
        <is>
          <t>KALMAR LÄN</t>
        </is>
      </c>
      <c r="E851" t="inlineStr">
        <is>
          <t>VÄSTERVIK</t>
        </is>
      </c>
      <c r="G851" t="n">
        <v>0.2</v>
      </c>
      <c r="H851" t="n">
        <v>0</v>
      </c>
      <c r="I851" t="n">
        <v>0</v>
      </c>
      <c r="J851" t="n">
        <v>0</v>
      </c>
      <c r="K851" t="n">
        <v>0</v>
      </c>
      <c r="L851" t="n">
        <v>0</v>
      </c>
      <c r="M851" t="n">
        <v>0</v>
      </c>
      <c r="N851" t="n">
        <v>0</v>
      </c>
      <c r="O851" t="n">
        <v>0</v>
      </c>
      <c r="P851" t="n">
        <v>0</v>
      </c>
      <c r="Q851" t="n">
        <v>0</v>
      </c>
      <c r="R851" s="2" t="inlineStr"/>
    </row>
    <row r="852" ht="15" customHeight="1">
      <c r="A852" t="inlineStr">
        <is>
          <t>A 2859-2025</t>
        </is>
      </c>
      <c r="B852" s="1" t="n">
        <v>45677.67003472222</v>
      </c>
      <c r="C852" s="1" t="n">
        <v>46081</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2870-2025</t>
        </is>
      </c>
      <c r="B853" s="1" t="n">
        <v>45677.68149305556</v>
      </c>
      <c r="C853" s="1" t="n">
        <v>46081</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60785-2025</t>
        </is>
      </c>
      <c r="B854" s="1" t="n">
        <v>45999.40421296296</v>
      </c>
      <c r="C854" s="1" t="n">
        <v>46081</v>
      </c>
      <c r="D854" t="inlineStr">
        <is>
          <t>KALMAR LÄN</t>
        </is>
      </c>
      <c r="E854" t="inlineStr">
        <is>
          <t>VÄSTERVIK</t>
        </is>
      </c>
      <c r="G854" t="n">
        <v>2.1</v>
      </c>
      <c r="H854" t="n">
        <v>0</v>
      </c>
      <c r="I854" t="n">
        <v>0</v>
      </c>
      <c r="J854" t="n">
        <v>0</v>
      </c>
      <c r="K854" t="n">
        <v>0</v>
      </c>
      <c r="L854" t="n">
        <v>0</v>
      </c>
      <c r="M854" t="n">
        <v>0</v>
      </c>
      <c r="N854" t="n">
        <v>0</v>
      </c>
      <c r="O854" t="n">
        <v>0</v>
      </c>
      <c r="P854" t="n">
        <v>0</v>
      </c>
      <c r="Q854" t="n">
        <v>0</v>
      </c>
      <c r="R854" s="2" t="inlineStr"/>
    </row>
    <row r="855" ht="15" customHeight="1">
      <c r="A855" t="inlineStr">
        <is>
          <t>A 55032-2024</t>
        </is>
      </c>
      <c r="B855" s="1" t="n">
        <v>45621.38190972222</v>
      </c>
      <c r="C855" s="1" t="n">
        <v>46081</v>
      </c>
      <c r="D855" t="inlineStr">
        <is>
          <t>KALMAR LÄN</t>
        </is>
      </c>
      <c r="E855" t="inlineStr">
        <is>
          <t>VÄSTERVIK</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55037-2024</t>
        </is>
      </c>
      <c r="B856" s="1" t="n">
        <v>45621.38459490741</v>
      </c>
      <c r="C856" s="1" t="n">
        <v>46081</v>
      </c>
      <c r="D856" t="inlineStr">
        <is>
          <t>KALMAR LÄN</t>
        </is>
      </c>
      <c r="E856" t="inlineStr">
        <is>
          <t>VÄSTERVIK</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61543-2025</t>
        </is>
      </c>
      <c r="B857" s="1" t="n">
        <v>46001.76518518518</v>
      </c>
      <c r="C857" s="1" t="n">
        <v>46081</v>
      </c>
      <c r="D857" t="inlineStr">
        <is>
          <t>KALMAR LÄN</t>
        </is>
      </c>
      <c r="E857" t="inlineStr">
        <is>
          <t>VÄSTERVIK</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55358-2024</t>
        </is>
      </c>
      <c r="B858" s="1" t="n">
        <v>45621.82039351852</v>
      </c>
      <c r="C858" s="1" t="n">
        <v>46081</v>
      </c>
      <c r="D858" t="inlineStr">
        <is>
          <t>KALMAR LÄN</t>
        </is>
      </c>
      <c r="E858" t="inlineStr">
        <is>
          <t>VÄSTERVIK</t>
        </is>
      </c>
      <c r="F858" t="inlineStr">
        <is>
          <t>Sveaskog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19551-2023</t>
        </is>
      </c>
      <c r="B859" s="1" t="n">
        <v>45049</v>
      </c>
      <c r="C859" s="1" t="n">
        <v>46081</v>
      </c>
      <c r="D859" t="inlineStr">
        <is>
          <t>KALMAR LÄN</t>
        </is>
      </c>
      <c r="E859" t="inlineStr">
        <is>
          <t>VÄSTERVIK</t>
        </is>
      </c>
      <c r="G859" t="n">
        <v>3.2</v>
      </c>
      <c r="H859" t="n">
        <v>0</v>
      </c>
      <c r="I859" t="n">
        <v>0</v>
      </c>
      <c r="J859" t="n">
        <v>0</v>
      </c>
      <c r="K859" t="n">
        <v>0</v>
      </c>
      <c r="L859" t="n">
        <v>0</v>
      </c>
      <c r="M859" t="n">
        <v>0</v>
      </c>
      <c r="N859" t="n">
        <v>0</v>
      </c>
      <c r="O859" t="n">
        <v>0</v>
      </c>
      <c r="P859" t="n">
        <v>0</v>
      </c>
      <c r="Q859" t="n">
        <v>0</v>
      </c>
      <c r="R859" s="2" t="inlineStr"/>
    </row>
    <row r="860" ht="15" customHeight="1">
      <c r="A860" t="inlineStr">
        <is>
          <t>A 32394-2021</t>
        </is>
      </c>
      <c r="B860" s="1" t="n">
        <v>44371.63414351852</v>
      </c>
      <c r="C860" s="1" t="n">
        <v>46081</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61544-2025</t>
        </is>
      </c>
      <c r="B861" s="1" t="n">
        <v>46001.76704861111</v>
      </c>
      <c r="C861" s="1" t="n">
        <v>46081</v>
      </c>
      <c r="D861" t="inlineStr">
        <is>
          <t>KALMAR LÄN</t>
        </is>
      </c>
      <c r="E861" t="inlineStr">
        <is>
          <t>VÄSTERVIK</t>
        </is>
      </c>
      <c r="F861" t="inlineStr">
        <is>
          <t>Sveaskog</t>
        </is>
      </c>
      <c r="G861" t="n">
        <v>17.8</v>
      </c>
      <c r="H861" t="n">
        <v>0</v>
      </c>
      <c r="I861" t="n">
        <v>0</v>
      </c>
      <c r="J861" t="n">
        <v>0</v>
      </c>
      <c r="K861" t="n">
        <v>0</v>
      </c>
      <c r="L861" t="n">
        <v>0</v>
      </c>
      <c r="M861" t="n">
        <v>0</v>
      </c>
      <c r="N861" t="n">
        <v>0</v>
      </c>
      <c r="O861" t="n">
        <v>0</v>
      </c>
      <c r="P861" t="n">
        <v>0</v>
      </c>
      <c r="Q861" t="n">
        <v>0</v>
      </c>
      <c r="R861" s="2" t="inlineStr"/>
    </row>
    <row r="862" ht="15" customHeight="1">
      <c r="A862" t="inlineStr">
        <is>
          <t>A 17052-2025</t>
        </is>
      </c>
      <c r="B862" s="1" t="n">
        <v>45755.60236111111</v>
      </c>
      <c r="C862" s="1" t="n">
        <v>46081</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17054-2025</t>
        </is>
      </c>
      <c r="B863" s="1" t="n">
        <v>45755.60278935185</v>
      </c>
      <c r="C863" s="1" t="n">
        <v>46081</v>
      </c>
      <c r="D863" t="inlineStr">
        <is>
          <t>KALMAR LÄN</t>
        </is>
      </c>
      <c r="E863" t="inlineStr">
        <is>
          <t>VÄSTERVIK</t>
        </is>
      </c>
      <c r="G863" t="n">
        <v>0.4</v>
      </c>
      <c r="H863" t="n">
        <v>0</v>
      </c>
      <c r="I863" t="n">
        <v>0</v>
      </c>
      <c r="J863" t="n">
        <v>0</v>
      </c>
      <c r="K863" t="n">
        <v>0</v>
      </c>
      <c r="L863" t="n">
        <v>0</v>
      </c>
      <c r="M863" t="n">
        <v>0</v>
      </c>
      <c r="N863" t="n">
        <v>0</v>
      </c>
      <c r="O863" t="n">
        <v>0</v>
      </c>
      <c r="P863" t="n">
        <v>0</v>
      </c>
      <c r="Q863" t="n">
        <v>0</v>
      </c>
      <c r="R863" s="2" t="inlineStr"/>
    </row>
    <row r="864" ht="15" customHeight="1">
      <c r="A864" t="inlineStr">
        <is>
          <t>A 4189-2026</t>
        </is>
      </c>
      <c r="B864" s="1" t="n">
        <v>46044.69300925926</v>
      </c>
      <c r="C864" s="1" t="n">
        <v>46081</v>
      </c>
      <c r="D864" t="inlineStr">
        <is>
          <t>KALMAR LÄN</t>
        </is>
      </c>
      <c r="E864" t="inlineStr">
        <is>
          <t>VÄSTERVIK</t>
        </is>
      </c>
      <c r="G864" t="n">
        <v>3.4</v>
      </c>
      <c r="H864" t="n">
        <v>0</v>
      </c>
      <c r="I864" t="n">
        <v>0</v>
      </c>
      <c r="J864" t="n">
        <v>0</v>
      </c>
      <c r="K864" t="n">
        <v>0</v>
      </c>
      <c r="L864" t="n">
        <v>0</v>
      </c>
      <c r="M864" t="n">
        <v>0</v>
      </c>
      <c r="N864" t="n">
        <v>0</v>
      </c>
      <c r="O864" t="n">
        <v>0</v>
      </c>
      <c r="P864" t="n">
        <v>0</v>
      </c>
      <c r="Q864" t="n">
        <v>0</v>
      </c>
      <c r="R864" s="2" t="inlineStr"/>
    </row>
    <row r="865" ht="15" customHeight="1">
      <c r="A865" t="inlineStr">
        <is>
          <t>A 26770-2023</t>
        </is>
      </c>
      <c r="B865" s="1" t="n">
        <v>45093</v>
      </c>
      <c r="C865" s="1" t="n">
        <v>46081</v>
      </c>
      <c r="D865" t="inlineStr">
        <is>
          <t>KALMAR LÄN</t>
        </is>
      </c>
      <c r="E865" t="inlineStr">
        <is>
          <t>VÄSTERVIK</t>
        </is>
      </c>
      <c r="G865" t="n">
        <v>2.6</v>
      </c>
      <c r="H865" t="n">
        <v>0</v>
      </c>
      <c r="I865" t="n">
        <v>0</v>
      </c>
      <c r="J865" t="n">
        <v>0</v>
      </c>
      <c r="K865" t="n">
        <v>0</v>
      </c>
      <c r="L865" t="n">
        <v>0</v>
      </c>
      <c r="M865" t="n">
        <v>0</v>
      </c>
      <c r="N865" t="n">
        <v>0</v>
      </c>
      <c r="O865" t="n">
        <v>0</v>
      </c>
      <c r="P865" t="n">
        <v>0</v>
      </c>
      <c r="Q865" t="n">
        <v>0</v>
      </c>
      <c r="R865" s="2" t="inlineStr"/>
    </row>
    <row r="866" ht="15" customHeight="1">
      <c r="A866" t="inlineStr">
        <is>
          <t>A 26772-2023</t>
        </is>
      </c>
      <c r="B866" s="1" t="n">
        <v>45093</v>
      </c>
      <c r="C866" s="1" t="n">
        <v>46081</v>
      </c>
      <c r="D866" t="inlineStr">
        <is>
          <t>KALMAR LÄN</t>
        </is>
      </c>
      <c r="E866" t="inlineStr">
        <is>
          <t>VÄSTERVIK</t>
        </is>
      </c>
      <c r="G866" t="n">
        <v>2</v>
      </c>
      <c r="H866" t="n">
        <v>0</v>
      </c>
      <c r="I866" t="n">
        <v>0</v>
      </c>
      <c r="J866" t="n">
        <v>0</v>
      </c>
      <c r="K866" t="n">
        <v>0</v>
      </c>
      <c r="L866" t="n">
        <v>0</v>
      </c>
      <c r="M866" t="n">
        <v>0</v>
      </c>
      <c r="N866" t="n">
        <v>0</v>
      </c>
      <c r="O866" t="n">
        <v>0</v>
      </c>
      <c r="P866" t="n">
        <v>0</v>
      </c>
      <c r="Q866" t="n">
        <v>0</v>
      </c>
      <c r="R866" s="2" t="inlineStr"/>
    </row>
    <row r="867" ht="15" customHeight="1">
      <c r="A867" t="inlineStr">
        <is>
          <t>A 26773-2023</t>
        </is>
      </c>
      <c r="B867" s="1" t="n">
        <v>45093</v>
      </c>
      <c r="C867" s="1" t="n">
        <v>46081</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61542-2025</t>
        </is>
      </c>
      <c r="B868" s="1" t="n">
        <v>46001.76293981481</v>
      </c>
      <c r="C868" s="1" t="n">
        <v>46081</v>
      </c>
      <c r="D868" t="inlineStr">
        <is>
          <t>KALMAR LÄN</t>
        </is>
      </c>
      <c r="E868" t="inlineStr">
        <is>
          <t>VÄSTERVIK</t>
        </is>
      </c>
      <c r="F868" t="inlineStr">
        <is>
          <t>Sveaskog</t>
        </is>
      </c>
      <c r="G868" t="n">
        <v>5.9</v>
      </c>
      <c r="H868" t="n">
        <v>0</v>
      </c>
      <c r="I868" t="n">
        <v>0</v>
      </c>
      <c r="J868" t="n">
        <v>0</v>
      </c>
      <c r="K868" t="n">
        <v>0</v>
      </c>
      <c r="L868" t="n">
        <v>0</v>
      </c>
      <c r="M868" t="n">
        <v>0</v>
      </c>
      <c r="N868" t="n">
        <v>0</v>
      </c>
      <c r="O868" t="n">
        <v>0</v>
      </c>
      <c r="P868" t="n">
        <v>0</v>
      </c>
      <c r="Q868" t="n">
        <v>0</v>
      </c>
      <c r="R868" s="2" t="inlineStr"/>
    </row>
    <row r="869" ht="15" customHeight="1">
      <c r="A869" t="inlineStr">
        <is>
          <t>A 46130-2023</t>
        </is>
      </c>
      <c r="B869" s="1" t="n">
        <v>45196.55849537037</v>
      </c>
      <c r="C869" s="1" t="n">
        <v>46081</v>
      </c>
      <c r="D869" t="inlineStr">
        <is>
          <t>KALMAR LÄN</t>
        </is>
      </c>
      <c r="E869" t="inlineStr">
        <is>
          <t>VÄSTERVIK</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16207-2022</t>
        </is>
      </c>
      <c r="B870" s="1" t="n">
        <v>44669</v>
      </c>
      <c r="C870" s="1" t="n">
        <v>46081</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3623-2026</t>
        </is>
      </c>
      <c r="B871" s="1" t="n">
        <v>46043</v>
      </c>
      <c r="C871" s="1" t="n">
        <v>46081</v>
      </c>
      <c r="D871" t="inlineStr">
        <is>
          <t>KALMAR LÄN</t>
        </is>
      </c>
      <c r="E871" t="inlineStr">
        <is>
          <t>VÄSTERVIK</t>
        </is>
      </c>
      <c r="G871" t="n">
        <v>3.2</v>
      </c>
      <c r="H871" t="n">
        <v>0</v>
      </c>
      <c r="I871" t="n">
        <v>0</v>
      </c>
      <c r="J871" t="n">
        <v>0</v>
      </c>
      <c r="K871" t="n">
        <v>0</v>
      </c>
      <c r="L871" t="n">
        <v>0</v>
      </c>
      <c r="M871" t="n">
        <v>0</v>
      </c>
      <c r="N871" t="n">
        <v>0</v>
      </c>
      <c r="O871" t="n">
        <v>0</v>
      </c>
      <c r="P871" t="n">
        <v>0</v>
      </c>
      <c r="Q871" t="n">
        <v>0</v>
      </c>
      <c r="R871" s="2" t="inlineStr"/>
    </row>
    <row r="872" ht="15" customHeight="1">
      <c r="A872" t="inlineStr">
        <is>
          <t>A 4190-2026</t>
        </is>
      </c>
      <c r="B872" s="1" t="n">
        <v>46044.69321759259</v>
      </c>
      <c r="C872" s="1" t="n">
        <v>46081</v>
      </c>
      <c r="D872" t="inlineStr">
        <is>
          <t>KALMAR LÄN</t>
        </is>
      </c>
      <c r="E872" t="inlineStr">
        <is>
          <t>VÄSTERVIK</t>
        </is>
      </c>
      <c r="G872" t="n">
        <v>10.5</v>
      </c>
      <c r="H872" t="n">
        <v>0</v>
      </c>
      <c r="I872" t="n">
        <v>0</v>
      </c>
      <c r="J872" t="n">
        <v>0</v>
      </c>
      <c r="K872" t="n">
        <v>0</v>
      </c>
      <c r="L872" t="n">
        <v>0</v>
      </c>
      <c r="M872" t="n">
        <v>0</v>
      </c>
      <c r="N872" t="n">
        <v>0</v>
      </c>
      <c r="O872" t="n">
        <v>0</v>
      </c>
      <c r="P872" t="n">
        <v>0</v>
      </c>
      <c r="Q872" t="n">
        <v>0</v>
      </c>
      <c r="R872" s="2" t="inlineStr"/>
    </row>
    <row r="873" ht="15" customHeight="1">
      <c r="A873" t="inlineStr">
        <is>
          <t>A 4191-2026</t>
        </is>
      </c>
      <c r="B873" s="1" t="n">
        <v>46044.69344907408</v>
      </c>
      <c r="C873" s="1" t="n">
        <v>46081</v>
      </c>
      <c r="D873" t="inlineStr">
        <is>
          <t>KALMAR LÄN</t>
        </is>
      </c>
      <c r="E873" t="inlineStr">
        <is>
          <t>VÄSTERVIK</t>
        </is>
      </c>
      <c r="G873" t="n">
        <v>10.9</v>
      </c>
      <c r="H873" t="n">
        <v>0</v>
      </c>
      <c r="I873" t="n">
        <v>0</v>
      </c>
      <c r="J873" t="n">
        <v>0</v>
      </c>
      <c r="K873" t="n">
        <v>0</v>
      </c>
      <c r="L873" t="n">
        <v>0</v>
      </c>
      <c r="M873" t="n">
        <v>0</v>
      </c>
      <c r="N873" t="n">
        <v>0</v>
      </c>
      <c r="O873" t="n">
        <v>0</v>
      </c>
      <c r="P873" t="n">
        <v>0</v>
      </c>
      <c r="Q873" t="n">
        <v>0</v>
      </c>
      <c r="R873" s="2" t="inlineStr"/>
    </row>
    <row r="874" ht="15" customHeight="1">
      <c r="A874" t="inlineStr">
        <is>
          <t>A 4192-2026</t>
        </is>
      </c>
      <c r="B874" s="1" t="n">
        <v>46044.69368055555</v>
      </c>
      <c r="C874" s="1" t="n">
        <v>46081</v>
      </c>
      <c r="D874" t="inlineStr">
        <is>
          <t>KALMAR LÄN</t>
        </is>
      </c>
      <c r="E874" t="inlineStr">
        <is>
          <t>VÄSTERVIK</t>
        </is>
      </c>
      <c r="G874" t="n">
        <v>16.6</v>
      </c>
      <c r="H874" t="n">
        <v>0</v>
      </c>
      <c r="I874" t="n">
        <v>0</v>
      </c>
      <c r="J874" t="n">
        <v>0</v>
      </c>
      <c r="K874" t="n">
        <v>0</v>
      </c>
      <c r="L874" t="n">
        <v>0</v>
      </c>
      <c r="M874" t="n">
        <v>0</v>
      </c>
      <c r="N874" t="n">
        <v>0</v>
      </c>
      <c r="O874" t="n">
        <v>0</v>
      </c>
      <c r="P874" t="n">
        <v>0</v>
      </c>
      <c r="Q874" t="n">
        <v>0</v>
      </c>
      <c r="R874" s="2" t="inlineStr"/>
    </row>
    <row r="875" ht="15" customHeight="1">
      <c r="A875" t="inlineStr">
        <is>
          <t>A 4185-2026</t>
        </is>
      </c>
      <c r="B875" s="1" t="n">
        <v>46044.6917824074</v>
      </c>
      <c r="C875" s="1" t="n">
        <v>46081</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4188-2026</t>
        </is>
      </c>
      <c r="B876" s="1" t="n">
        <v>46044.69266203704</v>
      </c>
      <c r="C876" s="1" t="n">
        <v>46081</v>
      </c>
      <c r="D876" t="inlineStr">
        <is>
          <t>KALMAR LÄN</t>
        </is>
      </c>
      <c r="E876" t="inlineStr">
        <is>
          <t>VÄSTERVIK</t>
        </is>
      </c>
      <c r="G876" t="n">
        <v>3.1</v>
      </c>
      <c r="H876" t="n">
        <v>0</v>
      </c>
      <c r="I876" t="n">
        <v>0</v>
      </c>
      <c r="J876" t="n">
        <v>0</v>
      </c>
      <c r="K876" t="n">
        <v>0</v>
      </c>
      <c r="L876" t="n">
        <v>0</v>
      </c>
      <c r="M876" t="n">
        <v>0</v>
      </c>
      <c r="N876" t="n">
        <v>0</v>
      </c>
      <c r="O876" t="n">
        <v>0</v>
      </c>
      <c r="P876" t="n">
        <v>0</v>
      </c>
      <c r="Q876" t="n">
        <v>0</v>
      </c>
      <c r="R876" s="2" t="inlineStr"/>
    </row>
    <row r="877" ht="15" customHeight="1">
      <c r="A877" t="inlineStr">
        <is>
          <t>A 3610-2026</t>
        </is>
      </c>
      <c r="B877" s="1" t="n">
        <v>46042.89953703704</v>
      </c>
      <c r="C877" s="1" t="n">
        <v>46081</v>
      </c>
      <c r="D877" t="inlineStr">
        <is>
          <t>KALMAR LÄN</t>
        </is>
      </c>
      <c r="E877" t="inlineStr">
        <is>
          <t>VÄSTERVIK</t>
        </is>
      </c>
      <c r="G877" t="n">
        <v>9.9</v>
      </c>
      <c r="H877" t="n">
        <v>0</v>
      </c>
      <c r="I877" t="n">
        <v>0</v>
      </c>
      <c r="J877" t="n">
        <v>0</v>
      </c>
      <c r="K877" t="n">
        <v>0</v>
      </c>
      <c r="L877" t="n">
        <v>0</v>
      </c>
      <c r="M877" t="n">
        <v>0</v>
      </c>
      <c r="N877" t="n">
        <v>0</v>
      </c>
      <c r="O877" t="n">
        <v>0</v>
      </c>
      <c r="P877" t="n">
        <v>0</v>
      </c>
      <c r="Q877" t="n">
        <v>0</v>
      </c>
      <c r="R877" s="2" t="inlineStr"/>
    </row>
    <row r="878" ht="15" customHeight="1">
      <c r="A878" t="inlineStr">
        <is>
          <t>A 19694-2025</t>
        </is>
      </c>
      <c r="B878" s="1" t="n">
        <v>45771.30550925926</v>
      </c>
      <c r="C878" s="1" t="n">
        <v>46081</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4186-2026</t>
        </is>
      </c>
      <c r="B879" s="1" t="n">
        <v>46044.69216435185</v>
      </c>
      <c r="C879" s="1" t="n">
        <v>46081</v>
      </c>
      <c r="D879" t="inlineStr">
        <is>
          <t>KALMAR LÄN</t>
        </is>
      </c>
      <c r="E879" t="inlineStr">
        <is>
          <t>VÄSTERVIK</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48753-2025</t>
        </is>
      </c>
      <c r="B880" s="1" t="n">
        <v>45936</v>
      </c>
      <c r="C880" s="1" t="n">
        <v>46081</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c r="U880">
        <f>HYPERLINK("https://klasma.github.io/Logging_0883/knärot/A 48753-2025 karta knärot.png", "A 48753-2025")</f>
        <v/>
      </c>
      <c r="V880">
        <f>HYPERLINK("https://klasma.github.io/Logging_0883/klagomål/A 48753-2025 FSC-klagomål.docx", "A 48753-2025")</f>
        <v/>
      </c>
      <c r="W880">
        <f>HYPERLINK("https://klasma.github.io/Logging_0883/klagomålsmail/A 48753-2025 FSC-klagomål mail.docx", "A 48753-2025")</f>
        <v/>
      </c>
      <c r="X880">
        <f>HYPERLINK("https://klasma.github.io/Logging_0883/tillsyn/A 48753-2025 tillsynsbegäran.docx", "A 48753-2025")</f>
        <v/>
      </c>
      <c r="Y880">
        <f>HYPERLINK("https://klasma.github.io/Logging_0883/tillsynsmail/A 48753-2025 tillsynsbegäran mail.docx", "A 48753-2025")</f>
        <v/>
      </c>
    </row>
    <row r="881" ht="15" customHeight="1">
      <c r="A881" t="inlineStr">
        <is>
          <t>A 4289-2026</t>
        </is>
      </c>
      <c r="B881" s="1" t="n">
        <v>46045.40174768519</v>
      </c>
      <c r="C881" s="1" t="n">
        <v>46081</v>
      </c>
      <c r="D881" t="inlineStr">
        <is>
          <t>KALMAR LÄN</t>
        </is>
      </c>
      <c r="E881" t="inlineStr">
        <is>
          <t>VÄSTERVIK</t>
        </is>
      </c>
      <c r="F881" t="inlineStr">
        <is>
          <t>Övriga Aktiebolag</t>
        </is>
      </c>
      <c r="G881" t="n">
        <v>2.1</v>
      </c>
      <c r="H881" t="n">
        <v>0</v>
      </c>
      <c r="I881" t="n">
        <v>0</v>
      </c>
      <c r="J881" t="n">
        <v>0</v>
      </c>
      <c r="K881" t="n">
        <v>0</v>
      </c>
      <c r="L881" t="n">
        <v>0</v>
      </c>
      <c r="M881" t="n">
        <v>0</v>
      </c>
      <c r="N881" t="n">
        <v>0</v>
      </c>
      <c r="O881" t="n">
        <v>0</v>
      </c>
      <c r="P881" t="n">
        <v>0</v>
      </c>
      <c r="Q881" t="n">
        <v>0</v>
      </c>
      <c r="R881" s="2" t="inlineStr"/>
    </row>
    <row r="882" ht="15" customHeight="1">
      <c r="A882" t="inlineStr">
        <is>
          <t>A 4298-2026</t>
        </is>
      </c>
      <c r="B882" s="1" t="n">
        <v>46045.42090277778</v>
      </c>
      <c r="C882" s="1" t="n">
        <v>46081</v>
      </c>
      <c r="D882" t="inlineStr">
        <is>
          <t>KALMAR LÄN</t>
        </is>
      </c>
      <c r="E882" t="inlineStr">
        <is>
          <t>VÄSTERVIK</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56042-2023</t>
        </is>
      </c>
      <c r="B883" s="1" t="n">
        <v>45240.44670138889</v>
      </c>
      <c r="C883" s="1" t="n">
        <v>46081</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4309-2026</t>
        </is>
      </c>
      <c r="B884" s="1" t="n">
        <v>46045.44006944444</v>
      </c>
      <c r="C884" s="1" t="n">
        <v>46081</v>
      </c>
      <c r="D884" t="inlineStr">
        <is>
          <t>KALMAR LÄN</t>
        </is>
      </c>
      <c r="E884" t="inlineStr">
        <is>
          <t>VÄSTERVIK</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35662-2023</t>
        </is>
      </c>
      <c r="B885" s="1" t="n">
        <v>45147</v>
      </c>
      <c r="C885" s="1" t="n">
        <v>46081</v>
      </c>
      <c r="D885" t="inlineStr">
        <is>
          <t>KALMAR LÄN</t>
        </is>
      </c>
      <c r="E885" t="inlineStr">
        <is>
          <t>VÄSTERVIK</t>
        </is>
      </c>
      <c r="G885" t="n">
        <v>0.4</v>
      </c>
      <c r="H885" t="n">
        <v>0</v>
      </c>
      <c r="I885" t="n">
        <v>0</v>
      </c>
      <c r="J885" t="n">
        <v>0</v>
      </c>
      <c r="K885" t="n">
        <v>0</v>
      </c>
      <c r="L885" t="n">
        <v>0</v>
      </c>
      <c r="M885" t="n">
        <v>0</v>
      </c>
      <c r="N885" t="n">
        <v>0</v>
      </c>
      <c r="O885" t="n">
        <v>0</v>
      </c>
      <c r="P885" t="n">
        <v>0</v>
      </c>
      <c r="Q885" t="n">
        <v>0</v>
      </c>
      <c r="R885" s="2" t="inlineStr"/>
    </row>
    <row r="886" ht="15" customHeight="1">
      <c r="A886" t="inlineStr">
        <is>
          <t>A 62163-2025</t>
        </is>
      </c>
      <c r="B886" s="1" t="n">
        <v>46006.49480324074</v>
      </c>
      <c r="C886" s="1" t="n">
        <v>46081</v>
      </c>
      <c r="D886" t="inlineStr">
        <is>
          <t>KALMAR LÄN</t>
        </is>
      </c>
      <c r="E886" t="inlineStr">
        <is>
          <t>VÄSTERVIK</t>
        </is>
      </c>
      <c r="G886" t="n">
        <v>3.3</v>
      </c>
      <c r="H886" t="n">
        <v>0</v>
      </c>
      <c r="I886" t="n">
        <v>0</v>
      </c>
      <c r="J886" t="n">
        <v>0</v>
      </c>
      <c r="K886" t="n">
        <v>0</v>
      </c>
      <c r="L886" t="n">
        <v>0</v>
      </c>
      <c r="M886" t="n">
        <v>0</v>
      </c>
      <c r="N886" t="n">
        <v>0</v>
      </c>
      <c r="O886" t="n">
        <v>0</v>
      </c>
      <c r="P886" t="n">
        <v>0</v>
      </c>
      <c r="Q886" t="n">
        <v>0</v>
      </c>
      <c r="R886" s="2" t="inlineStr"/>
    </row>
    <row r="887" ht="15" customHeight="1">
      <c r="A887" t="inlineStr">
        <is>
          <t>A 7164-2025</t>
        </is>
      </c>
      <c r="B887" s="1" t="n">
        <v>45702.39331018519</v>
      </c>
      <c r="C887" s="1" t="n">
        <v>46081</v>
      </c>
      <c r="D887" t="inlineStr">
        <is>
          <t>KALMAR LÄN</t>
        </is>
      </c>
      <c r="E887" t="inlineStr">
        <is>
          <t>VÄSTERVIK</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4911-2026</t>
        </is>
      </c>
      <c r="B888" s="1" t="n">
        <v>46048.71017361111</v>
      </c>
      <c r="C888" s="1" t="n">
        <v>46081</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1585-2022</t>
        </is>
      </c>
      <c r="B889" s="1" t="n">
        <v>44573</v>
      </c>
      <c r="C889" s="1" t="n">
        <v>46081</v>
      </c>
      <c r="D889" t="inlineStr">
        <is>
          <t>KALMAR LÄN</t>
        </is>
      </c>
      <c r="E889" t="inlineStr">
        <is>
          <t>VÄSTERVIK</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56077-2024</t>
        </is>
      </c>
      <c r="B890" s="1" t="n">
        <v>45624.38690972222</v>
      </c>
      <c r="C890" s="1" t="n">
        <v>46081</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11856-2024</t>
        </is>
      </c>
      <c r="B891" s="1" t="n">
        <v>45376.43302083333</v>
      </c>
      <c r="C891" s="1" t="n">
        <v>46081</v>
      </c>
      <c r="D891" t="inlineStr">
        <is>
          <t>KALMAR LÄN</t>
        </is>
      </c>
      <c r="E891" t="inlineStr">
        <is>
          <t>VÄSTERVIK</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62750-2025</t>
        </is>
      </c>
      <c r="B892" s="1" t="n">
        <v>46008.57989583333</v>
      </c>
      <c r="C892" s="1" t="n">
        <v>46081</v>
      </c>
      <c r="D892" t="inlineStr">
        <is>
          <t>KALMAR LÄN</t>
        </is>
      </c>
      <c r="E892" t="inlineStr">
        <is>
          <t>VÄSTERVIK</t>
        </is>
      </c>
      <c r="G892" t="n">
        <v>2.6</v>
      </c>
      <c r="H892" t="n">
        <v>0</v>
      </c>
      <c r="I892" t="n">
        <v>0</v>
      </c>
      <c r="J892" t="n">
        <v>0</v>
      </c>
      <c r="K892" t="n">
        <v>0</v>
      </c>
      <c r="L892" t="n">
        <v>0</v>
      </c>
      <c r="M892" t="n">
        <v>0</v>
      </c>
      <c r="N892" t="n">
        <v>0</v>
      </c>
      <c r="O892" t="n">
        <v>0</v>
      </c>
      <c r="P892" t="n">
        <v>0</v>
      </c>
      <c r="Q892" t="n">
        <v>0</v>
      </c>
      <c r="R892" s="2" t="inlineStr"/>
    </row>
    <row r="893" ht="15" customHeight="1">
      <c r="A893" t="inlineStr">
        <is>
          <t>A 57367-2023</t>
        </is>
      </c>
      <c r="B893" s="1" t="n">
        <v>45245</v>
      </c>
      <c r="C893" s="1" t="n">
        <v>46081</v>
      </c>
      <c r="D893" t="inlineStr">
        <is>
          <t>KALMAR LÄN</t>
        </is>
      </c>
      <c r="E893" t="inlineStr">
        <is>
          <t>VÄSTERVIK</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62743-2025</t>
        </is>
      </c>
      <c r="B894" s="1" t="n">
        <v>46008.5749074074</v>
      </c>
      <c r="C894" s="1" t="n">
        <v>46081</v>
      </c>
      <c r="D894" t="inlineStr">
        <is>
          <t>KALMAR LÄN</t>
        </is>
      </c>
      <c r="E894" t="inlineStr">
        <is>
          <t>VÄSTERVIK</t>
        </is>
      </c>
      <c r="G894" t="n">
        <v>7.5</v>
      </c>
      <c r="H894" t="n">
        <v>0</v>
      </c>
      <c r="I894" t="n">
        <v>0</v>
      </c>
      <c r="J894" t="n">
        <v>0</v>
      </c>
      <c r="K894" t="n">
        <v>0</v>
      </c>
      <c r="L894" t="n">
        <v>0</v>
      </c>
      <c r="M894" t="n">
        <v>0</v>
      </c>
      <c r="N894" t="n">
        <v>0</v>
      </c>
      <c r="O894" t="n">
        <v>0</v>
      </c>
      <c r="P894" t="n">
        <v>0</v>
      </c>
      <c r="Q894" t="n">
        <v>0</v>
      </c>
      <c r="R894" s="2" t="inlineStr"/>
    </row>
    <row r="895" ht="15" customHeight="1">
      <c r="A895" t="inlineStr">
        <is>
          <t>A 62765-2025</t>
        </is>
      </c>
      <c r="B895" s="1" t="n">
        <v>46008.59494212963</v>
      </c>
      <c r="C895" s="1" t="n">
        <v>46081</v>
      </c>
      <c r="D895" t="inlineStr">
        <is>
          <t>KALMAR LÄN</t>
        </is>
      </c>
      <c r="E895" t="inlineStr">
        <is>
          <t>VÄSTERVIK</t>
        </is>
      </c>
      <c r="G895" t="n">
        <v>1.5</v>
      </c>
      <c r="H895" t="n">
        <v>0</v>
      </c>
      <c r="I895" t="n">
        <v>0</v>
      </c>
      <c r="J895" t="n">
        <v>0</v>
      </c>
      <c r="K895" t="n">
        <v>0</v>
      </c>
      <c r="L895" t="n">
        <v>0</v>
      </c>
      <c r="M895" t="n">
        <v>0</v>
      </c>
      <c r="N895" t="n">
        <v>0</v>
      </c>
      <c r="O895" t="n">
        <v>0</v>
      </c>
      <c r="P895" t="n">
        <v>0</v>
      </c>
      <c r="Q895" t="n">
        <v>0</v>
      </c>
      <c r="R895" s="2" t="inlineStr"/>
    </row>
    <row r="896" ht="15" customHeight="1">
      <c r="A896" t="inlineStr">
        <is>
          <t>A 62752-2025</t>
        </is>
      </c>
      <c r="B896" s="1" t="n">
        <v>46008.58653935185</v>
      </c>
      <c r="C896" s="1" t="n">
        <v>46081</v>
      </c>
      <c r="D896" t="inlineStr">
        <is>
          <t>KALMAR LÄN</t>
        </is>
      </c>
      <c r="E896" t="inlineStr">
        <is>
          <t>VÄSTERVIK</t>
        </is>
      </c>
      <c r="G896" t="n">
        <v>9.4</v>
      </c>
      <c r="H896" t="n">
        <v>0</v>
      </c>
      <c r="I896" t="n">
        <v>0</v>
      </c>
      <c r="J896" t="n">
        <v>0</v>
      </c>
      <c r="K896" t="n">
        <v>0</v>
      </c>
      <c r="L896" t="n">
        <v>0</v>
      </c>
      <c r="M896" t="n">
        <v>0</v>
      </c>
      <c r="N896" t="n">
        <v>0</v>
      </c>
      <c r="O896" t="n">
        <v>0</v>
      </c>
      <c r="P896" t="n">
        <v>0</v>
      </c>
      <c r="Q896" t="n">
        <v>0</v>
      </c>
      <c r="R896" s="2" t="inlineStr"/>
    </row>
    <row r="897" ht="15" customHeight="1">
      <c r="A897" t="inlineStr">
        <is>
          <t>A 62815-2025</t>
        </is>
      </c>
      <c r="B897" s="1" t="n">
        <v>46008.654375</v>
      </c>
      <c r="C897" s="1" t="n">
        <v>46081</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62756-2025</t>
        </is>
      </c>
      <c r="B898" s="1" t="n">
        <v>46008.59005787037</v>
      </c>
      <c r="C898" s="1" t="n">
        <v>46081</v>
      </c>
      <c r="D898" t="inlineStr">
        <is>
          <t>KALMAR LÄN</t>
        </is>
      </c>
      <c r="E898" t="inlineStr">
        <is>
          <t>VÄSTERVIK</t>
        </is>
      </c>
      <c r="G898" t="n">
        <v>3.1</v>
      </c>
      <c r="H898" t="n">
        <v>0</v>
      </c>
      <c r="I898" t="n">
        <v>0</v>
      </c>
      <c r="J898" t="n">
        <v>0</v>
      </c>
      <c r="K898" t="n">
        <v>0</v>
      </c>
      <c r="L898" t="n">
        <v>0</v>
      </c>
      <c r="M898" t="n">
        <v>0</v>
      </c>
      <c r="N898" t="n">
        <v>0</v>
      </c>
      <c r="O898" t="n">
        <v>0</v>
      </c>
      <c r="P898" t="n">
        <v>0</v>
      </c>
      <c r="Q898" t="n">
        <v>0</v>
      </c>
      <c r="R898" s="2" t="inlineStr"/>
    </row>
    <row r="899" ht="15" customHeight="1">
      <c r="A899" t="inlineStr">
        <is>
          <t>A 62789-2025</t>
        </is>
      </c>
      <c r="B899" s="1" t="n">
        <v>46008</v>
      </c>
      <c r="C899" s="1" t="n">
        <v>46081</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35960-2023</t>
        </is>
      </c>
      <c r="B900" s="1" t="n">
        <v>45148.84990740741</v>
      </c>
      <c r="C900" s="1" t="n">
        <v>46081</v>
      </c>
      <c r="D900" t="inlineStr">
        <is>
          <t>KALMAR LÄN</t>
        </is>
      </c>
      <c r="E900" t="inlineStr">
        <is>
          <t>VÄSTERVIK</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35962-2023</t>
        </is>
      </c>
      <c r="B901" s="1" t="n">
        <v>45148</v>
      </c>
      <c r="C901" s="1" t="n">
        <v>46081</v>
      </c>
      <c r="D901" t="inlineStr">
        <is>
          <t>KALMAR LÄN</t>
        </is>
      </c>
      <c r="E901" t="inlineStr">
        <is>
          <t>VÄSTERVIK</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10441-2022</t>
        </is>
      </c>
      <c r="B902" s="1" t="n">
        <v>44623</v>
      </c>
      <c r="C902" s="1" t="n">
        <v>46081</v>
      </c>
      <c r="D902" t="inlineStr">
        <is>
          <t>KALMAR LÄN</t>
        </is>
      </c>
      <c r="E902" t="inlineStr">
        <is>
          <t>VÄSTERVIK</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11988-2022</t>
        </is>
      </c>
      <c r="B903" s="1" t="n">
        <v>44635.68771990741</v>
      </c>
      <c r="C903" s="1" t="n">
        <v>46081</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62782-2025</t>
        </is>
      </c>
      <c r="B904" s="1" t="n">
        <v>46008</v>
      </c>
      <c r="C904" s="1" t="n">
        <v>46081</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62817-2025</t>
        </is>
      </c>
      <c r="B905" s="1" t="n">
        <v>46008.6546875</v>
      </c>
      <c r="C905" s="1" t="n">
        <v>46081</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55866-2023</t>
        </is>
      </c>
      <c r="B906" s="1" t="n">
        <v>45239</v>
      </c>
      <c r="C906" s="1" t="n">
        <v>46081</v>
      </c>
      <c r="D906" t="inlineStr">
        <is>
          <t>KALMAR LÄN</t>
        </is>
      </c>
      <c r="E906" t="inlineStr">
        <is>
          <t>VÄSTERVIK</t>
        </is>
      </c>
      <c r="G906" t="n">
        <v>1.3</v>
      </c>
      <c r="H906" t="n">
        <v>0</v>
      </c>
      <c r="I906" t="n">
        <v>0</v>
      </c>
      <c r="J906" t="n">
        <v>0</v>
      </c>
      <c r="K906" t="n">
        <v>0</v>
      </c>
      <c r="L906" t="n">
        <v>0</v>
      </c>
      <c r="M906" t="n">
        <v>0</v>
      </c>
      <c r="N906" t="n">
        <v>0</v>
      </c>
      <c r="O906" t="n">
        <v>0</v>
      </c>
      <c r="P906" t="n">
        <v>0</v>
      </c>
      <c r="Q906" t="n">
        <v>0</v>
      </c>
      <c r="R906" s="2" t="inlineStr"/>
    </row>
    <row r="907" ht="15" customHeight="1">
      <c r="A907" t="inlineStr">
        <is>
          <t>A 62770-2025</t>
        </is>
      </c>
      <c r="B907" s="1" t="n">
        <v>46008.60042824074</v>
      </c>
      <c r="C907" s="1" t="n">
        <v>46081</v>
      </c>
      <c r="D907" t="inlineStr">
        <is>
          <t>KALMAR LÄN</t>
        </is>
      </c>
      <c r="E907" t="inlineStr">
        <is>
          <t>VÄSTERVIK</t>
        </is>
      </c>
      <c r="G907" t="n">
        <v>3.2</v>
      </c>
      <c r="H907" t="n">
        <v>0</v>
      </c>
      <c r="I907" t="n">
        <v>0</v>
      </c>
      <c r="J907" t="n">
        <v>0</v>
      </c>
      <c r="K907" t="n">
        <v>0</v>
      </c>
      <c r="L907" t="n">
        <v>0</v>
      </c>
      <c r="M907" t="n">
        <v>0</v>
      </c>
      <c r="N907" t="n">
        <v>0</v>
      </c>
      <c r="O907" t="n">
        <v>0</v>
      </c>
      <c r="P907" t="n">
        <v>0</v>
      </c>
      <c r="Q907" t="n">
        <v>0</v>
      </c>
      <c r="R907" s="2" t="inlineStr"/>
    </row>
    <row r="908" ht="15" customHeight="1">
      <c r="A908" t="inlineStr">
        <is>
          <t>A 35770-2023</t>
        </is>
      </c>
      <c r="B908" s="1" t="n">
        <v>45147</v>
      </c>
      <c r="C908" s="1" t="n">
        <v>46081</v>
      </c>
      <c r="D908" t="inlineStr">
        <is>
          <t>KALMAR LÄN</t>
        </is>
      </c>
      <c r="E908" t="inlineStr">
        <is>
          <t>VÄSTERVIK</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36643-2023</t>
        </is>
      </c>
      <c r="B909" s="1" t="n">
        <v>45153</v>
      </c>
      <c r="C909" s="1" t="n">
        <v>46081</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54784-2023</t>
        </is>
      </c>
      <c r="B910" s="1" t="n">
        <v>45236.4803587963</v>
      </c>
      <c r="C910" s="1" t="n">
        <v>46081</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5740-2026</t>
        </is>
      </c>
      <c r="B911" s="1" t="n">
        <v>46051.57940972222</v>
      </c>
      <c r="C911" s="1" t="n">
        <v>46081</v>
      </c>
      <c r="D911" t="inlineStr">
        <is>
          <t>KALMAR LÄN</t>
        </is>
      </c>
      <c r="E911" t="inlineStr">
        <is>
          <t>VÄSTERVIK</t>
        </is>
      </c>
      <c r="F911" t="inlineStr">
        <is>
          <t>Kyrkan</t>
        </is>
      </c>
      <c r="G911" t="n">
        <v>7.7</v>
      </c>
      <c r="H911" t="n">
        <v>0</v>
      </c>
      <c r="I911" t="n">
        <v>0</v>
      </c>
      <c r="J911" t="n">
        <v>0</v>
      </c>
      <c r="K911" t="n">
        <v>0</v>
      </c>
      <c r="L911" t="n">
        <v>0</v>
      </c>
      <c r="M911" t="n">
        <v>0</v>
      </c>
      <c r="N911" t="n">
        <v>0</v>
      </c>
      <c r="O911" t="n">
        <v>0</v>
      </c>
      <c r="P911" t="n">
        <v>0</v>
      </c>
      <c r="Q911" t="n">
        <v>0</v>
      </c>
      <c r="R911" s="2" t="inlineStr"/>
    </row>
    <row r="912" ht="15" customHeight="1">
      <c r="A912" t="inlineStr">
        <is>
          <t>A 49507-2023</t>
        </is>
      </c>
      <c r="B912" s="1" t="n">
        <v>45211.5790625</v>
      </c>
      <c r="C912" s="1" t="n">
        <v>46081</v>
      </c>
      <c r="D912" t="inlineStr">
        <is>
          <t>KALMAR LÄN</t>
        </is>
      </c>
      <c r="E912" t="inlineStr">
        <is>
          <t>VÄSTERVIK</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5915-2026</t>
        </is>
      </c>
      <c r="B913" s="1" t="n">
        <v>46052.45144675926</v>
      </c>
      <c r="C913" s="1" t="n">
        <v>46081</v>
      </c>
      <c r="D913" t="inlineStr">
        <is>
          <t>KALMAR LÄN</t>
        </is>
      </c>
      <c r="E913" t="inlineStr">
        <is>
          <t>VÄSTERVIK</t>
        </is>
      </c>
      <c r="G913" t="n">
        <v>1.4</v>
      </c>
      <c r="H913" t="n">
        <v>0</v>
      </c>
      <c r="I913" t="n">
        <v>0</v>
      </c>
      <c r="J913" t="n">
        <v>0</v>
      </c>
      <c r="K913" t="n">
        <v>0</v>
      </c>
      <c r="L913" t="n">
        <v>0</v>
      </c>
      <c r="M913" t="n">
        <v>0</v>
      </c>
      <c r="N913" t="n">
        <v>0</v>
      </c>
      <c r="O913" t="n">
        <v>0</v>
      </c>
      <c r="P913" t="n">
        <v>0</v>
      </c>
      <c r="Q913" t="n">
        <v>0</v>
      </c>
      <c r="R913" s="2" t="inlineStr"/>
    </row>
    <row r="914" ht="15" customHeight="1">
      <c r="A914" t="inlineStr">
        <is>
          <t>A 27568-2024</t>
        </is>
      </c>
      <c r="B914" s="1" t="n">
        <v>45474</v>
      </c>
      <c r="C914" s="1" t="n">
        <v>46081</v>
      </c>
      <c r="D914" t="inlineStr">
        <is>
          <t>KALMAR LÄN</t>
        </is>
      </c>
      <c r="E914" t="inlineStr">
        <is>
          <t>VÄSTERVIK</t>
        </is>
      </c>
      <c r="G914" t="n">
        <v>7.7</v>
      </c>
      <c r="H914" t="n">
        <v>0</v>
      </c>
      <c r="I914" t="n">
        <v>0</v>
      </c>
      <c r="J914" t="n">
        <v>0</v>
      </c>
      <c r="K914" t="n">
        <v>0</v>
      </c>
      <c r="L914" t="n">
        <v>0</v>
      </c>
      <c r="M914" t="n">
        <v>0</v>
      </c>
      <c r="N914" t="n">
        <v>0</v>
      </c>
      <c r="O914" t="n">
        <v>0</v>
      </c>
      <c r="P914" t="n">
        <v>0</v>
      </c>
      <c r="Q914" t="n">
        <v>0</v>
      </c>
      <c r="R914" s="2" t="inlineStr"/>
    </row>
    <row r="915" ht="15" customHeight="1">
      <c r="A915" t="inlineStr">
        <is>
          <t>A 6315-2026</t>
        </is>
      </c>
      <c r="B915" s="1" t="n">
        <v>46055.58186342593</v>
      </c>
      <c r="C915" s="1" t="n">
        <v>46081</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58703-2023</t>
        </is>
      </c>
      <c r="B916" s="1" t="n">
        <v>45251</v>
      </c>
      <c r="C916" s="1" t="n">
        <v>46081</v>
      </c>
      <c r="D916" t="inlineStr">
        <is>
          <t>KALMAR LÄN</t>
        </is>
      </c>
      <c r="E916" t="inlineStr">
        <is>
          <t>VÄSTERVIK</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28390-2024</t>
        </is>
      </c>
      <c r="B917" s="1" t="n">
        <v>45477</v>
      </c>
      <c r="C917" s="1" t="n">
        <v>46081</v>
      </c>
      <c r="D917" t="inlineStr">
        <is>
          <t>KALMAR LÄN</t>
        </is>
      </c>
      <c r="E917" t="inlineStr">
        <is>
          <t>VÄSTERVIK</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63589-2025</t>
        </is>
      </c>
      <c r="B918" s="1" t="n">
        <v>46013.80627314815</v>
      </c>
      <c r="C918" s="1" t="n">
        <v>46081</v>
      </c>
      <c r="D918" t="inlineStr">
        <is>
          <t>KALMAR LÄN</t>
        </is>
      </c>
      <c r="E918" t="inlineStr">
        <is>
          <t>VÄSTERVIK</t>
        </is>
      </c>
      <c r="F918" t="inlineStr">
        <is>
          <t>Sveaskog</t>
        </is>
      </c>
      <c r="G918" t="n">
        <v>13.2</v>
      </c>
      <c r="H918" t="n">
        <v>0</v>
      </c>
      <c r="I918" t="n">
        <v>0</v>
      </c>
      <c r="J918" t="n">
        <v>0</v>
      </c>
      <c r="K918" t="n">
        <v>0</v>
      </c>
      <c r="L918" t="n">
        <v>0</v>
      </c>
      <c r="M918" t="n">
        <v>0</v>
      </c>
      <c r="N918" t="n">
        <v>0</v>
      </c>
      <c r="O918" t="n">
        <v>0</v>
      </c>
      <c r="P918" t="n">
        <v>0</v>
      </c>
      <c r="Q918" t="n">
        <v>0</v>
      </c>
      <c r="R918" s="2" t="inlineStr"/>
    </row>
    <row r="919" ht="15" customHeight="1">
      <c r="A919" t="inlineStr">
        <is>
          <t>A 16395-2024</t>
        </is>
      </c>
      <c r="B919" s="1" t="n">
        <v>45407.62733796296</v>
      </c>
      <c r="C919" s="1" t="n">
        <v>46081</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c r="U919">
        <f>HYPERLINK("https://klasma.github.io/Logging_0883/knärot/A 16395-2024 karta knärot.png", "A 16395-2024")</f>
        <v/>
      </c>
      <c r="V919">
        <f>HYPERLINK("https://klasma.github.io/Logging_0883/klagomål/A 16395-2024 FSC-klagomål.docx", "A 16395-2024")</f>
        <v/>
      </c>
      <c r="W919">
        <f>HYPERLINK("https://klasma.github.io/Logging_0883/klagomålsmail/A 16395-2024 FSC-klagomål mail.docx", "A 16395-2024")</f>
        <v/>
      </c>
      <c r="X919">
        <f>HYPERLINK("https://klasma.github.io/Logging_0883/tillsyn/A 16395-2024 tillsynsbegäran.docx", "A 16395-2024")</f>
        <v/>
      </c>
      <c r="Y919">
        <f>HYPERLINK("https://klasma.github.io/Logging_0883/tillsynsmail/A 16395-2024 tillsynsbegäran mail.docx", "A 16395-2024")</f>
        <v/>
      </c>
    </row>
    <row r="920" ht="15" customHeight="1">
      <c r="A920" t="inlineStr">
        <is>
          <t>A 63587-2025</t>
        </is>
      </c>
      <c r="B920" s="1" t="n">
        <v>46013.80384259259</v>
      </c>
      <c r="C920" s="1" t="n">
        <v>46081</v>
      </c>
      <c r="D920" t="inlineStr">
        <is>
          <t>KALMAR LÄN</t>
        </is>
      </c>
      <c r="E920" t="inlineStr">
        <is>
          <t>VÄSTERVIK</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63588-2025</t>
        </is>
      </c>
      <c r="B921" s="1" t="n">
        <v>46013.80505787037</v>
      </c>
      <c r="C921" s="1" t="n">
        <v>46081</v>
      </c>
      <c r="D921" t="inlineStr">
        <is>
          <t>KALMAR LÄN</t>
        </is>
      </c>
      <c r="E921" t="inlineStr">
        <is>
          <t>VÄSTERVIK</t>
        </is>
      </c>
      <c r="F921" t="inlineStr">
        <is>
          <t>Sveaskog</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63590-2025</t>
        </is>
      </c>
      <c r="B922" s="1" t="n">
        <v>46013.8079050926</v>
      </c>
      <c r="C922" s="1" t="n">
        <v>46081</v>
      </c>
      <c r="D922" t="inlineStr">
        <is>
          <t>KALMAR LÄN</t>
        </is>
      </c>
      <c r="E922" t="inlineStr">
        <is>
          <t>VÄSTERVIK</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63591-2025</t>
        </is>
      </c>
      <c r="B923" s="1" t="n">
        <v>46013.80930555556</v>
      </c>
      <c r="C923" s="1" t="n">
        <v>46081</v>
      </c>
      <c r="D923" t="inlineStr">
        <is>
          <t>KALMAR LÄN</t>
        </is>
      </c>
      <c r="E923" t="inlineStr">
        <is>
          <t>VÄSTERVIK</t>
        </is>
      </c>
      <c r="F923" t="inlineStr">
        <is>
          <t>Sveaskog</t>
        </is>
      </c>
      <c r="G923" t="n">
        <v>13.7</v>
      </c>
      <c r="H923" t="n">
        <v>0</v>
      </c>
      <c r="I923" t="n">
        <v>0</v>
      </c>
      <c r="J923" t="n">
        <v>0</v>
      </c>
      <c r="K923" t="n">
        <v>0</v>
      </c>
      <c r="L923" t="n">
        <v>0</v>
      </c>
      <c r="M923" t="n">
        <v>0</v>
      </c>
      <c r="N923" t="n">
        <v>0</v>
      </c>
      <c r="O923" t="n">
        <v>0</v>
      </c>
      <c r="P923" t="n">
        <v>0</v>
      </c>
      <c r="Q923" t="n">
        <v>0</v>
      </c>
      <c r="R923" s="2" t="inlineStr"/>
    </row>
    <row r="924" ht="15" customHeight="1">
      <c r="A924" t="inlineStr">
        <is>
          <t>A 10774-2025</t>
        </is>
      </c>
      <c r="B924" s="1" t="n">
        <v>45722.47424768518</v>
      </c>
      <c r="C924" s="1" t="n">
        <v>46081</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40977-2023</t>
        </is>
      </c>
      <c r="B925" s="1" t="n">
        <v>45173</v>
      </c>
      <c r="C925" s="1" t="n">
        <v>46081</v>
      </c>
      <c r="D925" t="inlineStr">
        <is>
          <t>KALMAR LÄN</t>
        </is>
      </c>
      <c r="E925" t="inlineStr">
        <is>
          <t>VÄSTERVIK</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23743-2022</t>
        </is>
      </c>
      <c r="B926" s="1" t="n">
        <v>44722.35611111111</v>
      </c>
      <c r="C926" s="1" t="n">
        <v>46081</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27094-2024</t>
        </is>
      </c>
      <c r="B927" s="1" t="n">
        <v>45471</v>
      </c>
      <c r="C927" s="1" t="n">
        <v>46081</v>
      </c>
      <c r="D927" t="inlineStr">
        <is>
          <t>KALMAR LÄN</t>
        </is>
      </c>
      <c r="E927" t="inlineStr">
        <is>
          <t>VÄSTERVIK</t>
        </is>
      </c>
      <c r="F927" t="inlineStr">
        <is>
          <t>Holmen skog AB</t>
        </is>
      </c>
      <c r="G927" t="n">
        <v>2.4</v>
      </c>
      <c r="H927" t="n">
        <v>0</v>
      </c>
      <c r="I927" t="n">
        <v>0</v>
      </c>
      <c r="J927" t="n">
        <v>0</v>
      </c>
      <c r="K927" t="n">
        <v>0</v>
      </c>
      <c r="L927" t="n">
        <v>0</v>
      </c>
      <c r="M927" t="n">
        <v>0</v>
      </c>
      <c r="N927" t="n">
        <v>0</v>
      </c>
      <c r="O927" t="n">
        <v>0</v>
      </c>
      <c r="P927" t="n">
        <v>0</v>
      </c>
      <c r="Q927" t="n">
        <v>0</v>
      </c>
      <c r="R927" s="2" t="inlineStr"/>
      <c r="U927">
        <f>HYPERLINK("https://klasma.github.io/Logging_0883/knärot/A 27094-2024 karta knärot.png", "A 27094-2024")</f>
        <v/>
      </c>
      <c r="V927">
        <f>HYPERLINK("https://klasma.github.io/Logging_0883/klagomål/A 27094-2024 FSC-klagomål.docx", "A 27094-2024")</f>
        <v/>
      </c>
      <c r="W927">
        <f>HYPERLINK("https://klasma.github.io/Logging_0883/klagomålsmail/A 27094-2024 FSC-klagomål mail.docx", "A 27094-2024")</f>
        <v/>
      </c>
      <c r="X927">
        <f>HYPERLINK("https://klasma.github.io/Logging_0883/tillsyn/A 27094-2024 tillsynsbegäran.docx", "A 27094-2024")</f>
        <v/>
      </c>
      <c r="Y927">
        <f>HYPERLINK("https://klasma.github.io/Logging_0883/tillsynsmail/A 27094-2024 tillsynsbegäran mail.docx", "A 27094-2024")</f>
        <v/>
      </c>
    </row>
    <row r="928" ht="15" customHeight="1">
      <c r="A928" t="inlineStr">
        <is>
          <t>A 37642-2023</t>
        </is>
      </c>
      <c r="B928" s="1" t="n">
        <v>45159.47940972223</v>
      </c>
      <c r="C928" s="1" t="n">
        <v>46081</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54951-2023</t>
        </is>
      </c>
      <c r="B929" s="1" t="n">
        <v>45236.82902777778</v>
      </c>
      <c r="C929" s="1" t="n">
        <v>46081</v>
      </c>
      <c r="D929" t="inlineStr">
        <is>
          <t>KALMAR LÄN</t>
        </is>
      </c>
      <c r="E929" t="inlineStr">
        <is>
          <t>VÄSTERVIK</t>
        </is>
      </c>
      <c r="F929" t="inlineStr">
        <is>
          <t>Övriga Aktiebolag</t>
        </is>
      </c>
      <c r="G929" t="n">
        <v>0.9</v>
      </c>
      <c r="H929" t="n">
        <v>0</v>
      </c>
      <c r="I929" t="n">
        <v>0</v>
      </c>
      <c r="J929" t="n">
        <v>0</v>
      </c>
      <c r="K929" t="n">
        <v>0</v>
      </c>
      <c r="L929" t="n">
        <v>0</v>
      </c>
      <c r="M929" t="n">
        <v>0</v>
      </c>
      <c r="N929" t="n">
        <v>0</v>
      </c>
      <c r="O929" t="n">
        <v>0</v>
      </c>
      <c r="P929" t="n">
        <v>0</v>
      </c>
      <c r="Q929" t="n">
        <v>0</v>
      </c>
      <c r="R929" s="2" t="inlineStr"/>
    </row>
    <row r="930" ht="15" customHeight="1">
      <c r="A930" t="inlineStr">
        <is>
          <t>A 7521-2026</t>
        </is>
      </c>
      <c r="B930" s="1" t="n">
        <v>46059.60282407407</v>
      </c>
      <c r="C930" s="1" t="n">
        <v>46081</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52049-2023</t>
        </is>
      </c>
      <c r="B931" s="1" t="n">
        <v>45216</v>
      </c>
      <c r="C931" s="1" t="n">
        <v>46081</v>
      </c>
      <c r="D931" t="inlineStr">
        <is>
          <t>KALMAR LÄN</t>
        </is>
      </c>
      <c r="E931" t="inlineStr">
        <is>
          <t>VÄSTERVIK</t>
        </is>
      </c>
      <c r="G931" t="n">
        <v>4.4</v>
      </c>
      <c r="H931" t="n">
        <v>0</v>
      </c>
      <c r="I931" t="n">
        <v>0</v>
      </c>
      <c r="J931" t="n">
        <v>0</v>
      </c>
      <c r="K931" t="n">
        <v>0</v>
      </c>
      <c r="L931" t="n">
        <v>0</v>
      </c>
      <c r="M931" t="n">
        <v>0</v>
      </c>
      <c r="N931" t="n">
        <v>0</v>
      </c>
      <c r="O931" t="n">
        <v>0</v>
      </c>
      <c r="P931" t="n">
        <v>0</v>
      </c>
      <c r="Q931" t="n">
        <v>0</v>
      </c>
      <c r="R931" s="2" t="inlineStr"/>
    </row>
    <row r="932" ht="15" customHeight="1">
      <c r="A932" t="inlineStr">
        <is>
          <t>A 30035-2023</t>
        </is>
      </c>
      <c r="B932" s="1" t="n">
        <v>45110</v>
      </c>
      <c r="C932" s="1" t="n">
        <v>46081</v>
      </c>
      <c r="D932" t="inlineStr">
        <is>
          <t>KALMAR LÄN</t>
        </is>
      </c>
      <c r="E932" t="inlineStr">
        <is>
          <t>VÄSTERVIK</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63835-2025</t>
        </is>
      </c>
      <c r="B933" s="1" t="n">
        <v>46020.40302083334</v>
      </c>
      <c r="C933" s="1" t="n">
        <v>46081</v>
      </c>
      <c r="D933" t="inlineStr">
        <is>
          <t>KALMAR LÄN</t>
        </is>
      </c>
      <c r="E933" t="inlineStr">
        <is>
          <t>VÄSTERVIK</t>
        </is>
      </c>
      <c r="G933" t="n">
        <v>2.8</v>
      </c>
      <c r="H933" t="n">
        <v>0</v>
      </c>
      <c r="I933" t="n">
        <v>0</v>
      </c>
      <c r="J933" t="n">
        <v>0</v>
      </c>
      <c r="K933" t="n">
        <v>0</v>
      </c>
      <c r="L933" t="n">
        <v>0</v>
      </c>
      <c r="M933" t="n">
        <v>0</v>
      </c>
      <c r="N933" t="n">
        <v>0</v>
      </c>
      <c r="O933" t="n">
        <v>0</v>
      </c>
      <c r="P933" t="n">
        <v>0</v>
      </c>
      <c r="Q933" t="n">
        <v>0</v>
      </c>
      <c r="R933" s="2" t="inlineStr"/>
    </row>
    <row r="934" ht="15" customHeight="1">
      <c r="A934" t="inlineStr">
        <is>
          <t>A 61556-2023</t>
        </is>
      </c>
      <c r="B934" s="1" t="n">
        <v>45261</v>
      </c>
      <c r="C934" s="1" t="n">
        <v>46081</v>
      </c>
      <c r="D934" t="inlineStr">
        <is>
          <t>KALMAR LÄN</t>
        </is>
      </c>
      <c r="E934" t="inlineStr">
        <is>
          <t>VÄSTERVIK</t>
        </is>
      </c>
      <c r="F934" t="inlineStr">
        <is>
          <t>Övriga Aktiebolag</t>
        </is>
      </c>
      <c r="G934" t="n">
        <v>13.9</v>
      </c>
      <c r="H934" t="n">
        <v>0</v>
      </c>
      <c r="I934" t="n">
        <v>0</v>
      </c>
      <c r="J934" t="n">
        <v>0</v>
      </c>
      <c r="K934" t="n">
        <v>0</v>
      </c>
      <c r="L934" t="n">
        <v>0</v>
      </c>
      <c r="M934" t="n">
        <v>0</v>
      </c>
      <c r="N934" t="n">
        <v>0</v>
      </c>
      <c r="O934" t="n">
        <v>0</v>
      </c>
      <c r="P934" t="n">
        <v>0</v>
      </c>
      <c r="Q934" t="n">
        <v>0</v>
      </c>
      <c r="R934" s="2" t="inlineStr"/>
    </row>
    <row r="935" ht="15" customHeight="1">
      <c r="A935" t="inlineStr">
        <is>
          <t>A 7520-2026</t>
        </is>
      </c>
      <c r="B935" s="1" t="n">
        <v>46059.60134259259</v>
      </c>
      <c r="C935" s="1" t="n">
        <v>46081</v>
      </c>
      <c r="D935" t="inlineStr">
        <is>
          <t>KALMAR LÄN</t>
        </is>
      </c>
      <c r="E935" t="inlineStr">
        <is>
          <t>VÄSTERVIK</t>
        </is>
      </c>
      <c r="G935" t="n">
        <v>3.4</v>
      </c>
      <c r="H935" t="n">
        <v>0</v>
      </c>
      <c r="I935" t="n">
        <v>0</v>
      </c>
      <c r="J935" t="n">
        <v>0</v>
      </c>
      <c r="K935" t="n">
        <v>0</v>
      </c>
      <c r="L935" t="n">
        <v>0</v>
      </c>
      <c r="M935" t="n">
        <v>0</v>
      </c>
      <c r="N935" t="n">
        <v>0</v>
      </c>
      <c r="O935" t="n">
        <v>0</v>
      </c>
      <c r="P935" t="n">
        <v>0</v>
      </c>
      <c r="Q935" t="n">
        <v>0</v>
      </c>
      <c r="R935" s="2" t="inlineStr"/>
    </row>
    <row r="936" ht="15" customHeight="1">
      <c r="A936" t="inlineStr">
        <is>
          <t>A 34420-2024</t>
        </is>
      </c>
      <c r="B936" s="1" t="n">
        <v>45525.49710648148</v>
      </c>
      <c r="C936" s="1" t="n">
        <v>46081</v>
      </c>
      <c r="D936" t="inlineStr">
        <is>
          <t>KALMAR LÄN</t>
        </is>
      </c>
      <c r="E936" t="inlineStr">
        <is>
          <t>VÄSTERVIK</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63018-2023</t>
        </is>
      </c>
      <c r="B937" s="1" t="n">
        <v>45272</v>
      </c>
      <c r="C937" s="1" t="n">
        <v>46081</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3467-2025</t>
        </is>
      </c>
      <c r="B938" s="1" t="n">
        <v>45680.50885416667</v>
      </c>
      <c r="C938" s="1" t="n">
        <v>46081</v>
      </c>
      <c r="D938" t="inlineStr">
        <is>
          <t>KALMAR LÄN</t>
        </is>
      </c>
      <c r="E938" t="inlineStr">
        <is>
          <t>VÄSTERVIK</t>
        </is>
      </c>
      <c r="G938" t="n">
        <v>2.7</v>
      </c>
      <c r="H938" t="n">
        <v>0</v>
      </c>
      <c r="I938" t="n">
        <v>0</v>
      </c>
      <c r="J938" t="n">
        <v>0</v>
      </c>
      <c r="K938" t="n">
        <v>0</v>
      </c>
      <c r="L938" t="n">
        <v>0</v>
      </c>
      <c r="M938" t="n">
        <v>0</v>
      </c>
      <c r="N938" t="n">
        <v>0</v>
      </c>
      <c r="O938" t="n">
        <v>0</v>
      </c>
      <c r="P938" t="n">
        <v>0</v>
      </c>
      <c r="Q938" t="n">
        <v>0</v>
      </c>
      <c r="R938" s="2" t="inlineStr"/>
    </row>
    <row r="939" ht="15" customHeight="1">
      <c r="A939" t="inlineStr">
        <is>
          <t>A 6021-2024</t>
        </is>
      </c>
      <c r="B939" s="1" t="n">
        <v>45336.62131944444</v>
      </c>
      <c r="C939" s="1" t="n">
        <v>46081</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55287-2023</t>
        </is>
      </c>
      <c r="B940" s="1" t="n">
        <v>45237.75578703704</v>
      </c>
      <c r="C940" s="1" t="n">
        <v>46081</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8066-2026</t>
        </is>
      </c>
      <c r="B941" s="1" t="n">
        <v>46063.63578703703</v>
      </c>
      <c r="C941" s="1" t="n">
        <v>46081</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2168-2024</t>
        </is>
      </c>
      <c r="B942" s="1" t="n">
        <v>45309.61756944445</v>
      </c>
      <c r="C942" s="1" t="n">
        <v>46081</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10688-2024</t>
        </is>
      </c>
      <c r="B943" s="1" t="n">
        <v>45369.39894675926</v>
      </c>
      <c r="C943" s="1" t="n">
        <v>46081</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37936-2022</t>
        </is>
      </c>
      <c r="B944" s="1" t="n">
        <v>44811.46958333333</v>
      </c>
      <c r="C944" s="1" t="n">
        <v>46081</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55289-2023</t>
        </is>
      </c>
      <c r="B945" s="1" t="n">
        <v>45237.76106481482</v>
      </c>
      <c r="C945" s="1" t="n">
        <v>46081</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33207-2022</t>
        </is>
      </c>
      <c r="B946" s="1" t="n">
        <v>44785.72373842593</v>
      </c>
      <c r="C946" s="1" t="n">
        <v>46081</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33210-2022</t>
        </is>
      </c>
      <c r="B947" s="1" t="n">
        <v>44785.74811342593</v>
      </c>
      <c r="C947" s="1" t="n">
        <v>46081</v>
      </c>
      <c r="D947" t="inlineStr">
        <is>
          <t>KALMAR LÄN</t>
        </is>
      </c>
      <c r="E947" t="inlineStr">
        <is>
          <t>VÄSTERVIK</t>
        </is>
      </c>
      <c r="G947" t="n">
        <v>3.2</v>
      </c>
      <c r="H947" t="n">
        <v>0</v>
      </c>
      <c r="I947" t="n">
        <v>0</v>
      </c>
      <c r="J947" t="n">
        <v>0</v>
      </c>
      <c r="K947" t="n">
        <v>0</v>
      </c>
      <c r="L947" t="n">
        <v>0</v>
      </c>
      <c r="M947" t="n">
        <v>0</v>
      </c>
      <c r="N947" t="n">
        <v>0</v>
      </c>
      <c r="O947" t="n">
        <v>0</v>
      </c>
      <c r="P947" t="n">
        <v>0</v>
      </c>
      <c r="Q947" t="n">
        <v>0</v>
      </c>
      <c r="R947" s="2" t="inlineStr"/>
    </row>
    <row r="948" ht="15" customHeight="1">
      <c r="A948" t="inlineStr">
        <is>
          <t>A 10515-2024</t>
        </is>
      </c>
      <c r="B948" s="1" t="n">
        <v>45366</v>
      </c>
      <c r="C948" s="1" t="n">
        <v>46081</v>
      </c>
      <c r="D948" t="inlineStr">
        <is>
          <t>KALMAR LÄN</t>
        </is>
      </c>
      <c r="E948" t="inlineStr">
        <is>
          <t>VÄSTERVIK</t>
        </is>
      </c>
      <c r="F948" t="inlineStr">
        <is>
          <t>Kyrkan</t>
        </is>
      </c>
      <c r="G948" t="n">
        <v>3.5</v>
      </c>
      <c r="H948" t="n">
        <v>0</v>
      </c>
      <c r="I948" t="n">
        <v>0</v>
      </c>
      <c r="J948" t="n">
        <v>0</v>
      </c>
      <c r="K948" t="n">
        <v>0</v>
      </c>
      <c r="L948" t="n">
        <v>0</v>
      </c>
      <c r="M948" t="n">
        <v>0</v>
      </c>
      <c r="N948" t="n">
        <v>0</v>
      </c>
      <c r="O948" t="n">
        <v>0</v>
      </c>
      <c r="P948" t="n">
        <v>0</v>
      </c>
      <c r="Q948" t="n">
        <v>0</v>
      </c>
      <c r="R948" s="2" t="inlineStr"/>
    </row>
    <row r="949" ht="15" customHeight="1">
      <c r="A949" t="inlineStr">
        <is>
          <t>A 46088-2023</t>
        </is>
      </c>
      <c r="B949" s="1" t="n">
        <v>45196.50065972222</v>
      </c>
      <c r="C949" s="1" t="n">
        <v>46081</v>
      </c>
      <c r="D949" t="inlineStr">
        <is>
          <t>KALMAR LÄN</t>
        </is>
      </c>
      <c r="E949" t="inlineStr">
        <is>
          <t>VÄSTERVIK</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46121-2023</t>
        </is>
      </c>
      <c r="B950" s="1" t="n">
        <v>45196.55392361111</v>
      </c>
      <c r="C950" s="1" t="n">
        <v>46081</v>
      </c>
      <c r="D950" t="inlineStr">
        <is>
          <t>KALMAR LÄN</t>
        </is>
      </c>
      <c r="E950" t="inlineStr">
        <is>
          <t>VÄSTERVIK</t>
        </is>
      </c>
      <c r="F950" t="inlineStr">
        <is>
          <t>Sveaskog</t>
        </is>
      </c>
      <c r="G950" t="n">
        <v>3.3</v>
      </c>
      <c r="H950" t="n">
        <v>0</v>
      </c>
      <c r="I950" t="n">
        <v>0</v>
      </c>
      <c r="J950" t="n">
        <v>0</v>
      </c>
      <c r="K950" t="n">
        <v>0</v>
      </c>
      <c r="L950" t="n">
        <v>0</v>
      </c>
      <c r="M950" t="n">
        <v>0</v>
      </c>
      <c r="N950" t="n">
        <v>0</v>
      </c>
      <c r="O950" t="n">
        <v>0</v>
      </c>
      <c r="P950" t="n">
        <v>0</v>
      </c>
      <c r="Q950" t="n">
        <v>0</v>
      </c>
      <c r="R950" s="2" t="inlineStr"/>
    </row>
    <row r="951" ht="15" customHeight="1">
      <c r="A951" t="inlineStr">
        <is>
          <t>A 61450-2023</t>
        </is>
      </c>
      <c r="B951" s="1" t="n">
        <v>45264.8162037037</v>
      </c>
      <c r="C951" s="1" t="n">
        <v>46081</v>
      </c>
      <c r="D951" t="inlineStr">
        <is>
          <t>KALMAR LÄN</t>
        </is>
      </c>
      <c r="E951" t="inlineStr">
        <is>
          <t>VÄSTERVIK</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56033-2023</t>
        </is>
      </c>
      <c r="B952" s="1" t="n">
        <v>45240.43778935185</v>
      </c>
      <c r="C952" s="1" t="n">
        <v>46081</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8654-2026</t>
        </is>
      </c>
      <c r="B953" s="1" t="n">
        <v>46066.3687037037</v>
      </c>
      <c r="C953" s="1" t="n">
        <v>46081</v>
      </c>
      <c r="D953" t="inlineStr">
        <is>
          <t>KALMAR LÄN</t>
        </is>
      </c>
      <c r="E953" t="inlineStr">
        <is>
          <t>VÄSTERVIK</t>
        </is>
      </c>
      <c r="G953" t="n">
        <v>2.6</v>
      </c>
      <c r="H953" t="n">
        <v>0</v>
      </c>
      <c r="I953" t="n">
        <v>0</v>
      </c>
      <c r="J953" t="n">
        <v>0</v>
      </c>
      <c r="K953" t="n">
        <v>0</v>
      </c>
      <c r="L953" t="n">
        <v>0</v>
      </c>
      <c r="M953" t="n">
        <v>0</v>
      </c>
      <c r="N953" t="n">
        <v>0</v>
      </c>
      <c r="O953" t="n">
        <v>0</v>
      </c>
      <c r="P953" t="n">
        <v>0</v>
      </c>
      <c r="Q953" t="n">
        <v>0</v>
      </c>
      <c r="R953" s="2" t="inlineStr"/>
    </row>
    <row r="954" ht="15" customHeight="1">
      <c r="A954" t="inlineStr">
        <is>
          <t>A 28404-2024</t>
        </is>
      </c>
      <c r="B954" s="1" t="n">
        <v>45477.61552083334</v>
      </c>
      <c r="C954" s="1" t="n">
        <v>46081</v>
      </c>
      <c r="D954" t="inlineStr">
        <is>
          <t>KALMAR LÄN</t>
        </is>
      </c>
      <c r="E954" t="inlineStr">
        <is>
          <t>VÄSTERVIK</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28415-2024</t>
        </is>
      </c>
      <c r="B955" s="1" t="n">
        <v>45477.62924768519</v>
      </c>
      <c r="C955" s="1" t="n">
        <v>46081</v>
      </c>
      <c r="D955" t="inlineStr">
        <is>
          <t>KALMAR LÄN</t>
        </is>
      </c>
      <c r="E955" t="inlineStr">
        <is>
          <t>VÄSTERVIK</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934-2024</t>
        </is>
      </c>
      <c r="B956" s="1" t="n">
        <v>45301.51439814815</v>
      </c>
      <c r="C956" s="1" t="n">
        <v>46081</v>
      </c>
      <c r="D956" t="inlineStr">
        <is>
          <t>KALMAR LÄN</t>
        </is>
      </c>
      <c r="E956" t="inlineStr">
        <is>
          <t>VÄSTERVIK</t>
        </is>
      </c>
      <c r="G956" t="n">
        <v>2.3</v>
      </c>
      <c r="H956" t="n">
        <v>0</v>
      </c>
      <c r="I956" t="n">
        <v>0</v>
      </c>
      <c r="J956" t="n">
        <v>0</v>
      </c>
      <c r="K956" t="n">
        <v>0</v>
      </c>
      <c r="L956" t="n">
        <v>0</v>
      </c>
      <c r="M956" t="n">
        <v>0</v>
      </c>
      <c r="N956" t="n">
        <v>0</v>
      </c>
      <c r="O956" t="n">
        <v>0</v>
      </c>
      <c r="P956" t="n">
        <v>0</v>
      </c>
      <c r="Q956" t="n">
        <v>0</v>
      </c>
      <c r="R956" s="2" t="inlineStr"/>
    </row>
    <row r="957" ht="15" customHeight="1">
      <c r="A957" t="inlineStr">
        <is>
          <t>A 936-2024</t>
        </is>
      </c>
      <c r="B957" s="1" t="n">
        <v>45301.51950231481</v>
      </c>
      <c r="C957" s="1" t="n">
        <v>46081</v>
      </c>
      <c r="D957" t="inlineStr">
        <is>
          <t>KALMAR LÄN</t>
        </is>
      </c>
      <c r="E957" t="inlineStr">
        <is>
          <t>VÄSTERVIK</t>
        </is>
      </c>
      <c r="G957" t="n">
        <v>1.4</v>
      </c>
      <c r="H957" t="n">
        <v>0</v>
      </c>
      <c r="I957" t="n">
        <v>0</v>
      </c>
      <c r="J957" t="n">
        <v>0</v>
      </c>
      <c r="K957" t="n">
        <v>0</v>
      </c>
      <c r="L957" t="n">
        <v>0</v>
      </c>
      <c r="M957" t="n">
        <v>0</v>
      </c>
      <c r="N957" t="n">
        <v>0</v>
      </c>
      <c r="O957" t="n">
        <v>0</v>
      </c>
      <c r="P957" t="n">
        <v>0</v>
      </c>
      <c r="Q957" t="n">
        <v>0</v>
      </c>
      <c r="R957" s="2" t="inlineStr"/>
    </row>
    <row r="958" ht="15" customHeight="1">
      <c r="A958" t="inlineStr">
        <is>
          <t>A 33842-2025</t>
        </is>
      </c>
      <c r="B958" s="1" t="n">
        <v>45842</v>
      </c>
      <c r="C958" s="1" t="n">
        <v>46081</v>
      </c>
      <c r="D958" t="inlineStr">
        <is>
          <t>KALMAR LÄN</t>
        </is>
      </c>
      <c r="E958" t="inlineStr">
        <is>
          <t>VÄSTERVIK</t>
        </is>
      </c>
      <c r="G958" t="n">
        <v>2</v>
      </c>
      <c r="H958" t="n">
        <v>0</v>
      </c>
      <c r="I958" t="n">
        <v>0</v>
      </c>
      <c r="J958" t="n">
        <v>0</v>
      </c>
      <c r="K958" t="n">
        <v>0</v>
      </c>
      <c r="L958" t="n">
        <v>0</v>
      </c>
      <c r="M958" t="n">
        <v>0</v>
      </c>
      <c r="N958" t="n">
        <v>0</v>
      </c>
      <c r="O958" t="n">
        <v>0</v>
      </c>
      <c r="P958" t="n">
        <v>0</v>
      </c>
      <c r="Q958" t="n">
        <v>0</v>
      </c>
      <c r="R958" s="2" t="inlineStr"/>
    </row>
    <row r="959" ht="15" customHeight="1">
      <c r="A959" t="inlineStr">
        <is>
          <t>A 8425-2026</t>
        </is>
      </c>
      <c r="B959" s="1" t="n">
        <v>46065.37771990741</v>
      </c>
      <c r="C959" s="1" t="n">
        <v>46081</v>
      </c>
      <c r="D959" t="inlineStr">
        <is>
          <t>KALMAR LÄN</t>
        </is>
      </c>
      <c r="E959" t="inlineStr">
        <is>
          <t>VÄSTERVIK</t>
        </is>
      </c>
      <c r="G959" t="n">
        <v>2.1</v>
      </c>
      <c r="H959" t="n">
        <v>0</v>
      </c>
      <c r="I959" t="n">
        <v>0</v>
      </c>
      <c r="J959" t="n">
        <v>0</v>
      </c>
      <c r="K959" t="n">
        <v>0</v>
      </c>
      <c r="L959" t="n">
        <v>0</v>
      </c>
      <c r="M959" t="n">
        <v>0</v>
      </c>
      <c r="N959" t="n">
        <v>0</v>
      </c>
      <c r="O959" t="n">
        <v>0</v>
      </c>
      <c r="P959" t="n">
        <v>0</v>
      </c>
      <c r="Q959" t="n">
        <v>0</v>
      </c>
      <c r="R959" s="2" t="inlineStr"/>
    </row>
    <row r="960" ht="15" customHeight="1">
      <c r="A960" t="inlineStr">
        <is>
          <t>A 25434-2023</t>
        </is>
      </c>
      <c r="B960" s="1" t="n">
        <v>45089.41912037037</v>
      </c>
      <c r="C960" s="1" t="n">
        <v>46081</v>
      </c>
      <c r="D960" t="inlineStr">
        <is>
          <t>KALMAR LÄN</t>
        </is>
      </c>
      <c r="E960" t="inlineStr">
        <is>
          <t>VÄSTERVIK</t>
        </is>
      </c>
      <c r="G960" t="n">
        <v>0.9</v>
      </c>
      <c r="H960" t="n">
        <v>0</v>
      </c>
      <c r="I960" t="n">
        <v>0</v>
      </c>
      <c r="J960" t="n">
        <v>0</v>
      </c>
      <c r="K960" t="n">
        <v>0</v>
      </c>
      <c r="L960" t="n">
        <v>0</v>
      </c>
      <c r="M960" t="n">
        <v>0</v>
      </c>
      <c r="N960" t="n">
        <v>0</v>
      </c>
      <c r="O960" t="n">
        <v>0</v>
      </c>
      <c r="P960" t="n">
        <v>0</v>
      </c>
      <c r="Q960" t="n">
        <v>0</v>
      </c>
      <c r="R960" s="2" t="inlineStr"/>
    </row>
    <row r="961" ht="15" customHeight="1">
      <c r="A961" t="inlineStr">
        <is>
          <t>A 407-2026</t>
        </is>
      </c>
      <c r="B961" s="1" t="n">
        <v>46028.68821759259</v>
      </c>
      <c r="C961" s="1" t="n">
        <v>46081</v>
      </c>
      <c r="D961" t="inlineStr">
        <is>
          <t>KALMAR LÄN</t>
        </is>
      </c>
      <c r="E961" t="inlineStr">
        <is>
          <t>VÄSTERVIK</t>
        </is>
      </c>
      <c r="G961" t="n">
        <v>4.6</v>
      </c>
      <c r="H961" t="n">
        <v>0</v>
      </c>
      <c r="I961" t="n">
        <v>0</v>
      </c>
      <c r="J961" t="n">
        <v>0</v>
      </c>
      <c r="K961" t="n">
        <v>0</v>
      </c>
      <c r="L961" t="n">
        <v>0</v>
      </c>
      <c r="M961" t="n">
        <v>0</v>
      </c>
      <c r="N961" t="n">
        <v>0</v>
      </c>
      <c r="O961" t="n">
        <v>0</v>
      </c>
      <c r="P961" t="n">
        <v>0</v>
      </c>
      <c r="Q961" t="n">
        <v>0</v>
      </c>
      <c r="R961" s="2" t="inlineStr"/>
    </row>
    <row r="962" ht="15" customHeight="1">
      <c r="A962" t="inlineStr">
        <is>
          <t>A 18068-2023</t>
        </is>
      </c>
      <c r="B962" s="1" t="n">
        <v>45040</v>
      </c>
      <c r="C962" s="1" t="n">
        <v>46081</v>
      </c>
      <c r="D962" t="inlineStr">
        <is>
          <t>KALMAR LÄN</t>
        </is>
      </c>
      <c r="E962" t="inlineStr">
        <is>
          <t>VÄSTERVIK</t>
        </is>
      </c>
      <c r="G962" t="n">
        <v>1.5</v>
      </c>
      <c r="H962" t="n">
        <v>0</v>
      </c>
      <c r="I962" t="n">
        <v>0</v>
      </c>
      <c r="J962" t="n">
        <v>0</v>
      </c>
      <c r="K962" t="n">
        <v>0</v>
      </c>
      <c r="L962" t="n">
        <v>0</v>
      </c>
      <c r="M962" t="n">
        <v>0</v>
      </c>
      <c r="N962" t="n">
        <v>0</v>
      </c>
      <c r="O962" t="n">
        <v>0</v>
      </c>
      <c r="P962" t="n">
        <v>0</v>
      </c>
      <c r="Q962" t="n">
        <v>0</v>
      </c>
      <c r="R962" s="2" t="inlineStr"/>
    </row>
    <row r="963" ht="15" customHeight="1">
      <c r="A963" t="inlineStr">
        <is>
          <t>A 9040-2026</t>
        </is>
      </c>
      <c r="B963" s="1" t="n">
        <v>46069.54521990741</v>
      </c>
      <c r="C963" s="1" t="n">
        <v>46081</v>
      </c>
      <c r="D963" t="inlineStr">
        <is>
          <t>KALMAR LÄN</t>
        </is>
      </c>
      <c r="E963" t="inlineStr">
        <is>
          <t>VÄSTERVIK</t>
        </is>
      </c>
      <c r="G963" t="n">
        <v>4.4</v>
      </c>
      <c r="H963" t="n">
        <v>0</v>
      </c>
      <c r="I963" t="n">
        <v>0</v>
      </c>
      <c r="J963" t="n">
        <v>0</v>
      </c>
      <c r="K963" t="n">
        <v>0</v>
      </c>
      <c r="L963" t="n">
        <v>0</v>
      </c>
      <c r="M963" t="n">
        <v>0</v>
      </c>
      <c r="N963" t="n">
        <v>0</v>
      </c>
      <c r="O963" t="n">
        <v>0</v>
      </c>
      <c r="P963" t="n">
        <v>0</v>
      </c>
      <c r="Q963" t="n">
        <v>0</v>
      </c>
      <c r="R963" s="2" t="inlineStr"/>
    </row>
    <row r="964" ht="15" customHeight="1">
      <c r="A964" t="inlineStr">
        <is>
          <t>A 440-2026</t>
        </is>
      </c>
      <c r="B964" s="1" t="n">
        <v>46029.34443287037</v>
      </c>
      <c r="C964" s="1" t="n">
        <v>46081</v>
      </c>
      <c r="D964" t="inlineStr">
        <is>
          <t>KALMAR LÄN</t>
        </is>
      </c>
      <c r="E964" t="inlineStr">
        <is>
          <t>VÄSTERVIK</t>
        </is>
      </c>
      <c r="G964" t="n">
        <v>3.9</v>
      </c>
      <c r="H964" t="n">
        <v>0</v>
      </c>
      <c r="I964" t="n">
        <v>0</v>
      </c>
      <c r="J964" t="n">
        <v>0</v>
      </c>
      <c r="K964" t="n">
        <v>0</v>
      </c>
      <c r="L964" t="n">
        <v>0</v>
      </c>
      <c r="M964" t="n">
        <v>0</v>
      </c>
      <c r="N964" t="n">
        <v>0</v>
      </c>
      <c r="O964" t="n">
        <v>0</v>
      </c>
      <c r="P964" t="n">
        <v>0</v>
      </c>
      <c r="Q964" t="n">
        <v>0</v>
      </c>
      <c r="R964" s="2" t="inlineStr"/>
    </row>
    <row r="965" ht="15" customHeight="1">
      <c r="A965" t="inlineStr">
        <is>
          <t>A 445-2026</t>
        </is>
      </c>
      <c r="B965" s="1" t="n">
        <v>46029.34517361111</v>
      </c>
      <c r="C965" s="1" t="n">
        <v>46081</v>
      </c>
      <c r="D965" t="inlineStr">
        <is>
          <t>KALMAR LÄN</t>
        </is>
      </c>
      <c r="E965" t="inlineStr">
        <is>
          <t>VÄSTERVIK</t>
        </is>
      </c>
      <c r="G965" t="n">
        <v>2.2</v>
      </c>
      <c r="H965" t="n">
        <v>0</v>
      </c>
      <c r="I965" t="n">
        <v>0</v>
      </c>
      <c r="J965" t="n">
        <v>0</v>
      </c>
      <c r="K965" t="n">
        <v>0</v>
      </c>
      <c r="L965" t="n">
        <v>0</v>
      </c>
      <c r="M965" t="n">
        <v>0</v>
      </c>
      <c r="N965" t="n">
        <v>0</v>
      </c>
      <c r="O965" t="n">
        <v>0</v>
      </c>
      <c r="P965" t="n">
        <v>0</v>
      </c>
      <c r="Q965" t="n">
        <v>0</v>
      </c>
      <c r="R965" s="2" t="inlineStr"/>
    </row>
    <row r="966" ht="15" customHeight="1">
      <c r="A966" t="inlineStr">
        <is>
          <t>A 719-2026</t>
        </is>
      </c>
      <c r="B966" s="1" t="n">
        <v>46029.6319212963</v>
      </c>
      <c r="C966" s="1" t="n">
        <v>46081</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925-2024</t>
        </is>
      </c>
      <c r="B967" s="1" t="n">
        <v>45301</v>
      </c>
      <c r="C967" s="1" t="n">
        <v>46081</v>
      </c>
      <c r="D967" t="inlineStr">
        <is>
          <t>KALMAR LÄN</t>
        </is>
      </c>
      <c r="E967" t="inlineStr">
        <is>
          <t>VÄSTERVIK</t>
        </is>
      </c>
      <c r="G967" t="n">
        <v>1.1</v>
      </c>
      <c r="H967" t="n">
        <v>0</v>
      </c>
      <c r="I967" t="n">
        <v>0</v>
      </c>
      <c r="J967" t="n">
        <v>0</v>
      </c>
      <c r="K967" t="n">
        <v>0</v>
      </c>
      <c r="L967" t="n">
        <v>0</v>
      </c>
      <c r="M967" t="n">
        <v>0</v>
      </c>
      <c r="N967" t="n">
        <v>0</v>
      </c>
      <c r="O967" t="n">
        <v>0</v>
      </c>
      <c r="P967" t="n">
        <v>0</v>
      </c>
      <c r="Q967" t="n">
        <v>0</v>
      </c>
      <c r="R967" s="2" t="inlineStr"/>
    </row>
    <row r="968" ht="15" customHeight="1">
      <c r="A968" t="inlineStr">
        <is>
          <t>A 33277-2023</t>
        </is>
      </c>
      <c r="B968" s="1" t="n">
        <v>45114</v>
      </c>
      <c r="C968" s="1" t="n">
        <v>46081</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742-2026</t>
        </is>
      </c>
      <c r="B969" s="1" t="n">
        <v>46029.6646875</v>
      </c>
      <c r="C969" s="1" t="n">
        <v>46081</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895-2026</t>
        </is>
      </c>
      <c r="B970" s="1" t="n">
        <v>46030.45925925926</v>
      </c>
      <c r="C970" s="1" t="n">
        <v>46081</v>
      </c>
      <c r="D970" t="inlineStr">
        <is>
          <t>KALMAR LÄN</t>
        </is>
      </c>
      <c r="E970" t="inlineStr">
        <is>
          <t>VÄSTERVIK</t>
        </is>
      </c>
      <c r="F970" t="inlineStr">
        <is>
          <t>Kyrkan</t>
        </is>
      </c>
      <c r="G970" t="n">
        <v>3.2</v>
      </c>
      <c r="H970" t="n">
        <v>0</v>
      </c>
      <c r="I970" t="n">
        <v>0</v>
      </c>
      <c r="J970" t="n">
        <v>0</v>
      </c>
      <c r="K970" t="n">
        <v>0</v>
      </c>
      <c r="L970" t="n">
        <v>0</v>
      </c>
      <c r="M970" t="n">
        <v>0</v>
      </c>
      <c r="N970" t="n">
        <v>0</v>
      </c>
      <c r="O970" t="n">
        <v>0</v>
      </c>
      <c r="P970" t="n">
        <v>0</v>
      </c>
      <c r="Q970" t="n">
        <v>0</v>
      </c>
      <c r="R970" s="2" t="inlineStr"/>
    </row>
    <row r="971" ht="15" customHeight="1">
      <c r="A971" t="inlineStr">
        <is>
          <t>A 63890-2023</t>
        </is>
      </c>
      <c r="B971" s="1" t="n">
        <v>45278</v>
      </c>
      <c r="C971" s="1" t="n">
        <v>46081</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740-2026</t>
        </is>
      </c>
      <c r="B972" s="1" t="n">
        <v>46029.66045138889</v>
      </c>
      <c r="C972" s="1" t="n">
        <v>46081</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447-2026</t>
        </is>
      </c>
      <c r="B973" s="1" t="n">
        <v>46029.345625</v>
      </c>
      <c r="C973" s="1" t="n">
        <v>46081</v>
      </c>
      <c r="D973" t="inlineStr">
        <is>
          <t>KALMAR LÄN</t>
        </is>
      </c>
      <c r="E973" t="inlineStr">
        <is>
          <t>VÄSTERVIK</t>
        </is>
      </c>
      <c r="G973" t="n">
        <v>2.4</v>
      </c>
      <c r="H973" t="n">
        <v>0</v>
      </c>
      <c r="I973" t="n">
        <v>0</v>
      </c>
      <c r="J973" t="n">
        <v>0</v>
      </c>
      <c r="K973" t="n">
        <v>0</v>
      </c>
      <c r="L973" t="n">
        <v>0</v>
      </c>
      <c r="M973" t="n">
        <v>0</v>
      </c>
      <c r="N973" t="n">
        <v>0</v>
      </c>
      <c r="O973" t="n">
        <v>0</v>
      </c>
      <c r="P973" t="n">
        <v>0</v>
      </c>
      <c r="Q973" t="n">
        <v>0</v>
      </c>
      <c r="R973" s="2" t="inlineStr"/>
    </row>
    <row r="974" ht="15" customHeight="1">
      <c r="A974" t="inlineStr">
        <is>
          <t>A 928-2024</t>
        </is>
      </c>
      <c r="B974" s="1" t="n">
        <v>45301</v>
      </c>
      <c r="C974" s="1" t="n">
        <v>46081</v>
      </c>
      <c r="D974" t="inlineStr">
        <is>
          <t>KALMAR LÄN</t>
        </is>
      </c>
      <c r="E974" t="inlineStr">
        <is>
          <t>VÄSTERVIK</t>
        </is>
      </c>
      <c r="G974" t="n">
        <v>4.8</v>
      </c>
      <c r="H974" t="n">
        <v>0</v>
      </c>
      <c r="I974" t="n">
        <v>0</v>
      </c>
      <c r="J974" t="n">
        <v>0</v>
      </c>
      <c r="K974" t="n">
        <v>0</v>
      </c>
      <c r="L974" t="n">
        <v>0</v>
      </c>
      <c r="M974" t="n">
        <v>0</v>
      </c>
      <c r="N974" t="n">
        <v>0</v>
      </c>
      <c r="O974" t="n">
        <v>0</v>
      </c>
      <c r="P974" t="n">
        <v>0</v>
      </c>
      <c r="Q974" t="n">
        <v>0</v>
      </c>
      <c r="R974" s="2" t="inlineStr"/>
    </row>
    <row r="975" ht="15" customHeight="1">
      <c r="A975" t="inlineStr">
        <is>
          <t>A 63812-2021</t>
        </is>
      </c>
      <c r="B975" s="1" t="n">
        <v>44509.56346064815</v>
      </c>
      <c r="C975" s="1" t="n">
        <v>46081</v>
      </c>
      <c r="D975" t="inlineStr">
        <is>
          <t>KALMAR LÄN</t>
        </is>
      </c>
      <c r="E975" t="inlineStr">
        <is>
          <t>VÄSTERVIK</t>
        </is>
      </c>
      <c r="G975" t="n">
        <v>2.1</v>
      </c>
      <c r="H975" t="n">
        <v>0</v>
      </c>
      <c r="I975" t="n">
        <v>0</v>
      </c>
      <c r="J975" t="n">
        <v>0</v>
      </c>
      <c r="K975" t="n">
        <v>0</v>
      </c>
      <c r="L975" t="n">
        <v>0</v>
      </c>
      <c r="M975" t="n">
        <v>0</v>
      </c>
      <c r="N975" t="n">
        <v>0</v>
      </c>
      <c r="O975" t="n">
        <v>0</v>
      </c>
      <c r="P975" t="n">
        <v>0</v>
      </c>
      <c r="Q975" t="n">
        <v>0</v>
      </c>
      <c r="R975" s="2" t="inlineStr"/>
    </row>
    <row r="976" ht="15" customHeight="1">
      <c r="A976" t="inlineStr">
        <is>
          <t>A 59196-2024</t>
        </is>
      </c>
      <c r="B976" s="1" t="n">
        <v>45637.54589120371</v>
      </c>
      <c r="C976" s="1" t="n">
        <v>46081</v>
      </c>
      <c r="D976" t="inlineStr">
        <is>
          <t>KALMAR LÄN</t>
        </is>
      </c>
      <c r="E976" t="inlineStr">
        <is>
          <t>VÄSTERVIK</t>
        </is>
      </c>
      <c r="G976" t="n">
        <v>1.7</v>
      </c>
      <c r="H976" t="n">
        <v>0</v>
      </c>
      <c r="I976" t="n">
        <v>0</v>
      </c>
      <c r="J976" t="n">
        <v>0</v>
      </c>
      <c r="K976" t="n">
        <v>0</v>
      </c>
      <c r="L976" t="n">
        <v>0</v>
      </c>
      <c r="M976" t="n">
        <v>0</v>
      </c>
      <c r="N976" t="n">
        <v>0</v>
      </c>
      <c r="O976" t="n">
        <v>0</v>
      </c>
      <c r="P976" t="n">
        <v>0</v>
      </c>
      <c r="Q976" t="n">
        <v>0</v>
      </c>
      <c r="R976" s="2" t="inlineStr"/>
    </row>
    <row r="977" ht="15" customHeight="1">
      <c r="A977" t="inlineStr">
        <is>
          <t>A 57924-2024</t>
        </is>
      </c>
      <c r="B977" s="1" t="n">
        <v>45631.51325231481</v>
      </c>
      <c r="C977" s="1" t="n">
        <v>46081</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1699-2023</t>
        </is>
      </c>
      <c r="B978" s="1" t="n">
        <v>44935</v>
      </c>
      <c r="C978" s="1" t="n">
        <v>46081</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1488-2026</t>
        </is>
      </c>
      <c r="B979" s="1" t="n">
        <v>46034.26685185185</v>
      </c>
      <c r="C979" s="1" t="n">
        <v>46081</v>
      </c>
      <c r="D979" t="inlineStr">
        <is>
          <t>KALMAR LÄN</t>
        </is>
      </c>
      <c r="E979" t="inlineStr">
        <is>
          <t>VÄSTERVIK</t>
        </is>
      </c>
      <c r="G979" t="n">
        <v>2</v>
      </c>
      <c r="H979" t="n">
        <v>0</v>
      </c>
      <c r="I979" t="n">
        <v>0</v>
      </c>
      <c r="J979" t="n">
        <v>0</v>
      </c>
      <c r="K979" t="n">
        <v>0</v>
      </c>
      <c r="L979" t="n">
        <v>0</v>
      </c>
      <c r="M979" t="n">
        <v>0</v>
      </c>
      <c r="N979" t="n">
        <v>0</v>
      </c>
      <c r="O979" t="n">
        <v>0</v>
      </c>
      <c r="P979" t="n">
        <v>0</v>
      </c>
      <c r="Q979" t="n">
        <v>0</v>
      </c>
      <c r="R979" s="2" t="inlineStr"/>
    </row>
    <row r="980" ht="15" customHeight="1">
      <c r="A980" t="inlineStr">
        <is>
          <t>A 31318-2021</t>
        </is>
      </c>
      <c r="B980" s="1" t="n">
        <v>44368</v>
      </c>
      <c r="C980" s="1" t="n">
        <v>46081</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1489-2026</t>
        </is>
      </c>
      <c r="B981" s="1" t="n">
        <v>46034.26715277778</v>
      </c>
      <c r="C981" s="1" t="n">
        <v>46081</v>
      </c>
      <c r="D981" t="inlineStr">
        <is>
          <t>KALMAR LÄN</t>
        </is>
      </c>
      <c r="E981" t="inlineStr">
        <is>
          <t>VÄSTERVIK</t>
        </is>
      </c>
      <c r="G981" t="n">
        <v>2.4</v>
      </c>
      <c r="H981" t="n">
        <v>0</v>
      </c>
      <c r="I981" t="n">
        <v>0</v>
      </c>
      <c r="J981" t="n">
        <v>0</v>
      </c>
      <c r="K981" t="n">
        <v>0</v>
      </c>
      <c r="L981" t="n">
        <v>0</v>
      </c>
      <c r="M981" t="n">
        <v>0</v>
      </c>
      <c r="N981" t="n">
        <v>0</v>
      </c>
      <c r="O981" t="n">
        <v>0</v>
      </c>
      <c r="P981" t="n">
        <v>0</v>
      </c>
      <c r="Q981" t="n">
        <v>0</v>
      </c>
      <c r="R981" s="2" t="inlineStr"/>
    </row>
    <row r="982" ht="15" customHeight="1">
      <c r="A982" t="inlineStr">
        <is>
          <t>A 1486-2026</t>
        </is>
      </c>
      <c r="B982" s="1" t="n">
        <v>46034.26603009259</v>
      </c>
      <c r="C982" s="1" t="n">
        <v>46081</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1487-2026</t>
        </is>
      </c>
      <c r="B983" s="1" t="n">
        <v>46034.26645833333</v>
      </c>
      <c r="C983" s="1" t="n">
        <v>46081</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58217-2022</t>
        </is>
      </c>
      <c r="B984" s="1" t="n">
        <v>44901.36453703704</v>
      </c>
      <c r="C984" s="1" t="n">
        <v>46081</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1874-2025</t>
        </is>
      </c>
      <c r="B985" s="1" t="n">
        <v>45671.61953703704</v>
      </c>
      <c r="C985" s="1" t="n">
        <v>46081</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59871-2022</t>
        </is>
      </c>
      <c r="B986" s="1" t="n">
        <v>44908</v>
      </c>
      <c r="C986" s="1" t="n">
        <v>46081</v>
      </c>
      <c r="D986" t="inlineStr">
        <is>
          <t>KALMAR LÄN</t>
        </is>
      </c>
      <c r="E986" t="inlineStr">
        <is>
          <t>VÄSTERVIK</t>
        </is>
      </c>
      <c r="F986" t="inlineStr">
        <is>
          <t>Övriga Aktiebolag</t>
        </is>
      </c>
      <c r="G986" t="n">
        <v>0.4</v>
      </c>
      <c r="H986" t="n">
        <v>0</v>
      </c>
      <c r="I986" t="n">
        <v>0</v>
      </c>
      <c r="J986" t="n">
        <v>0</v>
      </c>
      <c r="K986" t="n">
        <v>0</v>
      </c>
      <c r="L986" t="n">
        <v>0</v>
      </c>
      <c r="M986" t="n">
        <v>0</v>
      </c>
      <c r="N986" t="n">
        <v>0</v>
      </c>
      <c r="O986" t="n">
        <v>0</v>
      </c>
      <c r="P986" t="n">
        <v>0</v>
      </c>
      <c r="Q986" t="n">
        <v>0</v>
      </c>
      <c r="R986" s="2" t="inlineStr"/>
    </row>
    <row r="987" ht="15" customHeight="1">
      <c r="A987" t="inlineStr">
        <is>
          <t>A 16834-2023</t>
        </is>
      </c>
      <c r="B987" s="1" t="n">
        <v>45033</v>
      </c>
      <c r="C987" s="1" t="n">
        <v>46081</v>
      </c>
      <c r="D987" t="inlineStr">
        <is>
          <t>KALMAR LÄN</t>
        </is>
      </c>
      <c r="E987" t="inlineStr">
        <is>
          <t>VÄSTERVIK</t>
        </is>
      </c>
      <c r="G987" t="n">
        <v>1.4</v>
      </c>
      <c r="H987" t="n">
        <v>0</v>
      </c>
      <c r="I987" t="n">
        <v>0</v>
      </c>
      <c r="J987" t="n">
        <v>0</v>
      </c>
      <c r="K987" t="n">
        <v>0</v>
      </c>
      <c r="L987" t="n">
        <v>0</v>
      </c>
      <c r="M987" t="n">
        <v>0</v>
      </c>
      <c r="N987" t="n">
        <v>0</v>
      </c>
      <c r="O987" t="n">
        <v>0</v>
      </c>
      <c r="P987" t="n">
        <v>0</v>
      </c>
      <c r="Q987" t="n">
        <v>0</v>
      </c>
      <c r="R987" s="2" t="inlineStr"/>
    </row>
    <row r="988" ht="15" customHeight="1">
      <c r="A988" t="inlineStr">
        <is>
          <t>A 11183-2024</t>
        </is>
      </c>
      <c r="B988" s="1" t="n">
        <v>45371.53141203704</v>
      </c>
      <c r="C988" s="1" t="n">
        <v>46081</v>
      </c>
      <c r="D988" t="inlineStr">
        <is>
          <t>KALMAR LÄN</t>
        </is>
      </c>
      <c r="E988" t="inlineStr">
        <is>
          <t>VÄSTERVIK</t>
        </is>
      </c>
      <c r="G988" t="n">
        <v>4.5</v>
      </c>
      <c r="H988" t="n">
        <v>0</v>
      </c>
      <c r="I988" t="n">
        <v>0</v>
      </c>
      <c r="J988" t="n">
        <v>0</v>
      </c>
      <c r="K988" t="n">
        <v>0</v>
      </c>
      <c r="L988" t="n">
        <v>0</v>
      </c>
      <c r="M988" t="n">
        <v>0</v>
      </c>
      <c r="N988" t="n">
        <v>0</v>
      </c>
      <c r="O988" t="n">
        <v>0</v>
      </c>
      <c r="P988" t="n">
        <v>0</v>
      </c>
      <c r="Q988" t="n">
        <v>0</v>
      </c>
      <c r="R988" s="2" t="inlineStr"/>
    </row>
    <row r="989" ht="15" customHeight="1">
      <c r="A989" t="inlineStr">
        <is>
          <t>A 28291-2024</t>
        </is>
      </c>
      <c r="B989" s="1" t="n">
        <v>45477</v>
      </c>
      <c r="C989" s="1" t="n">
        <v>46081</v>
      </c>
      <c r="D989" t="inlineStr">
        <is>
          <t>KALMAR LÄN</t>
        </is>
      </c>
      <c r="E989" t="inlineStr">
        <is>
          <t>VÄSTERVIK</t>
        </is>
      </c>
      <c r="G989" t="n">
        <v>3.2</v>
      </c>
      <c r="H989" t="n">
        <v>0</v>
      </c>
      <c r="I989" t="n">
        <v>0</v>
      </c>
      <c r="J989" t="n">
        <v>0</v>
      </c>
      <c r="K989" t="n">
        <v>0</v>
      </c>
      <c r="L989" t="n">
        <v>0</v>
      </c>
      <c r="M989" t="n">
        <v>0</v>
      </c>
      <c r="N989" t="n">
        <v>0</v>
      </c>
      <c r="O989" t="n">
        <v>0</v>
      </c>
      <c r="P989" t="n">
        <v>0</v>
      </c>
      <c r="Q989" t="n">
        <v>0</v>
      </c>
      <c r="R989" s="2" t="inlineStr"/>
    </row>
    <row r="990" ht="15" customHeight="1">
      <c r="A990" t="inlineStr">
        <is>
          <t>A 1873-2026</t>
        </is>
      </c>
      <c r="B990" s="1" t="n">
        <v>46035.46318287037</v>
      </c>
      <c r="C990" s="1" t="n">
        <v>46081</v>
      </c>
      <c r="D990" t="inlineStr">
        <is>
          <t>KALMAR LÄN</t>
        </is>
      </c>
      <c r="E990" t="inlineStr">
        <is>
          <t>VÄSTERVIK</t>
        </is>
      </c>
      <c r="G990" t="n">
        <v>0.9</v>
      </c>
      <c r="H990" t="n">
        <v>0</v>
      </c>
      <c r="I990" t="n">
        <v>0</v>
      </c>
      <c r="J990" t="n">
        <v>0</v>
      </c>
      <c r="K990" t="n">
        <v>0</v>
      </c>
      <c r="L990" t="n">
        <v>0</v>
      </c>
      <c r="M990" t="n">
        <v>0</v>
      </c>
      <c r="N990" t="n">
        <v>0</v>
      </c>
      <c r="O990" t="n">
        <v>0</v>
      </c>
      <c r="P990" t="n">
        <v>0</v>
      </c>
      <c r="Q990" t="n">
        <v>0</v>
      </c>
      <c r="R990" s="2" t="inlineStr"/>
    </row>
    <row r="991" ht="15" customHeight="1">
      <c r="A991" t="inlineStr">
        <is>
          <t>A 13840-2024</t>
        </is>
      </c>
      <c r="B991" s="1" t="n">
        <v>45391.44885416667</v>
      </c>
      <c r="C991" s="1" t="n">
        <v>46081</v>
      </c>
      <c r="D991" t="inlineStr">
        <is>
          <t>KALMAR LÄN</t>
        </is>
      </c>
      <c r="E991" t="inlineStr">
        <is>
          <t>VÄSTERVIK</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34471-2024</t>
        </is>
      </c>
      <c r="B992" s="1" t="n">
        <v>45525.59111111111</v>
      </c>
      <c r="C992" s="1" t="n">
        <v>46081</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1872-2026</t>
        </is>
      </c>
      <c r="B993" s="1" t="n">
        <v>46035.46219907407</v>
      </c>
      <c r="C993" s="1" t="n">
        <v>46081</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61580-2022</t>
        </is>
      </c>
      <c r="B994" s="1" t="n">
        <v>44916.62880787037</v>
      </c>
      <c r="C994" s="1" t="n">
        <v>46081</v>
      </c>
      <c r="D994" t="inlineStr">
        <is>
          <t>KALMAR LÄN</t>
        </is>
      </c>
      <c r="E994" t="inlineStr">
        <is>
          <t>VÄSTERVIK</t>
        </is>
      </c>
      <c r="G994" t="n">
        <v>3.5</v>
      </c>
      <c r="H994" t="n">
        <v>0</v>
      </c>
      <c r="I994" t="n">
        <v>0</v>
      </c>
      <c r="J994" t="n">
        <v>0</v>
      </c>
      <c r="K994" t="n">
        <v>0</v>
      </c>
      <c r="L994" t="n">
        <v>0</v>
      </c>
      <c r="M994" t="n">
        <v>0</v>
      </c>
      <c r="N994" t="n">
        <v>0</v>
      </c>
      <c r="O994" t="n">
        <v>0</v>
      </c>
      <c r="P994" t="n">
        <v>0</v>
      </c>
      <c r="Q994" t="n">
        <v>0</v>
      </c>
      <c r="R994" s="2" t="inlineStr"/>
    </row>
    <row r="995" ht="15" customHeight="1">
      <c r="A995" t="inlineStr">
        <is>
          <t>A 56610-2022</t>
        </is>
      </c>
      <c r="B995" s="1" t="n">
        <v>44893.5862037037</v>
      </c>
      <c r="C995" s="1" t="n">
        <v>46081</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6312-2024</t>
        </is>
      </c>
      <c r="B996" s="1" t="n">
        <v>45338</v>
      </c>
      <c r="C996" s="1" t="n">
        <v>46081</v>
      </c>
      <c r="D996" t="inlineStr">
        <is>
          <t>KALMAR LÄN</t>
        </is>
      </c>
      <c r="E996" t="inlineStr">
        <is>
          <t>VÄSTERVIK</t>
        </is>
      </c>
      <c r="F996" t="inlineStr">
        <is>
          <t>Holmen skog AB</t>
        </is>
      </c>
      <c r="G996" t="n">
        <v>1.9</v>
      </c>
      <c r="H996" t="n">
        <v>0</v>
      </c>
      <c r="I996" t="n">
        <v>0</v>
      </c>
      <c r="J996" t="n">
        <v>0</v>
      </c>
      <c r="K996" t="n">
        <v>0</v>
      </c>
      <c r="L996" t="n">
        <v>0</v>
      </c>
      <c r="M996" t="n">
        <v>0</v>
      </c>
      <c r="N996" t="n">
        <v>0</v>
      </c>
      <c r="O996" t="n">
        <v>0</v>
      </c>
      <c r="P996" t="n">
        <v>0</v>
      </c>
      <c r="Q996" t="n">
        <v>0</v>
      </c>
      <c r="R996" s="2" t="inlineStr"/>
    </row>
    <row r="997" ht="15" customHeight="1">
      <c r="A997" t="inlineStr">
        <is>
          <t>A 46596-2022</t>
        </is>
      </c>
      <c r="B997" s="1" t="n">
        <v>44848.8315625</v>
      </c>
      <c r="C997" s="1" t="n">
        <v>46081</v>
      </c>
      <c r="D997" t="inlineStr">
        <is>
          <t>KALMAR LÄN</t>
        </is>
      </c>
      <c r="E997" t="inlineStr">
        <is>
          <t>VÄSTERVIK</t>
        </is>
      </c>
      <c r="G997" t="n">
        <v>3.9</v>
      </c>
      <c r="H997" t="n">
        <v>0</v>
      </c>
      <c r="I997" t="n">
        <v>0</v>
      </c>
      <c r="J997" t="n">
        <v>0</v>
      </c>
      <c r="K997" t="n">
        <v>0</v>
      </c>
      <c r="L997" t="n">
        <v>0</v>
      </c>
      <c r="M997" t="n">
        <v>0</v>
      </c>
      <c r="N997" t="n">
        <v>0</v>
      </c>
      <c r="O997" t="n">
        <v>0</v>
      </c>
      <c r="P997" t="n">
        <v>0</v>
      </c>
      <c r="Q997" t="n">
        <v>0</v>
      </c>
      <c r="R997" s="2" t="inlineStr"/>
    </row>
    <row r="998" ht="15" customHeight="1">
      <c r="A998" t="inlineStr">
        <is>
          <t>A 30148-2024</t>
        </is>
      </c>
      <c r="B998" s="1" t="n">
        <v>45489.60528935185</v>
      </c>
      <c r="C998" s="1" t="n">
        <v>46081</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11189-2024</t>
        </is>
      </c>
      <c r="B999" s="1" t="n">
        <v>45371</v>
      </c>
      <c r="C999" s="1" t="n">
        <v>46081</v>
      </c>
      <c r="D999" t="inlineStr">
        <is>
          <t>KALMAR LÄN</t>
        </is>
      </c>
      <c r="E999" t="inlineStr">
        <is>
          <t>VÄSTERVIK</t>
        </is>
      </c>
      <c r="G999" t="n">
        <v>5.2</v>
      </c>
      <c r="H999" t="n">
        <v>0</v>
      </c>
      <c r="I999" t="n">
        <v>0</v>
      </c>
      <c r="J999" t="n">
        <v>0</v>
      </c>
      <c r="K999" t="n">
        <v>0</v>
      </c>
      <c r="L999" t="n">
        <v>0</v>
      </c>
      <c r="M999" t="n">
        <v>0</v>
      </c>
      <c r="N999" t="n">
        <v>0</v>
      </c>
      <c r="O999" t="n">
        <v>0</v>
      </c>
      <c r="P999" t="n">
        <v>0</v>
      </c>
      <c r="Q999" t="n">
        <v>0</v>
      </c>
      <c r="R999" s="2" t="inlineStr"/>
    </row>
    <row r="1000" ht="15" customHeight="1">
      <c r="A1000" t="inlineStr">
        <is>
          <t>A 408-2026</t>
        </is>
      </c>
      <c r="B1000" s="1" t="n">
        <v>46028.6896412037</v>
      </c>
      <c r="C1000" s="1" t="n">
        <v>46081</v>
      </c>
      <c r="D1000" t="inlineStr">
        <is>
          <t>KALMAR LÄN</t>
        </is>
      </c>
      <c r="E1000" t="inlineStr">
        <is>
          <t>VÄSTERVIK</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59202-2022</t>
        </is>
      </c>
      <c r="B1001" s="1" t="n">
        <v>44904</v>
      </c>
      <c r="C1001" s="1" t="n">
        <v>46081</v>
      </c>
      <c r="D1001" t="inlineStr">
        <is>
          <t>KALMAR LÄN</t>
        </is>
      </c>
      <c r="E1001" t="inlineStr">
        <is>
          <t>VÄSTERVIK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59210-2022</t>
        </is>
      </c>
      <c r="B1002" s="1" t="n">
        <v>44904.51767361111</v>
      </c>
      <c r="C1002" s="1" t="n">
        <v>46081</v>
      </c>
      <c r="D1002" t="inlineStr">
        <is>
          <t>KALMAR LÄN</t>
        </is>
      </c>
      <c r="E1002" t="inlineStr">
        <is>
          <t>VÄSTERVIK</t>
        </is>
      </c>
      <c r="G1002" t="n">
        <v>21.2</v>
      </c>
      <c r="H1002" t="n">
        <v>0</v>
      </c>
      <c r="I1002" t="n">
        <v>0</v>
      </c>
      <c r="J1002" t="n">
        <v>0</v>
      </c>
      <c r="K1002" t="n">
        <v>0</v>
      </c>
      <c r="L1002" t="n">
        <v>0</v>
      </c>
      <c r="M1002" t="n">
        <v>0</v>
      </c>
      <c r="N1002" t="n">
        <v>0</v>
      </c>
      <c r="O1002" t="n">
        <v>0</v>
      </c>
      <c r="P1002" t="n">
        <v>0</v>
      </c>
      <c r="Q1002" t="n">
        <v>0</v>
      </c>
      <c r="R1002" s="2" t="inlineStr"/>
    </row>
    <row r="1003" ht="15" customHeight="1">
      <c r="A1003" t="inlineStr">
        <is>
          <t>A 1874-2026</t>
        </is>
      </c>
      <c r="B1003" s="1" t="n">
        <v>46035.46372685185</v>
      </c>
      <c r="C1003" s="1" t="n">
        <v>46081</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59220-2022</t>
        </is>
      </c>
      <c r="B1004" s="1" t="n">
        <v>44904.53423611111</v>
      </c>
      <c r="C1004" s="1" t="n">
        <v>46081</v>
      </c>
      <c r="D1004" t="inlineStr">
        <is>
          <t>KALMAR LÄN</t>
        </is>
      </c>
      <c r="E1004" t="inlineStr">
        <is>
          <t>VÄSTERVIK</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41342-2023</t>
        </is>
      </c>
      <c r="B1005" s="1" t="n">
        <v>45174.72416666667</v>
      </c>
      <c r="C1005" s="1" t="n">
        <v>46081</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13490-2022</t>
        </is>
      </c>
      <c r="B1006" s="1" t="n">
        <v>44646</v>
      </c>
      <c r="C1006" s="1" t="n">
        <v>46081</v>
      </c>
      <c r="D1006" t="inlineStr">
        <is>
          <t>KALMAR LÄN</t>
        </is>
      </c>
      <c r="E1006" t="inlineStr">
        <is>
          <t>VÄSTERVIK</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5684-2023</t>
        </is>
      </c>
      <c r="B1007" s="1" t="n">
        <v>44960.73170138889</v>
      </c>
      <c r="C1007" s="1" t="n">
        <v>46081</v>
      </c>
      <c r="D1007" t="inlineStr">
        <is>
          <t>KALMAR LÄN</t>
        </is>
      </c>
      <c r="E1007" t="inlineStr">
        <is>
          <t>VÄSTERVIK</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949-2024</t>
        </is>
      </c>
      <c r="B1008" s="1" t="n">
        <v>45301</v>
      </c>
      <c r="C1008" s="1" t="n">
        <v>46081</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55958-2023</t>
        </is>
      </c>
      <c r="B1009" s="1" t="n">
        <v>45240.34900462963</v>
      </c>
      <c r="C1009" s="1" t="n">
        <v>46081</v>
      </c>
      <c r="D1009" t="inlineStr">
        <is>
          <t>KALMAR LÄN</t>
        </is>
      </c>
      <c r="E1009" t="inlineStr">
        <is>
          <t>VÄSTERVIK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56617-2021</t>
        </is>
      </c>
      <c r="B1010" s="1" t="n">
        <v>44480</v>
      </c>
      <c r="C1010" s="1" t="n">
        <v>46081</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942-2024</t>
        </is>
      </c>
      <c r="B1011" s="1" t="n">
        <v>45301.53930555555</v>
      </c>
      <c r="C1011" s="1" t="n">
        <v>46081</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25403-2023</t>
        </is>
      </c>
      <c r="B1012" s="1" t="n">
        <v>45079</v>
      </c>
      <c r="C1012" s="1" t="n">
        <v>46081</v>
      </c>
      <c r="D1012" t="inlineStr">
        <is>
          <t>KALMAR LÄN</t>
        </is>
      </c>
      <c r="E1012" t="inlineStr">
        <is>
          <t>VÄSTERVIK</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34655-2023</t>
        </is>
      </c>
      <c r="B1013" s="1" t="n">
        <v>45140</v>
      </c>
      <c r="C1013" s="1" t="n">
        <v>46081</v>
      </c>
      <c r="D1013" t="inlineStr">
        <is>
          <t>KALMAR LÄN</t>
        </is>
      </c>
      <c r="E1013" t="inlineStr">
        <is>
          <t>VÄSTERVIK</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2631-2026</t>
        </is>
      </c>
      <c r="B1014" s="1" t="n">
        <v>46037.60875</v>
      </c>
      <c r="C1014" s="1" t="n">
        <v>46081</v>
      </c>
      <c r="D1014" t="inlineStr">
        <is>
          <t>KALMAR LÄN</t>
        </is>
      </c>
      <c r="E1014" t="inlineStr">
        <is>
          <t>VÄSTERVIK</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10419-2023</t>
        </is>
      </c>
      <c r="B1015" s="1" t="n">
        <v>44987</v>
      </c>
      <c r="C1015" s="1" t="n">
        <v>46081</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10406-2022</t>
        </is>
      </c>
      <c r="B1016" s="1" t="n">
        <v>44623</v>
      </c>
      <c r="C1016" s="1" t="n">
        <v>46081</v>
      </c>
      <c r="D1016" t="inlineStr">
        <is>
          <t>KALMAR LÄN</t>
        </is>
      </c>
      <c r="E1016" t="inlineStr">
        <is>
          <t>VÄSTERVIK</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11020-2026</t>
        </is>
      </c>
      <c r="B1017" s="1" t="n">
        <v>46079.54993055556</v>
      </c>
      <c r="C1017" s="1" t="n">
        <v>46081</v>
      </c>
      <c r="D1017" t="inlineStr">
        <is>
          <t>KALMAR LÄN</t>
        </is>
      </c>
      <c r="E1017" t="inlineStr">
        <is>
          <t>VÄSTERVIK</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61649-2022</t>
        </is>
      </c>
      <c r="B1018" s="1" t="n">
        <v>44916.90010416666</v>
      </c>
      <c r="C1018" s="1" t="n">
        <v>46081</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5769-2023</t>
        </is>
      </c>
      <c r="B1019" s="1" t="n">
        <v>44963.37194444444</v>
      </c>
      <c r="C1019" s="1" t="n">
        <v>46081</v>
      </c>
      <c r="D1019" t="inlineStr">
        <is>
          <t>KALMAR LÄN</t>
        </is>
      </c>
      <c r="E1019" t="inlineStr">
        <is>
          <t>VÄSTERVIK</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14151-2021</t>
        </is>
      </c>
      <c r="B1020" s="1" t="n">
        <v>44278.41052083333</v>
      </c>
      <c r="C1020" s="1" t="n">
        <v>46081</v>
      </c>
      <c r="D1020" t="inlineStr">
        <is>
          <t>KALMAR LÄN</t>
        </is>
      </c>
      <c r="E1020" t="inlineStr">
        <is>
          <t>VÄSTERVIK</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59695-2023</t>
        </is>
      </c>
      <c r="B1021" s="1" t="n">
        <v>45256.85107638889</v>
      </c>
      <c r="C1021" s="1" t="n">
        <v>46081</v>
      </c>
      <c r="D1021" t="inlineStr">
        <is>
          <t>KALMAR LÄN</t>
        </is>
      </c>
      <c r="E1021" t="inlineStr">
        <is>
          <t>VÄSTERVIK</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7090-2024</t>
        </is>
      </c>
      <c r="B1022" s="1" t="n">
        <v>45343.80621527778</v>
      </c>
      <c r="C1022" s="1" t="n">
        <v>46081</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42868-2025</t>
        </is>
      </c>
      <c r="B1023" s="1" t="n">
        <v>45908</v>
      </c>
      <c r="C1023" s="1" t="n">
        <v>46081</v>
      </c>
      <c r="D1023" t="inlineStr">
        <is>
          <t>KALMAR LÄN</t>
        </is>
      </c>
      <c r="E1023" t="inlineStr">
        <is>
          <t>VÄSTERVIK</t>
        </is>
      </c>
      <c r="F1023" t="inlineStr">
        <is>
          <t>Holmen skog AB</t>
        </is>
      </c>
      <c r="G1023" t="n">
        <v>3.7</v>
      </c>
      <c r="H1023" t="n">
        <v>0</v>
      </c>
      <c r="I1023" t="n">
        <v>0</v>
      </c>
      <c r="J1023" t="n">
        <v>0</v>
      </c>
      <c r="K1023" t="n">
        <v>0</v>
      </c>
      <c r="L1023" t="n">
        <v>0</v>
      </c>
      <c r="M1023" t="n">
        <v>0</v>
      </c>
      <c r="N1023" t="n">
        <v>0</v>
      </c>
      <c r="O1023" t="n">
        <v>0</v>
      </c>
      <c r="P1023" t="n">
        <v>0</v>
      </c>
      <c r="Q1023" t="n">
        <v>0</v>
      </c>
      <c r="R1023" s="2" t="inlineStr"/>
      <c r="U1023">
        <f>HYPERLINK("https://klasma.github.io/Logging_0883/knärot/A 42868-2025 karta knärot.png", "A 42868-2025")</f>
        <v/>
      </c>
      <c r="V1023">
        <f>HYPERLINK("https://klasma.github.io/Logging_0883/klagomål/A 42868-2025 FSC-klagomål.docx", "A 42868-2025")</f>
        <v/>
      </c>
      <c r="W1023">
        <f>HYPERLINK("https://klasma.github.io/Logging_0883/klagomålsmail/A 42868-2025 FSC-klagomål mail.docx", "A 42868-2025")</f>
        <v/>
      </c>
      <c r="X1023">
        <f>HYPERLINK("https://klasma.github.io/Logging_0883/tillsyn/A 42868-2025 tillsynsbegäran.docx", "A 42868-2025")</f>
        <v/>
      </c>
      <c r="Y1023">
        <f>HYPERLINK("https://klasma.github.io/Logging_0883/tillsynsmail/A 42868-2025 tillsynsbegäran mail.docx", "A 42868-2025")</f>
        <v/>
      </c>
    </row>
    <row r="1024" ht="15" customHeight="1">
      <c r="A1024" t="inlineStr">
        <is>
          <t>A 47945-2023</t>
        </is>
      </c>
      <c r="B1024" s="1" t="n">
        <v>45204.5684837963</v>
      </c>
      <c r="C1024" s="1" t="n">
        <v>46081</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59221-2022</t>
        </is>
      </c>
      <c r="B1025" s="1" t="n">
        <v>44904.53858796296</v>
      </c>
      <c r="C1025" s="1" t="n">
        <v>46081</v>
      </c>
      <c r="D1025" t="inlineStr">
        <is>
          <t>KALMAR LÄN</t>
        </is>
      </c>
      <c r="E1025" t="inlineStr">
        <is>
          <t>VÄSTERVIK</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46561-2022</t>
        </is>
      </c>
      <c r="B1026" s="1" t="n">
        <v>44848</v>
      </c>
      <c r="C1026" s="1" t="n">
        <v>46081</v>
      </c>
      <c r="D1026" t="inlineStr">
        <is>
          <t>KALMAR LÄN</t>
        </is>
      </c>
      <c r="E1026" t="inlineStr">
        <is>
          <t>VÄSTERVIK</t>
        </is>
      </c>
      <c r="F1026" t="inlineStr">
        <is>
          <t>Sveaskog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18884-2025</t>
        </is>
      </c>
      <c r="B1027" s="1" t="n">
        <v>45764.4417824074</v>
      </c>
      <c r="C1027" s="1" t="n">
        <v>46081</v>
      </c>
      <c r="D1027" t="inlineStr">
        <is>
          <t>KALMAR LÄN</t>
        </is>
      </c>
      <c r="E1027" t="inlineStr">
        <is>
          <t>VÄSTERVIK</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55042-2024</t>
        </is>
      </c>
      <c r="B1028" s="1" t="n">
        <v>45621.39081018518</v>
      </c>
      <c r="C1028" s="1" t="n">
        <v>46081</v>
      </c>
      <c r="D1028" t="inlineStr">
        <is>
          <t>KALMAR LÄN</t>
        </is>
      </c>
      <c r="E1028" t="inlineStr">
        <is>
          <t>VÄSTERVIK</t>
        </is>
      </c>
      <c r="F1028" t="inlineStr">
        <is>
          <t>Sveaskog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2357-2025</t>
        </is>
      </c>
      <c r="B1029" s="1" t="n">
        <v>45673.68859953704</v>
      </c>
      <c r="C1029" s="1" t="n">
        <v>46081</v>
      </c>
      <c r="D1029" t="inlineStr">
        <is>
          <t>KALMAR LÄN</t>
        </is>
      </c>
      <c r="E1029" t="inlineStr">
        <is>
          <t>VÄSTERVIK</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18081-2023</t>
        </is>
      </c>
      <c r="B1030" s="1" t="n">
        <v>45040</v>
      </c>
      <c r="C1030" s="1" t="n">
        <v>46081</v>
      </c>
      <c r="D1030" t="inlineStr">
        <is>
          <t>KALMAR LÄN</t>
        </is>
      </c>
      <c r="E1030" t="inlineStr">
        <is>
          <t>VÄSTERVIK</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28895-2023</t>
        </is>
      </c>
      <c r="B1031" s="1" t="n">
        <v>45104</v>
      </c>
      <c r="C1031" s="1" t="n">
        <v>46081</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12386-2025</t>
        </is>
      </c>
      <c r="B1032" s="1" t="n">
        <v>45730</v>
      </c>
      <c r="C1032" s="1" t="n">
        <v>46081</v>
      </c>
      <c r="D1032" t="inlineStr">
        <is>
          <t>KALMAR LÄN</t>
        </is>
      </c>
      <c r="E1032" t="inlineStr">
        <is>
          <t>VÄSTERVIK</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53266-2021</t>
        </is>
      </c>
      <c r="B1033" s="1" t="n">
        <v>44468.48255787037</v>
      </c>
      <c r="C1033" s="1" t="n">
        <v>46081</v>
      </c>
      <c r="D1033" t="inlineStr">
        <is>
          <t>KALMAR LÄN</t>
        </is>
      </c>
      <c r="E1033" t="inlineStr">
        <is>
          <t>VÄSTERVIK</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15765-2023</t>
        </is>
      </c>
      <c r="B1034" s="1" t="n">
        <v>45021</v>
      </c>
      <c r="C1034" s="1" t="n">
        <v>46081</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14055-2025</t>
        </is>
      </c>
      <c r="B1035" s="1" t="n">
        <v>45740.39541666667</v>
      </c>
      <c r="C1035" s="1" t="n">
        <v>46081</v>
      </c>
      <c r="D1035" t="inlineStr">
        <is>
          <t>KALMAR LÄN</t>
        </is>
      </c>
      <c r="E1035" t="inlineStr">
        <is>
          <t>VÄSTERVIK</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48121-2021</t>
        </is>
      </c>
      <c r="B1036" s="1" t="n">
        <v>44449.46614583334</v>
      </c>
      <c r="C1036" s="1" t="n">
        <v>46081</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51645-2023</t>
        </is>
      </c>
      <c r="B1037" s="1" t="n">
        <v>45222.55333333334</v>
      </c>
      <c r="C1037" s="1" t="n">
        <v>46081</v>
      </c>
      <c r="D1037" t="inlineStr">
        <is>
          <t>KALMAR LÄN</t>
        </is>
      </c>
      <c r="E1037" t="inlineStr">
        <is>
          <t>VÄSTERVIK</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69702-2021</t>
        </is>
      </c>
      <c r="B1038" s="1" t="n">
        <v>44532.48237268518</v>
      </c>
      <c r="C1038" s="1" t="n">
        <v>46081</v>
      </c>
      <c r="D1038" t="inlineStr">
        <is>
          <t>KALMAR LÄN</t>
        </is>
      </c>
      <c r="E1038" t="inlineStr">
        <is>
          <t>VÄSTERVIK</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6126-2023</t>
        </is>
      </c>
      <c r="B1039" s="1" t="n">
        <v>44964.61592592593</v>
      </c>
      <c r="C1039" s="1" t="n">
        <v>46081</v>
      </c>
      <c r="D1039" t="inlineStr">
        <is>
          <t>KALMAR LÄN</t>
        </is>
      </c>
      <c r="E1039" t="inlineStr">
        <is>
          <t>VÄSTERVIK</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15099-2023</t>
        </is>
      </c>
      <c r="B1040" s="1" t="n">
        <v>45016.39048611111</v>
      </c>
      <c r="C1040" s="1" t="n">
        <v>46081</v>
      </c>
      <c r="D1040" t="inlineStr">
        <is>
          <t>KALMAR LÄN</t>
        </is>
      </c>
      <c r="E1040" t="inlineStr">
        <is>
          <t>VÄSTERVIK</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71114-2021</t>
        </is>
      </c>
      <c r="B1041" s="1" t="n">
        <v>44539.37123842593</v>
      </c>
      <c r="C1041" s="1" t="n">
        <v>46081</v>
      </c>
      <c r="D1041" t="inlineStr">
        <is>
          <t>KALMAR LÄN</t>
        </is>
      </c>
      <c r="E1041" t="inlineStr">
        <is>
          <t>VÄSTERVIK</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13838-2024</t>
        </is>
      </c>
      <c r="B1042" s="1" t="n">
        <v>45391.44646990741</v>
      </c>
      <c r="C1042" s="1" t="n">
        <v>46081</v>
      </c>
      <c r="D1042" t="inlineStr">
        <is>
          <t>KALMAR LÄN</t>
        </is>
      </c>
      <c r="E1042" t="inlineStr">
        <is>
          <t>VÄSTERVIK</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62422-2022</t>
        </is>
      </c>
      <c r="B1043" s="1" t="n">
        <v>44924</v>
      </c>
      <c r="C1043" s="1" t="n">
        <v>46081</v>
      </c>
      <c r="D1043" t="inlineStr">
        <is>
          <t>KALMAR LÄN</t>
        </is>
      </c>
      <c r="E1043" t="inlineStr">
        <is>
          <t>VÄSTERVIK</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16617-2023</t>
        </is>
      </c>
      <c r="B1044" s="1" t="n">
        <v>45030</v>
      </c>
      <c r="C1044" s="1" t="n">
        <v>46081</v>
      </c>
      <c r="D1044" t="inlineStr">
        <is>
          <t>KALMAR LÄN</t>
        </is>
      </c>
      <c r="E1044" t="inlineStr">
        <is>
          <t>VÄSTERVIK</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10020-2021</t>
        </is>
      </c>
      <c r="B1045" s="1" t="n">
        <v>44256</v>
      </c>
      <c r="C1045" s="1" t="n">
        <v>46081</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64762-2023</t>
        </is>
      </c>
      <c r="B1046" s="1" t="n">
        <v>45282.27841435185</v>
      </c>
      <c r="C1046" s="1" t="n">
        <v>46081</v>
      </c>
      <c r="D1046" t="inlineStr">
        <is>
          <t>KALMAR LÄN</t>
        </is>
      </c>
      <c r="E1046" t="inlineStr">
        <is>
          <t>VÄSTERVIK</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64763-2023</t>
        </is>
      </c>
      <c r="B1047" s="1" t="n">
        <v>45282.28041666667</v>
      </c>
      <c r="C1047" s="1" t="n">
        <v>46081</v>
      </c>
      <c r="D1047" t="inlineStr">
        <is>
          <t>KALMAR LÄN</t>
        </is>
      </c>
      <c r="E1047" t="inlineStr">
        <is>
          <t>VÄSTERVIK</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37326-2024</t>
        </is>
      </c>
      <c r="B1048" s="1" t="n">
        <v>45540</v>
      </c>
      <c r="C1048" s="1" t="n">
        <v>46081</v>
      </c>
      <c r="D1048" t="inlineStr">
        <is>
          <t>KALMAR LÄN</t>
        </is>
      </c>
      <c r="E1048" t="inlineStr">
        <is>
          <t>VÄSTERVIK</t>
        </is>
      </c>
      <c r="F1048" t="inlineStr">
        <is>
          <t>Holmen skog AB</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2830-2025</t>
        </is>
      </c>
      <c r="B1049" s="1" t="n">
        <v>45677.62704861111</v>
      </c>
      <c r="C1049" s="1" t="n">
        <v>46081</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8440-2023</t>
        </is>
      </c>
      <c r="B1050" s="1" t="n">
        <v>44977.46979166667</v>
      </c>
      <c r="C1050" s="1" t="n">
        <v>46081</v>
      </c>
      <c r="D1050" t="inlineStr">
        <is>
          <t>KALMAR LÄN</t>
        </is>
      </c>
      <c r="E1050" t="inlineStr">
        <is>
          <t>VÄSTERVIK</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8513-2023</t>
        </is>
      </c>
      <c r="B1051" s="1" t="n">
        <v>44977.56759259259</v>
      </c>
      <c r="C1051" s="1" t="n">
        <v>46081</v>
      </c>
      <c r="D1051" t="inlineStr">
        <is>
          <t>KALMAR LÄN</t>
        </is>
      </c>
      <c r="E1051" t="inlineStr">
        <is>
          <t>VÄSTERVIK</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14685-2025</t>
        </is>
      </c>
      <c r="B1052" s="1" t="n">
        <v>45742.57653935185</v>
      </c>
      <c r="C1052" s="1" t="n">
        <v>46081</v>
      </c>
      <c r="D1052" t="inlineStr">
        <is>
          <t>KALMAR LÄN</t>
        </is>
      </c>
      <c r="E1052" t="inlineStr">
        <is>
          <t>VÄSTERVIK</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11791-2024</t>
        </is>
      </c>
      <c r="B1053" s="1" t="n">
        <v>45374.97038194445</v>
      </c>
      <c r="C1053" s="1" t="n">
        <v>46081</v>
      </c>
      <c r="D1053" t="inlineStr">
        <is>
          <t>KALMAR LÄN</t>
        </is>
      </c>
      <c r="E1053" t="inlineStr">
        <is>
          <t>VÄSTERVIK</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3679-2025</t>
        </is>
      </c>
      <c r="B1054" s="1" t="n">
        <v>45681.44637731482</v>
      </c>
      <c r="C1054" s="1" t="n">
        <v>46081</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16683-2025</t>
        </is>
      </c>
      <c r="B1055" s="1" t="n">
        <v>45754.45234953704</v>
      </c>
      <c r="C1055" s="1" t="n">
        <v>46081</v>
      </c>
      <c r="D1055" t="inlineStr">
        <is>
          <t>KALMAR LÄN</t>
        </is>
      </c>
      <c r="E1055" t="inlineStr">
        <is>
          <t>VÄSTERVIK</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16686-2025</t>
        </is>
      </c>
      <c r="B1056" s="1" t="n">
        <v>45754.45355324074</v>
      </c>
      <c r="C1056" s="1" t="n">
        <v>46081</v>
      </c>
      <c r="D1056" t="inlineStr">
        <is>
          <t>KALMAR LÄN</t>
        </is>
      </c>
      <c r="E1056" t="inlineStr">
        <is>
          <t>VÄSTERVIK</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29420-2024</t>
        </is>
      </c>
      <c r="B1057" s="1" t="n">
        <v>45483</v>
      </c>
      <c r="C1057" s="1" t="n">
        <v>46081</v>
      </c>
      <c r="D1057" t="inlineStr">
        <is>
          <t>KALMAR LÄN</t>
        </is>
      </c>
      <c r="E1057" t="inlineStr">
        <is>
          <t>VÄSTERVIK</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38048-2023</t>
        </is>
      </c>
      <c r="B1058" s="1" t="n">
        <v>45160.67677083334</v>
      </c>
      <c r="C1058" s="1" t="n">
        <v>46081</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17648-2023</t>
        </is>
      </c>
      <c r="B1059" s="1" t="n">
        <v>45036</v>
      </c>
      <c r="C1059" s="1" t="n">
        <v>46081</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28952-2023</t>
        </is>
      </c>
      <c r="B1060" s="1" t="n">
        <v>45104</v>
      </c>
      <c r="C1060" s="1" t="n">
        <v>46081</v>
      </c>
      <c r="D1060" t="inlineStr">
        <is>
          <t>KALMAR LÄN</t>
        </is>
      </c>
      <c r="E1060" t="inlineStr">
        <is>
          <t>VÄSTERVIK</t>
        </is>
      </c>
      <c r="F1060" t="inlineStr">
        <is>
          <t>Holmen skog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37986-2023</t>
        </is>
      </c>
      <c r="B1061" s="1" t="n">
        <v>45160.60331018519</v>
      </c>
      <c r="C1061" s="1" t="n">
        <v>46081</v>
      </c>
      <c r="D1061" t="inlineStr">
        <is>
          <t>KALMAR LÄN</t>
        </is>
      </c>
      <c r="E1061" t="inlineStr">
        <is>
          <t>VÄSTERVIK</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61448-2023</t>
        </is>
      </c>
      <c r="B1062" s="1" t="n">
        <v>45264.81439814815</v>
      </c>
      <c r="C1062" s="1" t="n">
        <v>46081</v>
      </c>
      <c r="D1062" t="inlineStr">
        <is>
          <t>KALMAR LÄN</t>
        </is>
      </c>
      <c r="E1062" t="inlineStr">
        <is>
          <t>VÄSTERVIK</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61449-2023</t>
        </is>
      </c>
      <c r="B1063" s="1" t="n">
        <v>45264.81490740741</v>
      </c>
      <c r="C1063" s="1" t="n">
        <v>46081</v>
      </c>
      <c r="D1063" t="inlineStr">
        <is>
          <t>KALMAR LÄN</t>
        </is>
      </c>
      <c r="E1063" t="inlineStr">
        <is>
          <t>VÄSTERVIK</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24877-2023</t>
        </is>
      </c>
      <c r="B1064" s="1" t="n">
        <v>45085.43271990741</v>
      </c>
      <c r="C1064" s="1" t="n">
        <v>46081</v>
      </c>
      <c r="D1064" t="inlineStr">
        <is>
          <t>KALMAR LÄN</t>
        </is>
      </c>
      <c r="E1064" t="inlineStr">
        <is>
          <t>VÄSTERVIK</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29789-2024</t>
        </is>
      </c>
      <c r="B1065" s="1" t="n">
        <v>45485.46721064814</v>
      </c>
      <c r="C1065" s="1" t="n">
        <v>46081</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52774-2024</t>
        </is>
      </c>
      <c r="B1066" s="1" t="n">
        <v>45610.53413194444</v>
      </c>
      <c r="C1066" s="1" t="n">
        <v>46081</v>
      </c>
      <c r="D1066" t="inlineStr">
        <is>
          <t>KALMAR LÄN</t>
        </is>
      </c>
      <c r="E1066" t="inlineStr">
        <is>
          <t>VÄSTERVIK</t>
        </is>
      </c>
      <c r="F1066" t="inlineStr">
        <is>
          <t>Holmen skog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352-2023</t>
        </is>
      </c>
      <c r="B1067" s="1" t="n">
        <v>44929.51619212963</v>
      </c>
      <c r="C1067" s="1" t="n">
        <v>46081</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13843-2024</t>
        </is>
      </c>
      <c r="B1068" s="1" t="n">
        <v>45391.45087962963</v>
      </c>
      <c r="C1068" s="1" t="n">
        <v>46081</v>
      </c>
      <c r="D1068" t="inlineStr">
        <is>
          <t>KALMAR LÄN</t>
        </is>
      </c>
      <c r="E1068" t="inlineStr">
        <is>
          <t>VÄSTERVIK</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57804-2021</t>
        </is>
      </c>
      <c r="B1069" s="1" t="n">
        <v>44484</v>
      </c>
      <c r="C1069" s="1" t="n">
        <v>46081</v>
      </c>
      <c r="D1069" t="inlineStr">
        <is>
          <t>KALMAR LÄN</t>
        </is>
      </c>
      <c r="E1069" t="inlineStr">
        <is>
          <t>VÄSTERVIK</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59675-2022</t>
        </is>
      </c>
      <c r="B1070" s="1" t="n">
        <v>44908</v>
      </c>
      <c r="C1070" s="1" t="n">
        <v>46081</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55050-2024</t>
        </is>
      </c>
      <c r="B1071" s="1" t="n">
        <v>45621.39759259259</v>
      </c>
      <c r="C1071" s="1" t="n">
        <v>46081</v>
      </c>
      <c r="D1071" t="inlineStr">
        <is>
          <t>KALMAR LÄN</t>
        </is>
      </c>
      <c r="E1071" t="inlineStr">
        <is>
          <t>VÄSTERVIK</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21942-2023</t>
        </is>
      </c>
      <c r="B1072" s="1" t="n">
        <v>45068</v>
      </c>
      <c r="C1072" s="1" t="n">
        <v>46081</v>
      </c>
      <c r="D1072" t="inlineStr">
        <is>
          <t>KALMAR LÄN</t>
        </is>
      </c>
      <c r="E1072" t="inlineStr">
        <is>
          <t>VÄSTERVIK</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2314-2023</t>
        </is>
      </c>
      <c r="B1073" s="1" t="n">
        <v>44942</v>
      </c>
      <c r="C1073" s="1" t="n">
        <v>46081</v>
      </c>
      <c r="D1073" t="inlineStr">
        <is>
          <t>KALMAR LÄN</t>
        </is>
      </c>
      <c r="E1073" t="inlineStr">
        <is>
          <t>VÄSTERVIK</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38040-2023</t>
        </is>
      </c>
      <c r="B1074" s="1" t="n">
        <v>45160.66336805555</v>
      </c>
      <c r="C1074" s="1" t="n">
        <v>46081</v>
      </c>
      <c r="D1074" t="inlineStr">
        <is>
          <t>KALMAR LÄN</t>
        </is>
      </c>
      <c r="E1074" t="inlineStr">
        <is>
          <t>VÄSTERVIK</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55609-2024</t>
        </is>
      </c>
      <c r="B1075" s="1" t="n">
        <v>45622.58350694444</v>
      </c>
      <c r="C1075" s="1" t="n">
        <v>46081</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33208-2022</t>
        </is>
      </c>
      <c r="B1076" s="1" t="n">
        <v>44785</v>
      </c>
      <c r="C1076" s="1" t="n">
        <v>46081</v>
      </c>
      <c r="D1076" t="inlineStr">
        <is>
          <t>KALMAR LÄN</t>
        </is>
      </c>
      <c r="E1076" t="inlineStr">
        <is>
          <t>VÄSTERVIK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12652-2022</t>
        </is>
      </c>
      <c r="B1077" s="1" t="n">
        <v>44641</v>
      </c>
      <c r="C1077" s="1" t="n">
        <v>46081</v>
      </c>
      <c r="D1077" t="inlineStr">
        <is>
          <t>KALMAR LÄN</t>
        </is>
      </c>
      <c r="E1077" t="inlineStr">
        <is>
          <t>VÄSTERVIK</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17307-2023</t>
        </is>
      </c>
      <c r="B1078" s="1" t="n">
        <v>45035.53497685185</v>
      </c>
      <c r="C1078" s="1" t="n">
        <v>46081</v>
      </c>
      <c r="D1078" t="inlineStr">
        <is>
          <t>KALMAR LÄN</t>
        </is>
      </c>
      <c r="E1078" t="inlineStr">
        <is>
          <t>VÄSTERVIK</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23992-2021</t>
        </is>
      </c>
      <c r="B1079" s="1" t="n">
        <v>44335</v>
      </c>
      <c r="C1079" s="1" t="n">
        <v>46081</v>
      </c>
      <c r="D1079" t="inlineStr">
        <is>
          <t>KALMAR LÄN</t>
        </is>
      </c>
      <c r="E1079" t="inlineStr">
        <is>
          <t>VÄSTERVIK</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59331-2023</t>
        </is>
      </c>
      <c r="B1080" s="1" t="n">
        <v>45253</v>
      </c>
      <c r="C1080" s="1" t="n">
        <v>46081</v>
      </c>
      <c r="D1080" t="inlineStr">
        <is>
          <t>KALMAR LÄN</t>
        </is>
      </c>
      <c r="E1080" t="inlineStr">
        <is>
          <t>VÄSTERVIK</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35667-2023</t>
        </is>
      </c>
      <c r="B1081" s="1" t="n">
        <v>45147.60667824074</v>
      </c>
      <c r="C1081" s="1" t="n">
        <v>46081</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15875-2023</t>
        </is>
      </c>
      <c r="B1082" s="1" t="n">
        <v>45022.41916666667</v>
      </c>
      <c r="C1082" s="1" t="n">
        <v>46081</v>
      </c>
      <c r="D1082" t="inlineStr">
        <is>
          <t>KALMAR LÄN</t>
        </is>
      </c>
      <c r="E1082" t="inlineStr">
        <is>
          <t>VÄSTERVIK</t>
        </is>
      </c>
      <c r="F1082" t="inlineStr">
        <is>
          <t>Kyrkan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60478-2024</t>
        </is>
      </c>
      <c r="B1083" s="1" t="n">
        <v>45643</v>
      </c>
      <c r="C1083" s="1" t="n">
        <v>46081</v>
      </c>
      <c r="D1083" t="inlineStr">
        <is>
          <t>KALMAR LÄN</t>
        </is>
      </c>
      <c r="E1083" t="inlineStr">
        <is>
          <t>VÄSTERVIK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14385-2023</t>
        </is>
      </c>
      <c r="B1084" s="1" t="n">
        <v>45012</v>
      </c>
      <c r="C1084" s="1" t="n">
        <v>46081</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48446-2024</t>
        </is>
      </c>
      <c r="B1085" s="1" t="n">
        <v>45590.69163194444</v>
      </c>
      <c r="C1085" s="1" t="n">
        <v>46081</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23873-2024</t>
        </is>
      </c>
      <c r="B1086" s="1" t="n">
        <v>45455</v>
      </c>
      <c r="C1086" s="1" t="n">
        <v>46081</v>
      </c>
      <c r="D1086" t="inlineStr">
        <is>
          <t>KALMAR LÄN</t>
        </is>
      </c>
      <c r="E1086" t="inlineStr">
        <is>
          <t>VÄSTERVIK</t>
        </is>
      </c>
      <c r="F1086" t="inlineStr">
        <is>
          <t>Övriga Aktiebolag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29784-2024</t>
        </is>
      </c>
      <c r="B1087" s="1" t="n">
        <v>45485.46129629629</v>
      </c>
      <c r="C1087" s="1" t="n">
        <v>46081</v>
      </c>
      <c r="D1087" t="inlineStr">
        <is>
          <t>KALMAR LÄN</t>
        </is>
      </c>
      <c r="E1087" t="inlineStr">
        <is>
          <t>VÄSTERVIK</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24562-2024</t>
        </is>
      </c>
      <c r="B1088" s="1" t="n">
        <v>45460</v>
      </c>
      <c r="C1088" s="1" t="n">
        <v>46081</v>
      </c>
      <c r="D1088" t="inlineStr">
        <is>
          <t>KALMAR LÄN</t>
        </is>
      </c>
      <c r="E1088" t="inlineStr">
        <is>
          <t>VÄSTERVIK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10807-2023</t>
        </is>
      </c>
      <c r="B1089" s="1" t="n">
        <v>44989.64261574074</v>
      </c>
      <c r="C1089" s="1" t="n">
        <v>46081</v>
      </c>
      <c r="D1089" t="inlineStr">
        <is>
          <t>KALMAR LÄN</t>
        </is>
      </c>
      <c r="E1089" t="inlineStr">
        <is>
          <t>VÄSTERVIK</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9110-2023</t>
        </is>
      </c>
      <c r="B1090" s="1" t="n">
        <v>44979</v>
      </c>
      <c r="C1090" s="1" t="n">
        <v>46081</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9112-2023</t>
        </is>
      </c>
      <c r="B1091" s="1" t="n">
        <v>44979</v>
      </c>
      <c r="C1091" s="1" t="n">
        <v>46081</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22740-2024</t>
        </is>
      </c>
      <c r="B1092" s="1" t="n">
        <v>45448.39869212963</v>
      </c>
      <c r="C1092" s="1" t="n">
        <v>46081</v>
      </c>
      <c r="D1092" t="inlineStr">
        <is>
          <t>KALMAR LÄN</t>
        </is>
      </c>
      <c r="E1092" t="inlineStr">
        <is>
          <t>VÄSTERVIK</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32763-2022</t>
        </is>
      </c>
      <c r="B1093" s="1" t="n">
        <v>44783</v>
      </c>
      <c r="C1093" s="1" t="n">
        <v>46081</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24829-2022</t>
        </is>
      </c>
      <c r="B1094" s="1" t="n">
        <v>44728.45674768519</v>
      </c>
      <c r="C1094" s="1" t="n">
        <v>46081</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57802-2024</t>
        </is>
      </c>
      <c r="B1095" s="1" t="n">
        <v>45631.34590277778</v>
      </c>
      <c r="C1095" s="1" t="n">
        <v>46081</v>
      </c>
      <c r="D1095" t="inlineStr">
        <is>
          <t>KALMAR LÄN</t>
        </is>
      </c>
      <c r="E1095" t="inlineStr">
        <is>
          <t>VÄSTERVIK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17214-2024</t>
        </is>
      </c>
      <c r="B1096" s="1" t="n">
        <v>45414</v>
      </c>
      <c r="C1096" s="1" t="n">
        <v>46081</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46081</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35961-2023</t>
        </is>
      </c>
      <c r="B1098" s="1" t="n">
        <v>45148.85041666667</v>
      </c>
      <c r="C1098" s="1" t="n">
        <v>46081</v>
      </c>
      <c r="D1098" t="inlineStr">
        <is>
          <t>KALMAR LÄN</t>
        </is>
      </c>
      <c r="E1098" t="inlineStr">
        <is>
          <t>VÄSTERVIK</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10808-2025</t>
        </is>
      </c>
      <c r="B1099" s="1" t="n">
        <v>45722.53427083333</v>
      </c>
      <c r="C1099" s="1" t="n">
        <v>46081</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43199-2024</t>
        </is>
      </c>
      <c r="B1100" s="1" t="n">
        <v>45567.68774305555</v>
      </c>
      <c r="C1100" s="1" t="n">
        <v>46081</v>
      </c>
      <c r="D1100" t="inlineStr">
        <is>
          <t>KALMAR LÄN</t>
        </is>
      </c>
      <c r="E1100" t="inlineStr">
        <is>
          <t>VÄSTERVIK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6346-2023</t>
        </is>
      </c>
      <c r="B1101" s="1" t="n">
        <v>44960</v>
      </c>
      <c r="C1101" s="1" t="n">
        <v>46081</v>
      </c>
      <c r="D1101" t="inlineStr">
        <is>
          <t>KALMAR LÄN</t>
        </is>
      </c>
      <c r="E1101" t="inlineStr">
        <is>
          <t>VÄSTERVIK</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26285-2024</t>
        </is>
      </c>
      <c r="B1102" s="1" t="n">
        <v>45468.70357638889</v>
      </c>
      <c r="C1102" s="1" t="n">
        <v>46081</v>
      </c>
      <c r="D1102" t="inlineStr">
        <is>
          <t>KALMAR LÄN</t>
        </is>
      </c>
      <c r="E1102" t="inlineStr">
        <is>
          <t>VÄSTERVIK</t>
        </is>
      </c>
      <c r="F1102" t="inlineStr">
        <is>
          <t>Holmen skog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9037-2023</t>
        </is>
      </c>
      <c r="B1103" s="1" t="n">
        <v>44979.65015046296</v>
      </c>
      <c r="C1103" s="1" t="n">
        <v>46081</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50086-2023</t>
        </is>
      </c>
      <c r="B1104" s="1" t="n">
        <v>45215.59601851852</v>
      </c>
      <c r="C1104" s="1" t="n">
        <v>46081</v>
      </c>
      <c r="D1104" t="inlineStr">
        <is>
          <t>KALMAR LÄN</t>
        </is>
      </c>
      <c r="E1104" t="inlineStr">
        <is>
          <t>VÄSTERVIK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13275-2023</t>
        </is>
      </c>
      <c r="B1105" s="1" t="n">
        <v>45003</v>
      </c>
      <c r="C1105" s="1" t="n">
        <v>46081</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c r="U1105">
        <f>HYPERLINK("https://klasma.github.io/Logging_0883/knärot/A 13275-2023 karta knärot.png", "A 13275-2023")</f>
        <v/>
      </c>
      <c r="V1105">
        <f>HYPERLINK("https://klasma.github.io/Logging_0883/klagomål/A 13275-2023 FSC-klagomål.docx", "A 13275-2023")</f>
        <v/>
      </c>
      <c r="W1105">
        <f>HYPERLINK("https://klasma.github.io/Logging_0883/klagomålsmail/A 13275-2023 FSC-klagomål mail.docx", "A 13275-2023")</f>
        <v/>
      </c>
      <c r="X1105">
        <f>HYPERLINK("https://klasma.github.io/Logging_0883/tillsyn/A 13275-2023 tillsynsbegäran.docx", "A 13275-2023")</f>
        <v/>
      </c>
      <c r="Y1105">
        <f>HYPERLINK("https://klasma.github.io/Logging_0883/tillsynsmail/A 13275-2023 tillsynsbegäran mail.docx", "A 13275-2023")</f>
        <v/>
      </c>
    </row>
    <row r="1106" ht="15" customHeight="1">
      <c r="A1106" t="inlineStr">
        <is>
          <t>A 17200-2021</t>
        </is>
      </c>
      <c r="B1106" s="1" t="n">
        <v>44298.47847222222</v>
      </c>
      <c r="C1106" s="1" t="n">
        <v>46081</v>
      </c>
      <c r="D1106" t="inlineStr">
        <is>
          <t>KALMAR LÄN</t>
        </is>
      </c>
      <c r="E1106" t="inlineStr">
        <is>
          <t>VÄSTERVIK</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9042-2023</t>
        </is>
      </c>
      <c r="B1107" s="1" t="n">
        <v>44979</v>
      </c>
      <c r="C1107" s="1" t="n">
        <v>46081</v>
      </c>
      <c r="D1107" t="inlineStr">
        <is>
          <t>KALMAR LÄN</t>
        </is>
      </c>
      <c r="E1107" t="inlineStr">
        <is>
          <t>VÄSTERVIK</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782-2024</t>
        </is>
      </c>
      <c r="B1108" s="1" t="n">
        <v>45300.55188657407</v>
      </c>
      <c r="C1108" s="1" t="n">
        <v>46081</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69753-2021</t>
        </is>
      </c>
      <c r="B1109" s="1" t="n">
        <v>44532.56175925926</v>
      </c>
      <c r="C1109" s="1" t="n">
        <v>46081</v>
      </c>
      <c r="D1109" t="inlineStr">
        <is>
          <t>KALMAR LÄN</t>
        </is>
      </c>
      <c r="E1109" t="inlineStr">
        <is>
          <t>VÄSTERVIK</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808-2023</t>
        </is>
      </c>
      <c r="B1110" s="1" t="n">
        <v>44931</v>
      </c>
      <c r="C1110" s="1" t="n">
        <v>46081</v>
      </c>
      <c r="D1110" t="inlineStr">
        <is>
          <t>KALMAR LÄN</t>
        </is>
      </c>
      <c r="E1110" t="inlineStr">
        <is>
          <t>VÄSTERVIK</t>
        </is>
      </c>
      <c r="F1110" t="inlineStr">
        <is>
          <t>Holmen skog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33204-2022</t>
        </is>
      </c>
      <c r="B1111" s="1" t="n">
        <v>44785</v>
      </c>
      <c r="C1111" s="1" t="n">
        <v>46081</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39983-2024</t>
        </is>
      </c>
      <c r="B1112" s="1" t="n">
        <v>45553.61674768518</v>
      </c>
      <c r="C1112" s="1" t="n">
        <v>46081</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11167-2024</t>
        </is>
      </c>
      <c r="B1113" s="1" t="n">
        <v>45371.4966087963</v>
      </c>
      <c r="C1113" s="1" t="n">
        <v>46081</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55828-2022</t>
        </is>
      </c>
      <c r="B1114" s="1" t="n">
        <v>44888</v>
      </c>
      <c r="C1114" s="1" t="n">
        <v>46081</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53077-2024</t>
        </is>
      </c>
      <c r="B1115" s="1" t="n">
        <v>45611.49178240741</v>
      </c>
      <c r="C1115" s="1" t="n">
        <v>46081</v>
      </c>
      <c r="D1115" t="inlineStr">
        <is>
          <t>KALMAR LÄN</t>
        </is>
      </c>
      <c r="E1115" t="inlineStr">
        <is>
          <t>VÄSTERVIK</t>
        </is>
      </c>
      <c r="F1115" t="inlineStr">
        <is>
          <t>Holmen skog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28222-2024</t>
        </is>
      </c>
      <c r="B1116" s="1" t="n">
        <v>45477.36993055556</v>
      </c>
      <c r="C1116" s="1" t="n">
        <v>46081</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29952-2022</t>
        </is>
      </c>
      <c r="B1117" s="1" t="n">
        <v>44756.62649305556</v>
      </c>
      <c r="C1117" s="1" t="n">
        <v>46081</v>
      </c>
      <c r="D1117" t="inlineStr">
        <is>
          <t>KALMAR LÄN</t>
        </is>
      </c>
      <c r="E1117" t="inlineStr">
        <is>
          <t>VÄSTERVIK</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63361-2023</t>
        </is>
      </c>
      <c r="B1118" s="1" t="n">
        <v>45274.46324074074</v>
      </c>
      <c r="C1118" s="1" t="n">
        <v>46081</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9267-2025</t>
        </is>
      </c>
      <c r="B1119" s="1" t="n">
        <v>45714.61418981481</v>
      </c>
      <c r="C1119" s="1" t="n">
        <v>46081</v>
      </c>
      <c r="D1119" t="inlineStr">
        <is>
          <t>KALMAR LÄN</t>
        </is>
      </c>
      <c r="E1119" t="inlineStr">
        <is>
          <t>VÄSTERVIK</t>
        </is>
      </c>
      <c r="F1119" t="inlineStr">
        <is>
          <t>Sveaskog</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18880-2025</t>
        </is>
      </c>
      <c r="B1120" s="1" t="n">
        <v>45764.43959490741</v>
      </c>
      <c r="C1120" s="1" t="n">
        <v>46081</v>
      </c>
      <c r="D1120" t="inlineStr">
        <is>
          <t>KALMAR LÄN</t>
        </is>
      </c>
      <c r="E1120" t="inlineStr">
        <is>
          <t>VÄSTERVIK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5691-2025</t>
        </is>
      </c>
      <c r="B1121" s="1" t="n">
        <v>45694.37447916667</v>
      </c>
      <c r="C1121" s="1" t="n">
        <v>46081</v>
      </c>
      <c r="D1121" t="inlineStr">
        <is>
          <t>KALMAR LÄN</t>
        </is>
      </c>
      <c r="E1121" t="inlineStr">
        <is>
          <t>VÄSTERVIK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17652-2023</t>
        </is>
      </c>
      <c r="B1122" s="1" t="n">
        <v>45036.70626157407</v>
      </c>
      <c r="C1122" s="1" t="n">
        <v>46081</v>
      </c>
      <c r="D1122" t="inlineStr">
        <is>
          <t>KALMAR LÄN</t>
        </is>
      </c>
      <c r="E1122" t="inlineStr">
        <is>
          <t>VÄSTERVIK</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49706-2024</t>
        </is>
      </c>
      <c r="B1123" s="1" t="n">
        <v>45596.69706018519</v>
      </c>
      <c r="C1123" s="1" t="n">
        <v>46081</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5060-2025</t>
        </is>
      </c>
      <c r="B1124" s="1" t="n">
        <v>45691.47354166667</v>
      </c>
      <c r="C1124" s="1" t="n">
        <v>46081</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57019-2023</t>
        </is>
      </c>
      <c r="B1125" s="1" t="n">
        <v>45244</v>
      </c>
      <c r="C1125" s="1" t="n">
        <v>46081</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37858-2023</t>
        </is>
      </c>
      <c r="B1126" s="1" t="n">
        <v>45160.40577546296</v>
      </c>
      <c r="C1126" s="1" t="n">
        <v>46081</v>
      </c>
      <c r="D1126" t="inlineStr">
        <is>
          <t>KALMAR LÄN</t>
        </is>
      </c>
      <c r="E1126" t="inlineStr">
        <is>
          <t>VÄSTERVIK</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14092-2025</t>
        </is>
      </c>
      <c r="B1127" s="1" t="n">
        <v>45740.44686342592</v>
      </c>
      <c r="C1127" s="1" t="n">
        <v>46081</v>
      </c>
      <c r="D1127" t="inlineStr">
        <is>
          <t>KALMAR LÄN</t>
        </is>
      </c>
      <c r="E1127" t="inlineStr">
        <is>
          <t>VÄSTERVIK</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14072-2025</t>
        </is>
      </c>
      <c r="B1128" s="1" t="n">
        <v>45740.42978009259</v>
      </c>
      <c r="C1128" s="1" t="n">
        <v>46081</v>
      </c>
      <c r="D1128" t="inlineStr">
        <is>
          <t>KALMAR LÄN</t>
        </is>
      </c>
      <c r="E1128" t="inlineStr">
        <is>
          <t>VÄSTERVIK</t>
        </is>
      </c>
      <c r="F1128" t="inlineStr">
        <is>
          <t>Sveaskog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14075-2025</t>
        </is>
      </c>
      <c r="B1129" s="1" t="n">
        <v>45740.43222222223</v>
      </c>
      <c r="C1129" s="1" t="n">
        <v>46081</v>
      </c>
      <c r="D1129" t="inlineStr">
        <is>
          <t>KALMAR LÄN</t>
        </is>
      </c>
      <c r="E1129" t="inlineStr">
        <is>
          <t>VÄSTERVIK</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29786-2024</t>
        </is>
      </c>
      <c r="B1130" s="1" t="n">
        <v>45485.46388888889</v>
      </c>
      <c r="C1130" s="1" t="n">
        <v>46081</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39278-2024</t>
        </is>
      </c>
      <c r="B1131" s="1" t="n">
        <v>45551.35216435185</v>
      </c>
      <c r="C1131" s="1" t="n">
        <v>46081</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21015-2025</t>
        </is>
      </c>
      <c r="B1132" s="1" t="n">
        <v>45777.50200231482</v>
      </c>
      <c r="C1132" s="1" t="n">
        <v>46081</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21503-2025</t>
        </is>
      </c>
      <c r="B1133" s="1" t="n">
        <v>45782.61456018518</v>
      </c>
      <c r="C1133" s="1" t="n">
        <v>46081</v>
      </c>
      <c r="D1133" t="inlineStr">
        <is>
          <t>KALMAR LÄN</t>
        </is>
      </c>
      <c r="E1133" t="inlineStr">
        <is>
          <t>VÄSTERVIK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21657-2025</t>
        </is>
      </c>
      <c r="B1134" s="1" t="n">
        <v>45783.45325231482</v>
      </c>
      <c r="C1134" s="1" t="n">
        <v>46081</v>
      </c>
      <c r="D1134" t="inlineStr">
        <is>
          <t>KALMAR LÄN</t>
        </is>
      </c>
      <c r="E1134" t="inlineStr">
        <is>
          <t>VÄSTERVIK</t>
        </is>
      </c>
      <c r="F1134" t="inlineStr">
        <is>
          <t>Sveaskog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21991-2025</t>
        </is>
      </c>
      <c r="B1135" s="1" t="n">
        <v>45784.6615625</v>
      </c>
      <c r="C1135" s="1" t="n">
        <v>46081</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8402-2025</t>
        </is>
      </c>
      <c r="B1136" s="1" t="n">
        <v>45709.38065972222</v>
      </c>
      <c r="C1136" s="1" t="n">
        <v>46081</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28037-2024</t>
        </is>
      </c>
      <c r="B1137" s="1" t="n">
        <v>45476</v>
      </c>
      <c r="C1137" s="1" t="n">
        <v>46081</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6731-2024</t>
        </is>
      </c>
      <c r="B1138" s="1" t="n">
        <v>45342.38787037037</v>
      </c>
      <c r="C1138" s="1" t="n">
        <v>46081</v>
      </c>
      <c r="D1138" t="inlineStr">
        <is>
          <t>KALMAR LÄN</t>
        </is>
      </c>
      <c r="E1138" t="inlineStr">
        <is>
          <t>VÄSTERVIK</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56377-2024</t>
        </is>
      </c>
      <c r="B1139" s="1" t="n">
        <v>45625.33342592593</v>
      </c>
      <c r="C1139" s="1" t="n">
        <v>46081</v>
      </c>
      <c r="D1139" t="inlineStr">
        <is>
          <t>KALMAR LÄN</t>
        </is>
      </c>
      <c r="E1139" t="inlineStr">
        <is>
          <t>VÄSTERVIK</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51496-2024</t>
        </is>
      </c>
      <c r="B1140" s="1" t="n">
        <v>45604.54060185186</v>
      </c>
      <c r="C1140" s="1" t="n">
        <v>46081</v>
      </c>
      <c r="D1140" t="inlineStr">
        <is>
          <t>KALMAR LÄN</t>
        </is>
      </c>
      <c r="E1140" t="inlineStr">
        <is>
          <t>VÄSTERVIK</t>
        </is>
      </c>
      <c r="F1140" t="inlineStr">
        <is>
          <t>Övriga Aktiebolag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6406-2024</t>
        </is>
      </c>
      <c r="B1141" s="1" t="n">
        <v>45338</v>
      </c>
      <c r="C1141" s="1" t="n">
        <v>46081</v>
      </c>
      <c r="D1141" t="inlineStr">
        <is>
          <t>KALMAR LÄN</t>
        </is>
      </c>
      <c r="E1141" t="inlineStr">
        <is>
          <t>VÄSTERVIK</t>
        </is>
      </c>
      <c r="G1141" t="n">
        <v>5.5</v>
      </c>
      <c r="H1141" t="n">
        <v>0</v>
      </c>
      <c r="I1141" t="n">
        <v>0</v>
      </c>
      <c r="J1141" t="n">
        <v>0</v>
      </c>
      <c r="K1141" t="n">
        <v>0</v>
      </c>
      <c r="L1141" t="n">
        <v>0</v>
      </c>
      <c r="M1141" t="n">
        <v>0</v>
      </c>
      <c r="N1141" t="n">
        <v>0</v>
      </c>
      <c r="O1141" t="n">
        <v>0</v>
      </c>
      <c r="P1141" t="n">
        <v>0</v>
      </c>
      <c r="Q1141" t="n">
        <v>0</v>
      </c>
      <c r="R1141" s="2" t="inlineStr"/>
      <c r="U1141">
        <f>HYPERLINK("https://klasma.github.io/Logging_0883/knärot/A 6406-2024 karta knärot.png", "A 6406-2024")</f>
        <v/>
      </c>
      <c r="V1141">
        <f>HYPERLINK("https://klasma.github.io/Logging_0883/klagomål/A 6406-2024 FSC-klagomål.docx", "A 6406-2024")</f>
        <v/>
      </c>
      <c r="W1141">
        <f>HYPERLINK("https://klasma.github.io/Logging_0883/klagomålsmail/A 6406-2024 FSC-klagomål mail.docx", "A 6406-2024")</f>
        <v/>
      </c>
      <c r="X1141">
        <f>HYPERLINK("https://klasma.github.io/Logging_0883/tillsyn/A 6406-2024 tillsynsbegäran.docx", "A 6406-2024")</f>
        <v/>
      </c>
      <c r="Y1141">
        <f>HYPERLINK("https://klasma.github.io/Logging_0883/tillsynsmail/A 6406-2024 tillsynsbegäran mail.docx", "A 6406-2024")</f>
        <v/>
      </c>
    </row>
    <row r="1142" ht="15" customHeight="1">
      <c r="A1142" t="inlineStr">
        <is>
          <t>A 23042-2025</t>
        </is>
      </c>
      <c r="B1142" s="1" t="n">
        <v>45790.67273148148</v>
      </c>
      <c r="C1142" s="1" t="n">
        <v>46081</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23745-2025</t>
        </is>
      </c>
      <c r="B1143" s="1" t="n">
        <v>45793.44484953704</v>
      </c>
      <c r="C1143" s="1" t="n">
        <v>46081</v>
      </c>
      <c r="D1143" t="inlineStr">
        <is>
          <t>KALMAR LÄN</t>
        </is>
      </c>
      <c r="E1143" t="inlineStr">
        <is>
          <t>VÄSTERVIK</t>
        </is>
      </c>
      <c r="F1143" t="inlineStr">
        <is>
          <t>Holmen skog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23739-2025</t>
        </is>
      </c>
      <c r="B1144" s="1" t="n">
        <v>45793.42939814815</v>
      </c>
      <c r="C1144" s="1" t="n">
        <v>46081</v>
      </c>
      <c r="D1144" t="inlineStr">
        <is>
          <t>KALMAR LÄN</t>
        </is>
      </c>
      <c r="E1144" t="inlineStr">
        <is>
          <t>VÄSTERVIK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23859-2025</t>
        </is>
      </c>
      <c r="B1145" s="1" t="n">
        <v>45793.65996527778</v>
      </c>
      <c r="C1145" s="1" t="n">
        <v>46081</v>
      </c>
      <c r="D1145" t="inlineStr">
        <is>
          <t>KALMAR LÄN</t>
        </is>
      </c>
      <c r="E1145" t="inlineStr">
        <is>
          <t>VÄSTERVIK</t>
        </is>
      </c>
      <c r="F1145" t="inlineStr">
        <is>
          <t>Holmen skog AB</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23022-2025</t>
        </is>
      </c>
      <c r="B1146" s="1" t="n">
        <v>45790.65489583334</v>
      </c>
      <c r="C1146" s="1" t="n">
        <v>46081</v>
      </c>
      <c r="D1146" t="inlineStr">
        <is>
          <t>KALMAR LÄN</t>
        </is>
      </c>
      <c r="E1146" t="inlineStr">
        <is>
          <t>VÄSTERVIK</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7840-2025</t>
        </is>
      </c>
      <c r="B1147" s="1" t="n">
        <v>45706.65895833333</v>
      </c>
      <c r="C1147" s="1" t="n">
        <v>46081</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24819-2025</t>
        </is>
      </c>
      <c r="B1148" s="1" t="n">
        <v>45799.45109953704</v>
      </c>
      <c r="C1148" s="1" t="n">
        <v>46081</v>
      </c>
      <c r="D1148" t="inlineStr">
        <is>
          <t>KALMAR LÄN</t>
        </is>
      </c>
      <c r="E1148" t="inlineStr">
        <is>
          <t>VÄSTERVIK</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16080-2025</t>
        </is>
      </c>
      <c r="B1149" s="1" t="n">
        <v>45749.72953703703</v>
      </c>
      <c r="C1149" s="1" t="n">
        <v>46081</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41926-2024</t>
        </is>
      </c>
      <c r="B1150" s="1" t="n">
        <v>45561</v>
      </c>
      <c r="C1150" s="1" t="n">
        <v>46081</v>
      </c>
      <c r="D1150" t="inlineStr">
        <is>
          <t>KALMAR LÄN</t>
        </is>
      </c>
      <c r="E1150" t="inlineStr">
        <is>
          <t>VÄSTERVIK</t>
        </is>
      </c>
      <c r="F1150" t="inlineStr">
        <is>
          <t>Kyrkan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14237-2024</t>
        </is>
      </c>
      <c r="B1151" s="1" t="n">
        <v>45393.47158564815</v>
      </c>
      <c r="C1151" s="1" t="n">
        <v>46081</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4579-2023</t>
        </is>
      </c>
      <c r="B1152" s="1" t="n">
        <v>44956.72383101852</v>
      </c>
      <c r="C1152" s="1" t="n">
        <v>46081</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65059-2023</t>
        </is>
      </c>
      <c r="B1153" s="1" t="n">
        <v>45287</v>
      </c>
      <c r="C1153" s="1" t="n">
        <v>46081</v>
      </c>
      <c r="D1153" t="inlineStr">
        <is>
          <t>KALMAR LÄN</t>
        </is>
      </c>
      <c r="E1153" t="inlineStr">
        <is>
          <t>VÄSTERVIK</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25819-2025</t>
        </is>
      </c>
      <c r="B1154" s="1" t="n">
        <v>45804.43547453704</v>
      </c>
      <c r="C1154" s="1" t="n">
        <v>46081</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c r="A1155" t="inlineStr">
        <is>
          <t>A 25827-2025</t>
        </is>
      </c>
      <c r="B1155" s="1" t="n">
        <v>45804.443125</v>
      </c>
      <c r="C1155" s="1" t="n">
        <v>46081</v>
      </c>
      <c r="D1155" t="inlineStr">
        <is>
          <t>KALMAR LÄN</t>
        </is>
      </c>
      <c r="E1155" t="inlineStr">
        <is>
          <t>VÄSTERVIK</t>
        </is>
      </c>
      <c r="G1155" t="n">
        <v>1.8</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2026-02-28T11:06:51Z</dcterms:created>
  <dcterms:modified xmlns:dcterms="http://purl.org/dc/terms/" xmlns:xsi="http://www.w3.org/2001/XMLSchema-instance" xsi:type="dcterms:W3CDTF">2026-02-28T11:06:52Z</dcterms:modified>
</cp:coreProperties>
</file>