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45844</v>
      </c>
      <c r="D2" t="inlineStr">
        <is>
          <t>KALMAR LÄN</t>
        </is>
      </c>
      <c r="E2" t="inlineStr">
        <is>
          <t>VÄSTERVIK</t>
        </is>
      </c>
      <c r="G2" t="n">
        <v>3.3</v>
      </c>
      <c r="H2" t="n">
        <v>16</v>
      </c>
      <c r="I2" t="n">
        <v>4</v>
      </c>
      <c r="J2" t="n">
        <v>12</v>
      </c>
      <c r="K2" t="n">
        <v>1</v>
      </c>
      <c r="L2" t="n">
        <v>1</v>
      </c>
      <c r="M2" t="n">
        <v>0</v>
      </c>
      <c r="N2" t="n">
        <v>0</v>
      </c>
      <c r="O2" t="n">
        <v>14</v>
      </c>
      <c r="P2" t="n">
        <v>2</v>
      </c>
      <c r="Q2" t="n">
        <v>27</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45844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45844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45844</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45844</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45844</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45844</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45844</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45844</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45844</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45844</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45844</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45844</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45844</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45844</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45844</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45844</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45844</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45844</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45844</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45844</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45844</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45844</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45844</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45844</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45844</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45844</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45844</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45844</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45844</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45844</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45844</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45844</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45844</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45844</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45844</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45844</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45844</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45844</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45844</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45844</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45844</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45844</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45844</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45844</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45844</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45844</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45844</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45844</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45844</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45844</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45844</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45844</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45844</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45844</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45844</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45844</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45844</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45844</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45844</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45844</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45844</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45844</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45844</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45844</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45844</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45844</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45844</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45844</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45844</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45844</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45844</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45844</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45844</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45844</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45844</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45844</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45844</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45844</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45844</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45844</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45844</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45844</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45844</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45844</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45844</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45844</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45844</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45844</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45844</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45844</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45844</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45844</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45844</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45844</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45844</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45844</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45844</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45844</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45844</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45844</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45844</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45844</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45844</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45844</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45844</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45844</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45844</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45844</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45844</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45844</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45844</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45844</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45844</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45844</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45844</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45844</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39857-2020</t>
        </is>
      </c>
      <c r="B119" s="1" t="n">
        <v>44064</v>
      </c>
      <c r="C119" s="1" t="n">
        <v>45844</v>
      </c>
      <c r="D119" t="inlineStr">
        <is>
          <t>KALMAR LÄN</t>
        </is>
      </c>
      <c r="E119" t="inlineStr">
        <is>
          <t>VÄSTERVIK</t>
        </is>
      </c>
      <c r="G119" t="n">
        <v>7.6</v>
      </c>
      <c r="H119" t="n">
        <v>0</v>
      </c>
      <c r="I119" t="n">
        <v>0</v>
      </c>
      <c r="J119" t="n">
        <v>2</v>
      </c>
      <c r="K119" t="n">
        <v>1</v>
      </c>
      <c r="L119" t="n">
        <v>0</v>
      </c>
      <c r="M119" t="n">
        <v>0</v>
      </c>
      <c r="N119" t="n">
        <v>0</v>
      </c>
      <c r="O119" t="n">
        <v>3</v>
      </c>
      <c r="P119" t="n">
        <v>1</v>
      </c>
      <c r="Q119" t="n">
        <v>3</v>
      </c>
      <c r="R119" s="2" t="inlineStr">
        <is>
          <t>Slåttergubbe
Spindelört
Svinrot</t>
        </is>
      </c>
      <c r="S119">
        <f>HYPERLINK("https://klasma.github.io/Logging_0883/artfynd/A 39857-2020 artfynd.xlsx", "A 39857-2020")</f>
        <v/>
      </c>
      <c r="T119">
        <f>HYPERLINK("https://klasma.github.io/Logging_0883/kartor/A 39857-2020 karta.png", "A 39857-2020")</f>
        <v/>
      </c>
      <c r="V119">
        <f>HYPERLINK("https://klasma.github.io/Logging_0883/klagomål/A 39857-2020 FSC-klagomål.docx", "A 39857-2020")</f>
        <v/>
      </c>
      <c r="W119">
        <f>HYPERLINK("https://klasma.github.io/Logging_0883/klagomålsmail/A 39857-2020 FSC-klagomål mail.docx", "A 39857-2020")</f>
        <v/>
      </c>
      <c r="X119">
        <f>HYPERLINK("https://klasma.github.io/Logging_0883/tillsyn/A 39857-2020 tillsynsbegäran.docx", "A 39857-2020")</f>
        <v/>
      </c>
      <c r="Y119">
        <f>HYPERLINK("https://klasma.github.io/Logging_0883/tillsynsmail/A 39857-2020 tillsynsbegäran mail.docx", "A 39857-2020")</f>
        <v/>
      </c>
    </row>
    <row r="120" ht="15" customHeight="1">
      <c r="A120" t="inlineStr">
        <is>
          <t>A 9097-2021</t>
        </is>
      </c>
      <c r="B120" s="1" t="n">
        <v>44249</v>
      </c>
      <c r="C120" s="1" t="n">
        <v>45844</v>
      </c>
      <c r="D120" t="inlineStr">
        <is>
          <t>KALMAR LÄN</t>
        </is>
      </c>
      <c r="E120" t="inlineStr">
        <is>
          <t>VÄSTERVIK</t>
        </is>
      </c>
      <c r="F120" t="inlineStr">
        <is>
          <t>Sveaskog</t>
        </is>
      </c>
      <c r="G120" t="n">
        <v>1.9</v>
      </c>
      <c r="H120" t="n">
        <v>0</v>
      </c>
      <c r="I120" t="n">
        <v>1</v>
      </c>
      <c r="J120" t="n">
        <v>2</v>
      </c>
      <c r="K120" t="n">
        <v>0</v>
      </c>
      <c r="L120" t="n">
        <v>0</v>
      </c>
      <c r="M120" t="n">
        <v>0</v>
      </c>
      <c r="N120" t="n">
        <v>0</v>
      </c>
      <c r="O120" t="n">
        <v>2</v>
      </c>
      <c r="P120" t="n">
        <v>0</v>
      </c>
      <c r="Q120" t="n">
        <v>3</v>
      </c>
      <c r="R120" s="2" t="inlineStr">
        <is>
          <t>Tallticka
Vedskivlav
Vätteros</t>
        </is>
      </c>
      <c r="S120">
        <f>HYPERLINK("https://klasma.github.io/Logging_0883/artfynd/A 9097-2021 artfynd.xlsx", "A 9097-2021")</f>
        <v/>
      </c>
      <c r="T120">
        <f>HYPERLINK("https://klasma.github.io/Logging_0883/kartor/A 9097-2021 karta.png", "A 9097-2021")</f>
        <v/>
      </c>
      <c r="V120">
        <f>HYPERLINK("https://klasma.github.io/Logging_0883/klagomål/A 9097-2021 FSC-klagomål.docx", "A 9097-2021")</f>
        <v/>
      </c>
      <c r="W120">
        <f>HYPERLINK("https://klasma.github.io/Logging_0883/klagomålsmail/A 9097-2021 FSC-klagomål mail.docx", "A 9097-2021")</f>
        <v/>
      </c>
      <c r="X120">
        <f>HYPERLINK("https://klasma.github.io/Logging_0883/tillsyn/A 9097-2021 tillsynsbegäran.docx", "A 9097-2021")</f>
        <v/>
      </c>
      <c r="Y120">
        <f>HYPERLINK("https://klasma.github.io/Logging_0883/tillsynsmail/A 9097-2021 tillsynsbegäran mail.docx", "A 9097-2021")</f>
        <v/>
      </c>
    </row>
    <row r="121" ht="15" customHeight="1">
      <c r="A121" t="inlineStr">
        <is>
          <t>A 63813-2021</t>
        </is>
      </c>
      <c r="B121" s="1" t="n">
        <v>44505</v>
      </c>
      <c r="C121" s="1" t="n">
        <v>45844</v>
      </c>
      <c r="D121" t="inlineStr">
        <is>
          <t>KALMAR LÄN</t>
        </is>
      </c>
      <c r="E121" t="inlineStr">
        <is>
          <t>VÄSTERVIK</t>
        </is>
      </c>
      <c r="G121" t="n">
        <v>4.4</v>
      </c>
      <c r="H121" t="n">
        <v>1</v>
      </c>
      <c r="I121" t="n">
        <v>1</v>
      </c>
      <c r="J121" t="n">
        <v>2</v>
      </c>
      <c r="K121" t="n">
        <v>0</v>
      </c>
      <c r="L121" t="n">
        <v>0</v>
      </c>
      <c r="M121" t="n">
        <v>0</v>
      </c>
      <c r="N121" t="n">
        <v>0</v>
      </c>
      <c r="O121" t="n">
        <v>2</v>
      </c>
      <c r="P121" t="n">
        <v>0</v>
      </c>
      <c r="Q121" t="n">
        <v>3</v>
      </c>
      <c r="R121" s="2" t="inlineStr">
        <is>
          <t>Tallticka
Talltita
Grovticka</t>
        </is>
      </c>
      <c r="S121">
        <f>HYPERLINK("https://klasma.github.io/Logging_0883/artfynd/A 63813-2021 artfynd.xlsx", "A 63813-2021")</f>
        <v/>
      </c>
      <c r="T121">
        <f>HYPERLINK("https://klasma.github.io/Logging_0883/kartor/A 63813-2021 karta.png", "A 63813-2021")</f>
        <v/>
      </c>
      <c r="U121">
        <f>HYPERLINK("https://klasma.github.io/Logging_0883/knärot/A 63813-2021 karta knärot.png", "A 63813-2021")</f>
        <v/>
      </c>
      <c r="V121">
        <f>HYPERLINK("https://klasma.github.io/Logging_0883/klagomål/A 63813-2021 FSC-klagomål.docx", "A 63813-2021")</f>
        <v/>
      </c>
      <c r="W121">
        <f>HYPERLINK("https://klasma.github.io/Logging_0883/klagomålsmail/A 63813-2021 FSC-klagomål mail.docx", "A 63813-2021")</f>
        <v/>
      </c>
      <c r="X121">
        <f>HYPERLINK("https://klasma.github.io/Logging_0883/tillsyn/A 63813-2021 tillsynsbegäran.docx", "A 63813-2021")</f>
        <v/>
      </c>
      <c r="Y121">
        <f>HYPERLINK("https://klasma.github.io/Logging_0883/tillsynsmail/A 63813-2021 tillsynsbegäran mail.docx", "A 63813-2021")</f>
        <v/>
      </c>
      <c r="Z121">
        <f>HYPERLINK("https://klasma.github.io/Logging_0883/fåglar/A 63813-2021 prioriterade fågelarter.docx", "A 63813-2021")</f>
        <v/>
      </c>
    </row>
    <row r="122" ht="15" customHeight="1">
      <c r="A122" t="inlineStr">
        <is>
          <t>A 68416-2021</t>
        </is>
      </c>
      <c r="B122" s="1" t="n">
        <v>44529</v>
      </c>
      <c r="C122" s="1" t="n">
        <v>45844</v>
      </c>
      <c r="D122" t="inlineStr">
        <is>
          <t>KALMAR LÄN</t>
        </is>
      </c>
      <c r="E122" t="inlineStr">
        <is>
          <t>VÄSTERVIK</t>
        </is>
      </c>
      <c r="F122" t="inlineStr">
        <is>
          <t>Kyrkan</t>
        </is>
      </c>
      <c r="G122" t="n">
        <v>10.5</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68416-2021 artfynd.xlsx", "A 68416-2021")</f>
        <v/>
      </c>
      <c r="T122">
        <f>HYPERLINK("https://klasma.github.io/Logging_0883/kartor/A 68416-2021 karta.png", "A 68416-2021")</f>
        <v/>
      </c>
      <c r="U122">
        <f>HYPERLINK("https://klasma.github.io/Logging_0883/knärot/A 68416-2021 karta knärot.png", "A 68416-2021")</f>
        <v/>
      </c>
      <c r="V122">
        <f>HYPERLINK("https://klasma.github.io/Logging_0883/klagomål/A 68416-2021 FSC-klagomål.docx", "A 68416-2021")</f>
        <v/>
      </c>
      <c r="W122">
        <f>HYPERLINK("https://klasma.github.io/Logging_0883/klagomålsmail/A 68416-2021 FSC-klagomål mail.docx", "A 68416-2021")</f>
        <v/>
      </c>
      <c r="X122">
        <f>HYPERLINK("https://klasma.github.io/Logging_0883/tillsyn/A 68416-2021 tillsynsbegäran.docx", "A 68416-2021")</f>
        <v/>
      </c>
      <c r="Y122">
        <f>HYPERLINK("https://klasma.github.io/Logging_0883/tillsynsmail/A 68416-2021 tillsynsbegäran mail.docx", "A 68416-2021")</f>
        <v/>
      </c>
      <c r="Z122">
        <f>HYPERLINK("https://klasma.github.io/Logging_0883/fåglar/A 68416-2021 prioriterade fågelarter.docx", "A 68416-2021")</f>
        <v/>
      </c>
    </row>
    <row r="123" ht="15" customHeight="1">
      <c r="A123" t="inlineStr">
        <is>
          <t>A 55506-2022</t>
        </is>
      </c>
      <c r="B123" s="1" t="n">
        <v>44887</v>
      </c>
      <c r="C123" s="1" t="n">
        <v>45844</v>
      </c>
      <c r="D123" t="inlineStr">
        <is>
          <t>KALMAR LÄN</t>
        </is>
      </c>
      <c r="E123" t="inlineStr">
        <is>
          <t>VÄSTERVIK</t>
        </is>
      </c>
      <c r="G123" t="n">
        <v>3.4</v>
      </c>
      <c r="H123" t="n">
        <v>0</v>
      </c>
      <c r="I123" t="n">
        <v>1</v>
      </c>
      <c r="J123" t="n">
        <v>2</v>
      </c>
      <c r="K123" t="n">
        <v>0</v>
      </c>
      <c r="L123" t="n">
        <v>0</v>
      </c>
      <c r="M123" t="n">
        <v>0</v>
      </c>
      <c r="N123" t="n">
        <v>0</v>
      </c>
      <c r="O123" t="n">
        <v>2</v>
      </c>
      <c r="P123" t="n">
        <v>0</v>
      </c>
      <c r="Q123" t="n">
        <v>3</v>
      </c>
      <c r="R123" s="2" t="inlineStr">
        <is>
          <t>Tallticka
Ullticka
Trädporella</t>
        </is>
      </c>
      <c r="S123">
        <f>HYPERLINK("https://klasma.github.io/Logging_0883/artfynd/A 55506-2022 artfynd.xlsx", "A 55506-2022")</f>
        <v/>
      </c>
      <c r="T123">
        <f>HYPERLINK("https://klasma.github.io/Logging_0883/kartor/A 55506-2022 karta.png", "A 55506-2022")</f>
        <v/>
      </c>
      <c r="V123">
        <f>HYPERLINK("https://klasma.github.io/Logging_0883/klagomål/A 55506-2022 FSC-klagomål.docx", "A 55506-2022")</f>
        <v/>
      </c>
      <c r="W123">
        <f>HYPERLINK("https://klasma.github.io/Logging_0883/klagomålsmail/A 55506-2022 FSC-klagomål mail.docx", "A 55506-2022")</f>
        <v/>
      </c>
      <c r="X123">
        <f>HYPERLINK("https://klasma.github.io/Logging_0883/tillsyn/A 55506-2022 tillsynsbegäran.docx", "A 55506-2022")</f>
        <v/>
      </c>
      <c r="Y123">
        <f>HYPERLINK("https://klasma.github.io/Logging_0883/tillsynsmail/A 55506-2022 tillsynsbegäran mail.docx", "A 55506-2022")</f>
        <v/>
      </c>
    </row>
    <row r="124" ht="15" customHeight="1">
      <c r="A124" t="inlineStr">
        <is>
          <t>A 804-2023</t>
        </is>
      </c>
      <c r="B124" s="1" t="n">
        <v>44931</v>
      </c>
      <c r="C124" s="1" t="n">
        <v>45844</v>
      </c>
      <c r="D124" t="inlineStr">
        <is>
          <t>KALMAR LÄN</t>
        </is>
      </c>
      <c r="E124" t="inlineStr">
        <is>
          <t>VÄSTERVIK</t>
        </is>
      </c>
      <c r="F124" t="inlineStr">
        <is>
          <t>Holmen skog AB</t>
        </is>
      </c>
      <c r="G124" t="n">
        <v>5.2</v>
      </c>
      <c r="H124" t="n">
        <v>1</v>
      </c>
      <c r="I124" t="n">
        <v>1</v>
      </c>
      <c r="J124" t="n">
        <v>1</v>
      </c>
      <c r="K124" t="n">
        <v>1</v>
      </c>
      <c r="L124" t="n">
        <v>0</v>
      </c>
      <c r="M124" t="n">
        <v>0</v>
      </c>
      <c r="N124" t="n">
        <v>0</v>
      </c>
      <c r="O124" t="n">
        <v>2</v>
      </c>
      <c r="P124" t="n">
        <v>1</v>
      </c>
      <c r="Q124" t="n">
        <v>3</v>
      </c>
      <c r="R124" s="2" t="inlineStr">
        <is>
          <t>Violett fingersvamp
Ekticka
Ekoxe</t>
        </is>
      </c>
      <c r="S124">
        <f>HYPERLINK("https://klasma.github.io/Logging_0883/artfynd/A 804-2023 artfynd.xlsx", "A 804-2023")</f>
        <v/>
      </c>
      <c r="T124">
        <f>HYPERLINK("https://klasma.github.io/Logging_0883/kartor/A 804-2023 karta.png", "A 804-2023")</f>
        <v/>
      </c>
      <c r="V124">
        <f>HYPERLINK("https://klasma.github.io/Logging_0883/klagomål/A 804-2023 FSC-klagomål.docx", "A 804-2023")</f>
        <v/>
      </c>
      <c r="W124">
        <f>HYPERLINK("https://klasma.github.io/Logging_0883/klagomålsmail/A 804-2023 FSC-klagomål mail.docx", "A 804-2023")</f>
        <v/>
      </c>
      <c r="X124">
        <f>HYPERLINK("https://klasma.github.io/Logging_0883/tillsyn/A 804-2023 tillsynsbegäran.docx", "A 804-2023")</f>
        <v/>
      </c>
      <c r="Y124">
        <f>HYPERLINK("https://klasma.github.io/Logging_0883/tillsynsmail/A 804-2023 tillsynsbegäran mail.docx", "A 804-2023")</f>
        <v/>
      </c>
    </row>
    <row r="125" ht="15" customHeight="1">
      <c r="A125" t="inlineStr">
        <is>
          <t>A 12708-2023</t>
        </is>
      </c>
      <c r="B125" s="1" t="n">
        <v>45000</v>
      </c>
      <c r="C125" s="1" t="n">
        <v>45844</v>
      </c>
      <c r="D125" t="inlineStr">
        <is>
          <t>KALMAR LÄN</t>
        </is>
      </c>
      <c r="E125" t="inlineStr">
        <is>
          <t>VÄSTERVIK</t>
        </is>
      </c>
      <c r="G125" t="n">
        <v>8.6</v>
      </c>
      <c r="H125" t="n">
        <v>2</v>
      </c>
      <c r="I125" t="n">
        <v>0</v>
      </c>
      <c r="J125" t="n">
        <v>2</v>
      </c>
      <c r="K125" t="n">
        <v>1</v>
      </c>
      <c r="L125" t="n">
        <v>0</v>
      </c>
      <c r="M125" t="n">
        <v>0</v>
      </c>
      <c r="N125" t="n">
        <v>0</v>
      </c>
      <c r="O125" t="n">
        <v>3</v>
      </c>
      <c r="P125" t="n">
        <v>1</v>
      </c>
      <c r="Q125" t="n">
        <v>3</v>
      </c>
      <c r="R125" s="2" t="inlineStr">
        <is>
          <t>Knärot
Tallticka
Talltita</t>
        </is>
      </c>
      <c r="S125">
        <f>HYPERLINK("https://klasma.github.io/Logging_0883/artfynd/A 12708-2023 artfynd.xlsx", "A 12708-2023")</f>
        <v/>
      </c>
      <c r="T125">
        <f>HYPERLINK("https://klasma.github.io/Logging_0883/kartor/A 12708-2023 karta.png", "A 12708-2023")</f>
        <v/>
      </c>
      <c r="U125">
        <f>HYPERLINK("https://klasma.github.io/Logging_0883/knärot/A 12708-2023 karta knärot.png", "A 12708-2023")</f>
        <v/>
      </c>
      <c r="V125">
        <f>HYPERLINK("https://klasma.github.io/Logging_0883/klagomål/A 12708-2023 FSC-klagomål.docx", "A 12708-2023")</f>
        <v/>
      </c>
      <c r="W125">
        <f>HYPERLINK("https://klasma.github.io/Logging_0883/klagomålsmail/A 12708-2023 FSC-klagomål mail.docx", "A 12708-2023")</f>
        <v/>
      </c>
      <c r="X125">
        <f>HYPERLINK("https://klasma.github.io/Logging_0883/tillsyn/A 12708-2023 tillsynsbegäran.docx", "A 12708-2023")</f>
        <v/>
      </c>
      <c r="Y125">
        <f>HYPERLINK("https://klasma.github.io/Logging_0883/tillsynsmail/A 12708-2023 tillsynsbegäran mail.docx", "A 12708-2023")</f>
        <v/>
      </c>
      <c r="Z125">
        <f>HYPERLINK("https://klasma.github.io/Logging_0883/fåglar/A 12708-2023 prioriterade fågelarter.docx", "A 12708-2023")</f>
        <v/>
      </c>
    </row>
    <row r="126" ht="15" customHeight="1">
      <c r="A126" t="inlineStr">
        <is>
          <t>A 30194-2023</t>
        </is>
      </c>
      <c r="B126" s="1" t="n">
        <v>45110</v>
      </c>
      <c r="C126" s="1" t="n">
        <v>45844</v>
      </c>
      <c r="D126" t="inlineStr">
        <is>
          <t>KALMAR LÄN</t>
        </is>
      </c>
      <c r="E126" t="inlineStr">
        <is>
          <t>VÄSTERVIK</t>
        </is>
      </c>
      <c r="F126" t="inlineStr">
        <is>
          <t>Kyrkan</t>
        </is>
      </c>
      <c r="G126" t="n">
        <v>5.8</v>
      </c>
      <c r="H126" t="n">
        <v>1</v>
      </c>
      <c r="I126" t="n">
        <v>2</v>
      </c>
      <c r="J126" t="n">
        <v>0</v>
      </c>
      <c r="K126" t="n">
        <v>1</v>
      </c>
      <c r="L126" t="n">
        <v>0</v>
      </c>
      <c r="M126" t="n">
        <v>0</v>
      </c>
      <c r="N126" t="n">
        <v>0</v>
      </c>
      <c r="O126" t="n">
        <v>1</v>
      </c>
      <c r="P126" t="n">
        <v>1</v>
      </c>
      <c r="Q126" t="n">
        <v>3</v>
      </c>
      <c r="R126" s="2" t="inlineStr">
        <is>
          <t>Knärot
Grovticka
Grönpyrola</t>
        </is>
      </c>
      <c r="S126">
        <f>HYPERLINK("https://klasma.github.io/Logging_0883/artfynd/A 30194-2023 artfynd.xlsx", "A 30194-2023")</f>
        <v/>
      </c>
      <c r="T126">
        <f>HYPERLINK("https://klasma.github.io/Logging_0883/kartor/A 30194-2023 karta.png", "A 30194-2023")</f>
        <v/>
      </c>
      <c r="U126">
        <f>HYPERLINK("https://klasma.github.io/Logging_0883/knärot/A 30194-2023 karta knärot.png", "A 30194-2023")</f>
        <v/>
      </c>
      <c r="V126">
        <f>HYPERLINK("https://klasma.github.io/Logging_0883/klagomål/A 30194-2023 FSC-klagomål.docx", "A 30194-2023")</f>
        <v/>
      </c>
      <c r="W126">
        <f>HYPERLINK("https://klasma.github.io/Logging_0883/klagomålsmail/A 30194-2023 FSC-klagomål mail.docx", "A 30194-2023")</f>
        <v/>
      </c>
      <c r="X126">
        <f>HYPERLINK("https://klasma.github.io/Logging_0883/tillsyn/A 30194-2023 tillsynsbegäran.docx", "A 30194-2023")</f>
        <v/>
      </c>
      <c r="Y126">
        <f>HYPERLINK("https://klasma.github.io/Logging_0883/tillsynsmail/A 30194-2023 tillsynsbegäran mail.docx", "A 30194-2023")</f>
        <v/>
      </c>
    </row>
    <row r="127" ht="15" customHeight="1">
      <c r="A127" t="inlineStr">
        <is>
          <t>A 35480-2023</t>
        </is>
      </c>
      <c r="B127" s="1" t="n">
        <v>45146</v>
      </c>
      <c r="C127" s="1" t="n">
        <v>45844</v>
      </c>
      <c r="D127" t="inlineStr">
        <is>
          <t>KALMAR LÄN</t>
        </is>
      </c>
      <c r="E127" t="inlineStr">
        <is>
          <t>VÄSTERVIK</t>
        </is>
      </c>
      <c r="G127" t="n">
        <v>5.5</v>
      </c>
      <c r="H127" t="n">
        <v>1</v>
      </c>
      <c r="I127" t="n">
        <v>2</v>
      </c>
      <c r="J127" t="n">
        <v>1</v>
      </c>
      <c r="K127" t="n">
        <v>0</v>
      </c>
      <c r="L127" t="n">
        <v>0</v>
      </c>
      <c r="M127" t="n">
        <v>0</v>
      </c>
      <c r="N127" t="n">
        <v>0</v>
      </c>
      <c r="O127" t="n">
        <v>1</v>
      </c>
      <c r="P127" t="n">
        <v>0</v>
      </c>
      <c r="Q127" t="n">
        <v>3</v>
      </c>
      <c r="R127" s="2" t="inlineStr">
        <is>
          <t>Spillkråka
Blåmossa
Tjockfotad fingersvamp</t>
        </is>
      </c>
      <c r="S127">
        <f>HYPERLINK("https://klasma.github.io/Logging_0883/artfynd/A 35480-2023 artfynd.xlsx", "A 35480-2023")</f>
        <v/>
      </c>
      <c r="T127">
        <f>HYPERLINK("https://klasma.github.io/Logging_0883/kartor/A 35480-2023 karta.png", "A 35480-2023")</f>
        <v/>
      </c>
      <c r="V127">
        <f>HYPERLINK("https://klasma.github.io/Logging_0883/klagomål/A 35480-2023 FSC-klagomål.docx", "A 35480-2023")</f>
        <v/>
      </c>
      <c r="W127">
        <f>HYPERLINK("https://klasma.github.io/Logging_0883/klagomålsmail/A 35480-2023 FSC-klagomål mail.docx", "A 35480-2023")</f>
        <v/>
      </c>
      <c r="X127">
        <f>HYPERLINK("https://klasma.github.io/Logging_0883/tillsyn/A 35480-2023 tillsynsbegäran.docx", "A 35480-2023")</f>
        <v/>
      </c>
      <c r="Y127">
        <f>HYPERLINK("https://klasma.github.io/Logging_0883/tillsynsmail/A 35480-2023 tillsynsbegäran mail.docx", "A 35480-2023")</f>
        <v/>
      </c>
      <c r="Z127">
        <f>HYPERLINK("https://klasma.github.io/Logging_0883/fåglar/A 35480-2023 prioriterade fågelarter.docx", "A 35480-2023")</f>
        <v/>
      </c>
    </row>
    <row r="128" ht="15" customHeight="1">
      <c r="A128" t="inlineStr">
        <is>
          <t>A 39904-2023</t>
        </is>
      </c>
      <c r="B128" s="1" t="n">
        <v>45168</v>
      </c>
      <c r="C128" s="1" t="n">
        <v>45844</v>
      </c>
      <c r="D128" t="inlineStr">
        <is>
          <t>KALMAR LÄN</t>
        </is>
      </c>
      <c r="E128" t="inlineStr">
        <is>
          <t>VÄSTERVIK</t>
        </is>
      </c>
      <c r="G128" t="n">
        <v>7.3</v>
      </c>
      <c r="H128" t="n">
        <v>1</v>
      </c>
      <c r="I128" t="n">
        <v>1</v>
      </c>
      <c r="J128" t="n">
        <v>1</v>
      </c>
      <c r="K128" t="n">
        <v>0</v>
      </c>
      <c r="L128" t="n">
        <v>0</v>
      </c>
      <c r="M128" t="n">
        <v>0</v>
      </c>
      <c r="N128" t="n">
        <v>0</v>
      </c>
      <c r="O128" t="n">
        <v>1</v>
      </c>
      <c r="P128" t="n">
        <v>0</v>
      </c>
      <c r="Q128" t="n">
        <v>3</v>
      </c>
      <c r="R128" s="2" t="inlineStr">
        <is>
          <t>Gropticka
Grönpyrola
Revlummer</t>
        </is>
      </c>
      <c r="S128">
        <f>HYPERLINK("https://klasma.github.io/Logging_0883/artfynd/A 39904-2023 artfynd.xlsx", "A 39904-2023")</f>
        <v/>
      </c>
      <c r="T128">
        <f>HYPERLINK("https://klasma.github.io/Logging_0883/kartor/A 39904-2023 karta.png", "A 39904-2023")</f>
        <v/>
      </c>
      <c r="V128">
        <f>HYPERLINK("https://klasma.github.io/Logging_0883/klagomål/A 39904-2023 FSC-klagomål.docx", "A 39904-2023")</f>
        <v/>
      </c>
      <c r="W128">
        <f>HYPERLINK("https://klasma.github.io/Logging_0883/klagomålsmail/A 39904-2023 FSC-klagomål mail.docx", "A 39904-2023")</f>
        <v/>
      </c>
      <c r="X128">
        <f>HYPERLINK("https://klasma.github.io/Logging_0883/tillsyn/A 39904-2023 tillsynsbegäran.docx", "A 39904-2023")</f>
        <v/>
      </c>
      <c r="Y128">
        <f>HYPERLINK("https://klasma.github.io/Logging_0883/tillsynsmail/A 39904-2023 tillsynsbegäran mail.docx", "A 39904-2023")</f>
        <v/>
      </c>
    </row>
    <row r="129" ht="15" customHeight="1">
      <c r="A129" t="inlineStr">
        <is>
          <t>A 39906-2023</t>
        </is>
      </c>
      <c r="B129" s="1" t="n">
        <v>45168</v>
      </c>
      <c r="C129" s="1" t="n">
        <v>45844</v>
      </c>
      <c r="D129" t="inlineStr">
        <is>
          <t>KALMAR LÄN</t>
        </is>
      </c>
      <c r="E129" t="inlineStr">
        <is>
          <t>VÄSTERVIK</t>
        </is>
      </c>
      <c r="G129" t="n">
        <v>5</v>
      </c>
      <c r="H129" t="n">
        <v>2</v>
      </c>
      <c r="I129" t="n">
        <v>1</v>
      </c>
      <c r="J129" t="n">
        <v>0</v>
      </c>
      <c r="K129" t="n">
        <v>1</v>
      </c>
      <c r="L129" t="n">
        <v>0</v>
      </c>
      <c r="M129" t="n">
        <v>0</v>
      </c>
      <c r="N129" t="n">
        <v>0</v>
      </c>
      <c r="O129" t="n">
        <v>1</v>
      </c>
      <c r="P129" t="n">
        <v>1</v>
      </c>
      <c r="Q129" t="n">
        <v>3</v>
      </c>
      <c r="R129" s="2" t="inlineStr">
        <is>
          <t>Knärot
Blåmossa
Revlummer</t>
        </is>
      </c>
      <c r="S129">
        <f>HYPERLINK("https://klasma.github.io/Logging_0883/artfynd/A 39906-2023 artfynd.xlsx", "A 39906-2023")</f>
        <v/>
      </c>
      <c r="T129">
        <f>HYPERLINK("https://klasma.github.io/Logging_0883/kartor/A 39906-2023 karta.png", "A 39906-2023")</f>
        <v/>
      </c>
      <c r="U129">
        <f>HYPERLINK("https://klasma.github.io/Logging_0883/knärot/A 39906-2023 karta knärot.png", "A 39906-2023")</f>
        <v/>
      </c>
      <c r="V129">
        <f>HYPERLINK("https://klasma.github.io/Logging_0883/klagomål/A 39906-2023 FSC-klagomål.docx", "A 39906-2023")</f>
        <v/>
      </c>
      <c r="W129">
        <f>HYPERLINK("https://klasma.github.io/Logging_0883/klagomålsmail/A 39906-2023 FSC-klagomål mail.docx", "A 39906-2023")</f>
        <v/>
      </c>
      <c r="X129">
        <f>HYPERLINK("https://klasma.github.io/Logging_0883/tillsyn/A 39906-2023 tillsynsbegäran.docx", "A 39906-2023")</f>
        <v/>
      </c>
      <c r="Y129">
        <f>HYPERLINK("https://klasma.github.io/Logging_0883/tillsynsmail/A 39906-2023 tillsynsbegäran mail.docx", "A 39906-2023")</f>
        <v/>
      </c>
    </row>
    <row r="130" ht="15" customHeight="1">
      <c r="A130" t="inlineStr">
        <is>
          <t>A 42353-2023</t>
        </is>
      </c>
      <c r="B130" s="1" t="n">
        <v>45180</v>
      </c>
      <c r="C130" s="1" t="n">
        <v>45844</v>
      </c>
      <c r="D130" t="inlineStr">
        <is>
          <t>KALMAR LÄN</t>
        </is>
      </c>
      <c r="E130" t="inlineStr">
        <is>
          <t>VÄSTERVIK</t>
        </is>
      </c>
      <c r="G130" t="n">
        <v>11.3</v>
      </c>
      <c r="H130" t="n">
        <v>1</v>
      </c>
      <c r="I130" t="n">
        <v>1</v>
      </c>
      <c r="J130" t="n">
        <v>1</v>
      </c>
      <c r="K130" t="n">
        <v>1</v>
      </c>
      <c r="L130" t="n">
        <v>0</v>
      </c>
      <c r="M130" t="n">
        <v>0</v>
      </c>
      <c r="N130" t="n">
        <v>0</v>
      </c>
      <c r="O130" t="n">
        <v>2</v>
      </c>
      <c r="P130" t="n">
        <v>1</v>
      </c>
      <c r="Q130" t="n">
        <v>3</v>
      </c>
      <c r="R130" s="2" t="inlineStr">
        <is>
          <t>Knärot
Tallticka
Blomkålssvamp</t>
        </is>
      </c>
      <c r="S130">
        <f>HYPERLINK("https://klasma.github.io/Logging_0883/artfynd/A 42353-2023 artfynd.xlsx", "A 42353-2023")</f>
        <v/>
      </c>
      <c r="T130">
        <f>HYPERLINK("https://klasma.github.io/Logging_0883/kartor/A 42353-2023 karta.png", "A 42353-2023")</f>
        <v/>
      </c>
      <c r="U130">
        <f>HYPERLINK("https://klasma.github.io/Logging_0883/knärot/A 42353-2023 karta knärot.png", "A 42353-2023")</f>
        <v/>
      </c>
      <c r="V130">
        <f>HYPERLINK("https://klasma.github.io/Logging_0883/klagomål/A 42353-2023 FSC-klagomål.docx", "A 42353-2023")</f>
        <v/>
      </c>
      <c r="W130">
        <f>HYPERLINK("https://klasma.github.io/Logging_0883/klagomålsmail/A 42353-2023 FSC-klagomål mail.docx", "A 42353-2023")</f>
        <v/>
      </c>
      <c r="X130">
        <f>HYPERLINK("https://klasma.github.io/Logging_0883/tillsyn/A 42353-2023 tillsynsbegäran.docx", "A 42353-2023")</f>
        <v/>
      </c>
      <c r="Y130">
        <f>HYPERLINK("https://klasma.github.io/Logging_0883/tillsynsmail/A 42353-2023 tillsynsbegäran mail.docx", "A 42353-2023")</f>
        <v/>
      </c>
    </row>
    <row r="131" ht="15" customHeight="1">
      <c r="A131" t="inlineStr">
        <is>
          <t>A 45702-2023</t>
        </is>
      </c>
      <c r="B131" s="1" t="n">
        <v>45195</v>
      </c>
      <c r="C131" s="1" t="n">
        <v>45844</v>
      </c>
      <c r="D131" t="inlineStr">
        <is>
          <t>KALMAR LÄN</t>
        </is>
      </c>
      <c r="E131" t="inlineStr">
        <is>
          <t>VÄSTERVIK</t>
        </is>
      </c>
      <c r="G131" t="n">
        <v>7.3</v>
      </c>
      <c r="H131" t="n">
        <v>0</v>
      </c>
      <c r="I131" t="n">
        <v>1</v>
      </c>
      <c r="J131" t="n">
        <v>2</v>
      </c>
      <c r="K131" t="n">
        <v>0</v>
      </c>
      <c r="L131" t="n">
        <v>0</v>
      </c>
      <c r="M131" t="n">
        <v>0</v>
      </c>
      <c r="N131" t="n">
        <v>0</v>
      </c>
      <c r="O131" t="n">
        <v>2</v>
      </c>
      <c r="P131" t="n">
        <v>0</v>
      </c>
      <c r="Q131" t="n">
        <v>3</v>
      </c>
      <c r="R131" s="2" t="inlineStr">
        <is>
          <t>Reliktbock
Tallticka
Blåmossa</t>
        </is>
      </c>
      <c r="S131">
        <f>HYPERLINK("https://klasma.github.io/Logging_0883/artfynd/A 45702-2023 artfynd.xlsx", "A 45702-2023")</f>
        <v/>
      </c>
      <c r="T131">
        <f>HYPERLINK("https://klasma.github.io/Logging_0883/kartor/A 45702-2023 karta.png", "A 45702-2023")</f>
        <v/>
      </c>
      <c r="V131">
        <f>HYPERLINK("https://klasma.github.io/Logging_0883/klagomål/A 45702-2023 FSC-klagomål.docx", "A 45702-2023")</f>
        <v/>
      </c>
      <c r="W131">
        <f>HYPERLINK("https://klasma.github.io/Logging_0883/klagomålsmail/A 45702-2023 FSC-klagomål mail.docx", "A 45702-2023")</f>
        <v/>
      </c>
      <c r="X131">
        <f>HYPERLINK("https://klasma.github.io/Logging_0883/tillsyn/A 45702-2023 tillsynsbegäran.docx", "A 45702-2023")</f>
        <v/>
      </c>
      <c r="Y131">
        <f>HYPERLINK("https://klasma.github.io/Logging_0883/tillsynsmail/A 45702-2023 tillsynsbegäran mail.docx", "A 45702-2023")</f>
        <v/>
      </c>
    </row>
    <row r="132" ht="15" customHeight="1">
      <c r="A132" t="inlineStr">
        <is>
          <t>A 46090-2023</t>
        </is>
      </c>
      <c r="B132" s="1" t="n">
        <v>45196</v>
      </c>
      <c r="C132" s="1" t="n">
        <v>45844</v>
      </c>
      <c r="D132" t="inlineStr">
        <is>
          <t>KALMAR LÄN</t>
        </is>
      </c>
      <c r="E132" t="inlineStr">
        <is>
          <t>VÄSTERVIK</t>
        </is>
      </c>
      <c r="F132" t="inlineStr">
        <is>
          <t>Sveaskog</t>
        </is>
      </c>
      <c r="G132" t="n">
        <v>3.5</v>
      </c>
      <c r="H132" t="n">
        <v>1</v>
      </c>
      <c r="I132" t="n">
        <v>2</v>
      </c>
      <c r="J132" t="n">
        <v>0</v>
      </c>
      <c r="K132" t="n">
        <v>0</v>
      </c>
      <c r="L132" t="n">
        <v>0</v>
      </c>
      <c r="M132" t="n">
        <v>0</v>
      </c>
      <c r="N132" t="n">
        <v>0</v>
      </c>
      <c r="O132" t="n">
        <v>0</v>
      </c>
      <c r="P132" t="n">
        <v>0</v>
      </c>
      <c r="Q132" t="n">
        <v>3</v>
      </c>
      <c r="R132" s="2" t="inlineStr">
        <is>
          <t>Fällmossa
Platt fjädermossa
Blåsippa</t>
        </is>
      </c>
      <c r="S132">
        <f>HYPERLINK("https://klasma.github.io/Logging_0883/artfynd/A 46090-2023 artfynd.xlsx", "A 46090-2023")</f>
        <v/>
      </c>
      <c r="T132">
        <f>HYPERLINK("https://klasma.github.io/Logging_0883/kartor/A 46090-2023 karta.png", "A 46090-2023")</f>
        <v/>
      </c>
      <c r="V132">
        <f>HYPERLINK("https://klasma.github.io/Logging_0883/klagomål/A 46090-2023 FSC-klagomål.docx", "A 46090-2023")</f>
        <v/>
      </c>
      <c r="W132">
        <f>HYPERLINK("https://klasma.github.io/Logging_0883/klagomålsmail/A 46090-2023 FSC-klagomål mail.docx", "A 46090-2023")</f>
        <v/>
      </c>
      <c r="X132">
        <f>HYPERLINK("https://klasma.github.io/Logging_0883/tillsyn/A 46090-2023 tillsynsbegäran.docx", "A 46090-2023")</f>
        <v/>
      </c>
      <c r="Y132">
        <f>HYPERLINK("https://klasma.github.io/Logging_0883/tillsynsmail/A 46090-2023 tillsynsbegäran mail.docx", "A 46090-2023")</f>
        <v/>
      </c>
    </row>
    <row r="133" ht="15" customHeight="1">
      <c r="A133" t="inlineStr">
        <is>
          <t>A 54265-2023</t>
        </is>
      </c>
      <c r="B133" s="1" t="n">
        <v>45232</v>
      </c>
      <c r="C133" s="1" t="n">
        <v>45844</v>
      </c>
      <c r="D133" t="inlineStr">
        <is>
          <t>KALMAR LÄN</t>
        </is>
      </c>
      <c r="E133" t="inlineStr">
        <is>
          <t>VÄSTERVIK</t>
        </is>
      </c>
      <c r="G133" t="n">
        <v>3.3</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54265-2023 artfynd.xlsx", "A 54265-2023")</f>
        <v/>
      </c>
      <c r="T133">
        <f>HYPERLINK("https://klasma.github.io/Logging_0883/kartor/A 54265-2023 karta.png", "A 54265-2023")</f>
        <v/>
      </c>
      <c r="U133">
        <f>HYPERLINK("https://klasma.github.io/Logging_0883/knärot/A 54265-2023 karta knärot.png", "A 54265-2023")</f>
        <v/>
      </c>
      <c r="V133">
        <f>HYPERLINK("https://klasma.github.io/Logging_0883/klagomål/A 54265-2023 FSC-klagomål.docx", "A 54265-2023")</f>
        <v/>
      </c>
      <c r="W133">
        <f>HYPERLINK("https://klasma.github.io/Logging_0883/klagomålsmail/A 54265-2023 FSC-klagomål mail.docx", "A 54265-2023")</f>
        <v/>
      </c>
      <c r="X133">
        <f>HYPERLINK("https://klasma.github.io/Logging_0883/tillsyn/A 54265-2023 tillsynsbegäran.docx", "A 54265-2023")</f>
        <v/>
      </c>
      <c r="Y133">
        <f>HYPERLINK("https://klasma.github.io/Logging_0883/tillsynsmail/A 54265-2023 tillsynsbegäran mail.docx", "A 54265-2023")</f>
        <v/>
      </c>
    </row>
    <row r="134" ht="15" customHeight="1">
      <c r="A134" t="inlineStr">
        <is>
          <t>A 2657-2024</t>
        </is>
      </c>
      <c r="B134" s="1" t="n">
        <v>45314</v>
      </c>
      <c r="C134" s="1" t="n">
        <v>45844</v>
      </c>
      <c r="D134" t="inlineStr">
        <is>
          <t>KALMAR LÄN</t>
        </is>
      </c>
      <c r="E134" t="inlineStr">
        <is>
          <t>VÄSTERVIK</t>
        </is>
      </c>
      <c r="G134" t="n">
        <v>5.9</v>
      </c>
      <c r="H134" t="n">
        <v>2</v>
      </c>
      <c r="I134" t="n">
        <v>1</v>
      </c>
      <c r="J134" t="n">
        <v>1</v>
      </c>
      <c r="K134" t="n">
        <v>1</v>
      </c>
      <c r="L134" t="n">
        <v>0</v>
      </c>
      <c r="M134" t="n">
        <v>0</v>
      </c>
      <c r="N134" t="n">
        <v>0</v>
      </c>
      <c r="O134" t="n">
        <v>2</v>
      </c>
      <c r="P134" t="n">
        <v>1</v>
      </c>
      <c r="Q134" t="n">
        <v>3</v>
      </c>
      <c r="R134" s="2" t="inlineStr">
        <is>
          <t>Knärot
Spillkråka
Grönpyrola</t>
        </is>
      </c>
      <c r="S134">
        <f>HYPERLINK("https://klasma.github.io/Logging_0883/artfynd/A 2657-2024 artfynd.xlsx", "A 2657-2024")</f>
        <v/>
      </c>
      <c r="T134">
        <f>HYPERLINK("https://klasma.github.io/Logging_0883/kartor/A 2657-2024 karta.png", "A 2657-2024")</f>
        <v/>
      </c>
      <c r="U134">
        <f>HYPERLINK("https://klasma.github.io/Logging_0883/knärot/A 2657-2024 karta knärot.png", "A 2657-2024")</f>
        <v/>
      </c>
      <c r="V134">
        <f>HYPERLINK("https://klasma.github.io/Logging_0883/klagomål/A 2657-2024 FSC-klagomål.docx", "A 2657-2024")</f>
        <v/>
      </c>
      <c r="W134">
        <f>HYPERLINK("https://klasma.github.io/Logging_0883/klagomålsmail/A 2657-2024 FSC-klagomål mail.docx", "A 2657-2024")</f>
        <v/>
      </c>
      <c r="X134">
        <f>HYPERLINK("https://klasma.github.io/Logging_0883/tillsyn/A 2657-2024 tillsynsbegäran.docx", "A 2657-2024")</f>
        <v/>
      </c>
      <c r="Y134">
        <f>HYPERLINK("https://klasma.github.io/Logging_0883/tillsynsmail/A 2657-2024 tillsynsbegäran mail.docx", "A 2657-2024")</f>
        <v/>
      </c>
      <c r="Z134">
        <f>HYPERLINK("https://klasma.github.io/Logging_0883/fåglar/A 2657-2024 prioriterade fågelarter.docx", "A 2657-2024")</f>
        <v/>
      </c>
    </row>
    <row r="135" ht="15" customHeight="1">
      <c r="A135" t="inlineStr">
        <is>
          <t>A 2916-2024</t>
        </is>
      </c>
      <c r="B135" s="1" t="n">
        <v>45315</v>
      </c>
      <c r="C135" s="1" t="n">
        <v>45844</v>
      </c>
      <c r="D135" t="inlineStr">
        <is>
          <t>KALMAR LÄN</t>
        </is>
      </c>
      <c r="E135" t="inlineStr">
        <is>
          <t>VÄSTERVIK</t>
        </is>
      </c>
      <c r="G135" t="n">
        <v>6.3</v>
      </c>
      <c r="H135" t="n">
        <v>2</v>
      </c>
      <c r="I135" t="n">
        <v>0</v>
      </c>
      <c r="J135" t="n">
        <v>2</v>
      </c>
      <c r="K135" t="n">
        <v>1</v>
      </c>
      <c r="L135" t="n">
        <v>0</v>
      </c>
      <c r="M135" t="n">
        <v>0</v>
      </c>
      <c r="N135" t="n">
        <v>0</v>
      </c>
      <c r="O135" t="n">
        <v>3</v>
      </c>
      <c r="P135" t="n">
        <v>1</v>
      </c>
      <c r="Q135" t="n">
        <v>3</v>
      </c>
      <c r="R135" s="2" t="inlineStr">
        <is>
          <t>Knärot
Spillkråka
Tallticka</t>
        </is>
      </c>
      <c r="S135">
        <f>HYPERLINK("https://klasma.github.io/Logging_0883/artfynd/A 2916-2024 artfynd.xlsx", "A 2916-2024")</f>
        <v/>
      </c>
      <c r="T135">
        <f>HYPERLINK("https://klasma.github.io/Logging_0883/kartor/A 2916-2024 karta.png", "A 2916-2024")</f>
        <v/>
      </c>
      <c r="U135">
        <f>HYPERLINK("https://klasma.github.io/Logging_0883/knärot/A 2916-2024 karta knärot.png", "A 2916-2024")</f>
        <v/>
      </c>
      <c r="V135">
        <f>HYPERLINK("https://klasma.github.io/Logging_0883/klagomål/A 2916-2024 FSC-klagomål.docx", "A 2916-2024")</f>
        <v/>
      </c>
      <c r="W135">
        <f>HYPERLINK("https://klasma.github.io/Logging_0883/klagomålsmail/A 2916-2024 FSC-klagomål mail.docx", "A 2916-2024")</f>
        <v/>
      </c>
      <c r="X135">
        <f>HYPERLINK("https://klasma.github.io/Logging_0883/tillsyn/A 2916-2024 tillsynsbegäran.docx", "A 2916-2024")</f>
        <v/>
      </c>
      <c r="Y135">
        <f>HYPERLINK("https://klasma.github.io/Logging_0883/tillsynsmail/A 2916-2024 tillsynsbegäran mail.docx", "A 2916-2024")</f>
        <v/>
      </c>
      <c r="Z135">
        <f>HYPERLINK("https://klasma.github.io/Logging_0883/fåglar/A 2916-2024 prioriterade fågelarter.docx", "A 2916-2024")</f>
        <v/>
      </c>
    </row>
    <row r="136" ht="15" customHeight="1">
      <c r="A136" t="inlineStr">
        <is>
          <t>A 3429-2024</t>
        </is>
      </c>
      <c r="B136" s="1" t="n">
        <v>45320</v>
      </c>
      <c r="C136" s="1" t="n">
        <v>45844</v>
      </c>
      <c r="D136" t="inlineStr">
        <is>
          <t>KALMAR LÄN</t>
        </is>
      </c>
      <c r="E136" t="inlineStr">
        <is>
          <t>VÄSTERVIK</t>
        </is>
      </c>
      <c r="G136" t="n">
        <v>4.2</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HYPERLINK("https://klasma.github.io/Logging_0883/artfynd/A 3429-2024 artfynd.xlsx", "A 3429-2024")</f>
        <v/>
      </c>
      <c r="T136">
        <f>HYPERLINK("https://klasma.github.io/Logging_0883/kartor/A 3429-2024 karta.png", "A 3429-2024")</f>
        <v/>
      </c>
      <c r="U136">
        <f>HYPERLINK("https://klasma.github.io/Logging_0883/knärot/A 3429-2024 karta knärot.png", "A 3429-2024")</f>
        <v/>
      </c>
      <c r="V136">
        <f>HYPERLINK("https://klasma.github.io/Logging_0883/klagomål/A 3429-2024 FSC-klagomål.docx", "A 3429-2024")</f>
        <v/>
      </c>
      <c r="W136">
        <f>HYPERLINK("https://klasma.github.io/Logging_0883/klagomålsmail/A 3429-2024 FSC-klagomål mail.docx", "A 3429-2024")</f>
        <v/>
      </c>
      <c r="X136">
        <f>HYPERLINK("https://klasma.github.io/Logging_0883/tillsyn/A 3429-2024 tillsynsbegäran.docx", "A 3429-2024")</f>
        <v/>
      </c>
      <c r="Y136">
        <f>HYPERLINK("https://klasma.github.io/Logging_0883/tillsynsmail/A 3429-2024 tillsynsbegäran mail.docx", "A 3429-2024")</f>
        <v/>
      </c>
    </row>
    <row r="137" ht="15" customHeight="1">
      <c r="A137" t="inlineStr">
        <is>
          <t>A 8620-2024</t>
        </is>
      </c>
      <c r="B137" s="1" t="n">
        <v>45355</v>
      </c>
      <c r="C137" s="1" t="n">
        <v>45844</v>
      </c>
      <c r="D137" t="inlineStr">
        <is>
          <t>KALMAR LÄN</t>
        </is>
      </c>
      <c r="E137" t="inlineStr">
        <is>
          <t>VÄSTERVIK</t>
        </is>
      </c>
      <c r="G137" t="n">
        <v>0.9</v>
      </c>
      <c r="H137" t="n">
        <v>2</v>
      </c>
      <c r="I137" t="n">
        <v>1</v>
      </c>
      <c r="J137" t="n">
        <v>1</v>
      </c>
      <c r="K137" t="n">
        <v>1</v>
      </c>
      <c r="L137" t="n">
        <v>0</v>
      </c>
      <c r="M137" t="n">
        <v>0</v>
      </c>
      <c r="N137" t="n">
        <v>0</v>
      </c>
      <c r="O137" t="n">
        <v>2</v>
      </c>
      <c r="P137" t="n">
        <v>1</v>
      </c>
      <c r="Q137" t="n">
        <v>3</v>
      </c>
      <c r="R137" s="2" t="inlineStr">
        <is>
          <t>Knärot
Talltita
Blodticka</t>
        </is>
      </c>
      <c r="S137">
        <f>HYPERLINK("https://klasma.github.io/Logging_0883/artfynd/A 8620-2024 artfynd.xlsx", "A 8620-2024")</f>
        <v/>
      </c>
      <c r="T137">
        <f>HYPERLINK("https://klasma.github.io/Logging_0883/kartor/A 8620-2024 karta.png", "A 8620-2024")</f>
        <v/>
      </c>
      <c r="U137">
        <f>HYPERLINK("https://klasma.github.io/Logging_0883/knärot/A 8620-2024 karta knärot.png", "A 8620-2024")</f>
        <v/>
      </c>
      <c r="V137">
        <f>HYPERLINK("https://klasma.github.io/Logging_0883/klagomål/A 8620-2024 FSC-klagomål.docx", "A 8620-2024")</f>
        <v/>
      </c>
      <c r="W137">
        <f>HYPERLINK("https://klasma.github.io/Logging_0883/klagomålsmail/A 8620-2024 FSC-klagomål mail.docx", "A 8620-2024")</f>
        <v/>
      </c>
      <c r="X137">
        <f>HYPERLINK("https://klasma.github.io/Logging_0883/tillsyn/A 8620-2024 tillsynsbegäran.docx", "A 8620-2024")</f>
        <v/>
      </c>
      <c r="Y137">
        <f>HYPERLINK("https://klasma.github.io/Logging_0883/tillsynsmail/A 8620-2024 tillsynsbegäran mail.docx", "A 8620-2024")</f>
        <v/>
      </c>
      <c r="Z137">
        <f>HYPERLINK("https://klasma.github.io/Logging_0883/fåglar/A 8620-2024 prioriterade fågelarter.docx", "A 8620-2024")</f>
        <v/>
      </c>
    </row>
    <row r="138" ht="15" customHeight="1">
      <c r="A138" t="inlineStr">
        <is>
          <t>A 13744-2024</t>
        </is>
      </c>
      <c r="B138" s="1" t="n">
        <v>45390</v>
      </c>
      <c r="C138" s="1" t="n">
        <v>45844</v>
      </c>
      <c r="D138" t="inlineStr">
        <is>
          <t>KALMAR LÄN</t>
        </is>
      </c>
      <c r="E138" t="inlineStr">
        <is>
          <t>VÄSTERVIK</t>
        </is>
      </c>
      <c r="F138" t="inlineStr">
        <is>
          <t>Sveaskog</t>
        </is>
      </c>
      <c r="G138" t="n">
        <v>6.3</v>
      </c>
      <c r="H138" t="n">
        <v>3</v>
      </c>
      <c r="I138" t="n">
        <v>0</v>
      </c>
      <c r="J138" t="n">
        <v>1</v>
      </c>
      <c r="K138" t="n">
        <v>1</v>
      </c>
      <c r="L138" t="n">
        <v>0</v>
      </c>
      <c r="M138" t="n">
        <v>0</v>
      </c>
      <c r="N138" t="n">
        <v>0</v>
      </c>
      <c r="O138" t="n">
        <v>2</v>
      </c>
      <c r="P138" t="n">
        <v>1</v>
      </c>
      <c r="Q138" t="n">
        <v>3</v>
      </c>
      <c r="R138" s="2" t="inlineStr">
        <is>
          <t>Knärot
Talltita
Tjäder</t>
        </is>
      </c>
      <c r="S138">
        <f>HYPERLINK("https://klasma.github.io/Logging_0883/artfynd/A 13744-2024 artfynd.xlsx", "A 13744-2024")</f>
        <v/>
      </c>
      <c r="T138">
        <f>HYPERLINK("https://klasma.github.io/Logging_0883/kartor/A 13744-2024 karta.png", "A 13744-2024")</f>
        <v/>
      </c>
      <c r="U138">
        <f>HYPERLINK("https://klasma.github.io/Logging_0883/knärot/A 13744-2024 karta knärot.png", "A 13744-2024")</f>
        <v/>
      </c>
      <c r="V138">
        <f>HYPERLINK("https://klasma.github.io/Logging_0883/klagomål/A 13744-2024 FSC-klagomål.docx", "A 13744-2024")</f>
        <v/>
      </c>
      <c r="W138">
        <f>HYPERLINK("https://klasma.github.io/Logging_0883/klagomålsmail/A 13744-2024 FSC-klagomål mail.docx", "A 13744-2024")</f>
        <v/>
      </c>
      <c r="X138">
        <f>HYPERLINK("https://klasma.github.io/Logging_0883/tillsyn/A 13744-2024 tillsynsbegäran.docx", "A 13744-2024")</f>
        <v/>
      </c>
      <c r="Y138">
        <f>HYPERLINK("https://klasma.github.io/Logging_0883/tillsynsmail/A 13744-2024 tillsynsbegäran mail.docx", "A 13744-2024")</f>
        <v/>
      </c>
      <c r="Z138">
        <f>HYPERLINK("https://klasma.github.io/Logging_0883/fåglar/A 13744-2024 prioriterade fågelarter.docx", "A 13744-2024")</f>
        <v/>
      </c>
    </row>
    <row r="139" ht="15" customHeight="1">
      <c r="A139" t="inlineStr">
        <is>
          <t>A 16948-2024</t>
        </is>
      </c>
      <c r="B139" s="1" t="n">
        <v>45411</v>
      </c>
      <c r="C139" s="1" t="n">
        <v>45844</v>
      </c>
      <c r="D139" t="inlineStr">
        <is>
          <t>KALMAR LÄN</t>
        </is>
      </c>
      <c r="E139" t="inlineStr">
        <is>
          <t>VÄSTERVIK</t>
        </is>
      </c>
      <c r="G139" t="n">
        <v>13.3</v>
      </c>
      <c r="H139" t="n">
        <v>2</v>
      </c>
      <c r="I139" t="n">
        <v>0</v>
      </c>
      <c r="J139" t="n">
        <v>2</v>
      </c>
      <c r="K139" t="n">
        <v>1</v>
      </c>
      <c r="L139" t="n">
        <v>0</v>
      </c>
      <c r="M139" t="n">
        <v>0</v>
      </c>
      <c r="N139" t="n">
        <v>0</v>
      </c>
      <c r="O139" t="n">
        <v>3</v>
      </c>
      <c r="P139" t="n">
        <v>1</v>
      </c>
      <c r="Q139" t="n">
        <v>3</v>
      </c>
      <c r="R139" s="2" t="inlineStr">
        <is>
          <t>Knärot
Spillkråka
Tallticka</t>
        </is>
      </c>
      <c r="S139">
        <f>HYPERLINK("https://klasma.github.io/Logging_0883/artfynd/A 16948-2024 artfynd.xlsx", "A 16948-2024")</f>
        <v/>
      </c>
      <c r="T139">
        <f>HYPERLINK("https://klasma.github.io/Logging_0883/kartor/A 16948-2024 karta.png", "A 16948-2024")</f>
        <v/>
      </c>
      <c r="U139">
        <f>HYPERLINK("https://klasma.github.io/Logging_0883/knärot/A 16948-2024 karta knärot.png", "A 16948-2024")</f>
        <v/>
      </c>
      <c r="V139">
        <f>HYPERLINK("https://klasma.github.io/Logging_0883/klagomål/A 16948-2024 FSC-klagomål.docx", "A 16948-2024")</f>
        <v/>
      </c>
      <c r="W139">
        <f>HYPERLINK("https://klasma.github.io/Logging_0883/klagomålsmail/A 16948-2024 FSC-klagomål mail.docx", "A 16948-2024")</f>
        <v/>
      </c>
      <c r="X139">
        <f>HYPERLINK("https://klasma.github.io/Logging_0883/tillsyn/A 16948-2024 tillsynsbegäran.docx", "A 16948-2024")</f>
        <v/>
      </c>
      <c r="Y139">
        <f>HYPERLINK("https://klasma.github.io/Logging_0883/tillsynsmail/A 16948-2024 tillsynsbegäran mail.docx", "A 16948-2024")</f>
        <v/>
      </c>
      <c r="Z139">
        <f>HYPERLINK("https://klasma.github.io/Logging_0883/fåglar/A 16948-2024 prioriterade fågelarter.docx", "A 16948-2024")</f>
        <v/>
      </c>
    </row>
    <row r="140" ht="15" customHeight="1">
      <c r="A140" t="inlineStr">
        <is>
          <t>A 23219-2024</t>
        </is>
      </c>
      <c r="B140" s="1" t="n">
        <v>45452</v>
      </c>
      <c r="C140" s="1" t="n">
        <v>45844</v>
      </c>
      <c r="D140" t="inlineStr">
        <is>
          <t>KALMAR LÄN</t>
        </is>
      </c>
      <c r="E140" t="inlineStr">
        <is>
          <t>VÄSTERVIK</t>
        </is>
      </c>
      <c r="G140" t="n">
        <v>0.9</v>
      </c>
      <c r="H140" t="n">
        <v>1</v>
      </c>
      <c r="I140" t="n">
        <v>1</v>
      </c>
      <c r="J140" t="n">
        <v>2</v>
      </c>
      <c r="K140" t="n">
        <v>0</v>
      </c>
      <c r="L140" t="n">
        <v>0</v>
      </c>
      <c r="M140" t="n">
        <v>0</v>
      </c>
      <c r="N140" t="n">
        <v>0</v>
      </c>
      <c r="O140" t="n">
        <v>2</v>
      </c>
      <c r="P140" t="n">
        <v>0</v>
      </c>
      <c r="Q140" t="n">
        <v>3</v>
      </c>
      <c r="R140" s="2" t="inlineStr">
        <is>
          <t>Ekticka
Spillkråka
Grönpyrola</t>
        </is>
      </c>
      <c r="S140">
        <f>HYPERLINK("https://klasma.github.io/Logging_0883/artfynd/A 23219-2024 artfynd.xlsx", "A 23219-2024")</f>
        <v/>
      </c>
      <c r="T140">
        <f>HYPERLINK("https://klasma.github.io/Logging_0883/kartor/A 23219-2024 karta.png", "A 23219-2024")</f>
        <v/>
      </c>
      <c r="V140">
        <f>HYPERLINK("https://klasma.github.io/Logging_0883/klagomål/A 23219-2024 FSC-klagomål.docx", "A 23219-2024")</f>
        <v/>
      </c>
      <c r="W140">
        <f>HYPERLINK("https://klasma.github.io/Logging_0883/klagomålsmail/A 23219-2024 FSC-klagomål mail.docx", "A 23219-2024")</f>
        <v/>
      </c>
      <c r="X140">
        <f>HYPERLINK("https://klasma.github.io/Logging_0883/tillsyn/A 23219-2024 tillsynsbegäran.docx", "A 23219-2024")</f>
        <v/>
      </c>
      <c r="Y140">
        <f>HYPERLINK("https://klasma.github.io/Logging_0883/tillsynsmail/A 23219-2024 tillsynsbegäran mail.docx", "A 23219-2024")</f>
        <v/>
      </c>
      <c r="Z140">
        <f>HYPERLINK("https://klasma.github.io/Logging_0883/fåglar/A 23219-2024 prioriterade fågelarter.docx", "A 23219-2024")</f>
        <v/>
      </c>
    </row>
    <row r="141" ht="15" customHeight="1">
      <c r="A141" t="inlineStr">
        <is>
          <t>A 27067-2024</t>
        </is>
      </c>
      <c r="B141" s="1" t="n">
        <v>45471</v>
      </c>
      <c r="C141" s="1" t="n">
        <v>45844</v>
      </c>
      <c r="D141" t="inlineStr">
        <is>
          <t>KALMAR LÄN</t>
        </is>
      </c>
      <c r="E141" t="inlineStr">
        <is>
          <t>VÄSTERVIK</t>
        </is>
      </c>
      <c r="F141" t="inlineStr">
        <is>
          <t>Holmen skog AB</t>
        </is>
      </c>
      <c r="G141" t="n">
        <v>8.4</v>
      </c>
      <c r="H141" t="n">
        <v>2</v>
      </c>
      <c r="I141" t="n">
        <v>0</v>
      </c>
      <c r="J141" t="n">
        <v>3</v>
      </c>
      <c r="K141" t="n">
        <v>0</v>
      </c>
      <c r="L141" t="n">
        <v>0</v>
      </c>
      <c r="M141" t="n">
        <v>0</v>
      </c>
      <c r="N141" t="n">
        <v>0</v>
      </c>
      <c r="O141" t="n">
        <v>3</v>
      </c>
      <c r="P141" t="n">
        <v>0</v>
      </c>
      <c r="Q141" t="n">
        <v>3</v>
      </c>
      <c r="R141" s="2" t="inlineStr">
        <is>
          <t>Ekticka
Spillkråka
Talltita</t>
        </is>
      </c>
      <c r="S141">
        <f>HYPERLINK("https://klasma.github.io/Logging_0883/artfynd/A 27067-2024 artfynd.xlsx", "A 27067-2024")</f>
        <v/>
      </c>
      <c r="T141">
        <f>HYPERLINK("https://klasma.github.io/Logging_0883/kartor/A 27067-2024 karta.png", "A 27067-2024")</f>
        <v/>
      </c>
      <c r="V141">
        <f>HYPERLINK("https://klasma.github.io/Logging_0883/klagomål/A 27067-2024 FSC-klagomål.docx", "A 27067-2024")</f>
        <v/>
      </c>
      <c r="W141">
        <f>HYPERLINK("https://klasma.github.io/Logging_0883/klagomålsmail/A 27067-2024 FSC-klagomål mail.docx", "A 27067-2024")</f>
        <v/>
      </c>
      <c r="X141">
        <f>HYPERLINK("https://klasma.github.io/Logging_0883/tillsyn/A 27067-2024 tillsynsbegäran.docx", "A 27067-2024")</f>
        <v/>
      </c>
      <c r="Y141">
        <f>HYPERLINK("https://klasma.github.io/Logging_0883/tillsynsmail/A 27067-2024 tillsynsbegäran mail.docx", "A 27067-2024")</f>
        <v/>
      </c>
      <c r="Z141">
        <f>HYPERLINK("https://klasma.github.io/Logging_0883/fåglar/A 27067-2024 prioriterade fågelarter.docx", "A 27067-2024")</f>
        <v/>
      </c>
    </row>
    <row r="142" ht="15" customHeight="1">
      <c r="A142" t="inlineStr">
        <is>
          <t>A 27700-2024</t>
        </is>
      </c>
      <c r="B142" s="1" t="n">
        <v>45475</v>
      </c>
      <c r="C142" s="1" t="n">
        <v>45844</v>
      </c>
      <c r="D142" t="inlineStr">
        <is>
          <t>KALMAR LÄN</t>
        </is>
      </c>
      <c r="E142" t="inlineStr">
        <is>
          <t>VÄSTERVIK</t>
        </is>
      </c>
      <c r="F142" t="inlineStr">
        <is>
          <t>Holmen skog AB</t>
        </is>
      </c>
      <c r="G142" t="n">
        <v>1.1</v>
      </c>
      <c r="H142" t="n">
        <v>1</v>
      </c>
      <c r="I142" t="n">
        <v>2</v>
      </c>
      <c r="J142" t="n">
        <v>1</v>
      </c>
      <c r="K142" t="n">
        <v>0</v>
      </c>
      <c r="L142" t="n">
        <v>0</v>
      </c>
      <c r="M142" t="n">
        <v>0</v>
      </c>
      <c r="N142" t="n">
        <v>0</v>
      </c>
      <c r="O142" t="n">
        <v>1</v>
      </c>
      <c r="P142" t="n">
        <v>0</v>
      </c>
      <c r="Q142" t="n">
        <v>3</v>
      </c>
      <c r="R142" s="2" t="inlineStr">
        <is>
          <t>Spillkråka
Blåmossa
Zontaggsvamp</t>
        </is>
      </c>
      <c r="S142">
        <f>HYPERLINK("https://klasma.github.io/Logging_0883/artfynd/A 27700-2024 artfynd.xlsx", "A 27700-2024")</f>
        <v/>
      </c>
      <c r="T142">
        <f>HYPERLINK("https://klasma.github.io/Logging_0883/kartor/A 27700-2024 karta.png", "A 27700-2024")</f>
        <v/>
      </c>
      <c r="V142">
        <f>HYPERLINK("https://klasma.github.io/Logging_0883/klagomål/A 27700-2024 FSC-klagomål.docx", "A 27700-2024")</f>
        <v/>
      </c>
      <c r="W142">
        <f>HYPERLINK("https://klasma.github.io/Logging_0883/klagomålsmail/A 27700-2024 FSC-klagomål mail.docx", "A 27700-2024")</f>
        <v/>
      </c>
      <c r="X142">
        <f>HYPERLINK("https://klasma.github.io/Logging_0883/tillsyn/A 27700-2024 tillsynsbegäran.docx", "A 27700-2024")</f>
        <v/>
      </c>
      <c r="Y142">
        <f>HYPERLINK("https://klasma.github.io/Logging_0883/tillsynsmail/A 27700-2024 tillsynsbegäran mail.docx", "A 27700-2024")</f>
        <v/>
      </c>
      <c r="Z142">
        <f>HYPERLINK("https://klasma.github.io/Logging_0883/fåglar/A 27700-2024 prioriterade fågelarter.docx", "A 27700-2024")</f>
        <v/>
      </c>
    </row>
    <row r="143" ht="15" customHeight="1">
      <c r="A143" t="inlineStr">
        <is>
          <t>A 28368-2024</t>
        </is>
      </c>
      <c r="B143" s="1" t="n">
        <v>45477</v>
      </c>
      <c r="C143" s="1" t="n">
        <v>45844</v>
      </c>
      <c r="D143" t="inlineStr">
        <is>
          <t>KALMAR LÄN</t>
        </is>
      </c>
      <c r="E143" t="inlineStr">
        <is>
          <t>VÄSTERVIK</t>
        </is>
      </c>
      <c r="G143" t="n">
        <v>0.8</v>
      </c>
      <c r="H143" t="n">
        <v>1</v>
      </c>
      <c r="I143" t="n">
        <v>1</v>
      </c>
      <c r="J143" t="n">
        <v>1</v>
      </c>
      <c r="K143" t="n">
        <v>1</v>
      </c>
      <c r="L143" t="n">
        <v>0</v>
      </c>
      <c r="M143" t="n">
        <v>0</v>
      </c>
      <c r="N143" t="n">
        <v>0</v>
      </c>
      <c r="O143" t="n">
        <v>2</v>
      </c>
      <c r="P143" t="n">
        <v>1</v>
      </c>
      <c r="Q143" t="n">
        <v>3</v>
      </c>
      <c r="R143" s="2" t="inlineStr">
        <is>
          <t>Knärot
Orange taggsvamp
Grönpyrola</t>
        </is>
      </c>
      <c r="S143">
        <f>HYPERLINK("https://klasma.github.io/Logging_0883/artfynd/A 28368-2024 artfynd.xlsx", "A 28368-2024")</f>
        <v/>
      </c>
      <c r="T143">
        <f>HYPERLINK("https://klasma.github.io/Logging_0883/kartor/A 28368-2024 karta.png", "A 28368-2024")</f>
        <v/>
      </c>
      <c r="U143">
        <f>HYPERLINK("https://klasma.github.io/Logging_0883/knärot/A 28368-2024 karta knärot.png", "A 28368-2024")</f>
        <v/>
      </c>
      <c r="V143">
        <f>HYPERLINK("https://klasma.github.io/Logging_0883/klagomål/A 28368-2024 FSC-klagomål.docx", "A 28368-2024")</f>
        <v/>
      </c>
      <c r="W143">
        <f>HYPERLINK("https://klasma.github.io/Logging_0883/klagomålsmail/A 28368-2024 FSC-klagomål mail.docx", "A 28368-2024")</f>
        <v/>
      </c>
      <c r="X143">
        <f>HYPERLINK("https://klasma.github.io/Logging_0883/tillsyn/A 28368-2024 tillsynsbegäran.docx", "A 28368-2024")</f>
        <v/>
      </c>
      <c r="Y143">
        <f>HYPERLINK("https://klasma.github.io/Logging_0883/tillsynsmail/A 28368-2024 tillsynsbegäran mail.docx", "A 28368-2024")</f>
        <v/>
      </c>
    </row>
    <row r="144" ht="15" customHeight="1">
      <c r="A144" t="inlineStr">
        <is>
          <t>A 39190-2024</t>
        </is>
      </c>
      <c r="B144" s="1" t="n">
        <v>45548</v>
      </c>
      <c r="C144" s="1" t="n">
        <v>45844</v>
      </c>
      <c r="D144" t="inlineStr">
        <is>
          <t>KALMAR LÄN</t>
        </is>
      </c>
      <c r="E144" t="inlineStr">
        <is>
          <t>VÄSTERVIK</t>
        </is>
      </c>
      <c r="G144" t="n">
        <v>1.7</v>
      </c>
      <c r="H144" t="n">
        <v>2</v>
      </c>
      <c r="I144" t="n">
        <v>0</v>
      </c>
      <c r="J144" t="n">
        <v>2</v>
      </c>
      <c r="K144" t="n">
        <v>1</v>
      </c>
      <c r="L144" t="n">
        <v>0</v>
      </c>
      <c r="M144" t="n">
        <v>0</v>
      </c>
      <c r="N144" t="n">
        <v>0</v>
      </c>
      <c r="O144" t="n">
        <v>3</v>
      </c>
      <c r="P144" t="n">
        <v>1</v>
      </c>
      <c r="Q144" t="n">
        <v>3</v>
      </c>
      <c r="R144" s="2" t="inlineStr">
        <is>
          <t>Knärot
Svart taggsvamp
Talltita</t>
        </is>
      </c>
      <c r="S144">
        <f>HYPERLINK("https://klasma.github.io/Logging_0883/artfynd/A 39190-2024 artfynd.xlsx", "A 39190-2024")</f>
        <v/>
      </c>
      <c r="T144">
        <f>HYPERLINK("https://klasma.github.io/Logging_0883/kartor/A 39190-2024 karta.png", "A 39190-2024")</f>
        <v/>
      </c>
      <c r="U144">
        <f>HYPERLINK("https://klasma.github.io/Logging_0883/knärot/A 39190-2024 karta knärot.png", "A 39190-2024")</f>
        <v/>
      </c>
      <c r="V144">
        <f>HYPERLINK("https://klasma.github.io/Logging_0883/klagomål/A 39190-2024 FSC-klagomål.docx", "A 39190-2024")</f>
        <v/>
      </c>
      <c r="W144">
        <f>HYPERLINK("https://klasma.github.io/Logging_0883/klagomålsmail/A 39190-2024 FSC-klagomål mail.docx", "A 39190-2024")</f>
        <v/>
      </c>
      <c r="X144">
        <f>HYPERLINK("https://klasma.github.io/Logging_0883/tillsyn/A 39190-2024 tillsynsbegäran.docx", "A 39190-2024")</f>
        <v/>
      </c>
      <c r="Y144">
        <f>HYPERLINK("https://klasma.github.io/Logging_0883/tillsynsmail/A 39190-2024 tillsynsbegäran mail.docx", "A 39190-2024")</f>
        <v/>
      </c>
      <c r="Z144">
        <f>HYPERLINK("https://klasma.github.io/Logging_0883/fåglar/A 39190-2024 prioriterade fågelarter.docx", "A 39190-2024")</f>
        <v/>
      </c>
    </row>
    <row r="145" ht="15" customHeight="1">
      <c r="A145" t="inlineStr">
        <is>
          <t>A 39284-2024</t>
        </is>
      </c>
      <c r="B145" s="1" t="n">
        <v>45551</v>
      </c>
      <c r="C145" s="1" t="n">
        <v>45844</v>
      </c>
      <c r="D145" t="inlineStr">
        <is>
          <t>KALMAR LÄN</t>
        </is>
      </c>
      <c r="E145" t="inlineStr">
        <is>
          <t>VÄSTERVIK</t>
        </is>
      </c>
      <c r="G145" t="n">
        <v>4.1</v>
      </c>
      <c r="H145" t="n">
        <v>2</v>
      </c>
      <c r="I145" t="n">
        <v>1</v>
      </c>
      <c r="J145" t="n">
        <v>1</v>
      </c>
      <c r="K145" t="n">
        <v>0</v>
      </c>
      <c r="L145" t="n">
        <v>0</v>
      </c>
      <c r="M145" t="n">
        <v>0</v>
      </c>
      <c r="N145" t="n">
        <v>0</v>
      </c>
      <c r="O145" t="n">
        <v>1</v>
      </c>
      <c r="P145" t="n">
        <v>0</v>
      </c>
      <c r="Q145" t="n">
        <v>3</v>
      </c>
      <c r="R145" s="2" t="inlineStr">
        <is>
          <t>Talltita
Blåmossa
Mattlummer</t>
        </is>
      </c>
      <c r="S145">
        <f>HYPERLINK("https://klasma.github.io/Logging_0883/artfynd/A 39284-2024 artfynd.xlsx", "A 39284-2024")</f>
        <v/>
      </c>
      <c r="T145">
        <f>HYPERLINK("https://klasma.github.io/Logging_0883/kartor/A 39284-2024 karta.png", "A 39284-2024")</f>
        <v/>
      </c>
      <c r="V145">
        <f>HYPERLINK("https://klasma.github.io/Logging_0883/klagomål/A 39284-2024 FSC-klagomål.docx", "A 39284-2024")</f>
        <v/>
      </c>
      <c r="W145">
        <f>HYPERLINK("https://klasma.github.io/Logging_0883/klagomålsmail/A 39284-2024 FSC-klagomål mail.docx", "A 39284-2024")</f>
        <v/>
      </c>
      <c r="X145">
        <f>HYPERLINK("https://klasma.github.io/Logging_0883/tillsyn/A 39284-2024 tillsynsbegäran.docx", "A 39284-2024")</f>
        <v/>
      </c>
      <c r="Y145">
        <f>HYPERLINK("https://klasma.github.io/Logging_0883/tillsynsmail/A 39284-2024 tillsynsbegäran mail.docx", "A 39284-2024")</f>
        <v/>
      </c>
      <c r="Z145">
        <f>HYPERLINK("https://klasma.github.io/Logging_0883/fåglar/A 39284-2024 prioriterade fågelarter.docx", "A 39284-2024")</f>
        <v/>
      </c>
    </row>
    <row r="146" ht="15" customHeight="1">
      <c r="A146" t="inlineStr">
        <is>
          <t>A 39296-2024</t>
        </is>
      </c>
      <c r="B146" s="1" t="n">
        <v>45551</v>
      </c>
      <c r="C146" s="1" t="n">
        <v>45844</v>
      </c>
      <c r="D146" t="inlineStr">
        <is>
          <t>KALMAR LÄN</t>
        </is>
      </c>
      <c r="E146" t="inlineStr">
        <is>
          <t>VÄSTERVIK</t>
        </is>
      </c>
      <c r="G146" t="n">
        <v>0.8</v>
      </c>
      <c r="H146" t="n">
        <v>2</v>
      </c>
      <c r="I146" t="n">
        <v>1</v>
      </c>
      <c r="J146" t="n">
        <v>2</v>
      </c>
      <c r="K146" t="n">
        <v>0</v>
      </c>
      <c r="L146" t="n">
        <v>0</v>
      </c>
      <c r="M146" t="n">
        <v>0</v>
      </c>
      <c r="N146" t="n">
        <v>0</v>
      </c>
      <c r="O146" t="n">
        <v>2</v>
      </c>
      <c r="P146" t="n">
        <v>0</v>
      </c>
      <c r="Q146" t="n">
        <v>3</v>
      </c>
      <c r="R146" s="2" t="inlineStr">
        <is>
          <t>Järpe
Spillkråka
Grönpyrola</t>
        </is>
      </c>
      <c r="S146">
        <f>HYPERLINK("https://klasma.github.io/Logging_0883/artfynd/A 39296-2024 artfynd.xlsx", "A 39296-2024")</f>
        <v/>
      </c>
      <c r="T146">
        <f>HYPERLINK("https://klasma.github.io/Logging_0883/kartor/A 39296-2024 karta.png", "A 39296-2024")</f>
        <v/>
      </c>
      <c r="U146">
        <f>HYPERLINK("https://klasma.github.io/Logging_0883/knärot/A 39296-2024 karta knärot.png", "A 39296-2024")</f>
        <v/>
      </c>
      <c r="V146">
        <f>HYPERLINK("https://klasma.github.io/Logging_0883/klagomål/A 39296-2024 FSC-klagomål.docx", "A 39296-2024")</f>
        <v/>
      </c>
      <c r="W146">
        <f>HYPERLINK("https://klasma.github.io/Logging_0883/klagomålsmail/A 39296-2024 FSC-klagomål mail.docx", "A 39296-2024")</f>
        <v/>
      </c>
      <c r="X146">
        <f>HYPERLINK("https://klasma.github.io/Logging_0883/tillsyn/A 39296-2024 tillsynsbegäran.docx", "A 39296-2024")</f>
        <v/>
      </c>
      <c r="Y146">
        <f>HYPERLINK("https://klasma.github.io/Logging_0883/tillsynsmail/A 39296-2024 tillsynsbegäran mail.docx", "A 39296-2024")</f>
        <v/>
      </c>
      <c r="Z146">
        <f>HYPERLINK("https://klasma.github.io/Logging_0883/fåglar/A 39296-2024 prioriterade fågelarter.docx", "A 39296-2024")</f>
        <v/>
      </c>
    </row>
    <row r="147" ht="15" customHeight="1">
      <c r="A147" t="inlineStr">
        <is>
          <t>A 45639-2024</t>
        </is>
      </c>
      <c r="B147" s="1" t="n">
        <v>45579</v>
      </c>
      <c r="C147" s="1" t="n">
        <v>45844</v>
      </c>
      <c r="D147" t="inlineStr">
        <is>
          <t>KALMAR LÄN</t>
        </is>
      </c>
      <c r="E147" t="inlineStr">
        <is>
          <t>VÄSTERVIK</t>
        </is>
      </c>
      <c r="F147" t="inlineStr">
        <is>
          <t>Kyrkan</t>
        </is>
      </c>
      <c r="G147" t="n">
        <v>6.4</v>
      </c>
      <c r="H147" t="n">
        <v>2</v>
      </c>
      <c r="I147" t="n">
        <v>1</v>
      </c>
      <c r="J147" t="n">
        <v>2</v>
      </c>
      <c r="K147" t="n">
        <v>0</v>
      </c>
      <c r="L147" t="n">
        <v>0</v>
      </c>
      <c r="M147" t="n">
        <v>0</v>
      </c>
      <c r="N147" t="n">
        <v>0</v>
      </c>
      <c r="O147" t="n">
        <v>2</v>
      </c>
      <c r="P147" t="n">
        <v>0</v>
      </c>
      <c r="Q147" t="n">
        <v>3</v>
      </c>
      <c r="R147" s="2" t="inlineStr">
        <is>
          <t>Spillkråka
Talltita
Grovticka</t>
        </is>
      </c>
      <c r="S147">
        <f>HYPERLINK("https://klasma.github.io/Logging_0883/artfynd/A 45639-2024 artfynd.xlsx", "A 45639-2024")</f>
        <v/>
      </c>
      <c r="T147">
        <f>HYPERLINK("https://klasma.github.io/Logging_0883/kartor/A 45639-2024 karta.png", "A 45639-2024")</f>
        <v/>
      </c>
      <c r="V147">
        <f>HYPERLINK("https://klasma.github.io/Logging_0883/klagomål/A 45639-2024 FSC-klagomål.docx", "A 45639-2024")</f>
        <v/>
      </c>
      <c r="W147">
        <f>HYPERLINK("https://klasma.github.io/Logging_0883/klagomålsmail/A 45639-2024 FSC-klagomål mail.docx", "A 45639-2024")</f>
        <v/>
      </c>
      <c r="X147">
        <f>HYPERLINK("https://klasma.github.io/Logging_0883/tillsyn/A 45639-2024 tillsynsbegäran.docx", "A 45639-2024")</f>
        <v/>
      </c>
      <c r="Y147">
        <f>HYPERLINK("https://klasma.github.io/Logging_0883/tillsynsmail/A 45639-2024 tillsynsbegäran mail.docx", "A 45639-2024")</f>
        <v/>
      </c>
      <c r="Z147">
        <f>HYPERLINK("https://klasma.github.io/Logging_0883/fåglar/A 45639-2024 prioriterade fågelarter.docx", "A 45639-2024")</f>
        <v/>
      </c>
    </row>
    <row r="148" ht="15" customHeight="1">
      <c r="A148" t="inlineStr">
        <is>
          <t>A 48318-2024</t>
        </is>
      </c>
      <c r="B148" s="1" t="n">
        <v>45590</v>
      </c>
      <c r="C148" s="1" t="n">
        <v>45844</v>
      </c>
      <c r="D148" t="inlineStr">
        <is>
          <t>KALMAR LÄN</t>
        </is>
      </c>
      <c r="E148" t="inlineStr">
        <is>
          <t>VÄSTERVIK</t>
        </is>
      </c>
      <c r="F148" t="inlineStr">
        <is>
          <t>Holmen skog AB</t>
        </is>
      </c>
      <c r="G148" t="n">
        <v>4</v>
      </c>
      <c r="H148" t="n">
        <v>3</v>
      </c>
      <c r="I148" t="n">
        <v>0</v>
      </c>
      <c r="J148" t="n">
        <v>3</v>
      </c>
      <c r="K148" t="n">
        <v>0</v>
      </c>
      <c r="L148" t="n">
        <v>0</v>
      </c>
      <c r="M148" t="n">
        <v>0</v>
      </c>
      <c r="N148" t="n">
        <v>0</v>
      </c>
      <c r="O148" t="n">
        <v>3</v>
      </c>
      <c r="P148" t="n">
        <v>0</v>
      </c>
      <c r="Q148" t="n">
        <v>3</v>
      </c>
      <c r="R148" s="2" t="inlineStr">
        <is>
          <t>Entita
Spillkråka
Talltita</t>
        </is>
      </c>
      <c r="S148">
        <f>HYPERLINK("https://klasma.github.io/Logging_0883/artfynd/A 48318-2024 artfynd.xlsx", "A 48318-2024")</f>
        <v/>
      </c>
      <c r="T148">
        <f>HYPERLINK("https://klasma.github.io/Logging_0883/kartor/A 48318-2024 karta.png", "A 48318-2024")</f>
        <v/>
      </c>
      <c r="U148">
        <f>HYPERLINK("https://klasma.github.io/Logging_0883/knärot/A 48318-2024 karta knärot.png", "A 48318-2024")</f>
        <v/>
      </c>
      <c r="V148">
        <f>HYPERLINK("https://klasma.github.io/Logging_0883/klagomål/A 48318-2024 FSC-klagomål.docx", "A 48318-2024")</f>
        <v/>
      </c>
      <c r="W148">
        <f>HYPERLINK("https://klasma.github.io/Logging_0883/klagomålsmail/A 48318-2024 FSC-klagomål mail.docx", "A 48318-2024")</f>
        <v/>
      </c>
      <c r="X148">
        <f>HYPERLINK("https://klasma.github.io/Logging_0883/tillsyn/A 48318-2024 tillsynsbegäran.docx", "A 48318-2024")</f>
        <v/>
      </c>
      <c r="Y148">
        <f>HYPERLINK("https://klasma.github.io/Logging_0883/tillsynsmail/A 48318-2024 tillsynsbegäran mail.docx", "A 48318-2024")</f>
        <v/>
      </c>
      <c r="Z148">
        <f>HYPERLINK("https://klasma.github.io/Logging_0883/fåglar/A 48318-2024 prioriterade fågelarter.docx", "A 48318-2024")</f>
        <v/>
      </c>
    </row>
    <row r="149" ht="15" customHeight="1">
      <c r="A149" t="inlineStr">
        <is>
          <t>A 51590-2024</t>
        </is>
      </c>
      <c r="B149" s="1" t="n">
        <v>45604</v>
      </c>
      <c r="C149" s="1" t="n">
        <v>45844</v>
      </c>
      <c r="D149" t="inlineStr">
        <is>
          <t>KALMAR LÄN</t>
        </is>
      </c>
      <c r="E149" t="inlineStr">
        <is>
          <t>VÄSTERVIK</t>
        </is>
      </c>
      <c r="F149" t="inlineStr">
        <is>
          <t>Övriga Aktiebolag</t>
        </is>
      </c>
      <c r="G149" t="n">
        <v>2.3</v>
      </c>
      <c r="H149" t="n">
        <v>3</v>
      </c>
      <c r="I149" t="n">
        <v>0</v>
      </c>
      <c r="J149" t="n">
        <v>2</v>
      </c>
      <c r="K149" t="n">
        <v>1</v>
      </c>
      <c r="L149" t="n">
        <v>0</v>
      </c>
      <c r="M149" t="n">
        <v>0</v>
      </c>
      <c r="N149" t="n">
        <v>0</v>
      </c>
      <c r="O149" t="n">
        <v>3</v>
      </c>
      <c r="P149" t="n">
        <v>1</v>
      </c>
      <c r="Q149" t="n">
        <v>3</v>
      </c>
      <c r="R149" s="2" t="inlineStr">
        <is>
          <t>Knärot
Spillkråka
Talltita</t>
        </is>
      </c>
      <c r="S149">
        <f>HYPERLINK("https://klasma.github.io/Logging_0883/artfynd/A 51590-2024 artfynd.xlsx", "A 51590-2024")</f>
        <v/>
      </c>
      <c r="T149">
        <f>HYPERLINK("https://klasma.github.io/Logging_0883/kartor/A 51590-2024 karta.png", "A 51590-2024")</f>
        <v/>
      </c>
      <c r="U149">
        <f>HYPERLINK("https://klasma.github.io/Logging_0883/knärot/A 51590-2024 karta knärot.png", "A 51590-2024")</f>
        <v/>
      </c>
      <c r="V149">
        <f>HYPERLINK("https://klasma.github.io/Logging_0883/klagomål/A 51590-2024 FSC-klagomål.docx", "A 51590-2024")</f>
        <v/>
      </c>
      <c r="W149">
        <f>HYPERLINK("https://klasma.github.io/Logging_0883/klagomålsmail/A 51590-2024 FSC-klagomål mail.docx", "A 51590-2024")</f>
        <v/>
      </c>
      <c r="X149">
        <f>HYPERLINK("https://klasma.github.io/Logging_0883/tillsyn/A 51590-2024 tillsynsbegäran.docx", "A 51590-2024")</f>
        <v/>
      </c>
      <c r="Y149">
        <f>HYPERLINK("https://klasma.github.io/Logging_0883/tillsynsmail/A 51590-2024 tillsynsbegäran mail.docx", "A 51590-2024")</f>
        <v/>
      </c>
      <c r="Z149">
        <f>HYPERLINK("https://klasma.github.io/Logging_0883/fåglar/A 51590-2024 prioriterade fågelarter.docx", "A 51590-2024")</f>
        <v/>
      </c>
    </row>
    <row r="150" ht="15" customHeight="1">
      <c r="A150" t="inlineStr">
        <is>
          <t>A 52992-2024</t>
        </is>
      </c>
      <c r="B150" s="1" t="n">
        <v>45611</v>
      </c>
      <c r="C150" s="1" t="n">
        <v>45844</v>
      </c>
      <c r="D150" t="inlineStr">
        <is>
          <t>KALMAR LÄN</t>
        </is>
      </c>
      <c r="E150" t="inlineStr">
        <is>
          <t>VÄSTERVIK</t>
        </is>
      </c>
      <c r="F150" t="inlineStr">
        <is>
          <t>Holmen skog AB</t>
        </is>
      </c>
      <c r="G150" t="n">
        <v>5.5</v>
      </c>
      <c r="H150" t="n">
        <v>2</v>
      </c>
      <c r="I150" t="n">
        <v>1</v>
      </c>
      <c r="J150" t="n">
        <v>2</v>
      </c>
      <c r="K150" t="n">
        <v>0</v>
      </c>
      <c r="L150" t="n">
        <v>0</v>
      </c>
      <c r="M150" t="n">
        <v>0</v>
      </c>
      <c r="N150" t="n">
        <v>0</v>
      </c>
      <c r="O150" t="n">
        <v>2</v>
      </c>
      <c r="P150" t="n">
        <v>0</v>
      </c>
      <c r="Q150" t="n">
        <v>3</v>
      </c>
      <c r="R150" s="2" t="inlineStr">
        <is>
          <t>Spillkråka
Talltita
Brandticka</t>
        </is>
      </c>
      <c r="S150">
        <f>HYPERLINK("https://klasma.github.io/Logging_0883/artfynd/A 52992-2024 artfynd.xlsx", "A 52992-2024")</f>
        <v/>
      </c>
      <c r="T150">
        <f>HYPERLINK("https://klasma.github.io/Logging_0883/kartor/A 52992-2024 karta.png", "A 52992-2024")</f>
        <v/>
      </c>
      <c r="V150">
        <f>HYPERLINK("https://klasma.github.io/Logging_0883/klagomål/A 52992-2024 FSC-klagomål.docx", "A 52992-2024")</f>
        <v/>
      </c>
      <c r="W150">
        <f>HYPERLINK("https://klasma.github.io/Logging_0883/klagomålsmail/A 52992-2024 FSC-klagomål mail.docx", "A 52992-2024")</f>
        <v/>
      </c>
      <c r="X150">
        <f>HYPERLINK("https://klasma.github.io/Logging_0883/tillsyn/A 52992-2024 tillsynsbegäran.docx", "A 52992-2024")</f>
        <v/>
      </c>
      <c r="Y150">
        <f>HYPERLINK("https://klasma.github.io/Logging_0883/tillsynsmail/A 52992-2024 tillsynsbegäran mail.docx", "A 52992-2024")</f>
        <v/>
      </c>
      <c r="Z150">
        <f>HYPERLINK("https://klasma.github.io/Logging_0883/fåglar/A 52992-2024 prioriterade fågelarter.docx", "A 52992-2024")</f>
        <v/>
      </c>
    </row>
    <row r="151" ht="15" customHeight="1">
      <c r="A151" t="inlineStr">
        <is>
          <t>A 56032-2024</t>
        </is>
      </c>
      <c r="B151" s="1" t="n">
        <v>45624</v>
      </c>
      <c r="C151" s="1" t="n">
        <v>45844</v>
      </c>
      <c r="D151" t="inlineStr">
        <is>
          <t>KALMAR LÄN</t>
        </is>
      </c>
      <c r="E151" t="inlineStr">
        <is>
          <t>VÄSTERVIK</t>
        </is>
      </c>
      <c r="F151" t="inlineStr">
        <is>
          <t>Kyrkan</t>
        </is>
      </c>
      <c r="G151" t="n">
        <v>5.4</v>
      </c>
      <c r="H151" t="n">
        <v>1</v>
      </c>
      <c r="I151" t="n">
        <v>2</v>
      </c>
      <c r="J151" t="n">
        <v>0</v>
      </c>
      <c r="K151" t="n">
        <v>1</v>
      </c>
      <c r="L151" t="n">
        <v>0</v>
      </c>
      <c r="M151" t="n">
        <v>0</v>
      </c>
      <c r="N151" t="n">
        <v>0</v>
      </c>
      <c r="O151" t="n">
        <v>1</v>
      </c>
      <c r="P151" t="n">
        <v>1</v>
      </c>
      <c r="Q151" t="n">
        <v>3</v>
      </c>
      <c r="R151" s="2" t="inlineStr">
        <is>
          <t>Knärot
Grovticka
Grönpyrola</t>
        </is>
      </c>
      <c r="S151">
        <f>HYPERLINK("https://klasma.github.io/Logging_0883/artfynd/A 56032-2024 artfynd.xlsx", "A 56032-2024")</f>
        <v/>
      </c>
      <c r="T151">
        <f>HYPERLINK("https://klasma.github.io/Logging_0883/kartor/A 56032-2024 karta.png", "A 56032-2024")</f>
        <v/>
      </c>
      <c r="U151">
        <f>HYPERLINK("https://klasma.github.io/Logging_0883/knärot/A 56032-2024 karta knärot.png", "A 56032-2024")</f>
        <v/>
      </c>
      <c r="V151">
        <f>HYPERLINK("https://klasma.github.io/Logging_0883/klagomål/A 56032-2024 FSC-klagomål.docx", "A 56032-2024")</f>
        <v/>
      </c>
      <c r="W151">
        <f>HYPERLINK("https://klasma.github.io/Logging_0883/klagomålsmail/A 56032-2024 FSC-klagomål mail.docx", "A 56032-2024")</f>
        <v/>
      </c>
      <c r="X151">
        <f>HYPERLINK("https://klasma.github.io/Logging_0883/tillsyn/A 56032-2024 tillsynsbegäran.docx", "A 56032-2024")</f>
        <v/>
      </c>
      <c r="Y151">
        <f>HYPERLINK("https://klasma.github.io/Logging_0883/tillsynsmail/A 56032-2024 tillsynsbegäran mail.docx", "A 56032-2024")</f>
        <v/>
      </c>
    </row>
    <row r="152" ht="15" customHeight="1">
      <c r="A152" t="inlineStr">
        <is>
          <t>A 58750-2024</t>
        </is>
      </c>
      <c r="B152" s="1" t="n">
        <v>45635</v>
      </c>
      <c r="C152" s="1" t="n">
        <v>45844</v>
      </c>
      <c r="D152" t="inlineStr">
        <is>
          <t>KALMAR LÄN</t>
        </is>
      </c>
      <c r="E152" t="inlineStr">
        <is>
          <t>VÄSTERVIK</t>
        </is>
      </c>
      <c r="G152" t="n">
        <v>6.7</v>
      </c>
      <c r="H152" t="n">
        <v>1</v>
      </c>
      <c r="I152" t="n">
        <v>1</v>
      </c>
      <c r="J152" t="n">
        <v>1</v>
      </c>
      <c r="K152" t="n">
        <v>1</v>
      </c>
      <c r="L152" t="n">
        <v>0</v>
      </c>
      <c r="M152" t="n">
        <v>0</v>
      </c>
      <c r="N152" t="n">
        <v>0</v>
      </c>
      <c r="O152" t="n">
        <v>2</v>
      </c>
      <c r="P152" t="n">
        <v>1</v>
      </c>
      <c r="Q152" t="n">
        <v>3</v>
      </c>
      <c r="R152" s="2" t="inlineStr">
        <is>
          <t>Knärot
Tallticka
Blåmossa</t>
        </is>
      </c>
      <c r="S152">
        <f>HYPERLINK("https://klasma.github.io/Logging_0883/artfynd/A 58750-2024 artfynd.xlsx", "A 58750-2024")</f>
        <v/>
      </c>
      <c r="T152">
        <f>HYPERLINK("https://klasma.github.io/Logging_0883/kartor/A 58750-2024 karta.png", "A 58750-2024")</f>
        <v/>
      </c>
      <c r="U152">
        <f>HYPERLINK("https://klasma.github.io/Logging_0883/knärot/A 58750-2024 karta knärot.png", "A 58750-2024")</f>
        <v/>
      </c>
      <c r="V152">
        <f>HYPERLINK("https://klasma.github.io/Logging_0883/klagomål/A 58750-2024 FSC-klagomål.docx", "A 58750-2024")</f>
        <v/>
      </c>
      <c r="W152">
        <f>HYPERLINK("https://klasma.github.io/Logging_0883/klagomålsmail/A 58750-2024 FSC-klagomål mail.docx", "A 58750-2024")</f>
        <v/>
      </c>
      <c r="X152">
        <f>HYPERLINK("https://klasma.github.io/Logging_0883/tillsyn/A 58750-2024 tillsynsbegäran.docx", "A 58750-2024")</f>
        <v/>
      </c>
      <c r="Y152">
        <f>HYPERLINK("https://klasma.github.io/Logging_0883/tillsynsmail/A 58750-2024 tillsynsbegäran mail.docx", "A 58750-2024")</f>
        <v/>
      </c>
    </row>
    <row r="153" ht="15" customHeight="1">
      <c r="A153" t="inlineStr">
        <is>
          <t>A 42-2025</t>
        </is>
      </c>
      <c r="B153" s="1" t="n">
        <v>45659</v>
      </c>
      <c r="C153" s="1" t="n">
        <v>45844</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42-2025 artfynd.xlsx", "A 42-2025")</f>
        <v/>
      </c>
      <c r="T153">
        <f>HYPERLINK("https://klasma.github.io/Logging_0883/kartor/A 42-2025 karta.png", "A 42-2025")</f>
        <v/>
      </c>
      <c r="U153">
        <f>HYPERLINK("https://klasma.github.io/Logging_0883/knärot/A 42-2025 karta knärot.png", "A 42-2025")</f>
        <v/>
      </c>
      <c r="V153">
        <f>HYPERLINK("https://klasma.github.io/Logging_0883/klagomål/A 42-2025 FSC-klagomål.docx", "A 42-2025")</f>
        <v/>
      </c>
      <c r="W153">
        <f>HYPERLINK("https://klasma.github.io/Logging_0883/klagomålsmail/A 42-2025 FSC-klagomål mail.docx", "A 42-2025")</f>
        <v/>
      </c>
      <c r="X153">
        <f>HYPERLINK("https://klasma.github.io/Logging_0883/tillsyn/A 42-2025 tillsynsbegäran.docx", "A 42-2025")</f>
        <v/>
      </c>
      <c r="Y153">
        <f>HYPERLINK("https://klasma.github.io/Logging_0883/tillsynsmail/A 42-2025 tillsynsbegäran mail.docx", "A 42-2025")</f>
        <v/>
      </c>
      <c r="Z153">
        <f>HYPERLINK("https://klasma.github.io/Logging_0883/fåglar/A 42-2025 prioriterade fågelarter.docx", "A 42-2025")</f>
        <v/>
      </c>
    </row>
    <row r="154" ht="15" customHeight="1">
      <c r="A154" t="inlineStr">
        <is>
          <t>A 953-2025</t>
        </is>
      </c>
      <c r="B154" s="1" t="n">
        <v>45666</v>
      </c>
      <c r="C154" s="1" t="n">
        <v>45844</v>
      </c>
      <c r="D154" t="inlineStr">
        <is>
          <t>KALMAR LÄN</t>
        </is>
      </c>
      <c r="E154" t="inlineStr">
        <is>
          <t>VÄSTERVIK</t>
        </is>
      </c>
      <c r="G154" t="n">
        <v>2.3</v>
      </c>
      <c r="H154" t="n">
        <v>1</v>
      </c>
      <c r="I154" t="n">
        <v>2</v>
      </c>
      <c r="J154" t="n">
        <v>0</v>
      </c>
      <c r="K154" t="n">
        <v>1</v>
      </c>
      <c r="L154" t="n">
        <v>0</v>
      </c>
      <c r="M154" t="n">
        <v>0</v>
      </c>
      <c r="N154" t="n">
        <v>0</v>
      </c>
      <c r="O154" t="n">
        <v>1</v>
      </c>
      <c r="P154" t="n">
        <v>1</v>
      </c>
      <c r="Q154" t="n">
        <v>3</v>
      </c>
      <c r="R154" s="2" t="inlineStr">
        <is>
          <t>Knärot
Barkticka
Dropptaggsvamp</t>
        </is>
      </c>
      <c r="S154">
        <f>HYPERLINK("https://klasma.github.io/Logging_0883/artfynd/A 953-2025 artfynd.xlsx", "A 953-2025")</f>
        <v/>
      </c>
      <c r="T154">
        <f>HYPERLINK("https://klasma.github.io/Logging_0883/kartor/A 953-2025 karta.png", "A 953-2025")</f>
        <v/>
      </c>
      <c r="U154">
        <f>HYPERLINK("https://klasma.github.io/Logging_0883/knärot/A 953-2025 karta knärot.png", "A 953-2025")</f>
        <v/>
      </c>
      <c r="V154">
        <f>HYPERLINK("https://klasma.github.io/Logging_0883/klagomål/A 953-2025 FSC-klagomål.docx", "A 953-2025")</f>
        <v/>
      </c>
      <c r="W154">
        <f>HYPERLINK("https://klasma.github.io/Logging_0883/klagomålsmail/A 953-2025 FSC-klagomål mail.docx", "A 953-2025")</f>
        <v/>
      </c>
      <c r="X154">
        <f>HYPERLINK("https://klasma.github.io/Logging_0883/tillsyn/A 953-2025 tillsynsbegäran.docx", "A 953-2025")</f>
        <v/>
      </c>
      <c r="Y154">
        <f>HYPERLINK("https://klasma.github.io/Logging_0883/tillsynsmail/A 953-2025 tillsynsbegäran mail.docx", "A 953-2025")</f>
        <v/>
      </c>
    </row>
    <row r="155" ht="15" customHeight="1">
      <c r="A155" t="inlineStr">
        <is>
          <t>A 1763-2025</t>
        </is>
      </c>
      <c r="B155" s="1" t="n">
        <v>45671</v>
      </c>
      <c r="C155" s="1" t="n">
        <v>45844</v>
      </c>
      <c r="D155" t="inlineStr">
        <is>
          <t>KALMAR LÄN</t>
        </is>
      </c>
      <c r="E155" t="inlineStr">
        <is>
          <t>VÄSTERVIK</t>
        </is>
      </c>
      <c r="G155" t="n">
        <v>1.1</v>
      </c>
      <c r="H155" t="n">
        <v>2</v>
      </c>
      <c r="I155" t="n">
        <v>1</v>
      </c>
      <c r="J155" t="n">
        <v>2</v>
      </c>
      <c r="K155" t="n">
        <v>0</v>
      </c>
      <c r="L155" t="n">
        <v>0</v>
      </c>
      <c r="M155" t="n">
        <v>0</v>
      </c>
      <c r="N155" t="n">
        <v>0</v>
      </c>
      <c r="O155" t="n">
        <v>2</v>
      </c>
      <c r="P155" t="n">
        <v>0</v>
      </c>
      <c r="Q155" t="n">
        <v>3</v>
      </c>
      <c r="R155" s="2" t="inlineStr">
        <is>
          <t>Spillkråka
Talltita
Blåmossa</t>
        </is>
      </c>
      <c r="S155">
        <f>HYPERLINK("https://klasma.github.io/Logging_0883/artfynd/A 1763-2025 artfynd.xlsx", "A 1763-2025")</f>
        <v/>
      </c>
      <c r="T155">
        <f>HYPERLINK("https://klasma.github.io/Logging_0883/kartor/A 1763-2025 karta.png", "A 1763-2025")</f>
        <v/>
      </c>
      <c r="V155">
        <f>HYPERLINK("https://klasma.github.io/Logging_0883/klagomål/A 1763-2025 FSC-klagomål.docx", "A 1763-2025")</f>
        <v/>
      </c>
      <c r="W155">
        <f>HYPERLINK("https://klasma.github.io/Logging_0883/klagomålsmail/A 1763-2025 FSC-klagomål mail.docx", "A 1763-2025")</f>
        <v/>
      </c>
      <c r="X155">
        <f>HYPERLINK("https://klasma.github.io/Logging_0883/tillsyn/A 1763-2025 tillsynsbegäran.docx", "A 1763-2025")</f>
        <v/>
      </c>
      <c r="Y155">
        <f>HYPERLINK("https://klasma.github.io/Logging_0883/tillsynsmail/A 1763-2025 tillsynsbegäran mail.docx", "A 1763-2025")</f>
        <v/>
      </c>
      <c r="Z155">
        <f>HYPERLINK("https://klasma.github.io/Logging_0883/fåglar/A 1763-2025 prioriterade fågelarter.docx", "A 1763-2025")</f>
        <v/>
      </c>
    </row>
    <row r="156" ht="15" customHeight="1">
      <c r="A156" t="inlineStr">
        <is>
          <t>A 1764-2025</t>
        </is>
      </c>
      <c r="B156" s="1" t="n">
        <v>45671</v>
      </c>
      <c r="C156" s="1" t="n">
        <v>45844</v>
      </c>
      <c r="D156" t="inlineStr">
        <is>
          <t>KALMAR LÄN</t>
        </is>
      </c>
      <c r="E156" t="inlineStr">
        <is>
          <t>VÄSTERVIK</t>
        </is>
      </c>
      <c r="G156" t="n">
        <v>1.8</v>
      </c>
      <c r="H156" t="n">
        <v>1</v>
      </c>
      <c r="I156" t="n">
        <v>1</v>
      </c>
      <c r="J156" t="n">
        <v>1</v>
      </c>
      <c r="K156" t="n">
        <v>1</v>
      </c>
      <c r="L156" t="n">
        <v>0</v>
      </c>
      <c r="M156" t="n">
        <v>0</v>
      </c>
      <c r="N156" t="n">
        <v>0</v>
      </c>
      <c r="O156" t="n">
        <v>2</v>
      </c>
      <c r="P156" t="n">
        <v>1</v>
      </c>
      <c r="Q156" t="n">
        <v>3</v>
      </c>
      <c r="R156" s="2" t="inlineStr">
        <is>
          <t>Knärot
Ullticka
Grovticka</t>
        </is>
      </c>
      <c r="S156">
        <f>HYPERLINK("https://klasma.github.io/Logging_0883/artfynd/A 1764-2025 artfynd.xlsx", "A 1764-2025")</f>
        <v/>
      </c>
      <c r="T156">
        <f>HYPERLINK("https://klasma.github.io/Logging_0883/kartor/A 1764-2025 karta.png", "A 1764-2025")</f>
        <v/>
      </c>
      <c r="U156">
        <f>HYPERLINK("https://klasma.github.io/Logging_0883/knärot/A 1764-2025 karta knärot.png", "A 1764-2025")</f>
        <v/>
      </c>
      <c r="V156">
        <f>HYPERLINK("https://klasma.github.io/Logging_0883/klagomål/A 1764-2025 FSC-klagomål.docx", "A 1764-2025")</f>
        <v/>
      </c>
      <c r="W156">
        <f>HYPERLINK("https://klasma.github.io/Logging_0883/klagomålsmail/A 1764-2025 FSC-klagomål mail.docx", "A 1764-2025")</f>
        <v/>
      </c>
      <c r="X156">
        <f>HYPERLINK("https://klasma.github.io/Logging_0883/tillsyn/A 1764-2025 tillsynsbegäran.docx", "A 1764-2025")</f>
        <v/>
      </c>
      <c r="Y156">
        <f>HYPERLINK("https://klasma.github.io/Logging_0883/tillsynsmail/A 1764-2025 tillsynsbegäran mail.docx", "A 1764-2025")</f>
        <v/>
      </c>
    </row>
    <row r="157" ht="15" customHeight="1">
      <c r="A157" t="inlineStr">
        <is>
          <t>A 2340-2025</t>
        </is>
      </c>
      <c r="B157" s="1" t="n">
        <v>45673</v>
      </c>
      <c r="C157" s="1" t="n">
        <v>45844</v>
      </c>
      <c r="D157" t="inlineStr">
        <is>
          <t>KALMAR LÄN</t>
        </is>
      </c>
      <c r="E157" t="inlineStr">
        <is>
          <t>VÄSTERVIK</t>
        </is>
      </c>
      <c r="G157" t="n">
        <v>3.5</v>
      </c>
      <c r="H157" t="n">
        <v>3</v>
      </c>
      <c r="I157" t="n">
        <v>0</v>
      </c>
      <c r="J157" t="n">
        <v>2</v>
      </c>
      <c r="K157" t="n">
        <v>0</v>
      </c>
      <c r="L157" t="n">
        <v>0</v>
      </c>
      <c r="M157" t="n">
        <v>0</v>
      </c>
      <c r="N157" t="n">
        <v>0</v>
      </c>
      <c r="O157" t="n">
        <v>2</v>
      </c>
      <c r="P157" t="n">
        <v>0</v>
      </c>
      <c r="Q157" t="n">
        <v>3</v>
      </c>
      <c r="R157" s="2" t="inlineStr">
        <is>
          <t>Spillkråka
Talltita
Kungsfågel</t>
        </is>
      </c>
      <c r="S157">
        <f>HYPERLINK("https://klasma.github.io/Logging_0883/artfynd/A 2340-2025 artfynd.xlsx", "A 2340-2025")</f>
        <v/>
      </c>
      <c r="T157">
        <f>HYPERLINK("https://klasma.github.io/Logging_0883/kartor/A 2340-2025 karta.png", "A 2340-2025")</f>
        <v/>
      </c>
      <c r="U157">
        <f>HYPERLINK("https://klasma.github.io/Logging_0883/knärot/A 2340-2025 karta knärot.png", "A 2340-2025")</f>
        <v/>
      </c>
      <c r="V157">
        <f>HYPERLINK("https://klasma.github.io/Logging_0883/klagomål/A 2340-2025 FSC-klagomål.docx", "A 2340-2025")</f>
        <v/>
      </c>
      <c r="W157">
        <f>HYPERLINK("https://klasma.github.io/Logging_0883/klagomålsmail/A 2340-2025 FSC-klagomål mail.docx", "A 2340-2025")</f>
        <v/>
      </c>
      <c r="X157">
        <f>HYPERLINK("https://klasma.github.io/Logging_0883/tillsyn/A 2340-2025 tillsynsbegäran.docx", "A 2340-2025")</f>
        <v/>
      </c>
      <c r="Y157">
        <f>HYPERLINK("https://klasma.github.io/Logging_0883/tillsynsmail/A 2340-2025 tillsynsbegäran mail.docx", "A 2340-2025")</f>
        <v/>
      </c>
      <c r="Z157">
        <f>HYPERLINK("https://klasma.github.io/Logging_0883/fåglar/A 2340-2025 prioriterade fågelarter.docx", "A 2340-2025")</f>
        <v/>
      </c>
    </row>
    <row r="158" ht="15" customHeight="1">
      <c r="A158" t="inlineStr">
        <is>
          <t>A 4454-2025</t>
        </is>
      </c>
      <c r="B158" s="1" t="n">
        <v>45686</v>
      </c>
      <c r="C158" s="1" t="n">
        <v>45844</v>
      </c>
      <c r="D158" t="inlineStr">
        <is>
          <t>KALMAR LÄN</t>
        </is>
      </c>
      <c r="E158" t="inlineStr">
        <is>
          <t>VÄSTERVIK</t>
        </is>
      </c>
      <c r="G158" t="n">
        <v>1</v>
      </c>
      <c r="H158" t="n">
        <v>2</v>
      </c>
      <c r="I158" t="n">
        <v>1</v>
      </c>
      <c r="J158" t="n">
        <v>0</v>
      </c>
      <c r="K158" t="n">
        <v>1</v>
      </c>
      <c r="L158" t="n">
        <v>0</v>
      </c>
      <c r="M158" t="n">
        <v>0</v>
      </c>
      <c r="N158" t="n">
        <v>0</v>
      </c>
      <c r="O158" t="n">
        <v>1</v>
      </c>
      <c r="P158" t="n">
        <v>1</v>
      </c>
      <c r="Q158" t="n">
        <v>3</v>
      </c>
      <c r="R158" s="2" t="inlineStr">
        <is>
          <t>Knärot
Grönpyrola
Kungsfågel</t>
        </is>
      </c>
      <c r="S158">
        <f>HYPERLINK("https://klasma.github.io/Logging_0883/artfynd/A 4454-2025 artfynd.xlsx", "A 4454-2025")</f>
        <v/>
      </c>
      <c r="T158">
        <f>HYPERLINK("https://klasma.github.io/Logging_0883/kartor/A 4454-2025 karta.png", "A 4454-2025")</f>
        <v/>
      </c>
      <c r="U158">
        <f>HYPERLINK("https://klasma.github.io/Logging_0883/knärot/A 4454-2025 karta knärot.png", "A 4454-2025")</f>
        <v/>
      </c>
      <c r="V158">
        <f>HYPERLINK("https://klasma.github.io/Logging_0883/klagomål/A 4454-2025 FSC-klagomål.docx", "A 4454-2025")</f>
        <v/>
      </c>
      <c r="W158">
        <f>HYPERLINK("https://klasma.github.io/Logging_0883/klagomålsmail/A 4454-2025 FSC-klagomål mail.docx", "A 4454-2025")</f>
        <v/>
      </c>
      <c r="X158">
        <f>HYPERLINK("https://klasma.github.io/Logging_0883/tillsyn/A 4454-2025 tillsynsbegäran.docx", "A 4454-2025")</f>
        <v/>
      </c>
      <c r="Y158">
        <f>HYPERLINK("https://klasma.github.io/Logging_0883/tillsynsmail/A 4454-2025 tillsynsbegäran mail.docx", "A 4454-2025")</f>
        <v/>
      </c>
      <c r="Z158">
        <f>HYPERLINK("https://klasma.github.io/Logging_0883/fåglar/A 4454-2025 prioriterade fågelarter.docx", "A 4454-2025")</f>
        <v/>
      </c>
    </row>
    <row r="159" ht="15" customHeight="1">
      <c r="A159" t="inlineStr">
        <is>
          <t>A 7832-2025</t>
        </is>
      </c>
      <c r="B159" s="1" t="n">
        <v>45706</v>
      </c>
      <c r="C159" s="1" t="n">
        <v>45844</v>
      </c>
      <c r="D159" t="inlineStr">
        <is>
          <t>KALMAR LÄN</t>
        </is>
      </c>
      <c r="E159" t="inlineStr">
        <is>
          <t>VÄSTERVIK</t>
        </is>
      </c>
      <c r="G159" t="n">
        <v>5.5</v>
      </c>
      <c r="H159" t="n">
        <v>3</v>
      </c>
      <c r="I159" t="n">
        <v>0</v>
      </c>
      <c r="J159" t="n">
        <v>1</v>
      </c>
      <c r="K159" t="n">
        <v>1</v>
      </c>
      <c r="L159" t="n">
        <v>0</v>
      </c>
      <c r="M159" t="n">
        <v>0</v>
      </c>
      <c r="N159" t="n">
        <v>0</v>
      </c>
      <c r="O159" t="n">
        <v>2</v>
      </c>
      <c r="P159" t="n">
        <v>1</v>
      </c>
      <c r="Q159" t="n">
        <v>3</v>
      </c>
      <c r="R159" s="2" t="inlineStr">
        <is>
          <t>Knärot
Talltita
Kungsfågel</t>
        </is>
      </c>
      <c r="S159">
        <f>HYPERLINK("https://klasma.github.io/Logging_0883/artfynd/A 7832-2025 artfynd.xlsx", "A 7832-2025")</f>
        <v/>
      </c>
      <c r="T159">
        <f>HYPERLINK("https://klasma.github.io/Logging_0883/kartor/A 7832-2025 karta.png", "A 7832-2025")</f>
        <v/>
      </c>
      <c r="U159">
        <f>HYPERLINK("https://klasma.github.io/Logging_0883/knärot/A 7832-2025 karta knärot.png", "A 7832-2025")</f>
        <v/>
      </c>
      <c r="V159">
        <f>HYPERLINK("https://klasma.github.io/Logging_0883/klagomål/A 7832-2025 FSC-klagomål.docx", "A 7832-2025")</f>
        <v/>
      </c>
      <c r="W159">
        <f>HYPERLINK("https://klasma.github.io/Logging_0883/klagomålsmail/A 7832-2025 FSC-klagomål mail.docx", "A 7832-2025")</f>
        <v/>
      </c>
      <c r="X159">
        <f>HYPERLINK("https://klasma.github.io/Logging_0883/tillsyn/A 7832-2025 tillsynsbegäran.docx", "A 7832-2025")</f>
        <v/>
      </c>
      <c r="Y159">
        <f>HYPERLINK("https://klasma.github.io/Logging_0883/tillsynsmail/A 7832-2025 tillsynsbegäran mail.docx", "A 7832-2025")</f>
        <v/>
      </c>
      <c r="Z159">
        <f>HYPERLINK("https://klasma.github.io/Logging_0883/fåglar/A 7832-2025 prioriterade fågelarter.docx", "A 7832-2025")</f>
        <v/>
      </c>
    </row>
    <row r="160" ht="15" customHeight="1">
      <c r="A160" t="inlineStr">
        <is>
          <t>A 13956-2025</t>
        </is>
      </c>
      <c r="B160" s="1" t="n">
        <v>45737</v>
      </c>
      <c r="C160" s="1" t="n">
        <v>45844</v>
      </c>
      <c r="D160" t="inlineStr">
        <is>
          <t>KALMAR LÄN</t>
        </is>
      </c>
      <c r="E160" t="inlineStr">
        <is>
          <t>VÄSTERVIK</t>
        </is>
      </c>
      <c r="G160" t="n">
        <v>2.5</v>
      </c>
      <c r="H160" t="n">
        <v>2</v>
      </c>
      <c r="I160" t="n">
        <v>1</v>
      </c>
      <c r="J160" t="n">
        <v>1</v>
      </c>
      <c r="K160" t="n">
        <v>1</v>
      </c>
      <c r="L160" t="n">
        <v>0</v>
      </c>
      <c r="M160" t="n">
        <v>0</v>
      </c>
      <c r="N160" t="n">
        <v>0</v>
      </c>
      <c r="O160" t="n">
        <v>2</v>
      </c>
      <c r="P160" t="n">
        <v>1</v>
      </c>
      <c r="Q160" t="n">
        <v>3</v>
      </c>
      <c r="R160" s="2" t="inlineStr">
        <is>
          <t>Knärot
Mindre hackspett
Grönpyrola</t>
        </is>
      </c>
      <c r="S160">
        <f>HYPERLINK("https://klasma.github.io/Logging_080883/artfynd/A 13956-2025 artfynd.xlsx", "A 13956-2025")</f>
        <v/>
      </c>
      <c r="T160">
        <f>HYPERLINK("https://klasma.github.io/Logging_080883/kartor/A 13956-2025 karta.png", "A 13956-2025")</f>
        <v/>
      </c>
      <c r="U160">
        <f>HYPERLINK("https://klasma.github.io/Logging_080883/knärot/A 13956-2025 karta knärot.png", "A 13956-2025")</f>
        <v/>
      </c>
      <c r="V160">
        <f>HYPERLINK("https://klasma.github.io/Logging_080883/klagomål/A 13956-2025 FSC-klagomål.docx", "A 13956-2025")</f>
        <v/>
      </c>
      <c r="W160">
        <f>HYPERLINK("https://klasma.github.io/Logging_080883/klagomålsmail/A 13956-2025 FSC-klagomål mail.docx", "A 13956-2025")</f>
        <v/>
      </c>
      <c r="X160">
        <f>HYPERLINK("https://klasma.github.io/Logging_080883/tillsyn/A 13956-2025 tillsynsbegäran.docx", "A 13956-2025")</f>
        <v/>
      </c>
      <c r="Y160">
        <f>HYPERLINK("https://klasma.github.io/Logging_080883/tillsynsmail/A 13956-2025 tillsynsbegäran mail.docx", "A 13956-2025")</f>
        <v/>
      </c>
      <c r="Z160">
        <f>HYPERLINK("https://klasma.github.io/Logging_080883/fåglar/A 13956-2025 prioriterade fågelarter.docx", "A 13956-2025")</f>
        <v/>
      </c>
    </row>
    <row r="161" ht="15" customHeight="1">
      <c r="A161" t="inlineStr">
        <is>
          <t>A 17954-2025</t>
        </is>
      </c>
      <c r="B161" s="1" t="n">
        <v>45760</v>
      </c>
      <c r="C161" s="1" t="n">
        <v>45844</v>
      </c>
      <c r="D161" t="inlineStr">
        <is>
          <t>KALMAR LÄN</t>
        </is>
      </c>
      <c r="E161" t="inlineStr">
        <is>
          <t>VÄSTERVIK</t>
        </is>
      </c>
      <c r="G161" t="n">
        <v>2.9</v>
      </c>
      <c r="H161" t="n">
        <v>2</v>
      </c>
      <c r="I161" t="n">
        <v>1</v>
      </c>
      <c r="J161" t="n">
        <v>1</v>
      </c>
      <c r="K161" t="n">
        <v>0</v>
      </c>
      <c r="L161" t="n">
        <v>0</v>
      </c>
      <c r="M161" t="n">
        <v>0</v>
      </c>
      <c r="N161" t="n">
        <v>0</v>
      </c>
      <c r="O161" t="n">
        <v>1</v>
      </c>
      <c r="P161" t="n">
        <v>0</v>
      </c>
      <c r="Q161" t="n">
        <v>3</v>
      </c>
      <c r="R161" s="2" t="inlineStr">
        <is>
          <t>Talltita
Blåmossa
Tjäder</t>
        </is>
      </c>
      <c r="S161">
        <f>HYPERLINK("https://klasma.github.io/Logging_080883/artfynd/A 17954-2025 artfynd.xlsx", "A 17954-2025")</f>
        <v/>
      </c>
      <c r="T161">
        <f>HYPERLINK("https://klasma.github.io/Logging_080883/kartor/A 17954-2025 karta.png", "A 17954-2025")</f>
        <v/>
      </c>
      <c r="V161">
        <f>HYPERLINK("https://klasma.github.io/Logging_080883/klagomål/A 17954-2025 FSC-klagomål.docx", "A 17954-2025")</f>
        <v/>
      </c>
      <c r="W161">
        <f>HYPERLINK("https://klasma.github.io/Logging_080883/klagomålsmail/A 17954-2025 FSC-klagomål mail.docx", "A 17954-2025")</f>
        <v/>
      </c>
      <c r="X161">
        <f>HYPERLINK("https://klasma.github.io/Logging_080883/tillsyn/A 17954-2025 tillsynsbegäran.docx", "A 17954-2025")</f>
        <v/>
      </c>
      <c r="Y161">
        <f>HYPERLINK("https://klasma.github.io/Logging_080883/tillsynsmail/A 17954-2025 tillsynsbegäran mail.docx", "A 17954-2025")</f>
        <v/>
      </c>
      <c r="Z161">
        <f>HYPERLINK("https://klasma.github.io/Logging_080883/fåglar/A 17954-2025 prioriterade fågelarter.docx", "A 17954-2025")</f>
        <v/>
      </c>
    </row>
    <row r="162" ht="15" customHeight="1">
      <c r="A162" t="inlineStr">
        <is>
          <t>A 21084-2025</t>
        </is>
      </c>
      <c r="B162" s="1" t="n">
        <v>45777</v>
      </c>
      <c r="C162" s="1" t="n">
        <v>45844</v>
      </c>
      <c r="D162" t="inlineStr">
        <is>
          <t>KALMAR LÄN</t>
        </is>
      </c>
      <c r="E162" t="inlineStr">
        <is>
          <t>VÄSTERVIK</t>
        </is>
      </c>
      <c r="G162" t="n">
        <v>0.8</v>
      </c>
      <c r="H162" t="n">
        <v>2</v>
      </c>
      <c r="I162" t="n">
        <v>1</v>
      </c>
      <c r="J162" t="n">
        <v>2</v>
      </c>
      <c r="K162" t="n">
        <v>0</v>
      </c>
      <c r="L162" t="n">
        <v>0</v>
      </c>
      <c r="M162" t="n">
        <v>0</v>
      </c>
      <c r="N162" t="n">
        <v>0</v>
      </c>
      <c r="O162" t="n">
        <v>2</v>
      </c>
      <c r="P162" t="n">
        <v>0</v>
      </c>
      <c r="Q162" t="n">
        <v>3</v>
      </c>
      <c r="R162" s="2" t="inlineStr">
        <is>
          <t>Spillkråka
Talltita
Grönpyrola</t>
        </is>
      </c>
      <c r="S162">
        <f>HYPERLINK("https://klasma.github.io/Logging_080883/artfynd/A 21084-2025 artfynd.xlsx", "A 21084-2025")</f>
        <v/>
      </c>
      <c r="T162">
        <f>HYPERLINK("https://klasma.github.io/Logging_080883/kartor/A 21084-2025 karta.png", "A 21084-2025")</f>
        <v/>
      </c>
      <c r="V162">
        <f>HYPERLINK("https://klasma.github.io/Logging_080883/klagomål/A 21084-2025 FSC-klagomål.docx", "A 21084-2025")</f>
        <v/>
      </c>
      <c r="W162">
        <f>HYPERLINK("https://klasma.github.io/Logging_080883/klagomålsmail/A 21084-2025 FSC-klagomål mail.docx", "A 21084-2025")</f>
        <v/>
      </c>
      <c r="X162">
        <f>HYPERLINK("https://klasma.github.io/Logging_080883/tillsyn/A 21084-2025 tillsynsbegäran.docx", "A 21084-2025")</f>
        <v/>
      </c>
      <c r="Y162">
        <f>HYPERLINK("https://klasma.github.io/Logging_080883/tillsynsmail/A 21084-2025 tillsynsbegäran mail.docx", "A 21084-2025")</f>
        <v/>
      </c>
      <c r="Z162">
        <f>HYPERLINK("https://klasma.github.io/Logging_080883/fåglar/A 21084-2025 prioriterade fågelarter.docx", "A 21084-2025")</f>
        <v/>
      </c>
    </row>
    <row r="163" ht="15" customHeight="1">
      <c r="A163" t="inlineStr">
        <is>
          <t>A 62128-2019</t>
        </is>
      </c>
      <c r="B163" s="1" t="n">
        <v>43782</v>
      </c>
      <c r="C163" s="1" t="n">
        <v>45844</v>
      </c>
      <c r="D163" t="inlineStr">
        <is>
          <t>KALMAR LÄN</t>
        </is>
      </c>
      <c r="E163" t="inlineStr">
        <is>
          <t>VÄSTERVIK</t>
        </is>
      </c>
      <c r="G163" t="n">
        <v>7.5</v>
      </c>
      <c r="H163" t="n">
        <v>0</v>
      </c>
      <c r="I163" t="n">
        <v>1</v>
      </c>
      <c r="J163" t="n">
        <v>1</v>
      </c>
      <c r="K163" t="n">
        <v>0</v>
      </c>
      <c r="L163" t="n">
        <v>0</v>
      </c>
      <c r="M163" t="n">
        <v>0</v>
      </c>
      <c r="N163" t="n">
        <v>0</v>
      </c>
      <c r="O163" t="n">
        <v>1</v>
      </c>
      <c r="P163" t="n">
        <v>0</v>
      </c>
      <c r="Q163" t="n">
        <v>2</v>
      </c>
      <c r="R163" s="2" t="inlineStr">
        <is>
          <t>Ullticka
Kattfotslav</t>
        </is>
      </c>
      <c r="S163">
        <f>HYPERLINK("https://klasma.github.io/Logging_0883/artfynd/A 62128-2019 artfynd.xlsx", "A 62128-2019")</f>
        <v/>
      </c>
      <c r="T163">
        <f>HYPERLINK("https://klasma.github.io/Logging_0883/kartor/A 62128-2019 karta.png", "A 62128-2019")</f>
        <v/>
      </c>
      <c r="V163">
        <f>HYPERLINK("https://klasma.github.io/Logging_0883/klagomål/A 62128-2019 FSC-klagomål.docx", "A 62128-2019")</f>
        <v/>
      </c>
      <c r="W163">
        <f>HYPERLINK("https://klasma.github.io/Logging_0883/klagomålsmail/A 62128-2019 FSC-klagomål mail.docx", "A 62128-2019")</f>
        <v/>
      </c>
      <c r="X163">
        <f>HYPERLINK("https://klasma.github.io/Logging_0883/tillsyn/A 62128-2019 tillsynsbegäran.docx", "A 62128-2019")</f>
        <v/>
      </c>
      <c r="Y163">
        <f>HYPERLINK("https://klasma.github.io/Logging_0883/tillsynsmail/A 62128-2019 tillsynsbegäran mail.docx", "A 62128-2019")</f>
        <v/>
      </c>
    </row>
    <row r="164" ht="15" customHeight="1">
      <c r="A164" t="inlineStr">
        <is>
          <t>A 56180-2020</t>
        </is>
      </c>
      <c r="B164" s="1" t="n">
        <v>44133</v>
      </c>
      <c r="C164" s="1" t="n">
        <v>45844</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1955-2021</t>
        </is>
      </c>
      <c r="B165" s="1" t="n">
        <v>44210</v>
      </c>
      <c r="C165" s="1" t="n">
        <v>45844</v>
      </c>
      <c r="D165" t="inlineStr">
        <is>
          <t>KALMAR LÄN</t>
        </is>
      </c>
      <c r="E165" t="inlineStr">
        <is>
          <t>VÄSTERVIK</t>
        </is>
      </c>
      <c r="G165" t="n">
        <v>5.3</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1955-2021 artfynd.xlsx", "A 1955-2021")</f>
        <v/>
      </c>
      <c r="T165">
        <f>HYPERLINK("https://klasma.github.io/Logging_0883/kartor/A 1955-2021 karta.png", "A 1955-2021")</f>
        <v/>
      </c>
      <c r="V165">
        <f>HYPERLINK("https://klasma.github.io/Logging_0883/klagomål/A 1955-2021 FSC-klagomål.docx", "A 1955-2021")</f>
        <v/>
      </c>
      <c r="W165">
        <f>HYPERLINK("https://klasma.github.io/Logging_0883/klagomålsmail/A 1955-2021 FSC-klagomål mail.docx", "A 1955-2021")</f>
        <v/>
      </c>
      <c r="X165">
        <f>HYPERLINK("https://klasma.github.io/Logging_0883/tillsyn/A 1955-2021 tillsynsbegäran.docx", "A 1955-2021")</f>
        <v/>
      </c>
      <c r="Y165">
        <f>HYPERLINK("https://klasma.github.io/Logging_0883/tillsynsmail/A 1955-2021 tillsynsbegäran mail.docx", "A 1955-2021")</f>
        <v/>
      </c>
      <c r="Z165">
        <f>HYPERLINK("https://klasma.github.io/Logging_0883/fåglar/A 1955-2021 prioriterade fågelarter.docx", "A 1955-2021")</f>
        <v/>
      </c>
    </row>
    <row r="166" ht="15" customHeight="1">
      <c r="A166" t="inlineStr">
        <is>
          <t>A 21665-2021</t>
        </is>
      </c>
      <c r="B166" s="1" t="n">
        <v>44322</v>
      </c>
      <c r="C166" s="1" t="n">
        <v>45844</v>
      </c>
      <c r="D166" t="inlineStr">
        <is>
          <t>KALMAR LÄN</t>
        </is>
      </c>
      <c r="E166" t="inlineStr">
        <is>
          <t>VÄSTERVIK</t>
        </is>
      </c>
      <c r="G166" t="n">
        <v>18.9</v>
      </c>
      <c r="H166" t="n">
        <v>0</v>
      </c>
      <c r="I166" t="n">
        <v>0</v>
      </c>
      <c r="J166" t="n">
        <v>2</v>
      </c>
      <c r="K166" t="n">
        <v>0</v>
      </c>
      <c r="L166" t="n">
        <v>0</v>
      </c>
      <c r="M166" t="n">
        <v>0</v>
      </c>
      <c r="N166" t="n">
        <v>0</v>
      </c>
      <c r="O166" t="n">
        <v>2</v>
      </c>
      <c r="P166" t="n">
        <v>0</v>
      </c>
      <c r="Q166" t="n">
        <v>2</v>
      </c>
      <c r="R166" s="2" t="inlineStr">
        <is>
          <t>Klubbsprötad bastardsvärmare
Smalsprötad bastardsvärmare</t>
        </is>
      </c>
      <c r="S166">
        <f>HYPERLINK("https://klasma.github.io/Logging_0883/artfynd/A 21665-2021 artfynd.xlsx", "A 21665-2021")</f>
        <v/>
      </c>
      <c r="T166">
        <f>HYPERLINK("https://klasma.github.io/Logging_0883/kartor/A 21665-2021 karta.png", "A 21665-2021")</f>
        <v/>
      </c>
      <c r="V166">
        <f>HYPERLINK("https://klasma.github.io/Logging_0883/klagomål/A 21665-2021 FSC-klagomål.docx", "A 21665-2021")</f>
        <v/>
      </c>
      <c r="W166">
        <f>HYPERLINK("https://klasma.github.io/Logging_0883/klagomålsmail/A 21665-2021 FSC-klagomål mail.docx", "A 21665-2021")</f>
        <v/>
      </c>
      <c r="X166">
        <f>HYPERLINK("https://klasma.github.io/Logging_0883/tillsyn/A 21665-2021 tillsynsbegäran.docx", "A 21665-2021")</f>
        <v/>
      </c>
      <c r="Y166">
        <f>HYPERLINK("https://klasma.github.io/Logging_0883/tillsynsmail/A 21665-2021 tillsynsbegäran mail.docx", "A 21665-2021")</f>
        <v/>
      </c>
    </row>
    <row r="167" ht="15" customHeight="1">
      <c r="A167" t="inlineStr">
        <is>
          <t>A 25439-2021</t>
        </is>
      </c>
      <c r="B167" s="1" t="n">
        <v>44342</v>
      </c>
      <c r="C167" s="1" t="n">
        <v>45844</v>
      </c>
      <c r="D167" t="inlineStr">
        <is>
          <t>KALMAR LÄN</t>
        </is>
      </c>
      <c r="E167" t="inlineStr">
        <is>
          <t>VÄSTERVIK</t>
        </is>
      </c>
      <c r="F167" t="inlineStr">
        <is>
          <t>Holmen skog AB</t>
        </is>
      </c>
      <c r="G167" t="n">
        <v>2.4</v>
      </c>
      <c r="H167" t="n">
        <v>2</v>
      </c>
      <c r="I167" t="n">
        <v>1</v>
      </c>
      <c r="J167" t="n">
        <v>0</v>
      </c>
      <c r="K167" t="n">
        <v>0</v>
      </c>
      <c r="L167" t="n">
        <v>0</v>
      </c>
      <c r="M167" t="n">
        <v>0</v>
      </c>
      <c r="N167" t="n">
        <v>0</v>
      </c>
      <c r="O167" t="n">
        <v>0</v>
      </c>
      <c r="P167" t="n">
        <v>0</v>
      </c>
      <c r="Q167" t="n">
        <v>2</v>
      </c>
      <c r="R167" s="2" t="inlineStr">
        <is>
          <t>Grön sköldmossa
Röd glada</t>
        </is>
      </c>
      <c r="S167">
        <f>HYPERLINK("https://klasma.github.io/Logging_0883/artfynd/A 25439-2021 artfynd.xlsx", "A 25439-2021")</f>
        <v/>
      </c>
      <c r="T167">
        <f>HYPERLINK("https://klasma.github.io/Logging_0883/kartor/A 25439-2021 karta.png", "A 25439-2021")</f>
        <v/>
      </c>
      <c r="V167">
        <f>HYPERLINK("https://klasma.github.io/Logging_0883/klagomål/A 25439-2021 FSC-klagomål.docx", "A 25439-2021")</f>
        <v/>
      </c>
      <c r="W167">
        <f>HYPERLINK("https://klasma.github.io/Logging_0883/klagomålsmail/A 25439-2021 FSC-klagomål mail.docx", "A 25439-2021")</f>
        <v/>
      </c>
      <c r="X167">
        <f>HYPERLINK("https://klasma.github.io/Logging_0883/tillsyn/A 25439-2021 tillsynsbegäran.docx", "A 25439-2021")</f>
        <v/>
      </c>
      <c r="Y167">
        <f>HYPERLINK("https://klasma.github.io/Logging_0883/tillsynsmail/A 25439-2021 tillsynsbegäran mail.docx", "A 25439-2021")</f>
        <v/>
      </c>
      <c r="Z167">
        <f>HYPERLINK("https://klasma.github.io/Logging_0883/fåglar/A 25439-2021 prioriterade fågelarter.docx", "A 25439-2021")</f>
        <v/>
      </c>
    </row>
    <row r="168" ht="15" customHeight="1">
      <c r="A168" t="inlineStr">
        <is>
          <t>A 44667-2021</t>
        </is>
      </c>
      <c r="B168" s="1" t="n">
        <v>44438</v>
      </c>
      <c r="C168" s="1" t="n">
        <v>45844</v>
      </c>
      <c r="D168" t="inlineStr">
        <is>
          <t>KALMAR LÄN</t>
        </is>
      </c>
      <c r="E168" t="inlineStr">
        <is>
          <t>VÄSTERVIK</t>
        </is>
      </c>
      <c r="G168" t="n">
        <v>1.7</v>
      </c>
      <c r="H168" t="n">
        <v>1</v>
      </c>
      <c r="I168" t="n">
        <v>1</v>
      </c>
      <c r="J168" t="n">
        <v>1</v>
      </c>
      <c r="K168" t="n">
        <v>0</v>
      </c>
      <c r="L168" t="n">
        <v>0</v>
      </c>
      <c r="M168" t="n">
        <v>0</v>
      </c>
      <c r="N168" t="n">
        <v>0</v>
      </c>
      <c r="O168" t="n">
        <v>1</v>
      </c>
      <c r="P168" t="n">
        <v>0</v>
      </c>
      <c r="Q168" t="n">
        <v>2</v>
      </c>
      <c r="R168" s="2" t="inlineStr">
        <is>
          <t>Järpe
Fjällig taggsvamp s.str.</t>
        </is>
      </c>
      <c r="S168">
        <f>HYPERLINK("https://klasma.github.io/Logging_0883/artfynd/A 44667-2021 artfynd.xlsx", "A 44667-2021")</f>
        <v/>
      </c>
      <c r="T168">
        <f>HYPERLINK("https://klasma.github.io/Logging_0883/kartor/A 44667-2021 karta.png", "A 44667-2021")</f>
        <v/>
      </c>
      <c r="V168">
        <f>HYPERLINK("https://klasma.github.io/Logging_0883/klagomål/A 44667-2021 FSC-klagomål.docx", "A 44667-2021")</f>
        <v/>
      </c>
      <c r="W168">
        <f>HYPERLINK("https://klasma.github.io/Logging_0883/klagomålsmail/A 44667-2021 FSC-klagomål mail.docx", "A 44667-2021")</f>
        <v/>
      </c>
      <c r="X168">
        <f>HYPERLINK("https://klasma.github.io/Logging_0883/tillsyn/A 44667-2021 tillsynsbegäran.docx", "A 44667-2021")</f>
        <v/>
      </c>
      <c r="Y168">
        <f>HYPERLINK("https://klasma.github.io/Logging_0883/tillsynsmail/A 44667-2021 tillsynsbegäran mail.docx", "A 44667-2021")</f>
        <v/>
      </c>
      <c r="Z168">
        <f>HYPERLINK("https://klasma.github.io/Logging_0883/fåglar/A 44667-2021 prioriterade fågelarter.docx", "A 44667-2021")</f>
        <v/>
      </c>
    </row>
    <row r="169" ht="15" customHeight="1">
      <c r="A169" t="inlineStr">
        <is>
          <t>A 51833-2021</t>
        </is>
      </c>
      <c r="B169" s="1" t="n">
        <v>44462</v>
      </c>
      <c r="C169" s="1" t="n">
        <v>45844</v>
      </c>
      <c r="D169" t="inlineStr">
        <is>
          <t>KALMAR LÄN</t>
        </is>
      </c>
      <c r="E169" t="inlineStr">
        <is>
          <t>VÄSTERVIK</t>
        </is>
      </c>
      <c r="G169" t="n">
        <v>4</v>
      </c>
      <c r="H169" t="n">
        <v>1</v>
      </c>
      <c r="I169" t="n">
        <v>0</v>
      </c>
      <c r="J169" t="n">
        <v>1</v>
      </c>
      <c r="K169" t="n">
        <v>0</v>
      </c>
      <c r="L169" t="n">
        <v>0</v>
      </c>
      <c r="M169" t="n">
        <v>0</v>
      </c>
      <c r="N169" t="n">
        <v>0</v>
      </c>
      <c r="O169" t="n">
        <v>1</v>
      </c>
      <c r="P169" t="n">
        <v>0</v>
      </c>
      <c r="Q169" t="n">
        <v>2</v>
      </c>
      <c r="R169" s="2" t="inlineStr">
        <is>
          <t>Motaggsvamp
Fläcknycklar</t>
        </is>
      </c>
      <c r="S169">
        <f>HYPERLINK("https://klasma.github.io/Logging_0883/artfynd/A 51833-2021 artfynd.xlsx", "A 51833-2021")</f>
        <v/>
      </c>
      <c r="T169">
        <f>HYPERLINK("https://klasma.github.io/Logging_0883/kartor/A 51833-2021 karta.png", "A 51833-2021")</f>
        <v/>
      </c>
      <c r="V169">
        <f>HYPERLINK("https://klasma.github.io/Logging_0883/klagomål/A 51833-2021 FSC-klagomål.docx", "A 51833-2021")</f>
        <v/>
      </c>
      <c r="W169">
        <f>HYPERLINK("https://klasma.github.io/Logging_0883/klagomålsmail/A 51833-2021 FSC-klagomål mail.docx", "A 51833-2021")</f>
        <v/>
      </c>
      <c r="X169">
        <f>HYPERLINK("https://klasma.github.io/Logging_0883/tillsyn/A 51833-2021 tillsynsbegäran.docx", "A 51833-2021")</f>
        <v/>
      </c>
      <c r="Y169">
        <f>HYPERLINK("https://klasma.github.io/Logging_0883/tillsynsmail/A 51833-2021 tillsynsbegäran mail.docx", "A 51833-2021")</f>
        <v/>
      </c>
    </row>
    <row r="170" ht="15" customHeight="1">
      <c r="A170" t="inlineStr">
        <is>
          <t>A 53769-2021</t>
        </is>
      </c>
      <c r="B170" s="1" t="n">
        <v>44467</v>
      </c>
      <c r="C170" s="1" t="n">
        <v>45844</v>
      </c>
      <c r="D170" t="inlineStr">
        <is>
          <t>KALMAR LÄN</t>
        </is>
      </c>
      <c r="E170" t="inlineStr">
        <is>
          <t>VÄSTERVIK</t>
        </is>
      </c>
      <c r="G170" t="n">
        <v>2.2</v>
      </c>
      <c r="H170" t="n">
        <v>1</v>
      </c>
      <c r="I170" t="n">
        <v>2</v>
      </c>
      <c r="J170" t="n">
        <v>0</v>
      </c>
      <c r="K170" t="n">
        <v>0</v>
      </c>
      <c r="L170" t="n">
        <v>0</v>
      </c>
      <c r="M170" t="n">
        <v>0</v>
      </c>
      <c r="N170" t="n">
        <v>0</v>
      </c>
      <c r="O170" t="n">
        <v>0</v>
      </c>
      <c r="P170" t="n">
        <v>0</v>
      </c>
      <c r="Q170" t="n">
        <v>2</v>
      </c>
      <c r="R170" s="2" t="inlineStr">
        <is>
          <t>Grön sköldmossa
Stubbspretmossa</t>
        </is>
      </c>
      <c r="S170">
        <f>HYPERLINK("https://klasma.github.io/Logging_0883/artfynd/A 53769-2021 artfynd.xlsx", "A 53769-2021")</f>
        <v/>
      </c>
      <c r="T170">
        <f>HYPERLINK("https://klasma.github.io/Logging_0883/kartor/A 53769-2021 karta.png", "A 53769-2021")</f>
        <v/>
      </c>
      <c r="V170">
        <f>HYPERLINK("https://klasma.github.io/Logging_0883/klagomål/A 53769-2021 FSC-klagomål.docx", "A 53769-2021")</f>
        <v/>
      </c>
      <c r="W170">
        <f>HYPERLINK("https://klasma.github.io/Logging_0883/klagomålsmail/A 53769-2021 FSC-klagomål mail.docx", "A 53769-2021")</f>
        <v/>
      </c>
      <c r="X170">
        <f>HYPERLINK("https://klasma.github.io/Logging_0883/tillsyn/A 53769-2021 tillsynsbegäran.docx", "A 53769-2021")</f>
        <v/>
      </c>
      <c r="Y170">
        <f>HYPERLINK("https://klasma.github.io/Logging_0883/tillsynsmail/A 53769-2021 tillsynsbegäran mail.docx", "A 53769-2021")</f>
        <v/>
      </c>
    </row>
    <row r="171" ht="15" customHeight="1">
      <c r="A171" t="inlineStr">
        <is>
          <t>A 56616-2021</t>
        </is>
      </c>
      <c r="B171" s="1" t="n">
        <v>44480</v>
      </c>
      <c r="C171" s="1" t="n">
        <v>45844</v>
      </c>
      <c r="D171" t="inlineStr">
        <is>
          <t>KALMAR LÄN</t>
        </is>
      </c>
      <c r="E171" t="inlineStr">
        <is>
          <t>VÄSTERVIK</t>
        </is>
      </c>
      <c r="G171" t="n">
        <v>0.7</v>
      </c>
      <c r="H171" t="n">
        <v>0</v>
      </c>
      <c r="I171" t="n">
        <v>0</v>
      </c>
      <c r="J171" t="n">
        <v>2</v>
      </c>
      <c r="K171" t="n">
        <v>0</v>
      </c>
      <c r="L171" t="n">
        <v>0</v>
      </c>
      <c r="M171" t="n">
        <v>0</v>
      </c>
      <c r="N171" t="n">
        <v>0</v>
      </c>
      <c r="O171" t="n">
        <v>2</v>
      </c>
      <c r="P171" t="n">
        <v>0</v>
      </c>
      <c r="Q171" t="n">
        <v>2</v>
      </c>
      <c r="R171" s="2" t="inlineStr">
        <is>
          <t>Gullklöver
Vippärt</t>
        </is>
      </c>
      <c r="S171">
        <f>HYPERLINK("https://klasma.github.io/Logging_0883/artfynd/A 56616-2021 artfynd.xlsx", "A 56616-2021")</f>
        <v/>
      </c>
      <c r="T171">
        <f>HYPERLINK("https://klasma.github.io/Logging_0883/kartor/A 56616-2021 karta.png", "A 56616-2021")</f>
        <v/>
      </c>
      <c r="V171">
        <f>HYPERLINK("https://klasma.github.io/Logging_0883/klagomål/A 56616-2021 FSC-klagomål.docx", "A 56616-2021")</f>
        <v/>
      </c>
      <c r="W171">
        <f>HYPERLINK("https://klasma.github.io/Logging_0883/klagomålsmail/A 56616-2021 FSC-klagomål mail.docx", "A 56616-2021")</f>
        <v/>
      </c>
      <c r="X171">
        <f>HYPERLINK("https://klasma.github.io/Logging_0883/tillsyn/A 56616-2021 tillsynsbegäran.docx", "A 56616-2021")</f>
        <v/>
      </c>
      <c r="Y171">
        <f>HYPERLINK("https://klasma.github.io/Logging_0883/tillsynsmail/A 56616-2021 tillsynsbegäran mail.docx", "A 56616-2021")</f>
        <v/>
      </c>
    </row>
    <row r="172" ht="15" customHeight="1">
      <c r="A172" t="inlineStr">
        <is>
          <t>A 59940-2021</t>
        </is>
      </c>
      <c r="B172" s="1" t="n">
        <v>44494</v>
      </c>
      <c r="C172" s="1" t="n">
        <v>45844</v>
      </c>
      <c r="D172" t="inlineStr">
        <is>
          <t>KALMAR LÄN</t>
        </is>
      </c>
      <c r="E172" t="inlineStr">
        <is>
          <t>VÄSTERVIK</t>
        </is>
      </c>
      <c r="G172" t="n">
        <v>4.3</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59940-2021 artfynd.xlsx", "A 59940-2021")</f>
        <v/>
      </c>
      <c r="T172">
        <f>HYPERLINK("https://klasma.github.io/Logging_0883/kartor/A 59940-2021 karta.png", "A 59940-2021")</f>
        <v/>
      </c>
      <c r="U172">
        <f>HYPERLINK("https://klasma.github.io/Logging_0883/knärot/A 59940-2021 karta knärot.png", "A 59940-2021")</f>
        <v/>
      </c>
      <c r="V172">
        <f>HYPERLINK("https://klasma.github.io/Logging_0883/klagomål/A 59940-2021 FSC-klagomål.docx", "A 59940-2021")</f>
        <v/>
      </c>
      <c r="W172">
        <f>HYPERLINK("https://klasma.github.io/Logging_0883/klagomålsmail/A 59940-2021 FSC-klagomål mail.docx", "A 59940-2021")</f>
        <v/>
      </c>
      <c r="X172">
        <f>HYPERLINK("https://klasma.github.io/Logging_0883/tillsyn/A 59940-2021 tillsynsbegäran.docx", "A 59940-2021")</f>
        <v/>
      </c>
      <c r="Y172">
        <f>HYPERLINK("https://klasma.github.io/Logging_0883/tillsynsmail/A 59940-2021 tillsynsbegäran mail.docx", "A 59940-2021")</f>
        <v/>
      </c>
    </row>
    <row r="173" ht="15" customHeight="1">
      <c r="A173" t="inlineStr">
        <is>
          <t>A 72945-2021</t>
        </is>
      </c>
      <c r="B173" s="1" t="n">
        <v>44547</v>
      </c>
      <c r="C173" s="1" t="n">
        <v>45844</v>
      </c>
      <c r="D173" t="inlineStr">
        <is>
          <t>KALMAR LÄN</t>
        </is>
      </c>
      <c r="E173" t="inlineStr">
        <is>
          <t>VÄSTERVIK</t>
        </is>
      </c>
      <c r="G173" t="n">
        <v>1.6</v>
      </c>
      <c r="H173" t="n">
        <v>0</v>
      </c>
      <c r="I173" t="n">
        <v>1</v>
      </c>
      <c r="J173" t="n">
        <v>1</v>
      </c>
      <c r="K173" t="n">
        <v>0</v>
      </c>
      <c r="L173" t="n">
        <v>0</v>
      </c>
      <c r="M173" t="n">
        <v>0</v>
      </c>
      <c r="N173" t="n">
        <v>0</v>
      </c>
      <c r="O173" t="n">
        <v>1</v>
      </c>
      <c r="P173" t="n">
        <v>0</v>
      </c>
      <c r="Q173" t="n">
        <v>2</v>
      </c>
      <c r="R173" s="2" t="inlineStr">
        <is>
          <t>Veckticka
Rävticka</t>
        </is>
      </c>
      <c r="S173">
        <f>HYPERLINK("https://klasma.github.io/Logging_0883/artfynd/A 72945-2021 artfynd.xlsx", "A 72945-2021")</f>
        <v/>
      </c>
      <c r="T173">
        <f>HYPERLINK("https://klasma.github.io/Logging_0883/kartor/A 72945-2021 karta.png", "A 72945-2021")</f>
        <v/>
      </c>
      <c r="V173">
        <f>HYPERLINK("https://klasma.github.io/Logging_0883/klagomål/A 72945-2021 FSC-klagomål.docx", "A 72945-2021")</f>
        <v/>
      </c>
      <c r="W173">
        <f>HYPERLINK("https://klasma.github.io/Logging_0883/klagomålsmail/A 72945-2021 FSC-klagomål mail.docx", "A 72945-2021")</f>
        <v/>
      </c>
      <c r="X173">
        <f>HYPERLINK("https://klasma.github.io/Logging_0883/tillsyn/A 72945-2021 tillsynsbegäran.docx", "A 72945-2021")</f>
        <v/>
      </c>
      <c r="Y173">
        <f>HYPERLINK("https://klasma.github.io/Logging_0883/tillsynsmail/A 72945-2021 tillsynsbegäran mail.docx", "A 72945-2021")</f>
        <v/>
      </c>
    </row>
    <row r="174" ht="15" customHeight="1">
      <c r="A174" t="inlineStr">
        <is>
          <t>A 14927-2022</t>
        </is>
      </c>
      <c r="B174" s="1" t="n">
        <v>44657</v>
      </c>
      <c r="C174" s="1" t="n">
        <v>45844</v>
      </c>
      <c r="D174" t="inlineStr">
        <is>
          <t>KALMAR LÄN</t>
        </is>
      </c>
      <c r="E174" t="inlineStr">
        <is>
          <t>VÄSTERVIK</t>
        </is>
      </c>
      <c r="F174" t="inlineStr">
        <is>
          <t>Holmen skog AB</t>
        </is>
      </c>
      <c r="G174" t="n">
        <v>1.1</v>
      </c>
      <c r="H174" t="n">
        <v>2</v>
      </c>
      <c r="I174" t="n">
        <v>1</v>
      </c>
      <c r="J174" t="n">
        <v>0</v>
      </c>
      <c r="K174" t="n">
        <v>0</v>
      </c>
      <c r="L174" t="n">
        <v>0</v>
      </c>
      <c r="M174" t="n">
        <v>0</v>
      </c>
      <c r="N174" t="n">
        <v>0</v>
      </c>
      <c r="O174" t="n">
        <v>0</v>
      </c>
      <c r="P174" t="n">
        <v>0</v>
      </c>
      <c r="Q174" t="n">
        <v>2</v>
      </c>
      <c r="R174" s="2" t="inlineStr">
        <is>
          <t>Ekoxe
Revlummer</t>
        </is>
      </c>
      <c r="S174">
        <f>HYPERLINK("https://klasma.github.io/Logging_0883/artfynd/A 14927-2022 artfynd.xlsx", "A 14927-2022")</f>
        <v/>
      </c>
      <c r="T174">
        <f>HYPERLINK("https://klasma.github.io/Logging_0883/kartor/A 14927-2022 karta.png", "A 14927-2022")</f>
        <v/>
      </c>
      <c r="V174">
        <f>HYPERLINK("https://klasma.github.io/Logging_0883/klagomål/A 14927-2022 FSC-klagomål.docx", "A 14927-2022")</f>
        <v/>
      </c>
      <c r="W174">
        <f>HYPERLINK("https://klasma.github.io/Logging_0883/klagomålsmail/A 14927-2022 FSC-klagomål mail.docx", "A 14927-2022")</f>
        <v/>
      </c>
      <c r="X174">
        <f>HYPERLINK("https://klasma.github.io/Logging_0883/tillsyn/A 14927-2022 tillsynsbegäran.docx", "A 14927-2022")</f>
        <v/>
      </c>
      <c r="Y174">
        <f>HYPERLINK("https://klasma.github.io/Logging_0883/tillsynsmail/A 14927-2022 tillsynsbegäran mail.docx", "A 14927-2022")</f>
        <v/>
      </c>
    </row>
    <row r="175" ht="15" customHeight="1">
      <c r="A175" t="inlineStr">
        <is>
          <t>A 21024-2022</t>
        </is>
      </c>
      <c r="B175" s="1" t="n">
        <v>44704</v>
      </c>
      <c r="C175" s="1" t="n">
        <v>45844</v>
      </c>
      <c r="D175" t="inlineStr">
        <is>
          <t>KALMAR LÄN</t>
        </is>
      </c>
      <c r="E175" t="inlineStr">
        <is>
          <t>VÄSTERVIK</t>
        </is>
      </c>
      <c r="F175" t="inlineStr">
        <is>
          <t>Sveaskog</t>
        </is>
      </c>
      <c r="G175" t="n">
        <v>4.4</v>
      </c>
      <c r="H175" t="n">
        <v>0</v>
      </c>
      <c r="I175" t="n">
        <v>2</v>
      </c>
      <c r="J175" t="n">
        <v>0</v>
      </c>
      <c r="K175" t="n">
        <v>0</v>
      </c>
      <c r="L175" t="n">
        <v>0</v>
      </c>
      <c r="M175" t="n">
        <v>0</v>
      </c>
      <c r="N175" t="n">
        <v>0</v>
      </c>
      <c r="O175" t="n">
        <v>0</v>
      </c>
      <c r="P175" t="n">
        <v>0</v>
      </c>
      <c r="Q175" t="n">
        <v>2</v>
      </c>
      <c r="R175" s="2" t="inlineStr">
        <is>
          <t>Skogsbräsma
Vätteros</t>
        </is>
      </c>
      <c r="S175">
        <f>HYPERLINK("https://klasma.github.io/Logging_0883/artfynd/A 21024-2022 artfynd.xlsx", "A 21024-2022")</f>
        <v/>
      </c>
      <c r="T175">
        <f>HYPERLINK("https://klasma.github.io/Logging_0883/kartor/A 21024-2022 karta.png", "A 21024-2022")</f>
        <v/>
      </c>
      <c r="V175">
        <f>HYPERLINK("https://klasma.github.io/Logging_0883/klagomål/A 21024-2022 FSC-klagomål.docx", "A 21024-2022")</f>
        <v/>
      </c>
      <c r="W175">
        <f>HYPERLINK("https://klasma.github.io/Logging_0883/klagomålsmail/A 21024-2022 FSC-klagomål mail.docx", "A 21024-2022")</f>
        <v/>
      </c>
      <c r="X175">
        <f>HYPERLINK("https://klasma.github.io/Logging_0883/tillsyn/A 21024-2022 tillsynsbegäran.docx", "A 21024-2022")</f>
        <v/>
      </c>
      <c r="Y175">
        <f>HYPERLINK("https://klasma.github.io/Logging_0883/tillsynsmail/A 21024-2022 tillsynsbegäran mail.docx", "A 21024-2022")</f>
        <v/>
      </c>
    </row>
    <row r="176" ht="15" customHeight="1">
      <c r="A176" t="inlineStr">
        <is>
          <t>A 25145-2022</t>
        </is>
      </c>
      <c r="B176" s="1" t="n">
        <v>44729</v>
      </c>
      <c r="C176" s="1" t="n">
        <v>45844</v>
      </c>
      <c r="D176" t="inlineStr">
        <is>
          <t>KALMAR LÄN</t>
        </is>
      </c>
      <c r="E176" t="inlineStr">
        <is>
          <t>VÄSTERVIK</t>
        </is>
      </c>
      <c r="G176" t="n">
        <v>1.3</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25145-2022 artfynd.xlsx", "A 25145-2022")</f>
        <v/>
      </c>
      <c r="T176">
        <f>HYPERLINK("https://klasma.github.io/Logging_0883/kartor/A 25145-2022 karta.png", "A 25145-2022")</f>
        <v/>
      </c>
      <c r="U176">
        <f>HYPERLINK("https://klasma.github.io/Logging_0883/knärot/A 25145-2022 karta knärot.png", "A 25145-2022")</f>
        <v/>
      </c>
      <c r="V176">
        <f>HYPERLINK("https://klasma.github.io/Logging_0883/klagomål/A 25145-2022 FSC-klagomål.docx", "A 25145-2022")</f>
        <v/>
      </c>
      <c r="W176">
        <f>HYPERLINK("https://klasma.github.io/Logging_0883/klagomålsmail/A 25145-2022 FSC-klagomål mail.docx", "A 25145-2022")</f>
        <v/>
      </c>
      <c r="X176">
        <f>HYPERLINK("https://klasma.github.io/Logging_0883/tillsyn/A 25145-2022 tillsynsbegäran.docx", "A 25145-2022")</f>
        <v/>
      </c>
      <c r="Y176">
        <f>HYPERLINK("https://klasma.github.io/Logging_0883/tillsynsmail/A 25145-2022 tillsynsbegäran mail.docx", "A 25145-2022")</f>
        <v/>
      </c>
    </row>
    <row r="177" ht="15" customHeight="1">
      <c r="A177" t="inlineStr">
        <is>
          <t>A 38373-2022</t>
        </is>
      </c>
      <c r="B177" s="1" t="n">
        <v>44812</v>
      </c>
      <c r="C177" s="1" t="n">
        <v>45844</v>
      </c>
      <c r="D177" t="inlineStr">
        <is>
          <t>KALMAR LÄN</t>
        </is>
      </c>
      <c r="E177" t="inlineStr">
        <is>
          <t>VÄSTERVIK</t>
        </is>
      </c>
      <c r="G177" t="n">
        <v>3.1</v>
      </c>
      <c r="H177" t="n">
        <v>1</v>
      </c>
      <c r="I177" t="n">
        <v>1</v>
      </c>
      <c r="J177" t="n">
        <v>0</v>
      </c>
      <c r="K177" t="n">
        <v>1</v>
      </c>
      <c r="L177" t="n">
        <v>0</v>
      </c>
      <c r="M177" t="n">
        <v>0</v>
      </c>
      <c r="N177" t="n">
        <v>0</v>
      </c>
      <c r="O177" t="n">
        <v>1</v>
      </c>
      <c r="P177" t="n">
        <v>1</v>
      </c>
      <c r="Q177" t="n">
        <v>2</v>
      </c>
      <c r="R177" s="2" t="inlineStr">
        <is>
          <t>Knärot
Blåmossa</t>
        </is>
      </c>
      <c r="S177">
        <f>HYPERLINK("https://klasma.github.io/Logging_0883/artfynd/A 38373-2022 artfynd.xlsx", "A 38373-2022")</f>
        <v/>
      </c>
      <c r="T177">
        <f>HYPERLINK("https://klasma.github.io/Logging_0883/kartor/A 38373-2022 karta.png", "A 38373-2022")</f>
        <v/>
      </c>
      <c r="U177">
        <f>HYPERLINK("https://klasma.github.io/Logging_0883/knärot/A 38373-2022 karta knärot.png", "A 38373-2022")</f>
        <v/>
      </c>
      <c r="V177">
        <f>HYPERLINK("https://klasma.github.io/Logging_0883/klagomål/A 38373-2022 FSC-klagomål.docx", "A 38373-2022")</f>
        <v/>
      </c>
      <c r="W177">
        <f>HYPERLINK("https://klasma.github.io/Logging_0883/klagomålsmail/A 38373-2022 FSC-klagomål mail.docx", "A 38373-2022")</f>
        <v/>
      </c>
      <c r="X177">
        <f>HYPERLINK("https://klasma.github.io/Logging_0883/tillsyn/A 38373-2022 tillsynsbegäran.docx", "A 38373-2022")</f>
        <v/>
      </c>
      <c r="Y177">
        <f>HYPERLINK("https://klasma.github.io/Logging_0883/tillsynsmail/A 38373-2022 tillsynsbegäran mail.docx", "A 38373-2022")</f>
        <v/>
      </c>
    </row>
    <row r="178" ht="15" customHeight="1">
      <c r="A178" t="inlineStr">
        <is>
          <t>A 46552-2022</t>
        </is>
      </c>
      <c r="B178" s="1" t="n">
        <v>44848</v>
      </c>
      <c r="C178" s="1" t="n">
        <v>45844</v>
      </c>
      <c r="D178" t="inlineStr">
        <is>
          <t>KALMAR LÄN</t>
        </is>
      </c>
      <c r="E178" t="inlineStr">
        <is>
          <t>VÄSTERVIK</t>
        </is>
      </c>
      <c r="F178" t="inlineStr">
        <is>
          <t>Sveaskog</t>
        </is>
      </c>
      <c r="G178" t="n">
        <v>1.7</v>
      </c>
      <c r="H178" t="n">
        <v>0</v>
      </c>
      <c r="I178" t="n">
        <v>1</v>
      </c>
      <c r="J178" t="n">
        <v>1</v>
      </c>
      <c r="K178" t="n">
        <v>0</v>
      </c>
      <c r="L178" t="n">
        <v>0</v>
      </c>
      <c r="M178" t="n">
        <v>0</v>
      </c>
      <c r="N178" t="n">
        <v>0</v>
      </c>
      <c r="O178" t="n">
        <v>1</v>
      </c>
      <c r="P178" t="n">
        <v>0</v>
      </c>
      <c r="Q178" t="n">
        <v>2</v>
      </c>
      <c r="R178" s="2" t="inlineStr">
        <is>
          <t>Motaggsvamp
Sårläka</t>
        </is>
      </c>
      <c r="S178">
        <f>HYPERLINK("https://klasma.github.io/Logging_0883/artfynd/A 46552-2022 artfynd.xlsx", "A 46552-2022")</f>
        <v/>
      </c>
      <c r="T178">
        <f>HYPERLINK("https://klasma.github.io/Logging_0883/kartor/A 46552-2022 karta.png", "A 46552-2022")</f>
        <v/>
      </c>
      <c r="V178">
        <f>HYPERLINK("https://klasma.github.io/Logging_0883/klagomål/A 46552-2022 FSC-klagomål.docx", "A 46552-2022")</f>
        <v/>
      </c>
      <c r="W178">
        <f>HYPERLINK("https://klasma.github.io/Logging_0883/klagomålsmail/A 46552-2022 FSC-klagomål mail.docx", "A 46552-2022")</f>
        <v/>
      </c>
      <c r="X178">
        <f>HYPERLINK("https://klasma.github.io/Logging_0883/tillsyn/A 46552-2022 tillsynsbegäran.docx", "A 46552-2022")</f>
        <v/>
      </c>
      <c r="Y178">
        <f>HYPERLINK("https://klasma.github.io/Logging_0883/tillsynsmail/A 46552-2022 tillsynsbegäran mail.docx", "A 46552-2022")</f>
        <v/>
      </c>
    </row>
    <row r="179" ht="15" customHeight="1">
      <c r="A179" t="inlineStr">
        <is>
          <t>A 46787-2022</t>
        </is>
      </c>
      <c r="B179" s="1" t="n">
        <v>44851</v>
      </c>
      <c r="C179" s="1" t="n">
        <v>45844</v>
      </c>
      <c r="D179" t="inlineStr">
        <is>
          <t>KALMAR LÄN</t>
        </is>
      </c>
      <c r="E179" t="inlineStr">
        <is>
          <t>VÄSTERVIK</t>
        </is>
      </c>
      <c r="G179" t="n">
        <v>4.4</v>
      </c>
      <c r="H179" t="n">
        <v>0</v>
      </c>
      <c r="I179" t="n">
        <v>0</v>
      </c>
      <c r="J179" t="n">
        <v>2</v>
      </c>
      <c r="K179" t="n">
        <v>0</v>
      </c>
      <c r="L179" t="n">
        <v>0</v>
      </c>
      <c r="M179" t="n">
        <v>0</v>
      </c>
      <c r="N179" t="n">
        <v>0</v>
      </c>
      <c r="O179" t="n">
        <v>2</v>
      </c>
      <c r="P179" t="n">
        <v>0</v>
      </c>
      <c r="Q179" t="n">
        <v>2</v>
      </c>
      <c r="R179" s="2" t="inlineStr">
        <is>
          <t>Motaggsvamp
Tallticka</t>
        </is>
      </c>
      <c r="S179">
        <f>HYPERLINK("https://klasma.github.io/Logging_0883/artfynd/A 46787-2022 artfynd.xlsx", "A 46787-2022")</f>
        <v/>
      </c>
      <c r="T179">
        <f>HYPERLINK("https://klasma.github.io/Logging_0883/kartor/A 46787-2022 karta.png", "A 46787-2022")</f>
        <v/>
      </c>
      <c r="V179">
        <f>HYPERLINK("https://klasma.github.io/Logging_0883/klagomål/A 46787-2022 FSC-klagomål.docx", "A 46787-2022")</f>
        <v/>
      </c>
      <c r="W179">
        <f>HYPERLINK("https://klasma.github.io/Logging_0883/klagomålsmail/A 46787-2022 FSC-klagomål mail.docx", "A 46787-2022")</f>
        <v/>
      </c>
      <c r="X179">
        <f>HYPERLINK("https://klasma.github.io/Logging_0883/tillsyn/A 46787-2022 tillsynsbegäran.docx", "A 46787-2022")</f>
        <v/>
      </c>
      <c r="Y179">
        <f>HYPERLINK("https://klasma.github.io/Logging_0883/tillsynsmail/A 46787-2022 tillsynsbegäran mail.docx", "A 46787-2022")</f>
        <v/>
      </c>
    </row>
    <row r="180" ht="15" customHeight="1">
      <c r="A180" t="inlineStr">
        <is>
          <t>A 50989-2022</t>
        </is>
      </c>
      <c r="B180" s="1" t="n">
        <v>44867</v>
      </c>
      <c r="C180" s="1" t="n">
        <v>45844</v>
      </c>
      <c r="D180" t="inlineStr">
        <is>
          <t>KALMAR LÄN</t>
        </is>
      </c>
      <c r="E180" t="inlineStr">
        <is>
          <t>VÄSTERVIK</t>
        </is>
      </c>
      <c r="G180" t="n">
        <v>2</v>
      </c>
      <c r="H180" t="n">
        <v>0</v>
      </c>
      <c r="I180" t="n">
        <v>2</v>
      </c>
      <c r="J180" t="n">
        <v>0</v>
      </c>
      <c r="K180" t="n">
        <v>0</v>
      </c>
      <c r="L180" t="n">
        <v>0</v>
      </c>
      <c r="M180" t="n">
        <v>0</v>
      </c>
      <c r="N180" t="n">
        <v>0</v>
      </c>
      <c r="O180" t="n">
        <v>0</v>
      </c>
      <c r="P180" t="n">
        <v>0</v>
      </c>
      <c r="Q180" t="n">
        <v>2</v>
      </c>
      <c r="R180" s="2" t="inlineStr">
        <is>
          <t>Blomkålssvamp
Vätteros</t>
        </is>
      </c>
      <c r="S180">
        <f>HYPERLINK("https://klasma.github.io/Logging_0883/artfynd/A 50989-2022 artfynd.xlsx", "A 50989-2022")</f>
        <v/>
      </c>
      <c r="T180">
        <f>HYPERLINK("https://klasma.github.io/Logging_0883/kartor/A 50989-2022 karta.png", "A 50989-2022")</f>
        <v/>
      </c>
      <c r="V180">
        <f>HYPERLINK("https://klasma.github.io/Logging_0883/klagomål/A 50989-2022 FSC-klagomål.docx", "A 50989-2022")</f>
        <v/>
      </c>
      <c r="W180">
        <f>HYPERLINK("https://klasma.github.io/Logging_0883/klagomålsmail/A 50989-2022 FSC-klagomål mail.docx", "A 50989-2022")</f>
        <v/>
      </c>
      <c r="X180">
        <f>HYPERLINK("https://klasma.github.io/Logging_0883/tillsyn/A 50989-2022 tillsynsbegäran.docx", "A 50989-2022")</f>
        <v/>
      </c>
      <c r="Y180">
        <f>HYPERLINK("https://klasma.github.io/Logging_0883/tillsynsmail/A 50989-2022 tillsynsbegäran mail.docx", "A 50989-2022")</f>
        <v/>
      </c>
    </row>
    <row r="181" ht="15" customHeight="1">
      <c r="A181" t="inlineStr">
        <is>
          <t>A 59231-2022</t>
        </is>
      </c>
      <c r="B181" s="1" t="n">
        <v>44904</v>
      </c>
      <c r="C181" s="1" t="n">
        <v>45844</v>
      </c>
      <c r="D181" t="inlineStr">
        <is>
          <t>KALMAR LÄN</t>
        </is>
      </c>
      <c r="E181" t="inlineStr">
        <is>
          <t>VÄSTERVIK</t>
        </is>
      </c>
      <c r="G181" t="n">
        <v>1.8</v>
      </c>
      <c r="H181" t="n">
        <v>0</v>
      </c>
      <c r="I181" t="n">
        <v>1</v>
      </c>
      <c r="J181" t="n">
        <v>1</v>
      </c>
      <c r="K181" t="n">
        <v>0</v>
      </c>
      <c r="L181" t="n">
        <v>0</v>
      </c>
      <c r="M181" t="n">
        <v>0</v>
      </c>
      <c r="N181" t="n">
        <v>0</v>
      </c>
      <c r="O181" t="n">
        <v>1</v>
      </c>
      <c r="P181" t="n">
        <v>0</v>
      </c>
      <c r="Q181" t="n">
        <v>2</v>
      </c>
      <c r="R181" s="2" t="inlineStr">
        <is>
          <t>Tallticka
Grönpyrola</t>
        </is>
      </c>
      <c r="S181">
        <f>HYPERLINK("https://klasma.github.io/Logging_0883/artfynd/A 59231-2022 artfynd.xlsx", "A 59231-2022")</f>
        <v/>
      </c>
      <c r="T181">
        <f>HYPERLINK("https://klasma.github.io/Logging_0883/kartor/A 59231-2022 karta.png", "A 59231-2022")</f>
        <v/>
      </c>
      <c r="V181">
        <f>HYPERLINK("https://klasma.github.io/Logging_0883/klagomål/A 59231-2022 FSC-klagomål.docx", "A 59231-2022")</f>
        <v/>
      </c>
      <c r="W181">
        <f>HYPERLINK("https://klasma.github.io/Logging_0883/klagomålsmail/A 59231-2022 FSC-klagomål mail.docx", "A 59231-2022")</f>
        <v/>
      </c>
      <c r="X181">
        <f>HYPERLINK("https://klasma.github.io/Logging_0883/tillsyn/A 59231-2022 tillsynsbegäran.docx", "A 59231-2022")</f>
        <v/>
      </c>
      <c r="Y181">
        <f>HYPERLINK("https://klasma.github.io/Logging_0883/tillsynsmail/A 59231-2022 tillsynsbegäran mail.docx", "A 59231-2022")</f>
        <v/>
      </c>
    </row>
    <row r="182" ht="15" customHeight="1">
      <c r="A182" t="inlineStr">
        <is>
          <t>A 62003-2022</t>
        </is>
      </c>
      <c r="B182" s="1" t="n">
        <v>44918</v>
      </c>
      <c r="C182" s="1" t="n">
        <v>45844</v>
      </c>
      <c r="D182" t="inlineStr">
        <is>
          <t>KALMAR LÄN</t>
        </is>
      </c>
      <c r="E182" t="inlineStr">
        <is>
          <t>VÄSTERVIK</t>
        </is>
      </c>
      <c r="G182" t="n">
        <v>6.2</v>
      </c>
      <c r="H182" t="n">
        <v>1</v>
      </c>
      <c r="I182" t="n">
        <v>0</v>
      </c>
      <c r="J182" t="n">
        <v>1</v>
      </c>
      <c r="K182" t="n">
        <v>1</v>
      </c>
      <c r="L182" t="n">
        <v>0</v>
      </c>
      <c r="M182" t="n">
        <v>0</v>
      </c>
      <c r="N182" t="n">
        <v>0</v>
      </c>
      <c r="O182" t="n">
        <v>2</v>
      </c>
      <c r="P182" t="n">
        <v>1</v>
      </c>
      <c r="Q182" t="n">
        <v>2</v>
      </c>
      <c r="R182" s="2" t="inlineStr">
        <is>
          <t>Knärot
Linmåra/småsnärjmåra</t>
        </is>
      </c>
      <c r="S182">
        <f>HYPERLINK("https://klasma.github.io/Logging_0883/artfynd/A 62003-2022 artfynd.xlsx", "A 62003-2022")</f>
        <v/>
      </c>
      <c r="T182">
        <f>HYPERLINK("https://klasma.github.io/Logging_0883/kartor/A 62003-2022 karta.png", "A 62003-2022")</f>
        <v/>
      </c>
      <c r="U182">
        <f>HYPERLINK("https://klasma.github.io/Logging_0883/knärot/A 62003-2022 karta knärot.png", "A 62003-2022")</f>
        <v/>
      </c>
      <c r="V182">
        <f>HYPERLINK("https://klasma.github.io/Logging_0883/klagomål/A 62003-2022 FSC-klagomål.docx", "A 62003-2022")</f>
        <v/>
      </c>
      <c r="W182">
        <f>HYPERLINK("https://klasma.github.io/Logging_0883/klagomålsmail/A 62003-2022 FSC-klagomål mail.docx", "A 62003-2022")</f>
        <v/>
      </c>
      <c r="X182">
        <f>HYPERLINK("https://klasma.github.io/Logging_0883/tillsyn/A 62003-2022 tillsynsbegäran.docx", "A 62003-2022")</f>
        <v/>
      </c>
      <c r="Y182">
        <f>HYPERLINK("https://klasma.github.io/Logging_0883/tillsynsmail/A 62003-2022 tillsynsbegäran mail.docx", "A 62003-2022")</f>
        <v/>
      </c>
    </row>
    <row r="183" ht="15" customHeight="1">
      <c r="A183" t="inlineStr">
        <is>
          <t>A 765-2023</t>
        </is>
      </c>
      <c r="B183" s="1" t="n">
        <v>44931</v>
      </c>
      <c r="C183" s="1" t="n">
        <v>45844</v>
      </c>
      <c r="D183" t="inlineStr">
        <is>
          <t>KALMAR LÄN</t>
        </is>
      </c>
      <c r="E183" t="inlineStr">
        <is>
          <t>VÄSTERVIK</t>
        </is>
      </c>
      <c r="F183" t="inlineStr">
        <is>
          <t>Holmen skog AB</t>
        </is>
      </c>
      <c r="G183" t="n">
        <v>3.7</v>
      </c>
      <c r="H183" t="n">
        <v>1</v>
      </c>
      <c r="I183" t="n">
        <v>0</v>
      </c>
      <c r="J183" t="n">
        <v>2</v>
      </c>
      <c r="K183" t="n">
        <v>0</v>
      </c>
      <c r="L183" t="n">
        <v>0</v>
      </c>
      <c r="M183" t="n">
        <v>0</v>
      </c>
      <c r="N183" t="n">
        <v>0</v>
      </c>
      <c r="O183" t="n">
        <v>2</v>
      </c>
      <c r="P183" t="n">
        <v>0</v>
      </c>
      <c r="Q183" t="n">
        <v>2</v>
      </c>
      <c r="R183" s="2" t="inlineStr">
        <is>
          <t>Ekticka
Talltita</t>
        </is>
      </c>
      <c r="S183">
        <f>HYPERLINK("https://klasma.github.io/Logging_0883/artfynd/A 765-2023 artfynd.xlsx", "A 765-2023")</f>
        <v/>
      </c>
      <c r="T183">
        <f>HYPERLINK("https://klasma.github.io/Logging_0883/kartor/A 765-2023 karta.png", "A 765-2023")</f>
        <v/>
      </c>
      <c r="V183">
        <f>HYPERLINK("https://klasma.github.io/Logging_0883/klagomål/A 765-2023 FSC-klagomål.docx", "A 765-2023")</f>
        <v/>
      </c>
      <c r="W183">
        <f>HYPERLINK("https://klasma.github.io/Logging_0883/klagomålsmail/A 765-2023 FSC-klagomål mail.docx", "A 765-2023")</f>
        <v/>
      </c>
      <c r="X183">
        <f>HYPERLINK("https://klasma.github.io/Logging_0883/tillsyn/A 765-2023 tillsynsbegäran.docx", "A 765-2023")</f>
        <v/>
      </c>
      <c r="Y183">
        <f>HYPERLINK("https://klasma.github.io/Logging_0883/tillsynsmail/A 765-2023 tillsynsbegäran mail.docx", "A 765-2023")</f>
        <v/>
      </c>
      <c r="Z183">
        <f>HYPERLINK("https://klasma.github.io/Logging_0883/fåglar/A 765-2023 prioriterade fågelarter.docx", "A 765-2023")</f>
        <v/>
      </c>
    </row>
    <row r="184" ht="15" customHeight="1">
      <c r="A184" t="inlineStr">
        <is>
          <t>A 2097-2023</t>
        </is>
      </c>
      <c r="B184" s="1" t="n">
        <v>44939</v>
      </c>
      <c r="C184" s="1" t="n">
        <v>45844</v>
      </c>
      <c r="D184" t="inlineStr">
        <is>
          <t>KALMAR LÄN</t>
        </is>
      </c>
      <c r="E184" t="inlineStr">
        <is>
          <t>VÄSTERVIK</t>
        </is>
      </c>
      <c r="G184" t="n">
        <v>6.9</v>
      </c>
      <c r="H184" t="n">
        <v>1</v>
      </c>
      <c r="I184" t="n">
        <v>1</v>
      </c>
      <c r="J184" t="n">
        <v>0</v>
      </c>
      <c r="K184" t="n">
        <v>1</v>
      </c>
      <c r="L184" t="n">
        <v>0</v>
      </c>
      <c r="M184" t="n">
        <v>0</v>
      </c>
      <c r="N184" t="n">
        <v>0</v>
      </c>
      <c r="O184" t="n">
        <v>1</v>
      </c>
      <c r="P184" t="n">
        <v>1</v>
      </c>
      <c r="Q184" t="n">
        <v>2</v>
      </c>
      <c r="R184" s="2" t="inlineStr">
        <is>
          <t>Knärot
Grovticka</t>
        </is>
      </c>
      <c r="S184">
        <f>HYPERLINK("https://klasma.github.io/Logging_0883/artfynd/A 2097-2023 artfynd.xlsx", "A 2097-2023")</f>
        <v/>
      </c>
      <c r="T184">
        <f>HYPERLINK("https://klasma.github.io/Logging_0883/kartor/A 2097-2023 karta.png", "A 2097-2023")</f>
        <v/>
      </c>
      <c r="U184">
        <f>HYPERLINK("https://klasma.github.io/Logging_0883/knärot/A 2097-2023 karta knärot.png", "A 2097-2023")</f>
        <v/>
      </c>
      <c r="V184">
        <f>HYPERLINK("https://klasma.github.io/Logging_0883/klagomål/A 2097-2023 FSC-klagomål.docx", "A 2097-2023")</f>
        <v/>
      </c>
      <c r="W184">
        <f>HYPERLINK("https://klasma.github.io/Logging_0883/klagomålsmail/A 2097-2023 FSC-klagomål mail.docx", "A 2097-2023")</f>
        <v/>
      </c>
      <c r="X184">
        <f>HYPERLINK("https://klasma.github.io/Logging_0883/tillsyn/A 2097-2023 tillsynsbegäran.docx", "A 2097-2023")</f>
        <v/>
      </c>
      <c r="Y184">
        <f>HYPERLINK("https://klasma.github.io/Logging_0883/tillsynsmail/A 2097-2023 tillsynsbegäran mail.docx", "A 2097-2023")</f>
        <v/>
      </c>
    </row>
    <row r="185" ht="15" customHeight="1">
      <c r="A185" t="inlineStr">
        <is>
          <t>A 2515-2023</t>
        </is>
      </c>
      <c r="B185" s="1" t="n">
        <v>44943</v>
      </c>
      <c r="C185" s="1" t="n">
        <v>45844</v>
      </c>
      <c r="D185" t="inlineStr">
        <is>
          <t>KALMAR LÄN</t>
        </is>
      </c>
      <c r="E185" t="inlineStr">
        <is>
          <t>VÄSTERVIK</t>
        </is>
      </c>
      <c r="G185" t="n">
        <v>1.3</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2515-2023 artfynd.xlsx", "A 2515-2023")</f>
        <v/>
      </c>
      <c r="T185">
        <f>HYPERLINK("https://klasma.github.io/Logging_0883/kartor/A 2515-2023 karta.png", "A 2515-2023")</f>
        <v/>
      </c>
      <c r="U185">
        <f>HYPERLINK("https://klasma.github.io/Logging_0883/knärot/A 2515-2023 karta knärot.png", "A 2515-2023")</f>
        <v/>
      </c>
      <c r="V185">
        <f>HYPERLINK("https://klasma.github.io/Logging_0883/klagomål/A 2515-2023 FSC-klagomål.docx", "A 2515-2023")</f>
        <v/>
      </c>
      <c r="W185">
        <f>HYPERLINK("https://klasma.github.io/Logging_0883/klagomålsmail/A 2515-2023 FSC-klagomål mail.docx", "A 2515-2023")</f>
        <v/>
      </c>
      <c r="X185">
        <f>HYPERLINK("https://klasma.github.io/Logging_0883/tillsyn/A 2515-2023 tillsynsbegäran.docx", "A 2515-2023")</f>
        <v/>
      </c>
      <c r="Y185">
        <f>HYPERLINK("https://klasma.github.io/Logging_0883/tillsynsmail/A 2515-2023 tillsynsbegäran mail.docx", "A 2515-2023")</f>
        <v/>
      </c>
    </row>
    <row r="186" ht="15" customHeight="1">
      <c r="A186" t="inlineStr">
        <is>
          <t>A 3173-2023</t>
        </is>
      </c>
      <c r="B186" s="1" t="n">
        <v>44946</v>
      </c>
      <c r="C186" s="1" t="n">
        <v>45844</v>
      </c>
      <c r="D186" t="inlineStr">
        <is>
          <t>KALMAR LÄN</t>
        </is>
      </c>
      <c r="E186" t="inlineStr">
        <is>
          <t>VÄSTERVIK</t>
        </is>
      </c>
      <c r="G186" t="n">
        <v>4</v>
      </c>
      <c r="H186" t="n">
        <v>1</v>
      </c>
      <c r="I186" t="n">
        <v>0</v>
      </c>
      <c r="J186" t="n">
        <v>1</v>
      </c>
      <c r="K186" t="n">
        <v>1</v>
      </c>
      <c r="L186" t="n">
        <v>0</v>
      </c>
      <c r="M186" t="n">
        <v>0</v>
      </c>
      <c r="N186" t="n">
        <v>0</v>
      </c>
      <c r="O186" t="n">
        <v>2</v>
      </c>
      <c r="P186" t="n">
        <v>1</v>
      </c>
      <c r="Q186" t="n">
        <v>2</v>
      </c>
      <c r="R186" s="2" t="inlineStr">
        <is>
          <t>Knärot
Tallticka</t>
        </is>
      </c>
      <c r="S186">
        <f>HYPERLINK("https://klasma.github.io/Logging_0883/artfynd/A 3173-2023 artfynd.xlsx", "A 3173-2023")</f>
        <v/>
      </c>
      <c r="T186">
        <f>HYPERLINK("https://klasma.github.io/Logging_0883/kartor/A 3173-2023 karta.png", "A 3173-2023")</f>
        <v/>
      </c>
      <c r="U186">
        <f>HYPERLINK("https://klasma.github.io/Logging_0883/knärot/A 3173-2023 karta knärot.png", "A 3173-2023")</f>
        <v/>
      </c>
      <c r="V186">
        <f>HYPERLINK("https://klasma.github.io/Logging_0883/klagomål/A 3173-2023 FSC-klagomål.docx", "A 3173-2023")</f>
        <v/>
      </c>
      <c r="W186">
        <f>HYPERLINK("https://klasma.github.io/Logging_0883/klagomålsmail/A 3173-2023 FSC-klagomål mail.docx", "A 3173-2023")</f>
        <v/>
      </c>
      <c r="X186">
        <f>HYPERLINK("https://klasma.github.io/Logging_0883/tillsyn/A 3173-2023 tillsynsbegäran.docx", "A 3173-2023")</f>
        <v/>
      </c>
      <c r="Y186">
        <f>HYPERLINK("https://klasma.github.io/Logging_0883/tillsynsmail/A 3173-2023 tillsynsbegäran mail.docx", "A 3173-2023")</f>
        <v/>
      </c>
    </row>
    <row r="187" ht="15" customHeight="1">
      <c r="A187" t="inlineStr">
        <is>
          <t>A 9040-2023</t>
        </is>
      </c>
      <c r="B187" s="1" t="n">
        <v>44979</v>
      </c>
      <c r="C187" s="1" t="n">
        <v>45844</v>
      </c>
      <c r="D187" t="inlineStr">
        <is>
          <t>KALMAR LÄN</t>
        </is>
      </c>
      <c r="E187" t="inlineStr">
        <is>
          <t>VÄSTERVIK</t>
        </is>
      </c>
      <c r="G187" t="n">
        <v>5.1</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9040-2023 artfynd.xlsx", "A 9040-2023")</f>
        <v/>
      </c>
      <c r="T187">
        <f>HYPERLINK("https://klasma.github.io/Logging_0883/kartor/A 9040-2023 karta.png", "A 9040-2023")</f>
        <v/>
      </c>
      <c r="U187">
        <f>HYPERLINK("https://klasma.github.io/Logging_0883/knärot/A 9040-2023 karta knärot.png", "A 9040-2023")</f>
        <v/>
      </c>
      <c r="V187">
        <f>HYPERLINK("https://klasma.github.io/Logging_0883/klagomål/A 9040-2023 FSC-klagomål.docx", "A 9040-2023")</f>
        <v/>
      </c>
      <c r="W187">
        <f>HYPERLINK("https://klasma.github.io/Logging_0883/klagomålsmail/A 9040-2023 FSC-klagomål mail.docx", "A 9040-2023")</f>
        <v/>
      </c>
      <c r="X187">
        <f>HYPERLINK("https://klasma.github.io/Logging_0883/tillsyn/A 9040-2023 tillsynsbegäran.docx", "A 9040-2023")</f>
        <v/>
      </c>
      <c r="Y187">
        <f>HYPERLINK("https://klasma.github.io/Logging_0883/tillsynsmail/A 9040-2023 tillsynsbegäran mail.docx", "A 9040-2023")</f>
        <v/>
      </c>
    </row>
    <row r="188" ht="15" customHeight="1">
      <c r="A188" t="inlineStr">
        <is>
          <t>A 10806-2023</t>
        </is>
      </c>
      <c r="B188" s="1" t="n">
        <v>44989</v>
      </c>
      <c r="C188" s="1" t="n">
        <v>45844</v>
      </c>
      <c r="D188" t="inlineStr">
        <is>
          <t>KALMAR LÄN</t>
        </is>
      </c>
      <c r="E188" t="inlineStr">
        <is>
          <t>VÄSTERVIK</t>
        </is>
      </c>
      <c r="G188" t="n">
        <v>3</v>
      </c>
      <c r="H188" t="n">
        <v>2</v>
      </c>
      <c r="I188" t="n">
        <v>0</v>
      </c>
      <c r="J188" t="n">
        <v>0</v>
      </c>
      <c r="K188" t="n">
        <v>1</v>
      </c>
      <c r="L188" t="n">
        <v>0</v>
      </c>
      <c r="M188" t="n">
        <v>0</v>
      </c>
      <c r="N188" t="n">
        <v>0</v>
      </c>
      <c r="O188" t="n">
        <v>1</v>
      </c>
      <c r="P188" t="n">
        <v>1</v>
      </c>
      <c r="Q188" t="n">
        <v>2</v>
      </c>
      <c r="R188" s="2" t="inlineStr">
        <is>
          <t>Knärot
Revlummer</t>
        </is>
      </c>
      <c r="S188">
        <f>HYPERLINK("https://klasma.github.io/Logging_0883/artfynd/A 10806-2023 artfynd.xlsx", "A 10806-2023")</f>
        <v/>
      </c>
      <c r="T188">
        <f>HYPERLINK("https://klasma.github.io/Logging_0883/kartor/A 10806-2023 karta.png", "A 10806-2023")</f>
        <v/>
      </c>
      <c r="U188">
        <f>HYPERLINK("https://klasma.github.io/Logging_0883/knärot/A 10806-2023 karta knärot.png", "A 10806-2023")</f>
        <v/>
      </c>
      <c r="V188">
        <f>HYPERLINK("https://klasma.github.io/Logging_0883/klagomål/A 10806-2023 FSC-klagomål.docx", "A 10806-2023")</f>
        <v/>
      </c>
      <c r="W188">
        <f>HYPERLINK("https://klasma.github.io/Logging_0883/klagomålsmail/A 10806-2023 FSC-klagomål mail.docx", "A 10806-2023")</f>
        <v/>
      </c>
      <c r="X188">
        <f>HYPERLINK("https://klasma.github.io/Logging_0883/tillsyn/A 10806-2023 tillsynsbegäran.docx", "A 10806-2023")</f>
        <v/>
      </c>
      <c r="Y188">
        <f>HYPERLINK("https://klasma.github.io/Logging_0883/tillsynsmail/A 10806-2023 tillsynsbegäran mail.docx", "A 10806-2023")</f>
        <v/>
      </c>
    </row>
    <row r="189" ht="15" customHeight="1">
      <c r="A189" t="inlineStr">
        <is>
          <t>A 14301-2023</t>
        </is>
      </c>
      <c r="B189" s="1" t="n">
        <v>45011</v>
      </c>
      <c r="C189" s="1" t="n">
        <v>45844</v>
      </c>
      <c r="D189" t="inlineStr">
        <is>
          <t>KALMAR LÄN</t>
        </is>
      </c>
      <c r="E189" t="inlineStr">
        <is>
          <t>VÄSTERVIK</t>
        </is>
      </c>
      <c r="G189" t="n">
        <v>4.4</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14301-2023 artfynd.xlsx", "A 14301-2023")</f>
        <v/>
      </c>
      <c r="T189">
        <f>HYPERLINK("https://klasma.github.io/Logging_0883/kartor/A 14301-2023 karta.png", "A 14301-2023")</f>
        <v/>
      </c>
      <c r="U189">
        <f>HYPERLINK("https://klasma.github.io/Logging_0883/knärot/A 14301-2023 karta knärot.png", "A 14301-2023")</f>
        <v/>
      </c>
      <c r="V189">
        <f>HYPERLINK("https://klasma.github.io/Logging_0883/klagomål/A 14301-2023 FSC-klagomål.docx", "A 14301-2023")</f>
        <v/>
      </c>
      <c r="W189">
        <f>HYPERLINK("https://klasma.github.io/Logging_0883/klagomålsmail/A 14301-2023 FSC-klagomål mail.docx", "A 14301-2023")</f>
        <v/>
      </c>
      <c r="X189">
        <f>HYPERLINK("https://klasma.github.io/Logging_0883/tillsyn/A 14301-2023 tillsynsbegäran.docx", "A 14301-2023")</f>
        <v/>
      </c>
      <c r="Y189">
        <f>HYPERLINK("https://klasma.github.io/Logging_0883/tillsynsmail/A 14301-2023 tillsynsbegäran mail.docx", "A 14301-2023")</f>
        <v/>
      </c>
    </row>
    <row r="190" ht="15" customHeight="1">
      <c r="A190" t="inlineStr">
        <is>
          <t>A 25435-2023</t>
        </is>
      </c>
      <c r="B190" s="1" t="n">
        <v>45089</v>
      </c>
      <c r="C190" s="1" t="n">
        <v>45844</v>
      </c>
      <c r="D190" t="inlineStr">
        <is>
          <t>KALMAR LÄN</t>
        </is>
      </c>
      <c r="E190" t="inlineStr">
        <is>
          <t>VÄSTERVIK</t>
        </is>
      </c>
      <c r="G190" t="n">
        <v>1.6</v>
      </c>
      <c r="H190" t="n">
        <v>2</v>
      </c>
      <c r="I190" t="n">
        <v>0</v>
      </c>
      <c r="J190" t="n">
        <v>0</v>
      </c>
      <c r="K190" t="n">
        <v>1</v>
      </c>
      <c r="L190" t="n">
        <v>0</v>
      </c>
      <c r="M190" t="n">
        <v>0</v>
      </c>
      <c r="N190" t="n">
        <v>0</v>
      </c>
      <c r="O190" t="n">
        <v>1</v>
      </c>
      <c r="P190" t="n">
        <v>1</v>
      </c>
      <c r="Q190" t="n">
        <v>2</v>
      </c>
      <c r="R190" s="2" t="inlineStr">
        <is>
          <t>Knärot
Tjäder</t>
        </is>
      </c>
      <c r="S190">
        <f>HYPERLINK("https://klasma.github.io/Logging_0883/artfynd/A 25435-2023 artfynd.xlsx", "A 25435-2023")</f>
        <v/>
      </c>
      <c r="T190">
        <f>HYPERLINK("https://klasma.github.io/Logging_0883/kartor/A 25435-2023 karta.png", "A 25435-2023")</f>
        <v/>
      </c>
      <c r="U190">
        <f>HYPERLINK("https://klasma.github.io/Logging_0883/knärot/A 25435-2023 karta knärot.png", "A 25435-2023")</f>
        <v/>
      </c>
      <c r="V190">
        <f>HYPERLINK("https://klasma.github.io/Logging_0883/klagomål/A 25435-2023 FSC-klagomål.docx", "A 25435-2023")</f>
        <v/>
      </c>
      <c r="W190">
        <f>HYPERLINK("https://klasma.github.io/Logging_0883/klagomålsmail/A 25435-2023 FSC-klagomål mail.docx", "A 25435-2023")</f>
        <v/>
      </c>
      <c r="X190">
        <f>HYPERLINK("https://klasma.github.io/Logging_0883/tillsyn/A 25435-2023 tillsynsbegäran.docx", "A 25435-2023")</f>
        <v/>
      </c>
      <c r="Y190">
        <f>HYPERLINK("https://klasma.github.io/Logging_0883/tillsynsmail/A 25435-2023 tillsynsbegäran mail.docx", "A 25435-2023")</f>
        <v/>
      </c>
      <c r="Z190">
        <f>HYPERLINK("https://klasma.github.io/Logging_0883/fåglar/A 25435-2023 prioriterade fågelarter.docx", "A 25435-2023")</f>
        <v/>
      </c>
    </row>
    <row r="191" ht="15" customHeight="1">
      <c r="A191" t="inlineStr">
        <is>
          <t>A 32649-2023</t>
        </is>
      </c>
      <c r="B191" s="1" t="n">
        <v>45121</v>
      </c>
      <c r="C191" s="1" t="n">
        <v>45844</v>
      </c>
      <c r="D191" t="inlineStr">
        <is>
          <t>KALMAR LÄN</t>
        </is>
      </c>
      <c r="E191" t="inlineStr">
        <is>
          <t>VÄSTERVIK</t>
        </is>
      </c>
      <c r="G191" t="n">
        <v>1.7</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32649-2023 artfynd.xlsx", "A 32649-2023")</f>
        <v/>
      </c>
      <c r="T191">
        <f>HYPERLINK("https://klasma.github.io/Logging_0883/kartor/A 32649-2023 karta.png", "A 32649-2023")</f>
        <v/>
      </c>
      <c r="U191">
        <f>HYPERLINK("https://klasma.github.io/Logging_0883/knärot/A 32649-2023 karta knärot.png", "A 32649-2023")</f>
        <v/>
      </c>
      <c r="V191">
        <f>HYPERLINK("https://klasma.github.io/Logging_0883/klagomål/A 32649-2023 FSC-klagomål.docx", "A 32649-2023")</f>
        <v/>
      </c>
      <c r="W191">
        <f>HYPERLINK("https://klasma.github.io/Logging_0883/klagomålsmail/A 32649-2023 FSC-klagomål mail.docx", "A 32649-2023")</f>
        <v/>
      </c>
      <c r="X191">
        <f>HYPERLINK("https://klasma.github.io/Logging_0883/tillsyn/A 32649-2023 tillsynsbegäran.docx", "A 32649-2023")</f>
        <v/>
      </c>
      <c r="Y191">
        <f>HYPERLINK("https://klasma.github.io/Logging_0883/tillsynsmail/A 32649-2023 tillsynsbegäran mail.docx", "A 32649-2023")</f>
        <v/>
      </c>
    </row>
    <row r="192" ht="15" customHeight="1">
      <c r="A192" t="inlineStr">
        <is>
          <t>A 33824-2023</t>
        </is>
      </c>
      <c r="B192" s="1" t="n">
        <v>45133</v>
      </c>
      <c r="C192" s="1" t="n">
        <v>45844</v>
      </c>
      <c r="D192" t="inlineStr">
        <is>
          <t>KALMAR LÄN</t>
        </is>
      </c>
      <c r="E192" t="inlineStr">
        <is>
          <t>VÄSTERVIK</t>
        </is>
      </c>
      <c r="G192" t="n">
        <v>2</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33824-2023 artfynd.xlsx", "A 33824-2023")</f>
        <v/>
      </c>
      <c r="T192">
        <f>HYPERLINK("https://klasma.github.io/Logging_0883/kartor/A 33824-2023 karta.png", "A 33824-2023")</f>
        <v/>
      </c>
      <c r="U192">
        <f>HYPERLINK("https://klasma.github.io/Logging_0883/knärot/A 33824-2023 karta knärot.png", "A 33824-2023")</f>
        <v/>
      </c>
      <c r="V192">
        <f>HYPERLINK("https://klasma.github.io/Logging_0883/klagomål/A 33824-2023 FSC-klagomål.docx", "A 33824-2023")</f>
        <v/>
      </c>
      <c r="W192">
        <f>HYPERLINK("https://klasma.github.io/Logging_0883/klagomålsmail/A 33824-2023 FSC-klagomål mail.docx", "A 33824-2023")</f>
        <v/>
      </c>
      <c r="X192">
        <f>HYPERLINK("https://klasma.github.io/Logging_0883/tillsyn/A 33824-2023 tillsynsbegäran.docx", "A 33824-2023")</f>
        <v/>
      </c>
      <c r="Y192">
        <f>HYPERLINK("https://klasma.github.io/Logging_0883/tillsynsmail/A 33824-2023 tillsynsbegäran mail.docx", "A 33824-2023")</f>
        <v/>
      </c>
    </row>
    <row r="193" ht="15" customHeight="1">
      <c r="A193" t="inlineStr">
        <is>
          <t>A 33825-2023</t>
        </is>
      </c>
      <c r="B193" s="1" t="n">
        <v>45133</v>
      </c>
      <c r="C193" s="1" t="n">
        <v>45844</v>
      </c>
      <c r="D193" t="inlineStr">
        <is>
          <t>KALMAR LÄN</t>
        </is>
      </c>
      <c r="E193" t="inlineStr">
        <is>
          <t>VÄSTERVIK</t>
        </is>
      </c>
      <c r="G193" t="n">
        <v>2.2</v>
      </c>
      <c r="H193" t="n">
        <v>2</v>
      </c>
      <c r="I193" t="n">
        <v>0</v>
      </c>
      <c r="J193" t="n">
        <v>0</v>
      </c>
      <c r="K193" t="n">
        <v>1</v>
      </c>
      <c r="L193" t="n">
        <v>0</v>
      </c>
      <c r="M193" t="n">
        <v>0</v>
      </c>
      <c r="N193" t="n">
        <v>0</v>
      </c>
      <c r="O193" t="n">
        <v>1</v>
      </c>
      <c r="P193" t="n">
        <v>1</v>
      </c>
      <c r="Q193" t="n">
        <v>2</v>
      </c>
      <c r="R193" s="2" t="inlineStr">
        <is>
          <t>Knärot
Tjäder</t>
        </is>
      </c>
      <c r="S193">
        <f>HYPERLINK("https://klasma.github.io/Logging_0883/artfynd/A 33825-2023 artfynd.xlsx", "A 33825-2023")</f>
        <v/>
      </c>
      <c r="T193">
        <f>HYPERLINK("https://klasma.github.io/Logging_0883/kartor/A 33825-2023 karta.png", "A 33825-2023")</f>
        <v/>
      </c>
      <c r="U193">
        <f>HYPERLINK("https://klasma.github.io/Logging_0883/knärot/A 33825-2023 karta knärot.png", "A 33825-2023")</f>
        <v/>
      </c>
      <c r="V193">
        <f>HYPERLINK("https://klasma.github.io/Logging_0883/klagomål/A 33825-2023 FSC-klagomål.docx", "A 33825-2023")</f>
        <v/>
      </c>
      <c r="W193">
        <f>HYPERLINK("https://klasma.github.io/Logging_0883/klagomålsmail/A 33825-2023 FSC-klagomål mail.docx", "A 33825-2023")</f>
        <v/>
      </c>
      <c r="X193">
        <f>HYPERLINK("https://klasma.github.io/Logging_0883/tillsyn/A 33825-2023 tillsynsbegäran.docx", "A 33825-2023")</f>
        <v/>
      </c>
      <c r="Y193">
        <f>HYPERLINK("https://klasma.github.io/Logging_0883/tillsynsmail/A 33825-2023 tillsynsbegäran mail.docx", "A 33825-2023")</f>
        <v/>
      </c>
      <c r="Z193">
        <f>HYPERLINK("https://klasma.github.io/Logging_0883/fåglar/A 33825-2023 prioriterade fågelarter.docx", "A 33825-2023")</f>
        <v/>
      </c>
    </row>
    <row r="194" ht="15" customHeight="1">
      <c r="A194" t="inlineStr">
        <is>
          <t>A 34120-2023</t>
        </is>
      </c>
      <c r="B194" s="1" t="n">
        <v>45135</v>
      </c>
      <c r="C194" s="1" t="n">
        <v>45844</v>
      </c>
      <c r="D194" t="inlineStr">
        <is>
          <t>KALMAR LÄN</t>
        </is>
      </c>
      <c r="E194" t="inlineStr">
        <is>
          <t>VÄSTERVIK</t>
        </is>
      </c>
      <c r="G194" t="n">
        <v>2.1</v>
      </c>
      <c r="H194" t="n">
        <v>1</v>
      </c>
      <c r="I194" t="n">
        <v>1</v>
      </c>
      <c r="J194" t="n">
        <v>0</v>
      </c>
      <c r="K194" t="n">
        <v>1</v>
      </c>
      <c r="L194" t="n">
        <v>0</v>
      </c>
      <c r="M194" t="n">
        <v>0</v>
      </c>
      <c r="N194" t="n">
        <v>0</v>
      </c>
      <c r="O194" t="n">
        <v>1</v>
      </c>
      <c r="P194" t="n">
        <v>1</v>
      </c>
      <c r="Q194" t="n">
        <v>2</v>
      </c>
      <c r="R194" s="2" t="inlineStr">
        <is>
          <t>Knärot
Blodticka</t>
        </is>
      </c>
      <c r="S194">
        <f>HYPERLINK("https://klasma.github.io/Logging_0883/artfynd/A 34120-2023 artfynd.xlsx", "A 34120-2023")</f>
        <v/>
      </c>
      <c r="T194">
        <f>HYPERLINK("https://klasma.github.io/Logging_0883/kartor/A 34120-2023 karta.png", "A 34120-2023")</f>
        <v/>
      </c>
      <c r="U194">
        <f>HYPERLINK("https://klasma.github.io/Logging_0883/knärot/A 34120-2023 karta knärot.png", "A 34120-2023")</f>
        <v/>
      </c>
      <c r="V194">
        <f>HYPERLINK("https://klasma.github.io/Logging_0883/klagomål/A 34120-2023 FSC-klagomål.docx", "A 34120-2023")</f>
        <v/>
      </c>
      <c r="W194">
        <f>HYPERLINK("https://klasma.github.io/Logging_0883/klagomålsmail/A 34120-2023 FSC-klagomål mail.docx", "A 34120-2023")</f>
        <v/>
      </c>
      <c r="X194">
        <f>HYPERLINK("https://klasma.github.io/Logging_0883/tillsyn/A 34120-2023 tillsynsbegäran.docx", "A 34120-2023")</f>
        <v/>
      </c>
      <c r="Y194">
        <f>HYPERLINK("https://klasma.github.io/Logging_0883/tillsynsmail/A 34120-2023 tillsynsbegäran mail.docx", "A 34120-2023")</f>
        <v/>
      </c>
    </row>
    <row r="195" ht="15" customHeight="1">
      <c r="A195" t="inlineStr">
        <is>
          <t>A 34119-2023</t>
        </is>
      </c>
      <c r="B195" s="1" t="n">
        <v>45135</v>
      </c>
      <c r="C195" s="1" t="n">
        <v>45844</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38036-2023</t>
        </is>
      </c>
      <c r="B196" s="1" t="n">
        <v>45160</v>
      </c>
      <c r="C196" s="1" t="n">
        <v>45844</v>
      </c>
      <c r="D196" t="inlineStr">
        <is>
          <t>KALMAR LÄN</t>
        </is>
      </c>
      <c r="E196" t="inlineStr">
        <is>
          <t>VÄSTERVIK</t>
        </is>
      </c>
      <c r="F196" t="inlineStr">
        <is>
          <t>Sveaskog</t>
        </is>
      </c>
      <c r="G196" t="n">
        <v>4.2</v>
      </c>
      <c r="H196" t="n">
        <v>2</v>
      </c>
      <c r="I196" t="n">
        <v>0</v>
      </c>
      <c r="J196" t="n">
        <v>2</v>
      </c>
      <c r="K196" t="n">
        <v>0</v>
      </c>
      <c r="L196" t="n">
        <v>0</v>
      </c>
      <c r="M196" t="n">
        <v>0</v>
      </c>
      <c r="N196" t="n">
        <v>0</v>
      </c>
      <c r="O196" t="n">
        <v>2</v>
      </c>
      <c r="P196" t="n">
        <v>0</v>
      </c>
      <c r="Q196" t="n">
        <v>2</v>
      </c>
      <c r="R196" s="2" t="inlineStr">
        <is>
          <t>Barbastell
Nordfladdermus</t>
        </is>
      </c>
      <c r="S196">
        <f>HYPERLINK("https://klasma.github.io/Logging_0883/artfynd/A 38036-2023 artfynd.xlsx", "A 38036-2023")</f>
        <v/>
      </c>
      <c r="T196">
        <f>HYPERLINK("https://klasma.github.io/Logging_0883/kartor/A 38036-2023 karta.png", "A 38036-2023")</f>
        <v/>
      </c>
      <c r="V196">
        <f>HYPERLINK("https://klasma.github.io/Logging_0883/klagomål/A 38036-2023 FSC-klagomål.docx", "A 38036-2023")</f>
        <v/>
      </c>
      <c r="W196">
        <f>HYPERLINK("https://klasma.github.io/Logging_0883/klagomålsmail/A 38036-2023 FSC-klagomål mail.docx", "A 38036-2023")</f>
        <v/>
      </c>
      <c r="X196">
        <f>HYPERLINK("https://klasma.github.io/Logging_0883/tillsyn/A 38036-2023 tillsynsbegäran.docx", "A 38036-2023")</f>
        <v/>
      </c>
      <c r="Y196">
        <f>HYPERLINK("https://klasma.github.io/Logging_0883/tillsynsmail/A 38036-2023 tillsynsbegäran mail.docx", "A 38036-2023")</f>
        <v/>
      </c>
    </row>
    <row r="197" ht="15" customHeight="1">
      <c r="A197" t="inlineStr">
        <is>
          <t>A 46089-2023</t>
        </is>
      </c>
      <c r="B197" s="1" t="n">
        <v>45196</v>
      </c>
      <c r="C197" s="1" t="n">
        <v>45844</v>
      </c>
      <c r="D197" t="inlineStr">
        <is>
          <t>KALMAR LÄN</t>
        </is>
      </c>
      <c r="E197" t="inlineStr">
        <is>
          <t>VÄSTERVIK</t>
        </is>
      </c>
      <c r="F197" t="inlineStr">
        <is>
          <t>Sveaskog</t>
        </is>
      </c>
      <c r="G197" t="n">
        <v>1.1</v>
      </c>
      <c r="H197" t="n">
        <v>1</v>
      </c>
      <c r="I197" t="n">
        <v>1</v>
      </c>
      <c r="J197" t="n">
        <v>0</v>
      </c>
      <c r="K197" t="n">
        <v>0</v>
      </c>
      <c r="L197" t="n">
        <v>0</v>
      </c>
      <c r="M197" t="n">
        <v>0</v>
      </c>
      <c r="N197" t="n">
        <v>0</v>
      </c>
      <c r="O197" t="n">
        <v>0</v>
      </c>
      <c r="P197" t="n">
        <v>0</v>
      </c>
      <c r="Q197" t="n">
        <v>2</v>
      </c>
      <c r="R197" s="2" t="inlineStr">
        <is>
          <t>Fällmossa
Blåsippa</t>
        </is>
      </c>
      <c r="S197">
        <f>HYPERLINK("https://klasma.github.io/Logging_0883/artfynd/A 46089-2023 artfynd.xlsx", "A 46089-2023")</f>
        <v/>
      </c>
      <c r="T197">
        <f>HYPERLINK("https://klasma.github.io/Logging_0883/kartor/A 46089-2023 karta.png", "A 46089-2023")</f>
        <v/>
      </c>
      <c r="V197">
        <f>HYPERLINK("https://klasma.github.io/Logging_0883/klagomål/A 46089-2023 FSC-klagomål.docx", "A 46089-2023")</f>
        <v/>
      </c>
      <c r="W197">
        <f>HYPERLINK("https://klasma.github.io/Logging_0883/klagomålsmail/A 46089-2023 FSC-klagomål mail.docx", "A 46089-2023")</f>
        <v/>
      </c>
      <c r="X197">
        <f>HYPERLINK("https://klasma.github.io/Logging_0883/tillsyn/A 46089-2023 tillsynsbegäran.docx", "A 46089-2023")</f>
        <v/>
      </c>
      <c r="Y197">
        <f>HYPERLINK("https://klasma.github.io/Logging_0883/tillsynsmail/A 46089-2023 tillsynsbegäran mail.docx", "A 46089-2023")</f>
        <v/>
      </c>
    </row>
    <row r="198" ht="15" customHeight="1">
      <c r="A198" t="inlineStr">
        <is>
          <t>A 47935-2023</t>
        </is>
      </c>
      <c r="B198" s="1" t="n">
        <v>45204</v>
      </c>
      <c r="C198" s="1" t="n">
        <v>45844</v>
      </c>
      <c r="D198" t="inlineStr">
        <is>
          <t>KALMAR LÄN</t>
        </is>
      </c>
      <c r="E198" t="inlineStr">
        <is>
          <t>VÄSTERVIK</t>
        </is>
      </c>
      <c r="G198" t="n">
        <v>4.3</v>
      </c>
      <c r="H198" t="n">
        <v>0</v>
      </c>
      <c r="I198" t="n">
        <v>1</v>
      </c>
      <c r="J198" t="n">
        <v>1</v>
      </c>
      <c r="K198" t="n">
        <v>0</v>
      </c>
      <c r="L198" t="n">
        <v>0</v>
      </c>
      <c r="M198" t="n">
        <v>0</v>
      </c>
      <c r="N198" t="n">
        <v>0</v>
      </c>
      <c r="O198" t="n">
        <v>1</v>
      </c>
      <c r="P198" t="n">
        <v>0</v>
      </c>
      <c r="Q198" t="n">
        <v>2</v>
      </c>
      <c r="R198" s="2" t="inlineStr">
        <is>
          <t>Tallticka
Blåmossa</t>
        </is>
      </c>
      <c r="S198">
        <f>HYPERLINK("https://klasma.github.io/Logging_0883/artfynd/A 47935-2023 artfynd.xlsx", "A 47935-2023")</f>
        <v/>
      </c>
      <c r="T198">
        <f>HYPERLINK("https://klasma.github.io/Logging_0883/kartor/A 47935-2023 karta.png", "A 47935-2023")</f>
        <v/>
      </c>
      <c r="V198">
        <f>HYPERLINK("https://klasma.github.io/Logging_0883/klagomål/A 47935-2023 FSC-klagomål.docx", "A 47935-2023")</f>
        <v/>
      </c>
      <c r="W198">
        <f>HYPERLINK("https://klasma.github.io/Logging_0883/klagomålsmail/A 47935-2023 FSC-klagomål mail.docx", "A 47935-2023")</f>
        <v/>
      </c>
      <c r="X198">
        <f>HYPERLINK("https://klasma.github.io/Logging_0883/tillsyn/A 47935-2023 tillsynsbegäran.docx", "A 47935-2023")</f>
        <v/>
      </c>
      <c r="Y198">
        <f>HYPERLINK("https://klasma.github.io/Logging_0883/tillsynsmail/A 47935-2023 tillsynsbegäran mail.docx", "A 47935-2023")</f>
        <v/>
      </c>
    </row>
    <row r="199" ht="15" customHeight="1">
      <c r="A199" t="inlineStr">
        <is>
          <t>A 54360-2023</t>
        </is>
      </c>
      <c r="B199" s="1" t="n">
        <v>45233</v>
      </c>
      <c r="C199" s="1" t="n">
        <v>45844</v>
      </c>
      <c r="D199" t="inlineStr">
        <is>
          <t>KALMAR LÄN</t>
        </is>
      </c>
      <c r="E199" t="inlineStr">
        <is>
          <t>VÄSTERVIK</t>
        </is>
      </c>
      <c r="F199" t="inlineStr">
        <is>
          <t>Sveaskog</t>
        </is>
      </c>
      <c r="G199" t="n">
        <v>8.5</v>
      </c>
      <c r="H199" t="n">
        <v>1</v>
      </c>
      <c r="I199" t="n">
        <v>0</v>
      </c>
      <c r="J199" t="n">
        <v>1</v>
      </c>
      <c r="K199" t="n">
        <v>0</v>
      </c>
      <c r="L199" t="n">
        <v>0</v>
      </c>
      <c r="M199" t="n">
        <v>0</v>
      </c>
      <c r="N199" t="n">
        <v>0</v>
      </c>
      <c r="O199" t="n">
        <v>1</v>
      </c>
      <c r="P199" t="n">
        <v>0</v>
      </c>
      <c r="Q199" t="n">
        <v>2</v>
      </c>
      <c r="R199" s="2" t="inlineStr">
        <is>
          <t>Spindelört
Mattlummer</t>
        </is>
      </c>
      <c r="S199">
        <f>HYPERLINK("https://klasma.github.io/Logging_0883/artfynd/A 54360-2023 artfynd.xlsx", "A 54360-2023")</f>
        <v/>
      </c>
      <c r="T199">
        <f>HYPERLINK("https://klasma.github.io/Logging_0883/kartor/A 54360-2023 karta.png", "A 54360-2023")</f>
        <v/>
      </c>
      <c r="V199">
        <f>HYPERLINK("https://klasma.github.io/Logging_0883/klagomål/A 54360-2023 FSC-klagomål.docx", "A 54360-2023")</f>
        <v/>
      </c>
      <c r="W199">
        <f>HYPERLINK("https://klasma.github.io/Logging_0883/klagomålsmail/A 54360-2023 FSC-klagomål mail.docx", "A 54360-2023")</f>
        <v/>
      </c>
      <c r="X199">
        <f>HYPERLINK("https://klasma.github.io/Logging_0883/tillsyn/A 54360-2023 tillsynsbegäran.docx", "A 54360-2023")</f>
        <v/>
      </c>
      <c r="Y199">
        <f>HYPERLINK("https://klasma.github.io/Logging_0883/tillsynsmail/A 54360-2023 tillsynsbegäran mail.docx", "A 54360-2023")</f>
        <v/>
      </c>
    </row>
    <row r="200" ht="15" customHeight="1">
      <c r="A200" t="inlineStr">
        <is>
          <t>A 54800-2023</t>
        </is>
      </c>
      <c r="B200" s="1" t="n">
        <v>45236</v>
      </c>
      <c r="C200" s="1" t="n">
        <v>45844</v>
      </c>
      <c r="D200" t="inlineStr">
        <is>
          <t>KALMAR LÄN</t>
        </is>
      </c>
      <c r="E200" t="inlineStr">
        <is>
          <t>VÄSTERVIK</t>
        </is>
      </c>
      <c r="G200" t="n">
        <v>0.7</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54800-2023 artfynd.xlsx", "A 54800-2023")</f>
        <v/>
      </c>
      <c r="T200">
        <f>HYPERLINK("https://klasma.github.io/Logging_0883/kartor/A 54800-2023 karta.png", "A 54800-2023")</f>
        <v/>
      </c>
      <c r="U200">
        <f>HYPERLINK("https://klasma.github.io/Logging_0883/knärot/A 54800-2023 karta knärot.png", "A 54800-2023")</f>
        <v/>
      </c>
      <c r="V200">
        <f>HYPERLINK("https://klasma.github.io/Logging_0883/klagomål/A 54800-2023 FSC-klagomål.docx", "A 54800-2023")</f>
        <v/>
      </c>
      <c r="W200">
        <f>HYPERLINK("https://klasma.github.io/Logging_0883/klagomålsmail/A 54800-2023 FSC-klagomål mail.docx", "A 54800-2023")</f>
        <v/>
      </c>
      <c r="X200">
        <f>HYPERLINK("https://klasma.github.io/Logging_0883/tillsyn/A 54800-2023 tillsynsbegäran.docx", "A 54800-2023")</f>
        <v/>
      </c>
      <c r="Y200">
        <f>HYPERLINK("https://klasma.github.io/Logging_0883/tillsynsmail/A 54800-2023 tillsynsbegäran mail.docx", "A 54800-2023")</f>
        <v/>
      </c>
      <c r="Z200">
        <f>HYPERLINK("https://klasma.github.io/Logging_0883/fåglar/A 54800-2023 prioriterade fågelarter.docx", "A 54800-2023")</f>
        <v/>
      </c>
    </row>
    <row r="201" ht="15" customHeight="1">
      <c r="A201" t="inlineStr">
        <is>
          <t>A 55408-2023</t>
        </is>
      </c>
      <c r="B201" s="1" t="n">
        <v>45238</v>
      </c>
      <c r="C201" s="1" t="n">
        <v>45844</v>
      </c>
      <c r="D201" t="inlineStr">
        <is>
          <t>KALMAR LÄN</t>
        </is>
      </c>
      <c r="E201" t="inlineStr">
        <is>
          <t>VÄSTERVIK</t>
        </is>
      </c>
      <c r="G201" t="n">
        <v>2.8</v>
      </c>
      <c r="H201" t="n">
        <v>0</v>
      </c>
      <c r="I201" t="n">
        <v>0</v>
      </c>
      <c r="J201" t="n">
        <v>2</v>
      </c>
      <c r="K201" t="n">
        <v>0</v>
      </c>
      <c r="L201" t="n">
        <v>0</v>
      </c>
      <c r="M201" t="n">
        <v>0</v>
      </c>
      <c r="N201" t="n">
        <v>0</v>
      </c>
      <c r="O201" t="n">
        <v>2</v>
      </c>
      <c r="P201" t="n">
        <v>0</v>
      </c>
      <c r="Q201" t="n">
        <v>2</v>
      </c>
      <c r="R201" s="2" t="inlineStr">
        <is>
          <t>Ekticka
Tallticka</t>
        </is>
      </c>
      <c r="S201">
        <f>HYPERLINK("https://klasma.github.io/Logging_0883/artfynd/A 55408-2023 artfynd.xlsx", "A 55408-2023")</f>
        <v/>
      </c>
      <c r="T201">
        <f>HYPERLINK("https://klasma.github.io/Logging_0883/kartor/A 55408-2023 karta.png", "A 55408-2023")</f>
        <v/>
      </c>
      <c r="V201">
        <f>HYPERLINK("https://klasma.github.io/Logging_0883/klagomål/A 55408-2023 FSC-klagomål.docx", "A 55408-2023")</f>
        <v/>
      </c>
      <c r="W201">
        <f>HYPERLINK("https://klasma.github.io/Logging_0883/klagomålsmail/A 55408-2023 FSC-klagomål mail.docx", "A 55408-2023")</f>
        <v/>
      </c>
      <c r="X201">
        <f>HYPERLINK("https://klasma.github.io/Logging_0883/tillsyn/A 55408-2023 tillsynsbegäran.docx", "A 55408-2023")</f>
        <v/>
      </c>
      <c r="Y201">
        <f>HYPERLINK("https://klasma.github.io/Logging_0883/tillsynsmail/A 55408-2023 tillsynsbegäran mail.docx", "A 55408-2023")</f>
        <v/>
      </c>
    </row>
    <row r="202" ht="15" customHeight="1">
      <c r="A202" t="inlineStr">
        <is>
          <t>A 56857-2023</t>
        </is>
      </c>
      <c r="B202" s="1" t="n">
        <v>45244</v>
      </c>
      <c r="C202" s="1" t="n">
        <v>45844</v>
      </c>
      <c r="D202" t="inlineStr">
        <is>
          <t>KALMAR LÄN</t>
        </is>
      </c>
      <c r="E202" t="inlineStr">
        <is>
          <t>VÄSTERVIK</t>
        </is>
      </c>
      <c r="F202" t="inlineStr">
        <is>
          <t>Kyrkan</t>
        </is>
      </c>
      <c r="G202" t="n">
        <v>7.5</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56857-2023 artfynd.xlsx", "A 56857-2023")</f>
        <v/>
      </c>
      <c r="T202">
        <f>HYPERLINK("https://klasma.github.io/Logging_0883/kartor/A 56857-2023 karta.png", "A 56857-2023")</f>
        <v/>
      </c>
      <c r="U202">
        <f>HYPERLINK("https://klasma.github.io/Logging_0883/knärot/A 56857-2023 karta knärot.png", "A 56857-2023")</f>
        <v/>
      </c>
      <c r="V202">
        <f>HYPERLINK("https://klasma.github.io/Logging_0883/klagomål/A 56857-2023 FSC-klagomål.docx", "A 56857-2023")</f>
        <v/>
      </c>
      <c r="W202">
        <f>HYPERLINK("https://klasma.github.io/Logging_0883/klagomålsmail/A 56857-2023 FSC-klagomål mail.docx", "A 56857-2023")</f>
        <v/>
      </c>
      <c r="X202">
        <f>HYPERLINK("https://klasma.github.io/Logging_0883/tillsyn/A 56857-2023 tillsynsbegäran.docx", "A 56857-2023")</f>
        <v/>
      </c>
      <c r="Y202">
        <f>HYPERLINK("https://klasma.github.io/Logging_0883/tillsynsmail/A 56857-2023 tillsynsbegäran mail.docx", "A 56857-2023")</f>
        <v/>
      </c>
    </row>
    <row r="203" ht="15" customHeight="1">
      <c r="A203" t="inlineStr">
        <is>
          <t>A 60631-2023</t>
        </is>
      </c>
      <c r="B203" s="1" t="n">
        <v>45260</v>
      </c>
      <c r="C203" s="1" t="n">
        <v>45844</v>
      </c>
      <c r="D203" t="inlineStr">
        <is>
          <t>KALMAR LÄN</t>
        </is>
      </c>
      <c r="E203" t="inlineStr">
        <is>
          <t>VÄSTERVIK</t>
        </is>
      </c>
      <c r="G203" t="n">
        <v>4.5</v>
      </c>
      <c r="H203" t="n">
        <v>1</v>
      </c>
      <c r="I203" t="n">
        <v>1</v>
      </c>
      <c r="J203" t="n">
        <v>0</v>
      </c>
      <c r="K203" t="n">
        <v>0</v>
      </c>
      <c r="L203" t="n">
        <v>0</v>
      </c>
      <c r="M203" t="n">
        <v>0</v>
      </c>
      <c r="N203" t="n">
        <v>0</v>
      </c>
      <c r="O203" t="n">
        <v>0</v>
      </c>
      <c r="P203" t="n">
        <v>0</v>
      </c>
      <c r="Q203" t="n">
        <v>2</v>
      </c>
      <c r="R203" s="2" t="inlineStr">
        <is>
          <t>Blomkålssvamp
Revlummer</t>
        </is>
      </c>
      <c r="S203">
        <f>HYPERLINK("https://klasma.github.io/Logging_0883/artfynd/A 60631-2023 artfynd.xlsx", "A 60631-2023")</f>
        <v/>
      </c>
      <c r="T203">
        <f>HYPERLINK("https://klasma.github.io/Logging_0883/kartor/A 60631-2023 karta.png", "A 60631-2023")</f>
        <v/>
      </c>
      <c r="V203">
        <f>HYPERLINK("https://klasma.github.io/Logging_0883/klagomål/A 60631-2023 FSC-klagomål.docx", "A 60631-2023")</f>
        <v/>
      </c>
      <c r="W203">
        <f>HYPERLINK("https://klasma.github.io/Logging_0883/klagomålsmail/A 60631-2023 FSC-klagomål mail.docx", "A 60631-2023")</f>
        <v/>
      </c>
      <c r="X203">
        <f>HYPERLINK("https://klasma.github.io/Logging_0883/tillsyn/A 60631-2023 tillsynsbegäran.docx", "A 60631-2023")</f>
        <v/>
      </c>
      <c r="Y203">
        <f>HYPERLINK("https://klasma.github.io/Logging_0883/tillsynsmail/A 60631-2023 tillsynsbegäran mail.docx", "A 60631-2023")</f>
        <v/>
      </c>
    </row>
    <row r="204" ht="15" customHeight="1">
      <c r="A204" t="inlineStr">
        <is>
          <t>A 60920-2023</t>
        </is>
      </c>
      <c r="B204" s="1" t="n">
        <v>45261</v>
      </c>
      <c r="C204" s="1" t="n">
        <v>45844</v>
      </c>
      <c r="D204" t="inlineStr">
        <is>
          <t>KALMAR LÄN</t>
        </is>
      </c>
      <c r="E204" t="inlineStr">
        <is>
          <t>VÄSTERVIK</t>
        </is>
      </c>
      <c r="G204" t="n">
        <v>10.1</v>
      </c>
      <c r="H204" t="n">
        <v>0</v>
      </c>
      <c r="I204" t="n">
        <v>0</v>
      </c>
      <c r="J204" t="n">
        <v>2</v>
      </c>
      <c r="K204" t="n">
        <v>0</v>
      </c>
      <c r="L204" t="n">
        <v>0</v>
      </c>
      <c r="M204" t="n">
        <v>0</v>
      </c>
      <c r="N204" t="n">
        <v>0</v>
      </c>
      <c r="O204" t="n">
        <v>2</v>
      </c>
      <c r="P204" t="n">
        <v>0</v>
      </c>
      <c r="Q204" t="n">
        <v>2</v>
      </c>
      <c r="R204" s="2" t="inlineStr">
        <is>
          <t>Solvända
Spindelört</t>
        </is>
      </c>
      <c r="S204">
        <f>HYPERLINK("https://klasma.github.io/Logging_0883/artfynd/A 60920-2023 artfynd.xlsx", "A 60920-2023")</f>
        <v/>
      </c>
      <c r="T204">
        <f>HYPERLINK("https://klasma.github.io/Logging_0883/kartor/A 60920-2023 karta.png", "A 60920-2023")</f>
        <v/>
      </c>
      <c r="V204">
        <f>HYPERLINK("https://klasma.github.io/Logging_0883/klagomål/A 60920-2023 FSC-klagomål.docx", "A 60920-2023")</f>
        <v/>
      </c>
      <c r="W204">
        <f>HYPERLINK("https://klasma.github.io/Logging_0883/klagomålsmail/A 60920-2023 FSC-klagomål mail.docx", "A 60920-2023")</f>
        <v/>
      </c>
      <c r="X204">
        <f>HYPERLINK("https://klasma.github.io/Logging_0883/tillsyn/A 60920-2023 tillsynsbegäran.docx", "A 60920-2023")</f>
        <v/>
      </c>
      <c r="Y204">
        <f>HYPERLINK("https://klasma.github.io/Logging_0883/tillsynsmail/A 60920-2023 tillsynsbegäran mail.docx", "A 60920-2023")</f>
        <v/>
      </c>
    </row>
    <row r="205" ht="15" customHeight="1">
      <c r="A205" t="inlineStr">
        <is>
          <t>A 61804-2023</t>
        </is>
      </c>
      <c r="B205" s="1" t="n">
        <v>45266</v>
      </c>
      <c r="C205" s="1" t="n">
        <v>45844</v>
      </c>
      <c r="D205" t="inlineStr">
        <is>
          <t>KALMAR LÄN</t>
        </is>
      </c>
      <c r="E205" t="inlineStr">
        <is>
          <t>VÄSTERVIK</t>
        </is>
      </c>
      <c r="G205" t="n">
        <v>2.3</v>
      </c>
      <c r="H205" t="n">
        <v>0</v>
      </c>
      <c r="I205" t="n">
        <v>0</v>
      </c>
      <c r="J205" t="n">
        <v>2</v>
      </c>
      <c r="K205" t="n">
        <v>0</v>
      </c>
      <c r="L205" t="n">
        <v>0</v>
      </c>
      <c r="M205" t="n">
        <v>0</v>
      </c>
      <c r="N205" t="n">
        <v>0</v>
      </c>
      <c r="O205" t="n">
        <v>2</v>
      </c>
      <c r="P205" t="n">
        <v>0</v>
      </c>
      <c r="Q205" t="n">
        <v>2</v>
      </c>
      <c r="R205" s="2" t="inlineStr">
        <is>
          <t>Bredbrämad bastardsvärmare
Smalsprötad bastardsvärmare</t>
        </is>
      </c>
      <c r="S205">
        <f>HYPERLINK("https://klasma.github.io/Logging_0883/artfynd/A 61804-2023 artfynd.xlsx", "A 61804-2023")</f>
        <v/>
      </c>
      <c r="T205">
        <f>HYPERLINK("https://klasma.github.io/Logging_0883/kartor/A 61804-2023 karta.png", "A 61804-2023")</f>
        <v/>
      </c>
      <c r="V205">
        <f>HYPERLINK("https://klasma.github.io/Logging_0883/klagomål/A 61804-2023 FSC-klagomål.docx", "A 61804-2023")</f>
        <v/>
      </c>
      <c r="W205">
        <f>HYPERLINK("https://klasma.github.io/Logging_0883/klagomålsmail/A 61804-2023 FSC-klagomål mail.docx", "A 61804-2023")</f>
        <v/>
      </c>
      <c r="X205">
        <f>HYPERLINK("https://klasma.github.io/Logging_0883/tillsyn/A 61804-2023 tillsynsbegäran.docx", "A 61804-2023")</f>
        <v/>
      </c>
      <c r="Y205">
        <f>HYPERLINK("https://klasma.github.io/Logging_0883/tillsynsmail/A 61804-2023 tillsynsbegäran mail.docx", "A 61804-2023")</f>
        <v/>
      </c>
    </row>
    <row r="206" ht="15" customHeight="1">
      <c r="A206" t="inlineStr">
        <is>
          <t>A 62008-2023</t>
        </is>
      </c>
      <c r="B206" s="1" t="n">
        <v>45266</v>
      </c>
      <c r="C206" s="1" t="n">
        <v>45844</v>
      </c>
      <c r="D206" t="inlineStr">
        <is>
          <t>KALMAR LÄN</t>
        </is>
      </c>
      <c r="E206" t="inlineStr">
        <is>
          <t>VÄSTERVIK</t>
        </is>
      </c>
      <c r="G206" t="n">
        <v>4</v>
      </c>
      <c r="H206" t="n">
        <v>2</v>
      </c>
      <c r="I206" t="n">
        <v>0</v>
      </c>
      <c r="J206" t="n">
        <v>1</v>
      </c>
      <c r="K206" t="n">
        <v>1</v>
      </c>
      <c r="L206" t="n">
        <v>0</v>
      </c>
      <c r="M206" t="n">
        <v>0</v>
      </c>
      <c r="N206" t="n">
        <v>0</v>
      </c>
      <c r="O206" t="n">
        <v>2</v>
      </c>
      <c r="P206" t="n">
        <v>1</v>
      </c>
      <c r="Q206" t="n">
        <v>2</v>
      </c>
      <c r="R206" s="2" t="inlineStr">
        <is>
          <t>Knärot
Talltita</t>
        </is>
      </c>
      <c r="S206">
        <f>HYPERLINK("https://klasma.github.io/Logging_0883/artfynd/A 62008-2023 artfynd.xlsx", "A 62008-2023")</f>
        <v/>
      </c>
      <c r="T206">
        <f>HYPERLINK("https://klasma.github.io/Logging_0883/kartor/A 62008-2023 karta.png", "A 62008-2023")</f>
        <v/>
      </c>
      <c r="U206">
        <f>HYPERLINK("https://klasma.github.io/Logging_0883/knärot/A 62008-2023 karta knärot.png", "A 62008-2023")</f>
        <v/>
      </c>
      <c r="V206">
        <f>HYPERLINK("https://klasma.github.io/Logging_0883/klagomål/A 62008-2023 FSC-klagomål.docx", "A 62008-2023")</f>
        <v/>
      </c>
      <c r="W206">
        <f>HYPERLINK("https://klasma.github.io/Logging_0883/klagomålsmail/A 62008-2023 FSC-klagomål mail.docx", "A 62008-2023")</f>
        <v/>
      </c>
      <c r="X206">
        <f>HYPERLINK("https://klasma.github.io/Logging_0883/tillsyn/A 62008-2023 tillsynsbegäran.docx", "A 62008-2023")</f>
        <v/>
      </c>
      <c r="Y206">
        <f>HYPERLINK("https://klasma.github.io/Logging_0883/tillsynsmail/A 62008-2023 tillsynsbegäran mail.docx", "A 62008-2023")</f>
        <v/>
      </c>
      <c r="Z206">
        <f>HYPERLINK("https://klasma.github.io/Logging_0883/fåglar/A 62008-2023 prioriterade fågelarter.docx", "A 62008-2023")</f>
        <v/>
      </c>
    </row>
    <row r="207" ht="15" customHeight="1">
      <c r="A207" t="inlineStr">
        <is>
          <t>A 62029-2023</t>
        </is>
      </c>
      <c r="B207" s="1" t="n">
        <v>45266</v>
      </c>
      <c r="C207" s="1" t="n">
        <v>45844</v>
      </c>
      <c r="D207" t="inlineStr">
        <is>
          <t>KALMAR LÄN</t>
        </is>
      </c>
      <c r="E207" t="inlineStr">
        <is>
          <t>VÄSTERVIK</t>
        </is>
      </c>
      <c r="G207" t="n">
        <v>4.8</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62029-2023 artfynd.xlsx", "A 62029-2023")</f>
        <v/>
      </c>
      <c r="T207">
        <f>HYPERLINK("https://klasma.github.io/Logging_0883/kartor/A 62029-2023 karta.png", "A 62029-2023")</f>
        <v/>
      </c>
      <c r="V207">
        <f>HYPERLINK("https://klasma.github.io/Logging_0883/klagomål/A 62029-2023 FSC-klagomål.docx", "A 62029-2023")</f>
        <v/>
      </c>
      <c r="W207">
        <f>HYPERLINK("https://klasma.github.io/Logging_0883/klagomålsmail/A 62029-2023 FSC-klagomål mail.docx", "A 62029-2023")</f>
        <v/>
      </c>
      <c r="X207">
        <f>HYPERLINK("https://klasma.github.io/Logging_0883/tillsyn/A 62029-2023 tillsynsbegäran.docx", "A 62029-2023")</f>
        <v/>
      </c>
      <c r="Y207">
        <f>HYPERLINK("https://klasma.github.io/Logging_0883/tillsynsmail/A 62029-2023 tillsynsbegäran mail.docx", "A 62029-2023")</f>
        <v/>
      </c>
      <c r="Z207">
        <f>HYPERLINK("https://klasma.github.io/Logging_0883/fåglar/A 62029-2023 prioriterade fågelarter.docx", "A 62029-2023")</f>
        <v/>
      </c>
    </row>
    <row r="208" ht="15" customHeight="1">
      <c r="A208" t="inlineStr">
        <is>
          <t>A 64761-2023</t>
        </is>
      </c>
      <c r="B208" s="1" t="n">
        <v>45282</v>
      </c>
      <c r="C208" s="1" t="n">
        <v>45844</v>
      </c>
      <c r="D208" t="inlineStr">
        <is>
          <t>KALMAR LÄN</t>
        </is>
      </c>
      <c r="E208" t="inlineStr">
        <is>
          <t>VÄSTERVIK</t>
        </is>
      </c>
      <c r="F208" t="inlineStr">
        <is>
          <t>Övriga Aktiebolag</t>
        </is>
      </c>
      <c r="G208" t="n">
        <v>5.8</v>
      </c>
      <c r="H208" t="n">
        <v>2</v>
      </c>
      <c r="I208" t="n">
        <v>0</v>
      </c>
      <c r="J208" t="n">
        <v>1</v>
      </c>
      <c r="K208" t="n">
        <v>1</v>
      </c>
      <c r="L208" t="n">
        <v>0</v>
      </c>
      <c r="M208" t="n">
        <v>0</v>
      </c>
      <c r="N208" t="n">
        <v>0</v>
      </c>
      <c r="O208" t="n">
        <v>2</v>
      </c>
      <c r="P208" t="n">
        <v>1</v>
      </c>
      <c r="Q208" t="n">
        <v>2</v>
      </c>
      <c r="R208" s="2" t="inlineStr">
        <is>
          <t>Knärot
Spillkråka</t>
        </is>
      </c>
      <c r="S208">
        <f>HYPERLINK("https://klasma.github.io/Logging_0883/artfynd/A 64761-2023 artfynd.xlsx", "A 64761-2023")</f>
        <v/>
      </c>
      <c r="T208">
        <f>HYPERLINK("https://klasma.github.io/Logging_0883/kartor/A 64761-2023 karta.png", "A 64761-2023")</f>
        <v/>
      </c>
      <c r="U208">
        <f>HYPERLINK("https://klasma.github.io/Logging_0883/knärot/A 64761-2023 karta knärot.png", "A 64761-2023")</f>
        <v/>
      </c>
      <c r="V208">
        <f>HYPERLINK("https://klasma.github.io/Logging_0883/klagomål/A 64761-2023 FSC-klagomål.docx", "A 64761-2023")</f>
        <v/>
      </c>
      <c r="W208">
        <f>HYPERLINK("https://klasma.github.io/Logging_0883/klagomålsmail/A 64761-2023 FSC-klagomål mail.docx", "A 64761-2023")</f>
        <v/>
      </c>
      <c r="X208">
        <f>HYPERLINK("https://klasma.github.io/Logging_0883/tillsyn/A 64761-2023 tillsynsbegäran.docx", "A 64761-2023")</f>
        <v/>
      </c>
      <c r="Y208">
        <f>HYPERLINK("https://klasma.github.io/Logging_0883/tillsynsmail/A 64761-2023 tillsynsbegäran mail.docx", "A 64761-2023")</f>
        <v/>
      </c>
      <c r="Z208">
        <f>HYPERLINK("https://klasma.github.io/Logging_0883/fåglar/A 64761-2023 prioriterade fågelarter.docx", "A 64761-2023")</f>
        <v/>
      </c>
    </row>
    <row r="209" ht="15" customHeight="1">
      <c r="A209" t="inlineStr">
        <is>
          <t>A 932-2024</t>
        </is>
      </c>
      <c r="B209" s="1" t="n">
        <v>45301</v>
      </c>
      <c r="C209" s="1" t="n">
        <v>45844</v>
      </c>
      <c r="D209" t="inlineStr">
        <is>
          <t>KALMAR LÄN</t>
        </is>
      </c>
      <c r="E209" t="inlineStr">
        <is>
          <t>VÄSTERVIK</t>
        </is>
      </c>
      <c r="G209" t="n">
        <v>3.7</v>
      </c>
      <c r="H209" t="n">
        <v>1</v>
      </c>
      <c r="I209" t="n">
        <v>1</v>
      </c>
      <c r="J209" t="n">
        <v>1</v>
      </c>
      <c r="K209" t="n">
        <v>0</v>
      </c>
      <c r="L209" t="n">
        <v>0</v>
      </c>
      <c r="M209" t="n">
        <v>0</v>
      </c>
      <c r="N209" t="n">
        <v>0</v>
      </c>
      <c r="O209" t="n">
        <v>1</v>
      </c>
      <c r="P209" t="n">
        <v>0</v>
      </c>
      <c r="Q209" t="n">
        <v>2</v>
      </c>
      <c r="R209" s="2" t="inlineStr">
        <is>
          <t>Spillkråka
Grovticka</t>
        </is>
      </c>
      <c r="S209">
        <f>HYPERLINK("https://klasma.github.io/Logging_0883/artfynd/A 932-2024 artfynd.xlsx", "A 932-2024")</f>
        <v/>
      </c>
      <c r="T209">
        <f>HYPERLINK("https://klasma.github.io/Logging_0883/kartor/A 932-2024 karta.png", "A 932-2024")</f>
        <v/>
      </c>
      <c r="V209">
        <f>HYPERLINK("https://klasma.github.io/Logging_0883/klagomål/A 932-2024 FSC-klagomål.docx", "A 932-2024")</f>
        <v/>
      </c>
      <c r="W209">
        <f>HYPERLINK("https://klasma.github.io/Logging_0883/klagomålsmail/A 932-2024 FSC-klagomål mail.docx", "A 932-2024")</f>
        <v/>
      </c>
      <c r="X209">
        <f>HYPERLINK("https://klasma.github.io/Logging_0883/tillsyn/A 932-2024 tillsynsbegäran.docx", "A 932-2024")</f>
        <v/>
      </c>
      <c r="Y209">
        <f>HYPERLINK("https://klasma.github.io/Logging_0883/tillsynsmail/A 932-2024 tillsynsbegäran mail.docx", "A 932-2024")</f>
        <v/>
      </c>
      <c r="Z209">
        <f>HYPERLINK("https://klasma.github.io/Logging_0883/fåglar/A 932-2024 prioriterade fågelarter.docx", "A 932-2024")</f>
        <v/>
      </c>
    </row>
    <row r="210" ht="15" customHeight="1">
      <c r="A210" t="inlineStr">
        <is>
          <t>A 948-2024</t>
        </is>
      </c>
      <c r="B210" s="1" t="n">
        <v>45301</v>
      </c>
      <c r="C210" s="1" t="n">
        <v>45844</v>
      </c>
      <c r="D210" t="inlineStr">
        <is>
          <t>KALMAR LÄN</t>
        </is>
      </c>
      <c r="E210" t="inlineStr">
        <is>
          <t>VÄSTERVIK</t>
        </is>
      </c>
      <c r="G210" t="n">
        <v>4.5</v>
      </c>
      <c r="H210" t="n">
        <v>1</v>
      </c>
      <c r="I210" t="n">
        <v>1</v>
      </c>
      <c r="J210" t="n">
        <v>0</v>
      </c>
      <c r="K210" t="n">
        <v>0</v>
      </c>
      <c r="L210" t="n">
        <v>0</v>
      </c>
      <c r="M210" t="n">
        <v>0</v>
      </c>
      <c r="N210" t="n">
        <v>0</v>
      </c>
      <c r="O210" t="n">
        <v>0</v>
      </c>
      <c r="P210" t="n">
        <v>0</v>
      </c>
      <c r="Q210" t="n">
        <v>2</v>
      </c>
      <c r="R210" s="2" t="inlineStr">
        <is>
          <t>Dropptaggsvamp
Tjäder</t>
        </is>
      </c>
      <c r="S210">
        <f>HYPERLINK("https://klasma.github.io/Logging_0883/artfynd/A 948-2024 artfynd.xlsx", "A 948-2024")</f>
        <v/>
      </c>
      <c r="T210">
        <f>HYPERLINK("https://klasma.github.io/Logging_0883/kartor/A 948-2024 karta.png", "A 948-2024")</f>
        <v/>
      </c>
      <c r="V210">
        <f>HYPERLINK("https://klasma.github.io/Logging_0883/klagomål/A 948-2024 FSC-klagomål.docx", "A 948-2024")</f>
        <v/>
      </c>
      <c r="W210">
        <f>HYPERLINK("https://klasma.github.io/Logging_0883/klagomålsmail/A 948-2024 FSC-klagomål mail.docx", "A 948-2024")</f>
        <v/>
      </c>
      <c r="X210">
        <f>HYPERLINK("https://klasma.github.io/Logging_0883/tillsyn/A 948-2024 tillsynsbegäran.docx", "A 948-2024")</f>
        <v/>
      </c>
      <c r="Y210">
        <f>HYPERLINK("https://klasma.github.io/Logging_0883/tillsynsmail/A 948-2024 tillsynsbegäran mail.docx", "A 948-2024")</f>
        <v/>
      </c>
      <c r="Z210">
        <f>HYPERLINK("https://klasma.github.io/Logging_0883/fåglar/A 948-2024 prioriterade fågelarter.docx", "A 948-2024")</f>
        <v/>
      </c>
    </row>
    <row r="211" ht="15" customHeight="1">
      <c r="A211" t="inlineStr">
        <is>
          <t>A 911-2024</t>
        </is>
      </c>
      <c r="B211" s="1" t="n">
        <v>45301</v>
      </c>
      <c r="C211" s="1" t="n">
        <v>45844</v>
      </c>
      <c r="D211" t="inlineStr">
        <is>
          <t>KALMAR LÄN</t>
        </is>
      </c>
      <c r="E211" t="inlineStr">
        <is>
          <t>VÄSTERVIK</t>
        </is>
      </c>
      <c r="G211" t="n">
        <v>5.6</v>
      </c>
      <c r="H211" t="n">
        <v>1</v>
      </c>
      <c r="I211" t="n">
        <v>1</v>
      </c>
      <c r="J211" t="n">
        <v>1</v>
      </c>
      <c r="K211" t="n">
        <v>0</v>
      </c>
      <c r="L211" t="n">
        <v>0</v>
      </c>
      <c r="M211" t="n">
        <v>0</v>
      </c>
      <c r="N211" t="n">
        <v>0</v>
      </c>
      <c r="O211" t="n">
        <v>1</v>
      </c>
      <c r="P211" t="n">
        <v>0</v>
      </c>
      <c r="Q211" t="n">
        <v>2</v>
      </c>
      <c r="R211" s="2" t="inlineStr">
        <is>
          <t>Talltita
Blodticka</t>
        </is>
      </c>
      <c r="S211">
        <f>HYPERLINK("https://klasma.github.io/Logging_0883/artfynd/A 911-2024 artfynd.xlsx", "A 911-2024")</f>
        <v/>
      </c>
      <c r="T211">
        <f>HYPERLINK("https://klasma.github.io/Logging_0883/kartor/A 911-2024 karta.png", "A 911-2024")</f>
        <v/>
      </c>
      <c r="V211">
        <f>HYPERLINK("https://klasma.github.io/Logging_0883/klagomål/A 911-2024 FSC-klagomål.docx", "A 911-2024")</f>
        <v/>
      </c>
      <c r="W211">
        <f>HYPERLINK("https://klasma.github.io/Logging_0883/klagomålsmail/A 911-2024 FSC-klagomål mail.docx", "A 911-2024")</f>
        <v/>
      </c>
      <c r="X211">
        <f>HYPERLINK("https://klasma.github.io/Logging_0883/tillsyn/A 911-2024 tillsynsbegäran.docx", "A 911-2024")</f>
        <v/>
      </c>
      <c r="Y211">
        <f>HYPERLINK("https://klasma.github.io/Logging_0883/tillsynsmail/A 911-2024 tillsynsbegäran mail.docx", "A 911-2024")</f>
        <v/>
      </c>
      <c r="Z211">
        <f>HYPERLINK("https://klasma.github.io/Logging_0883/fåglar/A 911-2024 prioriterade fågelarter.docx", "A 911-2024")</f>
        <v/>
      </c>
    </row>
    <row r="212" ht="15" customHeight="1">
      <c r="A212" t="inlineStr">
        <is>
          <t>A 941-2024</t>
        </is>
      </c>
      <c r="B212" s="1" t="n">
        <v>45301</v>
      </c>
      <c r="C212" s="1" t="n">
        <v>45844</v>
      </c>
      <c r="D212" t="inlineStr">
        <is>
          <t>KALMAR LÄN</t>
        </is>
      </c>
      <c r="E212" t="inlineStr">
        <is>
          <t>VÄSTERVIK</t>
        </is>
      </c>
      <c r="G212" t="n">
        <v>2.7</v>
      </c>
      <c r="H212" t="n">
        <v>1</v>
      </c>
      <c r="I212" t="n">
        <v>0</v>
      </c>
      <c r="J212" t="n">
        <v>1</v>
      </c>
      <c r="K212" t="n">
        <v>1</v>
      </c>
      <c r="L212" t="n">
        <v>0</v>
      </c>
      <c r="M212" t="n">
        <v>0</v>
      </c>
      <c r="N212" t="n">
        <v>0</v>
      </c>
      <c r="O212" t="n">
        <v>2</v>
      </c>
      <c r="P212" t="n">
        <v>1</v>
      </c>
      <c r="Q212" t="n">
        <v>2</v>
      </c>
      <c r="R212" s="2" t="inlineStr">
        <is>
          <t>Knärot
Svinrot</t>
        </is>
      </c>
      <c r="S212">
        <f>HYPERLINK("https://klasma.github.io/Logging_0883/artfynd/A 941-2024 artfynd.xlsx", "A 941-2024")</f>
        <v/>
      </c>
      <c r="T212">
        <f>HYPERLINK("https://klasma.github.io/Logging_0883/kartor/A 941-2024 karta.png", "A 941-2024")</f>
        <v/>
      </c>
      <c r="U212">
        <f>HYPERLINK("https://klasma.github.io/Logging_0883/knärot/A 941-2024 karta knärot.png", "A 941-2024")</f>
        <v/>
      </c>
      <c r="V212">
        <f>HYPERLINK("https://klasma.github.io/Logging_0883/klagomål/A 941-2024 FSC-klagomål.docx", "A 941-2024")</f>
        <v/>
      </c>
      <c r="W212">
        <f>HYPERLINK("https://klasma.github.io/Logging_0883/klagomålsmail/A 941-2024 FSC-klagomål mail.docx", "A 941-2024")</f>
        <v/>
      </c>
      <c r="X212">
        <f>HYPERLINK("https://klasma.github.io/Logging_0883/tillsyn/A 941-2024 tillsynsbegäran.docx", "A 941-2024")</f>
        <v/>
      </c>
      <c r="Y212">
        <f>HYPERLINK("https://klasma.github.io/Logging_0883/tillsynsmail/A 941-2024 tillsynsbegäran mail.docx", "A 941-2024")</f>
        <v/>
      </c>
    </row>
    <row r="213" ht="15" customHeight="1">
      <c r="A213" t="inlineStr">
        <is>
          <t>A 1373-2024</t>
        </is>
      </c>
      <c r="B213" s="1" t="n">
        <v>45303</v>
      </c>
      <c r="C213" s="1" t="n">
        <v>45844</v>
      </c>
      <c r="D213" t="inlineStr">
        <is>
          <t>KALMAR LÄN</t>
        </is>
      </c>
      <c r="E213" t="inlineStr">
        <is>
          <t>VÄSTERVIK</t>
        </is>
      </c>
      <c r="G213" t="n">
        <v>3.7</v>
      </c>
      <c r="H213" t="n">
        <v>1</v>
      </c>
      <c r="I213" t="n">
        <v>0</v>
      </c>
      <c r="J213" t="n">
        <v>2</v>
      </c>
      <c r="K213" t="n">
        <v>0</v>
      </c>
      <c r="L213" t="n">
        <v>0</v>
      </c>
      <c r="M213" t="n">
        <v>0</v>
      </c>
      <c r="N213" t="n">
        <v>0</v>
      </c>
      <c r="O213" t="n">
        <v>2</v>
      </c>
      <c r="P213" t="n">
        <v>0</v>
      </c>
      <c r="Q213" t="n">
        <v>2</v>
      </c>
      <c r="R213" s="2" t="inlineStr">
        <is>
          <t>Tallticka
Talltita</t>
        </is>
      </c>
      <c r="S213">
        <f>HYPERLINK("https://klasma.github.io/Logging_0883/artfynd/A 1373-2024 artfynd.xlsx", "A 1373-2024")</f>
        <v/>
      </c>
      <c r="T213">
        <f>HYPERLINK("https://klasma.github.io/Logging_0883/kartor/A 1373-2024 karta.png", "A 1373-2024")</f>
        <v/>
      </c>
      <c r="U213">
        <f>HYPERLINK("https://klasma.github.io/Logging_0883/knärot/A 1373-2024 karta knärot.png", "A 1373-2024")</f>
        <v/>
      </c>
      <c r="V213">
        <f>HYPERLINK("https://klasma.github.io/Logging_0883/klagomål/A 1373-2024 FSC-klagomål.docx", "A 1373-2024")</f>
        <v/>
      </c>
      <c r="W213">
        <f>HYPERLINK("https://klasma.github.io/Logging_0883/klagomålsmail/A 1373-2024 FSC-klagomål mail.docx", "A 1373-2024")</f>
        <v/>
      </c>
      <c r="X213">
        <f>HYPERLINK("https://klasma.github.io/Logging_0883/tillsyn/A 1373-2024 tillsynsbegäran.docx", "A 1373-2024")</f>
        <v/>
      </c>
      <c r="Y213">
        <f>HYPERLINK("https://klasma.github.io/Logging_0883/tillsynsmail/A 1373-2024 tillsynsbegäran mail.docx", "A 1373-2024")</f>
        <v/>
      </c>
      <c r="Z213">
        <f>HYPERLINK("https://klasma.github.io/Logging_0883/fåglar/A 1373-2024 prioriterade fågelarter.docx", "A 1373-2024")</f>
        <v/>
      </c>
    </row>
    <row r="214" ht="15" customHeight="1">
      <c r="A214" t="inlineStr">
        <is>
          <t>A 2126-2024</t>
        </is>
      </c>
      <c r="B214" s="1" t="n">
        <v>45309</v>
      </c>
      <c r="C214" s="1" t="n">
        <v>45844</v>
      </c>
      <c r="D214" t="inlineStr">
        <is>
          <t>KALMAR LÄN</t>
        </is>
      </c>
      <c r="E214" t="inlineStr">
        <is>
          <t>VÄSTERVIK</t>
        </is>
      </c>
      <c r="G214" t="n">
        <v>3.8</v>
      </c>
      <c r="H214" t="n">
        <v>2</v>
      </c>
      <c r="I214" t="n">
        <v>0</v>
      </c>
      <c r="J214" t="n">
        <v>1</v>
      </c>
      <c r="K214" t="n">
        <v>1</v>
      </c>
      <c r="L214" t="n">
        <v>0</v>
      </c>
      <c r="M214" t="n">
        <v>0</v>
      </c>
      <c r="N214" t="n">
        <v>0</v>
      </c>
      <c r="O214" t="n">
        <v>2</v>
      </c>
      <c r="P214" t="n">
        <v>1</v>
      </c>
      <c r="Q214" t="n">
        <v>2</v>
      </c>
      <c r="R214" s="2" t="inlineStr">
        <is>
          <t>Knärot
Talltita</t>
        </is>
      </c>
      <c r="S214">
        <f>HYPERLINK("https://klasma.github.io/Logging_0883/artfynd/A 2126-2024 artfynd.xlsx", "A 2126-2024")</f>
        <v/>
      </c>
      <c r="T214">
        <f>HYPERLINK("https://klasma.github.io/Logging_0883/kartor/A 2126-2024 karta.png", "A 2126-2024")</f>
        <v/>
      </c>
      <c r="U214">
        <f>HYPERLINK("https://klasma.github.io/Logging_0883/knärot/A 2126-2024 karta knärot.png", "A 2126-2024")</f>
        <v/>
      </c>
      <c r="V214">
        <f>HYPERLINK("https://klasma.github.io/Logging_0883/klagomål/A 2126-2024 FSC-klagomål.docx", "A 2126-2024")</f>
        <v/>
      </c>
      <c r="W214">
        <f>HYPERLINK("https://klasma.github.io/Logging_0883/klagomålsmail/A 2126-2024 FSC-klagomål mail.docx", "A 2126-2024")</f>
        <v/>
      </c>
      <c r="X214">
        <f>HYPERLINK("https://klasma.github.io/Logging_0883/tillsyn/A 2126-2024 tillsynsbegäran.docx", "A 2126-2024")</f>
        <v/>
      </c>
      <c r="Y214">
        <f>HYPERLINK("https://klasma.github.io/Logging_0883/tillsynsmail/A 2126-2024 tillsynsbegäran mail.docx", "A 2126-2024")</f>
        <v/>
      </c>
      <c r="Z214">
        <f>HYPERLINK("https://klasma.github.io/Logging_0883/fåglar/A 2126-2024 prioriterade fågelarter.docx", "A 2126-2024")</f>
        <v/>
      </c>
    </row>
    <row r="215" ht="15" customHeight="1">
      <c r="A215" t="inlineStr">
        <is>
          <t>A 2809-2024</t>
        </is>
      </c>
      <c r="B215" s="1" t="n">
        <v>45314</v>
      </c>
      <c r="C215" s="1" t="n">
        <v>45844</v>
      </c>
      <c r="D215" t="inlineStr">
        <is>
          <t>KALMAR LÄN</t>
        </is>
      </c>
      <c r="E215" t="inlineStr">
        <is>
          <t>VÄSTERVIK</t>
        </is>
      </c>
      <c r="G215" t="n">
        <v>4.7</v>
      </c>
      <c r="H215" t="n">
        <v>1</v>
      </c>
      <c r="I215" t="n">
        <v>0</v>
      </c>
      <c r="J215" t="n">
        <v>1</v>
      </c>
      <c r="K215" t="n">
        <v>0</v>
      </c>
      <c r="L215" t="n">
        <v>0</v>
      </c>
      <c r="M215" t="n">
        <v>0</v>
      </c>
      <c r="N215" t="n">
        <v>0</v>
      </c>
      <c r="O215" t="n">
        <v>1</v>
      </c>
      <c r="P215" t="n">
        <v>0</v>
      </c>
      <c r="Q215" t="n">
        <v>2</v>
      </c>
      <c r="R215" s="2" t="inlineStr">
        <is>
          <t>Tallticka
Tjäder</t>
        </is>
      </c>
      <c r="S215">
        <f>HYPERLINK("https://klasma.github.io/Logging_0883/artfynd/A 2809-2024 artfynd.xlsx", "A 2809-2024")</f>
        <v/>
      </c>
      <c r="T215">
        <f>HYPERLINK("https://klasma.github.io/Logging_0883/kartor/A 2809-2024 karta.png", "A 2809-2024")</f>
        <v/>
      </c>
      <c r="U215">
        <f>HYPERLINK("https://klasma.github.io/Logging_0883/knärot/A 2809-2024 karta knärot.png", "A 2809-2024")</f>
        <v/>
      </c>
      <c r="V215">
        <f>HYPERLINK("https://klasma.github.io/Logging_0883/klagomål/A 2809-2024 FSC-klagomål.docx", "A 2809-2024")</f>
        <v/>
      </c>
      <c r="W215">
        <f>HYPERLINK("https://klasma.github.io/Logging_0883/klagomålsmail/A 2809-2024 FSC-klagomål mail.docx", "A 2809-2024")</f>
        <v/>
      </c>
      <c r="X215">
        <f>HYPERLINK("https://klasma.github.io/Logging_0883/tillsyn/A 2809-2024 tillsynsbegäran.docx", "A 2809-2024")</f>
        <v/>
      </c>
      <c r="Y215">
        <f>HYPERLINK("https://klasma.github.io/Logging_0883/tillsynsmail/A 2809-2024 tillsynsbegäran mail.docx", "A 2809-2024")</f>
        <v/>
      </c>
      <c r="Z215">
        <f>HYPERLINK("https://klasma.github.io/Logging_0883/fåglar/A 2809-2024 prioriterade fågelarter.docx", "A 2809-2024")</f>
        <v/>
      </c>
    </row>
    <row r="216" ht="15" customHeight="1">
      <c r="A216" t="inlineStr">
        <is>
          <t>A 3264-2024</t>
        </is>
      </c>
      <c r="B216" s="1" t="n">
        <v>45317</v>
      </c>
      <c r="C216" s="1" t="n">
        <v>45844</v>
      </c>
      <c r="D216" t="inlineStr">
        <is>
          <t>KALMAR LÄN</t>
        </is>
      </c>
      <c r="E216" t="inlineStr">
        <is>
          <t>VÄSTERVIK</t>
        </is>
      </c>
      <c r="G216" t="n">
        <v>6.5</v>
      </c>
      <c r="H216" t="n">
        <v>1</v>
      </c>
      <c r="I216" t="n">
        <v>1</v>
      </c>
      <c r="J216" t="n">
        <v>1</v>
      </c>
      <c r="K216" t="n">
        <v>0</v>
      </c>
      <c r="L216" t="n">
        <v>0</v>
      </c>
      <c r="M216" t="n">
        <v>0</v>
      </c>
      <c r="N216" t="n">
        <v>0</v>
      </c>
      <c r="O216" t="n">
        <v>1</v>
      </c>
      <c r="P216" t="n">
        <v>0</v>
      </c>
      <c r="Q216" t="n">
        <v>2</v>
      </c>
      <c r="R216" s="2" t="inlineStr">
        <is>
          <t>Spillkråka
Blåmossa</t>
        </is>
      </c>
      <c r="S216">
        <f>HYPERLINK("https://klasma.github.io/Logging_0883/artfynd/A 3264-2024 artfynd.xlsx", "A 3264-2024")</f>
        <v/>
      </c>
      <c r="T216">
        <f>HYPERLINK("https://klasma.github.io/Logging_0883/kartor/A 3264-2024 karta.png", "A 3264-2024")</f>
        <v/>
      </c>
      <c r="V216">
        <f>HYPERLINK("https://klasma.github.io/Logging_0883/klagomål/A 3264-2024 FSC-klagomål.docx", "A 3264-2024")</f>
        <v/>
      </c>
      <c r="W216">
        <f>HYPERLINK("https://klasma.github.io/Logging_0883/klagomålsmail/A 3264-2024 FSC-klagomål mail.docx", "A 3264-2024")</f>
        <v/>
      </c>
      <c r="X216">
        <f>HYPERLINK("https://klasma.github.io/Logging_0883/tillsyn/A 3264-2024 tillsynsbegäran.docx", "A 3264-2024")</f>
        <v/>
      </c>
      <c r="Y216">
        <f>HYPERLINK("https://klasma.github.io/Logging_0883/tillsynsmail/A 3264-2024 tillsynsbegäran mail.docx", "A 3264-2024")</f>
        <v/>
      </c>
      <c r="Z216">
        <f>HYPERLINK("https://klasma.github.io/Logging_0883/fåglar/A 3264-2024 prioriterade fågelarter.docx", "A 3264-2024")</f>
        <v/>
      </c>
    </row>
    <row r="217" ht="15" customHeight="1">
      <c r="A217" t="inlineStr">
        <is>
          <t>A 3658-2024</t>
        </is>
      </c>
      <c r="B217" s="1" t="n">
        <v>45321</v>
      </c>
      <c r="C217" s="1" t="n">
        <v>45844</v>
      </c>
      <c r="D217" t="inlineStr">
        <is>
          <t>KALMAR LÄN</t>
        </is>
      </c>
      <c r="E217" t="inlineStr">
        <is>
          <t>VÄSTERVIK</t>
        </is>
      </c>
      <c r="G217" t="n">
        <v>2.6</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3658-2024 artfynd.xlsx", "A 3658-2024")</f>
        <v/>
      </c>
      <c r="T217">
        <f>HYPERLINK("https://klasma.github.io/Logging_0883/kartor/A 3658-2024 karta.png", "A 3658-2024")</f>
        <v/>
      </c>
      <c r="U217">
        <f>HYPERLINK("https://klasma.github.io/Logging_0883/knärot/A 3658-2024 karta knärot.png", "A 3658-2024")</f>
        <v/>
      </c>
      <c r="V217">
        <f>HYPERLINK("https://klasma.github.io/Logging_0883/klagomål/A 3658-2024 FSC-klagomål.docx", "A 3658-2024")</f>
        <v/>
      </c>
      <c r="W217">
        <f>HYPERLINK("https://klasma.github.io/Logging_0883/klagomålsmail/A 3658-2024 FSC-klagomål mail.docx", "A 3658-2024")</f>
        <v/>
      </c>
      <c r="X217">
        <f>HYPERLINK("https://klasma.github.io/Logging_0883/tillsyn/A 3658-2024 tillsynsbegäran.docx", "A 3658-2024")</f>
        <v/>
      </c>
      <c r="Y217">
        <f>HYPERLINK("https://klasma.github.io/Logging_0883/tillsynsmail/A 3658-2024 tillsynsbegäran mail.docx", "A 3658-2024")</f>
        <v/>
      </c>
    </row>
    <row r="218" ht="15" customHeight="1">
      <c r="A218" t="inlineStr">
        <is>
          <t>A 8618-2024</t>
        </is>
      </c>
      <c r="B218" s="1" t="n">
        <v>45355</v>
      </c>
      <c r="C218" s="1" t="n">
        <v>45844</v>
      </c>
      <c r="D218" t="inlineStr">
        <is>
          <t>KALMAR LÄN</t>
        </is>
      </c>
      <c r="E218" t="inlineStr">
        <is>
          <t>VÄSTERVIK</t>
        </is>
      </c>
      <c r="G218" t="n">
        <v>4.3</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8618-2024 artfynd.xlsx", "A 8618-2024")</f>
        <v/>
      </c>
      <c r="T218">
        <f>HYPERLINK("https://klasma.github.io/Logging_0883/kartor/A 8618-2024 karta.png", "A 8618-2024")</f>
        <v/>
      </c>
      <c r="U218">
        <f>HYPERLINK("https://klasma.github.io/Logging_0883/knärot/A 8618-2024 karta knärot.png", "A 8618-2024")</f>
        <v/>
      </c>
      <c r="V218">
        <f>HYPERLINK("https://klasma.github.io/Logging_0883/klagomål/A 8618-2024 FSC-klagomål.docx", "A 8618-2024")</f>
        <v/>
      </c>
      <c r="W218">
        <f>HYPERLINK("https://klasma.github.io/Logging_0883/klagomålsmail/A 8618-2024 FSC-klagomål mail.docx", "A 8618-2024")</f>
        <v/>
      </c>
      <c r="X218">
        <f>HYPERLINK("https://klasma.github.io/Logging_0883/tillsyn/A 8618-2024 tillsynsbegäran.docx", "A 8618-2024")</f>
        <v/>
      </c>
      <c r="Y218">
        <f>HYPERLINK("https://klasma.github.io/Logging_0883/tillsynsmail/A 8618-2024 tillsynsbegäran mail.docx", "A 8618-2024")</f>
        <v/>
      </c>
    </row>
    <row r="219" ht="15" customHeight="1">
      <c r="A219" t="inlineStr">
        <is>
          <t>A 9770-2024</t>
        </is>
      </c>
      <c r="B219" s="1" t="n">
        <v>45362</v>
      </c>
      <c r="C219" s="1" t="n">
        <v>45844</v>
      </c>
      <c r="D219" t="inlineStr">
        <is>
          <t>KALMAR LÄN</t>
        </is>
      </c>
      <c r="E219" t="inlineStr">
        <is>
          <t>VÄSTERVIK</t>
        </is>
      </c>
      <c r="G219" t="n">
        <v>2.6</v>
      </c>
      <c r="H219" t="n">
        <v>2</v>
      </c>
      <c r="I219" t="n">
        <v>0</v>
      </c>
      <c r="J219" t="n">
        <v>1</v>
      </c>
      <c r="K219" t="n">
        <v>0</v>
      </c>
      <c r="L219" t="n">
        <v>0</v>
      </c>
      <c r="M219" t="n">
        <v>0</v>
      </c>
      <c r="N219" t="n">
        <v>0</v>
      </c>
      <c r="O219" t="n">
        <v>1</v>
      </c>
      <c r="P219" t="n">
        <v>0</v>
      </c>
      <c r="Q219" t="n">
        <v>2</v>
      </c>
      <c r="R219" s="2" t="inlineStr">
        <is>
          <t>Talltita
Tjäder</t>
        </is>
      </c>
      <c r="S219">
        <f>HYPERLINK("https://klasma.github.io/Logging_0883/artfynd/A 9770-2024 artfynd.xlsx", "A 9770-2024")</f>
        <v/>
      </c>
      <c r="T219">
        <f>HYPERLINK("https://klasma.github.io/Logging_0883/kartor/A 9770-2024 karta.png", "A 9770-2024")</f>
        <v/>
      </c>
      <c r="V219">
        <f>HYPERLINK("https://klasma.github.io/Logging_0883/klagomål/A 9770-2024 FSC-klagomål.docx", "A 9770-2024")</f>
        <v/>
      </c>
      <c r="W219">
        <f>HYPERLINK("https://klasma.github.io/Logging_0883/klagomålsmail/A 9770-2024 FSC-klagomål mail.docx", "A 9770-2024")</f>
        <v/>
      </c>
      <c r="X219">
        <f>HYPERLINK("https://klasma.github.io/Logging_0883/tillsyn/A 9770-2024 tillsynsbegäran.docx", "A 9770-2024")</f>
        <v/>
      </c>
      <c r="Y219">
        <f>HYPERLINK("https://klasma.github.io/Logging_0883/tillsynsmail/A 9770-2024 tillsynsbegäran mail.docx", "A 9770-2024")</f>
        <v/>
      </c>
      <c r="Z219">
        <f>HYPERLINK("https://klasma.github.io/Logging_0883/fåglar/A 9770-2024 prioriterade fågelarter.docx", "A 9770-2024")</f>
        <v/>
      </c>
    </row>
    <row r="220" ht="15" customHeight="1">
      <c r="A220" t="inlineStr">
        <is>
          <t>A 11849-2024</t>
        </is>
      </c>
      <c r="B220" s="1" t="n">
        <v>45376</v>
      </c>
      <c r="C220" s="1" t="n">
        <v>45844</v>
      </c>
      <c r="D220" t="inlineStr">
        <is>
          <t>KALMAR LÄN</t>
        </is>
      </c>
      <c r="E220" t="inlineStr">
        <is>
          <t>VÄSTERVIK</t>
        </is>
      </c>
      <c r="F220" t="inlineStr">
        <is>
          <t>Sveaskog</t>
        </is>
      </c>
      <c r="G220" t="n">
        <v>5.3</v>
      </c>
      <c r="H220" t="n">
        <v>2</v>
      </c>
      <c r="I220" t="n">
        <v>0</v>
      </c>
      <c r="J220" t="n">
        <v>0</v>
      </c>
      <c r="K220" t="n">
        <v>0</v>
      </c>
      <c r="L220" t="n">
        <v>0</v>
      </c>
      <c r="M220" t="n">
        <v>0</v>
      </c>
      <c r="N220" t="n">
        <v>0</v>
      </c>
      <c r="O220" t="n">
        <v>0</v>
      </c>
      <c r="P220" t="n">
        <v>0</v>
      </c>
      <c r="Q220" t="n">
        <v>2</v>
      </c>
      <c r="R220" s="2" t="inlineStr">
        <is>
          <t>Mattlummer
Revlummer</t>
        </is>
      </c>
      <c r="S220">
        <f>HYPERLINK("https://klasma.github.io/Logging_0883/artfynd/A 11849-2024 artfynd.xlsx", "A 11849-2024")</f>
        <v/>
      </c>
      <c r="T220">
        <f>HYPERLINK("https://klasma.github.io/Logging_0883/kartor/A 11849-2024 karta.png", "A 11849-2024")</f>
        <v/>
      </c>
      <c r="V220">
        <f>HYPERLINK("https://klasma.github.io/Logging_0883/klagomål/A 11849-2024 FSC-klagomål.docx", "A 11849-2024")</f>
        <v/>
      </c>
      <c r="W220">
        <f>HYPERLINK("https://klasma.github.io/Logging_0883/klagomålsmail/A 11849-2024 FSC-klagomål mail.docx", "A 11849-2024")</f>
        <v/>
      </c>
      <c r="X220">
        <f>HYPERLINK("https://klasma.github.io/Logging_0883/tillsyn/A 11849-2024 tillsynsbegäran.docx", "A 11849-2024")</f>
        <v/>
      </c>
      <c r="Y220">
        <f>HYPERLINK("https://klasma.github.io/Logging_0883/tillsynsmail/A 11849-2024 tillsynsbegäran mail.docx", "A 11849-2024")</f>
        <v/>
      </c>
    </row>
    <row r="221" ht="15" customHeight="1">
      <c r="A221" t="inlineStr">
        <is>
          <t>A 12212-2024</t>
        </is>
      </c>
      <c r="B221" s="1" t="n">
        <v>45378</v>
      </c>
      <c r="C221" s="1" t="n">
        <v>45844</v>
      </c>
      <c r="D221" t="inlineStr">
        <is>
          <t>KALMAR LÄN</t>
        </is>
      </c>
      <c r="E221" t="inlineStr">
        <is>
          <t>VÄSTERVIK</t>
        </is>
      </c>
      <c r="G221" t="n">
        <v>0.8</v>
      </c>
      <c r="H221" t="n">
        <v>2</v>
      </c>
      <c r="I221" t="n">
        <v>0</v>
      </c>
      <c r="J221" t="n">
        <v>2</v>
      </c>
      <c r="K221" t="n">
        <v>0</v>
      </c>
      <c r="L221" t="n">
        <v>0</v>
      </c>
      <c r="M221" t="n">
        <v>0</v>
      </c>
      <c r="N221" t="n">
        <v>0</v>
      </c>
      <c r="O221" t="n">
        <v>2</v>
      </c>
      <c r="P221" t="n">
        <v>0</v>
      </c>
      <c r="Q221" t="n">
        <v>2</v>
      </c>
      <c r="R221" s="2" t="inlineStr">
        <is>
          <t>Spillkråka
Talltita</t>
        </is>
      </c>
      <c r="S221">
        <f>HYPERLINK("https://klasma.github.io/Logging_0883/artfynd/A 12212-2024 artfynd.xlsx", "A 12212-2024")</f>
        <v/>
      </c>
      <c r="T221">
        <f>HYPERLINK("https://klasma.github.io/Logging_0883/kartor/A 12212-2024 karta.png", "A 12212-2024")</f>
        <v/>
      </c>
      <c r="V221">
        <f>HYPERLINK("https://klasma.github.io/Logging_0883/klagomål/A 12212-2024 FSC-klagomål.docx", "A 12212-2024")</f>
        <v/>
      </c>
      <c r="W221">
        <f>HYPERLINK("https://klasma.github.io/Logging_0883/klagomålsmail/A 12212-2024 FSC-klagomål mail.docx", "A 12212-2024")</f>
        <v/>
      </c>
      <c r="X221">
        <f>HYPERLINK("https://klasma.github.io/Logging_0883/tillsyn/A 12212-2024 tillsynsbegäran.docx", "A 12212-2024")</f>
        <v/>
      </c>
      <c r="Y221">
        <f>HYPERLINK("https://klasma.github.io/Logging_0883/tillsynsmail/A 12212-2024 tillsynsbegäran mail.docx", "A 12212-2024")</f>
        <v/>
      </c>
      <c r="Z221">
        <f>HYPERLINK("https://klasma.github.io/Logging_0883/fåglar/A 12212-2024 prioriterade fågelarter.docx", "A 12212-2024")</f>
        <v/>
      </c>
    </row>
    <row r="222" ht="15" customHeight="1">
      <c r="A222" t="inlineStr">
        <is>
          <t>A 12598-2024</t>
        </is>
      </c>
      <c r="B222" s="1" t="n">
        <v>45380</v>
      </c>
      <c r="C222" s="1" t="n">
        <v>45844</v>
      </c>
      <c r="D222" t="inlineStr">
        <is>
          <t>KALMAR LÄN</t>
        </is>
      </c>
      <c r="E222" t="inlineStr">
        <is>
          <t>VÄSTERVIK</t>
        </is>
      </c>
      <c r="F222" t="inlineStr">
        <is>
          <t>Holmen skog AB</t>
        </is>
      </c>
      <c r="G222" t="n">
        <v>5</v>
      </c>
      <c r="H222" t="n">
        <v>1</v>
      </c>
      <c r="I222" t="n">
        <v>1</v>
      </c>
      <c r="J222" t="n">
        <v>0</v>
      </c>
      <c r="K222" t="n">
        <v>1</v>
      </c>
      <c r="L222" t="n">
        <v>0</v>
      </c>
      <c r="M222" t="n">
        <v>0</v>
      </c>
      <c r="N222" t="n">
        <v>0</v>
      </c>
      <c r="O222" t="n">
        <v>1</v>
      </c>
      <c r="P222" t="n">
        <v>1</v>
      </c>
      <c r="Q222" t="n">
        <v>2</v>
      </c>
      <c r="R222" s="2" t="inlineStr">
        <is>
          <t>Knärot
Grönpyrola</t>
        </is>
      </c>
      <c r="S222">
        <f>HYPERLINK("https://klasma.github.io/Logging_0883/artfynd/A 12598-2024 artfynd.xlsx", "A 12598-2024")</f>
        <v/>
      </c>
      <c r="T222">
        <f>HYPERLINK("https://klasma.github.io/Logging_0883/kartor/A 12598-2024 karta.png", "A 12598-2024")</f>
        <v/>
      </c>
      <c r="U222">
        <f>HYPERLINK("https://klasma.github.io/Logging_0883/knärot/A 12598-2024 karta knärot.png", "A 12598-2024")</f>
        <v/>
      </c>
      <c r="V222">
        <f>HYPERLINK("https://klasma.github.io/Logging_0883/klagomål/A 12598-2024 FSC-klagomål.docx", "A 12598-2024")</f>
        <v/>
      </c>
      <c r="W222">
        <f>HYPERLINK("https://klasma.github.io/Logging_0883/klagomålsmail/A 12598-2024 FSC-klagomål mail.docx", "A 12598-2024")</f>
        <v/>
      </c>
      <c r="X222">
        <f>HYPERLINK("https://klasma.github.io/Logging_0883/tillsyn/A 12598-2024 tillsynsbegäran.docx", "A 12598-2024")</f>
        <v/>
      </c>
      <c r="Y222">
        <f>HYPERLINK("https://klasma.github.io/Logging_0883/tillsynsmail/A 12598-2024 tillsynsbegäran mail.docx", "A 12598-2024")</f>
        <v/>
      </c>
    </row>
    <row r="223" ht="15" customHeight="1">
      <c r="A223" t="inlineStr">
        <is>
          <t>A 15534-2024</t>
        </is>
      </c>
      <c r="B223" s="1" t="n">
        <v>45401</v>
      </c>
      <c r="C223" s="1" t="n">
        <v>45844</v>
      </c>
      <c r="D223" t="inlineStr">
        <is>
          <t>KALMAR LÄN</t>
        </is>
      </c>
      <c r="E223" t="inlineStr">
        <is>
          <t>VÄSTERVIK</t>
        </is>
      </c>
      <c r="F223" t="inlineStr">
        <is>
          <t>Holmen skog AB</t>
        </is>
      </c>
      <c r="G223" t="n">
        <v>5.1</v>
      </c>
      <c r="H223" t="n">
        <v>1</v>
      </c>
      <c r="I223" t="n">
        <v>0</v>
      </c>
      <c r="J223" t="n">
        <v>1</v>
      </c>
      <c r="K223" t="n">
        <v>1</v>
      </c>
      <c r="L223" t="n">
        <v>0</v>
      </c>
      <c r="M223" t="n">
        <v>0</v>
      </c>
      <c r="N223" t="n">
        <v>0</v>
      </c>
      <c r="O223" t="n">
        <v>2</v>
      </c>
      <c r="P223" t="n">
        <v>1</v>
      </c>
      <c r="Q223" t="n">
        <v>2</v>
      </c>
      <c r="R223" s="2" t="inlineStr">
        <is>
          <t>Knärot
Tallticka</t>
        </is>
      </c>
      <c r="S223">
        <f>HYPERLINK("https://klasma.github.io/Logging_0883/artfynd/A 15534-2024 artfynd.xlsx", "A 15534-2024")</f>
        <v/>
      </c>
      <c r="T223">
        <f>HYPERLINK("https://klasma.github.io/Logging_0883/kartor/A 15534-2024 karta.png", "A 15534-2024")</f>
        <v/>
      </c>
      <c r="U223">
        <f>HYPERLINK("https://klasma.github.io/Logging_0883/knärot/A 15534-2024 karta knärot.png", "A 15534-2024")</f>
        <v/>
      </c>
      <c r="V223">
        <f>HYPERLINK("https://klasma.github.io/Logging_0883/klagomål/A 15534-2024 FSC-klagomål.docx", "A 15534-2024")</f>
        <v/>
      </c>
      <c r="W223">
        <f>HYPERLINK("https://klasma.github.io/Logging_0883/klagomålsmail/A 15534-2024 FSC-klagomål mail.docx", "A 15534-2024")</f>
        <v/>
      </c>
      <c r="X223">
        <f>HYPERLINK("https://klasma.github.io/Logging_0883/tillsyn/A 15534-2024 tillsynsbegäran.docx", "A 15534-2024")</f>
        <v/>
      </c>
      <c r="Y223">
        <f>HYPERLINK("https://klasma.github.io/Logging_0883/tillsynsmail/A 15534-2024 tillsynsbegäran mail.docx", "A 15534-2024")</f>
        <v/>
      </c>
    </row>
    <row r="224" ht="15" customHeight="1">
      <c r="A224" t="inlineStr">
        <is>
          <t>A 16419-2024</t>
        </is>
      </c>
      <c r="B224" s="1" t="n">
        <v>45407</v>
      </c>
      <c r="C224" s="1" t="n">
        <v>45844</v>
      </c>
      <c r="D224" t="inlineStr">
        <is>
          <t>KALMAR LÄN</t>
        </is>
      </c>
      <c r="E224" t="inlineStr">
        <is>
          <t>VÄSTERVIK</t>
        </is>
      </c>
      <c r="F224" t="inlineStr">
        <is>
          <t>Holmen skog AB</t>
        </is>
      </c>
      <c r="G224" t="n">
        <v>1.8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16419-2024 artfynd.xlsx", "A 16419-2024")</f>
        <v/>
      </c>
      <c r="T224">
        <f>HYPERLINK("https://klasma.github.io/Logging_0883/kartor/A 16419-2024 karta.png", "A 16419-2024")</f>
        <v/>
      </c>
      <c r="U224">
        <f>HYPERLINK("https://klasma.github.io/Logging_0883/knärot/A 16419-2024 karta knärot.png", "A 16419-2024")</f>
        <v/>
      </c>
      <c r="V224">
        <f>HYPERLINK("https://klasma.github.io/Logging_0883/klagomål/A 16419-2024 FSC-klagomål.docx", "A 16419-2024")</f>
        <v/>
      </c>
      <c r="W224">
        <f>HYPERLINK("https://klasma.github.io/Logging_0883/klagomålsmail/A 16419-2024 FSC-klagomål mail.docx", "A 16419-2024")</f>
        <v/>
      </c>
      <c r="X224">
        <f>HYPERLINK("https://klasma.github.io/Logging_0883/tillsyn/A 16419-2024 tillsynsbegäran.docx", "A 16419-2024")</f>
        <v/>
      </c>
      <c r="Y224">
        <f>HYPERLINK("https://klasma.github.io/Logging_0883/tillsynsmail/A 16419-2024 tillsynsbegäran mail.docx", "A 16419-2024")</f>
        <v/>
      </c>
      <c r="Z224">
        <f>HYPERLINK("https://klasma.github.io/Logging_0883/fåglar/A 16419-2024 prioriterade fågelarter.docx", "A 16419-2024")</f>
        <v/>
      </c>
    </row>
    <row r="225" ht="15" customHeight="1">
      <c r="A225" t="inlineStr">
        <is>
          <t>A 17438-2024</t>
        </is>
      </c>
      <c r="B225" s="1" t="n">
        <v>45415</v>
      </c>
      <c r="C225" s="1" t="n">
        <v>45844</v>
      </c>
      <c r="D225" t="inlineStr">
        <is>
          <t>KALMAR LÄN</t>
        </is>
      </c>
      <c r="E225" t="inlineStr">
        <is>
          <t>VÄSTERVIK</t>
        </is>
      </c>
      <c r="G225" t="n">
        <v>3.8</v>
      </c>
      <c r="H225" t="n">
        <v>2</v>
      </c>
      <c r="I225" t="n">
        <v>0</v>
      </c>
      <c r="J225" t="n">
        <v>1</v>
      </c>
      <c r="K225" t="n">
        <v>1</v>
      </c>
      <c r="L225" t="n">
        <v>0</v>
      </c>
      <c r="M225" t="n">
        <v>0</v>
      </c>
      <c r="N225" t="n">
        <v>0</v>
      </c>
      <c r="O225" t="n">
        <v>2</v>
      </c>
      <c r="P225" t="n">
        <v>1</v>
      </c>
      <c r="Q225" t="n">
        <v>2</v>
      </c>
      <c r="R225" s="2" t="inlineStr">
        <is>
          <t>Knärot
Spillkråka</t>
        </is>
      </c>
      <c r="S225">
        <f>HYPERLINK("https://klasma.github.io/Logging_0883/artfynd/A 17438-2024 artfynd.xlsx", "A 17438-2024")</f>
        <v/>
      </c>
      <c r="T225">
        <f>HYPERLINK("https://klasma.github.io/Logging_0883/kartor/A 17438-2024 karta.png", "A 17438-2024")</f>
        <v/>
      </c>
      <c r="U225">
        <f>HYPERLINK("https://klasma.github.io/Logging_0883/knärot/A 17438-2024 karta knärot.png", "A 17438-2024")</f>
        <v/>
      </c>
      <c r="V225">
        <f>HYPERLINK("https://klasma.github.io/Logging_0883/klagomål/A 17438-2024 FSC-klagomål.docx", "A 17438-2024")</f>
        <v/>
      </c>
      <c r="W225">
        <f>HYPERLINK("https://klasma.github.io/Logging_0883/klagomålsmail/A 17438-2024 FSC-klagomål mail.docx", "A 17438-2024")</f>
        <v/>
      </c>
      <c r="X225">
        <f>HYPERLINK("https://klasma.github.io/Logging_0883/tillsyn/A 17438-2024 tillsynsbegäran.docx", "A 17438-2024")</f>
        <v/>
      </c>
      <c r="Y225">
        <f>HYPERLINK("https://klasma.github.io/Logging_0883/tillsynsmail/A 17438-2024 tillsynsbegäran mail.docx", "A 17438-2024")</f>
        <v/>
      </c>
      <c r="Z225">
        <f>HYPERLINK("https://klasma.github.io/Logging_0883/fåglar/A 17438-2024 prioriterade fågelarter.docx", "A 17438-2024")</f>
        <v/>
      </c>
    </row>
    <row r="226" ht="15" customHeight="1">
      <c r="A226" t="inlineStr">
        <is>
          <t>A 23220-2024</t>
        </is>
      </c>
      <c r="B226" s="1" t="n">
        <v>45452</v>
      </c>
      <c r="C226" s="1" t="n">
        <v>45844</v>
      </c>
      <c r="D226" t="inlineStr">
        <is>
          <t>KALMAR LÄN</t>
        </is>
      </c>
      <c r="E226" t="inlineStr">
        <is>
          <t>VÄSTERVIK</t>
        </is>
      </c>
      <c r="G226" t="n">
        <v>0.9</v>
      </c>
      <c r="H226" t="n">
        <v>0</v>
      </c>
      <c r="I226" t="n">
        <v>2</v>
      </c>
      <c r="J226" t="n">
        <v>0</v>
      </c>
      <c r="K226" t="n">
        <v>0</v>
      </c>
      <c r="L226" t="n">
        <v>0</v>
      </c>
      <c r="M226" t="n">
        <v>0</v>
      </c>
      <c r="N226" t="n">
        <v>0</v>
      </c>
      <c r="O226" t="n">
        <v>0</v>
      </c>
      <c r="P226" t="n">
        <v>0</v>
      </c>
      <c r="Q226" t="n">
        <v>2</v>
      </c>
      <c r="R226" s="2" t="inlineStr">
        <is>
          <t>Blåmossa
Grönpyrola</t>
        </is>
      </c>
      <c r="S226">
        <f>HYPERLINK("https://klasma.github.io/Logging_0883/artfynd/A 23220-2024 artfynd.xlsx", "A 23220-2024")</f>
        <v/>
      </c>
      <c r="T226">
        <f>HYPERLINK("https://klasma.github.io/Logging_0883/kartor/A 23220-2024 karta.png", "A 23220-2024")</f>
        <v/>
      </c>
      <c r="V226">
        <f>HYPERLINK("https://klasma.github.io/Logging_0883/klagomål/A 23220-2024 FSC-klagomål.docx", "A 23220-2024")</f>
        <v/>
      </c>
      <c r="W226">
        <f>HYPERLINK("https://klasma.github.io/Logging_0883/klagomålsmail/A 23220-2024 FSC-klagomål mail.docx", "A 23220-2024")</f>
        <v/>
      </c>
      <c r="X226">
        <f>HYPERLINK("https://klasma.github.io/Logging_0883/tillsyn/A 23220-2024 tillsynsbegäran.docx", "A 23220-2024")</f>
        <v/>
      </c>
      <c r="Y226">
        <f>HYPERLINK("https://klasma.github.io/Logging_0883/tillsynsmail/A 23220-2024 tillsynsbegäran mail.docx", "A 23220-2024")</f>
        <v/>
      </c>
    </row>
    <row r="227" ht="15" customHeight="1">
      <c r="A227" t="inlineStr">
        <is>
          <t>A 23791-2024</t>
        </is>
      </c>
      <c r="B227" s="1" t="n">
        <v>45455</v>
      </c>
      <c r="C227" s="1" t="n">
        <v>45844</v>
      </c>
      <c r="D227" t="inlineStr">
        <is>
          <t>KALMAR LÄN</t>
        </is>
      </c>
      <c r="E227" t="inlineStr">
        <is>
          <t>VÄSTERVIK</t>
        </is>
      </c>
      <c r="G227" t="n">
        <v>1.1</v>
      </c>
      <c r="H227" t="n">
        <v>1</v>
      </c>
      <c r="I227" t="n">
        <v>1</v>
      </c>
      <c r="J227" t="n">
        <v>0</v>
      </c>
      <c r="K227" t="n">
        <v>1</v>
      </c>
      <c r="L227" t="n">
        <v>0</v>
      </c>
      <c r="M227" t="n">
        <v>0</v>
      </c>
      <c r="N227" t="n">
        <v>0</v>
      </c>
      <c r="O227" t="n">
        <v>1</v>
      </c>
      <c r="P227" t="n">
        <v>1</v>
      </c>
      <c r="Q227" t="n">
        <v>2</v>
      </c>
      <c r="R227" s="2" t="inlineStr">
        <is>
          <t>Knärot
Tjockfotad fingersvamp</t>
        </is>
      </c>
      <c r="S227">
        <f>HYPERLINK("https://klasma.github.io/Logging_0883/artfynd/A 23791-2024 artfynd.xlsx", "A 23791-2024")</f>
        <v/>
      </c>
      <c r="T227">
        <f>HYPERLINK("https://klasma.github.io/Logging_0883/kartor/A 23791-2024 karta.png", "A 23791-2024")</f>
        <v/>
      </c>
      <c r="U227">
        <f>HYPERLINK("https://klasma.github.io/Logging_0883/knärot/A 23791-2024 karta knärot.png", "A 23791-2024")</f>
        <v/>
      </c>
      <c r="V227">
        <f>HYPERLINK("https://klasma.github.io/Logging_0883/klagomål/A 23791-2024 FSC-klagomål.docx", "A 23791-2024")</f>
        <v/>
      </c>
      <c r="W227">
        <f>HYPERLINK("https://klasma.github.io/Logging_0883/klagomålsmail/A 23791-2024 FSC-klagomål mail.docx", "A 23791-2024")</f>
        <v/>
      </c>
      <c r="X227">
        <f>HYPERLINK("https://klasma.github.io/Logging_0883/tillsyn/A 23791-2024 tillsynsbegäran.docx", "A 23791-2024")</f>
        <v/>
      </c>
      <c r="Y227">
        <f>HYPERLINK("https://klasma.github.io/Logging_0883/tillsynsmail/A 23791-2024 tillsynsbegäran mail.docx", "A 23791-2024")</f>
        <v/>
      </c>
    </row>
    <row r="228" ht="15" customHeight="1">
      <c r="A228" t="inlineStr">
        <is>
          <t>A 26992-2024</t>
        </is>
      </c>
      <c r="B228" s="1" t="n">
        <v>45471</v>
      </c>
      <c r="C228" s="1" t="n">
        <v>45844</v>
      </c>
      <c r="D228" t="inlineStr">
        <is>
          <t>KALMAR LÄN</t>
        </is>
      </c>
      <c r="E228" t="inlineStr">
        <is>
          <t>VÄSTERVIK</t>
        </is>
      </c>
      <c r="F228" t="inlineStr">
        <is>
          <t>Holmen skog AB</t>
        </is>
      </c>
      <c r="G228" t="n">
        <v>4.6</v>
      </c>
      <c r="H228" t="n">
        <v>2</v>
      </c>
      <c r="I228" t="n">
        <v>0</v>
      </c>
      <c r="J228" t="n">
        <v>2</v>
      </c>
      <c r="K228" t="n">
        <v>0</v>
      </c>
      <c r="L228" t="n">
        <v>0</v>
      </c>
      <c r="M228" t="n">
        <v>0</v>
      </c>
      <c r="N228" t="n">
        <v>0</v>
      </c>
      <c r="O228" t="n">
        <v>2</v>
      </c>
      <c r="P228" t="n">
        <v>0</v>
      </c>
      <c r="Q228" t="n">
        <v>2</v>
      </c>
      <c r="R228" s="2" t="inlineStr">
        <is>
          <t>Mindre hackspett
Talltita</t>
        </is>
      </c>
      <c r="S228">
        <f>HYPERLINK("https://klasma.github.io/Logging_0883/artfynd/A 26992-2024 artfynd.xlsx", "A 26992-2024")</f>
        <v/>
      </c>
      <c r="T228">
        <f>HYPERLINK("https://klasma.github.io/Logging_0883/kartor/A 26992-2024 karta.png", "A 26992-2024")</f>
        <v/>
      </c>
      <c r="V228">
        <f>HYPERLINK("https://klasma.github.io/Logging_0883/klagomål/A 26992-2024 FSC-klagomål.docx", "A 26992-2024")</f>
        <v/>
      </c>
      <c r="W228">
        <f>HYPERLINK("https://klasma.github.io/Logging_0883/klagomålsmail/A 26992-2024 FSC-klagomål mail.docx", "A 26992-2024")</f>
        <v/>
      </c>
      <c r="X228">
        <f>HYPERLINK("https://klasma.github.io/Logging_0883/tillsyn/A 26992-2024 tillsynsbegäran.docx", "A 26992-2024")</f>
        <v/>
      </c>
      <c r="Y228">
        <f>HYPERLINK("https://klasma.github.io/Logging_0883/tillsynsmail/A 26992-2024 tillsynsbegäran mail.docx", "A 26992-2024")</f>
        <v/>
      </c>
      <c r="Z228">
        <f>HYPERLINK("https://klasma.github.io/Logging_0883/fåglar/A 26992-2024 prioriterade fågelarter.docx", "A 26992-2024")</f>
        <v/>
      </c>
    </row>
    <row r="229" ht="15" customHeight="1">
      <c r="A229" t="inlineStr">
        <is>
          <t>A 28401-2024</t>
        </is>
      </c>
      <c r="B229" s="1" t="n">
        <v>45477</v>
      </c>
      <c r="C229" s="1" t="n">
        <v>45844</v>
      </c>
      <c r="D229" t="inlineStr">
        <is>
          <t>KALMAR LÄN</t>
        </is>
      </c>
      <c r="E229" t="inlineStr">
        <is>
          <t>VÄSTERVIK</t>
        </is>
      </c>
      <c r="F229" t="inlineStr">
        <is>
          <t>Holmen skog AB</t>
        </is>
      </c>
      <c r="G229" t="n">
        <v>2.4</v>
      </c>
      <c r="H229" t="n">
        <v>2</v>
      </c>
      <c r="I229" t="n">
        <v>0</v>
      </c>
      <c r="J229" t="n">
        <v>1</v>
      </c>
      <c r="K229" t="n">
        <v>0</v>
      </c>
      <c r="L229" t="n">
        <v>0</v>
      </c>
      <c r="M229" t="n">
        <v>0</v>
      </c>
      <c r="N229" t="n">
        <v>0</v>
      </c>
      <c r="O229" t="n">
        <v>1</v>
      </c>
      <c r="P229" t="n">
        <v>0</v>
      </c>
      <c r="Q229" t="n">
        <v>2</v>
      </c>
      <c r="R229" s="2" t="inlineStr">
        <is>
          <t>Talltita
Revlummer</t>
        </is>
      </c>
      <c r="S229">
        <f>HYPERLINK("https://klasma.github.io/Logging_0883/artfynd/A 28401-2024 artfynd.xlsx", "A 28401-2024")</f>
        <v/>
      </c>
      <c r="T229">
        <f>HYPERLINK("https://klasma.github.io/Logging_0883/kartor/A 28401-2024 karta.png", "A 28401-2024")</f>
        <v/>
      </c>
      <c r="V229">
        <f>HYPERLINK("https://klasma.github.io/Logging_0883/klagomål/A 28401-2024 FSC-klagomål.docx", "A 28401-2024")</f>
        <v/>
      </c>
      <c r="W229">
        <f>HYPERLINK("https://klasma.github.io/Logging_0883/klagomålsmail/A 28401-2024 FSC-klagomål mail.docx", "A 28401-2024")</f>
        <v/>
      </c>
      <c r="X229">
        <f>HYPERLINK("https://klasma.github.io/Logging_0883/tillsyn/A 28401-2024 tillsynsbegäran.docx", "A 28401-2024")</f>
        <v/>
      </c>
      <c r="Y229">
        <f>HYPERLINK("https://klasma.github.io/Logging_0883/tillsynsmail/A 28401-2024 tillsynsbegäran mail.docx", "A 28401-2024")</f>
        <v/>
      </c>
      <c r="Z229">
        <f>HYPERLINK("https://klasma.github.io/Logging_0883/fåglar/A 28401-2024 prioriterade fågelarter.docx", "A 28401-2024")</f>
        <v/>
      </c>
    </row>
    <row r="230" ht="15" customHeight="1">
      <c r="A230" t="inlineStr">
        <is>
          <t>A 31435-2024</t>
        </is>
      </c>
      <c r="B230" s="1" t="n">
        <v>45505</v>
      </c>
      <c r="C230" s="1" t="n">
        <v>45844</v>
      </c>
      <c r="D230" t="inlineStr">
        <is>
          <t>KALMAR LÄN</t>
        </is>
      </c>
      <c r="E230" t="inlineStr">
        <is>
          <t>VÄSTERVIK</t>
        </is>
      </c>
      <c r="G230" t="n">
        <v>1.3</v>
      </c>
      <c r="H230" t="n">
        <v>0</v>
      </c>
      <c r="I230" t="n">
        <v>1</v>
      </c>
      <c r="J230" t="n">
        <v>1</v>
      </c>
      <c r="K230" t="n">
        <v>0</v>
      </c>
      <c r="L230" t="n">
        <v>0</v>
      </c>
      <c r="M230" t="n">
        <v>0</v>
      </c>
      <c r="N230" t="n">
        <v>0</v>
      </c>
      <c r="O230" t="n">
        <v>1</v>
      </c>
      <c r="P230" t="n">
        <v>0</v>
      </c>
      <c r="Q230" t="n">
        <v>2</v>
      </c>
      <c r="R230" s="2" t="inlineStr">
        <is>
          <t>Oxtungssvamp
Blomkålssvamp</t>
        </is>
      </c>
      <c r="S230">
        <f>HYPERLINK("https://klasma.github.io/Logging_0883/artfynd/A 31435-2024 artfynd.xlsx", "A 31435-2024")</f>
        <v/>
      </c>
      <c r="T230">
        <f>HYPERLINK("https://klasma.github.io/Logging_0883/kartor/A 31435-2024 karta.png", "A 31435-2024")</f>
        <v/>
      </c>
      <c r="V230">
        <f>HYPERLINK("https://klasma.github.io/Logging_0883/klagomål/A 31435-2024 FSC-klagomål.docx", "A 31435-2024")</f>
        <v/>
      </c>
      <c r="W230">
        <f>HYPERLINK("https://klasma.github.io/Logging_0883/klagomålsmail/A 31435-2024 FSC-klagomål mail.docx", "A 31435-2024")</f>
        <v/>
      </c>
      <c r="X230">
        <f>HYPERLINK("https://klasma.github.io/Logging_0883/tillsyn/A 31435-2024 tillsynsbegäran.docx", "A 31435-2024")</f>
        <v/>
      </c>
      <c r="Y230">
        <f>HYPERLINK("https://klasma.github.io/Logging_0883/tillsynsmail/A 31435-2024 tillsynsbegäran mail.docx", "A 31435-2024")</f>
        <v/>
      </c>
    </row>
    <row r="231" ht="15" customHeight="1">
      <c r="A231" t="inlineStr">
        <is>
          <t>A 34834-2024</t>
        </is>
      </c>
      <c r="B231" s="1" t="n">
        <v>45526</v>
      </c>
      <c r="C231" s="1" t="n">
        <v>45844</v>
      </c>
      <c r="D231" t="inlineStr">
        <is>
          <t>KALMAR LÄN</t>
        </is>
      </c>
      <c r="E231" t="inlineStr">
        <is>
          <t>VÄSTERVIK</t>
        </is>
      </c>
      <c r="F231" t="inlineStr">
        <is>
          <t>Sveaskog</t>
        </is>
      </c>
      <c r="G231" t="n">
        <v>4.2</v>
      </c>
      <c r="H231" t="n">
        <v>1</v>
      </c>
      <c r="I231" t="n">
        <v>1</v>
      </c>
      <c r="J231" t="n">
        <v>1</v>
      </c>
      <c r="K231" t="n">
        <v>0</v>
      </c>
      <c r="L231" t="n">
        <v>0</v>
      </c>
      <c r="M231" t="n">
        <v>0</v>
      </c>
      <c r="N231" t="n">
        <v>0</v>
      </c>
      <c r="O231" t="n">
        <v>1</v>
      </c>
      <c r="P231" t="n">
        <v>0</v>
      </c>
      <c r="Q231" t="n">
        <v>2</v>
      </c>
      <c r="R231" s="2" t="inlineStr">
        <is>
          <t>Brunag
Tvåblad</t>
        </is>
      </c>
      <c r="S231">
        <f>HYPERLINK("https://klasma.github.io/Logging_0883/artfynd/A 34834-2024 artfynd.xlsx", "A 34834-2024")</f>
        <v/>
      </c>
      <c r="T231">
        <f>HYPERLINK("https://klasma.github.io/Logging_0883/kartor/A 34834-2024 karta.png", "A 34834-2024")</f>
        <v/>
      </c>
      <c r="V231">
        <f>HYPERLINK("https://klasma.github.io/Logging_0883/klagomål/A 34834-2024 FSC-klagomål.docx", "A 34834-2024")</f>
        <v/>
      </c>
      <c r="W231">
        <f>HYPERLINK("https://klasma.github.io/Logging_0883/klagomålsmail/A 34834-2024 FSC-klagomål mail.docx", "A 34834-2024")</f>
        <v/>
      </c>
      <c r="X231">
        <f>HYPERLINK("https://klasma.github.io/Logging_0883/tillsyn/A 34834-2024 tillsynsbegäran.docx", "A 34834-2024")</f>
        <v/>
      </c>
      <c r="Y231">
        <f>HYPERLINK("https://klasma.github.io/Logging_0883/tillsynsmail/A 34834-2024 tillsynsbegäran mail.docx", "A 34834-2024")</f>
        <v/>
      </c>
    </row>
    <row r="232" ht="15" customHeight="1">
      <c r="A232" t="inlineStr">
        <is>
          <t>A 35236-2024</t>
        </is>
      </c>
      <c r="B232" s="1" t="n">
        <v>45530</v>
      </c>
      <c r="C232" s="1" t="n">
        <v>45844</v>
      </c>
      <c r="D232" t="inlineStr">
        <is>
          <t>KALMAR LÄN</t>
        </is>
      </c>
      <c r="E232" t="inlineStr">
        <is>
          <t>VÄSTERVIK</t>
        </is>
      </c>
      <c r="G232" t="n">
        <v>0.9</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35236-2024 artfynd.xlsx", "A 35236-2024")</f>
        <v/>
      </c>
      <c r="T232">
        <f>HYPERLINK("https://klasma.github.io/Logging_0883/kartor/A 35236-2024 karta.png", "A 35236-2024")</f>
        <v/>
      </c>
      <c r="U232">
        <f>HYPERLINK("https://klasma.github.io/Logging_0883/knärot/A 35236-2024 karta knärot.png", "A 35236-2024")</f>
        <v/>
      </c>
      <c r="V232">
        <f>HYPERLINK("https://klasma.github.io/Logging_0883/klagomål/A 35236-2024 FSC-klagomål.docx", "A 35236-2024")</f>
        <v/>
      </c>
      <c r="W232">
        <f>HYPERLINK("https://klasma.github.io/Logging_0883/klagomålsmail/A 35236-2024 FSC-klagomål mail.docx", "A 35236-2024")</f>
        <v/>
      </c>
      <c r="X232">
        <f>HYPERLINK("https://klasma.github.io/Logging_0883/tillsyn/A 35236-2024 tillsynsbegäran.docx", "A 35236-2024")</f>
        <v/>
      </c>
      <c r="Y232">
        <f>HYPERLINK("https://klasma.github.io/Logging_0883/tillsynsmail/A 35236-2024 tillsynsbegäran mail.docx", "A 35236-2024")</f>
        <v/>
      </c>
    </row>
    <row r="233" ht="15" customHeight="1">
      <c r="A233" t="inlineStr">
        <is>
          <t>A 35930-2024</t>
        </is>
      </c>
      <c r="B233" s="1" t="n">
        <v>45533</v>
      </c>
      <c r="C233" s="1" t="n">
        <v>45844</v>
      </c>
      <c r="D233" t="inlineStr">
        <is>
          <t>KALMAR LÄN</t>
        </is>
      </c>
      <c r="E233" t="inlineStr">
        <is>
          <t>VÄSTERVIK</t>
        </is>
      </c>
      <c r="G233" t="n">
        <v>2.1</v>
      </c>
      <c r="H233" t="n">
        <v>1</v>
      </c>
      <c r="I233" t="n">
        <v>0</v>
      </c>
      <c r="J233" t="n">
        <v>2</v>
      </c>
      <c r="K233" t="n">
        <v>0</v>
      </c>
      <c r="L233" t="n">
        <v>0</v>
      </c>
      <c r="M233" t="n">
        <v>0</v>
      </c>
      <c r="N233" t="n">
        <v>0</v>
      </c>
      <c r="O233" t="n">
        <v>2</v>
      </c>
      <c r="P233" t="n">
        <v>0</v>
      </c>
      <c r="Q233" t="n">
        <v>2</v>
      </c>
      <c r="R233" s="2" t="inlineStr">
        <is>
          <t>Tallticka
Talltita</t>
        </is>
      </c>
      <c r="S233">
        <f>HYPERLINK("https://klasma.github.io/Logging_0883/artfynd/A 35930-2024 artfynd.xlsx", "A 35930-2024")</f>
        <v/>
      </c>
      <c r="T233">
        <f>HYPERLINK("https://klasma.github.io/Logging_0883/kartor/A 35930-2024 karta.png", "A 35930-2024")</f>
        <v/>
      </c>
      <c r="V233">
        <f>HYPERLINK("https://klasma.github.io/Logging_0883/klagomål/A 35930-2024 FSC-klagomål.docx", "A 35930-2024")</f>
        <v/>
      </c>
      <c r="W233">
        <f>HYPERLINK("https://klasma.github.io/Logging_0883/klagomålsmail/A 35930-2024 FSC-klagomål mail.docx", "A 35930-2024")</f>
        <v/>
      </c>
      <c r="X233">
        <f>HYPERLINK("https://klasma.github.io/Logging_0883/tillsyn/A 35930-2024 tillsynsbegäran.docx", "A 35930-2024")</f>
        <v/>
      </c>
      <c r="Y233">
        <f>HYPERLINK("https://klasma.github.io/Logging_0883/tillsynsmail/A 35930-2024 tillsynsbegäran mail.docx", "A 35930-2024")</f>
        <v/>
      </c>
      <c r="Z233">
        <f>HYPERLINK("https://klasma.github.io/Logging_0883/fåglar/A 35930-2024 prioriterade fågelarter.docx", "A 35930-2024")</f>
        <v/>
      </c>
    </row>
    <row r="234" ht="15" customHeight="1">
      <c r="A234" t="inlineStr">
        <is>
          <t>A 37106-2024</t>
        </is>
      </c>
      <c r="B234" s="1" t="n">
        <v>45539</v>
      </c>
      <c r="C234" s="1" t="n">
        <v>45844</v>
      </c>
      <c r="D234" t="inlineStr">
        <is>
          <t>KALMAR LÄN</t>
        </is>
      </c>
      <c r="E234" t="inlineStr">
        <is>
          <t>VÄSTERVIK</t>
        </is>
      </c>
      <c r="F234" t="inlineStr">
        <is>
          <t>Holmen skog AB</t>
        </is>
      </c>
      <c r="G234" t="n">
        <v>8.5</v>
      </c>
      <c r="H234" t="n">
        <v>2</v>
      </c>
      <c r="I234" t="n">
        <v>0</v>
      </c>
      <c r="J234" t="n">
        <v>1</v>
      </c>
      <c r="K234" t="n">
        <v>1</v>
      </c>
      <c r="L234" t="n">
        <v>0</v>
      </c>
      <c r="M234" t="n">
        <v>0</v>
      </c>
      <c r="N234" t="n">
        <v>0</v>
      </c>
      <c r="O234" t="n">
        <v>2</v>
      </c>
      <c r="P234" t="n">
        <v>1</v>
      </c>
      <c r="Q234" t="n">
        <v>2</v>
      </c>
      <c r="R234" s="2" t="inlineStr">
        <is>
          <t>Knärot
Mindre hackspett</t>
        </is>
      </c>
      <c r="S234">
        <f>HYPERLINK("https://klasma.github.io/Logging_0883/artfynd/A 37106-2024 artfynd.xlsx", "A 37106-2024")</f>
        <v/>
      </c>
      <c r="T234">
        <f>HYPERLINK("https://klasma.github.io/Logging_0883/kartor/A 37106-2024 karta.png", "A 37106-2024")</f>
        <v/>
      </c>
      <c r="U234">
        <f>HYPERLINK("https://klasma.github.io/Logging_0883/knärot/A 37106-2024 karta knärot.png", "A 37106-2024")</f>
        <v/>
      </c>
      <c r="V234">
        <f>HYPERLINK("https://klasma.github.io/Logging_0883/klagomål/A 37106-2024 FSC-klagomål.docx", "A 37106-2024")</f>
        <v/>
      </c>
      <c r="W234">
        <f>HYPERLINK("https://klasma.github.io/Logging_0883/klagomålsmail/A 37106-2024 FSC-klagomål mail.docx", "A 37106-2024")</f>
        <v/>
      </c>
      <c r="X234">
        <f>HYPERLINK("https://klasma.github.io/Logging_0883/tillsyn/A 37106-2024 tillsynsbegäran.docx", "A 37106-2024")</f>
        <v/>
      </c>
      <c r="Y234">
        <f>HYPERLINK("https://klasma.github.io/Logging_0883/tillsynsmail/A 37106-2024 tillsynsbegäran mail.docx", "A 37106-2024")</f>
        <v/>
      </c>
      <c r="Z234">
        <f>HYPERLINK("https://klasma.github.io/Logging_0883/fåglar/A 37106-2024 prioriterade fågelarter.docx", "A 37106-2024")</f>
        <v/>
      </c>
    </row>
    <row r="235" ht="15" customHeight="1">
      <c r="A235" t="inlineStr">
        <is>
          <t>A 39256-2024</t>
        </is>
      </c>
      <c r="B235" s="1" t="n">
        <v>45551</v>
      </c>
      <c r="C235" s="1" t="n">
        <v>45844</v>
      </c>
      <c r="D235" t="inlineStr">
        <is>
          <t>KALMAR LÄN</t>
        </is>
      </c>
      <c r="E235" t="inlineStr">
        <is>
          <t>VÄSTERVIK</t>
        </is>
      </c>
      <c r="G235" t="n">
        <v>1.9</v>
      </c>
      <c r="H235" t="n">
        <v>2</v>
      </c>
      <c r="I235" t="n">
        <v>0</v>
      </c>
      <c r="J235" t="n">
        <v>1</v>
      </c>
      <c r="K235" t="n">
        <v>1</v>
      </c>
      <c r="L235" t="n">
        <v>0</v>
      </c>
      <c r="M235" t="n">
        <v>0</v>
      </c>
      <c r="N235" t="n">
        <v>0</v>
      </c>
      <c r="O235" t="n">
        <v>2</v>
      </c>
      <c r="P235" t="n">
        <v>1</v>
      </c>
      <c r="Q235" t="n">
        <v>2</v>
      </c>
      <c r="R235" s="2" t="inlineStr">
        <is>
          <t>Knärot
Talltita</t>
        </is>
      </c>
      <c r="S235">
        <f>HYPERLINK("https://klasma.github.io/Logging_0883/artfynd/A 39256-2024 artfynd.xlsx", "A 39256-2024")</f>
        <v/>
      </c>
      <c r="T235">
        <f>HYPERLINK("https://klasma.github.io/Logging_0883/kartor/A 39256-2024 karta.png", "A 39256-2024")</f>
        <v/>
      </c>
      <c r="U235">
        <f>HYPERLINK("https://klasma.github.io/Logging_0883/knärot/A 39256-2024 karta knärot.png", "A 39256-2024")</f>
        <v/>
      </c>
      <c r="V235">
        <f>HYPERLINK("https://klasma.github.io/Logging_0883/klagomål/A 39256-2024 FSC-klagomål.docx", "A 39256-2024")</f>
        <v/>
      </c>
      <c r="W235">
        <f>HYPERLINK("https://klasma.github.io/Logging_0883/klagomålsmail/A 39256-2024 FSC-klagomål mail.docx", "A 39256-2024")</f>
        <v/>
      </c>
      <c r="X235">
        <f>HYPERLINK("https://klasma.github.io/Logging_0883/tillsyn/A 39256-2024 tillsynsbegäran.docx", "A 39256-2024")</f>
        <v/>
      </c>
      <c r="Y235">
        <f>HYPERLINK("https://klasma.github.io/Logging_0883/tillsynsmail/A 39256-2024 tillsynsbegäran mail.docx", "A 39256-2024")</f>
        <v/>
      </c>
      <c r="Z235">
        <f>HYPERLINK("https://klasma.github.io/Logging_0883/fåglar/A 39256-2024 prioriterade fågelarter.docx", "A 39256-2024")</f>
        <v/>
      </c>
    </row>
    <row r="236" ht="15" customHeight="1">
      <c r="A236" t="inlineStr">
        <is>
          <t>A 40331-2024</t>
        </is>
      </c>
      <c r="B236" s="1" t="n">
        <v>45555</v>
      </c>
      <c r="C236" s="1" t="n">
        <v>45844</v>
      </c>
      <c r="D236" t="inlineStr">
        <is>
          <t>KALMAR LÄN</t>
        </is>
      </c>
      <c r="E236" t="inlineStr">
        <is>
          <t>VÄSTERVIK</t>
        </is>
      </c>
      <c r="G236" t="n">
        <v>1.5</v>
      </c>
      <c r="H236" t="n">
        <v>1</v>
      </c>
      <c r="I236" t="n">
        <v>1</v>
      </c>
      <c r="J236" t="n">
        <v>0</v>
      </c>
      <c r="K236" t="n">
        <v>0</v>
      </c>
      <c r="L236" t="n">
        <v>0</v>
      </c>
      <c r="M236" t="n">
        <v>0</v>
      </c>
      <c r="N236" t="n">
        <v>0</v>
      </c>
      <c r="O236" t="n">
        <v>0</v>
      </c>
      <c r="P236" t="n">
        <v>0</v>
      </c>
      <c r="Q236" t="n">
        <v>2</v>
      </c>
      <c r="R236" s="2" t="inlineStr">
        <is>
          <t>Murgröna
Blåsippa</t>
        </is>
      </c>
      <c r="S236">
        <f>HYPERLINK("https://klasma.github.io/Logging_0883/artfynd/A 40331-2024 artfynd.xlsx", "A 40331-2024")</f>
        <v/>
      </c>
      <c r="T236">
        <f>HYPERLINK("https://klasma.github.io/Logging_0883/kartor/A 40331-2024 karta.png", "A 40331-2024")</f>
        <v/>
      </c>
      <c r="V236">
        <f>HYPERLINK("https://klasma.github.io/Logging_0883/klagomål/A 40331-2024 FSC-klagomål.docx", "A 40331-2024")</f>
        <v/>
      </c>
      <c r="W236">
        <f>HYPERLINK("https://klasma.github.io/Logging_0883/klagomålsmail/A 40331-2024 FSC-klagomål mail.docx", "A 40331-2024")</f>
        <v/>
      </c>
      <c r="X236">
        <f>HYPERLINK("https://klasma.github.io/Logging_0883/tillsyn/A 40331-2024 tillsynsbegäran.docx", "A 40331-2024")</f>
        <v/>
      </c>
      <c r="Y236">
        <f>HYPERLINK("https://klasma.github.io/Logging_0883/tillsynsmail/A 40331-2024 tillsynsbegäran mail.docx", "A 40331-2024")</f>
        <v/>
      </c>
    </row>
    <row r="237" ht="15" customHeight="1">
      <c r="A237" t="inlineStr">
        <is>
          <t>A 41573-2024</t>
        </is>
      </c>
      <c r="B237" s="1" t="n">
        <v>45560</v>
      </c>
      <c r="C237" s="1" t="n">
        <v>45844</v>
      </c>
      <c r="D237" t="inlineStr">
        <is>
          <t>KALMAR LÄN</t>
        </is>
      </c>
      <c r="E237" t="inlineStr">
        <is>
          <t>VÄSTERVIK</t>
        </is>
      </c>
      <c r="G237" t="n">
        <v>1.6</v>
      </c>
      <c r="H237" t="n">
        <v>1</v>
      </c>
      <c r="I237" t="n">
        <v>1</v>
      </c>
      <c r="J237" t="n">
        <v>0</v>
      </c>
      <c r="K237" t="n">
        <v>1</v>
      </c>
      <c r="L237" t="n">
        <v>0</v>
      </c>
      <c r="M237" t="n">
        <v>0</v>
      </c>
      <c r="N237" t="n">
        <v>0</v>
      </c>
      <c r="O237" t="n">
        <v>1</v>
      </c>
      <c r="P237" t="n">
        <v>1</v>
      </c>
      <c r="Q237" t="n">
        <v>2</v>
      </c>
      <c r="R237" s="2" t="inlineStr">
        <is>
          <t>Knärot
Blåmossa</t>
        </is>
      </c>
      <c r="S237">
        <f>HYPERLINK("https://klasma.github.io/Logging_0883/artfynd/A 41573-2024 artfynd.xlsx", "A 41573-2024")</f>
        <v/>
      </c>
      <c r="T237">
        <f>HYPERLINK("https://klasma.github.io/Logging_0883/kartor/A 41573-2024 karta.png", "A 41573-2024")</f>
        <v/>
      </c>
      <c r="U237">
        <f>HYPERLINK("https://klasma.github.io/Logging_0883/knärot/A 41573-2024 karta knärot.png", "A 41573-2024")</f>
        <v/>
      </c>
      <c r="V237">
        <f>HYPERLINK("https://klasma.github.io/Logging_0883/klagomål/A 41573-2024 FSC-klagomål.docx", "A 41573-2024")</f>
        <v/>
      </c>
      <c r="W237">
        <f>HYPERLINK("https://klasma.github.io/Logging_0883/klagomålsmail/A 41573-2024 FSC-klagomål mail.docx", "A 41573-2024")</f>
        <v/>
      </c>
      <c r="X237">
        <f>HYPERLINK("https://klasma.github.io/Logging_0883/tillsyn/A 41573-2024 tillsynsbegäran.docx", "A 41573-2024")</f>
        <v/>
      </c>
      <c r="Y237">
        <f>HYPERLINK("https://klasma.github.io/Logging_0883/tillsynsmail/A 41573-2024 tillsynsbegäran mail.docx", "A 41573-2024")</f>
        <v/>
      </c>
    </row>
    <row r="238" ht="15" customHeight="1">
      <c r="A238" t="inlineStr">
        <is>
          <t>A 48727-2024</t>
        </is>
      </c>
      <c r="B238" s="1" t="n">
        <v>45593</v>
      </c>
      <c r="C238" s="1" t="n">
        <v>45844</v>
      </c>
      <c r="D238" t="inlineStr">
        <is>
          <t>KALMAR LÄN</t>
        </is>
      </c>
      <c r="E238" t="inlineStr">
        <is>
          <t>VÄSTERVIK</t>
        </is>
      </c>
      <c r="G238" t="n">
        <v>2.1</v>
      </c>
      <c r="H238" t="n">
        <v>2</v>
      </c>
      <c r="I238" t="n">
        <v>0</v>
      </c>
      <c r="J238" t="n">
        <v>1</v>
      </c>
      <c r="K238" t="n">
        <v>1</v>
      </c>
      <c r="L238" t="n">
        <v>0</v>
      </c>
      <c r="M238" t="n">
        <v>0</v>
      </c>
      <c r="N238" t="n">
        <v>0</v>
      </c>
      <c r="O238" t="n">
        <v>2</v>
      </c>
      <c r="P238" t="n">
        <v>1</v>
      </c>
      <c r="Q238" t="n">
        <v>2</v>
      </c>
      <c r="R238" s="2" t="inlineStr">
        <is>
          <t>Knärot
Talltita</t>
        </is>
      </c>
      <c r="S238">
        <f>HYPERLINK("https://klasma.github.io/Logging_0883/artfynd/A 48727-2024 artfynd.xlsx", "A 48727-2024")</f>
        <v/>
      </c>
      <c r="T238">
        <f>HYPERLINK("https://klasma.github.io/Logging_0883/kartor/A 48727-2024 karta.png", "A 48727-2024")</f>
        <v/>
      </c>
      <c r="U238">
        <f>HYPERLINK("https://klasma.github.io/Logging_0883/knärot/A 48727-2024 karta knärot.png", "A 48727-2024")</f>
        <v/>
      </c>
      <c r="V238">
        <f>HYPERLINK("https://klasma.github.io/Logging_0883/klagomål/A 48727-2024 FSC-klagomål.docx", "A 48727-2024")</f>
        <v/>
      </c>
      <c r="W238">
        <f>HYPERLINK("https://klasma.github.io/Logging_0883/klagomålsmail/A 48727-2024 FSC-klagomål mail.docx", "A 48727-2024")</f>
        <v/>
      </c>
      <c r="X238">
        <f>HYPERLINK("https://klasma.github.io/Logging_0883/tillsyn/A 48727-2024 tillsynsbegäran.docx", "A 48727-2024")</f>
        <v/>
      </c>
      <c r="Y238">
        <f>HYPERLINK("https://klasma.github.io/Logging_0883/tillsynsmail/A 48727-2024 tillsynsbegäran mail.docx", "A 48727-2024")</f>
        <v/>
      </c>
      <c r="Z238">
        <f>HYPERLINK("https://klasma.github.io/Logging_0883/fåglar/A 48727-2024 prioriterade fågelarter.docx", "A 48727-2024")</f>
        <v/>
      </c>
    </row>
    <row r="239" ht="15" customHeight="1">
      <c r="A239" t="inlineStr">
        <is>
          <t>A 52723-2024</t>
        </is>
      </c>
      <c r="B239" s="1" t="n">
        <v>45610</v>
      </c>
      <c r="C239" s="1" t="n">
        <v>45844</v>
      </c>
      <c r="D239" t="inlineStr">
        <is>
          <t>KALMAR LÄN</t>
        </is>
      </c>
      <c r="E239" t="inlineStr">
        <is>
          <t>VÄSTERVIK</t>
        </is>
      </c>
      <c r="F239" t="inlineStr">
        <is>
          <t>Holmen skog AB</t>
        </is>
      </c>
      <c r="G239" t="n">
        <v>6.5</v>
      </c>
      <c r="H239" t="n">
        <v>2</v>
      </c>
      <c r="I239" t="n">
        <v>1</v>
      </c>
      <c r="J239" t="n">
        <v>1</v>
      </c>
      <c r="K239" t="n">
        <v>0</v>
      </c>
      <c r="L239" t="n">
        <v>0</v>
      </c>
      <c r="M239" t="n">
        <v>0</v>
      </c>
      <c r="N239" t="n">
        <v>0</v>
      </c>
      <c r="O239" t="n">
        <v>1</v>
      </c>
      <c r="P239" t="n">
        <v>0</v>
      </c>
      <c r="Q239" t="n">
        <v>2</v>
      </c>
      <c r="R239" s="2" t="inlineStr">
        <is>
          <t>Talltita
Ekoxe</t>
        </is>
      </c>
      <c r="S239">
        <f>HYPERLINK("https://klasma.github.io/Logging_0883/artfynd/A 52723-2024 artfynd.xlsx", "A 52723-2024")</f>
        <v/>
      </c>
      <c r="T239">
        <f>HYPERLINK("https://klasma.github.io/Logging_0883/kartor/A 52723-2024 karta.png", "A 52723-2024")</f>
        <v/>
      </c>
      <c r="V239">
        <f>HYPERLINK("https://klasma.github.io/Logging_0883/klagomål/A 52723-2024 FSC-klagomål.docx", "A 52723-2024")</f>
        <v/>
      </c>
      <c r="W239">
        <f>HYPERLINK("https://klasma.github.io/Logging_0883/klagomålsmail/A 52723-2024 FSC-klagomål mail.docx", "A 52723-2024")</f>
        <v/>
      </c>
      <c r="X239">
        <f>HYPERLINK("https://klasma.github.io/Logging_0883/tillsyn/A 52723-2024 tillsynsbegäran.docx", "A 52723-2024")</f>
        <v/>
      </c>
      <c r="Y239">
        <f>HYPERLINK("https://klasma.github.io/Logging_0883/tillsynsmail/A 52723-2024 tillsynsbegäran mail.docx", "A 52723-2024")</f>
        <v/>
      </c>
      <c r="Z239">
        <f>HYPERLINK("https://klasma.github.io/Logging_0883/fåglar/A 52723-2024 prioriterade fågelarter.docx", "A 52723-2024")</f>
        <v/>
      </c>
    </row>
    <row r="240" ht="15" customHeight="1">
      <c r="A240" t="inlineStr">
        <is>
          <t>A 54346-2024</t>
        </is>
      </c>
      <c r="B240" s="1" t="n">
        <v>45617</v>
      </c>
      <c r="C240" s="1" t="n">
        <v>45844</v>
      </c>
      <c r="D240" t="inlineStr">
        <is>
          <t>KALMAR LÄN</t>
        </is>
      </c>
      <c r="E240" t="inlineStr">
        <is>
          <t>VÄSTERVIK</t>
        </is>
      </c>
      <c r="F240" t="inlineStr">
        <is>
          <t>Kyrkan</t>
        </is>
      </c>
      <c r="G240" t="n">
        <v>2.4</v>
      </c>
      <c r="H240" t="n">
        <v>0</v>
      </c>
      <c r="I240" t="n">
        <v>1</v>
      </c>
      <c r="J240" t="n">
        <v>1</v>
      </c>
      <c r="K240" t="n">
        <v>0</v>
      </c>
      <c r="L240" t="n">
        <v>0</v>
      </c>
      <c r="M240" t="n">
        <v>0</v>
      </c>
      <c r="N240" t="n">
        <v>0</v>
      </c>
      <c r="O240" t="n">
        <v>1</v>
      </c>
      <c r="P240" t="n">
        <v>0</v>
      </c>
      <c r="Q240" t="n">
        <v>2</v>
      </c>
      <c r="R240" s="2" t="inlineStr">
        <is>
          <t>Tallticka
Dropptaggsvamp</t>
        </is>
      </c>
      <c r="S240">
        <f>HYPERLINK("https://klasma.github.io/Logging_0883/artfynd/A 54346-2024 artfynd.xlsx", "A 54346-2024")</f>
        <v/>
      </c>
      <c r="T240">
        <f>HYPERLINK("https://klasma.github.io/Logging_0883/kartor/A 54346-2024 karta.png", "A 54346-2024")</f>
        <v/>
      </c>
      <c r="V240">
        <f>HYPERLINK("https://klasma.github.io/Logging_0883/klagomål/A 54346-2024 FSC-klagomål.docx", "A 54346-2024")</f>
        <v/>
      </c>
      <c r="W240">
        <f>HYPERLINK("https://klasma.github.io/Logging_0883/klagomålsmail/A 54346-2024 FSC-klagomål mail.docx", "A 54346-2024")</f>
        <v/>
      </c>
      <c r="X240">
        <f>HYPERLINK("https://klasma.github.io/Logging_0883/tillsyn/A 54346-2024 tillsynsbegäran.docx", "A 54346-2024")</f>
        <v/>
      </c>
      <c r="Y240">
        <f>HYPERLINK("https://klasma.github.io/Logging_0883/tillsynsmail/A 54346-2024 tillsynsbegäran mail.docx", "A 54346-2024")</f>
        <v/>
      </c>
    </row>
    <row r="241" ht="15" customHeight="1">
      <c r="A241" t="inlineStr">
        <is>
          <t>A 56036-2024</t>
        </is>
      </c>
      <c r="B241" s="1" t="n">
        <v>45624</v>
      </c>
      <c r="C241" s="1" t="n">
        <v>45844</v>
      </c>
      <c r="D241" t="inlineStr">
        <is>
          <t>KALMAR LÄN</t>
        </is>
      </c>
      <c r="E241" t="inlineStr">
        <is>
          <t>VÄSTERVIK</t>
        </is>
      </c>
      <c r="F241" t="inlineStr">
        <is>
          <t>Kyrkan</t>
        </is>
      </c>
      <c r="G241" t="n">
        <v>5.5</v>
      </c>
      <c r="H241" t="n">
        <v>2</v>
      </c>
      <c r="I241" t="n">
        <v>0</v>
      </c>
      <c r="J241" t="n">
        <v>1</v>
      </c>
      <c r="K241" t="n">
        <v>1</v>
      </c>
      <c r="L241" t="n">
        <v>0</v>
      </c>
      <c r="M241" t="n">
        <v>0</v>
      </c>
      <c r="N241" t="n">
        <v>0</v>
      </c>
      <c r="O241" t="n">
        <v>2</v>
      </c>
      <c r="P241" t="n">
        <v>1</v>
      </c>
      <c r="Q241" t="n">
        <v>2</v>
      </c>
      <c r="R241" s="2" t="inlineStr">
        <is>
          <t>Knärot
Spillkråka</t>
        </is>
      </c>
      <c r="S241">
        <f>HYPERLINK("https://klasma.github.io/Logging_0883/artfynd/A 56036-2024 artfynd.xlsx", "A 56036-2024")</f>
        <v/>
      </c>
      <c r="T241">
        <f>HYPERLINK("https://klasma.github.io/Logging_0883/kartor/A 56036-2024 karta.png", "A 56036-2024")</f>
        <v/>
      </c>
      <c r="U241">
        <f>HYPERLINK("https://klasma.github.io/Logging_0883/knärot/A 56036-2024 karta knärot.png", "A 56036-2024")</f>
        <v/>
      </c>
      <c r="V241">
        <f>HYPERLINK("https://klasma.github.io/Logging_0883/klagomål/A 56036-2024 FSC-klagomål.docx", "A 56036-2024")</f>
        <v/>
      </c>
      <c r="W241">
        <f>HYPERLINK("https://klasma.github.io/Logging_0883/klagomålsmail/A 56036-2024 FSC-klagomål mail.docx", "A 56036-2024")</f>
        <v/>
      </c>
      <c r="X241">
        <f>HYPERLINK("https://klasma.github.io/Logging_0883/tillsyn/A 56036-2024 tillsynsbegäran.docx", "A 56036-2024")</f>
        <v/>
      </c>
      <c r="Y241">
        <f>HYPERLINK("https://klasma.github.io/Logging_0883/tillsynsmail/A 56036-2024 tillsynsbegäran mail.docx", "A 56036-2024")</f>
        <v/>
      </c>
      <c r="Z241">
        <f>HYPERLINK("https://klasma.github.io/Logging_0883/fåglar/A 56036-2024 prioriterade fågelarter.docx", "A 56036-2024")</f>
        <v/>
      </c>
    </row>
    <row r="242" ht="15" customHeight="1">
      <c r="A242" t="inlineStr">
        <is>
          <t>A 58430-2024</t>
        </is>
      </c>
      <c r="B242" s="1" t="n">
        <v>45634</v>
      </c>
      <c r="C242" s="1" t="n">
        <v>45844</v>
      </c>
      <c r="D242" t="inlineStr">
        <is>
          <t>KALMAR LÄN</t>
        </is>
      </c>
      <c r="E242" t="inlineStr">
        <is>
          <t>VÄSTERVIK</t>
        </is>
      </c>
      <c r="F242" t="inlineStr">
        <is>
          <t>Sveaskog</t>
        </is>
      </c>
      <c r="G242" t="n">
        <v>5.6</v>
      </c>
      <c r="H242" t="n">
        <v>2</v>
      </c>
      <c r="I242" t="n">
        <v>0</v>
      </c>
      <c r="J242" t="n">
        <v>2</v>
      </c>
      <c r="K242" t="n">
        <v>0</v>
      </c>
      <c r="L242" t="n">
        <v>0</v>
      </c>
      <c r="M242" t="n">
        <v>0</v>
      </c>
      <c r="N242" t="n">
        <v>0</v>
      </c>
      <c r="O242" t="n">
        <v>2</v>
      </c>
      <c r="P242" t="n">
        <v>0</v>
      </c>
      <c r="Q242" t="n">
        <v>2</v>
      </c>
      <c r="R242" s="2" t="inlineStr">
        <is>
          <t>Spillkråka
Talltita</t>
        </is>
      </c>
      <c r="S242">
        <f>HYPERLINK("https://klasma.github.io/Logging_0883/artfynd/A 58430-2024 artfynd.xlsx", "A 58430-2024")</f>
        <v/>
      </c>
      <c r="T242">
        <f>HYPERLINK("https://klasma.github.io/Logging_0883/kartor/A 58430-2024 karta.png", "A 58430-2024")</f>
        <v/>
      </c>
      <c r="V242">
        <f>HYPERLINK("https://klasma.github.io/Logging_0883/klagomål/A 58430-2024 FSC-klagomål.docx", "A 58430-2024")</f>
        <v/>
      </c>
      <c r="W242">
        <f>HYPERLINK("https://klasma.github.io/Logging_0883/klagomålsmail/A 58430-2024 FSC-klagomål mail.docx", "A 58430-2024")</f>
        <v/>
      </c>
      <c r="X242">
        <f>HYPERLINK("https://klasma.github.io/Logging_0883/tillsyn/A 58430-2024 tillsynsbegäran.docx", "A 58430-2024")</f>
        <v/>
      </c>
      <c r="Y242">
        <f>HYPERLINK("https://klasma.github.io/Logging_0883/tillsynsmail/A 58430-2024 tillsynsbegäran mail.docx", "A 58430-2024")</f>
        <v/>
      </c>
      <c r="Z242">
        <f>HYPERLINK("https://klasma.github.io/Logging_0883/fåglar/A 58430-2024 prioriterade fågelarter.docx", "A 58430-2024")</f>
        <v/>
      </c>
    </row>
    <row r="243" ht="15" customHeight="1">
      <c r="A243" t="inlineStr">
        <is>
          <t>A 958-2025</t>
        </is>
      </c>
      <c r="B243" s="1" t="n">
        <v>45666</v>
      </c>
      <c r="C243" s="1" t="n">
        <v>45844</v>
      </c>
      <c r="D243" t="inlineStr">
        <is>
          <t>KALMAR LÄN</t>
        </is>
      </c>
      <c r="E243" t="inlineStr">
        <is>
          <t>VÄSTERVIK</t>
        </is>
      </c>
      <c r="G243" t="n">
        <v>2.8</v>
      </c>
      <c r="H243" t="n">
        <v>1</v>
      </c>
      <c r="I243" t="n">
        <v>0</v>
      </c>
      <c r="J243" t="n">
        <v>2</v>
      </c>
      <c r="K243" t="n">
        <v>0</v>
      </c>
      <c r="L243" t="n">
        <v>0</v>
      </c>
      <c r="M243" t="n">
        <v>0</v>
      </c>
      <c r="N243" t="n">
        <v>0</v>
      </c>
      <c r="O243" t="n">
        <v>2</v>
      </c>
      <c r="P243" t="n">
        <v>0</v>
      </c>
      <c r="Q243" t="n">
        <v>2</v>
      </c>
      <c r="R243" s="2" t="inlineStr">
        <is>
          <t>Orange taggsvamp
Spillkråka</t>
        </is>
      </c>
      <c r="S243">
        <f>HYPERLINK("https://klasma.github.io/Logging_0883/artfynd/A 958-2025 artfynd.xlsx", "A 958-2025")</f>
        <v/>
      </c>
      <c r="T243">
        <f>HYPERLINK("https://klasma.github.io/Logging_0883/kartor/A 958-2025 karta.png", "A 958-2025")</f>
        <v/>
      </c>
      <c r="V243">
        <f>HYPERLINK("https://klasma.github.io/Logging_0883/klagomål/A 958-2025 FSC-klagomål.docx", "A 958-2025")</f>
        <v/>
      </c>
      <c r="W243">
        <f>HYPERLINK("https://klasma.github.io/Logging_0883/klagomålsmail/A 958-2025 FSC-klagomål mail.docx", "A 958-2025")</f>
        <v/>
      </c>
      <c r="X243">
        <f>HYPERLINK("https://klasma.github.io/Logging_0883/tillsyn/A 958-2025 tillsynsbegäran.docx", "A 958-2025")</f>
        <v/>
      </c>
      <c r="Y243">
        <f>HYPERLINK("https://klasma.github.io/Logging_0883/tillsynsmail/A 958-2025 tillsynsbegäran mail.docx", "A 958-2025")</f>
        <v/>
      </c>
      <c r="Z243">
        <f>HYPERLINK("https://klasma.github.io/Logging_0883/fåglar/A 958-2025 prioriterade fågelarter.docx", "A 958-2025")</f>
        <v/>
      </c>
    </row>
    <row r="244" ht="15" customHeight="1">
      <c r="A244" t="inlineStr">
        <is>
          <t>A 1767-2025</t>
        </is>
      </c>
      <c r="B244" s="1" t="n">
        <v>45671</v>
      </c>
      <c r="C244" s="1" t="n">
        <v>45844</v>
      </c>
      <c r="D244" t="inlineStr">
        <is>
          <t>KALMAR LÄN</t>
        </is>
      </c>
      <c r="E244" t="inlineStr">
        <is>
          <t>VÄSTERVIK</t>
        </is>
      </c>
      <c r="G244" t="n">
        <v>1.4</v>
      </c>
      <c r="H244" t="n">
        <v>1</v>
      </c>
      <c r="I244" t="n">
        <v>0</v>
      </c>
      <c r="J244" t="n">
        <v>2</v>
      </c>
      <c r="K244" t="n">
        <v>0</v>
      </c>
      <c r="L244" t="n">
        <v>0</v>
      </c>
      <c r="M244" t="n">
        <v>0</v>
      </c>
      <c r="N244" t="n">
        <v>0</v>
      </c>
      <c r="O244" t="n">
        <v>2</v>
      </c>
      <c r="P244" t="n">
        <v>0</v>
      </c>
      <c r="Q244" t="n">
        <v>2</v>
      </c>
      <c r="R244" s="2" t="inlineStr">
        <is>
          <t>Garnlav
Spillkråka</t>
        </is>
      </c>
      <c r="S244">
        <f>HYPERLINK("https://klasma.github.io/Logging_0883/artfynd/A 1767-2025 artfynd.xlsx", "A 1767-2025")</f>
        <v/>
      </c>
      <c r="T244">
        <f>HYPERLINK("https://klasma.github.io/Logging_0883/kartor/A 1767-2025 karta.png", "A 1767-2025")</f>
        <v/>
      </c>
      <c r="U244">
        <f>HYPERLINK("https://klasma.github.io/Logging_0883/knärot/A 1767-2025 karta knärot.png", "A 1767-2025")</f>
        <v/>
      </c>
      <c r="V244">
        <f>HYPERLINK("https://klasma.github.io/Logging_0883/klagomål/A 1767-2025 FSC-klagomål.docx", "A 1767-2025")</f>
        <v/>
      </c>
      <c r="W244">
        <f>HYPERLINK("https://klasma.github.io/Logging_0883/klagomålsmail/A 1767-2025 FSC-klagomål mail.docx", "A 1767-2025")</f>
        <v/>
      </c>
      <c r="X244">
        <f>HYPERLINK("https://klasma.github.io/Logging_0883/tillsyn/A 1767-2025 tillsynsbegäran.docx", "A 1767-2025")</f>
        <v/>
      </c>
      <c r="Y244">
        <f>HYPERLINK("https://klasma.github.io/Logging_0883/tillsynsmail/A 1767-2025 tillsynsbegäran mail.docx", "A 1767-2025")</f>
        <v/>
      </c>
      <c r="Z244">
        <f>HYPERLINK("https://klasma.github.io/Logging_0883/fåglar/A 1767-2025 prioriterade fågelarter.docx", "A 1767-2025")</f>
        <v/>
      </c>
    </row>
    <row r="245" ht="15" customHeight="1">
      <c r="A245" t="inlineStr">
        <is>
          <t>A 2324-2025</t>
        </is>
      </c>
      <c r="B245" s="1" t="n">
        <v>45673</v>
      </c>
      <c r="C245" s="1" t="n">
        <v>45844</v>
      </c>
      <c r="D245" t="inlineStr">
        <is>
          <t>KALMAR LÄN</t>
        </is>
      </c>
      <c r="E245" t="inlineStr">
        <is>
          <t>VÄSTERVIK</t>
        </is>
      </c>
      <c r="F245" t="inlineStr">
        <is>
          <t>Sveaskog</t>
        </is>
      </c>
      <c r="G245" t="n">
        <v>5.7</v>
      </c>
      <c r="H245" t="n">
        <v>2</v>
      </c>
      <c r="I245" t="n">
        <v>0</v>
      </c>
      <c r="J245" t="n">
        <v>0</v>
      </c>
      <c r="K245" t="n">
        <v>0</v>
      </c>
      <c r="L245" t="n">
        <v>0</v>
      </c>
      <c r="M245" t="n">
        <v>0</v>
      </c>
      <c r="N245" t="n">
        <v>0</v>
      </c>
      <c r="O245" t="n">
        <v>0</v>
      </c>
      <c r="P245" t="n">
        <v>0</v>
      </c>
      <c r="Q245" t="n">
        <v>2</v>
      </c>
      <c r="R245" s="2" t="inlineStr">
        <is>
          <t>Kungsfågel
Mattlummer</t>
        </is>
      </c>
      <c r="S245">
        <f>HYPERLINK("https://klasma.github.io/Logging_0883/artfynd/A 2324-2025 artfynd.xlsx", "A 2324-2025")</f>
        <v/>
      </c>
      <c r="T245">
        <f>HYPERLINK("https://klasma.github.io/Logging_0883/kartor/A 2324-2025 karta.png", "A 2324-2025")</f>
        <v/>
      </c>
      <c r="V245">
        <f>HYPERLINK("https://klasma.github.io/Logging_0883/klagomål/A 2324-2025 FSC-klagomål.docx", "A 2324-2025")</f>
        <v/>
      </c>
      <c r="W245">
        <f>HYPERLINK("https://klasma.github.io/Logging_0883/klagomålsmail/A 2324-2025 FSC-klagomål mail.docx", "A 2324-2025")</f>
        <v/>
      </c>
      <c r="X245">
        <f>HYPERLINK("https://klasma.github.io/Logging_0883/tillsyn/A 2324-2025 tillsynsbegäran.docx", "A 2324-2025")</f>
        <v/>
      </c>
      <c r="Y245">
        <f>HYPERLINK("https://klasma.github.io/Logging_0883/tillsynsmail/A 2324-2025 tillsynsbegäran mail.docx", "A 2324-2025")</f>
        <v/>
      </c>
      <c r="Z245">
        <f>HYPERLINK("https://klasma.github.io/Logging_0883/fåglar/A 2324-2025 prioriterade fågelarter.docx", "A 2324-2025")</f>
        <v/>
      </c>
    </row>
    <row r="246" ht="15" customHeight="1">
      <c r="A246" t="inlineStr">
        <is>
          <t>A 2950-2025</t>
        </is>
      </c>
      <c r="B246" s="1" t="n">
        <v>45678</v>
      </c>
      <c r="C246" s="1" t="n">
        <v>45844</v>
      </c>
      <c r="D246" t="inlineStr">
        <is>
          <t>KALMAR LÄN</t>
        </is>
      </c>
      <c r="E246" t="inlineStr">
        <is>
          <t>VÄSTERVIK</t>
        </is>
      </c>
      <c r="G246" t="n">
        <v>6.1</v>
      </c>
      <c r="H246" t="n">
        <v>1</v>
      </c>
      <c r="I246" t="n">
        <v>1</v>
      </c>
      <c r="J246" t="n">
        <v>0</v>
      </c>
      <c r="K246" t="n">
        <v>1</v>
      </c>
      <c r="L246" t="n">
        <v>0</v>
      </c>
      <c r="M246" t="n">
        <v>0</v>
      </c>
      <c r="N246" t="n">
        <v>0</v>
      </c>
      <c r="O246" t="n">
        <v>1</v>
      </c>
      <c r="P246" t="n">
        <v>1</v>
      </c>
      <c r="Q246" t="n">
        <v>2</v>
      </c>
      <c r="R246" s="2" t="inlineStr">
        <is>
          <t>Knärot
Grovticka</t>
        </is>
      </c>
      <c r="S246">
        <f>HYPERLINK("https://klasma.github.io/Logging_0883/artfynd/A 2950-2025 artfynd.xlsx", "A 2950-2025")</f>
        <v/>
      </c>
      <c r="T246">
        <f>HYPERLINK("https://klasma.github.io/Logging_0883/kartor/A 2950-2025 karta.png", "A 2950-2025")</f>
        <v/>
      </c>
      <c r="U246">
        <f>HYPERLINK("https://klasma.github.io/Logging_0883/knärot/A 2950-2025 karta knärot.png", "A 2950-2025")</f>
        <v/>
      </c>
      <c r="V246">
        <f>HYPERLINK("https://klasma.github.io/Logging_0883/klagomål/A 2950-2025 FSC-klagomål.docx", "A 2950-2025")</f>
        <v/>
      </c>
      <c r="W246">
        <f>HYPERLINK("https://klasma.github.io/Logging_0883/klagomålsmail/A 2950-2025 FSC-klagomål mail.docx", "A 2950-2025")</f>
        <v/>
      </c>
      <c r="X246">
        <f>HYPERLINK("https://klasma.github.io/Logging_0883/tillsyn/A 2950-2025 tillsynsbegäran.docx", "A 2950-2025")</f>
        <v/>
      </c>
      <c r="Y246">
        <f>HYPERLINK("https://klasma.github.io/Logging_0883/tillsynsmail/A 2950-2025 tillsynsbegäran mail.docx", "A 2950-2025")</f>
        <v/>
      </c>
    </row>
    <row r="247" ht="15" customHeight="1">
      <c r="A247" t="inlineStr">
        <is>
          <t>A 3091-2025</t>
        </is>
      </c>
      <c r="B247" s="1" t="n">
        <v>45678</v>
      </c>
      <c r="C247" s="1" t="n">
        <v>45844</v>
      </c>
      <c r="D247" t="inlineStr">
        <is>
          <t>KALMAR LÄN</t>
        </is>
      </c>
      <c r="E247" t="inlineStr">
        <is>
          <t>VÄSTERVIK</t>
        </is>
      </c>
      <c r="G247" t="n">
        <v>3.7</v>
      </c>
      <c r="H247" t="n">
        <v>2</v>
      </c>
      <c r="I247" t="n">
        <v>0</v>
      </c>
      <c r="J247" t="n">
        <v>1</v>
      </c>
      <c r="K247" t="n">
        <v>1</v>
      </c>
      <c r="L247" t="n">
        <v>0</v>
      </c>
      <c r="M247" t="n">
        <v>0</v>
      </c>
      <c r="N247" t="n">
        <v>0</v>
      </c>
      <c r="O247" t="n">
        <v>2</v>
      </c>
      <c r="P247" t="n">
        <v>1</v>
      </c>
      <c r="Q247" t="n">
        <v>2</v>
      </c>
      <c r="R247" s="2" t="inlineStr">
        <is>
          <t>Knärot
Talltita</t>
        </is>
      </c>
      <c r="S247">
        <f>HYPERLINK("https://klasma.github.io/Logging_0883/artfynd/A 3091-2025 artfynd.xlsx", "A 3091-2025")</f>
        <v/>
      </c>
      <c r="T247">
        <f>HYPERLINK("https://klasma.github.io/Logging_0883/kartor/A 3091-2025 karta.png", "A 3091-2025")</f>
        <v/>
      </c>
      <c r="U247">
        <f>HYPERLINK("https://klasma.github.io/Logging_0883/knärot/A 3091-2025 karta knärot.png", "A 3091-2025")</f>
        <v/>
      </c>
      <c r="V247">
        <f>HYPERLINK("https://klasma.github.io/Logging_0883/klagomål/A 3091-2025 FSC-klagomål.docx", "A 3091-2025")</f>
        <v/>
      </c>
      <c r="W247">
        <f>HYPERLINK("https://klasma.github.io/Logging_0883/klagomålsmail/A 3091-2025 FSC-klagomål mail.docx", "A 3091-2025")</f>
        <v/>
      </c>
      <c r="X247">
        <f>HYPERLINK("https://klasma.github.io/Logging_0883/tillsyn/A 3091-2025 tillsynsbegäran.docx", "A 3091-2025")</f>
        <v/>
      </c>
      <c r="Y247">
        <f>HYPERLINK("https://klasma.github.io/Logging_0883/tillsynsmail/A 3091-2025 tillsynsbegäran mail.docx", "A 3091-2025")</f>
        <v/>
      </c>
      <c r="Z247">
        <f>HYPERLINK("https://klasma.github.io/Logging_0883/fåglar/A 3091-2025 prioriterade fågelarter.docx", "A 3091-2025")</f>
        <v/>
      </c>
    </row>
    <row r="248" ht="15" customHeight="1">
      <c r="A248" t="inlineStr">
        <is>
          <t>A 3182-2025</t>
        </is>
      </c>
      <c r="B248" s="1" t="n">
        <v>45679</v>
      </c>
      <c r="C248" s="1" t="n">
        <v>45844</v>
      </c>
      <c r="D248" t="inlineStr">
        <is>
          <t>KALMAR LÄN</t>
        </is>
      </c>
      <c r="E248" t="inlineStr">
        <is>
          <t>VÄSTERVIK</t>
        </is>
      </c>
      <c r="G248" t="n">
        <v>1.2</v>
      </c>
      <c r="H248" t="n">
        <v>2</v>
      </c>
      <c r="I248" t="n">
        <v>0</v>
      </c>
      <c r="J248" t="n">
        <v>1</v>
      </c>
      <c r="K248" t="n">
        <v>1</v>
      </c>
      <c r="L248" t="n">
        <v>0</v>
      </c>
      <c r="M248" t="n">
        <v>0</v>
      </c>
      <c r="N248" t="n">
        <v>0</v>
      </c>
      <c r="O248" t="n">
        <v>2</v>
      </c>
      <c r="P248" t="n">
        <v>1</v>
      </c>
      <c r="Q248" t="n">
        <v>2</v>
      </c>
      <c r="R248" s="2" t="inlineStr">
        <is>
          <t>Knärot
Spillkråka</t>
        </is>
      </c>
      <c r="S248">
        <f>HYPERLINK("https://klasma.github.io/Logging_0883/artfynd/A 3182-2025 artfynd.xlsx", "A 3182-2025")</f>
        <v/>
      </c>
      <c r="T248">
        <f>HYPERLINK("https://klasma.github.io/Logging_0883/kartor/A 3182-2025 karta.png", "A 3182-2025")</f>
        <v/>
      </c>
      <c r="U248">
        <f>HYPERLINK("https://klasma.github.io/Logging_0883/knärot/A 3182-2025 karta knärot.png", "A 3182-2025")</f>
        <v/>
      </c>
      <c r="V248">
        <f>HYPERLINK("https://klasma.github.io/Logging_0883/klagomål/A 3182-2025 FSC-klagomål.docx", "A 3182-2025")</f>
        <v/>
      </c>
      <c r="W248">
        <f>HYPERLINK("https://klasma.github.io/Logging_0883/klagomålsmail/A 3182-2025 FSC-klagomål mail.docx", "A 3182-2025")</f>
        <v/>
      </c>
      <c r="X248">
        <f>HYPERLINK("https://klasma.github.io/Logging_0883/tillsyn/A 3182-2025 tillsynsbegäran.docx", "A 3182-2025")</f>
        <v/>
      </c>
      <c r="Y248">
        <f>HYPERLINK("https://klasma.github.io/Logging_0883/tillsynsmail/A 3182-2025 tillsynsbegäran mail.docx", "A 3182-2025")</f>
        <v/>
      </c>
      <c r="Z248">
        <f>HYPERLINK("https://klasma.github.io/Logging_0883/fåglar/A 3182-2025 prioriterade fågelarter.docx", "A 3182-2025")</f>
        <v/>
      </c>
    </row>
    <row r="249" ht="15" customHeight="1">
      <c r="A249" t="inlineStr">
        <is>
          <t>A 4778-2025</t>
        </is>
      </c>
      <c r="B249" s="1" t="n">
        <v>45688</v>
      </c>
      <c r="C249" s="1" t="n">
        <v>45844</v>
      </c>
      <c r="D249" t="inlineStr">
        <is>
          <t>KALMAR LÄN</t>
        </is>
      </c>
      <c r="E249" t="inlineStr">
        <is>
          <t>VÄSTERVIK</t>
        </is>
      </c>
      <c r="F249" t="inlineStr">
        <is>
          <t>Holmen skog AB</t>
        </is>
      </c>
      <c r="G249" t="n">
        <v>3.8</v>
      </c>
      <c r="H249" t="n">
        <v>2</v>
      </c>
      <c r="I249" t="n">
        <v>0</v>
      </c>
      <c r="J249" t="n">
        <v>1</v>
      </c>
      <c r="K249" t="n">
        <v>1</v>
      </c>
      <c r="L249" t="n">
        <v>0</v>
      </c>
      <c r="M249" t="n">
        <v>0</v>
      </c>
      <c r="N249" t="n">
        <v>0</v>
      </c>
      <c r="O249" t="n">
        <v>2</v>
      </c>
      <c r="P249" t="n">
        <v>1</v>
      </c>
      <c r="Q249" t="n">
        <v>2</v>
      </c>
      <c r="R249" s="2" t="inlineStr">
        <is>
          <t>Knärot
Talltita</t>
        </is>
      </c>
      <c r="S249">
        <f>HYPERLINK("https://klasma.github.io/Logging_0883/artfynd/A 4778-2025 artfynd.xlsx", "A 4778-2025")</f>
        <v/>
      </c>
      <c r="T249">
        <f>HYPERLINK("https://klasma.github.io/Logging_0883/kartor/A 4778-2025 karta.png", "A 4778-2025")</f>
        <v/>
      </c>
      <c r="U249">
        <f>HYPERLINK("https://klasma.github.io/Logging_0883/knärot/A 4778-2025 karta knärot.png", "A 4778-2025")</f>
        <v/>
      </c>
      <c r="V249">
        <f>HYPERLINK("https://klasma.github.io/Logging_0883/klagomål/A 4778-2025 FSC-klagomål.docx", "A 4778-2025")</f>
        <v/>
      </c>
      <c r="W249">
        <f>HYPERLINK("https://klasma.github.io/Logging_0883/klagomålsmail/A 4778-2025 FSC-klagomål mail.docx", "A 4778-2025")</f>
        <v/>
      </c>
      <c r="X249">
        <f>HYPERLINK("https://klasma.github.io/Logging_0883/tillsyn/A 4778-2025 tillsynsbegäran.docx", "A 4778-2025")</f>
        <v/>
      </c>
      <c r="Y249">
        <f>HYPERLINK("https://klasma.github.io/Logging_0883/tillsynsmail/A 4778-2025 tillsynsbegäran mail.docx", "A 4778-2025")</f>
        <v/>
      </c>
      <c r="Z249">
        <f>HYPERLINK("https://klasma.github.io/Logging_0883/fåglar/A 4778-2025 prioriterade fågelarter.docx", "A 4778-2025")</f>
        <v/>
      </c>
    </row>
    <row r="250" ht="15" customHeight="1">
      <c r="A250" t="inlineStr">
        <is>
          <t>A 5114-2025</t>
        </is>
      </c>
      <c r="B250" s="1" t="n">
        <v>45691</v>
      </c>
      <c r="C250" s="1" t="n">
        <v>45844</v>
      </c>
      <c r="D250" t="inlineStr">
        <is>
          <t>KALMAR LÄN</t>
        </is>
      </c>
      <c r="E250" t="inlineStr">
        <is>
          <t>VÄSTERVIK</t>
        </is>
      </c>
      <c r="G250" t="n">
        <v>3.6</v>
      </c>
      <c r="H250" t="n">
        <v>2</v>
      </c>
      <c r="I250" t="n">
        <v>0</v>
      </c>
      <c r="J250" t="n">
        <v>2</v>
      </c>
      <c r="K250" t="n">
        <v>0</v>
      </c>
      <c r="L250" t="n">
        <v>0</v>
      </c>
      <c r="M250" t="n">
        <v>0</v>
      </c>
      <c r="N250" t="n">
        <v>0</v>
      </c>
      <c r="O250" t="n">
        <v>2</v>
      </c>
      <c r="P250" t="n">
        <v>0</v>
      </c>
      <c r="Q250" t="n">
        <v>2</v>
      </c>
      <c r="R250" s="2" t="inlineStr">
        <is>
          <t>Spillkråka
Talltita</t>
        </is>
      </c>
      <c r="S250">
        <f>HYPERLINK("https://klasma.github.io/Logging_0883/artfynd/A 5114-2025 artfynd.xlsx", "A 5114-2025")</f>
        <v/>
      </c>
      <c r="T250">
        <f>HYPERLINK("https://klasma.github.io/Logging_0883/kartor/A 5114-2025 karta.png", "A 5114-2025")</f>
        <v/>
      </c>
      <c r="U250">
        <f>HYPERLINK("https://klasma.github.io/Logging_0883/knärot/A 5114-2025 karta knärot.png", "A 5114-2025")</f>
        <v/>
      </c>
      <c r="V250">
        <f>HYPERLINK("https://klasma.github.io/Logging_0883/klagomål/A 5114-2025 FSC-klagomål.docx", "A 5114-2025")</f>
        <v/>
      </c>
      <c r="W250">
        <f>HYPERLINK("https://klasma.github.io/Logging_0883/klagomålsmail/A 5114-2025 FSC-klagomål mail.docx", "A 5114-2025")</f>
        <v/>
      </c>
      <c r="X250">
        <f>HYPERLINK("https://klasma.github.io/Logging_0883/tillsyn/A 5114-2025 tillsynsbegäran.docx", "A 5114-2025")</f>
        <v/>
      </c>
      <c r="Y250">
        <f>HYPERLINK("https://klasma.github.io/Logging_0883/tillsynsmail/A 5114-2025 tillsynsbegäran mail.docx", "A 5114-2025")</f>
        <v/>
      </c>
      <c r="Z250">
        <f>HYPERLINK("https://klasma.github.io/Logging_0883/fåglar/A 5114-2025 prioriterade fågelarter.docx", "A 5114-2025")</f>
        <v/>
      </c>
    </row>
    <row r="251" ht="15" customHeight="1">
      <c r="A251" t="inlineStr">
        <is>
          <t>A 5668-2025</t>
        </is>
      </c>
      <c r="B251" s="1" t="n">
        <v>45693</v>
      </c>
      <c r="C251" s="1" t="n">
        <v>45844</v>
      </c>
      <c r="D251" t="inlineStr">
        <is>
          <t>KALMAR LÄN</t>
        </is>
      </c>
      <c r="E251" t="inlineStr">
        <is>
          <t>VÄSTERVIK</t>
        </is>
      </c>
      <c r="G251" t="n">
        <v>1.2</v>
      </c>
      <c r="H251" t="n">
        <v>2</v>
      </c>
      <c r="I251" t="n">
        <v>0</v>
      </c>
      <c r="J251" t="n">
        <v>1</v>
      </c>
      <c r="K251" t="n">
        <v>0</v>
      </c>
      <c r="L251" t="n">
        <v>0</v>
      </c>
      <c r="M251" t="n">
        <v>0</v>
      </c>
      <c r="N251" t="n">
        <v>0</v>
      </c>
      <c r="O251" t="n">
        <v>1</v>
      </c>
      <c r="P251" t="n">
        <v>0</v>
      </c>
      <c r="Q251" t="n">
        <v>2</v>
      </c>
      <c r="R251" s="2" t="inlineStr">
        <is>
          <t>Talltita
Kungsfågel</t>
        </is>
      </c>
      <c r="S251">
        <f>HYPERLINK("https://klasma.github.io/Logging_0883/artfynd/A 5668-2025 artfynd.xlsx", "A 5668-2025")</f>
        <v/>
      </c>
      <c r="T251">
        <f>HYPERLINK("https://klasma.github.io/Logging_0883/kartor/A 5668-2025 karta.png", "A 5668-2025")</f>
        <v/>
      </c>
      <c r="V251">
        <f>HYPERLINK("https://klasma.github.io/Logging_0883/klagomål/A 5668-2025 FSC-klagomål.docx", "A 5668-2025")</f>
        <v/>
      </c>
      <c r="W251">
        <f>HYPERLINK("https://klasma.github.io/Logging_0883/klagomålsmail/A 5668-2025 FSC-klagomål mail.docx", "A 5668-2025")</f>
        <v/>
      </c>
      <c r="X251">
        <f>HYPERLINK("https://klasma.github.io/Logging_0883/tillsyn/A 5668-2025 tillsynsbegäran.docx", "A 5668-2025")</f>
        <v/>
      </c>
      <c r="Y251">
        <f>HYPERLINK("https://klasma.github.io/Logging_0883/tillsynsmail/A 5668-2025 tillsynsbegäran mail.docx", "A 5668-2025")</f>
        <v/>
      </c>
      <c r="Z251">
        <f>HYPERLINK("https://klasma.github.io/Logging_0883/fåglar/A 5668-2025 prioriterade fågelarter.docx", "A 5668-2025")</f>
        <v/>
      </c>
    </row>
    <row r="252" ht="15" customHeight="1">
      <c r="A252" t="inlineStr">
        <is>
          <t>A 10784-2025</t>
        </is>
      </c>
      <c r="B252" s="1" t="n">
        <v>45722</v>
      </c>
      <c r="C252" s="1" t="n">
        <v>45844</v>
      </c>
      <c r="D252" t="inlineStr">
        <is>
          <t>KALMAR LÄN</t>
        </is>
      </c>
      <c r="E252" t="inlineStr">
        <is>
          <t>VÄSTERVIK</t>
        </is>
      </c>
      <c r="G252" t="n">
        <v>2.1</v>
      </c>
      <c r="H252" t="n">
        <v>2</v>
      </c>
      <c r="I252" t="n">
        <v>0</v>
      </c>
      <c r="J252" t="n">
        <v>1</v>
      </c>
      <c r="K252" t="n">
        <v>0</v>
      </c>
      <c r="L252" t="n">
        <v>0</v>
      </c>
      <c r="M252" t="n">
        <v>0</v>
      </c>
      <c r="N252" t="n">
        <v>0</v>
      </c>
      <c r="O252" t="n">
        <v>1</v>
      </c>
      <c r="P252" t="n">
        <v>0</v>
      </c>
      <c r="Q252" t="n">
        <v>2</v>
      </c>
      <c r="R252" s="2" t="inlineStr">
        <is>
          <t>Talltita
Kungsfågel</t>
        </is>
      </c>
      <c r="S252">
        <f>HYPERLINK("https://klasma.github.io/Logging_080883/artfynd/A 10784-2025 artfynd.xlsx", "A 10784-2025")</f>
        <v/>
      </c>
      <c r="T252">
        <f>HYPERLINK("https://klasma.github.io/Logging_080883/kartor/A 10784-2025 karta.png", "A 10784-2025")</f>
        <v/>
      </c>
      <c r="V252">
        <f>HYPERLINK("https://klasma.github.io/Logging_080883/klagomål/A 10784-2025 FSC-klagomål.docx", "A 10784-2025")</f>
        <v/>
      </c>
      <c r="W252">
        <f>HYPERLINK("https://klasma.github.io/Logging_080883/klagomålsmail/A 10784-2025 FSC-klagomål mail.docx", "A 10784-2025")</f>
        <v/>
      </c>
      <c r="X252">
        <f>HYPERLINK("https://klasma.github.io/Logging_080883/tillsyn/A 10784-2025 tillsynsbegäran.docx", "A 10784-2025")</f>
        <v/>
      </c>
      <c r="Y252">
        <f>HYPERLINK("https://klasma.github.io/Logging_080883/tillsynsmail/A 10784-2025 tillsynsbegäran mail.docx", "A 10784-2025")</f>
        <v/>
      </c>
      <c r="Z252">
        <f>HYPERLINK("https://klasma.github.io/Logging_080883/fåglar/A 10784-2025 prioriterade fågelarter.docx", "A 10784-2025")</f>
        <v/>
      </c>
    </row>
    <row r="253" ht="15" customHeight="1">
      <c r="A253" t="inlineStr">
        <is>
          <t>A 14126-2025</t>
        </is>
      </c>
      <c r="B253" s="1" t="n">
        <v>45740</v>
      </c>
      <c r="C253" s="1" t="n">
        <v>45844</v>
      </c>
      <c r="D253" t="inlineStr">
        <is>
          <t>KALMAR LÄN</t>
        </is>
      </c>
      <c r="E253" t="inlineStr">
        <is>
          <t>VÄSTERVIK</t>
        </is>
      </c>
      <c r="F253" t="inlineStr">
        <is>
          <t>Sveaskog</t>
        </is>
      </c>
      <c r="G253" t="n">
        <v>1.3</v>
      </c>
      <c r="H253" t="n">
        <v>2</v>
      </c>
      <c r="I253" t="n">
        <v>0</v>
      </c>
      <c r="J253" t="n">
        <v>1</v>
      </c>
      <c r="K253" t="n">
        <v>0</v>
      </c>
      <c r="L253" t="n">
        <v>0</v>
      </c>
      <c r="M253" t="n">
        <v>0</v>
      </c>
      <c r="N253" t="n">
        <v>0</v>
      </c>
      <c r="O253" t="n">
        <v>1</v>
      </c>
      <c r="P253" t="n">
        <v>0</v>
      </c>
      <c r="Q253" t="n">
        <v>2</v>
      </c>
      <c r="R253" s="2" t="inlineStr">
        <is>
          <t>Grönsångare
Blåsippa</t>
        </is>
      </c>
      <c r="S253">
        <f>HYPERLINK("https://klasma.github.io/Logging_080883/artfynd/A 14126-2025 artfynd.xlsx", "A 14126-2025")</f>
        <v/>
      </c>
      <c r="T253">
        <f>HYPERLINK("https://klasma.github.io/Logging_080883/kartor/A 14126-2025 karta.png", "A 14126-2025")</f>
        <v/>
      </c>
      <c r="V253">
        <f>HYPERLINK("https://klasma.github.io/Logging_080883/klagomål/A 14126-2025 FSC-klagomål.docx", "A 14126-2025")</f>
        <v/>
      </c>
      <c r="W253">
        <f>HYPERLINK("https://klasma.github.io/Logging_080883/klagomålsmail/A 14126-2025 FSC-klagomål mail.docx", "A 14126-2025")</f>
        <v/>
      </c>
      <c r="X253">
        <f>HYPERLINK("https://klasma.github.io/Logging_080883/tillsyn/A 14126-2025 tillsynsbegäran.docx", "A 14126-2025")</f>
        <v/>
      </c>
      <c r="Y253">
        <f>HYPERLINK("https://klasma.github.io/Logging_080883/tillsynsmail/A 14126-2025 tillsynsbegäran mail.docx", "A 14126-2025")</f>
        <v/>
      </c>
      <c r="Z253">
        <f>HYPERLINK("https://klasma.github.io/Logging_080883/fåglar/A 14126-2025 prioriterade fågelarter.docx", "A 14126-2025")</f>
        <v/>
      </c>
    </row>
    <row r="254" ht="15" customHeight="1">
      <c r="A254" t="inlineStr">
        <is>
          <t>A 14086-2025</t>
        </is>
      </c>
      <c r="B254" s="1" t="n">
        <v>45740</v>
      </c>
      <c r="C254" s="1" t="n">
        <v>45844</v>
      </c>
      <c r="D254" t="inlineStr">
        <is>
          <t>KALMAR LÄN</t>
        </is>
      </c>
      <c r="E254" t="inlineStr">
        <is>
          <t>VÄSTERVIK</t>
        </is>
      </c>
      <c r="F254" t="inlineStr">
        <is>
          <t>Sveaskog</t>
        </is>
      </c>
      <c r="G254" t="n">
        <v>3.2</v>
      </c>
      <c r="H254" t="n">
        <v>1</v>
      </c>
      <c r="I254" t="n">
        <v>1</v>
      </c>
      <c r="J254" t="n">
        <v>0</v>
      </c>
      <c r="K254" t="n">
        <v>0</v>
      </c>
      <c r="L254" t="n">
        <v>0</v>
      </c>
      <c r="M254" t="n">
        <v>0</v>
      </c>
      <c r="N254" t="n">
        <v>0</v>
      </c>
      <c r="O254" t="n">
        <v>0</v>
      </c>
      <c r="P254" t="n">
        <v>0</v>
      </c>
      <c r="Q254" t="n">
        <v>2</v>
      </c>
      <c r="R254" s="2" t="inlineStr">
        <is>
          <t>Skogsbräsma
Åkergroda</t>
        </is>
      </c>
      <c r="S254">
        <f>HYPERLINK("https://klasma.github.io/Logging_080883/artfynd/A 14086-2025 artfynd.xlsx", "A 14086-2025")</f>
        <v/>
      </c>
      <c r="T254">
        <f>HYPERLINK("https://klasma.github.io/Logging_080883/kartor/A 14086-2025 karta.png", "A 14086-2025")</f>
        <v/>
      </c>
      <c r="V254">
        <f>HYPERLINK("https://klasma.github.io/Logging_080883/klagomål/A 14086-2025 FSC-klagomål.docx", "A 14086-2025")</f>
        <v/>
      </c>
      <c r="W254">
        <f>HYPERLINK("https://klasma.github.io/Logging_080883/klagomålsmail/A 14086-2025 FSC-klagomål mail.docx", "A 14086-2025")</f>
        <v/>
      </c>
      <c r="X254">
        <f>HYPERLINK("https://klasma.github.io/Logging_080883/tillsyn/A 14086-2025 tillsynsbegäran.docx", "A 14086-2025")</f>
        <v/>
      </c>
      <c r="Y254">
        <f>HYPERLINK("https://klasma.github.io/Logging_080883/tillsynsmail/A 14086-2025 tillsynsbegäran mail.docx", "A 14086-2025")</f>
        <v/>
      </c>
    </row>
    <row r="255" ht="15" customHeight="1">
      <c r="A255" t="inlineStr">
        <is>
          <t>A 14090-2025</t>
        </is>
      </c>
      <c r="B255" s="1" t="n">
        <v>45740</v>
      </c>
      <c r="C255" s="1" t="n">
        <v>45844</v>
      </c>
      <c r="D255" t="inlineStr">
        <is>
          <t>KALMAR LÄN</t>
        </is>
      </c>
      <c r="E255" t="inlineStr">
        <is>
          <t>VÄSTERVIK</t>
        </is>
      </c>
      <c r="F255" t="inlineStr">
        <is>
          <t>Sveaskog</t>
        </is>
      </c>
      <c r="G255" t="n">
        <v>1</v>
      </c>
      <c r="H255" t="n">
        <v>2</v>
      </c>
      <c r="I255" t="n">
        <v>0</v>
      </c>
      <c r="J255" t="n">
        <v>1</v>
      </c>
      <c r="K255" t="n">
        <v>0</v>
      </c>
      <c r="L255" t="n">
        <v>0</v>
      </c>
      <c r="M255" t="n">
        <v>0</v>
      </c>
      <c r="N255" t="n">
        <v>0</v>
      </c>
      <c r="O255" t="n">
        <v>1</v>
      </c>
      <c r="P255" t="n">
        <v>0</v>
      </c>
      <c r="Q255" t="n">
        <v>2</v>
      </c>
      <c r="R255" s="2" t="inlineStr">
        <is>
          <t>Grönsångare
Åkergroda</t>
        </is>
      </c>
      <c r="S255">
        <f>HYPERLINK("https://klasma.github.io/Logging_080883/artfynd/A 14090-2025 artfynd.xlsx", "A 14090-2025")</f>
        <v/>
      </c>
      <c r="T255">
        <f>HYPERLINK("https://klasma.github.io/Logging_080883/kartor/A 14090-2025 karta.png", "A 14090-2025")</f>
        <v/>
      </c>
      <c r="V255">
        <f>HYPERLINK("https://klasma.github.io/Logging_080883/klagomål/A 14090-2025 FSC-klagomål.docx", "A 14090-2025")</f>
        <v/>
      </c>
      <c r="W255">
        <f>HYPERLINK("https://klasma.github.io/Logging_080883/klagomålsmail/A 14090-2025 FSC-klagomål mail.docx", "A 14090-2025")</f>
        <v/>
      </c>
      <c r="X255">
        <f>HYPERLINK("https://klasma.github.io/Logging_080883/tillsyn/A 14090-2025 tillsynsbegäran.docx", "A 14090-2025")</f>
        <v/>
      </c>
      <c r="Y255">
        <f>HYPERLINK("https://klasma.github.io/Logging_080883/tillsynsmail/A 14090-2025 tillsynsbegäran mail.docx", "A 14090-2025")</f>
        <v/>
      </c>
      <c r="Z255">
        <f>HYPERLINK("https://klasma.github.io/Logging_080883/fåglar/A 14090-2025 prioriterade fågelarter.docx", "A 14090-2025")</f>
        <v/>
      </c>
    </row>
    <row r="256" ht="15" customHeight="1">
      <c r="A256" t="inlineStr">
        <is>
          <t>A 15018-2025</t>
        </is>
      </c>
      <c r="B256" s="1" t="n">
        <v>45743</v>
      </c>
      <c r="C256" s="1" t="n">
        <v>45844</v>
      </c>
      <c r="D256" t="inlineStr">
        <is>
          <t>KALMAR LÄN</t>
        </is>
      </c>
      <c r="E256" t="inlineStr">
        <is>
          <t>VÄSTERVIK</t>
        </is>
      </c>
      <c r="G256" t="n">
        <v>1.7</v>
      </c>
      <c r="H256" t="n">
        <v>2</v>
      </c>
      <c r="I256" t="n">
        <v>0</v>
      </c>
      <c r="J256" t="n">
        <v>1</v>
      </c>
      <c r="K256" t="n">
        <v>0</v>
      </c>
      <c r="L256" t="n">
        <v>0</v>
      </c>
      <c r="M256" t="n">
        <v>0</v>
      </c>
      <c r="N256" t="n">
        <v>0</v>
      </c>
      <c r="O256" t="n">
        <v>1</v>
      </c>
      <c r="P256" t="n">
        <v>0</v>
      </c>
      <c r="Q256" t="n">
        <v>2</v>
      </c>
      <c r="R256" s="2" t="inlineStr">
        <is>
          <t>Fjällvråk
Nattskärra</t>
        </is>
      </c>
      <c r="S256">
        <f>HYPERLINK("https://klasma.github.io/Logging_080883/artfynd/A 15018-2025 artfynd.xlsx", "A 15018-2025")</f>
        <v/>
      </c>
      <c r="T256">
        <f>HYPERLINK("https://klasma.github.io/Logging_080883/kartor/A 15018-2025 karta.png", "A 15018-2025")</f>
        <v/>
      </c>
      <c r="V256">
        <f>HYPERLINK("https://klasma.github.io/Logging_080883/klagomål/A 15018-2025 FSC-klagomål.docx", "A 15018-2025")</f>
        <v/>
      </c>
      <c r="W256">
        <f>HYPERLINK("https://klasma.github.io/Logging_080883/klagomålsmail/A 15018-2025 FSC-klagomål mail.docx", "A 15018-2025")</f>
        <v/>
      </c>
      <c r="X256">
        <f>HYPERLINK("https://klasma.github.io/Logging_080883/tillsyn/A 15018-2025 tillsynsbegäran.docx", "A 15018-2025")</f>
        <v/>
      </c>
      <c r="Y256">
        <f>HYPERLINK("https://klasma.github.io/Logging_080883/tillsynsmail/A 15018-2025 tillsynsbegäran mail.docx", "A 15018-2025")</f>
        <v/>
      </c>
      <c r="Z256">
        <f>HYPERLINK("https://klasma.github.io/Logging_080883/fåglar/A 15018-2025 prioriterade fågelarter.docx", "A 15018-2025")</f>
        <v/>
      </c>
    </row>
    <row r="257" ht="15" customHeight="1">
      <c r="A257" t="inlineStr">
        <is>
          <t>A 16700-2025</t>
        </is>
      </c>
      <c r="B257" s="1" t="n">
        <v>45754</v>
      </c>
      <c r="C257" s="1" t="n">
        <v>45844</v>
      </c>
      <c r="D257" t="inlineStr">
        <is>
          <t>KALMAR LÄN</t>
        </is>
      </c>
      <c r="E257" t="inlineStr">
        <is>
          <t>VÄSTERVIK</t>
        </is>
      </c>
      <c r="F257" t="inlineStr">
        <is>
          <t>Sveaskog</t>
        </is>
      </c>
      <c r="G257" t="n">
        <v>1.7</v>
      </c>
      <c r="H257" t="n">
        <v>2</v>
      </c>
      <c r="I257" t="n">
        <v>0</v>
      </c>
      <c r="J257" t="n">
        <v>1</v>
      </c>
      <c r="K257" t="n">
        <v>0</v>
      </c>
      <c r="L257" t="n">
        <v>0</v>
      </c>
      <c r="M257" t="n">
        <v>0</v>
      </c>
      <c r="N257" t="n">
        <v>0</v>
      </c>
      <c r="O257" t="n">
        <v>1</v>
      </c>
      <c r="P257" t="n">
        <v>0</v>
      </c>
      <c r="Q257" t="n">
        <v>2</v>
      </c>
      <c r="R257" s="2" t="inlineStr">
        <is>
          <t>Spillkråka
Kungsfågel</t>
        </is>
      </c>
      <c r="S257">
        <f>HYPERLINK("https://klasma.github.io/Logging_080883/artfynd/A 16700-2025 artfynd.xlsx", "A 16700-2025")</f>
        <v/>
      </c>
      <c r="T257">
        <f>HYPERLINK("https://klasma.github.io/Logging_080883/kartor/A 16700-2025 karta.png", "A 16700-2025")</f>
        <v/>
      </c>
      <c r="V257">
        <f>HYPERLINK("https://klasma.github.io/Logging_080883/klagomål/A 16700-2025 FSC-klagomål.docx", "A 16700-2025")</f>
        <v/>
      </c>
      <c r="W257">
        <f>HYPERLINK("https://klasma.github.io/Logging_080883/klagomålsmail/A 16700-2025 FSC-klagomål mail.docx", "A 16700-2025")</f>
        <v/>
      </c>
      <c r="X257">
        <f>HYPERLINK("https://klasma.github.io/Logging_080883/tillsyn/A 16700-2025 tillsynsbegäran.docx", "A 16700-2025")</f>
        <v/>
      </c>
      <c r="Y257">
        <f>HYPERLINK("https://klasma.github.io/Logging_080883/tillsynsmail/A 16700-2025 tillsynsbegäran mail.docx", "A 16700-2025")</f>
        <v/>
      </c>
      <c r="Z257">
        <f>HYPERLINK("https://klasma.github.io/Logging_080883/fåglar/A 16700-2025 prioriterade fågelarter.docx", "A 16700-2025")</f>
        <v/>
      </c>
    </row>
    <row r="258" ht="15" customHeight="1">
      <c r="A258" t="inlineStr">
        <is>
          <t>A 21081-2025</t>
        </is>
      </c>
      <c r="B258" s="1" t="n">
        <v>45777</v>
      </c>
      <c r="C258" s="1" t="n">
        <v>45844</v>
      </c>
      <c r="D258" t="inlineStr">
        <is>
          <t>KALMAR LÄN</t>
        </is>
      </c>
      <c r="E258" t="inlineStr">
        <is>
          <t>VÄSTERVIK</t>
        </is>
      </c>
      <c r="G258" t="n">
        <v>1</v>
      </c>
      <c r="H258" t="n">
        <v>1</v>
      </c>
      <c r="I258" t="n">
        <v>0</v>
      </c>
      <c r="J258" t="n">
        <v>1</v>
      </c>
      <c r="K258" t="n">
        <v>1</v>
      </c>
      <c r="L258" t="n">
        <v>0</v>
      </c>
      <c r="M258" t="n">
        <v>0</v>
      </c>
      <c r="N258" t="n">
        <v>0</v>
      </c>
      <c r="O258" t="n">
        <v>2</v>
      </c>
      <c r="P258" t="n">
        <v>1</v>
      </c>
      <c r="Q258" t="n">
        <v>2</v>
      </c>
      <c r="R258" s="2" t="inlineStr">
        <is>
          <t>Knärot
Ullticka</t>
        </is>
      </c>
      <c r="S258">
        <f>HYPERLINK("https://klasma.github.io/Logging_080883/artfynd/A 21081-2025 artfynd.xlsx", "A 21081-2025")</f>
        <v/>
      </c>
      <c r="T258">
        <f>HYPERLINK("https://klasma.github.io/Logging_080883/kartor/A 21081-2025 karta.png", "A 21081-2025")</f>
        <v/>
      </c>
      <c r="U258">
        <f>HYPERLINK("https://klasma.github.io/Logging_080883/knärot/A 21081-2025 karta knärot.png", "A 21081-2025")</f>
        <v/>
      </c>
      <c r="V258">
        <f>HYPERLINK("https://klasma.github.io/Logging_080883/klagomål/A 21081-2025 FSC-klagomål.docx", "A 21081-2025")</f>
        <v/>
      </c>
      <c r="W258">
        <f>HYPERLINK("https://klasma.github.io/Logging_080883/klagomålsmail/A 21081-2025 FSC-klagomål mail.docx", "A 21081-2025")</f>
        <v/>
      </c>
      <c r="X258">
        <f>HYPERLINK("https://klasma.github.io/Logging_080883/tillsyn/A 21081-2025 tillsynsbegäran.docx", "A 21081-2025")</f>
        <v/>
      </c>
      <c r="Y258">
        <f>HYPERLINK("https://klasma.github.io/Logging_080883/tillsynsmail/A 21081-2025 tillsynsbegäran mail.docx", "A 21081-2025")</f>
        <v/>
      </c>
    </row>
    <row r="259" ht="15" customHeight="1">
      <c r="A259" t="inlineStr">
        <is>
          <t>A 27200-2019</t>
        </is>
      </c>
      <c r="B259" s="1" t="n">
        <v>43614</v>
      </c>
      <c r="C259" s="1" t="n">
        <v>45844</v>
      </c>
      <c r="D259" t="inlineStr">
        <is>
          <t>KALMAR LÄN</t>
        </is>
      </c>
      <c r="E259" t="inlineStr">
        <is>
          <t>VÄSTERVIK</t>
        </is>
      </c>
      <c r="F259" t="inlineStr">
        <is>
          <t>Sveaskog</t>
        </is>
      </c>
      <c r="G259" t="n">
        <v>8.5</v>
      </c>
      <c r="H259" t="n">
        <v>0</v>
      </c>
      <c r="I259" t="n">
        <v>1</v>
      </c>
      <c r="J259" t="n">
        <v>0</v>
      </c>
      <c r="K259" t="n">
        <v>0</v>
      </c>
      <c r="L259" t="n">
        <v>0</v>
      </c>
      <c r="M259" t="n">
        <v>0</v>
      </c>
      <c r="N259" t="n">
        <v>0</v>
      </c>
      <c r="O259" t="n">
        <v>0</v>
      </c>
      <c r="P259" t="n">
        <v>0</v>
      </c>
      <c r="Q259" t="n">
        <v>1</v>
      </c>
      <c r="R259" s="2" t="inlineStr">
        <is>
          <t>Myskmadra</t>
        </is>
      </c>
      <c r="S259">
        <f>HYPERLINK("https://klasma.github.io/Logging_0883/artfynd/A 27200-2019 artfynd.xlsx", "A 27200-2019")</f>
        <v/>
      </c>
      <c r="T259">
        <f>HYPERLINK("https://klasma.github.io/Logging_0883/kartor/A 27200-2019 karta.png", "A 27200-2019")</f>
        <v/>
      </c>
      <c r="V259">
        <f>HYPERLINK("https://klasma.github.io/Logging_0883/klagomål/A 27200-2019 FSC-klagomål.docx", "A 27200-2019")</f>
        <v/>
      </c>
      <c r="W259">
        <f>HYPERLINK("https://klasma.github.io/Logging_0883/klagomålsmail/A 27200-2019 FSC-klagomål mail.docx", "A 27200-2019")</f>
        <v/>
      </c>
      <c r="X259">
        <f>HYPERLINK("https://klasma.github.io/Logging_0883/tillsyn/A 27200-2019 tillsynsbegäran.docx", "A 27200-2019")</f>
        <v/>
      </c>
      <c r="Y259">
        <f>HYPERLINK("https://klasma.github.io/Logging_0883/tillsynsmail/A 27200-2019 tillsynsbegäran mail.docx", "A 27200-2019")</f>
        <v/>
      </c>
    </row>
    <row r="260" ht="15" customHeight="1">
      <c r="A260" t="inlineStr">
        <is>
          <t>A 27204-2019</t>
        </is>
      </c>
      <c r="B260" s="1" t="n">
        <v>43614</v>
      </c>
      <c r="C260" s="1" t="n">
        <v>45844</v>
      </c>
      <c r="D260" t="inlineStr">
        <is>
          <t>KALMAR LÄN</t>
        </is>
      </c>
      <c r="E260" t="inlineStr">
        <is>
          <t>VÄSTERVIK</t>
        </is>
      </c>
      <c r="F260" t="inlineStr">
        <is>
          <t>Sveaskog</t>
        </is>
      </c>
      <c r="G260" t="n">
        <v>12.9</v>
      </c>
      <c r="H260" t="n">
        <v>0</v>
      </c>
      <c r="I260" t="n">
        <v>1</v>
      </c>
      <c r="J260" t="n">
        <v>0</v>
      </c>
      <c r="K260" t="n">
        <v>0</v>
      </c>
      <c r="L260" t="n">
        <v>0</v>
      </c>
      <c r="M260" t="n">
        <v>0</v>
      </c>
      <c r="N260" t="n">
        <v>0</v>
      </c>
      <c r="O260" t="n">
        <v>0</v>
      </c>
      <c r="P260" t="n">
        <v>0</v>
      </c>
      <c r="Q260" t="n">
        <v>1</v>
      </c>
      <c r="R260" s="2" t="inlineStr">
        <is>
          <t>Platt fjädermossa</t>
        </is>
      </c>
      <c r="S260">
        <f>HYPERLINK("https://klasma.github.io/Logging_0883/artfynd/A 27204-2019 artfynd.xlsx", "A 27204-2019")</f>
        <v/>
      </c>
      <c r="T260">
        <f>HYPERLINK("https://klasma.github.io/Logging_0883/kartor/A 27204-2019 karta.png", "A 27204-2019")</f>
        <v/>
      </c>
      <c r="V260">
        <f>HYPERLINK("https://klasma.github.io/Logging_0883/klagomål/A 27204-2019 FSC-klagomål.docx", "A 27204-2019")</f>
        <v/>
      </c>
      <c r="W260">
        <f>HYPERLINK("https://klasma.github.io/Logging_0883/klagomålsmail/A 27204-2019 FSC-klagomål mail.docx", "A 27204-2019")</f>
        <v/>
      </c>
      <c r="X260">
        <f>HYPERLINK("https://klasma.github.io/Logging_0883/tillsyn/A 27204-2019 tillsynsbegäran.docx", "A 27204-2019")</f>
        <v/>
      </c>
      <c r="Y260">
        <f>HYPERLINK("https://klasma.github.io/Logging_0883/tillsynsmail/A 27204-2019 tillsynsbegäran mail.docx", "A 27204-2019")</f>
        <v/>
      </c>
    </row>
    <row r="261" ht="15" customHeight="1">
      <c r="A261" t="inlineStr">
        <is>
          <t>A 27203-2019</t>
        </is>
      </c>
      <c r="B261" s="1" t="n">
        <v>43614</v>
      </c>
      <c r="C261" s="1" t="n">
        <v>45844</v>
      </c>
      <c r="D261" t="inlineStr">
        <is>
          <t>KALMAR LÄN</t>
        </is>
      </c>
      <c r="E261" t="inlineStr">
        <is>
          <t>VÄSTERVIK</t>
        </is>
      </c>
      <c r="F261" t="inlineStr">
        <is>
          <t>Sveaskog</t>
        </is>
      </c>
      <c r="G261" t="n">
        <v>4.8</v>
      </c>
      <c r="H261" t="n">
        <v>0</v>
      </c>
      <c r="I261" t="n">
        <v>1</v>
      </c>
      <c r="J261" t="n">
        <v>0</v>
      </c>
      <c r="K261" t="n">
        <v>0</v>
      </c>
      <c r="L261" t="n">
        <v>0</v>
      </c>
      <c r="M261" t="n">
        <v>0</v>
      </c>
      <c r="N261" t="n">
        <v>0</v>
      </c>
      <c r="O261" t="n">
        <v>0</v>
      </c>
      <c r="P261" t="n">
        <v>0</v>
      </c>
      <c r="Q261" t="n">
        <v>1</v>
      </c>
      <c r="R261" s="2" t="inlineStr">
        <is>
          <t>Blomskägglav</t>
        </is>
      </c>
      <c r="S261">
        <f>HYPERLINK("https://klasma.github.io/Logging_0883/artfynd/A 27203-2019 artfynd.xlsx", "A 27203-2019")</f>
        <v/>
      </c>
      <c r="T261">
        <f>HYPERLINK("https://klasma.github.io/Logging_0883/kartor/A 27203-2019 karta.png", "A 27203-2019")</f>
        <v/>
      </c>
      <c r="V261">
        <f>HYPERLINK("https://klasma.github.io/Logging_0883/klagomål/A 27203-2019 FSC-klagomål.docx", "A 27203-2019")</f>
        <v/>
      </c>
      <c r="W261">
        <f>HYPERLINK("https://klasma.github.io/Logging_0883/klagomålsmail/A 27203-2019 FSC-klagomål mail.docx", "A 27203-2019")</f>
        <v/>
      </c>
      <c r="X261">
        <f>HYPERLINK("https://klasma.github.io/Logging_0883/tillsyn/A 27203-2019 tillsynsbegäran.docx", "A 27203-2019")</f>
        <v/>
      </c>
      <c r="Y261">
        <f>HYPERLINK("https://klasma.github.io/Logging_0883/tillsynsmail/A 27203-2019 tillsynsbegäran mail.docx", "A 27203-2019")</f>
        <v/>
      </c>
    </row>
    <row r="262" ht="15" customHeight="1">
      <c r="A262" t="inlineStr">
        <is>
          <t>A 59193-2019</t>
        </is>
      </c>
      <c r="B262" s="1" t="n">
        <v>43775</v>
      </c>
      <c r="C262" s="1" t="n">
        <v>45844</v>
      </c>
      <c r="D262" t="inlineStr">
        <is>
          <t>KALMAR LÄN</t>
        </is>
      </c>
      <c r="E262" t="inlineStr">
        <is>
          <t>VÄSTERVIK</t>
        </is>
      </c>
      <c r="G262" t="n">
        <v>3.8</v>
      </c>
      <c r="H262" t="n">
        <v>0</v>
      </c>
      <c r="I262" t="n">
        <v>0</v>
      </c>
      <c r="J262" t="n">
        <v>1</v>
      </c>
      <c r="K262" t="n">
        <v>0</v>
      </c>
      <c r="L262" t="n">
        <v>0</v>
      </c>
      <c r="M262" t="n">
        <v>0</v>
      </c>
      <c r="N262" t="n">
        <v>0</v>
      </c>
      <c r="O262" t="n">
        <v>1</v>
      </c>
      <c r="P262" t="n">
        <v>0</v>
      </c>
      <c r="Q262" t="n">
        <v>1</v>
      </c>
      <c r="R262" s="2" t="inlineStr">
        <is>
          <t>Åkerkulla</t>
        </is>
      </c>
      <c r="S262">
        <f>HYPERLINK("https://klasma.github.io/Logging_0883/artfynd/A 59193-2019 artfynd.xlsx", "A 59193-2019")</f>
        <v/>
      </c>
      <c r="T262">
        <f>HYPERLINK("https://klasma.github.io/Logging_0883/kartor/A 59193-2019 karta.png", "A 59193-2019")</f>
        <v/>
      </c>
      <c r="V262">
        <f>HYPERLINK("https://klasma.github.io/Logging_0883/klagomål/A 59193-2019 FSC-klagomål.docx", "A 59193-2019")</f>
        <v/>
      </c>
      <c r="W262">
        <f>HYPERLINK("https://klasma.github.io/Logging_0883/klagomålsmail/A 59193-2019 FSC-klagomål mail.docx", "A 59193-2019")</f>
        <v/>
      </c>
      <c r="X262">
        <f>HYPERLINK("https://klasma.github.io/Logging_0883/tillsyn/A 59193-2019 tillsynsbegäran.docx", "A 59193-2019")</f>
        <v/>
      </c>
      <c r="Y262">
        <f>HYPERLINK("https://klasma.github.io/Logging_0883/tillsynsmail/A 59193-2019 tillsynsbegäran mail.docx", "A 59193-2019")</f>
        <v/>
      </c>
    </row>
    <row r="263" ht="15" customHeight="1">
      <c r="A263" t="inlineStr">
        <is>
          <t>A 16608-2020</t>
        </is>
      </c>
      <c r="B263" s="1" t="n">
        <v>43908</v>
      </c>
      <c r="C263" s="1" t="n">
        <v>45844</v>
      </c>
      <c r="D263" t="inlineStr">
        <is>
          <t>KALMAR LÄN</t>
        </is>
      </c>
      <c r="E263" t="inlineStr">
        <is>
          <t>VÄSTERVIK</t>
        </is>
      </c>
      <c r="F263" t="inlineStr">
        <is>
          <t>Övriga Aktiebolag</t>
        </is>
      </c>
      <c r="G263" t="n">
        <v>1.7</v>
      </c>
      <c r="H263" t="n">
        <v>0</v>
      </c>
      <c r="I263" t="n">
        <v>0</v>
      </c>
      <c r="J263" t="n">
        <v>1</v>
      </c>
      <c r="K263" t="n">
        <v>0</v>
      </c>
      <c r="L263" t="n">
        <v>0</v>
      </c>
      <c r="M263" t="n">
        <v>0</v>
      </c>
      <c r="N263" t="n">
        <v>0</v>
      </c>
      <c r="O263" t="n">
        <v>1</v>
      </c>
      <c r="P263" t="n">
        <v>0</v>
      </c>
      <c r="Q263" t="n">
        <v>1</v>
      </c>
      <c r="R263" s="2" t="inlineStr">
        <is>
          <t>Skogsklocka</t>
        </is>
      </c>
      <c r="S263">
        <f>HYPERLINK("https://klasma.github.io/Logging_0883/artfynd/A 16608-2020 artfynd.xlsx", "A 16608-2020")</f>
        <v/>
      </c>
      <c r="T263">
        <f>HYPERLINK("https://klasma.github.io/Logging_0883/kartor/A 16608-2020 karta.png", "A 16608-2020")</f>
        <v/>
      </c>
      <c r="V263">
        <f>HYPERLINK("https://klasma.github.io/Logging_0883/klagomål/A 16608-2020 FSC-klagomål.docx", "A 16608-2020")</f>
        <v/>
      </c>
      <c r="W263">
        <f>HYPERLINK("https://klasma.github.io/Logging_0883/klagomålsmail/A 16608-2020 FSC-klagomål mail.docx", "A 16608-2020")</f>
        <v/>
      </c>
      <c r="X263">
        <f>HYPERLINK("https://klasma.github.io/Logging_0883/tillsyn/A 16608-2020 tillsynsbegäran.docx", "A 16608-2020")</f>
        <v/>
      </c>
      <c r="Y263">
        <f>HYPERLINK("https://klasma.github.io/Logging_0883/tillsynsmail/A 16608-2020 tillsynsbegäran mail.docx", "A 16608-2020")</f>
        <v/>
      </c>
    </row>
    <row r="264" ht="15" customHeight="1">
      <c r="A264" t="inlineStr">
        <is>
          <t>A 15357-2020</t>
        </is>
      </c>
      <c r="B264" s="1" t="n">
        <v>43913</v>
      </c>
      <c r="C264" s="1" t="n">
        <v>45844</v>
      </c>
      <c r="D264" t="inlineStr">
        <is>
          <t>KALMAR LÄN</t>
        </is>
      </c>
      <c r="E264" t="inlineStr">
        <is>
          <t>VÄSTERVIK</t>
        </is>
      </c>
      <c r="G264" t="n">
        <v>2.9</v>
      </c>
      <c r="H264" t="n">
        <v>0</v>
      </c>
      <c r="I264" t="n">
        <v>1</v>
      </c>
      <c r="J264" t="n">
        <v>0</v>
      </c>
      <c r="K264" t="n">
        <v>0</v>
      </c>
      <c r="L264" t="n">
        <v>0</v>
      </c>
      <c r="M264" t="n">
        <v>0</v>
      </c>
      <c r="N264" t="n">
        <v>0</v>
      </c>
      <c r="O264" t="n">
        <v>0</v>
      </c>
      <c r="P264" t="n">
        <v>0</v>
      </c>
      <c r="Q264" t="n">
        <v>1</v>
      </c>
      <c r="R264" s="2" t="inlineStr">
        <is>
          <t>Grönpyrola</t>
        </is>
      </c>
      <c r="S264">
        <f>HYPERLINK("https://klasma.github.io/Logging_0883/artfynd/A 15357-2020 artfynd.xlsx", "A 15357-2020")</f>
        <v/>
      </c>
      <c r="T264">
        <f>HYPERLINK("https://klasma.github.io/Logging_0883/kartor/A 15357-2020 karta.png", "A 15357-2020")</f>
        <v/>
      </c>
      <c r="U264">
        <f>HYPERLINK("https://klasma.github.io/Logging_0883/knärot/A 15357-2020 karta knärot.png", "A 15357-2020")</f>
        <v/>
      </c>
      <c r="V264">
        <f>HYPERLINK("https://klasma.github.io/Logging_0883/klagomål/A 15357-2020 FSC-klagomål.docx", "A 15357-2020")</f>
        <v/>
      </c>
      <c r="W264">
        <f>HYPERLINK("https://klasma.github.io/Logging_0883/klagomålsmail/A 15357-2020 FSC-klagomål mail.docx", "A 15357-2020")</f>
        <v/>
      </c>
      <c r="X264">
        <f>HYPERLINK("https://klasma.github.io/Logging_0883/tillsyn/A 15357-2020 tillsynsbegäran.docx", "A 15357-2020")</f>
        <v/>
      </c>
      <c r="Y264">
        <f>HYPERLINK("https://klasma.github.io/Logging_0883/tillsynsmail/A 15357-2020 tillsynsbegäran mail.docx", "A 15357-2020")</f>
        <v/>
      </c>
    </row>
    <row r="265" ht="15" customHeight="1">
      <c r="A265" t="inlineStr">
        <is>
          <t>A 39836-2020</t>
        </is>
      </c>
      <c r="B265" s="1" t="n">
        <v>44064</v>
      </c>
      <c r="C265" s="1" t="n">
        <v>45844</v>
      </c>
      <c r="D265" t="inlineStr">
        <is>
          <t>KALMAR LÄN</t>
        </is>
      </c>
      <c r="E265" t="inlineStr">
        <is>
          <t>VÄSTERVIK</t>
        </is>
      </c>
      <c r="G265" t="n">
        <v>13.4</v>
      </c>
      <c r="H265" t="n">
        <v>1</v>
      </c>
      <c r="I265" t="n">
        <v>0</v>
      </c>
      <c r="J265" t="n">
        <v>1</v>
      </c>
      <c r="K265" t="n">
        <v>0</v>
      </c>
      <c r="L265" t="n">
        <v>0</v>
      </c>
      <c r="M265" t="n">
        <v>0</v>
      </c>
      <c r="N265" t="n">
        <v>0</v>
      </c>
      <c r="O265" t="n">
        <v>1</v>
      </c>
      <c r="P265" t="n">
        <v>0</v>
      </c>
      <c r="Q265" t="n">
        <v>1</v>
      </c>
      <c r="R265" s="2" t="inlineStr">
        <is>
          <t>Havsörn</t>
        </is>
      </c>
      <c r="S265">
        <f>HYPERLINK("https://klasma.github.io/Logging_0883/artfynd/A 39836-2020 artfynd.xlsx", "A 39836-2020")</f>
        <v/>
      </c>
      <c r="T265">
        <f>HYPERLINK("https://klasma.github.io/Logging_0883/kartor/A 39836-2020 karta.png", "A 39836-2020")</f>
        <v/>
      </c>
      <c r="V265">
        <f>HYPERLINK("https://klasma.github.io/Logging_0883/klagomål/A 39836-2020 FSC-klagomål.docx", "A 39836-2020")</f>
        <v/>
      </c>
      <c r="W265">
        <f>HYPERLINK("https://klasma.github.io/Logging_0883/klagomålsmail/A 39836-2020 FSC-klagomål mail.docx", "A 39836-2020")</f>
        <v/>
      </c>
      <c r="X265">
        <f>HYPERLINK("https://klasma.github.io/Logging_0883/tillsyn/A 39836-2020 tillsynsbegäran.docx", "A 39836-2020")</f>
        <v/>
      </c>
      <c r="Y265">
        <f>HYPERLINK("https://klasma.github.io/Logging_0883/tillsynsmail/A 39836-2020 tillsynsbegäran mail.docx", "A 39836-2020")</f>
        <v/>
      </c>
      <c r="Z265">
        <f>HYPERLINK("https://klasma.github.io/Logging_0883/fåglar/A 39836-2020 prioriterade fågelarter.docx", "A 39836-2020")</f>
        <v/>
      </c>
    </row>
    <row r="266" ht="15" customHeight="1">
      <c r="A266" t="inlineStr">
        <is>
          <t>A 66752-2020</t>
        </is>
      </c>
      <c r="B266" s="1" t="n">
        <v>44175</v>
      </c>
      <c r="C266" s="1" t="n">
        <v>45844</v>
      </c>
      <c r="D266" t="inlineStr">
        <is>
          <t>KALMAR LÄN</t>
        </is>
      </c>
      <c r="E266" t="inlineStr">
        <is>
          <t>VÄSTERVIK</t>
        </is>
      </c>
      <c r="G266" t="n">
        <v>0.7</v>
      </c>
      <c r="H266" t="n">
        <v>0</v>
      </c>
      <c r="I266" t="n">
        <v>0</v>
      </c>
      <c r="J266" t="n">
        <v>1</v>
      </c>
      <c r="K266" t="n">
        <v>0</v>
      </c>
      <c r="L266" t="n">
        <v>0</v>
      </c>
      <c r="M266" t="n">
        <v>0</v>
      </c>
      <c r="N266" t="n">
        <v>0</v>
      </c>
      <c r="O266" t="n">
        <v>1</v>
      </c>
      <c r="P266" t="n">
        <v>0</v>
      </c>
      <c r="Q266" t="n">
        <v>1</v>
      </c>
      <c r="R266" s="2" t="inlineStr">
        <is>
          <t>Tallticka</t>
        </is>
      </c>
      <c r="S266">
        <f>HYPERLINK("https://klasma.github.io/Logging_0883/artfynd/A 66752-2020 artfynd.xlsx", "A 66752-2020")</f>
        <v/>
      </c>
      <c r="T266">
        <f>HYPERLINK("https://klasma.github.io/Logging_0883/kartor/A 66752-2020 karta.png", "A 66752-2020")</f>
        <v/>
      </c>
      <c r="V266">
        <f>HYPERLINK("https://klasma.github.io/Logging_0883/klagomål/A 66752-2020 FSC-klagomål.docx", "A 66752-2020")</f>
        <v/>
      </c>
      <c r="W266">
        <f>HYPERLINK("https://klasma.github.io/Logging_0883/klagomålsmail/A 66752-2020 FSC-klagomål mail.docx", "A 66752-2020")</f>
        <v/>
      </c>
      <c r="X266">
        <f>HYPERLINK("https://klasma.github.io/Logging_0883/tillsyn/A 66752-2020 tillsynsbegäran.docx", "A 66752-2020")</f>
        <v/>
      </c>
      <c r="Y266">
        <f>HYPERLINK("https://klasma.github.io/Logging_0883/tillsynsmail/A 66752-2020 tillsynsbegäran mail.docx", "A 66752-2020")</f>
        <v/>
      </c>
    </row>
    <row r="267" ht="15" customHeight="1">
      <c r="A267" t="inlineStr">
        <is>
          <t>A 69632-2020</t>
        </is>
      </c>
      <c r="B267" s="1" t="n">
        <v>44195</v>
      </c>
      <c r="C267" s="1" t="n">
        <v>45844</v>
      </c>
      <c r="D267" t="inlineStr">
        <is>
          <t>KALMAR LÄN</t>
        </is>
      </c>
      <c r="E267" t="inlineStr">
        <is>
          <t>VÄSTERVIK</t>
        </is>
      </c>
      <c r="G267" t="n">
        <v>2.5</v>
      </c>
      <c r="H267" t="n">
        <v>0</v>
      </c>
      <c r="I267" t="n">
        <v>0</v>
      </c>
      <c r="J267" t="n">
        <v>1</v>
      </c>
      <c r="K267" t="n">
        <v>0</v>
      </c>
      <c r="L267" t="n">
        <v>0</v>
      </c>
      <c r="M267" t="n">
        <v>0</v>
      </c>
      <c r="N267" t="n">
        <v>0</v>
      </c>
      <c r="O267" t="n">
        <v>1</v>
      </c>
      <c r="P267" t="n">
        <v>0</v>
      </c>
      <c r="Q267" t="n">
        <v>1</v>
      </c>
      <c r="R267" s="2" t="inlineStr">
        <is>
          <t>Tallticka</t>
        </is>
      </c>
      <c r="S267">
        <f>HYPERLINK("https://klasma.github.io/Logging_0883/artfynd/A 69632-2020 artfynd.xlsx", "A 69632-2020")</f>
        <v/>
      </c>
      <c r="T267">
        <f>HYPERLINK("https://klasma.github.io/Logging_0883/kartor/A 69632-2020 karta.png", "A 69632-2020")</f>
        <v/>
      </c>
      <c r="V267">
        <f>HYPERLINK("https://klasma.github.io/Logging_0883/klagomål/A 69632-2020 FSC-klagomål.docx", "A 69632-2020")</f>
        <v/>
      </c>
      <c r="W267">
        <f>HYPERLINK("https://klasma.github.io/Logging_0883/klagomålsmail/A 69632-2020 FSC-klagomål mail.docx", "A 69632-2020")</f>
        <v/>
      </c>
      <c r="X267">
        <f>HYPERLINK("https://klasma.github.io/Logging_0883/tillsyn/A 69632-2020 tillsynsbegäran.docx", "A 69632-2020")</f>
        <v/>
      </c>
      <c r="Y267">
        <f>HYPERLINK("https://klasma.github.io/Logging_0883/tillsynsmail/A 69632-2020 tillsynsbegäran mail.docx", "A 69632-2020")</f>
        <v/>
      </c>
    </row>
    <row r="268" ht="15" customHeight="1">
      <c r="A268" t="inlineStr">
        <is>
          <t>A 5575-2021</t>
        </is>
      </c>
      <c r="B268" s="1" t="n">
        <v>44230</v>
      </c>
      <c r="C268" s="1" t="n">
        <v>45844</v>
      </c>
      <c r="D268" t="inlineStr">
        <is>
          <t>KALMAR LÄN</t>
        </is>
      </c>
      <c r="E268" t="inlineStr">
        <is>
          <t>VÄSTERVIK</t>
        </is>
      </c>
      <c r="G268" t="n">
        <v>2.6</v>
      </c>
      <c r="H268" t="n">
        <v>1</v>
      </c>
      <c r="I268" t="n">
        <v>1</v>
      </c>
      <c r="J268" t="n">
        <v>0</v>
      </c>
      <c r="K268" t="n">
        <v>0</v>
      </c>
      <c r="L268" t="n">
        <v>0</v>
      </c>
      <c r="M268" t="n">
        <v>0</v>
      </c>
      <c r="N268" t="n">
        <v>0</v>
      </c>
      <c r="O268" t="n">
        <v>0</v>
      </c>
      <c r="P268" t="n">
        <v>0</v>
      </c>
      <c r="Q268" t="n">
        <v>1</v>
      </c>
      <c r="R268" s="2" t="inlineStr">
        <is>
          <t>Ekoxe</t>
        </is>
      </c>
      <c r="S268">
        <f>HYPERLINK("https://klasma.github.io/Logging_0883/artfynd/A 5575-2021 artfynd.xlsx", "A 5575-2021")</f>
        <v/>
      </c>
      <c r="T268">
        <f>HYPERLINK("https://klasma.github.io/Logging_0883/kartor/A 5575-2021 karta.png", "A 5575-2021")</f>
        <v/>
      </c>
      <c r="V268">
        <f>HYPERLINK("https://klasma.github.io/Logging_0883/klagomål/A 5575-2021 FSC-klagomål.docx", "A 5575-2021")</f>
        <v/>
      </c>
      <c r="W268">
        <f>HYPERLINK("https://klasma.github.io/Logging_0883/klagomålsmail/A 5575-2021 FSC-klagomål mail.docx", "A 5575-2021")</f>
        <v/>
      </c>
      <c r="X268">
        <f>HYPERLINK("https://klasma.github.io/Logging_0883/tillsyn/A 5575-2021 tillsynsbegäran.docx", "A 5575-2021")</f>
        <v/>
      </c>
      <c r="Y268">
        <f>HYPERLINK("https://klasma.github.io/Logging_0883/tillsynsmail/A 5575-2021 tillsynsbegäran mail.docx", "A 5575-2021")</f>
        <v/>
      </c>
    </row>
    <row r="269" ht="15" customHeight="1">
      <c r="A269" t="inlineStr">
        <is>
          <t>A 20233-2021</t>
        </is>
      </c>
      <c r="B269" s="1" t="n">
        <v>44314</v>
      </c>
      <c r="C269" s="1" t="n">
        <v>45844</v>
      </c>
      <c r="D269" t="inlineStr">
        <is>
          <t>KALMAR LÄN</t>
        </is>
      </c>
      <c r="E269" t="inlineStr">
        <is>
          <t>VÄSTERVIK</t>
        </is>
      </c>
      <c r="F269" t="inlineStr">
        <is>
          <t>Holmen skog AB</t>
        </is>
      </c>
      <c r="G269" t="n">
        <v>11.8</v>
      </c>
      <c r="H269" t="n">
        <v>0</v>
      </c>
      <c r="I269" t="n">
        <v>0</v>
      </c>
      <c r="J269" t="n">
        <v>1</v>
      </c>
      <c r="K269" t="n">
        <v>0</v>
      </c>
      <c r="L269" t="n">
        <v>0</v>
      </c>
      <c r="M269" t="n">
        <v>0</v>
      </c>
      <c r="N269" t="n">
        <v>0</v>
      </c>
      <c r="O269" t="n">
        <v>1</v>
      </c>
      <c r="P269" t="n">
        <v>0</v>
      </c>
      <c r="Q269" t="n">
        <v>1</v>
      </c>
      <c r="R269" s="2" t="inlineStr">
        <is>
          <t>Skogsklocka</t>
        </is>
      </c>
      <c r="S269">
        <f>HYPERLINK("https://klasma.github.io/Logging_0883/artfynd/A 20233-2021 artfynd.xlsx", "A 20233-2021")</f>
        <v/>
      </c>
      <c r="T269">
        <f>HYPERLINK("https://klasma.github.io/Logging_0883/kartor/A 20233-2021 karta.png", "A 20233-2021")</f>
        <v/>
      </c>
      <c r="V269">
        <f>HYPERLINK("https://klasma.github.io/Logging_0883/klagomål/A 20233-2021 FSC-klagomål.docx", "A 20233-2021")</f>
        <v/>
      </c>
      <c r="W269">
        <f>HYPERLINK("https://klasma.github.io/Logging_0883/klagomålsmail/A 20233-2021 FSC-klagomål mail.docx", "A 20233-2021")</f>
        <v/>
      </c>
      <c r="X269">
        <f>HYPERLINK("https://klasma.github.io/Logging_0883/tillsyn/A 20233-2021 tillsynsbegäran.docx", "A 20233-2021")</f>
        <v/>
      </c>
      <c r="Y269">
        <f>HYPERLINK("https://klasma.github.io/Logging_0883/tillsynsmail/A 20233-2021 tillsynsbegäran mail.docx", "A 20233-2021")</f>
        <v/>
      </c>
    </row>
    <row r="270" ht="15" customHeight="1">
      <c r="A270" t="inlineStr">
        <is>
          <t>A 24048-2021</t>
        </is>
      </c>
      <c r="B270" s="1" t="n">
        <v>44336</v>
      </c>
      <c r="C270" s="1" t="n">
        <v>45844</v>
      </c>
      <c r="D270" t="inlineStr">
        <is>
          <t>KALMAR LÄN</t>
        </is>
      </c>
      <c r="E270" t="inlineStr">
        <is>
          <t>VÄSTERVIK</t>
        </is>
      </c>
      <c r="G270" t="n">
        <v>3.5</v>
      </c>
      <c r="H270" t="n">
        <v>1</v>
      </c>
      <c r="I270" t="n">
        <v>0</v>
      </c>
      <c r="J270" t="n">
        <v>0</v>
      </c>
      <c r="K270" t="n">
        <v>1</v>
      </c>
      <c r="L270" t="n">
        <v>0</v>
      </c>
      <c r="M270" t="n">
        <v>0</v>
      </c>
      <c r="N270" t="n">
        <v>0</v>
      </c>
      <c r="O270" t="n">
        <v>1</v>
      </c>
      <c r="P270" t="n">
        <v>1</v>
      </c>
      <c r="Q270" t="n">
        <v>1</v>
      </c>
      <c r="R270" s="2" t="inlineStr">
        <is>
          <t>Knärot</t>
        </is>
      </c>
      <c r="S270">
        <f>HYPERLINK("https://klasma.github.io/Logging_0883/artfynd/A 24048-2021 artfynd.xlsx", "A 24048-2021")</f>
        <v/>
      </c>
      <c r="T270">
        <f>HYPERLINK("https://klasma.github.io/Logging_0883/kartor/A 24048-2021 karta.png", "A 24048-2021")</f>
        <v/>
      </c>
      <c r="U270">
        <f>HYPERLINK("https://klasma.github.io/Logging_0883/knärot/A 24048-2021 karta knärot.png", "A 24048-2021")</f>
        <v/>
      </c>
      <c r="V270">
        <f>HYPERLINK("https://klasma.github.io/Logging_0883/klagomål/A 24048-2021 FSC-klagomål.docx", "A 24048-2021")</f>
        <v/>
      </c>
      <c r="W270">
        <f>HYPERLINK("https://klasma.github.io/Logging_0883/klagomålsmail/A 24048-2021 FSC-klagomål mail.docx", "A 24048-2021")</f>
        <v/>
      </c>
      <c r="X270">
        <f>HYPERLINK("https://klasma.github.io/Logging_0883/tillsyn/A 24048-2021 tillsynsbegäran.docx", "A 24048-2021")</f>
        <v/>
      </c>
      <c r="Y270">
        <f>HYPERLINK("https://klasma.github.io/Logging_0883/tillsynsmail/A 24048-2021 tillsynsbegäran mail.docx", "A 24048-2021")</f>
        <v/>
      </c>
    </row>
    <row r="271" ht="15" customHeight="1">
      <c r="A271" t="inlineStr">
        <is>
          <t>A 25447-2021</t>
        </is>
      </c>
      <c r="B271" s="1" t="n">
        <v>44342</v>
      </c>
      <c r="C271" s="1" t="n">
        <v>45844</v>
      </c>
      <c r="D271" t="inlineStr">
        <is>
          <t>KALMAR LÄN</t>
        </is>
      </c>
      <c r="E271" t="inlineStr">
        <is>
          <t>VÄSTERVIK</t>
        </is>
      </c>
      <c r="F271" t="inlineStr">
        <is>
          <t>Holmen skog AB</t>
        </is>
      </c>
      <c r="G271" t="n">
        <v>9</v>
      </c>
      <c r="H271" t="n">
        <v>1</v>
      </c>
      <c r="I271" t="n">
        <v>0</v>
      </c>
      <c r="J271" t="n">
        <v>0</v>
      </c>
      <c r="K271" t="n">
        <v>1</v>
      </c>
      <c r="L271" t="n">
        <v>0</v>
      </c>
      <c r="M271" t="n">
        <v>0</v>
      </c>
      <c r="N271" t="n">
        <v>0</v>
      </c>
      <c r="O271" t="n">
        <v>1</v>
      </c>
      <c r="P271" t="n">
        <v>1</v>
      </c>
      <c r="Q271" t="n">
        <v>1</v>
      </c>
      <c r="R271" s="2" t="inlineStr">
        <is>
          <t>Knärot</t>
        </is>
      </c>
      <c r="S271">
        <f>HYPERLINK("https://klasma.github.io/Logging_0883/artfynd/A 25447-2021 artfynd.xlsx", "A 25447-2021")</f>
        <v/>
      </c>
      <c r="T271">
        <f>HYPERLINK("https://klasma.github.io/Logging_0883/kartor/A 25447-2021 karta.png", "A 25447-2021")</f>
        <v/>
      </c>
      <c r="U271">
        <f>HYPERLINK("https://klasma.github.io/Logging_0883/knärot/A 25447-2021 karta knärot.png", "A 25447-2021")</f>
        <v/>
      </c>
      <c r="V271">
        <f>HYPERLINK("https://klasma.github.io/Logging_0883/klagomål/A 25447-2021 FSC-klagomål.docx", "A 25447-2021")</f>
        <v/>
      </c>
      <c r="W271">
        <f>HYPERLINK("https://klasma.github.io/Logging_0883/klagomålsmail/A 25447-2021 FSC-klagomål mail.docx", "A 25447-2021")</f>
        <v/>
      </c>
      <c r="X271">
        <f>HYPERLINK("https://klasma.github.io/Logging_0883/tillsyn/A 25447-2021 tillsynsbegäran.docx", "A 25447-2021")</f>
        <v/>
      </c>
      <c r="Y271">
        <f>HYPERLINK("https://klasma.github.io/Logging_0883/tillsynsmail/A 25447-2021 tillsynsbegäran mail.docx", "A 25447-2021")</f>
        <v/>
      </c>
    </row>
    <row r="272" ht="15" customHeight="1">
      <c r="A272" t="inlineStr">
        <is>
          <t>A 25594-2021</t>
        </is>
      </c>
      <c r="B272" s="1" t="n">
        <v>44343</v>
      </c>
      <c r="C272" s="1" t="n">
        <v>45844</v>
      </c>
      <c r="D272" t="inlineStr">
        <is>
          <t>KALMAR LÄN</t>
        </is>
      </c>
      <c r="E272" t="inlineStr">
        <is>
          <t>VÄSTERVIK</t>
        </is>
      </c>
      <c r="F272" t="inlineStr">
        <is>
          <t>Holmen skog AB</t>
        </is>
      </c>
      <c r="G272" t="n">
        <v>3.2</v>
      </c>
      <c r="H272" t="n">
        <v>1</v>
      </c>
      <c r="I272" t="n">
        <v>0</v>
      </c>
      <c r="J272" t="n">
        <v>0</v>
      </c>
      <c r="K272" t="n">
        <v>1</v>
      </c>
      <c r="L272" t="n">
        <v>0</v>
      </c>
      <c r="M272" t="n">
        <v>0</v>
      </c>
      <c r="N272" t="n">
        <v>0</v>
      </c>
      <c r="O272" t="n">
        <v>1</v>
      </c>
      <c r="P272" t="n">
        <v>1</v>
      </c>
      <c r="Q272" t="n">
        <v>1</v>
      </c>
      <c r="R272" s="2" t="inlineStr">
        <is>
          <t>Knärot</t>
        </is>
      </c>
      <c r="S272">
        <f>HYPERLINK("https://klasma.github.io/Logging_0883/artfynd/A 25594-2021 artfynd.xlsx", "A 25594-2021")</f>
        <v/>
      </c>
      <c r="T272">
        <f>HYPERLINK("https://klasma.github.io/Logging_0883/kartor/A 25594-2021 karta.png", "A 25594-2021")</f>
        <v/>
      </c>
      <c r="U272">
        <f>HYPERLINK("https://klasma.github.io/Logging_0883/knärot/A 25594-2021 karta knärot.png", "A 25594-2021")</f>
        <v/>
      </c>
      <c r="V272">
        <f>HYPERLINK("https://klasma.github.io/Logging_0883/klagomål/A 25594-2021 FSC-klagomål.docx", "A 25594-2021")</f>
        <v/>
      </c>
      <c r="W272">
        <f>HYPERLINK("https://klasma.github.io/Logging_0883/klagomålsmail/A 25594-2021 FSC-klagomål mail.docx", "A 25594-2021")</f>
        <v/>
      </c>
      <c r="X272">
        <f>HYPERLINK("https://klasma.github.io/Logging_0883/tillsyn/A 25594-2021 tillsynsbegäran.docx", "A 25594-2021")</f>
        <v/>
      </c>
      <c r="Y272">
        <f>HYPERLINK("https://klasma.github.io/Logging_0883/tillsynsmail/A 25594-2021 tillsynsbegäran mail.docx", "A 25594-2021")</f>
        <v/>
      </c>
    </row>
    <row r="273" ht="15" customHeight="1">
      <c r="A273" t="inlineStr">
        <is>
          <t>A 29455-2021</t>
        </is>
      </c>
      <c r="B273" s="1" t="n">
        <v>44361</v>
      </c>
      <c r="C273" s="1" t="n">
        <v>45844</v>
      </c>
      <c r="D273" t="inlineStr">
        <is>
          <t>KALMAR LÄN</t>
        </is>
      </c>
      <c r="E273" t="inlineStr">
        <is>
          <t>VÄSTERVIK</t>
        </is>
      </c>
      <c r="F273" t="inlineStr">
        <is>
          <t>Övriga Aktiebolag</t>
        </is>
      </c>
      <c r="G273" t="n">
        <v>3.1</v>
      </c>
      <c r="H273" t="n">
        <v>1</v>
      </c>
      <c r="I273" t="n">
        <v>0</v>
      </c>
      <c r="J273" t="n">
        <v>0</v>
      </c>
      <c r="K273" t="n">
        <v>1</v>
      </c>
      <c r="L273" t="n">
        <v>0</v>
      </c>
      <c r="M273" t="n">
        <v>0</v>
      </c>
      <c r="N273" t="n">
        <v>0</v>
      </c>
      <c r="O273" t="n">
        <v>1</v>
      </c>
      <c r="P273" t="n">
        <v>1</v>
      </c>
      <c r="Q273" t="n">
        <v>1</v>
      </c>
      <c r="R273" s="2" t="inlineStr">
        <is>
          <t>Knärot</t>
        </is>
      </c>
      <c r="S273">
        <f>HYPERLINK("https://klasma.github.io/Logging_0883/artfynd/A 29455-2021 artfynd.xlsx", "A 29455-2021")</f>
        <v/>
      </c>
      <c r="T273">
        <f>HYPERLINK("https://klasma.github.io/Logging_0883/kartor/A 29455-2021 karta.png", "A 29455-2021")</f>
        <v/>
      </c>
      <c r="U273">
        <f>HYPERLINK("https://klasma.github.io/Logging_0883/knärot/A 29455-2021 karta knärot.png", "A 29455-2021")</f>
        <v/>
      </c>
      <c r="V273">
        <f>HYPERLINK("https://klasma.github.io/Logging_0883/klagomål/A 29455-2021 FSC-klagomål.docx", "A 29455-2021")</f>
        <v/>
      </c>
      <c r="W273">
        <f>HYPERLINK("https://klasma.github.io/Logging_0883/klagomålsmail/A 29455-2021 FSC-klagomål mail.docx", "A 29455-2021")</f>
        <v/>
      </c>
      <c r="X273">
        <f>HYPERLINK("https://klasma.github.io/Logging_0883/tillsyn/A 29455-2021 tillsynsbegäran.docx", "A 29455-2021")</f>
        <v/>
      </c>
      <c r="Y273">
        <f>HYPERLINK("https://klasma.github.io/Logging_0883/tillsynsmail/A 29455-2021 tillsynsbegäran mail.docx", "A 29455-2021")</f>
        <v/>
      </c>
    </row>
    <row r="274" ht="15" customHeight="1">
      <c r="A274" t="inlineStr">
        <is>
          <t>A 31315-2021</t>
        </is>
      </c>
      <c r="B274" s="1" t="n">
        <v>44368</v>
      </c>
      <c r="C274" s="1" t="n">
        <v>45844</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44635-2021</t>
        </is>
      </c>
      <c r="B275" s="1" t="n">
        <v>44437</v>
      </c>
      <c r="C275" s="1" t="n">
        <v>45844</v>
      </c>
      <c r="D275" t="inlineStr">
        <is>
          <t>KALMAR LÄN</t>
        </is>
      </c>
      <c r="E275" t="inlineStr">
        <is>
          <t>VÄSTERVIK</t>
        </is>
      </c>
      <c r="G275" t="n">
        <v>0.9</v>
      </c>
      <c r="H275" t="n">
        <v>0</v>
      </c>
      <c r="I275" t="n">
        <v>1</v>
      </c>
      <c r="J275" t="n">
        <v>0</v>
      </c>
      <c r="K275" t="n">
        <v>0</v>
      </c>
      <c r="L275" t="n">
        <v>0</v>
      </c>
      <c r="M275" t="n">
        <v>0</v>
      </c>
      <c r="N275" t="n">
        <v>0</v>
      </c>
      <c r="O275" t="n">
        <v>0</v>
      </c>
      <c r="P275" t="n">
        <v>0</v>
      </c>
      <c r="Q275" t="n">
        <v>1</v>
      </c>
      <c r="R275" s="2" t="inlineStr">
        <is>
          <t>Brandticka</t>
        </is>
      </c>
      <c r="S275">
        <f>HYPERLINK("https://klasma.github.io/Logging_0883/artfynd/A 44635-2021 artfynd.xlsx", "A 44635-2021")</f>
        <v/>
      </c>
      <c r="T275">
        <f>HYPERLINK("https://klasma.github.io/Logging_0883/kartor/A 44635-2021 karta.png", "A 44635-2021")</f>
        <v/>
      </c>
      <c r="V275">
        <f>HYPERLINK("https://klasma.github.io/Logging_0883/klagomål/A 44635-2021 FSC-klagomål.docx", "A 44635-2021")</f>
        <v/>
      </c>
      <c r="W275">
        <f>HYPERLINK("https://klasma.github.io/Logging_0883/klagomålsmail/A 44635-2021 FSC-klagomål mail.docx", "A 44635-2021")</f>
        <v/>
      </c>
      <c r="X275">
        <f>HYPERLINK("https://klasma.github.io/Logging_0883/tillsyn/A 44635-2021 tillsynsbegäran.docx", "A 44635-2021")</f>
        <v/>
      </c>
      <c r="Y275">
        <f>HYPERLINK("https://klasma.github.io/Logging_0883/tillsynsmail/A 44635-2021 tillsynsbegäran mail.docx", "A 44635-2021")</f>
        <v/>
      </c>
    </row>
    <row r="276" ht="15" customHeight="1">
      <c r="A276" t="inlineStr">
        <is>
          <t>A 47860-2021</t>
        </is>
      </c>
      <c r="B276" s="1" t="n">
        <v>44448</v>
      </c>
      <c r="C276" s="1" t="n">
        <v>45844</v>
      </c>
      <c r="D276" t="inlineStr">
        <is>
          <t>KALMAR LÄN</t>
        </is>
      </c>
      <c r="E276" t="inlineStr">
        <is>
          <t>VÄSTERVIK</t>
        </is>
      </c>
      <c r="G276" t="n">
        <v>2.8</v>
      </c>
      <c r="H276" t="n">
        <v>0</v>
      </c>
      <c r="I276" t="n">
        <v>0</v>
      </c>
      <c r="J276" t="n">
        <v>1</v>
      </c>
      <c r="K276" t="n">
        <v>0</v>
      </c>
      <c r="L276" t="n">
        <v>0</v>
      </c>
      <c r="M276" t="n">
        <v>0</v>
      </c>
      <c r="N276" t="n">
        <v>0</v>
      </c>
      <c r="O276" t="n">
        <v>1</v>
      </c>
      <c r="P276" t="n">
        <v>0</v>
      </c>
      <c r="Q276" t="n">
        <v>1</v>
      </c>
      <c r="R276" s="2" t="inlineStr">
        <is>
          <t>Tallticka</t>
        </is>
      </c>
      <c r="S276">
        <f>HYPERLINK("https://klasma.github.io/Logging_0883/artfynd/A 47860-2021 artfynd.xlsx", "A 47860-2021")</f>
        <v/>
      </c>
      <c r="T276">
        <f>HYPERLINK("https://klasma.github.io/Logging_0883/kartor/A 47860-2021 karta.png", "A 47860-2021")</f>
        <v/>
      </c>
      <c r="V276">
        <f>HYPERLINK("https://klasma.github.io/Logging_0883/klagomål/A 47860-2021 FSC-klagomål.docx", "A 47860-2021")</f>
        <v/>
      </c>
      <c r="W276">
        <f>HYPERLINK("https://klasma.github.io/Logging_0883/klagomålsmail/A 47860-2021 FSC-klagomål mail.docx", "A 47860-2021")</f>
        <v/>
      </c>
      <c r="X276">
        <f>HYPERLINK("https://klasma.github.io/Logging_0883/tillsyn/A 47860-2021 tillsynsbegäran.docx", "A 47860-2021")</f>
        <v/>
      </c>
      <c r="Y276">
        <f>HYPERLINK("https://klasma.github.io/Logging_0883/tillsynsmail/A 47860-2021 tillsynsbegäran mail.docx", "A 47860-2021")</f>
        <v/>
      </c>
    </row>
    <row r="277" ht="15" customHeight="1">
      <c r="A277" t="inlineStr">
        <is>
          <t>A 52831-2021</t>
        </is>
      </c>
      <c r="B277" s="1" t="n">
        <v>44467</v>
      </c>
      <c r="C277" s="1" t="n">
        <v>45844</v>
      </c>
      <c r="D277" t="inlineStr">
        <is>
          <t>KALMAR LÄN</t>
        </is>
      </c>
      <c r="E277" t="inlineStr">
        <is>
          <t>VÄSTERVIK</t>
        </is>
      </c>
      <c r="G277" t="n">
        <v>0.8</v>
      </c>
      <c r="H277" t="n">
        <v>0</v>
      </c>
      <c r="I277" t="n">
        <v>0</v>
      </c>
      <c r="J277" t="n">
        <v>1</v>
      </c>
      <c r="K277" t="n">
        <v>0</v>
      </c>
      <c r="L277" t="n">
        <v>0</v>
      </c>
      <c r="M277" t="n">
        <v>0</v>
      </c>
      <c r="N277" t="n">
        <v>0</v>
      </c>
      <c r="O277" t="n">
        <v>1</v>
      </c>
      <c r="P277" t="n">
        <v>0</v>
      </c>
      <c r="Q277" t="n">
        <v>1</v>
      </c>
      <c r="R277" s="2" t="inlineStr">
        <is>
          <t>Tallticka</t>
        </is>
      </c>
      <c r="S277">
        <f>HYPERLINK("https://klasma.github.io/Logging_0883/artfynd/A 52831-2021 artfynd.xlsx", "A 52831-2021")</f>
        <v/>
      </c>
      <c r="T277">
        <f>HYPERLINK("https://klasma.github.io/Logging_0883/kartor/A 52831-2021 karta.png", "A 52831-2021")</f>
        <v/>
      </c>
      <c r="V277">
        <f>HYPERLINK("https://klasma.github.io/Logging_0883/klagomål/A 52831-2021 FSC-klagomål.docx", "A 52831-2021")</f>
        <v/>
      </c>
      <c r="W277">
        <f>HYPERLINK("https://klasma.github.io/Logging_0883/klagomålsmail/A 52831-2021 FSC-klagomål mail.docx", "A 52831-2021")</f>
        <v/>
      </c>
      <c r="X277">
        <f>HYPERLINK("https://klasma.github.io/Logging_0883/tillsyn/A 52831-2021 tillsynsbegäran.docx", "A 52831-2021")</f>
        <v/>
      </c>
      <c r="Y277">
        <f>HYPERLINK("https://klasma.github.io/Logging_0883/tillsynsmail/A 52831-2021 tillsynsbegäran mail.docx", "A 52831-2021")</f>
        <v/>
      </c>
    </row>
    <row r="278" ht="15" customHeight="1">
      <c r="A278" t="inlineStr">
        <is>
          <t>A 53738-2021</t>
        </is>
      </c>
      <c r="B278" s="1" t="n">
        <v>44467</v>
      </c>
      <c r="C278" s="1" t="n">
        <v>45844</v>
      </c>
      <c r="D278" t="inlineStr">
        <is>
          <t>KALMAR LÄN</t>
        </is>
      </c>
      <c r="E278" t="inlineStr">
        <is>
          <t>VÄSTERVIK</t>
        </is>
      </c>
      <c r="G278" t="n">
        <v>2.8</v>
      </c>
      <c r="H278" t="n">
        <v>1</v>
      </c>
      <c r="I278" t="n">
        <v>0</v>
      </c>
      <c r="J278" t="n">
        <v>0</v>
      </c>
      <c r="K278" t="n">
        <v>1</v>
      </c>
      <c r="L278" t="n">
        <v>0</v>
      </c>
      <c r="M278" t="n">
        <v>0</v>
      </c>
      <c r="N278" t="n">
        <v>0</v>
      </c>
      <c r="O278" t="n">
        <v>1</v>
      </c>
      <c r="P278" t="n">
        <v>1</v>
      </c>
      <c r="Q278" t="n">
        <v>1</v>
      </c>
      <c r="R278" s="2" t="inlineStr">
        <is>
          <t>Knärot</t>
        </is>
      </c>
      <c r="S278">
        <f>HYPERLINK("https://klasma.github.io/Logging_0883/artfynd/A 53738-2021 artfynd.xlsx", "A 53738-2021")</f>
        <v/>
      </c>
      <c r="T278">
        <f>HYPERLINK("https://klasma.github.io/Logging_0883/kartor/A 53738-2021 karta.png", "A 53738-2021")</f>
        <v/>
      </c>
      <c r="U278">
        <f>HYPERLINK("https://klasma.github.io/Logging_0883/knärot/A 53738-2021 karta knärot.png", "A 53738-2021")</f>
        <v/>
      </c>
      <c r="V278">
        <f>HYPERLINK("https://klasma.github.io/Logging_0883/klagomål/A 53738-2021 FSC-klagomål.docx", "A 53738-2021")</f>
        <v/>
      </c>
      <c r="W278">
        <f>HYPERLINK("https://klasma.github.io/Logging_0883/klagomålsmail/A 53738-2021 FSC-klagomål mail.docx", "A 53738-2021")</f>
        <v/>
      </c>
      <c r="X278">
        <f>HYPERLINK("https://klasma.github.io/Logging_0883/tillsyn/A 53738-2021 tillsynsbegäran.docx", "A 53738-2021")</f>
        <v/>
      </c>
      <c r="Y278">
        <f>HYPERLINK("https://klasma.github.io/Logging_0883/tillsynsmail/A 53738-2021 tillsynsbegäran mail.docx", "A 53738-2021")</f>
        <v/>
      </c>
    </row>
    <row r="279" ht="15" customHeight="1">
      <c r="A279" t="inlineStr">
        <is>
          <t>A 56618-2021</t>
        </is>
      </c>
      <c r="B279" s="1" t="n">
        <v>44480</v>
      </c>
      <c r="C279" s="1" t="n">
        <v>45844</v>
      </c>
      <c r="D279" t="inlineStr">
        <is>
          <t>KALMAR LÄN</t>
        </is>
      </c>
      <c r="E279" t="inlineStr">
        <is>
          <t>VÄSTERVIK</t>
        </is>
      </c>
      <c r="G279" t="n">
        <v>1.5</v>
      </c>
      <c r="H279" t="n">
        <v>0</v>
      </c>
      <c r="I279" t="n">
        <v>0</v>
      </c>
      <c r="J279" t="n">
        <v>1</v>
      </c>
      <c r="K279" t="n">
        <v>0</v>
      </c>
      <c r="L279" t="n">
        <v>0</v>
      </c>
      <c r="M279" t="n">
        <v>0</v>
      </c>
      <c r="N279" t="n">
        <v>0</v>
      </c>
      <c r="O279" t="n">
        <v>1</v>
      </c>
      <c r="P279" t="n">
        <v>0</v>
      </c>
      <c r="Q279" t="n">
        <v>1</v>
      </c>
      <c r="R279" s="2" t="inlineStr">
        <is>
          <t>Tallticka</t>
        </is>
      </c>
      <c r="S279">
        <f>HYPERLINK("https://klasma.github.io/Logging_0883/artfynd/A 56618-2021 artfynd.xlsx", "A 56618-2021")</f>
        <v/>
      </c>
      <c r="T279">
        <f>HYPERLINK("https://klasma.github.io/Logging_0883/kartor/A 56618-2021 karta.png", "A 56618-2021")</f>
        <v/>
      </c>
      <c r="V279">
        <f>HYPERLINK("https://klasma.github.io/Logging_0883/klagomål/A 56618-2021 FSC-klagomål.docx", "A 56618-2021")</f>
        <v/>
      </c>
      <c r="W279">
        <f>HYPERLINK("https://klasma.github.io/Logging_0883/klagomålsmail/A 56618-2021 FSC-klagomål mail.docx", "A 56618-2021")</f>
        <v/>
      </c>
      <c r="X279">
        <f>HYPERLINK("https://klasma.github.io/Logging_0883/tillsyn/A 56618-2021 tillsynsbegäran.docx", "A 56618-2021")</f>
        <v/>
      </c>
      <c r="Y279">
        <f>HYPERLINK("https://klasma.github.io/Logging_0883/tillsynsmail/A 56618-2021 tillsynsbegäran mail.docx", "A 56618-2021")</f>
        <v/>
      </c>
    </row>
    <row r="280" ht="15" customHeight="1">
      <c r="A280" t="inlineStr">
        <is>
          <t>A 61319-2021</t>
        </is>
      </c>
      <c r="B280" s="1" t="n">
        <v>44498</v>
      </c>
      <c r="C280" s="1" t="n">
        <v>45844</v>
      </c>
      <c r="D280" t="inlineStr">
        <is>
          <t>KALMAR LÄN</t>
        </is>
      </c>
      <c r="E280" t="inlineStr">
        <is>
          <t>VÄSTERVIK</t>
        </is>
      </c>
      <c r="G280" t="n">
        <v>2.2</v>
      </c>
      <c r="H280" t="n">
        <v>1</v>
      </c>
      <c r="I280" t="n">
        <v>1</v>
      </c>
      <c r="J280" t="n">
        <v>0</v>
      </c>
      <c r="K280" t="n">
        <v>0</v>
      </c>
      <c r="L280" t="n">
        <v>0</v>
      </c>
      <c r="M280" t="n">
        <v>0</v>
      </c>
      <c r="N280" t="n">
        <v>0</v>
      </c>
      <c r="O280" t="n">
        <v>0</v>
      </c>
      <c r="P280" t="n">
        <v>0</v>
      </c>
      <c r="Q280" t="n">
        <v>1</v>
      </c>
      <c r="R280" s="2" t="inlineStr">
        <is>
          <t>Ekoxe</t>
        </is>
      </c>
      <c r="S280">
        <f>HYPERLINK("https://klasma.github.io/Logging_0883/artfynd/A 61319-2021 artfynd.xlsx", "A 61319-2021")</f>
        <v/>
      </c>
      <c r="T280">
        <f>HYPERLINK("https://klasma.github.io/Logging_0883/kartor/A 61319-2021 karta.png", "A 61319-2021")</f>
        <v/>
      </c>
      <c r="V280">
        <f>HYPERLINK("https://klasma.github.io/Logging_0883/klagomål/A 61319-2021 FSC-klagomål.docx", "A 61319-2021")</f>
        <v/>
      </c>
      <c r="W280">
        <f>HYPERLINK("https://klasma.github.io/Logging_0883/klagomålsmail/A 61319-2021 FSC-klagomål mail.docx", "A 61319-2021")</f>
        <v/>
      </c>
      <c r="X280">
        <f>HYPERLINK("https://klasma.github.io/Logging_0883/tillsyn/A 61319-2021 tillsynsbegäran.docx", "A 61319-2021")</f>
        <v/>
      </c>
      <c r="Y280">
        <f>HYPERLINK("https://klasma.github.io/Logging_0883/tillsynsmail/A 61319-2021 tillsynsbegäran mail.docx", "A 61319-2021")</f>
        <v/>
      </c>
    </row>
    <row r="281" ht="15" customHeight="1">
      <c r="A281" t="inlineStr">
        <is>
          <t>A 1677-2022</t>
        </is>
      </c>
      <c r="B281" s="1" t="n">
        <v>44574</v>
      </c>
      <c r="C281" s="1" t="n">
        <v>45844</v>
      </c>
      <c r="D281" t="inlineStr">
        <is>
          <t>KALMAR LÄN</t>
        </is>
      </c>
      <c r="E281" t="inlineStr">
        <is>
          <t>VÄSTERVIK</t>
        </is>
      </c>
      <c r="G281" t="n">
        <v>3.3</v>
      </c>
      <c r="H281" t="n">
        <v>1</v>
      </c>
      <c r="I281" t="n">
        <v>0</v>
      </c>
      <c r="J281" t="n">
        <v>0</v>
      </c>
      <c r="K281" t="n">
        <v>1</v>
      </c>
      <c r="L281" t="n">
        <v>0</v>
      </c>
      <c r="M281" t="n">
        <v>0</v>
      </c>
      <c r="N281" t="n">
        <v>0</v>
      </c>
      <c r="O281" t="n">
        <v>1</v>
      </c>
      <c r="P281" t="n">
        <v>1</v>
      </c>
      <c r="Q281" t="n">
        <v>1</v>
      </c>
      <c r="R281" s="2" t="inlineStr">
        <is>
          <t>Knärot</t>
        </is>
      </c>
      <c r="S281">
        <f>HYPERLINK("https://klasma.github.io/Logging_0883/artfynd/A 1677-2022 artfynd.xlsx", "A 1677-2022")</f>
        <v/>
      </c>
      <c r="T281">
        <f>HYPERLINK("https://klasma.github.io/Logging_0883/kartor/A 1677-2022 karta.png", "A 1677-2022")</f>
        <v/>
      </c>
      <c r="U281">
        <f>HYPERLINK("https://klasma.github.io/Logging_0883/knärot/A 1677-2022 karta knärot.png", "A 1677-2022")</f>
        <v/>
      </c>
      <c r="V281">
        <f>HYPERLINK("https://klasma.github.io/Logging_0883/klagomål/A 1677-2022 FSC-klagomål.docx", "A 1677-2022")</f>
        <v/>
      </c>
      <c r="W281">
        <f>HYPERLINK("https://klasma.github.io/Logging_0883/klagomålsmail/A 1677-2022 FSC-klagomål mail.docx", "A 1677-2022")</f>
        <v/>
      </c>
      <c r="X281">
        <f>HYPERLINK("https://klasma.github.io/Logging_0883/tillsyn/A 1677-2022 tillsynsbegäran.docx", "A 1677-2022")</f>
        <v/>
      </c>
      <c r="Y281">
        <f>HYPERLINK("https://klasma.github.io/Logging_0883/tillsynsmail/A 1677-2022 tillsynsbegäran mail.docx", "A 1677-2022")</f>
        <v/>
      </c>
    </row>
    <row r="282" ht="15" customHeight="1">
      <c r="A282" t="inlineStr">
        <is>
          <t>A 11609-2022</t>
        </is>
      </c>
      <c r="B282" s="1" t="n">
        <v>44631</v>
      </c>
      <c r="C282" s="1" t="n">
        <v>45844</v>
      </c>
      <c r="D282" t="inlineStr">
        <is>
          <t>KALMAR LÄN</t>
        </is>
      </c>
      <c r="E282" t="inlineStr">
        <is>
          <t>VÄSTERVIK</t>
        </is>
      </c>
      <c r="F282" t="inlineStr">
        <is>
          <t>Holmen skog AB</t>
        </is>
      </c>
      <c r="G282" t="n">
        <v>3.2</v>
      </c>
      <c r="H282" t="n">
        <v>0</v>
      </c>
      <c r="I282" t="n">
        <v>0</v>
      </c>
      <c r="J282" t="n">
        <v>1</v>
      </c>
      <c r="K282" t="n">
        <v>0</v>
      </c>
      <c r="L282" t="n">
        <v>0</v>
      </c>
      <c r="M282" t="n">
        <v>0</v>
      </c>
      <c r="N282" t="n">
        <v>0</v>
      </c>
      <c r="O282" t="n">
        <v>1</v>
      </c>
      <c r="P282" t="n">
        <v>0</v>
      </c>
      <c r="Q282" t="n">
        <v>1</v>
      </c>
      <c r="R282" s="2" t="inlineStr">
        <is>
          <t>Tallticka</t>
        </is>
      </c>
      <c r="S282">
        <f>HYPERLINK("https://klasma.github.io/Logging_0883/artfynd/A 11609-2022 artfynd.xlsx", "A 11609-2022")</f>
        <v/>
      </c>
      <c r="T282">
        <f>HYPERLINK("https://klasma.github.io/Logging_0883/kartor/A 11609-2022 karta.png", "A 11609-2022")</f>
        <v/>
      </c>
      <c r="U282">
        <f>HYPERLINK("https://klasma.github.io/Logging_0883/knärot/A 11609-2022 karta knärot.png", "A 11609-2022")</f>
        <v/>
      </c>
      <c r="V282">
        <f>HYPERLINK("https://klasma.github.io/Logging_0883/klagomål/A 11609-2022 FSC-klagomål.docx", "A 11609-2022")</f>
        <v/>
      </c>
      <c r="W282">
        <f>HYPERLINK("https://klasma.github.io/Logging_0883/klagomålsmail/A 11609-2022 FSC-klagomål mail.docx", "A 11609-2022")</f>
        <v/>
      </c>
      <c r="X282">
        <f>HYPERLINK("https://klasma.github.io/Logging_0883/tillsyn/A 11609-2022 tillsynsbegäran.docx", "A 11609-2022")</f>
        <v/>
      </c>
      <c r="Y282">
        <f>HYPERLINK("https://klasma.github.io/Logging_0883/tillsynsmail/A 11609-2022 tillsynsbegäran mail.docx", "A 11609-2022")</f>
        <v/>
      </c>
    </row>
    <row r="283" ht="15" customHeight="1">
      <c r="A283" t="inlineStr">
        <is>
          <t>A 12662-2022</t>
        </is>
      </c>
      <c r="B283" s="1" t="n">
        <v>44641</v>
      </c>
      <c r="C283" s="1" t="n">
        <v>45844</v>
      </c>
      <c r="D283" t="inlineStr">
        <is>
          <t>KALMAR LÄN</t>
        </is>
      </c>
      <c r="E283" t="inlineStr">
        <is>
          <t>VÄSTERVIK</t>
        </is>
      </c>
      <c r="G283" t="n">
        <v>2.1</v>
      </c>
      <c r="H283" t="n">
        <v>0</v>
      </c>
      <c r="I283" t="n">
        <v>1</v>
      </c>
      <c r="J283" t="n">
        <v>0</v>
      </c>
      <c r="K283" t="n">
        <v>0</v>
      </c>
      <c r="L283" t="n">
        <v>0</v>
      </c>
      <c r="M283" t="n">
        <v>0</v>
      </c>
      <c r="N283" t="n">
        <v>0</v>
      </c>
      <c r="O283" t="n">
        <v>0</v>
      </c>
      <c r="P283" t="n">
        <v>0</v>
      </c>
      <c r="Q283" t="n">
        <v>1</v>
      </c>
      <c r="R283" s="2" t="inlineStr">
        <is>
          <t>Blåmossa</t>
        </is>
      </c>
      <c r="S283">
        <f>HYPERLINK("https://klasma.github.io/Logging_0883/artfynd/A 12662-2022 artfynd.xlsx", "A 12662-2022")</f>
        <v/>
      </c>
      <c r="T283">
        <f>HYPERLINK("https://klasma.github.io/Logging_0883/kartor/A 12662-2022 karta.png", "A 12662-2022")</f>
        <v/>
      </c>
      <c r="V283">
        <f>HYPERLINK("https://klasma.github.io/Logging_0883/klagomål/A 12662-2022 FSC-klagomål.docx", "A 12662-2022")</f>
        <v/>
      </c>
      <c r="W283">
        <f>HYPERLINK("https://klasma.github.io/Logging_0883/klagomålsmail/A 12662-2022 FSC-klagomål mail.docx", "A 12662-2022")</f>
        <v/>
      </c>
      <c r="X283">
        <f>HYPERLINK("https://klasma.github.io/Logging_0883/tillsyn/A 12662-2022 tillsynsbegäran.docx", "A 12662-2022")</f>
        <v/>
      </c>
      <c r="Y283">
        <f>HYPERLINK("https://klasma.github.io/Logging_0883/tillsynsmail/A 12662-2022 tillsynsbegäran mail.docx", "A 12662-2022")</f>
        <v/>
      </c>
    </row>
    <row r="284" ht="15" customHeight="1">
      <c r="A284" t="inlineStr">
        <is>
          <t>A 15378-2022</t>
        </is>
      </c>
      <c r="B284" s="1" t="n">
        <v>44659</v>
      </c>
      <c r="C284" s="1" t="n">
        <v>45844</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Klofibbla</t>
        </is>
      </c>
      <c r="S284">
        <f>HYPERLINK("https://klasma.github.io/Logging_0883/artfynd/A 15378-2022 artfynd.xlsx", "A 15378-2022")</f>
        <v/>
      </c>
      <c r="T284">
        <f>HYPERLINK("https://klasma.github.io/Logging_0883/kartor/A 15378-2022 karta.png", "A 15378-2022")</f>
        <v/>
      </c>
      <c r="V284">
        <f>HYPERLINK("https://klasma.github.io/Logging_0883/klagomål/A 15378-2022 FSC-klagomål.docx", "A 15378-2022")</f>
        <v/>
      </c>
      <c r="W284">
        <f>HYPERLINK("https://klasma.github.io/Logging_0883/klagomålsmail/A 15378-2022 FSC-klagomål mail.docx", "A 15378-2022")</f>
        <v/>
      </c>
      <c r="X284">
        <f>HYPERLINK("https://klasma.github.io/Logging_0883/tillsyn/A 15378-2022 tillsynsbegäran.docx", "A 15378-2022")</f>
        <v/>
      </c>
      <c r="Y284">
        <f>HYPERLINK("https://klasma.github.io/Logging_0883/tillsynsmail/A 15378-2022 tillsynsbegäran mail.docx", "A 15378-2022")</f>
        <v/>
      </c>
    </row>
    <row r="285" ht="15" customHeight="1">
      <c r="A285" t="inlineStr">
        <is>
          <t>A 19900-2022</t>
        </is>
      </c>
      <c r="B285" s="1" t="n">
        <v>44697</v>
      </c>
      <c r="C285" s="1" t="n">
        <v>45844</v>
      </c>
      <c r="D285" t="inlineStr">
        <is>
          <t>KALMAR LÄN</t>
        </is>
      </c>
      <c r="E285" t="inlineStr">
        <is>
          <t>VÄSTERVIK</t>
        </is>
      </c>
      <c r="G285" t="n">
        <v>2.4</v>
      </c>
      <c r="H285" t="n">
        <v>1</v>
      </c>
      <c r="I285" t="n">
        <v>0</v>
      </c>
      <c r="J285" t="n">
        <v>0</v>
      </c>
      <c r="K285" t="n">
        <v>1</v>
      </c>
      <c r="L285" t="n">
        <v>0</v>
      </c>
      <c r="M285" t="n">
        <v>0</v>
      </c>
      <c r="N285" t="n">
        <v>0</v>
      </c>
      <c r="O285" t="n">
        <v>1</v>
      </c>
      <c r="P285" t="n">
        <v>1</v>
      </c>
      <c r="Q285" t="n">
        <v>1</v>
      </c>
      <c r="R285" s="2" t="inlineStr">
        <is>
          <t>Knärot</t>
        </is>
      </c>
      <c r="S285">
        <f>HYPERLINK("https://klasma.github.io/Logging_0883/artfynd/A 19900-2022 artfynd.xlsx", "A 19900-2022")</f>
        <v/>
      </c>
      <c r="T285">
        <f>HYPERLINK("https://klasma.github.io/Logging_0883/kartor/A 19900-2022 karta.png", "A 19900-2022")</f>
        <v/>
      </c>
      <c r="U285">
        <f>HYPERLINK("https://klasma.github.io/Logging_0883/knärot/A 19900-2022 karta knärot.png", "A 19900-2022")</f>
        <v/>
      </c>
      <c r="V285">
        <f>HYPERLINK("https://klasma.github.io/Logging_0883/klagomål/A 19900-2022 FSC-klagomål.docx", "A 19900-2022")</f>
        <v/>
      </c>
      <c r="W285">
        <f>HYPERLINK("https://klasma.github.io/Logging_0883/klagomålsmail/A 19900-2022 FSC-klagomål mail.docx", "A 19900-2022")</f>
        <v/>
      </c>
      <c r="X285">
        <f>HYPERLINK("https://klasma.github.io/Logging_0883/tillsyn/A 19900-2022 tillsynsbegäran.docx", "A 19900-2022")</f>
        <v/>
      </c>
      <c r="Y285">
        <f>HYPERLINK("https://klasma.github.io/Logging_0883/tillsynsmail/A 19900-2022 tillsynsbegäran mail.docx", "A 19900-2022")</f>
        <v/>
      </c>
    </row>
    <row r="286" ht="15" customHeight="1">
      <c r="A286" t="inlineStr">
        <is>
          <t>A 26056-2022</t>
        </is>
      </c>
      <c r="B286" s="1" t="n">
        <v>44734</v>
      </c>
      <c r="C286" s="1" t="n">
        <v>45844</v>
      </c>
      <c r="D286" t="inlineStr">
        <is>
          <t>KALMAR LÄN</t>
        </is>
      </c>
      <c r="E286" t="inlineStr">
        <is>
          <t>VÄSTERVIK</t>
        </is>
      </c>
      <c r="G286" t="n">
        <v>1.1</v>
      </c>
      <c r="H286" t="n">
        <v>0</v>
      </c>
      <c r="I286" t="n">
        <v>0</v>
      </c>
      <c r="J286" t="n">
        <v>1</v>
      </c>
      <c r="K286" t="n">
        <v>0</v>
      </c>
      <c r="L286" t="n">
        <v>0</v>
      </c>
      <c r="M286" t="n">
        <v>0</v>
      </c>
      <c r="N286" t="n">
        <v>0</v>
      </c>
      <c r="O286" t="n">
        <v>1</v>
      </c>
      <c r="P286" t="n">
        <v>0</v>
      </c>
      <c r="Q286" t="n">
        <v>1</v>
      </c>
      <c r="R286" s="2" t="inlineStr">
        <is>
          <t>Slåtterfibbla</t>
        </is>
      </c>
      <c r="S286">
        <f>HYPERLINK("https://klasma.github.io/Logging_0883/artfynd/A 26056-2022 artfynd.xlsx", "A 26056-2022")</f>
        <v/>
      </c>
      <c r="T286">
        <f>HYPERLINK("https://klasma.github.io/Logging_0883/kartor/A 26056-2022 karta.png", "A 26056-2022")</f>
        <v/>
      </c>
      <c r="V286">
        <f>HYPERLINK("https://klasma.github.io/Logging_0883/klagomål/A 26056-2022 FSC-klagomål.docx", "A 26056-2022")</f>
        <v/>
      </c>
      <c r="W286">
        <f>HYPERLINK("https://klasma.github.io/Logging_0883/klagomålsmail/A 26056-2022 FSC-klagomål mail.docx", "A 26056-2022")</f>
        <v/>
      </c>
      <c r="X286">
        <f>HYPERLINK("https://klasma.github.io/Logging_0883/tillsyn/A 26056-2022 tillsynsbegäran.docx", "A 26056-2022")</f>
        <v/>
      </c>
      <c r="Y286">
        <f>HYPERLINK("https://klasma.github.io/Logging_0883/tillsynsmail/A 26056-2022 tillsynsbegäran mail.docx", "A 26056-2022")</f>
        <v/>
      </c>
    </row>
    <row r="287" ht="15" customHeight="1">
      <c r="A287" t="inlineStr">
        <is>
          <t>A 33209-2022</t>
        </is>
      </c>
      <c r="B287" s="1" t="n">
        <v>44785</v>
      </c>
      <c r="C287" s="1" t="n">
        <v>45844</v>
      </c>
      <c r="D287" t="inlineStr">
        <is>
          <t>KALMAR LÄN</t>
        </is>
      </c>
      <c r="E287" t="inlineStr">
        <is>
          <t>VÄSTERVIK</t>
        </is>
      </c>
      <c r="G287" t="n">
        <v>1.4</v>
      </c>
      <c r="H287" t="n">
        <v>0</v>
      </c>
      <c r="I287" t="n">
        <v>0</v>
      </c>
      <c r="J287" t="n">
        <v>1</v>
      </c>
      <c r="K287" t="n">
        <v>0</v>
      </c>
      <c r="L287" t="n">
        <v>0</v>
      </c>
      <c r="M287" t="n">
        <v>0</v>
      </c>
      <c r="N287" t="n">
        <v>0</v>
      </c>
      <c r="O287" t="n">
        <v>1</v>
      </c>
      <c r="P287" t="n">
        <v>0</v>
      </c>
      <c r="Q287" t="n">
        <v>1</v>
      </c>
      <c r="R287" s="2" t="inlineStr">
        <is>
          <t>Slåtterfibbla</t>
        </is>
      </c>
      <c r="S287">
        <f>HYPERLINK("https://klasma.github.io/Logging_0883/artfynd/A 33209-2022 artfynd.xlsx", "A 33209-2022")</f>
        <v/>
      </c>
      <c r="T287">
        <f>HYPERLINK("https://klasma.github.io/Logging_0883/kartor/A 33209-2022 karta.png", "A 33209-2022")</f>
        <v/>
      </c>
      <c r="V287">
        <f>HYPERLINK("https://klasma.github.io/Logging_0883/klagomål/A 33209-2022 FSC-klagomål.docx", "A 33209-2022")</f>
        <v/>
      </c>
      <c r="W287">
        <f>HYPERLINK("https://klasma.github.io/Logging_0883/klagomålsmail/A 33209-2022 FSC-klagomål mail.docx", "A 33209-2022")</f>
        <v/>
      </c>
      <c r="X287">
        <f>HYPERLINK("https://klasma.github.io/Logging_0883/tillsyn/A 33209-2022 tillsynsbegäran.docx", "A 33209-2022")</f>
        <v/>
      </c>
      <c r="Y287">
        <f>HYPERLINK("https://klasma.github.io/Logging_0883/tillsynsmail/A 33209-2022 tillsynsbegäran mail.docx", "A 33209-2022")</f>
        <v/>
      </c>
    </row>
    <row r="288" ht="15" customHeight="1">
      <c r="A288" t="inlineStr">
        <is>
          <t>A 40924-2022</t>
        </is>
      </c>
      <c r="B288" s="1" t="n">
        <v>44825</v>
      </c>
      <c r="C288" s="1" t="n">
        <v>45844</v>
      </c>
      <c r="D288" t="inlineStr">
        <is>
          <t>KALMAR LÄN</t>
        </is>
      </c>
      <c r="E288" t="inlineStr">
        <is>
          <t>VÄSTERVIK</t>
        </is>
      </c>
      <c r="F288" t="inlineStr">
        <is>
          <t>Sveaskog</t>
        </is>
      </c>
      <c r="G288" t="n">
        <v>0.5</v>
      </c>
      <c r="H288" t="n">
        <v>1</v>
      </c>
      <c r="I288" t="n">
        <v>0</v>
      </c>
      <c r="J288" t="n">
        <v>1</v>
      </c>
      <c r="K288" t="n">
        <v>0</v>
      </c>
      <c r="L288" t="n">
        <v>0</v>
      </c>
      <c r="M288" t="n">
        <v>0</v>
      </c>
      <c r="N288" t="n">
        <v>0</v>
      </c>
      <c r="O288" t="n">
        <v>1</v>
      </c>
      <c r="P288" t="n">
        <v>0</v>
      </c>
      <c r="Q288" t="n">
        <v>1</v>
      </c>
      <c r="R288" s="2" t="inlineStr">
        <is>
          <t>Barbastell</t>
        </is>
      </c>
      <c r="S288">
        <f>HYPERLINK("https://klasma.github.io/Logging_0883/artfynd/A 40924-2022 artfynd.xlsx", "A 40924-2022")</f>
        <v/>
      </c>
      <c r="T288">
        <f>HYPERLINK("https://klasma.github.io/Logging_0883/kartor/A 40924-2022 karta.png", "A 40924-2022")</f>
        <v/>
      </c>
      <c r="V288">
        <f>HYPERLINK("https://klasma.github.io/Logging_0883/klagomål/A 40924-2022 FSC-klagomål.docx", "A 40924-2022")</f>
        <v/>
      </c>
      <c r="W288">
        <f>HYPERLINK("https://klasma.github.io/Logging_0883/klagomålsmail/A 40924-2022 FSC-klagomål mail.docx", "A 40924-2022")</f>
        <v/>
      </c>
      <c r="X288">
        <f>HYPERLINK("https://klasma.github.io/Logging_0883/tillsyn/A 40924-2022 tillsynsbegäran.docx", "A 40924-2022")</f>
        <v/>
      </c>
      <c r="Y288">
        <f>HYPERLINK("https://klasma.github.io/Logging_0883/tillsynsmail/A 40924-2022 tillsynsbegäran mail.docx", "A 40924-2022")</f>
        <v/>
      </c>
    </row>
    <row r="289" ht="15" customHeight="1">
      <c r="A289" t="inlineStr">
        <is>
          <t>A 46559-2022</t>
        </is>
      </c>
      <c r="B289" s="1" t="n">
        <v>44848</v>
      </c>
      <c r="C289" s="1" t="n">
        <v>45844</v>
      </c>
      <c r="D289" t="inlineStr">
        <is>
          <t>KALMAR LÄN</t>
        </is>
      </c>
      <c r="E289" t="inlineStr">
        <is>
          <t>VÄSTERVIK</t>
        </is>
      </c>
      <c r="F289" t="inlineStr">
        <is>
          <t>Sveaskog</t>
        </is>
      </c>
      <c r="G289" t="n">
        <v>2.2</v>
      </c>
      <c r="H289" t="n">
        <v>1</v>
      </c>
      <c r="I289" t="n">
        <v>0</v>
      </c>
      <c r="J289" t="n">
        <v>0</v>
      </c>
      <c r="K289" t="n">
        <v>0</v>
      </c>
      <c r="L289" t="n">
        <v>0</v>
      </c>
      <c r="M289" t="n">
        <v>0</v>
      </c>
      <c r="N289" t="n">
        <v>0</v>
      </c>
      <c r="O289" t="n">
        <v>0</v>
      </c>
      <c r="P289" t="n">
        <v>0</v>
      </c>
      <c r="Q289" t="n">
        <v>1</v>
      </c>
      <c r="R289" s="2" t="inlineStr">
        <is>
          <t>Blåsippa</t>
        </is>
      </c>
      <c r="S289">
        <f>HYPERLINK("https://klasma.github.io/Logging_0883/artfynd/A 46559-2022 artfynd.xlsx", "A 46559-2022")</f>
        <v/>
      </c>
      <c r="T289">
        <f>HYPERLINK("https://klasma.github.io/Logging_0883/kartor/A 46559-2022 karta.png", "A 46559-2022")</f>
        <v/>
      </c>
      <c r="V289">
        <f>HYPERLINK("https://klasma.github.io/Logging_0883/klagomål/A 46559-2022 FSC-klagomål.docx", "A 46559-2022")</f>
        <v/>
      </c>
      <c r="W289">
        <f>HYPERLINK("https://klasma.github.io/Logging_0883/klagomålsmail/A 46559-2022 FSC-klagomål mail.docx", "A 46559-2022")</f>
        <v/>
      </c>
      <c r="X289">
        <f>HYPERLINK("https://klasma.github.io/Logging_0883/tillsyn/A 46559-2022 tillsynsbegäran.docx", "A 46559-2022")</f>
        <v/>
      </c>
      <c r="Y289">
        <f>HYPERLINK("https://klasma.github.io/Logging_0883/tillsynsmail/A 46559-2022 tillsynsbegäran mail.docx", "A 46559-2022")</f>
        <v/>
      </c>
    </row>
    <row r="290" ht="15" customHeight="1">
      <c r="A290" t="inlineStr">
        <is>
          <t>A 46556-2022</t>
        </is>
      </c>
      <c r="B290" s="1" t="n">
        <v>44848</v>
      </c>
      <c r="C290" s="1" t="n">
        <v>45844</v>
      </c>
      <c r="D290" t="inlineStr">
        <is>
          <t>KALMAR LÄN</t>
        </is>
      </c>
      <c r="E290" t="inlineStr">
        <is>
          <t>VÄSTERVIK</t>
        </is>
      </c>
      <c r="F290" t="inlineStr">
        <is>
          <t>Sveaskog</t>
        </is>
      </c>
      <c r="G290" t="n">
        <v>1.5</v>
      </c>
      <c r="H290" t="n">
        <v>0</v>
      </c>
      <c r="I290" t="n">
        <v>1</v>
      </c>
      <c r="J290" t="n">
        <v>0</v>
      </c>
      <c r="K290" t="n">
        <v>0</v>
      </c>
      <c r="L290" t="n">
        <v>0</v>
      </c>
      <c r="M290" t="n">
        <v>0</v>
      </c>
      <c r="N290" t="n">
        <v>0</v>
      </c>
      <c r="O290" t="n">
        <v>0</v>
      </c>
      <c r="P290" t="n">
        <v>0</v>
      </c>
      <c r="Q290" t="n">
        <v>1</v>
      </c>
      <c r="R290" s="2" t="inlineStr">
        <is>
          <t>Fjällig taggsvamp s.str.</t>
        </is>
      </c>
      <c r="S290">
        <f>HYPERLINK("https://klasma.github.io/Logging_0883/artfynd/A 46556-2022 artfynd.xlsx", "A 46556-2022")</f>
        <v/>
      </c>
      <c r="T290">
        <f>HYPERLINK("https://klasma.github.io/Logging_0883/kartor/A 46556-2022 karta.png", "A 46556-2022")</f>
        <v/>
      </c>
      <c r="V290">
        <f>HYPERLINK("https://klasma.github.io/Logging_0883/klagomål/A 46556-2022 FSC-klagomål.docx", "A 46556-2022")</f>
        <v/>
      </c>
      <c r="W290">
        <f>HYPERLINK("https://klasma.github.io/Logging_0883/klagomålsmail/A 46556-2022 FSC-klagomål mail.docx", "A 46556-2022")</f>
        <v/>
      </c>
      <c r="X290">
        <f>HYPERLINK("https://klasma.github.io/Logging_0883/tillsyn/A 46556-2022 tillsynsbegäran.docx", "A 46556-2022")</f>
        <v/>
      </c>
      <c r="Y290">
        <f>HYPERLINK("https://klasma.github.io/Logging_0883/tillsynsmail/A 46556-2022 tillsynsbegäran mail.docx", "A 46556-2022")</f>
        <v/>
      </c>
    </row>
    <row r="291" ht="15" customHeight="1">
      <c r="A291" t="inlineStr">
        <is>
          <t>A 51024-2022</t>
        </is>
      </c>
      <c r="B291" s="1" t="n">
        <v>44867</v>
      </c>
      <c r="C291" s="1" t="n">
        <v>45844</v>
      </c>
      <c r="D291" t="inlineStr">
        <is>
          <t>KALMAR LÄN</t>
        </is>
      </c>
      <c r="E291" t="inlineStr">
        <is>
          <t>VÄSTERVIK</t>
        </is>
      </c>
      <c r="F291" t="inlineStr">
        <is>
          <t>Holmen skog AB</t>
        </is>
      </c>
      <c r="G291" t="n">
        <v>7.6</v>
      </c>
      <c r="H291" t="n">
        <v>1</v>
      </c>
      <c r="I291" t="n">
        <v>0</v>
      </c>
      <c r="J291" t="n">
        <v>1</v>
      </c>
      <c r="K291" t="n">
        <v>0</v>
      </c>
      <c r="L291" t="n">
        <v>0</v>
      </c>
      <c r="M291" t="n">
        <v>0</v>
      </c>
      <c r="N291" t="n">
        <v>0</v>
      </c>
      <c r="O291" t="n">
        <v>1</v>
      </c>
      <c r="P291" t="n">
        <v>0</v>
      </c>
      <c r="Q291" t="n">
        <v>1</v>
      </c>
      <c r="R291" s="2" t="inlineStr">
        <is>
          <t>Talltita</t>
        </is>
      </c>
      <c r="S291">
        <f>HYPERLINK("https://klasma.github.io/Logging_0883/artfynd/A 51024-2022 artfynd.xlsx", "A 51024-2022")</f>
        <v/>
      </c>
      <c r="T291">
        <f>HYPERLINK("https://klasma.github.io/Logging_0883/kartor/A 51024-2022 karta.png", "A 51024-2022")</f>
        <v/>
      </c>
      <c r="V291">
        <f>HYPERLINK("https://klasma.github.io/Logging_0883/klagomål/A 51024-2022 FSC-klagomål.docx", "A 51024-2022")</f>
        <v/>
      </c>
      <c r="W291">
        <f>HYPERLINK("https://klasma.github.io/Logging_0883/klagomålsmail/A 51024-2022 FSC-klagomål mail.docx", "A 51024-2022")</f>
        <v/>
      </c>
      <c r="X291">
        <f>HYPERLINK("https://klasma.github.io/Logging_0883/tillsyn/A 51024-2022 tillsynsbegäran.docx", "A 51024-2022")</f>
        <v/>
      </c>
      <c r="Y291">
        <f>HYPERLINK("https://klasma.github.io/Logging_0883/tillsynsmail/A 51024-2022 tillsynsbegäran mail.docx", "A 51024-2022")</f>
        <v/>
      </c>
      <c r="Z291">
        <f>HYPERLINK("https://klasma.github.io/Logging_0883/fåglar/A 51024-2022 prioriterade fågelarter.docx", "A 51024-2022")</f>
        <v/>
      </c>
    </row>
    <row r="292" ht="15" customHeight="1">
      <c r="A292" t="inlineStr">
        <is>
          <t>A 54193-2022</t>
        </is>
      </c>
      <c r="B292" s="1" t="n">
        <v>44881</v>
      </c>
      <c r="C292" s="1" t="n">
        <v>45844</v>
      </c>
      <c r="D292" t="inlineStr">
        <is>
          <t>KALMAR LÄN</t>
        </is>
      </c>
      <c r="E292" t="inlineStr">
        <is>
          <t>VÄSTERVIK</t>
        </is>
      </c>
      <c r="G292" t="n">
        <v>1.7</v>
      </c>
      <c r="H292" t="n">
        <v>0</v>
      </c>
      <c r="I292" t="n">
        <v>1</v>
      </c>
      <c r="J292" t="n">
        <v>0</v>
      </c>
      <c r="K292" t="n">
        <v>0</v>
      </c>
      <c r="L292" t="n">
        <v>0</v>
      </c>
      <c r="M292" t="n">
        <v>0</v>
      </c>
      <c r="N292" t="n">
        <v>0</v>
      </c>
      <c r="O292" t="n">
        <v>0</v>
      </c>
      <c r="P292" t="n">
        <v>0</v>
      </c>
      <c r="Q292" t="n">
        <v>1</v>
      </c>
      <c r="R292" s="2" t="inlineStr">
        <is>
          <t>Murgröna</t>
        </is>
      </c>
      <c r="S292">
        <f>HYPERLINK("https://klasma.github.io/Logging_0883/artfynd/A 54193-2022 artfynd.xlsx", "A 54193-2022")</f>
        <v/>
      </c>
      <c r="T292">
        <f>HYPERLINK("https://klasma.github.io/Logging_0883/kartor/A 54193-2022 karta.png", "A 54193-2022")</f>
        <v/>
      </c>
      <c r="U292">
        <f>HYPERLINK("https://klasma.github.io/Logging_0883/knärot/A 54193-2022 karta knärot.png", "A 54193-2022")</f>
        <v/>
      </c>
      <c r="V292">
        <f>HYPERLINK("https://klasma.github.io/Logging_0883/klagomål/A 54193-2022 FSC-klagomål.docx", "A 54193-2022")</f>
        <v/>
      </c>
      <c r="W292">
        <f>HYPERLINK("https://klasma.github.io/Logging_0883/klagomålsmail/A 54193-2022 FSC-klagomål mail.docx", "A 54193-2022")</f>
        <v/>
      </c>
      <c r="X292">
        <f>HYPERLINK("https://klasma.github.io/Logging_0883/tillsyn/A 54193-2022 tillsynsbegäran.docx", "A 54193-2022")</f>
        <v/>
      </c>
      <c r="Y292">
        <f>HYPERLINK("https://klasma.github.io/Logging_0883/tillsynsmail/A 54193-2022 tillsynsbegäran mail.docx", "A 54193-2022")</f>
        <v/>
      </c>
    </row>
    <row r="293" ht="15" customHeight="1">
      <c r="A293" t="inlineStr">
        <is>
          <t>A 59178-2022</t>
        </is>
      </c>
      <c r="B293" s="1" t="n">
        <v>44904</v>
      </c>
      <c r="C293" s="1" t="n">
        <v>45844</v>
      </c>
      <c r="D293" t="inlineStr">
        <is>
          <t>KALMAR LÄN</t>
        </is>
      </c>
      <c r="E293" t="inlineStr">
        <is>
          <t>VÄSTERVIK</t>
        </is>
      </c>
      <c r="G293" t="n">
        <v>3.3</v>
      </c>
      <c r="H293" t="n">
        <v>0</v>
      </c>
      <c r="I293" t="n">
        <v>0</v>
      </c>
      <c r="J293" t="n">
        <v>1</v>
      </c>
      <c r="K293" t="n">
        <v>0</v>
      </c>
      <c r="L293" t="n">
        <v>0</v>
      </c>
      <c r="M293" t="n">
        <v>0</v>
      </c>
      <c r="N293" t="n">
        <v>0</v>
      </c>
      <c r="O293" t="n">
        <v>1</v>
      </c>
      <c r="P293" t="n">
        <v>0</v>
      </c>
      <c r="Q293" t="n">
        <v>1</v>
      </c>
      <c r="R293" s="2" t="inlineStr">
        <is>
          <t>Tallticka</t>
        </is>
      </c>
      <c r="S293">
        <f>HYPERLINK("https://klasma.github.io/Logging_0883/artfynd/A 59178-2022 artfynd.xlsx", "A 59178-2022")</f>
        <v/>
      </c>
      <c r="T293">
        <f>HYPERLINK("https://klasma.github.io/Logging_0883/kartor/A 59178-2022 karta.png", "A 59178-2022")</f>
        <v/>
      </c>
      <c r="V293">
        <f>HYPERLINK("https://klasma.github.io/Logging_0883/klagomål/A 59178-2022 FSC-klagomål.docx", "A 59178-2022")</f>
        <v/>
      </c>
      <c r="W293">
        <f>HYPERLINK("https://klasma.github.io/Logging_0883/klagomålsmail/A 59178-2022 FSC-klagomål mail.docx", "A 59178-2022")</f>
        <v/>
      </c>
      <c r="X293">
        <f>HYPERLINK("https://klasma.github.io/Logging_0883/tillsyn/A 59178-2022 tillsynsbegäran.docx", "A 59178-2022")</f>
        <v/>
      </c>
      <c r="Y293">
        <f>HYPERLINK("https://klasma.github.io/Logging_0883/tillsynsmail/A 59178-2022 tillsynsbegäran mail.docx", "A 59178-2022")</f>
        <v/>
      </c>
    </row>
    <row r="294" ht="15" customHeight="1">
      <c r="A294" t="inlineStr">
        <is>
          <t>A 975-2023</t>
        </is>
      </c>
      <c r="B294" s="1" t="n">
        <v>44935</v>
      </c>
      <c r="C294" s="1" t="n">
        <v>45844</v>
      </c>
      <c r="D294" t="inlineStr">
        <is>
          <t>KALMAR LÄN</t>
        </is>
      </c>
      <c r="E294" t="inlineStr">
        <is>
          <t>VÄSTERVIK</t>
        </is>
      </c>
      <c r="G294" t="n">
        <v>1.7</v>
      </c>
      <c r="H294" t="n">
        <v>1</v>
      </c>
      <c r="I294" t="n">
        <v>0</v>
      </c>
      <c r="J294" t="n">
        <v>0</v>
      </c>
      <c r="K294" t="n">
        <v>1</v>
      </c>
      <c r="L294" t="n">
        <v>0</v>
      </c>
      <c r="M294" t="n">
        <v>0</v>
      </c>
      <c r="N294" t="n">
        <v>0</v>
      </c>
      <c r="O294" t="n">
        <v>1</v>
      </c>
      <c r="P294" t="n">
        <v>1</v>
      </c>
      <c r="Q294" t="n">
        <v>1</v>
      </c>
      <c r="R294" s="2" t="inlineStr">
        <is>
          <t>Läderbagge</t>
        </is>
      </c>
      <c r="S294">
        <f>HYPERLINK("https://klasma.github.io/Logging_0883/artfynd/A 975-2023 artfynd.xlsx", "A 975-2023")</f>
        <v/>
      </c>
      <c r="T294">
        <f>HYPERLINK("https://klasma.github.io/Logging_0883/kartor/A 975-2023 karta.png", "A 975-2023")</f>
        <v/>
      </c>
      <c r="V294">
        <f>HYPERLINK("https://klasma.github.io/Logging_0883/klagomål/A 975-2023 FSC-klagomål.docx", "A 975-2023")</f>
        <v/>
      </c>
      <c r="W294">
        <f>HYPERLINK("https://klasma.github.io/Logging_0883/klagomålsmail/A 975-2023 FSC-klagomål mail.docx", "A 975-2023")</f>
        <v/>
      </c>
      <c r="X294">
        <f>HYPERLINK("https://klasma.github.io/Logging_0883/tillsyn/A 975-2023 tillsynsbegäran.docx", "A 975-2023")</f>
        <v/>
      </c>
      <c r="Y294">
        <f>HYPERLINK("https://klasma.github.io/Logging_0883/tillsynsmail/A 975-2023 tillsynsbegäran mail.docx", "A 975-2023")</f>
        <v/>
      </c>
    </row>
    <row r="295" ht="15" customHeight="1">
      <c r="A295" t="inlineStr">
        <is>
          <t>A 1024-2023</t>
        </is>
      </c>
      <c r="B295" s="1" t="n">
        <v>44935</v>
      </c>
      <c r="C295" s="1" t="n">
        <v>45844</v>
      </c>
      <c r="D295" t="inlineStr">
        <is>
          <t>KALMAR LÄN</t>
        </is>
      </c>
      <c r="E295" t="inlineStr">
        <is>
          <t>VÄSTERVIK</t>
        </is>
      </c>
      <c r="F295" t="inlineStr">
        <is>
          <t>Holmen skog AB</t>
        </is>
      </c>
      <c r="G295" t="n">
        <v>1.9</v>
      </c>
      <c r="H295" t="n">
        <v>0</v>
      </c>
      <c r="I295" t="n">
        <v>0</v>
      </c>
      <c r="J295" t="n">
        <v>1</v>
      </c>
      <c r="K295" t="n">
        <v>0</v>
      </c>
      <c r="L295" t="n">
        <v>0</v>
      </c>
      <c r="M295" t="n">
        <v>0</v>
      </c>
      <c r="N295" t="n">
        <v>0</v>
      </c>
      <c r="O295" t="n">
        <v>1</v>
      </c>
      <c r="P295" t="n">
        <v>0</v>
      </c>
      <c r="Q295" t="n">
        <v>1</v>
      </c>
      <c r="R295" s="2" t="inlineStr">
        <is>
          <t>Ekticka</t>
        </is>
      </c>
      <c r="S295">
        <f>HYPERLINK("https://klasma.github.io/Logging_0883/artfynd/A 1024-2023 artfynd.xlsx", "A 1024-2023")</f>
        <v/>
      </c>
      <c r="T295">
        <f>HYPERLINK("https://klasma.github.io/Logging_0883/kartor/A 1024-2023 karta.png", "A 1024-2023")</f>
        <v/>
      </c>
      <c r="V295">
        <f>HYPERLINK("https://klasma.github.io/Logging_0883/klagomål/A 1024-2023 FSC-klagomål.docx", "A 1024-2023")</f>
        <v/>
      </c>
      <c r="W295">
        <f>HYPERLINK("https://klasma.github.io/Logging_0883/klagomålsmail/A 1024-2023 FSC-klagomål mail.docx", "A 1024-2023")</f>
        <v/>
      </c>
      <c r="X295">
        <f>HYPERLINK("https://klasma.github.io/Logging_0883/tillsyn/A 1024-2023 tillsynsbegäran.docx", "A 1024-2023")</f>
        <v/>
      </c>
      <c r="Y295">
        <f>HYPERLINK("https://klasma.github.io/Logging_0883/tillsynsmail/A 1024-2023 tillsynsbegäran mail.docx", "A 1024-2023")</f>
        <v/>
      </c>
    </row>
    <row r="296" ht="15" customHeight="1">
      <c r="A296" t="inlineStr">
        <is>
          <t>A 11589-2023</t>
        </is>
      </c>
      <c r="B296" s="1" t="n">
        <v>44994</v>
      </c>
      <c r="C296" s="1" t="n">
        <v>45844</v>
      </c>
      <c r="D296" t="inlineStr">
        <is>
          <t>KALMAR LÄN</t>
        </is>
      </c>
      <c r="E296" t="inlineStr">
        <is>
          <t>VÄSTERVIK</t>
        </is>
      </c>
      <c r="G296" t="n">
        <v>7.7</v>
      </c>
      <c r="H296" t="n">
        <v>1</v>
      </c>
      <c r="I296" t="n">
        <v>0</v>
      </c>
      <c r="J296" t="n">
        <v>0</v>
      </c>
      <c r="K296" t="n">
        <v>0</v>
      </c>
      <c r="L296" t="n">
        <v>0</v>
      </c>
      <c r="M296" t="n">
        <v>0</v>
      </c>
      <c r="N296" t="n">
        <v>0</v>
      </c>
      <c r="O296" t="n">
        <v>0</v>
      </c>
      <c r="P296" t="n">
        <v>0</v>
      </c>
      <c r="Q296" t="n">
        <v>1</v>
      </c>
      <c r="R296" s="2" t="inlineStr">
        <is>
          <t>Revlummer</t>
        </is>
      </c>
      <c r="S296">
        <f>HYPERLINK("https://klasma.github.io/Logging_0883/artfynd/A 11589-2023 artfynd.xlsx", "A 11589-2023")</f>
        <v/>
      </c>
      <c r="T296">
        <f>HYPERLINK("https://klasma.github.io/Logging_0883/kartor/A 11589-2023 karta.png", "A 11589-2023")</f>
        <v/>
      </c>
      <c r="V296">
        <f>HYPERLINK("https://klasma.github.io/Logging_0883/klagomål/A 11589-2023 FSC-klagomål.docx", "A 11589-2023")</f>
        <v/>
      </c>
      <c r="W296">
        <f>HYPERLINK("https://klasma.github.io/Logging_0883/klagomålsmail/A 11589-2023 FSC-klagomål mail.docx", "A 11589-2023")</f>
        <v/>
      </c>
      <c r="X296">
        <f>HYPERLINK("https://klasma.github.io/Logging_0883/tillsyn/A 11589-2023 tillsynsbegäran.docx", "A 11589-2023")</f>
        <v/>
      </c>
      <c r="Y296">
        <f>HYPERLINK("https://klasma.github.io/Logging_0883/tillsynsmail/A 11589-2023 tillsynsbegäran mail.docx", "A 11589-2023")</f>
        <v/>
      </c>
    </row>
    <row r="297" ht="15" customHeight="1">
      <c r="A297" t="inlineStr">
        <is>
          <t>A 11729-2023</t>
        </is>
      </c>
      <c r="B297" s="1" t="n">
        <v>44994</v>
      </c>
      <c r="C297" s="1" t="n">
        <v>45844</v>
      </c>
      <c r="D297" t="inlineStr">
        <is>
          <t>KALMAR LÄN</t>
        </is>
      </c>
      <c r="E297" t="inlineStr">
        <is>
          <t>VÄSTERVIK</t>
        </is>
      </c>
      <c r="F297" t="inlineStr">
        <is>
          <t>Sveaskog</t>
        </is>
      </c>
      <c r="G297" t="n">
        <v>4.1</v>
      </c>
      <c r="H297" t="n">
        <v>0</v>
      </c>
      <c r="I297" t="n">
        <v>0</v>
      </c>
      <c r="J297" t="n">
        <v>1</v>
      </c>
      <c r="K297" t="n">
        <v>0</v>
      </c>
      <c r="L297" t="n">
        <v>0</v>
      </c>
      <c r="M297" t="n">
        <v>0</v>
      </c>
      <c r="N297" t="n">
        <v>0</v>
      </c>
      <c r="O297" t="n">
        <v>1</v>
      </c>
      <c r="P297" t="n">
        <v>0</v>
      </c>
      <c r="Q297" t="n">
        <v>1</v>
      </c>
      <c r="R297" s="2" t="inlineStr">
        <is>
          <t>Bredbrämad bastardsvärmare</t>
        </is>
      </c>
      <c r="S297">
        <f>HYPERLINK("https://klasma.github.io/Logging_0883/artfynd/A 11729-2023 artfynd.xlsx", "A 11729-2023")</f>
        <v/>
      </c>
      <c r="T297">
        <f>HYPERLINK("https://klasma.github.io/Logging_0883/kartor/A 11729-2023 karta.png", "A 11729-2023")</f>
        <v/>
      </c>
      <c r="V297">
        <f>HYPERLINK("https://klasma.github.io/Logging_0883/klagomål/A 11729-2023 FSC-klagomål.docx", "A 11729-2023")</f>
        <v/>
      </c>
      <c r="W297">
        <f>HYPERLINK("https://klasma.github.io/Logging_0883/klagomålsmail/A 11729-2023 FSC-klagomål mail.docx", "A 11729-2023")</f>
        <v/>
      </c>
      <c r="X297">
        <f>HYPERLINK("https://klasma.github.io/Logging_0883/tillsyn/A 11729-2023 tillsynsbegäran.docx", "A 11729-2023")</f>
        <v/>
      </c>
      <c r="Y297">
        <f>HYPERLINK("https://klasma.github.io/Logging_0883/tillsynsmail/A 11729-2023 tillsynsbegäran mail.docx", "A 11729-2023")</f>
        <v/>
      </c>
    </row>
    <row r="298" ht="15" customHeight="1">
      <c r="A298" t="inlineStr">
        <is>
          <t>A 14720-2023</t>
        </is>
      </c>
      <c r="B298" s="1" t="n">
        <v>45014</v>
      </c>
      <c r="C298" s="1" t="n">
        <v>45844</v>
      </c>
      <c r="D298" t="inlineStr">
        <is>
          <t>KALMAR LÄN</t>
        </is>
      </c>
      <c r="E298" t="inlineStr">
        <is>
          <t>VÄSTERVIK</t>
        </is>
      </c>
      <c r="G298" t="n">
        <v>3.5</v>
      </c>
      <c r="H298" t="n">
        <v>1</v>
      </c>
      <c r="I298" t="n">
        <v>0</v>
      </c>
      <c r="J298" t="n">
        <v>0</v>
      </c>
      <c r="K298" t="n">
        <v>1</v>
      </c>
      <c r="L298" t="n">
        <v>0</v>
      </c>
      <c r="M298" t="n">
        <v>0</v>
      </c>
      <c r="N298" t="n">
        <v>0</v>
      </c>
      <c r="O298" t="n">
        <v>1</v>
      </c>
      <c r="P298" t="n">
        <v>1</v>
      </c>
      <c r="Q298" t="n">
        <v>1</v>
      </c>
      <c r="R298" s="2" t="inlineStr">
        <is>
          <t>Knärot</t>
        </is>
      </c>
      <c r="S298">
        <f>HYPERLINK("https://klasma.github.io/Logging_0883/artfynd/A 14720-2023 artfynd.xlsx", "A 14720-2023")</f>
        <v/>
      </c>
      <c r="T298">
        <f>HYPERLINK("https://klasma.github.io/Logging_0883/kartor/A 14720-2023 karta.png", "A 14720-2023")</f>
        <v/>
      </c>
      <c r="U298">
        <f>HYPERLINK("https://klasma.github.io/Logging_0883/knärot/A 14720-2023 karta knärot.png", "A 14720-2023")</f>
        <v/>
      </c>
      <c r="V298">
        <f>HYPERLINK("https://klasma.github.io/Logging_0883/klagomål/A 14720-2023 FSC-klagomål.docx", "A 14720-2023")</f>
        <v/>
      </c>
      <c r="W298">
        <f>HYPERLINK("https://klasma.github.io/Logging_0883/klagomålsmail/A 14720-2023 FSC-klagomål mail.docx", "A 14720-2023")</f>
        <v/>
      </c>
      <c r="X298">
        <f>HYPERLINK("https://klasma.github.io/Logging_0883/tillsyn/A 14720-2023 tillsynsbegäran.docx", "A 14720-2023")</f>
        <v/>
      </c>
      <c r="Y298">
        <f>HYPERLINK("https://klasma.github.io/Logging_0883/tillsynsmail/A 14720-2023 tillsynsbegäran mail.docx", "A 14720-2023")</f>
        <v/>
      </c>
    </row>
    <row r="299" ht="15" customHeight="1">
      <c r="A299" t="inlineStr">
        <is>
          <t>A 21828-2023</t>
        </is>
      </c>
      <c r="B299" s="1" t="n">
        <v>45068</v>
      </c>
      <c r="C299" s="1" t="n">
        <v>45844</v>
      </c>
      <c r="D299" t="inlineStr">
        <is>
          <t>KALMAR LÄN</t>
        </is>
      </c>
      <c r="E299" t="inlineStr">
        <is>
          <t>VÄSTERVIK</t>
        </is>
      </c>
      <c r="G299" t="n">
        <v>0.7</v>
      </c>
      <c r="H299" t="n">
        <v>0</v>
      </c>
      <c r="I299" t="n">
        <v>1</v>
      </c>
      <c r="J299" t="n">
        <v>0</v>
      </c>
      <c r="K299" t="n">
        <v>0</v>
      </c>
      <c r="L299" t="n">
        <v>0</v>
      </c>
      <c r="M299" t="n">
        <v>0</v>
      </c>
      <c r="N299" t="n">
        <v>0</v>
      </c>
      <c r="O299" t="n">
        <v>0</v>
      </c>
      <c r="P299" t="n">
        <v>0</v>
      </c>
      <c r="Q299" t="n">
        <v>1</v>
      </c>
      <c r="R299" s="2" t="inlineStr">
        <is>
          <t>Grönpyrola</t>
        </is>
      </c>
      <c r="S299">
        <f>HYPERLINK("https://klasma.github.io/Logging_0883/artfynd/A 21828-2023 artfynd.xlsx", "A 21828-2023")</f>
        <v/>
      </c>
      <c r="T299">
        <f>HYPERLINK("https://klasma.github.io/Logging_0883/kartor/A 21828-2023 karta.png", "A 21828-2023")</f>
        <v/>
      </c>
      <c r="V299">
        <f>HYPERLINK("https://klasma.github.io/Logging_0883/klagomål/A 21828-2023 FSC-klagomål.docx", "A 21828-2023")</f>
        <v/>
      </c>
      <c r="W299">
        <f>HYPERLINK("https://klasma.github.io/Logging_0883/klagomålsmail/A 21828-2023 FSC-klagomål mail.docx", "A 21828-2023")</f>
        <v/>
      </c>
      <c r="X299">
        <f>HYPERLINK("https://klasma.github.io/Logging_0883/tillsyn/A 21828-2023 tillsynsbegäran.docx", "A 21828-2023")</f>
        <v/>
      </c>
      <c r="Y299">
        <f>HYPERLINK("https://klasma.github.io/Logging_0883/tillsynsmail/A 21828-2023 tillsynsbegäran mail.docx", "A 21828-2023")</f>
        <v/>
      </c>
    </row>
    <row r="300" ht="15" customHeight="1">
      <c r="A300" t="inlineStr">
        <is>
          <t>A 25436-2023</t>
        </is>
      </c>
      <c r="B300" s="1" t="n">
        <v>45089</v>
      </c>
      <c r="C300" s="1" t="n">
        <v>45844</v>
      </c>
      <c r="D300" t="inlineStr">
        <is>
          <t>KALMAR LÄN</t>
        </is>
      </c>
      <c r="E300" t="inlineStr">
        <is>
          <t>VÄSTERVIK</t>
        </is>
      </c>
      <c r="G300" t="n">
        <v>1.6</v>
      </c>
      <c r="H300" t="n">
        <v>1</v>
      </c>
      <c r="I300" t="n">
        <v>0</v>
      </c>
      <c r="J300" t="n">
        <v>0</v>
      </c>
      <c r="K300" t="n">
        <v>1</v>
      </c>
      <c r="L300" t="n">
        <v>0</v>
      </c>
      <c r="M300" t="n">
        <v>0</v>
      </c>
      <c r="N300" t="n">
        <v>0</v>
      </c>
      <c r="O300" t="n">
        <v>1</v>
      </c>
      <c r="P300" t="n">
        <v>1</v>
      </c>
      <c r="Q300" t="n">
        <v>1</v>
      </c>
      <c r="R300" s="2" t="inlineStr">
        <is>
          <t>Knärot</t>
        </is>
      </c>
      <c r="S300">
        <f>HYPERLINK("https://klasma.github.io/Logging_0883/artfynd/A 25436-2023 artfynd.xlsx", "A 25436-2023")</f>
        <v/>
      </c>
      <c r="T300">
        <f>HYPERLINK("https://klasma.github.io/Logging_0883/kartor/A 25436-2023 karta.png", "A 25436-2023")</f>
        <v/>
      </c>
      <c r="U300">
        <f>HYPERLINK("https://klasma.github.io/Logging_0883/knärot/A 25436-2023 karta knärot.png", "A 25436-2023")</f>
        <v/>
      </c>
      <c r="V300">
        <f>HYPERLINK("https://klasma.github.io/Logging_0883/klagomål/A 25436-2023 FSC-klagomål.docx", "A 25436-2023")</f>
        <v/>
      </c>
      <c r="W300">
        <f>HYPERLINK("https://klasma.github.io/Logging_0883/klagomålsmail/A 25436-2023 FSC-klagomål mail.docx", "A 25436-2023")</f>
        <v/>
      </c>
      <c r="X300">
        <f>HYPERLINK("https://klasma.github.io/Logging_0883/tillsyn/A 25436-2023 tillsynsbegäran.docx", "A 25436-2023")</f>
        <v/>
      </c>
      <c r="Y300">
        <f>HYPERLINK("https://klasma.github.io/Logging_0883/tillsynsmail/A 25436-2023 tillsynsbegäran mail.docx", "A 25436-2023")</f>
        <v/>
      </c>
    </row>
    <row r="301" ht="15" customHeight="1">
      <c r="A301" t="inlineStr">
        <is>
          <t>A 25433-2023</t>
        </is>
      </c>
      <c r="B301" s="1" t="n">
        <v>45089</v>
      </c>
      <c r="C301" s="1" t="n">
        <v>45844</v>
      </c>
      <c r="D301" t="inlineStr">
        <is>
          <t>KALMAR LÄN</t>
        </is>
      </c>
      <c r="E301" t="inlineStr">
        <is>
          <t>VÄSTERVIK</t>
        </is>
      </c>
      <c r="G301" t="n">
        <v>2.3</v>
      </c>
      <c r="H301" t="n">
        <v>1</v>
      </c>
      <c r="I301" t="n">
        <v>0</v>
      </c>
      <c r="J301" t="n">
        <v>0</v>
      </c>
      <c r="K301" t="n">
        <v>1</v>
      </c>
      <c r="L301" t="n">
        <v>0</v>
      </c>
      <c r="M301" t="n">
        <v>0</v>
      </c>
      <c r="N301" t="n">
        <v>0</v>
      </c>
      <c r="O301" t="n">
        <v>1</v>
      </c>
      <c r="P301" t="n">
        <v>1</v>
      </c>
      <c r="Q301" t="n">
        <v>1</v>
      </c>
      <c r="R301" s="2" t="inlineStr">
        <is>
          <t>Knärot</t>
        </is>
      </c>
      <c r="S301">
        <f>HYPERLINK("https://klasma.github.io/Logging_0883/artfynd/A 25433-2023 artfynd.xlsx", "A 25433-2023")</f>
        <v/>
      </c>
      <c r="T301">
        <f>HYPERLINK("https://klasma.github.io/Logging_0883/kartor/A 25433-2023 karta.png", "A 25433-2023")</f>
        <v/>
      </c>
      <c r="U301">
        <f>HYPERLINK("https://klasma.github.io/Logging_0883/knärot/A 25433-2023 karta knärot.png", "A 25433-2023")</f>
        <v/>
      </c>
      <c r="V301">
        <f>HYPERLINK("https://klasma.github.io/Logging_0883/klagomål/A 25433-2023 FSC-klagomål.docx", "A 25433-2023")</f>
        <v/>
      </c>
      <c r="W301">
        <f>HYPERLINK("https://klasma.github.io/Logging_0883/klagomålsmail/A 25433-2023 FSC-klagomål mail.docx", "A 25433-2023")</f>
        <v/>
      </c>
      <c r="X301">
        <f>HYPERLINK("https://klasma.github.io/Logging_0883/tillsyn/A 25433-2023 tillsynsbegäran.docx", "A 25433-2023")</f>
        <v/>
      </c>
      <c r="Y301">
        <f>HYPERLINK("https://klasma.github.io/Logging_0883/tillsynsmail/A 25433-2023 tillsynsbegäran mail.docx", "A 25433-2023")</f>
        <v/>
      </c>
    </row>
    <row r="302" ht="15" customHeight="1">
      <c r="A302" t="inlineStr">
        <is>
          <t>A 25563-2023</t>
        </is>
      </c>
      <c r="B302" s="1" t="n">
        <v>45089</v>
      </c>
      <c r="C302" s="1" t="n">
        <v>45844</v>
      </c>
      <c r="D302" t="inlineStr">
        <is>
          <t>KALMAR LÄN</t>
        </is>
      </c>
      <c r="E302" t="inlineStr">
        <is>
          <t>VÄSTERVIK</t>
        </is>
      </c>
      <c r="G302" t="n">
        <v>1.6</v>
      </c>
      <c r="H302" t="n">
        <v>1</v>
      </c>
      <c r="I302" t="n">
        <v>0</v>
      </c>
      <c r="J302" t="n">
        <v>1</v>
      </c>
      <c r="K302" t="n">
        <v>0</v>
      </c>
      <c r="L302" t="n">
        <v>0</v>
      </c>
      <c r="M302" t="n">
        <v>0</v>
      </c>
      <c r="N302" t="n">
        <v>0</v>
      </c>
      <c r="O302" t="n">
        <v>1</v>
      </c>
      <c r="P302" t="n">
        <v>0</v>
      </c>
      <c r="Q302" t="n">
        <v>1</v>
      </c>
      <c r="R302" s="2" t="inlineStr">
        <is>
          <t>Talltita</t>
        </is>
      </c>
      <c r="S302">
        <f>HYPERLINK("https://klasma.github.io/Logging_0883/artfynd/A 25563-2023 artfynd.xlsx", "A 25563-2023")</f>
        <v/>
      </c>
      <c r="T302">
        <f>HYPERLINK("https://klasma.github.io/Logging_0883/kartor/A 25563-2023 karta.png", "A 25563-2023")</f>
        <v/>
      </c>
      <c r="V302">
        <f>HYPERLINK("https://klasma.github.io/Logging_0883/klagomål/A 25563-2023 FSC-klagomål.docx", "A 25563-2023")</f>
        <v/>
      </c>
      <c r="W302">
        <f>HYPERLINK("https://klasma.github.io/Logging_0883/klagomålsmail/A 25563-2023 FSC-klagomål mail.docx", "A 25563-2023")</f>
        <v/>
      </c>
      <c r="X302">
        <f>HYPERLINK("https://klasma.github.io/Logging_0883/tillsyn/A 25563-2023 tillsynsbegäran.docx", "A 25563-2023")</f>
        <v/>
      </c>
      <c r="Y302">
        <f>HYPERLINK("https://klasma.github.io/Logging_0883/tillsynsmail/A 25563-2023 tillsynsbegäran mail.docx", "A 25563-2023")</f>
        <v/>
      </c>
      <c r="Z302">
        <f>HYPERLINK("https://klasma.github.io/Logging_0883/fåglar/A 25563-2023 prioriterade fågelarter.docx", "A 25563-2023")</f>
        <v/>
      </c>
    </row>
    <row r="303" ht="15" customHeight="1">
      <c r="A303" t="inlineStr">
        <is>
          <t>A 26278-2023</t>
        </is>
      </c>
      <c r="B303" s="1" t="n">
        <v>45091</v>
      </c>
      <c r="C303" s="1" t="n">
        <v>45844</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26278-2023 artfynd.xlsx", "A 26278-2023")</f>
        <v/>
      </c>
      <c r="T303">
        <f>HYPERLINK("https://klasma.github.io/Logging_0883/kartor/A 26278-2023 karta.png", "A 26278-2023")</f>
        <v/>
      </c>
      <c r="U303">
        <f>HYPERLINK("https://klasma.github.io/Logging_0883/knärot/A 26278-2023 karta knärot.png", "A 26278-2023")</f>
        <v/>
      </c>
      <c r="V303">
        <f>HYPERLINK("https://klasma.github.io/Logging_0883/klagomål/A 26278-2023 FSC-klagomål.docx", "A 26278-2023")</f>
        <v/>
      </c>
      <c r="W303">
        <f>HYPERLINK("https://klasma.github.io/Logging_0883/klagomålsmail/A 26278-2023 FSC-klagomål mail.docx", "A 26278-2023")</f>
        <v/>
      </c>
      <c r="X303">
        <f>HYPERLINK("https://klasma.github.io/Logging_0883/tillsyn/A 26278-2023 tillsynsbegäran.docx", "A 26278-2023")</f>
        <v/>
      </c>
      <c r="Y303">
        <f>HYPERLINK("https://klasma.github.io/Logging_0883/tillsynsmail/A 26278-2023 tillsynsbegäran mail.docx", "A 26278-2023")</f>
        <v/>
      </c>
    </row>
    <row r="304" ht="15" customHeight="1">
      <c r="A304" t="inlineStr">
        <is>
          <t>A 28495-2023</t>
        </is>
      </c>
      <c r="B304" s="1" t="n">
        <v>45103</v>
      </c>
      <c r="C304" s="1" t="n">
        <v>45844</v>
      </c>
      <c r="D304" t="inlineStr">
        <is>
          <t>KALMAR LÄN</t>
        </is>
      </c>
      <c r="E304" t="inlineStr">
        <is>
          <t>VÄSTERVIK</t>
        </is>
      </c>
      <c r="G304" t="n">
        <v>3.1</v>
      </c>
      <c r="H304" t="n">
        <v>1</v>
      </c>
      <c r="I304" t="n">
        <v>0</v>
      </c>
      <c r="J304" t="n">
        <v>0</v>
      </c>
      <c r="K304" t="n">
        <v>1</v>
      </c>
      <c r="L304" t="n">
        <v>0</v>
      </c>
      <c r="M304" t="n">
        <v>0</v>
      </c>
      <c r="N304" t="n">
        <v>0</v>
      </c>
      <c r="O304" t="n">
        <v>1</v>
      </c>
      <c r="P304" t="n">
        <v>1</v>
      </c>
      <c r="Q304" t="n">
        <v>1</v>
      </c>
      <c r="R304" s="2" t="inlineStr">
        <is>
          <t>Knärot</t>
        </is>
      </c>
      <c r="S304">
        <f>HYPERLINK("https://klasma.github.io/Logging_0883/artfynd/A 28495-2023 artfynd.xlsx", "A 28495-2023")</f>
        <v/>
      </c>
      <c r="T304">
        <f>HYPERLINK("https://klasma.github.io/Logging_0883/kartor/A 28495-2023 karta.png", "A 28495-2023")</f>
        <v/>
      </c>
      <c r="U304">
        <f>HYPERLINK("https://klasma.github.io/Logging_0883/knärot/A 28495-2023 karta knärot.png", "A 28495-2023")</f>
        <v/>
      </c>
      <c r="V304">
        <f>HYPERLINK("https://klasma.github.io/Logging_0883/klagomål/A 28495-2023 FSC-klagomål.docx", "A 28495-2023")</f>
        <v/>
      </c>
      <c r="W304">
        <f>HYPERLINK("https://klasma.github.io/Logging_0883/klagomålsmail/A 28495-2023 FSC-klagomål mail.docx", "A 28495-2023")</f>
        <v/>
      </c>
      <c r="X304">
        <f>HYPERLINK("https://klasma.github.io/Logging_0883/tillsyn/A 28495-2023 tillsynsbegäran.docx", "A 28495-2023")</f>
        <v/>
      </c>
      <c r="Y304">
        <f>HYPERLINK("https://klasma.github.io/Logging_0883/tillsynsmail/A 28495-2023 tillsynsbegäran mail.docx", "A 28495-2023")</f>
        <v/>
      </c>
    </row>
    <row r="305" ht="15" customHeight="1">
      <c r="A305" t="inlineStr">
        <is>
          <t>A 32653-2023</t>
        </is>
      </c>
      <c r="B305" s="1" t="n">
        <v>45121</v>
      </c>
      <c r="C305" s="1" t="n">
        <v>45844</v>
      </c>
      <c r="D305" t="inlineStr">
        <is>
          <t>KALMAR LÄN</t>
        </is>
      </c>
      <c r="E305" t="inlineStr">
        <is>
          <t>VÄSTERVIK</t>
        </is>
      </c>
      <c r="G305" t="n">
        <v>1.4</v>
      </c>
      <c r="H305" t="n">
        <v>1</v>
      </c>
      <c r="I305" t="n">
        <v>0</v>
      </c>
      <c r="J305" t="n">
        <v>0</v>
      </c>
      <c r="K305" t="n">
        <v>1</v>
      </c>
      <c r="L305" t="n">
        <v>0</v>
      </c>
      <c r="M305" t="n">
        <v>0</v>
      </c>
      <c r="N305" t="n">
        <v>0</v>
      </c>
      <c r="O305" t="n">
        <v>1</v>
      </c>
      <c r="P305" t="n">
        <v>1</v>
      </c>
      <c r="Q305" t="n">
        <v>1</v>
      </c>
      <c r="R305" s="2" t="inlineStr">
        <is>
          <t>Knärot</t>
        </is>
      </c>
      <c r="S305">
        <f>HYPERLINK("https://klasma.github.io/Logging_0883/artfynd/A 32653-2023 artfynd.xlsx", "A 32653-2023")</f>
        <v/>
      </c>
      <c r="T305">
        <f>HYPERLINK("https://klasma.github.io/Logging_0883/kartor/A 32653-2023 karta.png", "A 32653-2023")</f>
        <v/>
      </c>
      <c r="U305">
        <f>HYPERLINK("https://klasma.github.io/Logging_0883/knärot/A 32653-2023 karta knärot.png", "A 32653-2023")</f>
        <v/>
      </c>
      <c r="V305">
        <f>HYPERLINK("https://klasma.github.io/Logging_0883/klagomål/A 32653-2023 FSC-klagomål.docx", "A 32653-2023")</f>
        <v/>
      </c>
      <c r="W305">
        <f>HYPERLINK("https://klasma.github.io/Logging_0883/klagomålsmail/A 32653-2023 FSC-klagomål mail.docx", "A 32653-2023")</f>
        <v/>
      </c>
      <c r="X305">
        <f>HYPERLINK("https://klasma.github.io/Logging_0883/tillsyn/A 32653-2023 tillsynsbegäran.docx", "A 32653-2023")</f>
        <v/>
      </c>
      <c r="Y305">
        <f>HYPERLINK("https://klasma.github.io/Logging_0883/tillsynsmail/A 32653-2023 tillsynsbegäran mail.docx", "A 32653-2023")</f>
        <v/>
      </c>
    </row>
    <row r="306" ht="15" customHeight="1">
      <c r="A306" t="inlineStr">
        <is>
          <t>A 33816-2023</t>
        </is>
      </c>
      <c r="B306" s="1" t="n">
        <v>45133</v>
      </c>
      <c r="C306" s="1" t="n">
        <v>45844</v>
      </c>
      <c r="D306" t="inlineStr">
        <is>
          <t>KALMAR LÄN</t>
        </is>
      </c>
      <c r="E306" t="inlineStr">
        <is>
          <t>VÄSTERVIK</t>
        </is>
      </c>
      <c r="G306" t="n">
        <v>4.9</v>
      </c>
      <c r="H306" t="n">
        <v>0</v>
      </c>
      <c r="I306" t="n">
        <v>0</v>
      </c>
      <c r="J306" t="n">
        <v>1</v>
      </c>
      <c r="K306" t="n">
        <v>0</v>
      </c>
      <c r="L306" t="n">
        <v>0</v>
      </c>
      <c r="M306" t="n">
        <v>0</v>
      </c>
      <c r="N306" t="n">
        <v>0</v>
      </c>
      <c r="O306" t="n">
        <v>1</v>
      </c>
      <c r="P306" t="n">
        <v>0</v>
      </c>
      <c r="Q306" t="n">
        <v>1</v>
      </c>
      <c r="R306" s="2" t="inlineStr">
        <is>
          <t>Tallticka</t>
        </is>
      </c>
      <c r="S306">
        <f>HYPERLINK("https://klasma.github.io/Logging_0883/artfynd/A 33816-2023 artfynd.xlsx", "A 33816-2023")</f>
        <v/>
      </c>
      <c r="T306">
        <f>HYPERLINK("https://klasma.github.io/Logging_0883/kartor/A 33816-2023 karta.png", "A 33816-2023")</f>
        <v/>
      </c>
      <c r="V306">
        <f>HYPERLINK("https://klasma.github.io/Logging_0883/klagomål/A 33816-2023 FSC-klagomål.docx", "A 33816-2023")</f>
        <v/>
      </c>
      <c r="W306">
        <f>HYPERLINK("https://klasma.github.io/Logging_0883/klagomålsmail/A 33816-2023 FSC-klagomål mail.docx", "A 33816-2023")</f>
        <v/>
      </c>
      <c r="X306">
        <f>HYPERLINK("https://klasma.github.io/Logging_0883/tillsyn/A 33816-2023 tillsynsbegäran.docx", "A 33816-2023")</f>
        <v/>
      </c>
      <c r="Y306">
        <f>HYPERLINK("https://klasma.github.io/Logging_0883/tillsynsmail/A 33816-2023 tillsynsbegäran mail.docx", "A 33816-2023")</f>
        <v/>
      </c>
    </row>
    <row r="307" ht="15" customHeight="1">
      <c r="A307" t="inlineStr">
        <is>
          <t>A 33815-2023</t>
        </is>
      </c>
      <c r="B307" s="1" t="n">
        <v>45133</v>
      </c>
      <c r="C307" s="1" t="n">
        <v>45844</v>
      </c>
      <c r="D307" t="inlineStr">
        <is>
          <t>KALMAR LÄN</t>
        </is>
      </c>
      <c r="E307" t="inlineStr">
        <is>
          <t>VÄSTERVIK</t>
        </is>
      </c>
      <c r="G307" t="n">
        <v>3.4</v>
      </c>
      <c r="H307" t="n">
        <v>0</v>
      </c>
      <c r="I307" t="n">
        <v>1</v>
      </c>
      <c r="J307" t="n">
        <v>0</v>
      </c>
      <c r="K307" t="n">
        <v>0</v>
      </c>
      <c r="L307" t="n">
        <v>0</v>
      </c>
      <c r="M307" t="n">
        <v>0</v>
      </c>
      <c r="N307" t="n">
        <v>0</v>
      </c>
      <c r="O307" t="n">
        <v>0</v>
      </c>
      <c r="P307" t="n">
        <v>0</v>
      </c>
      <c r="Q307" t="n">
        <v>1</v>
      </c>
      <c r="R307" s="2" t="inlineStr">
        <is>
          <t>Grönpyrola</t>
        </is>
      </c>
      <c r="S307">
        <f>HYPERLINK("https://klasma.github.io/Logging_0883/artfynd/A 33815-2023 artfynd.xlsx", "A 33815-2023")</f>
        <v/>
      </c>
      <c r="T307">
        <f>HYPERLINK("https://klasma.github.io/Logging_0883/kartor/A 33815-2023 karta.png", "A 33815-2023")</f>
        <v/>
      </c>
      <c r="V307">
        <f>HYPERLINK("https://klasma.github.io/Logging_0883/klagomål/A 33815-2023 FSC-klagomål.docx", "A 33815-2023")</f>
        <v/>
      </c>
      <c r="W307">
        <f>HYPERLINK("https://klasma.github.io/Logging_0883/klagomålsmail/A 33815-2023 FSC-klagomål mail.docx", "A 33815-2023")</f>
        <v/>
      </c>
      <c r="X307">
        <f>HYPERLINK("https://klasma.github.io/Logging_0883/tillsyn/A 33815-2023 tillsynsbegäran.docx", "A 33815-2023")</f>
        <v/>
      </c>
      <c r="Y307">
        <f>HYPERLINK("https://klasma.github.io/Logging_0883/tillsynsmail/A 33815-2023 tillsynsbegäran mail.docx", "A 33815-2023")</f>
        <v/>
      </c>
    </row>
    <row r="308" ht="15" customHeight="1">
      <c r="A308" t="inlineStr">
        <is>
          <t>A 34563-2023</t>
        </is>
      </c>
      <c r="B308" s="1" t="n">
        <v>45140</v>
      </c>
      <c r="C308" s="1" t="n">
        <v>45844</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34563-2023 artfynd.xlsx", "A 34563-2023")</f>
        <v/>
      </c>
      <c r="T308">
        <f>HYPERLINK("https://klasma.github.io/Logging_0883/kartor/A 34563-2023 karta.png", "A 34563-2023")</f>
        <v/>
      </c>
      <c r="U308">
        <f>HYPERLINK("https://klasma.github.io/Logging_0883/knärot/A 34563-2023 karta knärot.png", "A 34563-2023")</f>
        <v/>
      </c>
      <c r="V308">
        <f>HYPERLINK("https://klasma.github.io/Logging_0883/klagomål/A 34563-2023 FSC-klagomål.docx", "A 34563-2023")</f>
        <v/>
      </c>
      <c r="W308">
        <f>HYPERLINK("https://klasma.github.io/Logging_0883/klagomålsmail/A 34563-2023 FSC-klagomål mail.docx", "A 34563-2023")</f>
        <v/>
      </c>
      <c r="X308">
        <f>HYPERLINK("https://klasma.github.io/Logging_0883/tillsyn/A 34563-2023 tillsynsbegäran.docx", "A 34563-2023")</f>
        <v/>
      </c>
      <c r="Y308">
        <f>HYPERLINK("https://klasma.github.io/Logging_0883/tillsynsmail/A 34563-2023 tillsynsbegäran mail.docx", "A 34563-2023")</f>
        <v/>
      </c>
    </row>
    <row r="309" ht="15" customHeight="1">
      <c r="A309" t="inlineStr">
        <is>
          <t>A 36400-2023</t>
        </is>
      </c>
      <c r="B309" s="1" t="n">
        <v>45152</v>
      </c>
      <c r="C309" s="1" t="n">
        <v>45844</v>
      </c>
      <c r="D309" t="inlineStr">
        <is>
          <t>KALMAR LÄN</t>
        </is>
      </c>
      <c r="E309" t="inlineStr">
        <is>
          <t>VÄSTERVIK</t>
        </is>
      </c>
      <c r="G309" t="n">
        <v>1.4</v>
      </c>
      <c r="H309" t="n">
        <v>0</v>
      </c>
      <c r="I309" t="n">
        <v>1</v>
      </c>
      <c r="J309" t="n">
        <v>0</v>
      </c>
      <c r="K309" t="n">
        <v>0</v>
      </c>
      <c r="L309" t="n">
        <v>0</v>
      </c>
      <c r="M309" t="n">
        <v>0</v>
      </c>
      <c r="N309" t="n">
        <v>0</v>
      </c>
      <c r="O309" t="n">
        <v>0</v>
      </c>
      <c r="P309" t="n">
        <v>0</v>
      </c>
      <c r="Q309" t="n">
        <v>1</v>
      </c>
      <c r="R309" s="2" t="inlineStr">
        <is>
          <t>Fjällig taggsvamp s.str.</t>
        </is>
      </c>
      <c r="S309">
        <f>HYPERLINK("https://klasma.github.io/Logging_0883/artfynd/A 36400-2023 artfynd.xlsx", "A 36400-2023")</f>
        <v/>
      </c>
      <c r="T309">
        <f>HYPERLINK("https://klasma.github.io/Logging_0883/kartor/A 36400-2023 karta.png", "A 36400-2023")</f>
        <v/>
      </c>
      <c r="U309">
        <f>HYPERLINK("https://klasma.github.io/Logging_0883/knärot/A 36400-2023 karta knärot.png", "A 36400-2023")</f>
        <v/>
      </c>
      <c r="V309">
        <f>HYPERLINK("https://klasma.github.io/Logging_0883/klagomål/A 36400-2023 FSC-klagomål.docx", "A 36400-2023")</f>
        <v/>
      </c>
      <c r="W309">
        <f>HYPERLINK("https://klasma.github.io/Logging_0883/klagomålsmail/A 36400-2023 FSC-klagomål mail.docx", "A 36400-2023")</f>
        <v/>
      </c>
      <c r="X309">
        <f>HYPERLINK("https://klasma.github.io/Logging_0883/tillsyn/A 36400-2023 tillsynsbegäran.docx", "A 36400-2023")</f>
        <v/>
      </c>
      <c r="Y309">
        <f>HYPERLINK("https://klasma.github.io/Logging_0883/tillsynsmail/A 36400-2023 tillsynsbegäran mail.docx", "A 36400-2023")</f>
        <v/>
      </c>
    </row>
    <row r="310" ht="15" customHeight="1">
      <c r="A310" t="inlineStr">
        <is>
          <t>A 43788-2023</t>
        </is>
      </c>
      <c r="B310" s="1" t="n">
        <v>45187</v>
      </c>
      <c r="C310" s="1" t="n">
        <v>45844</v>
      </c>
      <c r="D310" t="inlineStr">
        <is>
          <t>KALMAR LÄN</t>
        </is>
      </c>
      <c r="E310" t="inlineStr">
        <is>
          <t>VÄSTERVIK</t>
        </is>
      </c>
      <c r="G310" t="n">
        <v>4.5</v>
      </c>
      <c r="H310" t="n">
        <v>0</v>
      </c>
      <c r="I310" t="n">
        <v>0</v>
      </c>
      <c r="J310" t="n">
        <v>1</v>
      </c>
      <c r="K310" t="n">
        <v>0</v>
      </c>
      <c r="L310" t="n">
        <v>0</v>
      </c>
      <c r="M310" t="n">
        <v>0</v>
      </c>
      <c r="N310" t="n">
        <v>0</v>
      </c>
      <c r="O310" t="n">
        <v>1</v>
      </c>
      <c r="P310" t="n">
        <v>0</v>
      </c>
      <c r="Q310" t="n">
        <v>1</v>
      </c>
      <c r="R310" s="2" t="inlineStr">
        <is>
          <t>Motaggsvamp</t>
        </is>
      </c>
      <c r="S310">
        <f>HYPERLINK("https://klasma.github.io/Logging_0883/artfynd/A 43788-2023 artfynd.xlsx", "A 43788-2023")</f>
        <v/>
      </c>
      <c r="T310">
        <f>HYPERLINK("https://klasma.github.io/Logging_0883/kartor/A 43788-2023 karta.png", "A 43788-2023")</f>
        <v/>
      </c>
      <c r="V310">
        <f>HYPERLINK("https://klasma.github.io/Logging_0883/klagomål/A 43788-2023 FSC-klagomål.docx", "A 43788-2023")</f>
        <v/>
      </c>
      <c r="W310">
        <f>HYPERLINK("https://klasma.github.io/Logging_0883/klagomålsmail/A 43788-2023 FSC-klagomål mail.docx", "A 43788-2023")</f>
        <v/>
      </c>
      <c r="X310">
        <f>HYPERLINK("https://klasma.github.io/Logging_0883/tillsyn/A 43788-2023 tillsynsbegäran.docx", "A 43788-2023")</f>
        <v/>
      </c>
      <c r="Y310">
        <f>HYPERLINK("https://klasma.github.io/Logging_0883/tillsynsmail/A 43788-2023 tillsynsbegäran mail.docx", "A 43788-2023")</f>
        <v/>
      </c>
    </row>
    <row r="311" ht="15" customHeight="1">
      <c r="A311" t="inlineStr">
        <is>
          <t>A 46722-2023</t>
        </is>
      </c>
      <c r="B311" s="1" t="n">
        <v>45194</v>
      </c>
      <c r="C311" s="1" t="n">
        <v>45844</v>
      </c>
      <c r="D311" t="inlineStr">
        <is>
          <t>KALMAR LÄN</t>
        </is>
      </c>
      <c r="E311" t="inlineStr">
        <is>
          <t>VÄSTERVIK</t>
        </is>
      </c>
      <c r="G311" t="n">
        <v>0.9</v>
      </c>
      <c r="H311" t="n">
        <v>1</v>
      </c>
      <c r="I311" t="n">
        <v>0</v>
      </c>
      <c r="J311" t="n">
        <v>0</v>
      </c>
      <c r="K311" t="n">
        <v>1</v>
      </c>
      <c r="L311" t="n">
        <v>0</v>
      </c>
      <c r="M311" t="n">
        <v>0</v>
      </c>
      <c r="N311" t="n">
        <v>0</v>
      </c>
      <c r="O311" t="n">
        <v>1</v>
      </c>
      <c r="P311" t="n">
        <v>1</v>
      </c>
      <c r="Q311" t="n">
        <v>1</v>
      </c>
      <c r="R311" s="2" t="inlineStr">
        <is>
          <t>Knärot</t>
        </is>
      </c>
      <c r="S311">
        <f>HYPERLINK("https://klasma.github.io/Logging_0883/artfynd/A 46722-2023 artfynd.xlsx", "A 46722-2023")</f>
        <v/>
      </c>
      <c r="T311">
        <f>HYPERLINK("https://klasma.github.io/Logging_0883/kartor/A 46722-2023 karta.png", "A 46722-2023")</f>
        <v/>
      </c>
      <c r="U311">
        <f>HYPERLINK("https://klasma.github.io/Logging_0883/knärot/A 46722-2023 karta knärot.png", "A 46722-2023")</f>
        <v/>
      </c>
      <c r="V311">
        <f>HYPERLINK("https://klasma.github.io/Logging_0883/klagomål/A 46722-2023 FSC-klagomål.docx", "A 46722-2023")</f>
        <v/>
      </c>
      <c r="W311">
        <f>HYPERLINK("https://klasma.github.io/Logging_0883/klagomålsmail/A 46722-2023 FSC-klagomål mail.docx", "A 46722-2023")</f>
        <v/>
      </c>
      <c r="X311">
        <f>HYPERLINK("https://klasma.github.io/Logging_0883/tillsyn/A 46722-2023 tillsynsbegäran.docx", "A 46722-2023")</f>
        <v/>
      </c>
      <c r="Y311">
        <f>HYPERLINK("https://klasma.github.io/Logging_0883/tillsynsmail/A 46722-2023 tillsynsbegäran mail.docx", "A 46722-2023")</f>
        <v/>
      </c>
    </row>
    <row r="312" ht="15" customHeight="1">
      <c r="A312" t="inlineStr">
        <is>
          <t>A 47112-2023</t>
        </is>
      </c>
      <c r="B312" s="1" t="n">
        <v>45201</v>
      </c>
      <c r="C312" s="1" t="n">
        <v>45844</v>
      </c>
      <c r="D312" t="inlineStr">
        <is>
          <t>KALMAR LÄN</t>
        </is>
      </c>
      <c r="E312" t="inlineStr">
        <is>
          <t>VÄSTERVIK</t>
        </is>
      </c>
      <c r="G312" t="n">
        <v>1</v>
      </c>
      <c r="H312" t="n">
        <v>0</v>
      </c>
      <c r="I312" t="n">
        <v>0</v>
      </c>
      <c r="J312" t="n">
        <v>1</v>
      </c>
      <c r="K312" t="n">
        <v>0</v>
      </c>
      <c r="L312" t="n">
        <v>0</v>
      </c>
      <c r="M312" t="n">
        <v>0</v>
      </c>
      <c r="N312" t="n">
        <v>0</v>
      </c>
      <c r="O312" t="n">
        <v>1</v>
      </c>
      <c r="P312" t="n">
        <v>0</v>
      </c>
      <c r="Q312" t="n">
        <v>1</v>
      </c>
      <c r="R312" s="2" t="inlineStr">
        <is>
          <t>Tallticka</t>
        </is>
      </c>
      <c r="S312">
        <f>HYPERLINK("https://klasma.github.io/Logging_0883/artfynd/A 47112-2023 artfynd.xlsx", "A 47112-2023")</f>
        <v/>
      </c>
      <c r="T312">
        <f>HYPERLINK("https://klasma.github.io/Logging_0883/kartor/A 47112-2023 karta.png", "A 47112-2023")</f>
        <v/>
      </c>
      <c r="V312">
        <f>HYPERLINK("https://klasma.github.io/Logging_0883/klagomål/A 47112-2023 FSC-klagomål.docx", "A 47112-2023")</f>
        <v/>
      </c>
      <c r="W312">
        <f>HYPERLINK("https://klasma.github.io/Logging_0883/klagomålsmail/A 47112-2023 FSC-klagomål mail.docx", "A 47112-2023")</f>
        <v/>
      </c>
      <c r="X312">
        <f>HYPERLINK("https://klasma.github.io/Logging_0883/tillsyn/A 47112-2023 tillsynsbegäran.docx", "A 47112-2023")</f>
        <v/>
      </c>
      <c r="Y312">
        <f>HYPERLINK("https://klasma.github.io/Logging_0883/tillsynsmail/A 47112-2023 tillsynsbegäran mail.docx", "A 47112-2023")</f>
        <v/>
      </c>
    </row>
    <row r="313" ht="15" customHeight="1">
      <c r="A313" t="inlineStr">
        <is>
          <t>A 49680-2023</t>
        </is>
      </c>
      <c r="B313" s="1" t="n">
        <v>45212</v>
      </c>
      <c r="C313" s="1" t="n">
        <v>45844</v>
      </c>
      <c r="D313" t="inlineStr">
        <is>
          <t>KALMAR LÄN</t>
        </is>
      </c>
      <c r="E313" t="inlineStr">
        <is>
          <t>VÄSTERVIK</t>
        </is>
      </c>
      <c r="G313" t="n">
        <v>3.3</v>
      </c>
      <c r="H313" t="n">
        <v>0</v>
      </c>
      <c r="I313" t="n">
        <v>0</v>
      </c>
      <c r="J313" t="n">
        <v>1</v>
      </c>
      <c r="K313" t="n">
        <v>0</v>
      </c>
      <c r="L313" t="n">
        <v>0</v>
      </c>
      <c r="M313" t="n">
        <v>0</v>
      </c>
      <c r="N313" t="n">
        <v>0</v>
      </c>
      <c r="O313" t="n">
        <v>1</v>
      </c>
      <c r="P313" t="n">
        <v>0</v>
      </c>
      <c r="Q313" t="n">
        <v>1</v>
      </c>
      <c r="R313" s="2" t="inlineStr">
        <is>
          <t>Skogsklocka</t>
        </is>
      </c>
      <c r="S313">
        <f>HYPERLINK("https://klasma.github.io/Logging_0883/artfynd/A 49680-2023 artfynd.xlsx", "A 49680-2023")</f>
        <v/>
      </c>
      <c r="T313">
        <f>HYPERLINK("https://klasma.github.io/Logging_0883/kartor/A 49680-2023 karta.png", "A 49680-2023")</f>
        <v/>
      </c>
      <c r="V313">
        <f>HYPERLINK("https://klasma.github.io/Logging_0883/klagomål/A 49680-2023 FSC-klagomål.docx", "A 49680-2023")</f>
        <v/>
      </c>
      <c r="W313">
        <f>HYPERLINK("https://klasma.github.io/Logging_0883/klagomålsmail/A 49680-2023 FSC-klagomål mail.docx", "A 49680-2023")</f>
        <v/>
      </c>
      <c r="X313">
        <f>HYPERLINK("https://klasma.github.io/Logging_0883/tillsyn/A 49680-2023 tillsynsbegäran.docx", "A 49680-2023")</f>
        <v/>
      </c>
      <c r="Y313">
        <f>HYPERLINK("https://klasma.github.io/Logging_0883/tillsynsmail/A 49680-2023 tillsynsbegäran mail.docx", "A 49680-2023")</f>
        <v/>
      </c>
    </row>
    <row r="314" ht="15" customHeight="1">
      <c r="A314" t="inlineStr">
        <is>
          <t>A 54272-2023</t>
        </is>
      </c>
      <c r="B314" s="1" t="n">
        <v>45232</v>
      </c>
      <c r="C314" s="1" t="n">
        <v>45844</v>
      </c>
      <c r="D314" t="inlineStr">
        <is>
          <t>KALMAR LÄN</t>
        </is>
      </c>
      <c r="E314" t="inlineStr">
        <is>
          <t>VÄSTERVIK</t>
        </is>
      </c>
      <c r="G314" t="n">
        <v>1</v>
      </c>
      <c r="H314" t="n">
        <v>0</v>
      </c>
      <c r="I314" t="n">
        <v>1</v>
      </c>
      <c r="J314" t="n">
        <v>0</v>
      </c>
      <c r="K314" t="n">
        <v>0</v>
      </c>
      <c r="L314" t="n">
        <v>0</v>
      </c>
      <c r="M314" t="n">
        <v>0</v>
      </c>
      <c r="N314" t="n">
        <v>0</v>
      </c>
      <c r="O314" t="n">
        <v>0</v>
      </c>
      <c r="P314" t="n">
        <v>0</v>
      </c>
      <c r="Q314" t="n">
        <v>1</v>
      </c>
      <c r="R314" s="2" t="inlineStr">
        <is>
          <t>Aprikosfingersvamp</t>
        </is>
      </c>
      <c r="S314">
        <f>HYPERLINK("https://klasma.github.io/Logging_0883/artfynd/A 54272-2023 artfynd.xlsx", "A 54272-2023")</f>
        <v/>
      </c>
      <c r="T314">
        <f>HYPERLINK("https://klasma.github.io/Logging_0883/kartor/A 54272-2023 karta.png", "A 54272-2023")</f>
        <v/>
      </c>
      <c r="V314">
        <f>HYPERLINK("https://klasma.github.io/Logging_0883/klagomål/A 54272-2023 FSC-klagomål.docx", "A 54272-2023")</f>
        <v/>
      </c>
      <c r="W314">
        <f>HYPERLINK("https://klasma.github.io/Logging_0883/klagomålsmail/A 54272-2023 FSC-klagomål mail.docx", "A 54272-2023")</f>
        <v/>
      </c>
      <c r="X314">
        <f>HYPERLINK("https://klasma.github.io/Logging_0883/tillsyn/A 54272-2023 tillsynsbegäran.docx", "A 54272-2023")</f>
        <v/>
      </c>
      <c r="Y314">
        <f>HYPERLINK("https://klasma.github.io/Logging_0883/tillsynsmail/A 54272-2023 tillsynsbegäran mail.docx", "A 54272-2023")</f>
        <v/>
      </c>
    </row>
    <row r="315" ht="15" customHeight="1">
      <c r="A315" t="inlineStr">
        <is>
          <t>A 55575-2023</t>
        </is>
      </c>
      <c r="B315" s="1" t="n">
        <v>45238</v>
      </c>
      <c r="C315" s="1" t="n">
        <v>45844</v>
      </c>
      <c r="D315" t="inlineStr">
        <is>
          <t>KALMAR LÄN</t>
        </is>
      </c>
      <c r="E315" t="inlineStr">
        <is>
          <t>VÄSTERVIK</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HYPERLINK("https://klasma.github.io/Logging_0883/artfynd/A 55575-2023 artfynd.xlsx", "A 55575-2023")</f>
        <v/>
      </c>
      <c r="T315">
        <f>HYPERLINK("https://klasma.github.io/Logging_0883/kartor/A 55575-2023 karta.png", "A 55575-2023")</f>
        <v/>
      </c>
      <c r="U315">
        <f>HYPERLINK("https://klasma.github.io/Logging_0883/knärot/A 55575-2023 karta knärot.png", "A 55575-2023")</f>
        <v/>
      </c>
      <c r="V315">
        <f>HYPERLINK("https://klasma.github.io/Logging_0883/klagomål/A 55575-2023 FSC-klagomål.docx", "A 55575-2023")</f>
        <v/>
      </c>
      <c r="W315">
        <f>HYPERLINK("https://klasma.github.io/Logging_0883/klagomålsmail/A 55575-2023 FSC-klagomål mail.docx", "A 55575-2023")</f>
        <v/>
      </c>
      <c r="X315">
        <f>HYPERLINK("https://klasma.github.io/Logging_0883/tillsyn/A 55575-2023 tillsynsbegäran.docx", "A 55575-2023")</f>
        <v/>
      </c>
      <c r="Y315">
        <f>HYPERLINK("https://klasma.github.io/Logging_0883/tillsynsmail/A 55575-2023 tillsynsbegäran mail.docx", "A 55575-2023")</f>
        <v/>
      </c>
    </row>
    <row r="316" ht="15" customHeight="1">
      <c r="A316" t="inlineStr">
        <is>
          <t>A 56186-2023</t>
        </is>
      </c>
      <c r="B316" s="1" t="n">
        <v>45240</v>
      </c>
      <c r="C316" s="1" t="n">
        <v>45844</v>
      </c>
      <c r="D316" t="inlineStr">
        <is>
          <t>KALMAR LÄN</t>
        </is>
      </c>
      <c r="E316" t="inlineStr">
        <is>
          <t>VÄSTERVIK</t>
        </is>
      </c>
      <c r="G316" t="n">
        <v>2.7</v>
      </c>
      <c r="H316" t="n">
        <v>0</v>
      </c>
      <c r="I316" t="n">
        <v>0</v>
      </c>
      <c r="J316" t="n">
        <v>1</v>
      </c>
      <c r="K316" t="n">
        <v>0</v>
      </c>
      <c r="L316" t="n">
        <v>0</v>
      </c>
      <c r="M316" t="n">
        <v>0</v>
      </c>
      <c r="N316" t="n">
        <v>0</v>
      </c>
      <c r="O316" t="n">
        <v>1</v>
      </c>
      <c r="P316" t="n">
        <v>0</v>
      </c>
      <c r="Q316" t="n">
        <v>1</v>
      </c>
      <c r="R316" s="2" t="inlineStr">
        <is>
          <t>Tallticka</t>
        </is>
      </c>
      <c r="S316">
        <f>HYPERLINK("https://klasma.github.io/Logging_0883/artfynd/A 56186-2023 artfynd.xlsx", "A 56186-2023")</f>
        <v/>
      </c>
      <c r="T316">
        <f>HYPERLINK("https://klasma.github.io/Logging_0883/kartor/A 56186-2023 karta.png", "A 56186-2023")</f>
        <v/>
      </c>
      <c r="V316">
        <f>HYPERLINK("https://klasma.github.io/Logging_0883/klagomål/A 56186-2023 FSC-klagomål.docx", "A 56186-2023")</f>
        <v/>
      </c>
      <c r="W316">
        <f>HYPERLINK("https://klasma.github.io/Logging_0883/klagomålsmail/A 56186-2023 FSC-klagomål mail.docx", "A 56186-2023")</f>
        <v/>
      </c>
      <c r="X316">
        <f>HYPERLINK("https://klasma.github.io/Logging_0883/tillsyn/A 56186-2023 tillsynsbegäran.docx", "A 56186-2023")</f>
        <v/>
      </c>
      <c r="Y316">
        <f>HYPERLINK("https://klasma.github.io/Logging_0883/tillsynsmail/A 56186-2023 tillsynsbegäran mail.docx", "A 56186-2023")</f>
        <v/>
      </c>
    </row>
    <row r="317" ht="15" customHeight="1">
      <c r="A317" t="inlineStr">
        <is>
          <t>A 59368-2023</t>
        </is>
      </c>
      <c r="B317" s="1" t="n">
        <v>45253</v>
      </c>
      <c r="C317" s="1" t="n">
        <v>45844</v>
      </c>
      <c r="D317" t="inlineStr">
        <is>
          <t>KALMAR LÄN</t>
        </is>
      </c>
      <c r="E317" t="inlineStr">
        <is>
          <t>VÄSTERVIK</t>
        </is>
      </c>
      <c r="G317" t="n">
        <v>2.4</v>
      </c>
      <c r="H317" t="n">
        <v>1</v>
      </c>
      <c r="I317" t="n">
        <v>0</v>
      </c>
      <c r="J317" t="n">
        <v>0</v>
      </c>
      <c r="K317" t="n">
        <v>1</v>
      </c>
      <c r="L317" t="n">
        <v>0</v>
      </c>
      <c r="M317" t="n">
        <v>0</v>
      </c>
      <c r="N317" t="n">
        <v>0</v>
      </c>
      <c r="O317" t="n">
        <v>1</v>
      </c>
      <c r="P317" t="n">
        <v>1</v>
      </c>
      <c r="Q317" t="n">
        <v>1</v>
      </c>
      <c r="R317" s="2" t="inlineStr">
        <is>
          <t>Knärot</t>
        </is>
      </c>
      <c r="S317">
        <f>HYPERLINK("https://klasma.github.io/Logging_0883/artfynd/A 59368-2023 artfynd.xlsx", "A 59368-2023")</f>
        <v/>
      </c>
      <c r="T317">
        <f>HYPERLINK("https://klasma.github.io/Logging_0883/kartor/A 59368-2023 karta.png", "A 59368-2023")</f>
        <v/>
      </c>
      <c r="U317">
        <f>HYPERLINK("https://klasma.github.io/Logging_0883/knärot/A 59368-2023 karta knärot.png", "A 59368-2023")</f>
        <v/>
      </c>
      <c r="V317">
        <f>HYPERLINK("https://klasma.github.io/Logging_0883/klagomål/A 59368-2023 FSC-klagomål.docx", "A 59368-2023")</f>
        <v/>
      </c>
      <c r="W317">
        <f>HYPERLINK("https://klasma.github.io/Logging_0883/klagomålsmail/A 59368-2023 FSC-klagomål mail.docx", "A 59368-2023")</f>
        <v/>
      </c>
      <c r="X317">
        <f>HYPERLINK("https://klasma.github.io/Logging_0883/tillsyn/A 59368-2023 tillsynsbegäran.docx", "A 59368-2023")</f>
        <v/>
      </c>
      <c r="Y317">
        <f>HYPERLINK("https://klasma.github.io/Logging_0883/tillsynsmail/A 59368-2023 tillsynsbegäran mail.docx", "A 59368-2023")</f>
        <v/>
      </c>
    </row>
    <row r="318" ht="15" customHeight="1">
      <c r="A318" t="inlineStr">
        <is>
          <t>A 60633-2023</t>
        </is>
      </c>
      <c r="B318" s="1" t="n">
        <v>45260</v>
      </c>
      <c r="C318" s="1" t="n">
        <v>45844</v>
      </c>
      <c r="D318" t="inlineStr">
        <is>
          <t>KALMAR LÄN</t>
        </is>
      </c>
      <c r="E318" t="inlineStr">
        <is>
          <t>VÄSTERVIK</t>
        </is>
      </c>
      <c r="G318" t="n">
        <v>1.4</v>
      </c>
      <c r="H318" t="n">
        <v>1</v>
      </c>
      <c r="I318" t="n">
        <v>0</v>
      </c>
      <c r="J318" t="n">
        <v>1</v>
      </c>
      <c r="K318" t="n">
        <v>0</v>
      </c>
      <c r="L318" t="n">
        <v>0</v>
      </c>
      <c r="M318" t="n">
        <v>0</v>
      </c>
      <c r="N318" t="n">
        <v>0</v>
      </c>
      <c r="O318" t="n">
        <v>1</v>
      </c>
      <c r="P318" t="n">
        <v>0</v>
      </c>
      <c r="Q318" t="n">
        <v>1</v>
      </c>
      <c r="R318" s="2" t="inlineStr">
        <is>
          <t>Talltita</t>
        </is>
      </c>
      <c r="S318">
        <f>HYPERLINK("https://klasma.github.io/Logging_0883/artfynd/A 60633-2023 artfynd.xlsx", "A 60633-2023")</f>
        <v/>
      </c>
      <c r="T318">
        <f>HYPERLINK("https://klasma.github.io/Logging_0883/kartor/A 60633-2023 karta.png", "A 60633-2023")</f>
        <v/>
      </c>
      <c r="V318">
        <f>HYPERLINK("https://klasma.github.io/Logging_0883/klagomål/A 60633-2023 FSC-klagomål.docx", "A 60633-2023")</f>
        <v/>
      </c>
      <c r="W318">
        <f>HYPERLINK("https://klasma.github.io/Logging_0883/klagomålsmail/A 60633-2023 FSC-klagomål mail.docx", "A 60633-2023")</f>
        <v/>
      </c>
      <c r="X318">
        <f>HYPERLINK("https://klasma.github.io/Logging_0883/tillsyn/A 60633-2023 tillsynsbegäran.docx", "A 60633-2023")</f>
        <v/>
      </c>
      <c r="Y318">
        <f>HYPERLINK("https://klasma.github.io/Logging_0883/tillsynsmail/A 60633-2023 tillsynsbegäran mail.docx", "A 60633-2023")</f>
        <v/>
      </c>
      <c r="Z318">
        <f>HYPERLINK("https://klasma.github.io/Logging_0883/fåglar/A 60633-2023 prioriterade fågelarter.docx", "A 60633-2023")</f>
        <v/>
      </c>
    </row>
    <row r="319" ht="15" customHeight="1">
      <c r="A319" t="inlineStr">
        <is>
          <t>A 61806-2023</t>
        </is>
      </c>
      <c r="B319" s="1" t="n">
        <v>45266</v>
      </c>
      <c r="C319" s="1" t="n">
        <v>45844</v>
      </c>
      <c r="D319" t="inlineStr">
        <is>
          <t>KALMAR LÄN</t>
        </is>
      </c>
      <c r="E319" t="inlineStr">
        <is>
          <t>VÄSTERVIK</t>
        </is>
      </c>
      <c r="G319" t="n">
        <v>1.1</v>
      </c>
      <c r="H319" t="n">
        <v>0</v>
      </c>
      <c r="I319" t="n">
        <v>0</v>
      </c>
      <c r="J319" t="n">
        <v>1</v>
      </c>
      <c r="K319" t="n">
        <v>0</v>
      </c>
      <c r="L319" t="n">
        <v>0</v>
      </c>
      <c r="M319" t="n">
        <v>0</v>
      </c>
      <c r="N319" t="n">
        <v>0</v>
      </c>
      <c r="O319" t="n">
        <v>1</v>
      </c>
      <c r="P319" t="n">
        <v>0</v>
      </c>
      <c r="Q319" t="n">
        <v>1</v>
      </c>
      <c r="R319" s="2" t="inlineStr">
        <is>
          <t>Veckticka</t>
        </is>
      </c>
      <c r="S319">
        <f>HYPERLINK("https://klasma.github.io/Logging_0883/artfynd/A 61806-2023 artfynd.xlsx", "A 61806-2023")</f>
        <v/>
      </c>
      <c r="T319">
        <f>HYPERLINK("https://klasma.github.io/Logging_0883/kartor/A 61806-2023 karta.png", "A 61806-2023")</f>
        <v/>
      </c>
      <c r="V319">
        <f>HYPERLINK("https://klasma.github.io/Logging_0883/klagomål/A 61806-2023 FSC-klagomål.docx", "A 61806-2023")</f>
        <v/>
      </c>
      <c r="W319">
        <f>HYPERLINK("https://klasma.github.io/Logging_0883/klagomålsmail/A 61806-2023 FSC-klagomål mail.docx", "A 61806-2023")</f>
        <v/>
      </c>
      <c r="X319">
        <f>HYPERLINK("https://klasma.github.io/Logging_0883/tillsyn/A 61806-2023 tillsynsbegäran.docx", "A 61806-2023")</f>
        <v/>
      </c>
      <c r="Y319">
        <f>HYPERLINK("https://klasma.github.io/Logging_0883/tillsynsmail/A 61806-2023 tillsynsbegäran mail.docx", "A 61806-2023")</f>
        <v/>
      </c>
    </row>
    <row r="320" ht="15" customHeight="1">
      <c r="A320" t="inlineStr">
        <is>
          <t>A 1176-2024</t>
        </is>
      </c>
      <c r="B320" s="1" t="n">
        <v>45302</v>
      </c>
      <c r="C320" s="1" t="n">
        <v>45844</v>
      </c>
      <c r="D320" t="inlineStr">
        <is>
          <t>KALMAR LÄN</t>
        </is>
      </c>
      <c r="E320" t="inlineStr">
        <is>
          <t>VÄSTERVIK</t>
        </is>
      </c>
      <c r="G320" t="n">
        <v>2.5</v>
      </c>
      <c r="H320" t="n">
        <v>0</v>
      </c>
      <c r="I320" t="n">
        <v>0</v>
      </c>
      <c r="J320" t="n">
        <v>1</v>
      </c>
      <c r="K320" t="n">
        <v>0</v>
      </c>
      <c r="L320" t="n">
        <v>0</v>
      </c>
      <c r="M320" t="n">
        <v>0</v>
      </c>
      <c r="N320" t="n">
        <v>0</v>
      </c>
      <c r="O320" t="n">
        <v>1</v>
      </c>
      <c r="P320" t="n">
        <v>0</v>
      </c>
      <c r="Q320" t="n">
        <v>1</v>
      </c>
      <c r="R320" s="2" t="inlineStr">
        <is>
          <t>Tallticka</t>
        </is>
      </c>
      <c r="S320">
        <f>HYPERLINK("https://klasma.github.io/Logging_0883/artfynd/A 1176-2024 artfynd.xlsx", "A 1176-2024")</f>
        <v/>
      </c>
      <c r="T320">
        <f>HYPERLINK("https://klasma.github.io/Logging_0883/kartor/A 1176-2024 karta.png", "A 1176-2024")</f>
        <v/>
      </c>
      <c r="V320">
        <f>HYPERLINK("https://klasma.github.io/Logging_0883/klagomål/A 1176-2024 FSC-klagomål.docx", "A 1176-2024")</f>
        <v/>
      </c>
      <c r="W320">
        <f>HYPERLINK("https://klasma.github.io/Logging_0883/klagomålsmail/A 1176-2024 FSC-klagomål mail.docx", "A 1176-2024")</f>
        <v/>
      </c>
      <c r="X320">
        <f>HYPERLINK("https://klasma.github.io/Logging_0883/tillsyn/A 1176-2024 tillsynsbegäran.docx", "A 1176-2024")</f>
        <v/>
      </c>
      <c r="Y320">
        <f>HYPERLINK("https://klasma.github.io/Logging_0883/tillsynsmail/A 1176-2024 tillsynsbegäran mail.docx", "A 1176-2024")</f>
        <v/>
      </c>
    </row>
    <row r="321" ht="15" customHeight="1">
      <c r="A321" t="inlineStr">
        <is>
          <t>A 2804-2024</t>
        </is>
      </c>
      <c r="B321" s="1" t="n">
        <v>45314</v>
      </c>
      <c r="C321" s="1" t="n">
        <v>45844</v>
      </c>
      <c r="D321" t="inlineStr">
        <is>
          <t>KALMAR LÄN</t>
        </is>
      </c>
      <c r="E321" t="inlineStr">
        <is>
          <t>VÄSTERVIK</t>
        </is>
      </c>
      <c r="G321" t="n">
        <v>2</v>
      </c>
      <c r="H321" t="n">
        <v>1</v>
      </c>
      <c r="I321" t="n">
        <v>0</v>
      </c>
      <c r="J321" t="n">
        <v>0</v>
      </c>
      <c r="K321" t="n">
        <v>1</v>
      </c>
      <c r="L321" t="n">
        <v>0</v>
      </c>
      <c r="M321" t="n">
        <v>0</v>
      </c>
      <c r="N321" t="n">
        <v>0</v>
      </c>
      <c r="O321" t="n">
        <v>1</v>
      </c>
      <c r="P321" t="n">
        <v>1</v>
      </c>
      <c r="Q321" t="n">
        <v>1</v>
      </c>
      <c r="R321" s="2" t="inlineStr">
        <is>
          <t>Knärot</t>
        </is>
      </c>
      <c r="S321">
        <f>HYPERLINK("https://klasma.github.io/Logging_0883/artfynd/A 2804-2024 artfynd.xlsx", "A 2804-2024")</f>
        <v/>
      </c>
      <c r="T321">
        <f>HYPERLINK("https://klasma.github.io/Logging_0883/kartor/A 2804-2024 karta.png", "A 2804-2024")</f>
        <v/>
      </c>
      <c r="U321">
        <f>HYPERLINK("https://klasma.github.io/Logging_0883/knärot/A 2804-2024 karta knärot.png", "A 2804-2024")</f>
        <v/>
      </c>
      <c r="V321">
        <f>HYPERLINK("https://klasma.github.io/Logging_0883/klagomål/A 2804-2024 FSC-klagomål.docx", "A 2804-2024")</f>
        <v/>
      </c>
      <c r="W321">
        <f>HYPERLINK("https://klasma.github.io/Logging_0883/klagomålsmail/A 2804-2024 FSC-klagomål mail.docx", "A 2804-2024")</f>
        <v/>
      </c>
      <c r="X321">
        <f>HYPERLINK("https://klasma.github.io/Logging_0883/tillsyn/A 2804-2024 tillsynsbegäran.docx", "A 2804-2024")</f>
        <v/>
      </c>
      <c r="Y321">
        <f>HYPERLINK("https://klasma.github.io/Logging_0883/tillsynsmail/A 2804-2024 tillsynsbegäran mail.docx", "A 2804-2024")</f>
        <v/>
      </c>
    </row>
    <row r="322" ht="15" customHeight="1">
      <c r="A322" t="inlineStr">
        <is>
          <t>A 6025-2024</t>
        </is>
      </c>
      <c r="B322" s="1" t="n">
        <v>45336</v>
      </c>
      <c r="C322" s="1" t="n">
        <v>45844</v>
      </c>
      <c r="D322" t="inlineStr">
        <is>
          <t>KALMAR LÄN</t>
        </is>
      </c>
      <c r="E322" t="inlineStr">
        <is>
          <t>VÄSTERVIK</t>
        </is>
      </c>
      <c r="G322" t="n">
        <v>2.8</v>
      </c>
      <c r="H322" t="n">
        <v>0</v>
      </c>
      <c r="I322" t="n">
        <v>0</v>
      </c>
      <c r="J322" t="n">
        <v>1</v>
      </c>
      <c r="K322" t="n">
        <v>0</v>
      </c>
      <c r="L322" t="n">
        <v>0</v>
      </c>
      <c r="M322" t="n">
        <v>0</v>
      </c>
      <c r="N322" t="n">
        <v>0</v>
      </c>
      <c r="O322" t="n">
        <v>1</v>
      </c>
      <c r="P322" t="n">
        <v>0</v>
      </c>
      <c r="Q322" t="n">
        <v>1</v>
      </c>
      <c r="R322" s="2" t="inlineStr">
        <is>
          <t>Tallticka</t>
        </is>
      </c>
      <c r="S322">
        <f>HYPERLINK("https://klasma.github.io/Logging_0883/artfynd/A 6025-2024 artfynd.xlsx", "A 6025-2024")</f>
        <v/>
      </c>
      <c r="T322">
        <f>HYPERLINK("https://klasma.github.io/Logging_0883/kartor/A 6025-2024 karta.png", "A 6025-2024")</f>
        <v/>
      </c>
      <c r="V322">
        <f>HYPERLINK("https://klasma.github.io/Logging_0883/klagomål/A 6025-2024 FSC-klagomål.docx", "A 6025-2024")</f>
        <v/>
      </c>
      <c r="W322">
        <f>HYPERLINK("https://klasma.github.io/Logging_0883/klagomålsmail/A 6025-2024 FSC-klagomål mail.docx", "A 6025-2024")</f>
        <v/>
      </c>
      <c r="X322">
        <f>HYPERLINK("https://klasma.github.io/Logging_0883/tillsyn/A 6025-2024 tillsynsbegäran.docx", "A 6025-2024")</f>
        <v/>
      </c>
      <c r="Y322">
        <f>HYPERLINK("https://klasma.github.io/Logging_0883/tillsynsmail/A 6025-2024 tillsynsbegäran mail.docx", "A 6025-2024")</f>
        <v/>
      </c>
    </row>
    <row r="323" ht="15" customHeight="1">
      <c r="A323" t="inlineStr">
        <is>
          <t>A 11165-2024</t>
        </is>
      </c>
      <c r="B323" s="1" t="n">
        <v>45371</v>
      </c>
      <c r="C323" s="1" t="n">
        <v>45844</v>
      </c>
      <c r="D323" t="inlineStr">
        <is>
          <t>KALMAR LÄN</t>
        </is>
      </c>
      <c r="E323" t="inlineStr">
        <is>
          <t>VÄSTERVIK</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HYPERLINK("https://klasma.github.io/Logging_0883/artfynd/A 11165-2024 artfynd.xlsx", "A 11165-2024")</f>
        <v/>
      </c>
      <c r="T323">
        <f>HYPERLINK("https://klasma.github.io/Logging_0883/kartor/A 11165-2024 karta.png", "A 11165-2024")</f>
        <v/>
      </c>
      <c r="V323">
        <f>HYPERLINK("https://klasma.github.io/Logging_0883/klagomål/A 11165-2024 FSC-klagomål.docx", "A 11165-2024")</f>
        <v/>
      </c>
      <c r="W323">
        <f>HYPERLINK("https://klasma.github.io/Logging_0883/klagomålsmail/A 11165-2024 FSC-klagomål mail.docx", "A 11165-2024")</f>
        <v/>
      </c>
      <c r="X323">
        <f>HYPERLINK("https://klasma.github.io/Logging_0883/tillsyn/A 11165-2024 tillsynsbegäran.docx", "A 11165-2024")</f>
        <v/>
      </c>
      <c r="Y323">
        <f>HYPERLINK("https://klasma.github.io/Logging_0883/tillsynsmail/A 11165-2024 tillsynsbegäran mail.docx", "A 11165-2024")</f>
        <v/>
      </c>
      <c r="Z323">
        <f>HYPERLINK("https://klasma.github.io/Logging_0883/fåglar/A 11165-2024 prioriterade fågelarter.docx", "A 11165-2024")</f>
        <v/>
      </c>
    </row>
    <row r="324" ht="15" customHeight="1">
      <c r="A324" t="inlineStr">
        <is>
          <t>A 11195-2024</t>
        </is>
      </c>
      <c r="B324" s="1" t="n">
        <v>45371</v>
      </c>
      <c r="C324" s="1" t="n">
        <v>45844</v>
      </c>
      <c r="D324" t="inlineStr">
        <is>
          <t>KALMAR LÄN</t>
        </is>
      </c>
      <c r="E324" t="inlineStr">
        <is>
          <t>VÄSTERVIK</t>
        </is>
      </c>
      <c r="G324" t="n">
        <v>1.9</v>
      </c>
      <c r="H324" t="n">
        <v>1</v>
      </c>
      <c r="I324" t="n">
        <v>0</v>
      </c>
      <c r="J324" t="n">
        <v>0</v>
      </c>
      <c r="K324" t="n">
        <v>1</v>
      </c>
      <c r="L324" t="n">
        <v>0</v>
      </c>
      <c r="M324" t="n">
        <v>0</v>
      </c>
      <c r="N324" t="n">
        <v>0</v>
      </c>
      <c r="O324" t="n">
        <v>1</v>
      </c>
      <c r="P324" t="n">
        <v>1</v>
      </c>
      <c r="Q324" t="n">
        <v>1</v>
      </c>
      <c r="R324" s="2" t="inlineStr">
        <is>
          <t>Knärot</t>
        </is>
      </c>
      <c r="S324">
        <f>HYPERLINK("https://klasma.github.io/Logging_0883/artfynd/A 11195-2024 artfynd.xlsx", "A 11195-2024")</f>
        <v/>
      </c>
      <c r="T324">
        <f>HYPERLINK("https://klasma.github.io/Logging_0883/kartor/A 11195-2024 karta.png", "A 11195-2024")</f>
        <v/>
      </c>
      <c r="U324">
        <f>HYPERLINK("https://klasma.github.io/Logging_0883/knärot/A 11195-2024 karta knärot.png", "A 11195-2024")</f>
        <v/>
      </c>
      <c r="V324">
        <f>HYPERLINK("https://klasma.github.io/Logging_0883/klagomål/A 11195-2024 FSC-klagomål.docx", "A 11195-2024")</f>
        <v/>
      </c>
      <c r="W324">
        <f>HYPERLINK("https://klasma.github.io/Logging_0883/klagomålsmail/A 11195-2024 FSC-klagomål mail.docx", "A 11195-2024")</f>
        <v/>
      </c>
      <c r="X324">
        <f>HYPERLINK("https://klasma.github.io/Logging_0883/tillsyn/A 11195-2024 tillsynsbegäran.docx", "A 11195-2024")</f>
        <v/>
      </c>
      <c r="Y324">
        <f>HYPERLINK("https://klasma.github.io/Logging_0883/tillsynsmail/A 11195-2024 tillsynsbegäran mail.docx", "A 11195-2024")</f>
        <v/>
      </c>
    </row>
    <row r="325" ht="15" customHeight="1">
      <c r="A325" t="inlineStr">
        <is>
          <t>A 13745-2024</t>
        </is>
      </c>
      <c r="B325" s="1" t="n">
        <v>45390</v>
      </c>
      <c r="C325" s="1" t="n">
        <v>45844</v>
      </c>
      <c r="D325" t="inlineStr">
        <is>
          <t>KALMAR LÄN</t>
        </is>
      </c>
      <c r="E325" t="inlineStr">
        <is>
          <t>VÄSTERVIK</t>
        </is>
      </c>
      <c r="F325" t="inlineStr">
        <is>
          <t>Sveaskog</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HYPERLINK("https://klasma.github.io/Logging_0883/artfynd/A 13745-2024 artfynd.xlsx", "A 13745-2024")</f>
        <v/>
      </c>
      <c r="T325">
        <f>HYPERLINK("https://klasma.github.io/Logging_0883/kartor/A 13745-2024 karta.png", "A 13745-2024")</f>
        <v/>
      </c>
      <c r="U325">
        <f>HYPERLINK("https://klasma.github.io/Logging_0883/knärot/A 13745-2024 karta knärot.png", "A 13745-2024")</f>
        <v/>
      </c>
      <c r="V325">
        <f>HYPERLINK("https://klasma.github.io/Logging_0883/klagomål/A 13745-2024 FSC-klagomål.docx", "A 13745-2024")</f>
        <v/>
      </c>
      <c r="W325">
        <f>HYPERLINK("https://klasma.github.io/Logging_0883/klagomålsmail/A 13745-2024 FSC-klagomål mail.docx", "A 13745-2024")</f>
        <v/>
      </c>
      <c r="X325">
        <f>HYPERLINK("https://klasma.github.io/Logging_0883/tillsyn/A 13745-2024 tillsynsbegäran.docx", "A 13745-2024")</f>
        <v/>
      </c>
      <c r="Y325">
        <f>HYPERLINK("https://klasma.github.io/Logging_0883/tillsynsmail/A 13745-2024 tillsynsbegäran mail.docx", "A 13745-2024")</f>
        <v/>
      </c>
      <c r="Z325">
        <f>HYPERLINK("https://klasma.github.io/Logging_0883/fåglar/A 13745-2024 prioriterade fågelarter.docx", "A 13745-2024")</f>
        <v/>
      </c>
    </row>
    <row r="326" ht="15" customHeight="1">
      <c r="A326" t="inlineStr">
        <is>
          <t>A 14231-2024</t>
        </is>
      </c>
      <c r="B326" s="1" t="n">
        <v>45393</v>
      </c>
      <c r="C326" s="1" t="n">
        <v>45844</v>
      </c>
      <c r="D326" t="inlineStr">
        <is>
          <t>KALMAR LÄN</t>
        </is>
      </c>
      <c r="E326" t="inlineStr">
        <is>
          <t>VÄSTERVIK</t>
        </is>
      </c>
      <c r="G326" t="n">
        <v>2.8</v>
      </c>
      <c r="H326" t="n">
        <v>1</v>
      </c>
      <c r="I326" t="n">
        <v>0</v>
      </c>
      <c r="J326" t="n">
        <v>0</v>
      </c>
      <c r="K326" t="n">
        <v>1</v>
      </c>
      <c r="L326" t="n">
        <v>0</v>
      </c>
      <c r="M326" t="n">
        <v>0</v>
      </c>
      <c r="N326" t="n">
        <v>0</v>
      </c>
      <c r="O326" t="n">
        <v>1</v>
      </c>
      <c r="P326" t="n">
        <v>1</v>
      </c>
      <c r="Q326" t="n">
        <v>1</v>
      </c>
      <c r="R326" s="2" t="inlineStr">
        <is>
          <t>Knärot</t>
        </is>
      </c>
      <c r="S326">
        <f>HYPERLINK("https://klasma.github.io/Logging_0883/artfynd/A 14231-2024 artfynd.xlsx", "A 14231-2024")</f>
        <v/>
      </c>
      <c r="T326">
        <f>HYPERLINK("https://klasma.github.io/Logging_0883/kartor/A 14231-2024 karta.png", "A 14231-2024")</f>
        <v/>
      </c>
      <c r="U326">
        <f>HYPERLINK("https://klasma.github.io/Logging_0883/knärot/A 14231-2024 karta knärot.png", "A 14231-2024")</f>
        <v/>
      </c>
      <c r="V326">
        <f>HYPERLINK("https://klasma.github.io/Logging_0883/klagomål/A 14231-2024 FSC-klagomål.docx", "A 14231-2024")</f>
        <v/>
      </c>
      <c r="W326">
        <f>HYPERLINK("https://klasma.github.io/Logging_0883/klagomålsmail/A 14231-2024 FSC-klagomål mail.docx", "A 14231-2024")</f>
        <v/>
      </c>
      <c r="X326">
        <f>HYPERLINK("https://klasma.github.io/Logging_0883/tillsyn/A 14231-2024 tillsynsbegäran.docx", "A 14231-2024")</f>
        <v/>
      </c>
      <c r="Y326">
        <f>HYPERLINK("https://klasma.github.io/Logging_0883/tillsynsmail/A 14231-2024 tillsynsbegäran mail.docx", "A 14231-2024")</f>
        <v/>
      </c>
    </row>
    <row r="327" ht="15" customHeight="1">
      <c r="A327" t="inlineStr">
        <is>
          <t>A 16406-2024</t>
        </is>
      </c>
      <c r="B327" s="1" t="n">
        <v>45407</v>
      </c>
      <c r="C327" s="1" t="n">
        <v>45844</v>
      </c>
      <c r="D327" t="inlineStr">
        <is>
          <t>KALMAR LÄN</t>
        </is>
      </c>
      <c r="E327" t="inlineStr">
        <is>
          <t>VÄSTERVIK</t>
        </is>
      </c>
      <c r="F327" t="inlineStr">
        <is>
          <t>Holmen skog AB</t>
        </is>
      </c>
      <c r="G327" t="n">
        <v>4.9</v>
      </c>
      <c r="H327" t="n">
        <v>0</v>
      </c>
      <c r="I327" t="n">
        <v>1</v>
      </c>
      <c r="J327" t="n">
        <v>0</v>
      </c>
      <c r="K327" t="n">
        <v>0</v>
      </c>
      <c r="L327" t="n">
        <v>0</v>
      </c>
      <c r="M327" t="n">
        <v>0</v>
      </c>
      <c r="N327" t="n">
        <v>0</v>
      </c>
      <c r="O327" t="n">
        <v>0</v>
      </c>
      <c r="P327" t="n">
        <v>0</v>
      </c>
      <c r="Q327" t="n">
        <v>1</v>
      </c>
      <c r="R327" s="2" t="inlineStr">
        <is>
          <t>Tibast</t>
        </is>
      </c>
      <c r="S327">
        <f>HYPERLINK("https://klasma.github.io/Logging_0883/artfynd/A 16406-2024 artfynd.xlsx", "A 16406-2024")</f>
        <v/>
      </c>
      <c r="T327">
        <f>HYPERLINK("https://klasma.github.io/Logging_0883/kartor/A 16406-2024 karta.png", "A 16406-2024")</f>
        <v/>
      </c>
      <c r="V327">
        <f>HYPERLINK("https://klasma.github.io/Logging_0883/klagomål/A 16406-2024 FSC-klagomål.docx", "A 16406-2024")</f>
        <v/>
      </c>
      <c r="W327">
        <f>HYPERLINK("https://klasma.github.io/Logging_0883/klagomålsmail/A 16406-2024 FSC-klagomål mail.docx", "A 16406-2024")</f>
        <v/>
      </c>
      <c r="X327">
        <f>HYPERLINK("https://klasma.github.io/Logging_0883/tillsyn/A 16406-2024 tillsynsbegäran.docx", "A 16406-2024")</f>
        <v/>
      </c>
      <c r="Y327">
        <f>HYPERLINK("https://klasma.github.io/Logging_0883/tillsynsmail/A 16406-2024 tillsynsbegäran mail.docx", "A 16406-2024")</f>
        <v/>
      </c>
    </row>
    <row r="328" ht="15" customHeight="1">
      <c r="A328" t="inlineStr">
        <is>
          <t>A 17424-2024</t>
        </is>
      </c>
      <c r="B328" s="1" t="n">
        <v>45415</v>
      </c>
      <c r="C328" s="1" t="n">
        <v>45844</v>
      </c>
      <c r="D328" t="inlineStr">
        <is>
          <t>KALMAR LÄN</t>
        </is>
      </c>
      <c r="E328" t="inlineStr">
        <is>
          <t>VÄSTERVIK</t>
        </is>
      </c>
      <c r="F328" t="inlineStr">
        <is>
          <t>Sveaskog</t>
        </is>
      </c>
      <c r="G328" t="n">
        <v>5</v>
      </c>
      <c r="H328" t="n">
        <v>1</v>
      </c>
      <c r="I328" t="n">
        <v>0</v>
      </c>
      <c r="J328" t="n">
        <v>0</v>
      </c>
      <c r="K328" t="n">
        <v>0</v>
      </c>
      <c r="L328" t="n">
        <v>0</v>
      </c>
      <c r="M328" t="n">
        <v>0</v>
      </c>
      <c r="N328" t="n">
        <v>0</v>
      </c>
      <c r="O328" t="n">
        <v>0</v>
      </c>
      <c r="P328" t="n">
        <v>0</v>
      </c>
      <c r="Q328" t="n">
        <v>1</v>
      </c>
      <c r="R328" s="2" t="inlineStr">
        <is>
          <t>Blåsippa</t>
        </is>
      </c>
      <c r="S328">
        <f>HYPERLINK("https://klasma.github.io/Logging_0883/artfynd/A 17424-2024 artfynd.xlsx", "A 17424-2024")</f>
        <v/>
      </c>
      <c r="T328">
        <f>HYPERLINK("https://klasma.github.io/Logging_0883/kartor/A 17424-2024 karta.png", "A 17424-2024")</f>
        <v/>
      </c>
      <c r="V328">
        <f>HYPERLINK("https://klasma.github.io/Logging_0883/klagomål/A 17424-2024 FSC-klagomål.docx", "A 17424-2024")</f>
        <v/>
      </c>
      <c r="W328">
        <f>HYPERLINK("https://klasma.github.io/Logging_0883/klagomålsmail/A 17424-2024 FSC-klagomål mail.docx", "A 17424-2024")</f>
        <v/>
      </c>
      <c r="X328">
        <f>HYPERLINK("https://klasma.github.io/Logging_0883/tillsyn/A 17424-2024 tillsynsbegäran.docx", "A 17424-2024")</f>
        <v/>
      </c>
      <c r="Y328">
        <f>HYPERLINK("https://klasma.github.io/Logging_0883/tillsynsmail/A 17424-2024 tillsynsbegäran mail.docx", "A 17424-2024")</f>
        <v/>
      </c>
    </row>
    <row r="329" ht="15" customHeight="1">
      <c r="A329" t="inlineStr">
        <is>
          <t>A 18396-2024</t>
        </is>
      </c>
      <c r="B329" s="1" t="n">
        <v>45425</v>
      </c>
      <c r="C329" s="1" t="n">
        <v>45844</v>
      </c>
      <c r="D329" t="inlineStr">
        <is>
          <t>KALMAR LÄN</t>
        </is>
      </c>
      <c r="E329" t="inlineStr">
        <is>
          <t>VÄSTERVIK</t>
        </is>
      </c>
      <c r="F329" t="inlineStr">
        <is>
          <t>Holmen skog AB</t>
        </is>
      </c>
      <c r="G329" t="n">
        <v>3.5</v>
      </c>
      <c r="H329" t="n">
        <v>0</v>
      </c>
      <c r="I329" t="n">
        <v>1</v>
      </c>
      <c r="J329" t="n">
        <v>0</v>
      </c>
      <c r="K329" t="n">
        <v>0</v>
      </c>
      <c r="L329" t="n">
        <v>0</v>
      </c>
      <c r="M329" t="n">
        <v>0</v>
      </c>
      <c r="N329" t="n">
        <v>0</v>
      </c>
      <c r="O329" t="n">
        <v>0</v>
      </c>
      <c r="P329" t="n">
        <v>0</v>
      </c>
      <c r="Q329" t="n">
        <v>1</v>
      </c>
      <c r="R329" s="2" t="inlineStr">
        <is>
          <t>Blåmossa</t>
        </is>
      </c>
      <c r="S329">
        <f>HYPERLINK("https://klasma.github.io/Logging_0883/artfynd/A 18396-2024 artfynd.xlsx", "A 18396-2024")</f>
        <v/>
      </c>
      <c r="T329">
        <f>HYPERLINK("https://klasma.github.io/Logging_0883/kartor/A 18396-2024 karta.png", "A 18396-2024")</f>
        <v/>
      </c>
      <c r="V329">
        <f>HYPERLINK("https://klasma.github.io/Logging_0883/klagomål/A 18396-2024 FSC-klagomål.docx", "A 18396-2024")</f>
        <v/>
      </c>
      <c r="W329">
        <f>HYPERLINK("https://klasma.github.io/Logging_0883/klagomålsmail/A 18396-2024 FSC-klagomål mail.docx", "A 18396-2024")</f>
        <v/>
      </c>
      <c r="X329">
        <f>HYPERLINK("https://klasma.github.io/Logging_0883/tillsyn/A 18396-2024 tillsynsbegäran.docx", "A 18396-2024")</f>
        <v/>
      </c>
      <c r="Y329">
        <f>HYPERLINK("https://klasma.github.io/Logging_0883/tillsynsmail/A 18396-2024 tillsynsbegäran mail.docx", "A 18396-2024")</f>
        <v/>
      </c>
    </row>
    <row r="330" ht="15" customHeight="1">
      <c r="A330" t="inlineStr">
        <is>
          <t>A 22885-2024</t>
        </is>
      </c>
      <c r="B330" s="1" t="n">
        <v>45448</v>
      </c>
      <c r="C330" s="1" t="n">
        <v>45844</v>
      </c>
      <c r="D330" t="inlineStr">
        <is>
          <t>KALMAR LÄN</t>
        </is>
      </c>
      <c r="E330" t="inlineStr">
        <is>
          <t>VÄSTERVIK</t>
        </is>
      </c>
      <c r="G330" t="n">
        <v>7.1</v>
      </c>
      <c r="H330" t="n">
        <v>0</v>
      </c>
      <c r="I330" t="n">
        <v>0</v>
      </c>
      <c r="J330" t="n">
        <v>1</v>
      </c>
      <c r="K330" t="n">
        <v>0</v>
      </c>
      <c r="L330" t="n">
        <v>0</v>
      </c>
      <c r="M330" t="n">
        <v>0</v>
      </c>
      <c r="N330" t="n">
        <v>0</v>
      </c>
      <c r="O330" t="n">
        <v>1</v>
      </c>
      <c r="P330" t="n">
        <v>0</v>
      </c>
      <c r="Q330" t="n">
        <v>1</v>
      </c>
      <c r="R330" s="2" t="inlineStr">
        <is>
          <t>Tallticka</t>
        </is>
      </c>
      <c r="S330">
        <f>HYPERLINK("https://klasma.github.io/Logging_0883/artfynd/A 22885-2024 artfynd.xlsx", "A 22885-2024")</f>
        <v/>
      </c>
      <c r="T330">
        <f>HYPERLINK("https://klasma.github.io/Logging_0883/kartor/A 22885-2024 karta.png", "A 22885-2024")</f>
        <v/>
      </c>
      <c r="V330">
        <f>HYPERLINK("https://klasma.github.io/Logging_0883/klagomål/A 22885-2024 FSC-klagomål.docx", "A 22885-2024")</f>
        <v/>
      </c>
      <c r="W330">
        <f>HYPERLINK("https://klasma.github.io/Logging_0883/klagomålsmail/A 22885-2024 FSC-klagomål mail.docx", "A 22885-2024")</f>
        <v/>
      </c>
      <c r="X330">
        <f>HYPERLINK("https://klasma.github.io/Logging_0883/tillsyn/A 22885-2024 tillsynsbegäran.docx", "A 22885-2024")</f>
        <v/>
      </c>
      <c r="Y330">
        <f>HYPERLINK("https://klasma.github.io/Logging_0883/tillsynsmail/A 22885-2024 tillsynsbegäran mail.docx", "A 22885-2024")</f>
        <v/>
      </c>
    </row>
    <row r="331" ht="15" customHeight="1">
      <c r="A331" t="inlineStr">
        <is>
          <t>A 27708-2024</t>
        </is>
      </c>
      <c r="B331" s="1" t="n">
        <v>45475</v>
      </c>
      <c r="C331" s="1" t="n">
        <v>45844</v>
      </c>
      <c r="D331" t="inlineStr">
        <is>
          <t>KALMAR LÄN</t>
        </is>
      </c>
      <c r="E331" t="inlineStr">
        <is>
          <t>VÄSTERVIK</t>
        </is>
      </c>
      <c r="F331" t="inlineStr">
        <is>
          <t>Holmen skog AB</t>
        </is>
      </c>
      <c r="G331" t="n">
        <v>1.7</v>
      </c>
      <c r="H331" t="n">
        <v>1</v>
      </c>
      <c r="I331" t="n">
        <v>0</v>
      </c>
      <c r="J331" t="n">
        <v>1</v>
      </c>
      <c r="K331" t="n">
        <v>0</v>
      </c>
      <c r="L331" t="n">
        <v>0</v>
      </c>
      <c r="M331" t="n">
        <v>0</v>
      </c>
      <c r="N331" t="n">
        <v>0</v>
      </c>
      <c r="O331" t="n">
        <v>1</v>
      </c>
      <c r="P331" t="n">
        <v>0</v>
      </c>
      <c r="Q331" t="n">
        <v>1</v>
      </c>
      <c r="R331" s="2" t="inlineStr">
        <is>
          <t>Spillkråka</t>
        </is>
      </c>
      <c r="S331">
        <f>HYPERLINK("https://klasma.github.io/Logging_0883/artfynd/A 27708-2024 artfynd.xlsx", "A 27708-2024")</f>
        <v/>
      </c>
      <c r="T331">
        <f>HYPERLINK("https://klasma.github.io/Logging_0883/kartor/A 27708-2024 karta.png", "A 27708-2024")</f>
        <v/>
      </c>
      <c r="V331">
        <f>HYPERLINK("https://klasma.github.io/Logging_0883/klagomål/A 27708-2024 FSC-klagomål.docx", "A 27708-2024")</f>
        <v/>
      </c>
      <c r="W331">
        <f>HYPERLINK("https://klasma.github.io/Logging_0883/klagomålsmail/A 27708-2024 FSC-klagomål mail.docx", "A 27708-2024")</f>
        <v/>
      </c>
      <c r="X331">
        <f>HYPERLINK("https://klasma.github.io/Logging_0883/tillsyn/A 27708-2024 tillsynsbegäran.docx", "A 27708-2024")</f>
        <v/>
      </c>
      <c r="Y331">
        <f>HYPERLINK("https://klasma.github.io/Logging_0883/tillsynsmail/A 27708-2024 tillsynsbegäran mail.docx", "A 27708-2024")</f>
        <v/>
      </c>
      <c r="Z331">
        <f>HYPERLINK("https://klasma.github.io/Logging_0883/fåglar/A 27708-2024 prioriterade fågelarter.docx", "A 27708-2024")</f>
        <v/>
      </c>
    </row>
    <row r="332" ht="15" customHeight="1">
      <c r="A332" t="inlineStr">
        <is>
          <t>A 29398-2024</t>
        </is>
      </c>
      <c r="B332" s="1" t="n">
        <v>45483</v>
      </c>
      <c r="C332" s="1" t="n">
        <v>45844</v>
      </c>
      <c r="D332" t="inlineStr">
        <is>
          <t>KALMAR LÄN</t>
        </is>
      </c>
      <c r="E332" t="inlineStr">
        <is>
          <t>VÄSTERVIK</t>
        </is>
      </c>
      <c r="G332" t="n">
        <v>2.7</v>
      </c>
      <c r="H332" t="n">
        <v>0</v>
      </c>
      <c r="I332" t="n">
        <v>0</v>
      </c>
      <c r="J332" t="n">
        <v>1</v>
      </c>
      <c r="K332" t="n">
        <v>0</v>
      </c>
      <c r="L332" t="n">
        <v>0</v>
      </c>
      <c r="M332" t="n">
        <v>0</v>
      </c>
      <c r="N332" t="n">
        <v>0</v>
      </c>
      <c r="O332" t="n">
        <v>1</v>
      </c>
      <c r="P332" t="n">
        <v>0</v>
      </c>
      <c r="Q332" t="n">
        <v>1</v>
      </c>
      <c r="R332" s="2" t="inlineStr">
        <is>
          <t>Skogsklocka</t>
        </is>
      </c>
      <c r="S332">
        <f>HYPERLINK("https://klasma.github.io/Logging_0883/artfynd/A 29398-2024 artfynd.xlsx", "A 29398-2024")</f>
        <v/>
      </c>
      <c r="T332">
        <f>HYPERLINK("https://klasma.github.io/Logging_0883/kartor/A 29398-2024 karta.png", "A 29398-2024")</f>
        <v/>
      </c>
      <c r="V332">
        <f>HYPERLINK("https://klasma.github.io/Logging_0883/klagomål/A 29398-2024 FSC-klagomål.docx", "A 29398-2024")</f>
        <v/>
      </c>
      <c r="W332">
        <f>HYPERLINK("https://klasma.github.io/Logging_0883/klagomålsmail/A 29398-2024 FSC-klagomål mail.docx", "A 29398-2024")</f>
        <v/>
      </c>
      <c r="X332">
        <f>HYPERLINK("https://klasma.github.io/Logging_0883/tillsyn/A 29398-2024 tillsynsbegäran.docx", "A 29398-2024")</f>
        <v/>
      </c>
      <c r="Y332">
        <f>HYPERLINK("https://klasma.github.io/Logging_0883/tillsynsmail/A 29398-2024 tillsynsbegäran mail.docx", "A 29398-2024")</f>
        <v/>
      </c>
    </row>
    <row r="333" ht="15" customHeight="1">
      <c r="A333" t="inlineStr">
        <is>
          <t>A 30386-2024</t>
        </is>
      </c>
      <c r="B333" s="1" t="n">
        <v>45491</v>
      </c>
      <c r="C333" s="1" t="n">
        <v>45844</v>
      </c>
      <c r="D333" t="inlineStr">
        <is>
          <t>KALMAR LÄN</t>
        </is>
      </c>
      <c r="E333" t="inlineStr">
        <is>
          <t>VÄSTERVIK</t>
        </is>
      </c>
      <c r="F333" t="inlineStr">
        <is>
          <t>Holmen skog AB</t>
        </is>
      </c>
      <c r="G333" t="n">
        <v>3.7</v>
      </c>
      <c r="H333" t="n">
        <v>0</v>
      </c>
      <c r="I333" t="n">
        <v>0</v>
      </c>
      <c r="J333" t="n">
        <v>1</v>
      </c>
      <c r="K333" t="n">
        <v>0</v>
      </c>
      <c r="L333" t="n">
        <v>0</v>
      </c>
      <c r="M333" t="n">
        <v>0</v>
      </c>
      <c r="N333" t="n">
        <v>0</v>
      </c>
      <c r="O333" t="n">
        <v>1</v>
      </c>
      <c r="P333" t="n">
        <v>0</v>
      </c>
      <c r="Q333" t="n">
        <v>1</v>
      </c>
      <c r="R333" s="2" t="inlineStr">
        <is>
          <t>Svedjenäva</t>
        </is>
      </c>
      <c r="S333">
        <f>HYPERLINK("https://klasma.github.io/Logging_0883/artfynd/A 30386-2024 artfynd.xlsx", "A 30386-2024")</f>
        <v/>
      </c>
      <c r="T333">
        <f>HYPERLINK("https://klasma.github.io/Logging_0883/kartor/A 30386-2024 karta.png", "A 30386-2024")</f>
        <v/>
      </c>
      <c r="V333">
        <f>HYPERLINK("https://klasma.github.io/Logging_0883/klagomål/A 30386-2024 FSC-klagomål.docx", "A 30386-2024")</f>
        <v/>
      </c>
      <c r="W333">
        <f>HYPERLINK("https://klasma.github.io/Logging_0883/klagomålsmail/A 30386-2024 FSC-klagomål mail.docx", "A 30386-2024")</f>
        <v/>
      </c>
      <c r="X333">
        <f>HYPERLINK("https://klasma.github.io/Logging_0883/tillsyn/A 30386-2024 tillsynsbegäran.docx", "A 30386-2024")</f>
        <v/>
      </c>
      <c r="Y333">
        <f>HYPERLINK("https://klasma.github.io/Logging_0883/tillsynsmail/A 30386-2024 tillsynsbegäran mail.docx", "A 30386-2024")</f>
        <v/>
      </c>
    </row>
    <row r="334" ht="15" customHeight="1">
      <c r="A334" t="inlineStr">
        <is>
          <t>A 34357-2024</t>
        </is>
      </c>
      <c r="B334" s="1" t="n">
        <v>45525</v>
      </c>
      <c r="C334" s="1" t="n">
        <v>45844</v>
      </c>
      <c r="D334" t="inlineStr">
        <is>
          <t>KALMAR LÄN</t>
        </is>
      </c>
      <c r="E334" t="inlineStr">
        <is>
          <t>VÄSTERVIK</t>
        </is>
      </c>
      <c r="F334" t="inlineStr">
        <is>
          <t>Övriga Aktiebolag</t>
        </is>
      </c>
      <c r="G334" t="n">
        <v>14</v>
      </c>
      <c r="H334" t="n">
        <v>1</v>
      </c>
      <c r="I334" t="n">
        <v>0</v>
      </c>
      <c r="J334" t="n">
        <v>1</v>
      </c>
      <c r="K334" t="n">
        <v>0</v>
      </c>
      <c r="L334" t="n">
        <v>0</v>
      </c>
      <c r="M334" t="n">
        <v>0</v>
      </c>
      <c r="N334" t="n">
        <v>0</v>
      </c>
      <c r="O334" t="n">
        <v>1</v>
      </c>
      <c r="P334" t="n">
        <v>0</v>
      </c>
      <c r="Q334" t="n">
        <v>1</v>
      </c>
      <c r="R334" s="2" t="inlineStr">
        <is>
          <t>Havsörn</t>
        </is>
      </c>
      <c r="S334">
        <f>HYPERLINK("https://klasma.github.io/Logging_0883/artfynd/A 34357-2024 artfynd.xlsx", "A 34357-2024")</f>
        <v/>
      </c>
      <c r="T334">
        <f>HYPERLINK("https://klasma.github.io/Logging_0883/kartor/A 34357-2024 karta.png", "A 34357-2024")</f>
        <v/>
      </c>
      <c r="V334">
        <f>HYPERLINK("https://klasma.github.io/Logging_0883/klagomål/A 34357-2024 FSC-klagomål.docx", "A 34357-2024")</f>
        <v/>
      </c>
      <c r="W334">
        <f>HYPERLINK("https://klasma.github.io/Logging_0883/klagomålsmail/A 34357-2024 FSC-klagomål mail.docx", "A 34357-2024")</f>
        <v/>
      </c>
      <c r="X334">
        <f>HYPERLINK("https://klasma.github.io/Logging_0883/tillsyn/A 34357-2024 tillsynsbegäran.docx", "A 34357-2024")</f>
        <v/>
      </c>
      <c r="Y334">
        <f>HYPERLINK("https://klasma.github.io/Logging_0883/tillsynsmail/A 34357-2024 tillsynsbegäran mail.docx", "A 34357-2024")</f>
        <v/>
      </c>
      <c r="Z334">
        <f>HYPERLINK("https://klasma.github.io/Logging_0883/fåglar/A 34357-2024 prioriterade fågelarter.docx", "A 34357-2024")</f>
        <v/>
      </c>
    </row>
    <row r="335" ht="15" customHeight="1">
      <c r="A335" t="inlineStr">
        <is>
          <t>A 35028-2024</t>
        </is>
      </c>
      <c r="B335" s="1" t="n">
        <v>45527</v>
      </c>
      <c r="C335" s="1" t="n">
        <v>45844</v>
      </c>
      <c r="D335" t="inlineStr">
        <is>
          <t>KALMAR LÄN</t>
        </is>
      </c>
      <c r="E335" t="inlineStr">
        <is>
          <t>VÄSTERVIK</t>
        </is>
      </c>
      <c r="G335" t="n">
        <v>1.3</v>
      </c>
      <c r="H335" t="n">
        <v>0</v>
      </c>
      <c r="I335" t="n">
        <v>1</v>
      </c>
      <c r="J335" t="n">
        <v>0</v>
      </c>
      <c r="K335" t="n">
        <v>0</v>
      </c>
      <c r="L335" t="n">
        <v>0</v>
      </c>
      <c r="M335" t="n">
        <v>0</v>
      </c>
      <c r="N335" t="n">
        <v>0</v>
      </c>
      <c r="O335" t="n">
        <v>0</v>
      </c>
      <c r="P335" t="n">
        <v>0</v>
      </c>
      <c r="Q335" t="n">
        <v>1</v>
      </c>
      <c r="R335" s="2" t="inlineStr">
        <is>
          <t>Blomkålssvamp</t>
        </is>
      </c>
      <c r="S335">
        <f>HYPERLINK("https://klasma.github.io/Logging_0883/artfynd/A 35028-2024 artfynd.xlsx", "A 35028-2024")</f>
        <v/>
      </c>
      <c r="T335">
        <f>HYPERLINK("https://klasma.github.io/Logging_0883/kartor/A 35028-2024 karta.png", "A 35028-2024")</f>
        <v/>
      </c>
      <c r="V335">
        <f>HYPERLINK("https://klasma.github.io/Logging_0883/klagomål/A 35028-2024 FSC-klagomål.docx", "A 35028-2024")</f>
        <v/>
      </c>
      <c r="W335">
        <f>HYPERLINK("https://klasma.github.io/Logging_0883/klagomålsmail/A 35028-2024 FSC-klagomål mail.docx", "A 35028-2024")</f>
        <v/>
      </c>
      <c r="X335">
        <f>HYPERLINK("https://klasma.github.io/Logging_0883/tillsyn/A 35028-2024 tillsynsbegäran.docx", "A 35028-2024")</f>
        <v/>
      </c>
      <c r="Y335">
        <f>HYPERLINK("https://klasma.github.io/Logging_0883/tillsynsmail/A 35028-2024 tillsynsbegäran mail.docx", "A 35028-2024")</f>
        <v/>
      </c>
    </row>
    <row r="336" ht="15" customHeight="1">
      <c r="A336" t="inlineStr">
        <is>
          <t>A 35959-2024</t>
        </is>
      </c>
      <c r="B336" s="1" t="n">
        <v>45533</v>
      </c>
      <c r="C336" s="1" t="n">
        <v>45844</v>
      </c>
      <c r="D336" t="inlineStr">
        <is>
          <t>KALMAR LÄN</t>
        </is>
      </c>
      <c r="E336" t="inlineStr">
        <is>
          <t>VÄSTERVIK</t>
        </is>
      </c>
      <c r="F336" t="inlineStr">
        <is>
          <t>Holmen skog AB</t>
        </is>
      </c>
      <c r="G336" t="n">
        <v>3.2</v>
      </c>
      <c r="H336" t="n">
        <v>0</v>
      </c>
      <c r="I336" t="n">
        <v>0</v>
      </c>
      <c r="J336" t="n">
        <v>1</v>
      </c>
      <c r="K336" t="n">
        <v>0</v>
      </c>
      <c r="L336" t="n">
        <v>0</v>
      </c>
      <c r="M336" t="n">
        <v>0</v>
      </c>
      <c r="N336" t="n">
        <v>0</v>
      </c>
      <c r="O336" t="n">
        <v>1</v>
      </c>
      <c r="P336" t="n">
        <v>0</v>
      </c>
      <c r="Q336" t="n">
        <v>1</v>
      </c>
      <c r="R336" s="2" t="inlineStr">
        <is>
          <t>Smalsprötad bastardsvärmare</t>
        </is>
      </c>
      <c r="S336">
        <f>HYPERLINK("https://klasma.github.io/Logging_0883/artfynd/A 35959-2024 artfynd.xlsx", "A 35959-2024")</f>
        <v/>
      </c>
      <c r="T336">
        <f>HYPERLINK("https://klasma.github.io/Logging_0883/kartor/A 35959-2024 karta.png", "A 35959-2024")</f>
        <v/>
      </c>
      <c r="V336">
        <f>HYPERLINK("https://klasma.github.io/Logging_0883/klagomål/A 35959-2024 FSC-klagomål.docx", "A 35959-2024")</f>
        <v/>
      </c>
      <c r="W336">
        <f>HYPERLINK("https://klasma.github.io/Logging_0883/klagomålsmail/A 35959-2024 FSC-klagomål mail.docx", "A 35959-2024")</f>
        <v/>
      </c>
      <c r="X336">
        <f>HYPERLINK("https://klasma.github.io/Logging_0883/tillsyn/A 35959-2024 tillsynsbegäran.docx", "A 35959-2024")</f>
        <v/>
      </c>
      <c r="Y336">
        <f>HYPERLINK("https://klasma.github.io/Logging_0883/tillsynsmail/A 35959-2024 tillsynsbegäran mail.docx", "A 35959-2024")</f>
        <v/>
      </c>
    </row>
    <row r="337" ht="15" customHeight="1">
      <c r="A337" t="inlineStr">
        <is>
          <t>A 42811-2024</t>
        </is>
      </c>
      <c r="B337" s="1" t="n">
        <v>45566</v>
      </c>
      <c r="C337" s="1" t="n">
        <v>45844</v>
      </c>
      <c r="D337" t="inlineStr">
        <is>
          <t>KALMAR LÄN</t>
        </is>
      </c>
      <c r="E337" t="inlineStr">
        <is>
          <t>VÄSTERVIK</t>
        </is>
      </c>
      <c r="G337" t="n">
        <v>4.4</v>
      </c>
      <c r="H337" t="n">
        <v>0</v>
      </c>
      <c r="I337" t="n">
        <v>1</v>
      </c>
      <c r="J337" t="n">
        <v>0</v>
      </c>
      <c r="K337" t="n">
        <v>0</v>
      </c>
      <c r="L337" t="n">
        <v>0</v>
      </c>
      <c r="M337" t="n">
        <v>0</v>
      </c>
      <c r="N337" t="n">
        <v>0</v>
      </c>
      <c r="O337" t="n">
        <v>0</v>
      </c>
      <c r="P337" t="n">
        <v>0</v>
      </c>
      <c r="Q337" t="n">
        <v>1</v>
      </c>
      <c r="R337" s="2" t="inlineStr">
        <is>
          <t>Grönpyrola</t>
        </is>
      </c>
      <c r="S337">
        <f>HYPERLINK("https://klasma.github.io/Logging_0883/artfynd/A 42811-2024 artfynd.xlsx", "A 42811-2024")</f>
        <v/>
      </c>
      <c r="T337">
        <f>HYPERLINK("https://klasma.github.io/Logging_0883/kartor/A 42811-2024 karta.png", "A 42811-2024")</f>
        <v/>
      </c>
      <c r="V337">
        <f>HYPERLINK("https://klasma.github.io/Logging_0883/klagomål/A 42811-2024 FSC-klagomål.docx", "A 42811-2024")</f>
        <v/>
      </c>
      <c r="W337">
        <f>HYPERLINK("https://klasma.github.io/Logging_0883/klagomålsmail/A 42811-2024 FSC-klagomål mail.docx", "A 42811-2024")</f>
        <v/>
      </c>
      <c r="X337">
        <f>HYPERLINK("https://klasma.github.io/Logging_0883/tillsyn/A 42811-2024 tillsynsbegäran.docx", "A 42811-2024")</f>
        <v/>
      </c>
      <c r="Y337">
        <f>HYPERLINK("https://klasma.github.io/Logging_0883/tillsynsmail/A 42811-2024 tillsynsbegäran mail.docx", "A 42811-2024")</f>
        <v/>
      </c>
    </row>
    <row r="338" ht="15" customHeight="1">
      <c r="A338" t="inlineStr">
        <is>
          <t>A 44333-2024</t>
        </is>
      </c>
      <c r="B338" s="1" t="n">
        <v>45573</v>
      </c>
      <c r="C338" s="1" t="n">
        <v>45844</v>
      </c>
      <c r="D338" t="inlineStr">
        <is>
          <t>KALMAR LÄN</t>
        </is>
      </c>
      <c r="E338" t="inlineStr">
        <is>
          <t>VÄSTERVIK</t>
        </is>
      </c>
      <c r="F338" t="inlineStr">
        <is>
          <t>Holmen skog AB</t>
        </is>
      </c>
      <c r="G338" t="n">
        <v>4.5</v>
      </c>
      <c r="H338" t="n">
        <v>1</v>
      </c>
      <c r="I338" t="n">
        <v>0</v>
      </c>
      <c r="J338" t="n">
        <v>1</v>
      </c>
      <c r="K338" t="n">
        <v>0</v>
      </c>
      <c r="L338" t="n">
        <v>0</v>
      </c>
      <c r="M338" t="n">
        <v>0</v>
      </c>
      <c r="N338" t="n">
        <v>0</v>
      </c>
      <c r="O338" t="n">
        <v>1</v>
      </c>
      <c r="P338" t="n">
        <v>0</v>
      </c>
      <c r="Q338" t="n">
        <v>1</v>
      </c>
      <c r="R338" s="2" t="inlineStr">
        <is>
          <t>Havsörn</t>
        </is>
      </c>
      <c r="S338">
        <f>HYPERLINK("https://klasma.github.io/Logging_0883/artfynd/A 44333-2024 artfynd.xlsx", "A 44333-2024")</f>
        <v/>
      </c>
      <c r="T338">
        <f>HYPERLINK("https://klasma.github.io/Logging_0883/kartor/A 44333-2024 karta.png", "A 44333-2024")</f>
        <v/>
      </c>
      <c r="V338">
        <f>HYPERLINK("https://klasma.github.io/Logging_0883/klagomål/A 44333-2024 FSC-klagomål.docx", "A 44333-2024")</f>
        <v/>
      </c>
      <c r="W338">
        <f>HYPERLINK("https://klasma.github.io/Logging_0883/klagomålsmail/A 44333-2024 FSC-klagomål mail.docx", "A 44333-2024")</f>
        <v/>
      </c>
      <c r="X338">
        <f>HYPERLINK("https://klasma.github.io/Logging_0883/tillsyn/A 44333-2024 tillsynsbegäran.docx", "A 44333-2024")</f>
        <v/>
      </c>
      <c r="Y338">
        <f>HYPERLINK("https://klasma.github.io/Logging_0883/tillsynsmail/A 44333-2024 tillsynsbegäran mail.docx", "A 44333-2024")</f>
        <v/>
      </c>
      <c r="Z338">
        <f>HYPERLINK("https://klasma.github.io/Logging_0883/fåglar/A 44333-2024 prioriterade fågelarter.docx", "A 44333-2024")</f>
        <v/>
      </c>
    </row>
    <row r="339" ht="15" customHeight="1">
      <c r="A339" t="inlineStr">
        <is>
          <t>A 45462-2024</t>
        </is>
      </c>
      <c r="B339" s="1" t="n">
        <v>45576</v>
      </c>
      <c r="C339" s="1" t="n">
        <v>45844</v>
      </c>
      <c r="D339" t="inlineStr">
        <is>
          <t>KALMAR LÄN</t>
        </is>
      </c>
      <c r="E339" t="inlineStr">
        <is>
          <t>VÄSTERVIK</t>
        </is>
      </c>
      <c r="G339" t="n">
        <v>3.5</v>
      </c>
      <c r="H339" t="n">
        <v>1</v>
      </c>
      <c r="I339" t="n">
        <v>0</v>
      </c>
      <c r="J339" t="n">
        <v>1</v>
      </c>
      <c r="K339" t="n">
        <v>0</v>
      </c>
      <c r="L339" t="n">
        <v>0</v>
      </c>
      <c r="M339" t="n">
        <v>0</v>
      </c>
      <c r="N339" t="n">
        <v>0</v>
      </c>
      <c r="O339" t="n">
        <v>1</v>
      </c>
      <c r="P339" t="n">
        <v>0</v>
      </c>
      <c r="Q339" t="n">
        <v>1</v>
      </c>
      <c r="R339" s="2" t="inlineStr">
        <is>
          <t>Järpe</t>
        </is>
      </c>
      <c r="S339">
        <f>HYPERLINK("https://klasma.github.io/Logging_0883/artfynd/A 45462-2024 artfynd.xlsx", "A 45462-2024")</f>
        <v/>
      </c>
      <c r="T339">
        <f>HYPERLINK("https://klasma.github.io/Logging_0883/kartor/A 45462-2024 karta.png", "A 45462-2024")</f>
        <v/>
      </c>
      <c r="V339">
        <f>HYPERLINK("https://klasma.github.io/Logging_0883/klagomål/A 45462-2024 FSC-klagomål.docx", "A 45462-2024")</f>
        <v/>
      </c>
      <c r="W339">
        <f>HYPERLINK("https://klasma.github.io/Logging_0883/klagomålsmail/A 45462-2024 FSC-klagomål mail.docx", "A 45462-2024")</f>
        <v/>
      </c>
      <c r="X339">
        <f>HYPERLINK("https://klasma.github.io/Logging_0883/tillsyn/A 45462-2024 tillsynsbegäran.docx", "A 45462-2024")</f>
        <v/>
      </c>
      <c r="Y339">
        <f>HYPERLINK("https://klasma.github.io/Logging_0883/tillsynsmail/A 45462-2024 tillsynsbegäran mail.docx", "A 45462-2024")</f>
        <v/>
      </c>
      <c r="Z339">
        <f>HYPERLINK("https://klasma.github.io/Logging_0883/fåglar/A 45462-2024 prioriterade fågelarter.docx", "A 45462-2024")</f>
        <v/>
      </c>
    </row>
    <row r="340" ht="15" customHeight="1">
      <c r="A340" t="inlineStr">
        <is>
          <t>A 45679-2024</t>
        </is>
      </c>
      <c r="B340" s="1" t="n">
        <v>45579</v>
      </c>
      <c r="C340" s="1" t="n">
        <v>45844</v>
      </c>
      <c r="D340" t="inlineStr">
        <is>
          <t>KALMAR LÄN</t>
        </is>
      </c>
      <c r="E340" t="inlineStr">
        <is>
          <t>VÄSTERVIK</t>
        </is>
      </c>
      <c r="F340" t="inlineStr">
        <is>
          <t>Kyrkan</t>
        </is>
      </c>
      <c r="G340" t="n">
        <v>2.8</v>
      </c>
      <c r="H340" t="n">
        <v>1</v>
      </c>
      <c r="I340" t="n">
        <v>0</v>
      </c>
      <c r="J340" t="n">
        <v>0</v>
      </c>
      <c r="K340" t="n">
        <v>1</v>
      </c>
      <c r="L340" t="n">
        <v>0</v>
      </c>
      <c r="M340" t="n">
        <v>0</v>
      </c>
      <c r="N340" t="n">
        <v>0</v>
      </c>
      <c r="O340" t="n">
        <v>1</v>
      </c>
      <c r="P340" t="n">
        <v>1</v>
      </c>
      <c r="Q340" t="n">
        <v>1</v>
      </c>
      <c r="R340" s="2" t="inlineStr">
        <is>
          <t>Knärot</t>
        </is>
      </c>
      <c r="S340">
        <f>HYPERLINK("https://klasma.github.io/Logging_0883/artfynd/A 45679-2024 artfynd.xlsx", "A 45679-2024")</f>
        <v/>
      </c>
      <c r="T340">
        <f>HYPERLINK("https://klasma.github.io/Logging_0883/kartor/A 45679-2024 karta.png", "A 45679-2024")</f>
        <v/>
      </c>
      <c r="U340">
        <f>HYPERLINK("https://klasma.github.io/Logging_0883/knärot/A 45679-2024 karta knärot.png", "A 45679-2024")</f>
        <v/>
      </c>
      <c r="V340">
        <f>HYPERLINK("https://klasma.github.io/Logging_0883/klagomål/A 45679-2024 FSC-klagomål.docx", "A 45679-2024")</f>
        <v/>
      </c>
      <c r="W340">
        <f>HYPERLINK("https://klasma.github.io/Logging_0883/klagomålsmail/A 45679-2024 FSC-klagomål mail.docx", "A 45679-2024")</f>
        <v/>
      </c>
      <c r="X340">
        <f>HYPERLINK("https://klasma.github.io/Logging_0883/tillsyn/A 45679-2024 tillsynsbegäran.docx", "A 45679-2024")</f>
        <v/>
      </c>
      <c r="Y340">
        <f>HYPERLINK("https://klasma.github.io/Logging_0883/tillsynsmail/A 45679-2024 tillsynsbegäran mail.docx", "A 45679-2024")</f>
        <v/>
      </c>
    </row>
    <row r="341" ht="15" customHeight="1">
      <c r="A341" t="inlineStr">
        <is>
          <t>A 51488-2024</t>
        </is>
      </c>
      <c r="B341" s="1" t="n">
        <v>45604</v>
      </c>
      <c r="C341" s="1" t="n">
        <v>45844</v>
      </c>
      <c r="D341" t="inlineStr">
        <is>
          <t>KALMAR LÄN</t>
        </is>
      </c>
      <c r="E341" t="inlineStr">
        <is>
          <t>VÄSTERVIK</t>
        </is>
      </c>
      <c r="F341" t="inlineStr">
        <is>
          <t>Övriga Aktiebolag</t>
        </is>
      </c>
      <c r="G341" t="n">
        <v>2.9</v>
      </c>
      <c r="H341" t="n">
        <v>1</v>
      </c>
      <c r="I341" t="n">
        <v>0</v>
      </c>
      <c r="J341" t="n">
        <v>1</v>
      </c>
      <c r="K341" t="n">
        <v>0</v>
      </c>
      <c r="L341" t="n">
        <v>0</v>
      </c>
      <c r="M341" t="n">
        <v>0</v>
      </c>
      <c r="N341" t="n">
        <v>0</v>
      </c>
      <c r="O341" t="n">
        <v>1</v>
      </c>
      <c r="P341" t="n">
        <v>0</v>
      </c>
      <c r="Q341" t="n">
        <v>1</v>
      </c>
      <c r="R341" s="2" t="inlineStr">
        <is>
          <t>Entita</t>
        </is>
      </c>
      <c r="S341">
        <f>HYPERLINK("https://klasma.github.io/Logging_0883/artfynd/A 51488-2024 artfynd.xlsx", "A 51488-2024")</f>
        <v/>
      </c>
      <c r="T341">
        <f>HYPERLINK("https://klasma.github.io/Logging_0883/kartor/A 51488-2024 karta.png", "A 51488-2024")</f>
        <v/>
      </c>
      <c r="V341">
        <f>HYPERLINK("https://klasma.github.io/Logging_0883/klagomål/A 51488-2024 FSC-klagomål.docx", "A 51488-2024")</f>
        <v/>
      </c>
      <c r="W341">
        <f>HYPERLINK("https://klasma.github.io/Logging_0883/klagomålsmail/A 51488-2024 FSC-klagomål mail.docx", "A 51488-2024")</f>
        <v/>
      </c>
      <c r="X341">
        <f>HYPERLINK("https://klasma.github.io/Logging_0883/tillsyn/A 51488-2024 tillsynsbegäran.docx", "A 51488-2024")</f>
        <v/>
      </c>
      <c r="Y341">
        <f>HYPERLINK("https://klasma.github.io/Logging_0883/tillsynsmail/A 51488-2024 tillsynsbegäran mail.docx", "A 51488-2024")</f>
        <v/>
      </c>
      <c r="Z341">
        <f>HYPERLINK("https://klasma.github.io/Logging_0883/fåglar/A 51488-2024 prioriterade fågelarter.docx", "A 51488-2024")</f>
        <v/>
      </c>
    </row>
    <row r="342" ht="15" customHeight="1">
      <c r="A342" t="inlineStr">
        <is>
          <t>A 51514-2024</t>
        </is>
      </c>
      <c r="B342" s="1" t="n">
        <v>45604</v>
      </c>
      <c r="C342" s="1" t="n">
        <v>45844</v>
      </c>
      <c r="D342" t="inlineStr">
        <is>
          <t>KALMAR LÄN</t>
        </is>
      </c>
      <c r="E342" t="inlineStr">
        <is>
          <t>VÄSTERVIK</t>
        </is>
      </c>
      <c r="F342" t="inlineStr">
        <is>
          <t>Övriga Aktiebolag</t>
        </is>
      </c>
      <c r="G342" t="n">
        <v>2.4</v>
      </c>
      <c r="H342" t="n">
        <v>1</v>
      </c>
      <c r="I342" t="n">
        <v>0</v>
      </c>
      <c r="J342" t="n">
        <v>1</v>
      </c>
      <c r="K342" t="n">
        <v>0</v>
      </c>
      <c r="L342" t="n">
        <v>0</v>
      </c>
      <c r="M342" t="n">
        <v>0</v>
      </c>
      <c r="N342" t="n">
        <v>0</v>
      </c>
      <c r="O342" t="n">
        <v>1</v>
      </c>
      <c r="P342" t="n">
        <v>0</v>
      </c>
      <c r="Q342" t="n">
        <v>1</v>
      </c>
      <c r="R342" s="2" t="inlineStr">
        <is>
          <t>Havsörn</t>
        </is>
      </c>
      <c r="S342">
        <f>HYPERLINK("https://klasma.github.io/Logging_0883/artfynd/A 51514-2024 artfynd.xlsx", "A 51514-2024")</f>
        <v/>
      </c>
      <c r="T342">
        <f>HYPERLINK("https://klasma.github.io/Logging_0883/kartor/A 51514-2024 karta.png", "A 51514-2024")</f>
        <v/>
      </c>
      <c r="V342">
        <f>HYPERLINK("https://klasma.github.io/Logging_0883/klagomål/A 51514-2024 FSC-klagomål.docx", "A 51514-2024")</f>
        <v/>
      </c>
      <c r="W342">
        <f>HYPERLINK("https://klasma.github.io/Logging_0883/klagomålsmail/A 51514-2024 FSC-klagomål mail.docx", "A 51514-2024")</f>
        <v/>
      </c>
      <c r="X342">
        <f>HYPERLINK("https://klasma.github.io/Logging_0883/tillsyn/A 51514-2024 tillsynsbegäran.docx", "A 51514-2024")</f>
        <v/>
      </c>
      <c r="Y342">
        <f>HYPERLINK("https://klasma.github.io/Logging_0883/tillsynsmail/A 51514-2024 tillsynsbegäran mail.docx", "A 51514-2024")</f>
        <v/>
      </c>
      <c r="Z342">
        <f>HYPERLINK("https://klasma.github.io/Logging_0883/fåglar/A 51514-2024 prioriterade fågelarter.docx", "A 51514-2024")</f>
        <v/>
      </c>
    </row>
    <row r="343" ht="15" customHeight="1">
      <c r="A343" t="inlineStr">
        <is>
          <t>A 53075-2024</t>
        </is>
      </c>
      <c r="B343" s="1" t="n">
        <v>45611</v>
      </c>
      <c r="C343" s="1" t="n">
        <v>45844</v>
      </c>
      <c r="D343" t="inlineStr">
        <is>
          <t>KALMAR LÄN</t>
        </is>
      </c>
      <c r="E343" t="inlineStr">
        <is>
          <t>VÄSTERVIK</t>
        </is>
      </c>
      <c r="F343" t="inlineStr">
        <is>
          <t>Holmen skog AB</t>
        </is>
      </c>
      <c r="G343" t="n">
        <v>8.5</v>
      </c>
      <c r="H343" t="n">
        <v>1</v>
      </c>
      <c r="I343" t="n">
        <v>0</v>
      </c>
      <c r="J343" t="n">
        <v>1</v>
      </c>
      <c r="K343" t="n">
        <v>0</v>
      </c>
      <c r="L343" t="n">
        <v>0</v>
      </c>
      <c r="M343" t="n">
        <v>0</v>
      </c>
      <c r="N343" t="n">
        <v>0</v>
      </c>
      <c r="O343" t="n">
        <v>1</v>
      </c>
      <c r="P343" t="n">
        <v>0</v>
      </c>
      <c r="Q343" t="n">
        <v>1</v>
      </c>
      <c r="R343" s="2" t="inlineStr">
        <is>
          <t>Talltita</t>
        </is>
      </c>
      <c r="S343">
        <f>HYPERLINK("https://klasma.github.io/Logging_0883/artfynd/A 53075-2024 artfynd.xlsx", "A 53075-2024")</f>
        <v/>
      </c>
      <c r="T343">
        <f>HYPERLINK("https://klasma.github.io/Logging_0883/kartor/A 53075-2024 karta.png", "A 53075-2024")</f>
        <v/>
      </c>
      <c r="V343">
        <f>HYPERLINK("https://klasma.github.io/Logging_0883/klagomål/A 53075-2024 FSC-klagomål.docx", "A 53075-2024")</f>
        <v/>
      </c>
      <c r="W343">
        <f>HYPERLINK("https://klasma.github.io/Logging_0883/klagomålsmail/A 53075-2024 FSC-klagomål mail.docx", "A 53075-2024")</f>
        <v/>
      </c>
      <c r="X343">
        <f>HYPERLINK("https://klasma.github.io/Logging_0883/tillsyn/A 53075-2024 tillsynsbegäran.docx", "A 53075-2024")</f>
        <v/>
      </c>
      <c r="Y343">
        <f>HYPERLINK("https://klasma.github.io/Logging_0883/tillsynsmail/A 53075-2024 tillsynsbegäran mail.docx", "A 53075-2024")</f>
        <v/>
      </c>
      <c r="Z343">
        <f>HYPERLINK("https://klasma.github.io/Logging_0883/fåglar/A 53075-2024 prioriterade fågelarter.docx", "A 53075-2024")</f>
        <v/>
      </c>
    </row>
    <row r="344" ht="15" customHeight="1">
      <c r="A344" t="inlineStr">
        <is>
          <t>A 55360-2024</t>
        </is>
      </c>
      <c r="B344" s="1" t="n">
        <v>45621</v>
      </c>
      <c r="C344" s="1" t="n">
        <v>45844</v>
      </c>
      <c r="D344" t="inlineStr">
        <is>
          <t>KALMAR LÄN</t>
        </is>
      </c>
      <c r="E344" t="inlineStr">
        <is>
          <t>VÄSTERVIK</t>
        </is>
      </c>
      <c r="F344" t="inlineStr">
        <is>
          <t>Sveaskog</t>
        </is>
      </c>
      <c r="G344" t="n">
        <v>11.1</v>
      </c>
      <c r="H344" t="n">
        <v>0</v>
      </c>
      <c r="I344" t="n">
        <v>0</v>
      </c>
      <c r="J344" t="n">
        <v>1</v>
      </c>
      <c r="K344" t="n">
        <v>0</v>
      </c>
      <c r="L344" t="n">
        <v>0</v>
      </c>
      <c r="M344" t="n">
        <v>0</v>
      </c>
      <c r="N344" t="n">
        <v>0</v>
      </c>
      <c r="O344" t="n">
        <v>1</v>
      </c>
      <c r="P344" t="n">
        <v>0</v>
      </c>
      <c r="Q344" t="n">
        <v>1</v>
      </c>
      <c r="R344" s="2" t="inlineStr">
        <is>
          <t>Vårstarr</t>
        </is>
      </c>
      <c r="S344">
        <f>HYPERLINK("https://klasma.github.io/Logging_0883/artfynd/A 55360-2024 artfynd.xlsx", "A 55360-2024")</f>
        <v/>
      </c>
      <c r="T344">
        <f>HYPERLINK("https://klasma.github.io/Logging_0883/kartor/A 55360-2024 karta.png", "A 55360-2024")</f>
        <v/>
      </c>
      <c r="V344">
        <f>HYPERLINK("https://klasma.github.io/Logging_0883/klagomål/A 55360-2024 FSC-klagomål.docx", "A 55360-2024")</f>
        <v/>
      </c>
      <c r="W344">
        <f>HYPERLINK("https://klasma.github.io/Logging_0883/klagomålsmail/A 55360-2024 FSC-klagomål mail.docx", "A 55360-2024")</f>
        <v/>
      </c>
      <c r="X344">
        <f>HYPERLINK("https://klasma.github.io/Logging_0883/tillsyn/A 55360-2024 tillsynsbegäran.docx", "A 55360-2024")</f>
        <v/>
      </c>
      <c r="Y344">
        <f>HYPERLINK("https://klasma.github.io/Logging_0883/tillsynsmail/A 55360-2024 tillsynsbegäran mail.docx", "A 55360-2024")</f>
        <v/>
      </c>
    </row>
    <row r="345" ht="15" customHeight="1">
      <c r="A345" t="inlineStr">
        <is>
          <t>A 55616-2024</t>
        </is>
      </c>
      <c r="B345" s="1" t="n">
        <v>45622</v>
      </c>
      <c r="C345" s="1" t="n">
        <v>45844</v>
      </c>
      <c r="D345" t="inlineStr">
        <is>
          <t>KALMAR LÄN</t>
        </is>
      </c>
      <c r="E345" t="inlineStr">
        <is>
          <t>VÄSTERVIK</t>
        </is>
      </c>
      <c r="G345" t="n">
        <v>0.5</v>
      </c>
      <c r="H345" t="n">
        <v>1</v>
      </c>
      <c r="I345" t="n">
        <v>0</v>
      </c>
      <c r="J345" t="n">
        <v>1</v>
      </c>
      <c r="K345" t="n">
        <v>0</v>
      </c>
      <c r="L345" t="n">
        <v>0</v>
      </c>
      <c r="M345" t="n">
        <v>0</v>
      </c>
      <c r="N345" t="n">
        <v>0</v>
      </c>
      <c r="O345" t="n">
        <v>1</v>
      </c>
      <c r="P345" t="n">
        <v>0</v>
      </c>
      <c r="Q345" t="n">
        <v>1</v>
      </c>
      <c r="R345" s="2" t="inlineStr">
        <is>
          <t>Entita</t>
        </is>
      </c>
      <c r="S345">
        <f>HYPERLINK("https://klasma.github.io/Logging_0883/artfynd/A 55616-2024 artfynd.xlsx", "A 55616-2024")</f>
        <v/>
      </c>
      <c r="T345">
        <f>HYPERLINK("https://klasma.github.io/Logging_0883/kartor/A 55616-2024 karta.png", "A 55616-2024")</f>
        <v/>
      </c>
      <c r="V345">
        <f>HYPERLINK("https://klasma.github.io/Logging_0883/klagomål/A 55616-2024 FSC-klagomål.docx", "A 55616-2024")</f>
        <v/>
      </c>
      <c r="W345">
        <f>HYPERLINK("https://klasma.github.io/Logging_0883/klagomålsmail/A 55616-2024 FSC-klagomål mail.docx", "A 55616-2024")</f>
        <v/>
      </c>
      <c r="X345">
        <f>HYPERLINK("https://klasma.github.io/Logging_0883/tillsyn/A 55616-2024 tillsynsbegäran.docx", "A 55616-2024")</f>
        <v/>
      </c>
      <c r="Y345">
        <f>HYPERLINK("https://klasma.github.io/Logging_0883/tillsynsmail/A 55616-2024 tillsynsbegäran mail.docx", "A 55616-2024")</f>
        <v/>
      </c>
      <c r="Z345">
        <f>HYPERLINK("https://klasma.github.io/Logging_0883/fåglar/A 55616-2024 prioriterade fågelarter.docx", "A 55616-2024")</f>
        <v/>
      </c>
    </row>
    <row r="346" ht="15" customHeight="1">
      <c r="A346" t="inlineStr">
        <is>
          <t>A 56439-2024</t>
        </is>
      </c>
      <c r="B346" s="1" t="n">
        <v>45625</v>
      </c>
      <c r="C346" s="1" t="n">
        <v>45844</v>
      </c>
      <c r="D346" t="inlineStr">
        <is>
          <t>KALMAR LÄN</t>
        </is>
      </c>
      <c r="E346" t="inlineStr">
        <is>
          <t>VÄSTERVIK</t>
        </is>
      </c>
      <c r="F346" t="inlineStr">
        <is>
          <t>Övriga Aktiebolag</t>
        </is>
      </c>
      <c r="G346" t="n">
        <v>3.3</v>
      </c>
      <c r="H346" t="n">
        <v>0</v>
      </c>
      <c r="I346" t="n">
        <v>1</v>
      </c>
      <c r="J346" t="n">
        <v>0</v>
      </c>
      <c r="K346" t="n">
        <v>0</v>
      </c>
      <c r="L346" t="n">
        <v>0</v>
      </c>
      <c r="M346" t="n">
        <v>0</v>
      </c>
      <c r="N346" t="n">
        <v>0</v>
      </c>
      <c r="O346" t="n">
        <v>0</v>
      </c>
      <c r="P346" t="n">
        <v>0</v>
      </c>
      <c r="Q346" t="n">
        <v>1</v>
      </c>
      <c r="R346" s="2" t="inlineStr">
        <is>
          <t>Hasselticka</t>
        </is>
      </c>
      <c r="S346">
        <f>HYPERLINK("https://klasma.github.io/Logging_0883/artfynd/A 56439-2024 artfynd.xlsx", "A 56439-2024")</f>
        <v/>
      </c>
      <c r="T346">
        <f>HYPERLINK("https://klasma.github.io/Logging_0883/kartor/A 56439-2024 karta.png", "A 56439-2024")</f>
        <v/>
      </c>
      <c r="V346">
        <f>HYPERLINK("https://klasma.github.io/Logging_0883/klagomål/A 56439-2024 FSC-klagomål.docx", "A 56439-2024")</f>
        <v/>
      </c>
      <c r="W346">
        <f>HYPERLINK("https://klasma.github.io/Logging_0883/klagomålsmail/A 56439-2024 FSC-klagomål mail.docx", "A 56439-2024")</f>
        <v/>
      </c>
      <c r="X346">
        <f>HYPERLINK("https://klasma.github.io/Logging_0883/tillsyn/A 56439-2024 tillsynsbegäran.docx", "A 56439-2024")</f>
        <v/>
      </c>
      <c r="Y346">
        <f>HYPERLINK("https://klasma.github.io/Logging_0883/tillsynsmail/A 56439-2024 tillsynsbegäran mail.docx", "A 56439-2024")</f>
        <v/>
      </c>
    </row>
    <row r="347" ht="15" customHeight="1">
      <c r="A347" t="inlineStr">
        <is>
          <t>A 59616-2024</t>
        </is>
      </c>
      <c r="B347" s="1" t="n">
        <v>45638</v>
      </c>
      <c r="C347" s="1" t="n">
        <v>45844</v>
      </c>
      <c r="D347" t="inlineStr">
        <is>
          <t>KALMAR LÄN</t>
        </is>
      </c>
      <c r="E347" t="inlineStr">
        <is>
          <t>VÄSTERVIK</t>
        </is>
      </c>
      <c r="G347" t="n">
        <v>2.3</v>
      </c>
      <c r="H347" t="n">
        <v>1</v>
      </c>
      <c r="I347" t="n">
        <v>0</v>
      </c>
      <c r="J347" t="n">
        <v>0</v>
      </c>
      <c r="K347" t="n">
        <v>1</v>
      </c>
      <c r="L347" t="n">
        <v>0</v>
      </c>
      <c r="M347" t="n">
        <v>0</v>
      </c>
      <c r="N347" t="n">
        <v>0</v>
      </c>
      <c r="O347" t="n">
        <v>1</v>
      </c>
      <c r="P347" t="n">
        <v>1</v>
      </c>
      <c r="Q347" t="n">
        <v>1</v>
      </c>
      <c r="R347" s="2" t="inlineStr">
        <is>
          <t>Knärot</t>
        </is>
      </c>
      <c r="S347">
        <f>HYPERLINK("https://klasma.github.io/Logging_0883/artfynd/A 59616-2024 artfynd.xlsx", "A 59616-2024")</f>
        <v/>
      </c>
      <c r="T347">
        <f>HYPERLINK("https://klasma.github.io/Logging_0883/kartor/A 59616-2024 karta.png", "A 59616-2024")</f>
        <v/>
      </c>
      <c r="U347">
        <f>HYPERLINK("https://klasma.github.io/Logging_0883/knärot/A 59616-2024 karta knärot.png", "A 59616-2024")</f>
        <v/>
      </c>
      <c r="V347">
        <f>HYPERLINK("https://klasma.github.io/Logging_0883/klagomål/A 59616-2024 FSC-klagomål.docx", "A 59616-2024")</f>
        <v/>
      </c>
      <c r="W347">
        <f>HYPERLINK("https://klasma.github.io/Logging_0883/klagomålsmail/A 59616-2024 FSC-klagomål mail.docx", "A 59616-2024")</f>
        <v/>
      </c>
      <c r="X347">
        <f>HYPERLINK("https://klasma.github.io/Logging_0883/tillsyn/A 59616-2024 tillsynsbegäran.docx", "A 59616-2024")</f>
        <v/>
      </c>
      <c r="Y347">
        <f>HYPERLINK("https://klasma.github.io/Logging_0883/tillsynsmail/A 59616-2024 tillsynsbegäran mail.docx", "A 59616-2024")</f>
        <v/>
      </c>
    </row>
    <row r="348" ht="15" customHeight="1">
      <c r="A348" t="inlineStr">
        <is>
          <t>A 59351-2024</t>
        </is>
      </c>
      <c r="B348" s="1" t="n">
        <v>45638</v>
      </c>
      <c r="C348" s="1" t="n">
        <v>45844</v>
      </c>
      <c r="D348" t="inlineStr">
        <is>
          <t>KALMAR LÄN</t>
        </is>
      </c>
      <c r="E348" t="inlineStr">
        <is>
          <t>VÄSTERVIK</t>
        </is>
      </c>
      <c r="G348" t="n">
        <v>4</v>
      </c>
      <c r="H348" t="n">
        <v>0</v>
      </c>
      <c r="I348" t="n">
        <v>0</v>
      </c>
      <c r="J348" t="n">
        <v>1</v>
      </c>
      <c r="K348" t="n">
        <v>0</v>
      </c>
      <c r="L348" t="n">
        <v>0</v>
      </c>
      <c r="M348" t="n">
        <v>0</v>
      </c>
      <c r="N348" t="n">
        <v>0</v>
      </c>
      <c r="O348" t="n">
        <v>1</v>
      </c>
      <c r="P348" t="n">
        <v>0</v>
      </c>
      <c r="Q348" t="n">
        <v>1</v>
      </c>
      <c r="R348" s="2" t="inlineStr">
        <is>
          <t>Nubbfibbla</t>
        </is>
      </c>
      <c r="S348">
        <f>HYPERLINK("https://klasma.github.io/Logging_0883/artfynd/A 59351-2024 artfynd.xlsx", "A 59351-2024")</f>
        <v/>
      </c>
      <c r="T348">
        <f>HYPERLINK("https://klasma.github.io/Logging_0883/kartor/A 59351-2024 karta.png", "A 59351-2024")</f>
        <v/>
      </c>
      <c r="V348">
        <f>HYPERLINK("https://klasma.github.io/Logging_0883/klagomål/A 59351-2024 FSC-klagomål.docx", "A 59351-2024")</f>
        <v/>
      </c>
      <c r="W348">
        <f>HYPERLINK("https://klasma.github.io/Logging_0883/klagomålsmail/A 59351-2024 FSC-klagomål mail.docx", "A 59351-2024")</f>
        <v/>
      </c>
      <c r="X348">
        <f>HYPERLINK("https://klasma.github.io/Logging_0883/tillsyn/A 59351-2024 tillsynsbegäran.docx", "A 59351-2024")</f>
        <v/>
      </c>
      <c r="Y348">
        <f>HYPERLINK("https://klasma.github.io/Logging_0883/tillsynsmail/A 59351-2024 tillsynsbegäran mail.docx", "A 59351-2024")</f>
        <v/>
      </c>
    </row>
    <row r="349" ht="15" customHeight="1">
      <c r="A349" t="inlineStr">
        <is>
          <t>A 961-2025</t>
        </is>
      </c>
      <c r="B349" s="1" t="n">
        <v>45666</v>
      </c>
      <c r="C349" s="1" t="n">
        <v>45844</v>
      </c>
      <c r="D349" t="inlineStr">
        <is>
          <t>KALMAR LÄN</t>
        </is>
      </c>
      <c r="E349" t="inlineStr">
        <is>
          <t>VÄSTERVIK</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HYPERLINK("https://klasma.github.io/Logging_0883/artfynd/A 961-2025 artfynd.xlsx", "A 961-2025")</f>
        <v/>
      </c>
      <c r="T349">
        <f>HYPERLINK("https://klasma.github.io/Logging_0883/kartor/A 961-2025 karta.png", "A 961-2025")</f>
        <v/>
      </c>
      <c r="U349">
        <f>HYPERLINK("https://klasma.github.io/Logging_0883/knärot/A 961-2025 karta knärot.png", "A 961-2025")</f>
        <v/>
      </c>
      <c r="V349">
        <f>HYPERLINK("https://klasma.github.io/Logging_0883/klagomål/A 961-2025 FSC-klagomål.docx", "A 961-2025")</f>
        <v/>
      </c>
      <c r="W349">
        <f>HYPERLINK("https://klasma.github.io/Logging_0883/klagomålsmail/A 961-2025 FSC-klagomål mail.docx", "A 961-2025")</f>
        <v/>
      </c>
      <c r="X349">
        <f>HYPERLINK("https://klasma.github.io/Logging_0883/tillsyn/A 961-2025 tillsynsbegäran.docx", "A 961-2025")</f>
        <v/>
      </c>
      <c r="Y349">
        <f>HYPERLINK("https://klasma.github.io/Logging_0883/tillsynsmail/A 961-2025 tillsynsbegäran mail.docx", "A 961-2025")</f>
        <v/>
      </c>
    </row>
    <row r="350" ht="15" customHeight="1">
      <c r="A350" t="inlineStr">
        <is>
          <t>A 1775-2025</t>
        </is>
      </c>
      <c r="B350" s="1" t="n">
        <v>45671</v>
      </c>
      <c r="C350" s="1" t="n">
        <v>45844</v>
      </c>
      <c r="D350" t="inlineStr">
        <is>
          <t>KALMAR LÄN</t>
        </is>
      </c>
      <c r="E350" t="inlineStr">
        <is>
          <t>VÄSTERVIK</t>
        </is>
      </c>
      <c r="G350" t="n">
        <v>0.9</v>
      </c>
      <c r="H350" t="n">
        <v>1</v>
      </c>
      <c r="I350" t="n">
        <v>0</v>
      </c>
      <c r="J350" t="n">
        <v>0</v>
      </c>
      <c r="K350" t="n">
        <v>0</v>
      </c>
      <c r="L350" t="n">
        <v>0</v>
      </c>
      <c r="M350" t="n">
        <v>0</v>
      </c>
      <c r="N350" t="n">
        <v>0</v>
      </c>
      <c r="O350" t="n">
        <v>0</v>
      </c>
      <c r="P350" t="n">
        <v>0</v>
      </c>
      <c r="Q350" t="n">
        <v>1</v>
      </c>
      <c r="R350" s="2" t="inlineStr">
        <is>
          <t>Kungsfågel</t>
        </is>
      </c>
      <c r="S350">
        <f>HYPERLINK("https://klasma.github.io/Logging_0883/artfynd/A 1775-2025 artfynd.xlsx", "A 1775-2025")</f>
        <v/>
      </c>
      <c r="T350">
        <f>HYPERLINK("https://klasma.github.io/Logging_0883/kartor/A 1775-2025 karta.png", "A 1775-2025")</f>
        <v/>
      </c>
      <c r="V350">
        <f>HYPERLINK("https://klasma.github.io/Logging_0883/klagomål/A 1775-2025 FSC-klagomål.docx", "A 1775-2025")</f>
        <v/>
      </c>
      <c r="W350">
        <f>HYPERLINK("https://klasma.github.io/Logging_0883/klagomålsmail/A 1775-2025 FSC-klagomål mail.docx", "A 1775-2025")</f>
        <v/>
      </c>
      <c r="X350">
        <f>HYPERLINK("https://klasma.github.io/Logging_0883/tillsyn/A 1775-2025 tillsynsbegäran.docx", "A 1775-2025")</f>
        <v/>
      </c>
      <c r="Y350">
        <f>HYPERLINK("https://klasma.github.io/Logging_0883/tillsynsmail/A 1775-2025 tillsynsbegäran mail.docx", "A 1775-2025")</f>
        <v/>
      </c>
      <c r="Z350">
        <f>HYPERLINK("https://klasma.github.io/Logging_0883/fåglar/A 1775-2025 prioriterade fågelarter.docx", "A 1775-2025")</f>
        <v/>
      </c>
    </row>
    <row r="351" ht="15" customHeight="1">
      <c r="A351" t="inlineStr">
        <is>
          <t>A 2328-2025</t>
        </is>
      </c>
      <c r="B351" s="1" t="n">
        <v>45673</v>
      </c>
      <c r="C351" s="1" t="n">
        <v>45844</v>
      </c>
      <c r="D351" t="inlineStr">
        <is>
          <t>KALMAR LÄN</t>
        </is>
      </c>
      <c r="E351" t="inlineStr">
        <is>
          <t>VÄSTERVIK</t>
        </is>
      </c>
      <c r="F351" t="inlineStr">
        <is>
          <t>Sveaskog</t>
        </is>
      </c>
      <c r="G351" t="n">
        <v>1.4</v>
      </c>
      <c r="H351" t="n">
        <v>1</v>
      </c>
      <c r="I351" t="n">
        <v>0</v>
      </c>
      <c r="J351" t="n">
        <v>0</v>
      </c>
      <c r="K351" t="n">
        <v>0</v>
      </c>
      <c r="L351" t="n">
        <v>0</v>
      </c>
      <c r="M351" t="n">
        <v>0</v>
      </c>
      <c r="N351" t="n">
        <v>0</v>
      </c>
      <c r="O351" t="n">
        <v>0</v>
      </c>
      <c r="P351" t="n">
        <v>0</v>
      </c>
      <c r="Q351" t="n">
        <v>1</v>
      </c>
      <c r="R351" s="2" t="inlineStr">
        <is>
          <t>Mattlummer</t>
        </is>
      </c>
      <c r="S351">
        <f>HYPERLINK("https://klasma.github.io/Logging_0883/artfynd/A 2328-2025 artfynd.xlsx", "A 2328-2025")</f>
        <v/>
      </c>
      <c r="T351">
        <f>HYPERLINK("https://klasma.github.io/Logging_0883/kartor/A 2328-2025 karta.png", "A 2328-2025")</f>
        <v/>
      </c>
      <c r="V351">
        <f>HYPERLINK("https://klasma.github.io/Logging_0883/klagomål/A 2328-2025 FSC-klagomål.docx", "A 2328-2025")</f>
        <v/>
      </c>
      <c r="W351">
        <f>HYPERLINK("https://klasma.github.io/Logging_0883/klagomålsmail/A 2328-2025 FSC-klagomål mail.docx", "A 2328-2025")</f>
        <v/>
      </c>
      <c r="X351">
        <f>HYPERLINK("https://klasma.github.io/Logging_0883/tillsyn/A 2328-2025 tillsynsbegäran.docx", "A 2328-2025")</f>
        <v/>
      </c>
      <c r="Y351">
        <f>HYPERLINK("https://klasma.github.io/Logging_0883/tillsynsmail/A 2328-2025 tillsynsbegäran mail.docx", "A 2328-2025")</f>
        <v/>
      </c>
    </row>
    <row r="352" ht="15" customHeight="1">
      <c r="A352" t="inlineStr">
        <is>
          <t>A 3112-2025</t>
        </is>
      </c>
      <c r="B352" s="1" t="n">
        <v>45678</v>
      </c>
      <c r="C352" s="1" t="n">
        <v>45844</v>
      </c>
      <c r="D352" t="inlineStr">
        <is>
          <t>KALMAR LÄN</t>
        </is>
      </c>
      <c r="E352" t="inlineStr">
        <is>
          <t>VÄSTERVIK</t>
        </is>
      </c>
      <c r="G352" t="n">
        <v>1.5</v>
      </c>
      <c r="H352" t="n">
        <v>1</v>
      </c>
      <c r="I352" t="n">
        <v>0</v>
      </c>
      <c r="J352" t="n">
        <v>0</v>
      </c>
      <c r="K352" t="n">
        <v>0</v>
      </c>
      <c r="L352" t="n">
        <v>0</v>
      </c>
      <c r="M352" t="n">
        <v>0</v>
      </c>
      <c r="N352" t="n">
        <v>0</v>
      </c>
      <c r="O352" t="n">
        <v>0</v>
      </c>
      <c r="P352" t="n">
        <v>0</v>
      </c>
      <c r="Q352" t="n">
        <v>1</v>
      </c>
      <c r="R352" s="2" t="inlineStr">
        <is>
          <t>Mattlummer</t>
        </is>
      </c>
      <c r="S352">
        <f>HYPERLINK("https://klasma.github.io/Logging_0883/artfynd/A 3112-2025 artfynd.xlsx", "A 3112-2025")</f>
        <v/>
      </c>
      <c r="T352">
        <f>HYPERLINK("https://klasma.github.io/Logging_0883/kartor/A 3112-2025 karta.png", "A 3112-2025")</f>
        <v/>
      </c>
      <c r="V352">
        <f>HYPERLINK("https://klasma.github.io/Logging_0883/klagomål/A 3112-2025 FSC-klagomål.docx", "A 3112-2025")</f>
        <v/>
      </c>
      <c r="W352">
        <f>HYPERLINK("https://klasma.github.io/Logging_0883/klagomålsmail/A 3112-2025 FSC-klagomål mail.docx", "A 3112-2025")</f>
        <v/>
      </c>
      <c r="X352">
        <f>HYPERLINK("https://klasma.github.io/Logging_0883/tillsyn/A 3112-2025 tillsynsbegäran.docx", "A 3112-2025")</f>
        <v/>
      </c>
      <c r="Y352">
        <f>HYPERLINK("https://klasma.github.io/Logging_0883/tillsynsmail/A 3112-2025 tillsynsbegäran mail.docx", "A 3112-2025")</f>
        <v/>
      </c>
    </row>
    <row r="353" ht="15" customHeight="1">
      <c r="A353" t="inlineStr">
        <is>
          <t>A 3057-2025</t>
        </is>
      </c>
      <c r="B353" s="1" t="n">
        <v>45678</v>
      </c>
      <c r="C353" s="1" t="n">
        <v>45844</v>
      </c>
      <c r="D353" t="inlineStr">
        <is>
          <t>KALMAR LÄN</t>
        </is>
      </c>
      <c r="E353" t="inlineStr">
        <is>
          <t>VÄSTERVIK</t>
        </is>
      </c>
      <c r="G353" t="n">
        <v>1</v>
      </c>
      <c r="H353" t="n">
        <v>1</v>
      </c>
      <c r="I353" t="n">
        <v>0</v>
      </c>
      <c r="J353" t="n">
        <v>0</v>
      </c>
      <c r="K353" t="n">
        <v>1</v>
      </c>
      <c r="L353" t="n">
        <v>0</v>
      </c>
      <c r="M353" t="n">
        <v>0</v>
      </c>
      <c r="N353" t="n">
        <v>0</v>
      </c>
      <c r="O353" t="n">
        <v>1</v>
      </c>
      <c r="P353" t="n">
        <v>1</v>
      </c>
      <c r="Q353" t="n">
        <v>1</v>
      </c>
      <c r="R353" s="2" t="inlineStr">
        <is>
          <t>Knärot</t>
        </is>
      </c>
      <c r="S353">
        <f>HYPERLINK("https://klasma.github.io/Logging_0883/artfynd/A 3057-2025 artfynd.xlsx", "A 3057-2025")</f>
        <v/>
      </c>
      <c r="T353">
        <f>HYPERLINK("https://klasma.github.io/Logging_0883/kartor/A 3057-2025 karta.png", "A 3057-2025")</f>
        <v/>
      </c>
      <c r="U353">
        <f>HYPERLINK("https://klasma.github.io/Logging_0883/knärot/A 3057-2025 karta knärot.png", "A 3057-2025")</f>
        <v/>
      </c>
      <c r="V353">
        <f>HYPERLINK("https://klasma.github.io/Logging_0883/klagomål/A 3057-2025 FSC-klagomål.docx", "A 3057-2025")</f>
        <v/>
      </c>
      <c r="W353">
        <f>HYPERLINK("https://klasma.github.io/Logging_0883/klagomålsmail/A 3057-2025 FSC-klagomål mail.docx", "A 3057-2025")</f>
        <v/>
      </c>
      <c r="X353">
        <f>HYPERLINK("https://klasma.github.io/Logging_0883/tillsyn/A 3057-2025 tillsynsbegäran.docx", "A 3057-2025")</f>
        <v/>
      </c>
      <c r="Y353">
        <f>HYPERLINK("https://klasma.github.io/Logging_0883/tillsynsmail/A 3057-2025 tillsynsbegäran mail.docx", "A 3057-2025")</f>
        <v/>
      </c>
    </row>
    <row r="354" ht="15" customHeight="1">
      <c r="A354" t="inlineStr">
        <is>
          <t>A 3673-2025</t>
        </is>
      </c>
      <c r="B354" s="1" t="n">
        <v>45681</v>
      </c>
      <c r="C354" s="1" t="n">
        <v>45844</v>
      </c>
      <c r="D354" t="inlineStr">
        <is>
          <t>KALMAR LÄN</t>
        </is>
      </c>
      <c r="E354" t="inlineStr">
        <is>
          <t>VÄSTERVIK</t>
        </is>
      </c>
      <c r="G354" t="n">
        <v>1.1</v>
      </c>
      <c r="H354" t="n">
        <v>0</v>
      </c>
      <c r="I354" t="n">
        <v>1</v>
      </c>
      <c r="J354" t="n">
        <v>0</v>
      </c>
      <c r="K354" t="n">
        <v>0</v>
      </c>
      <c r="L354" t="n">
        <v>0</v>
      </c>
      <c r="M354" t="n">
        <v>0</v>
      </c>
      <c r="N354" t="n">
        <v>0</v>
      </c>
      <c r="O354" t="n">
        <v>0</v>
      </c>
      <c r="P354" t="n">
        <v>0</v>
      </c>
      <c r="Q354" t="n">
        <v>1</v>
      </c>
      <c r="R354" s="2" t="inlineStr">
        <is>
          <t>Blodticka</t>
        </is>
      </c>
      <c r="S354">
        <f>HYPERLINK("https://klasma.github.io/Logging_0883/artfynd/A 3673-2025 artfynd.xlsx", "A 3673-2025")</f>
        <v/>
      </c>
      <c r="T354">
        <f>HYPERLINK("https://klasma.github.io/Logging_0883/kartor/A 3673-2025 karta.png", "A 3673-2025")</f>
        <v/>
      </c>
      <c r="V354">
        <f>HYPERLINK("https://klasma.github.io/Logging_0883/klagomål/A 3673-2025 FSC-klagomål.docx", "A 3673-2025")</f>
        <v/>
      </c>
      <c r="W354">
        <f>HYPERLINK("https://klasma.github.io/Logging_0883/klagomålsmail/A 3673-2025 FSC-klagomål mail.docx", "A 3673-2025")</f>
        <v/>
      </c>
      <c r="X354">
        <f>HYPERLINK("https://klasma.github.io/Logging_0883/tillsyn/A 3673-2025 tillsynsbegäran.docx", "A 3673-2025")</f>
        <v/>
      </c>
      <c r="Y354">
        <f>HYPERLINK("https://klasma.github.io/Logging_0883/tillsynsmail/A 3673-2025 tillsynsbegäran mail.docx", "A 3673-2025")</f>
        <v/>
      </c>
    </row>
    <row r="355" ht="15" customHeight="1">
      <c r="A355" t="inlineStr">
        <is>
          <t>A 3600-2025</t>
        </is>
      </c>
      <c r="B355" s="1" t="n">
        <v>45681</v>
      </c>
      <c r="C355" s="1" t="n">
        <v>45844</v>
      </c>
      <c r="D355" t="inlineStr">
        <is>
          <t>KALMAR LÄN</t>
        </is>
      </c>
      <c r="E355" t="inlineStr">
        <is>
          <t>VÄSTERVIK</t>
        </is>
      </c>
      <c r="G355" t="n">
        <v>1</v>
      </c>
      <c r="H355" t="n">
        <v>1</v>
      </c>
      <c r="I355" t="n">
        <v>0</v>
      </c>
      <c r="J355" t="n">
        <v>1</v>
      </c>
      <c r="K355" t="n">
        <v>0</v>
      </c>
      <c r="L355" t="n">
        <v>0</v>
      </c>
      <c r="M355" t="n">
        <v>0</v>
      </c>
      <c r="N355" t="n">
        <v>0</v>
      </c>
      <c r="O355" t="n">
        <v>1</v>
      </c>
      <c r="P355" t="n">
        <v>0</v>
      </c>
      <c r="Q355" t="n">
        <v>1</v>
      </c>
      <c r="R355" s="2" t="inlineStr">
        <is>
          <t>Spillkråka</t>
        </is>
      </c>
      <c r="S355">
        <f>HYPERLINK("https://klasma.github.io/Logging_0883/artfynd/A 3600-2025 artfynd.xlsx", "A 3600-2025")</f>
        <v/>
      </c>
      <c r="T355">
        <f>HYPERLINK("https://klasma.github.io/Logging_0883/kartor/A 3600-2025 karta.png", "A 3600-2025")</f>
        <v/>
      </c>
      <c r="V355">
        <f>HYPERLINK("https://klasma.github.io/Logging_0883/klagomål/A 3600-2025 FSC-klagomål.docx", "A 3600-2025")</f>
        <v/>
      </c>
      <c r="W355">
        <f>HYPERLINK("https://klasma.github.io/Logging_0883/klagomålsmail/A 3600-2025 FSC-klagomål mail.docx", "A 3600-2025")</f>
        <v/>
      </c>
      <c r="X355">
        <f>HYPERLINK("https://klasma.github.io/Logging_0883/tillsyn/A 3600-2025 tillsynsbegäran.docx", "A 3600-2025")</f>
        <v/>
      </c>
      <c r="Y355">
        <f>HYPERLINK("https://klasma.github.io/Logging_0883/tillsynsmail/A 3600-2025 tillsynsbegäran mail.docx", "A 3600-2025")</f>
        <v/>
      </c>
      <c r="Z355">
        <f>HYPERLINK("https://klasma.github.io/Logging_0883/fåglar/A 3600-2025 prioriterade fågelarter.docx", "A 3600-2025")</f>
        <v/>
      </c>
    </row>
    <row r="356" ht="15" customHeight="1">
      <c r="A356" t="inlineStr">
        <is>
          <t>A 4750-2025</t>
        </is>
      </c>
      <c r="B356" s="1" t="n">
        <v>45688</v>
      </c>
      <c r="C356" s="1" t="n">
        <v>45844</v>
      </c>
      <c r="D356" t="inlineStr">
        <is>
          <t>KALMAR LÄN</t>
        </is>
      </c>
      <c r="E356" t="inlineStr">
        <is>
          <t>VÄSTERVIK</t>
        </is>
      </c>
      <c r="F356" t="inlineStr">
        <is>
          <t>Holmen skog AB</t>
        </is>
      </c>
      <c r="G356" t="n">
        <v>0.9</v>
      </c>
      <c r="H356" t="n">
        <v>1</v>
      </c>
      <c r="I356" t="n">
        <v>0</v>
      </c>
      <c r="J356" t="n">
        <v>1</v>
      </c>
      <c r="K356" t="n">
        <v>0</v>
      </c>
      <c r="L356" t="n">
        <v>0</v>
      </c>
      <c r="M356" t="n">
        <v>0</v>
      </c>
      <c r="N356" t="n">
        <v>0</v>
      </c>
      <c r="O356" t="n">
        <v>1</v>
      </c>
      <c r="P356" t="n">
        <v>0</v>
      </c>
      <c r="Q356" t="n">
        <v>1</v>
      </c>
      <c r="R356" s="2" t="inlineStr">
        <is>
          <t>Talltita</t>
        </is>
      </c>
      <c r="S356">
        <f>HYPERLINK("https://klasma.github.io/Logging_0883/artfynd/A 4750-2025 artfynd.xlsx", "A 4750-2025")</f>
        <v/>
      </c>
      <c r="T356">
        <f>HYPERLINK("https://klasma.github.io/Logging_0883/kartor/A 4750-2025 karta.png", "A 4750-2025")</f>
        <v/>
      </c>
      <c r="V356">
        <f>HYPERLINK("https://klasma.github.io/Logging_0883/klagomål/A 4750-2025 FSC-klagomål.docx", "A 4750-2025")</f>
        <v/>
      </c>
      <c r="W356">
        <f>HYPERLINK("https://klasma.github.io/Logging_0883/klagomålsmail/A 4750-2025 FSC-klagomål mail.docx", "A 4750-2025")</f>
        <v/>
      </c>
      <c r="X356">
        <f>HYPERLINK("https://klasma.github.io/Logging_0883/tillsyn/A 4750-2025 tillsynsbegäran.docx", "A 4750-2025")</f>
        <v/>
      </c>
      <c r="Y356">
        <f>HYPERLINK("https://klasma.github.io/Logging_0883/tillsynsmail/A 4750-2025 tillsynsbegäran mail.docx", "A 4750-2025")</f>
        <v/>
      </c>
      <c r="Z356">
        <f>HYPERLINK("https://klasma.github.io/Logging_0883/fåglar/A 4750-2025 prioriterade fågelarter.docx", "A 4750-2025")</f>
        <v/>
      </c>
    </row>
    <row r="357" ht="15" customHeight="1">
      <c r="A357" t="inlineStr">
        <is>
          <t>A 4719-2025</t>
        </is>
      </c>
      <c r="B357" s="1" t="n">
        <v>45688</v>
      </c>
      <c r="C357" s="1" t="n">
        <v>45844</v>
      </c>
      <c r="D357" t="inlineStr">
        <is>
          <t>KALMAR LÄN</t>
        </is>
      </c>
      <c r="E357" t="inlineStr">
        <is>
          <t>VÄSTERVIK</t>
        </is>
      </c>
      <c r="G357" t="n">
        <v>10.4</v>
      </c>
      <c r="H357" t="n">
        <v>0</v>
      </c>
      <c r="I357" t="n">
        <v>1</v>
      </c>
      <c r="J357" t="n">
        <v>0</v>
      </c>
      <c r="K357" t="n">
        <v>0</v>
      </c>
      <c r="L357" t="n">
        <v>0</v>
      </c>
      <c r="M357" t="n">
        <v>0</v>
      </c>
      <c r="N357" t="n">
        <v>0</v>
      </c>
      <c r="O357" t="n">
        <v>0</v>
      </c>
      <c r="P357" t="n">
        <v>0</v>
      </c>
      <c r="Q357" t="n">
        <v>1</v>
      </c>
      <c r="R357" s="2" t="inlineStr">
        <is>
          <t>Dropptaggsvamp</t>
        </is>
      </c>
      <c r="S357">
        <f>HYPERLINK("https://klasma.github.io/Logging_0883/artfynd/A 4719-2025 artfynd.xlsx", "A 4719-2025")</f>
        <v/>
      </c>
      <c r="T357">
        <f>HYPERLINK("https://klasma.github.io/Logging_0883/kartor/A 4719-2025 karta.png", "A 4719-2025")</f>
        <v/>
      </c>
      <c r="V357">
        <f>HYPERLINK("https://klasma.github.io/Logging_0883/klagomål/A 4719-2025 FSC-klagomål.docx", "A 4719-2025")</f>
        <v/>
      </c>
      <c r="W357">
        <f>HYPERLINK("https://klasma.github.io/Logging_0883/klagomålsmail/A 4719-2025 FSC-klagomål mail.docx", "A 4719-2025")</f>
        <v/>
      </c>
      <c r="X357">
        <f>HYPERLINK("https://klasma.github.io/Logging_0883/tillsyn/A 4719-2025 tillsynsbegäran.docx", "A 4719-2025")</f>
        <v/>
      </c>
      <c r="Y357">
        <f>HYPERLINK("https://klasma.github.io/Logging_0883/tillsynsmail/A 4719-2025 tillsynsbegäran mail.docx", "A 4719-2025")</f>
        <v/>
      </c>
    </row>
    <row r="358" ht="15" customHeight="1">
      <c r="A358" t="inlineStr">
        <is>
          <t>A 5840-2025</t>
        </is>
      </c>
      <c r="B358" s="1" t="n">
        <v>45695</v>
      </c>
      <c r="C358" s="1" t="n">
        <v>45844</v>
      </c>
      <c r="D358" t="inlineStr">
        <is>
          <t>KALMAR LÄN</t>
        </is>
      </c>
      <c r="E358" t="inlineStr">
        <is>
          <t>VÄSTERVIK</t>
        </is>
      </c>
      <c r="F358" t="inlineStr">
        <is>
          <t>Holmen skog AB</t>
        </is>
      </c>
      <c r="G358" t="n">
        <v>2.7</v>
      </c>
      <c r="H358" t="n">
        <v>0</v>
      </c>
      <c r="I358" t="n">
        <v>0</v>
      </c>
      <c r="J358" t="n">
        <v>1</v>
      </c>
      <c r="K358" t="n">
        <v>0</v>
      </c>
      <c r="L358" t="n">
        <v>0</v>
      </c>
      <c r="M358" t="n">
        <v>0</v>
      </c>
      <c r="N358" t="n">
        <v>0</v>
      </c>
      <c r="O358" t="n">
        <v>1</v>
      </c>
      <c r="P358" t="n">
        <v>0</v>
      </c>
      <c r="Q358" t="n">
        <v>1</v>
      </c>
      <c r="R358" s="2" t="inlineStr">
        <is>
          <t>Krusfrö</t>
        </is>
      </c>
      <c r="S358">
        <f>HYPERLINK("https://klasma.github.io/Logging_0883/artfynd/A 5840-2025 artfynd.xlsx", "A 5840-2025")</f>
        <v/>
      </c>
      <c r="T358">
        <f>HYPERLINK("https://klasma.github.io/Logging_0883/kartor/A 5840-2025 karta.png", "A 5840-2025")</f>
        <v/>
      </c>
      <c r="V358">
        <f>HYPERLINK("https://klasma.github.io/Logging_0883/klagomål/A 5840-2025 FSC-klagomål.docx", "A 5840-2025")</f>
        <v/>
      </c>
      <c r="W358">
        <f>HYPERLINK("https://klasma.github.io/Logging_0883/klagomålsmail/A 5840-2025 FSC-klagomål mail.docx", "A 5840-2025")</f>
        <v/>
      </c>
      <c r="X358">
        <f>HYPERLINK("https://klasma.github.io/Logging_0883/tillsyn/A 5840-2025 tillsynsbegäran.docx", "A 5840-2025")</f>
        <v/>
      </c>
      <c r="Y358">
        <f>HYPERLINK("https://klasma.github.io/Logging_0883/tillsynsmail/A 5840-2025 tillsynsbegäran mail.docx", "A 5840-2025")</f>
        <v/>
      </c>
    </row>
    <row r="359" ht="15" customHeight="1">
      <c r="A359" t="inlineStr">
        <is>
          <t>A 6657-2025</t>
        </is>
      </c>
      <c r="B359" s="1" t="n">
        <v>45700</v>
      </c>
      <c r="C359" s="1" t="n">
        <v>45844</v>
      </c>
      <c r="D359" t="inlineStr">
        <is>
          <t>KALMAR LÄN</t>
        </is>
      </c>
      <c r="E359" t="inlineStr">
        <is>
          <t>VÄSTERVIK</t>
        </is>
      </c>
      <c r="F359" t="inlineStr">
        <is>
          <t>Holmen skog AB</t>
        </is>
      </c>
      <c r="G359" t="n">
        <v>3</v>
      </c>
      <c r="H359" t="n">
        <v>1</v>
      </c>
      <c r="I359" t="n">
        <v>0</v>
      </c>
      <c r="J359" t="n">
        <v>0</v>
      </c>
      <c r="K359" t="n">
        <v>1</v>
      </c>
      <c r="L359" t="n">
        <v>0</v>
      </c>
      <c r="M359" t="n">
        <v>0</v>
      </c>
      <c r="N359" t="n">
        <v>0</v>
      </c>
      <c r="O359" t="n">
        <v>1</v>
      </c>
      <c r="P359" t="n">
        <v>1</v>
      </c>
      <c r="Q359" t="n">
        <v>1</v>
      </c>
      <c r="R359" s="2" t="inlineStr">
        <is>
          <t>Knärot</t>
        </is>
      </c>
      <c r="S359">
        <f>HYPERLINK("https://klasma.github.io/Logging_0883/artfynd/A 6657-2025 artfynd.xlsx", "A 6657-2025")</f>
        <v/>
      </c>
      <c r="T359">
        <f>HYPERLINK("https://klasma.github.io/Logging_0883/kartor/A 6657-2025 karta.png", "A 6657-2025")</f>
        <v/>
      </c>
      <c r="U359">
        <f>HYPERLINK("https://klasma.github.io/Logging_0883/knärot/A 6657-2025 karta knärot.png", "A 6657-2025")</f>
        <v/>
      </c>
      <c r="V359">
        <f>HYPERLINK("https://klasma.github.io/Logging_0883/klagomål/A 6657-2025 FSC-klagomål.docx", "A 6657-2025")</f>
        <v/>
      </c>
      <c r="W359">
        <f>HYPERLINK("https://klasma.github.io/Logging_0883/klagomålsmail/A 6657-2025 FSC-klagomål mail.docx", "A 6657-2025")</f>
        <v/>
      </c>
      <c r="X359">
        <f>HYPERLINK("https://klasma.github.io/Logging_0883/tillsyn/A 6657-2025 tillsynsbegäran.docx", "A 6657-2025")</f>
        <v/>
      </c>
      <c r="Y359">
        <f>HYPERLINK("https://klasma.github.io/Logging_0883/tillsynsmail/A 6657-2025 tillsynsbegäran mail.docx", "A 6657-2025")</f>
        <v/>
      </c>
    </row>
    <row r="360" ht="15" customHeight="1">
      <c r="A360" t="inlineStr">
        <is>
          <t>A 6634-2025</t>
        </is>
      </c>
      <c r="B360" s="1" t="n">
        <v>45700</v>
      </c>
      <c r="C360" s="1" t="n">
        <v>45844</v>
      </c>
      <c r="D360" t="inlineStr">
        <is>
          <t>KALMAR LÄN</t>
        </is>
      </c>
      <c r="E360" t="inlineStr">
        <is>
          <t>VÄSTERVIK</t>
        </is>
      </c>
      <c r="G360" t="n">
        <v>2.2</v>
      </c>
      <c r="H360" t="n">
        <v>0</v>
      </c>
      <c r="I360" t="n">
        <v>1</v>
      </c>
      <c r="J360" t="n">
        <v>0</v>
      </c>
      <c r="K360" t="n">
        <v>0</v>
      </c>
      <c r="L360" t="n">
        <v>0</v>
      </c>
      <c r="M360" t="n">
        <v>0</v>
      </c>
      <c r="N360" t="n">
        <v>0</v>
      </c>
      <c r="O360" t="n">
        <v>0</v>
      </c>
      <c r="P360" t="n">
        <v>0</v>
      </c>
      <c r="Q360" t="n">
        <v>1</v>
      </c>
      <c r="R360" s="2" t="inlineStr">
        <is>
          <t>Ögonpyrola</t>
        </is>
      </c>
      <c r="S360">
        <f>HYPERLINK("https://klasma.github.io/Logging_0883/artfynd/A 6634-2025 artfynd.xlsx", "A 6634-2025")</f>
        <v/>
      </c>
      <c r="T360">
        <f>HYPERLINK("https://klasma.github.io/Logging_0883/kartor/A 6634-2025 karta.png", "A 6634-2025")</f>
        <v/>
      </c>
      <c r="V360">
        <f>HYPERLINK("https://klasma.github.io/Logging_0883/klagomål/A 6634-2025 FSC-klagomål.docx", "A 6634-2025")</f>
        <v/>
      </c>
      <c r="W360">
        <f>HYPERLINK("https://klasma.github.io/Logging_0883/klagomålsmail/A 6634-2025 FSC-klagomål mail.docx", "A 6634-2025")</f>
        <v/>
      </c>
      <c r="X360">
        <f>HYPERLINK("https://klasma.github.io/Logging_0883/tillsyn/A 6634-2025 tillsynsbegäran.docx", "A 6634-2025")</f>
        <v/>
      </c>
      <c r="Y360">
        <f>HYPERLINK("https://klasma.github.io/Logging_0883/tillsynsmail/A 6634-2025 tillsynsbegäran mail.docx", "A 6634-2025")</f>
        <v/>
      </c>
    </row>
    <row r="361" ht="15" customHeight="1">
      <c r="A361" t="inlineStr">
        <is>
          <t>A 6605-2025</t>
        </is>
      </c>
      <c r="B361" s="1" t="n">
        <v>45700</v>
      </c>
      <c r="C361" s="1" t="n">
        <v>45844</v>
      </c>
      <c r="D361" t="inlineStr">
        <is>
          <t>KALMAR LÄN</t>
        </is>
      </c>
      <c r="E361" t="inlineStr">
        <is>
          <t>VÄSTERVIK</t>
        </is>
      </c>
      <c r="G361" t="n">
        <v>4.5</v>
      </c>
      <c r="H361" t="n">
        <v>0</v>
      </c>
      <c r="I361" t="n">
        <v>1</v>
      </c>
      <c r="J361" t="n">
        <v>0</v>
      </c>
      <c r="K361" t="n">
        <v>0</v>
      </c>
      <c r="L361" t="n">
        <v>0</v>
      </c>
      <c r="M361" t="n">
        <v>0</v>
      </c>
      <c r="N361" t="n">
        <v>0</v>
      </c>
      <c r="O361" t="n">
        <v>0</v>
      </c>
      <c r="P361" t="n">
        <v>0</v>
      </c>
      <c r="Q361" t="n">
        <v>1</v>
      </c>
      <c r="R361" s="2" t="inlineStr">
        <is>
          <t>Dropptaggsvamp</t>
        </is>
      </c>
      <c r="S361">
        <f>HYPERLINK("https://klasma.github.io/Logging_0883/artfynd/A 6605-2025 artfynd.xlsx", "A 6605-2025")</f>
        <v/>
      </c>
      <c r="T361">
        <f>HYPERLINK("https://klasma.github.io/Logging_0883/kartor/A 6605-2025 karta.png", "A 6605-2025")</f>
        <v/>
      </c>
      <c r="V361">
        <f>HYPERLINK("https://klasma.github.io/Logging_0883/klagomål/A 6605-2025 FSC-klagomål.docx", "A 6605-2025")</f>
        <v/>
      </c>
      <c r="W361">
        <f>HYPERLINK("https://klasma.github.io/Logging_0883/klagomålsmail/A 6605-2025 FSC-klagomål mail.docx", "A 6605-2025")</f>
        <v/>
      </c>
      <c r="X361">
        <f>HYPERLINK("https://klasma.github.io/Logging_0883/tillsyn/A 6605-2025 tillsynsbegäran.docx", "A 6605-2025")</f>
        <v/>
      </c>
      <c r="Y361">
        <f>HYPERLINK("https://klasma.github.io/Logging_0883/tillsynsmail/A 6605-2025 tillsynsbegäran mail.docx", "A 6605-2025")</f>
        <v/>
      </c>
    </row>
    <row r="362" ht="15" customHeight="1">
      <c r="A362" t="inlineStr">
        <is>
          <t>A 9261-2025</t>
        </is>
      </c>
      <c r="B362" s="1" t="n">
        <v>45714</v>
      </c>
      <c r="C362" s="1" t="n">
        <v>45844</v>
      </c>
      <c r="D362" t="inlineStr">
        <is>
          <t>KALMAR LÄN</t>
        </is>
      </c>
      <c r="E362" t="inlineStr">
        <is>
          <t>VÄSTERVIK</t>
        </is>
      </c>
      <c r="F362" t="inlineStr">
        <is>
          <t>Sveaskog</t>
        </is>
      </c>
      <c r="G362" t="n">
        <v>4.9</v>
      </c>
      <c r="H362" t="n">
        <v>1</v>
      </c>
      <c r="I362" t="n">
        <v>0</v>
      </c>
      <c r="J362" t="n">
        <v>1</v>
      </c>
      <c r="K362" t="n">
        <v>0</v>
      </c>
      <c r="L362" t="n">
        <v>0</v>
      </c>
      <c r="M362" t="n">
        <v>0</v>
      </c>
      <c r="N362" t="n">
        <v>0</v>
      </c>
      <c r="O362" t="n">
        <v>1</v>
      </c>
      <c r="P362" t="n">
        <v>0</v>
      </c>
      <c r="Q362" t="n">
        <v>1</v>
      </c>
      <c r="R362" s="2" t="inlineStr">
        <is>
          <t>Havsörn</t>
        </is>
      </c>
      <c r="S362">
        <f>HYPERLINK("https://klasma.github.io/Logging_0883/artfynd/A 9261-2025 artfynd.xlsx", "A 9261-2025")</f>
        <v/>
      </c>
      <c r="T362">
        <f>HYPERLINK("https://klasma.github.io/Logging_0883/kartor/A 9261-2025 karta.png", "A 9261-2025")</f>
        <v/>
      </c>
      <c r="V362">
        <f>HYPERLINK("https://klasma.github.io/Logging_0883/klagomål/A 9261-2025 FSC-klagomål.docx", "A 9261-2025")</f>
        <v/>
      </c>
      <c r="W362">
        <f>HYPERLINK("https://klasma.github.io/Logging_0883/klagomålsmail/A 9261-2025 FSC-klagomål mail.docx", "A 9261-2025")</f>
        <v/>
      </c>
      <c r="X362">
        <f>HYPERLINK("https://klasma.github.io/Logging_0883/tillsyn/A 9261-2025 tillsynsbegäran.docx", "A 9261-2025")</f>
        <v/>
      </c>
      <c r="Y362">
        <f>HYPERLINK("https://klasma.github.io/Logging_0883/tillsynsmail/A 9261-2025 tillsynsbegäran mail.docx", "A 9261-2025")</f>
        <v/>
      </c>
      <c r="Z362">
        <f>HYPERLINK("https://klasma.github.io/Logging_0883/fåglar/A 9261-2025 prioriterade fågelarter.docx", "A 9261-2025")</f>
        <v/>
      </c>
    </row>
    <row r="363" ht="15" customHeight="1">
      <c r="A363" t="inlineStr">
        <is>
          <t>A 9265-2025</t>
        </is>
      </c>
      <c r="B363" s="1" t="n">
        <v>45714</v>
      </c>
      <c r="C363" s="1" t="n">
        <v>45844</v>
      </c>
      <c r="D363" t="inlineStr">
        <is>
          <t>KALMAR LÄN</t>
        </is>
      </c>
      <c r="E363" t="inlineStr">
        <is>
          <t>VÄSTERVIK</t>
        </is>
      </c>
      <c r="F363" t="inlineStr">
        <is>
          <t>Sveaskog</t>
        </is>
      </c>
      <c r="G363" t="n">
        <v>2.2</v>
      </c>
      <c r="H363" t="n">
        <v>1</v>
      </c>
      <c r="I363" t="n">
        <v>0</v>
      </c>
      <c r="J363" t="n">
        <v>1</v>
      </c>
      <c r="K363" t="n">
        <v>0</v>
      </c>
      <c r="L363" t="n">
        <v>0</v>
      </c>
      <c r="M363" t="n">
        <v>0</v>
      </c>
      <c r="N363" t="n">
        <v>0</v>
      </c>
      <c r="O363" t="n">
        <v>1</v>
      </c>
      <c r="P363" t="n">
        <v>0</v>
      </c>
      <c r="Q363" t="n">
        <v>1</v>
      </c>
      <c r="R363" s="2" t="inlineStr">
        <is>
          <t>Havsörn</t>
        </is>
      </c>
      <c r="S363">
        <f>HYPERLINK("https://klasma.github.io/Logging_0883/artfynd/A 9265-2025 artfynd.xlsx", "A 9265-2025")</f>
        <v/>
      </c>
      <c r="T363">
        <f>HYPERLINK("https://klasma.github.io/Logging_0883/kartor/A 9265-2025 karta.png", "A 9265-2025")</f>
        <v/>
      </c>
      <c r="V363">
        <f>HYPERLINK("https://klasma.github.io/Logging_0883/klagomål/A 9265-2025 FSC-klagomål.docx", "A 9265-2025")</f>
        <v/>
      </c>
      <c r="W363">
        <f>HYPERLINK("https://klasma.github.io/Logging_0883/klagomålsmail/A 9265-2025 FSC-klagomål mail.docx", "A 9265-2025")</f>
        <v/>
      </c>
      <c r="X363">
        <f>HYPERLINK("https://klasma.github.io/Logging_0883/tillsyn/A 9265-2025 tillsynsbegäran.docx", "A 9265-2025")</f>
        <v/>
      </c>
      <c r="Y363">
        <f>HYPERLINK("https://klasma.github.io/Logging_0883/tillsynsmail/A 9265-2025 tillsynsbegäran mail.docx", "A 9265-2025")</f>
        <v/>
      </c>
      <c r="Z363">
        <f>HYPERLINK("https://klasma.github.io/Logging_0883/fåglar/A 9265-2025 prioriterade fågelarter.docx", "A 9265-2025")</f>
        <v/>
      </c>
    </row>
    <row r="364" ht="15" customHeight="1">
      <c r="A364" t="inlineStr">
        <is>
          <t>A 9571-2025</t>
        </is>
      </c>
      <c r="B364" s="1" t="n">
        <v>45715</v>
      </c>
      <c r="C364" s="1" t="n">
        <v>45844</v>
      </c>
      <c r="D364" t="inlineStr">
        <is>
          <t>KALMAR LÄN</t>
        </is>
      </c>
      <c r="E364" t="inlineStr">
        <is>
          <t>VÄSTERVIK</t>
        </is>
      </c>
      <c r="G364" t="n">
        <v>12</v>
      </c>
      <c r="H364" t="n">
        <v>1</v>
      </c>
      <c r="I364" t="n">
        <v>0</v>
      </c>
      <c r="J364" t="n">
        <v>0</v>
      </c>
      <c r="K364" t="n">
        <v>0</v>
      </c>
      <c r="L364" t="n">
        <v>0</v>
      </c>
      <c r="M364" t="n">
        <v>0</v>
      </c>
      <c r="N364" t="n">
        <v>0</v>
      </c>
      <c r="O364" t="n">
        <v>0</v>
      </c>
      <c r="P364" t="n">
        <v>0</v>
      </c>
      <c r="Q364" t="n">
        <v>1</v>
      </c>
      <c r="R364" s="2" t="inlineStr">
        <is>
          <t>Revlummer</t>
        </is>
      </c>
      <c r="S364">
        <f>HYPERLINK("https://klasma.github.io/Logging_080883/artfynd/A 9571-2025 artfynd.xlsx", "A 9571-2025")</f>
        <v/>
      </c>
      <c r="T364">
        <f>HYPERLINK("https://klasma.github.io/Logging_080883/kartor/A 9571-2025 karta.png", "A 9571-2025")</f>
        <v/>
      </c>
      <c r="V364">
        <f>HYPERLINK("https://klasma.github.io/Logging_080883/klagomål/A 9571-2025 FSC-klagomål.docx", "A 9571-2025")</f>
        <v/>
      </c>
      <c r="W364">
        <f>HYPERLINK("https://klasma.github.io/Logging_080883/klagomålsmail/A 9571-2025 FSC-klagomål mail.docx", "A 9571-2025")</f>
        <v/>
      </c>
      <c r="X364">
        <f>HYPERLINK("https://klasma.github.io/Logging_080883/tillsyn/A 9571-2025 tillsynsbegäran.docx", "A 9571-2025")</f>
        <v/>
      </c>
      <c r="Y364">
        <f>HYPERLINK("https://klasma.github.io/Logging_080883/tillsynsmail/A 9571-2025 tillsynsbegäran mail.docx", "A 9571-2025")</f>
        <v/>
      </c>
    </row>
    <row r="365" ht="15" customHeight="1">
      <c r="A365" t="inlineStr">
        <is>
          <t>A 10768-2025</t>
        </is>
      </c>
      <c r="B365" s="1" t="n">
        <v>45722</v>
      </c>
      <c r="C365" s="1" t="n">
        <v>45844</v>
      </c>
      <c r="D365" t="inlineStr">
        <is>
          <t>KALMAR LÄN</t>
        </is>
      </c>
      <c r="E365" t="inlineStr">
        <is>
          <t>VÄSTERVIK</t>
        </is>
      </c>
      <c r="G365" t="n">
        <v>0.9</v>
      </c>
      <c r="H365" t="n">
        <v>1</v>
      </c>
      <c r="I365" t="n">
        <v>0</v>
      </c>
      <c r="J365" t="n">
        <v>1</v>
      </c>
      <c r="K365" t="n">
        <v>0</v>
      </c>
      <c r="L365" t="n">
        <v>0</v>
      </c>
      <c r="M365" t="n">
        <v>0</v>
      </c>
      <c r="N365" t="n">
        <v>0</v>
      </c>
      <c r="O365" t="n">
        <v>1</v>
      </c>
      <c r="P365" t="n">
        <v>0</v>
      </c>
      <c r="Q365" t="n">
        <v>1</v>
      </c>
      <c r="R365" s="2" t="inlineStr">
        <is>
          <t>Talltita</t>
        </is>
      </c>
      <c r="S365">
        <f>HYPERLINK("https://klasma.github.io/Logging_080883/artfynd/A 10768-2025 artfynd.xlsx", "A 10768-2025")</f>
        <v/>
      </c>
      <c r="T365">
        <f>HYPERLINK("https://klasma.github.io/Logging_080883/kartor/A 10768-2025 karta.png", "A 10768-2025")</f>
        <v/>
      </c>
      <c r="V365">
        <f>HYPERLINK("https://klasma.github.io/Logging_080883/klagomål/A 10768-2025 FSC-klagomål.docx", "A 10768-2025")</f>
        <v/>
      </c>
      <c r="W365">
        <f>HYPERLINK("https://klasma.github.io/Logging_080883/klagomålsmail/A 10768-2025 FSC-klagomål mail.docx", "A 10768-2025")</f>
        <v/>
      </c>
      <c r="X365">
        <f>HYPERLINK("https://klasma.github.io/Logging_080883/tillsyn/A 10768-2025 tillsynsbegäran.docx", "A 10768-2025")</f>
        <v/>
      </c>
      <c r="Y365">
        <f>HYPERLINK("https://klasma.github.io/Logging_080883/tillsynsmail/A 10768-2025 tillsynsbegäran mail.docx", "A 10768-2025")</f>
        <v/>
      </c>
      <c r="Z365">
        <f>HYPERLINK("https://klasma.github.io/Logging_080883/fåglar/A 10768-2025 prioriterade fågelarter.docx", "A 10768-2025")</f>
        <v/>
      </c>
    </row>
    <row r="366" ht="15" customHeight="1">
      <c r="A366" t="inlineStr">
        <is>
          <t>A 12292-2025</t>
        </is>
      </c>
      <c r="B366" s="1" t="n">
        <v>45729</v>
      </c>
      <c r="C366" s="1" t="n">
        <v>45844</v>
      </c>
      <c r="D366" t="inlineStr">
        <is>
          <t>KALMAR LÄN</t>
        </is>
      </c>
      <c r="E366" t="inlineStr">
        <is>
          <t>VÄSTERVIK</t>
        </is>
      </c>
      <c r="G366" t="n">
        <v>1.7</v>
      </c>
      <c r="H366" t="n">
        <v>1</v>
      </c>
      <c r="I366" t="n">
        <v>0</v>
      </c>
      <c r="J366" t="n">
        <v>0</v>
      </c>
      <c r="K366" t="n">
        <v>1</v>
      </c>
      <c r="L366" t="n">
        <v>0</v>
      </c>
      <c r="M366" t="n">
        <v>0</v>
      </c>
      <c r="N366" t="n">
        <v>0</v>
      </c>
      <c r="O366" t="n">
        <v>1</v>
      </c>
      <c r="P366" t="n">
        <v>1</v>
      </c>
      <c r="Q366" t="n">
        <v>1</v>
      </c>
      <c r="R366" s="2" t="inlineStr">
        <is>
          <t>Knärot</t>
        </is>
      </c>
      <c r="S366">
        <f>HYPERLINK("https://klasma.github.io/Logging_080883/artfynd/A 12292-2025 artfynd.xlsx", "A 12292-2025")</f>
        <v/>
      </c>
      <c r="T366">
        <f>HYPERLINK("https://klasma.github.io/Logging_080883/kartor/A 12292-2025 karta.png", "A 12292-2025")</f>
        <v/>
      </c>
      <c r="U366">
        <f>HYPERLINK("https://klasma.github.io/Logging_080883/knärot/A 12292-2025 karta knärot.png", "A 12292-2025")</f>
        <v/>
      </c>
      <c r="V366">
        <f>HYPERLINK("https://klasma.github.io/Logging_080883/klagomål/A 12292-2025 FSC-klagomål.docx", "A 12292-2025")</f>
        <v/>
      </c>
      <c r="W366">
        <f>HYPERLINK("https://klasma.github.io/Logging_080883/klagomålsmail/A 12292-2025 FSC-klagomål mail.docx", "A 12292-2025")</f>
        <v/>
      </c>
      <c r="X366">
        <f>HYPERLINK("https://klasma.github.io/Logging_080883/tillsyn/A 12292-2025 tillsynsbegäran.docx", "A 12292-2025")</f>
        <v/>
      </c>
      <c r="Y366">
        <f>HYPERLINK("https://klasma.github.io/Logging_080883/tillsynsmail/A 12292-2025 tillsynsbegäran mail.docx", "A 12292-2025")</f>
        <v/>
      </c>
    </row>
    <row r="367" ht="15" customHeight="1">
      <c r="A367" t="inlineStr">
        <is>
          <t>A 13107-2025</t>
        </is>
      </c>
      <c r="B367" s="1" t="n">
        <v>45734</v>
      </c>
      <c r="C367" s="1" t="n">
        <v>45844</v>
      </c>
      <c r="D367" t="inlineStr">
        <is>
          <t>KALMAR LÄN</t>
        </is>
      </c>
      <c r="E367" t="inlineStr">
        <is>
          <t>VÄSTERVIK</t>
        </is>
      </c>
      <c r="G367" t="n">
        <v>1</v>
      </c>
      <c r="H367" t="n">
        <v>1</v>
      </c>
      <c r="I367" t="n">
        <v>0</v>
      </c>
      <c r="J367" t="n">
        <v>0</v>
      </c>
      <c r="K367" t="n">
        <v>0</v>
      </c>
      <c r="L367" t="n">
        <v>0</v>
      </c>
      <c r="M367" t="n">
        <v>0</v>
      </c>
      <c r="N367" t="n">
        <v>0</v>
      </c>
      <c r="O367" t="n">
        <v>0</v>
      </c>
      <c r="P367" t="n">
        <v>0</v>
      </c>
      <c r="Q367" t="n">
        <v>1</v>
      </c>
      <c r="R367" s="2" t="inlineStr">
        <is>
          <t>Vanlig groda</t>
        </is>
      </c>
      <c r="S367">
        <f>HYPERLINK("https://klasma.github.io/Logging_080883/artfynd/A 13107-2025 artfynd.xlsx", "A 13107-2025")</f>
        <v/>
      </c>
      <c r="T367">
        <f>HYPERLINK("https://klasma.github.io/Logging_080883/kartor/A 13107-2025 karta.png", "A 13107-2025")</f>
        <v/>
      </c>
      <c r="V367">
        <f>HYPERLINK("https://klasma.github.io/Logging_080883/klagomål/A 13107-2025 FSC-klagomål.docx", "A 13107-2025")</f>
        <v/>
      </c>
      <c r="W367">
        <f>HYPERLINK("https://klasma.github.io/Logging_080883/klagomålsmail/A 13107-2025 FSC-klagomål mail.docx", "A 13107-2025")</f>
        <v/>
      </c>
      <c r="X367">
        <f>HYPERLINK("https://klasma.github.io/Logging_080883/tillsyn/A 13107-2025 tillsynsbegäran.docx", "A 13107-2025")</f>
        <v/>
      </c>
      <c r="Y367">
        <f>HYPERLINK("https://klasma.github.io/Logging_080883/tillsynsmail/A 13107-2025 tillsynsbegäran mail.docx", "A 13107-2025")</f>
        <v/>
      </c>
    </row>
    <row r="368" ht="15" customHeight="1">
      <c r="A368" t="inlineStr">
        <is>
          <t>A 13352-2025</t>
        </is>
      </c>
      <c r="B368" s="1" t="n">
        <v>45735</v>
      </c>
      <c r="C368" s="1" t="n">
        <v>45844</v>
      </c>
      <c r="D368" t="inlineStr">
        <is>
          <t>KALMAR LÄN</t>
        </is>
      </c>
      <c r="E368" t="inlineStr">
        <is>
          <t>VÄSTERVIK</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HYPERLINK("https://klasma.github.io/Logging_080883/artfynd/A 13352-2025 artfynd.xlsx", "A 13352-2025")</f>
        <v/>
      </c>
      <c r="T368">
        <f>HYPERLINK("https://klasma.github.io/Logging_080883/kartor/A 13352-2025 karta.png", "A 13352-2025")</f>
        <v/>
      </c>
      <c r="U368">
        <f>HYPERLINK("https://klasma.github.io/Logging_080883/knärot/A 13352-2025 karta knärot.png", "A 13352-2025")</f>
        <v/>
      </c>
      <c r="V368">
        <f>HYPERLINK("https://klasma.github.io/Logging_080883/klagomål/A 13352-2025 FSC-klagomål.docx", "A 13352-2025")</f>
        <v/>
      </c>
      <c r="W368">
        <f>HYPERLINK("https://klasma.github.io/Logging_080883/klagomålsmail/A 13352-2025 FSC-klagomål mail.docx", "A 13352-2025")</f>
        <v/>
      </c>
      <c r="X368">
        <f>HYPERLINK("https://klasma.github.io/Logging_080883/tillsyn/A 13352-2025 tillsynsbegäran.docx", "A 13352-2025")</f>
        <v/>
      </c>
      <c r="Y368">
        <f>HYPERLINK("https://klasma.github.io/Logging_080883/tillsynsmail/A 13352-2025 tillsynsbegäran mail.docx", "A 13352-2025")</f>
        <v/>
      </c>
    </row>
    <row r="369" ht="15" customHeight="1">
      <c r="A369" t="inlineStr">
        <is>
          <t>A 14082-2025</t>
        </is>
      </c>
      <c r="B369" s="1" t="n">
        <v>45740</v>
      </c>
      <c r="C369" s="1" t="n">
        <v>45844</v>
      </c>
      <c r="D369" t="inlineStr">
        <is>
          <t>KALMAR LÄN</t>
        </is>
      </c>
      <c r="E369" t="inlineStr">
        <is>
          <t>VÄSTERVIK</t>
        </is>
      </c>
      <c r="F369" t="inlineStr">
        <is>
          <t>Sveaskog</t>
        </is>
      </c>
      <c r="G369" t="n">
        <v>1.2</v>
      </c>
      <c r="H369" t="n">
        <v>0</v>
      </c>
      <c r="I369" t="n">
        <v>0</v>
      </c>
      <c r="J369" t="n">
        <v>1</v>
      </c>
      <c r="K369" t="n">
        <v>0</v>
      </c>
      <c r="L369" t="n">
        <v>0</v>
      </c>
      <c r="M369" t="n">
        <v>0</v>
      </c>
      <c r="N369" t="n">
        <v>0</v>
      </c>
      <c r="O369" t="n">
        <v>1</v>
      </c>
      <c r="P369" t="n">
        <v>0</v>
      </c>
      <c r="Q369" t="n">
        <v>1</v>
      </c>
      <c r="R369" s="2" t="inlineStr">
        <is>
          <t>Bredbrämad bastardsvärmare</t>
        </is>
      </c>
      <c r="S369">
        <f>HYPERLINK("https://klasma.github.io/Logging_080883/artfynd/A 14082-2025 artfynd.xlsx", "A 14082-2025")</f>
        <v/>
      </c>
      <c r="T369">
        <f>HYPERLINK("https://klasma.github.io/Logging_080883/kartor/A 14082-2025 karta.png", "A 14082-2025")</f>
        <v/>
      </c>
      <c r="V369">
        <f>HYPERLINK("https://klasma.github.io/Logging_080883/klagomål/A 14082-2025 FSC-klagomål.docx", "A 14082-2025")</f>
        <v/>
      </c>
      <c r="W369">
        <f>HYPERLINK("https://klasma.github.io/Logging_080883/klagomålsmail/A 14082-2025 FSC-klagomål mail.docx", "A 14082-2025")</f>
        <v/>
      </c>
      <c r="X369">
        <f>HYPERLINK("https://klasma.github.io/Logging_080883/tillsyn/A 14082-2025 tillsynsbegäran.docx", "A 14082-2025")</f>
        <v/>
      </c>
      <c r="Y369">
        <f>HYPERLINK("https://klasma.github.io/Logging_080883/tillsynsmail/A 14082-2025 tillsynsbegäran mail.docx", "A 14082-2025")</f>
        <v/>
      </c>
    </row>
    <row r="370" ht="15" customHeight="1">
      <c r="A370" t="inlineStr">
        <is>
          <t>A 14131-2025</t>
        </is>
      </c>
      <c r="B370" s="1" t="n">
        <v>45740</v>
      </c>
      <c r="C370" s="1" t="n">
        <v>45844</v>
      </c>
      <c r="D370" t="inlineStr">
        <is>
          <t>KALMAR LÄN</t>
        </is>
      </c>
      <c r="E370" t="inlineStr">
        <is>
          <t>VÄSTERVIK</t>
        </is>
      </c>
      <c r="F370" t="inlineStr">
        <is>
          <t>Sveaskog</t>
        </is>
      </c>
      <c r="G370" t="n">
        <v>0.7</v>
      </c>
      <c r="H370" t="n">
        <v>1</v>
      </c>
      <c r="I370" t="n">
        <v>0</v>
      </c>
      <c r="J370" t="n">
        <v>0</v>
      </c>
      <c r="K370" t="n">
        <v>0</v>
      </c>
      <c r="L370" t="n">
        <v>0</v>
      </c>
      <c r="M370" t="n">
        <v>0</v>
      </c>
      <c r="N370" t="n">
        <v>0</v>
      </c>
      <c r="O370" t="n">
        <v>0</v>
      </c>
      <c r="P370" t="n">
        <v>0</v>
      </c>
      <c r="Q370" t="n">
        <v>1</v>
      </c>
      <c r="R370" s="2" t="inlineStr">
        <is>
          <t>Blåsippa</t>
        </is>
      </c>
      <c r="S370">
        <f>HYPERLINK("https://klasma.github.io/Logging_080883/artfynd/A 14131-2025 artfynd.xlsx", "A 14131-2025")</f>
        <v/>
      </c>
      <c r="T370">
        <f>HYPERLINK("https://klasma.github.io/Logging_080883/kartor/A 14131-2025 karta.png", "A 14131-2025")</f>
        <v/>
      </c>
      <c r="V370">
        <f>HYPERLINK("https://klasma.github.io/Logging_080883/klagomål/A 14131-2025 FSC-klagomål.docx", "A 14131-2025")</f>
        <v/>
      </c>
      <c r="W370">
        <f>HYPERLINK("https://klasma.github.io/Logging_080883/klagomålsmail/A 14131-2025 FSC-klagomål mail.docx", "A 14131-2025")</f>
        <v/>
      </c>
      <c r="X370">
        <f>HYPERLINK("https://klasma.github.io/Logging_080883/tillsyn/A 14131-2025 tillsynsbegäran.docx", "A 14131-2025")</f>
        <v/>
      </c>
      <c r="Y370">
        <f>HYPERLINK("https://klasma.github.io/Logging_080883/tillsynsmail/A 14131-2025 tillsynsbegäran mail.docx", "A 14131-2025")</f>
        <v/>
      </c>
    </row>
    <row r="371" ht="15" customHeight="1">
      <c r="A371" t="inlineStr">
        <is>
          <t>A 14089-2025</t>
        </is>
      </c>
      <c r="B371" s="1" t="n">
        <v>45740</v>
      </c>
      <c r="C371" s="1" t="n">
        <v>45844</v>
      </c>
      <c r="D371" t="inlineStr">
        <is>
          <t>KALMAR LÄN</t>
        </is>
      </c>
      <c r="E371" t="inlineStr">
        <is>
          <t>VÄSTERVIK</t>
        </is>
      </c>
      <c r="F371" t="inlineStr">
        <is>
          <t>Sveaskog</t>
        </is>
      </c>
      <c r="G371" t="n">
        <v>1.3</v>
      </c>
      <c r="H371" t="n">
        <v>1</v>
      </c>
      <c r="I371" t="n">
        <v>0</v>
      </c>
      <c r="J371" t="n">
        <v>1</v>
      </c>
      <c r="K371" t="n">
        <v>0</v>
      </c>
      <c r="L371" t="n">
        <v>0</v>
      </c>
      <c r="M371" t="n">
        <v>0</v>
      </c>
      <c r="N371" t="n">
        <v>0</v>
      </c>
      <c r="O371" t="n">
        <v>1</v>
      </c>
      <c r="P371" t="n">
        <v>0</v>
      </c>
      <c r="Q371" t="n">
        <v>1</v>
      </c>
      <c r="R371" s="2" t="inlineStr">
        <is>
          <t>Spillkråka</t>
        </is>
      </c>
      <c r="S371">
        <f>HYPERLINK("https://klasma.github.io/Logging_080883/artfynd/A 14089-2025 artfynd.xlsx", "A 14089-2025")</f>
        <v/>
      </c>
      <c r="T371">
        <f>HYPERLINK("https://klasma.github.io/Logging_080883/kartor/A 14089-2025 karta.png", "A 14089-2025")</f>
        <v/>
      </c>
      <c r="V371">
        <f>HYPERLINK("https://klasma.github.io/Logging_080883/klagomål/A 14089-2025 FSC-klagomål.docx", "A 14089-2025")</f>
        <v/>
      </c>
      <c r="W371">
        <f>HYPERLINK("https://klasma.github.io/Logging_080883/klagomålsmail/A 14089-2025 FSC-klagomål mail.docx", "A 14089-2025")</f>
        <v/>
      </c>
      <c r="X371">
        <f>HYPERLINK("https://klasma.github.io/Logging_080883/tillsyn/A 14089-2025 tillsynsbegäran.docx", "A 14089-2025")</f>
        <v/>
      </c>
      <c r="Y371">
        <f>HYPERLINK("https://klasma.github.io/Logging_080883/tillsynsmail/A 14089-2025 tillsynsbegäran mail.docx", "A 14089-2025")</f>
        <v/>
      </c>
      <c r="Z371">
        <f>HYPERLINK("https://klasma.github.io/Logging_080883/fåglar/A 14089-2025 prioriterade fågelarter.docx", "A 14089-2025")</f>
        <v/>
      </c>
    </row>
    <row r="372" ht="15" customHeight="1">
      <c r="A372" t="inlineStr">
        <is>
          <t>A 14103-2025</t>
        </is>
      </c>
      <c r="B372" s="1" t="n">
        <v>45740</v>
      </c>
      <c r="C372" s="1" t="n">
        <v>45844</v>
      </c>
      <c r="D372" t="inlineStr">
        <is>
          <t>KALMAR LÄN</t>
        </is>
      </c>
      <c r="E372" t="inlineStr">
        <is>
          <t>VÄSTERVIK</t>
        </is>
      </c>
      <c r="F372" t="inlineStr">
        <is>
          <t>Sveaskog</t>
        </is>
      </c>
      <c r="G372" t="n">
        <v>0.8</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14103-2025 artfynd.xlsx", "A 14103-2025")</f>
        <v/>
      </c>
      <c r="T372">
        <f>HYPERLINK("https://klasma.github.io/Logging_080883/kartor/A 14103-2025 karta.png", "A 14103-2025")</f>
        <v/>
      </c>
      <c r="V372">
        <f>HYPERLINK("https://klasma.github.io/Logging_080883/klagomål/A 14103-2025 FSC-klagomål.docx", "A 14103-2025")</f>
        <v/>
      </c>
      <c r="W372">
        <f>HYPERLINK("https://klasma.github.io/Logging_080883/klagomålsmail/A 14103-2025 FSC-klagomål mail.docx", "A 14103-2025")</f>
        <v/>
      </c>
      <c r="X372">
        <f>HYPERLINK("https://klasma.github.io/Logging_080883/tillsyn/A 14103-2025 tillsynsbegäran.docx", "A 14103-2025")</f>
        <v/>
      </c>
      <c r="Y372">
        <f>HYPERLINK("https://klasma.github.io/Logging_080883/tillsynsmail/A 14103-2025 tillsynsbegäran mail.docx", "A 14103-2025")</f>
        <v/>
      </c>
    </row>
    <row r="373" ht="15" customHeight="1">
      <c r="A373" t="inlineStr">
        <is>
          <t>A 14592-2025</t>
        </is>
      </c>
      <c r="B373" s="1" t="n">
        <v>45742</v>
      </c>
      <c r="C373" s="1" t="n">
        <v>45844</v>
      </c>
      <c r="D373" t="inlineStr">
        <is>
          <t>KALMAR LÄN</t>
        </is>
      </c>
      <c r="E373" t="inlineStr">
        <is>
          <t>VÄSTERVIK</t>
        </is>
      </c>
      <c r="G373" t="n">
        <v>2.6</v>
      </c>
      <c r="H373" t="n">
        <v>1</v>
      </c>
      <c r="I373" t="n">
        <v>0</v>
      </c>
      <c r="J373" t="n">
        <v>0</v>
      </c>
      <c r="K373" t="n">
        <v>1</v>
      </c>
      <c r="L373" t="n">
        <v>0</v>
      </c>
      <c r="M373" t="n">
        <v>0</v>
      </c>
      <c r="N373" t="n">
        <v>0</v>
      </c>
      <c r="O373" t="n">
        <v>1</v>
      </c>
      <c r="P373" t="n">
        <v>1</v>
      </c>
      <c r="Q373" t="n">
        <v>1</v>
      </c>
      <c r="R373" s="2" t="inlineStr">
        <is>
          <t>Knärot</t>
        </is>
      </c>
      <c r="S373">
        <f>HYPERLINK("https://klasma.github.io/Logging_080883/artfynd/A 14592-2025 artfynd.xlsx", "A 14592-2025")</f>
        <v/>
      </c>
      <c r="T373">
        <f>HYPERLINK("https://klasma.github.io/Logging_080883/kartor/A 14592-2025 karta.png", "A 14592-2025")</f>
        <v/>
      </c>
      <c r="U373">
        <f>HYPERLINK("https://klasma.github.io/Logging_080883/knärot/A 14592-2025 karta knärot.png", "A 14592-2025")</f>
        <v/>
      </c>
      <c r="V373">
        <f>HYPERLINK("https://klasma.github.io/Logging_080883/klagomål/A 14592-2025 FSC-klagomål.docx", "A 14592-2025")</f>
        <v/>
      </c>
      <c r="W373">
        <f>HYPERLINK("https://klasma.github.io/Logging_080883/klagomålsmail/A 14592-2025 FSC-klagomål mail.docx", "A 14592-2025")</f>
        <v/>
      </c>
      <c r="X373">
        <f>HYPERLINK("https://klasma.github.io/Logging_080883/tillsyn/A 14592-2025 tillsynsbegäran.docx", "A 14592-2025")</f>
        <v/>
      </c>
      <c r="Y373">
        <f>HYPERLINK("https://klasma.github.io/Logging_080883/tillsynsmail/A 14592-2025 tillsynsbegäran mail.docx", "A 14592-2025")</f>
        <v/>
      </c>
    </row>
    <row r="374" ht="15" customHeight="1">
      <c r="A374" t="inlineStr">
        <is>
          <t>A 16695-2025</t>
        </is>
      </c>
      <c r="B374" s="1" t="n">
        <v>45754</v>
      </c>
      <c r="C374" s="1" t="n">
        <v>45844</v>
      </c>
      <c r="D374" t="inlineStr">
        <is>
          <t>KALMAR LÄN</t>
        </is>
      </c>
      <c r="E374" t="inlineStr">
        <is>
          <t>VÄSTERVIK</t>
        </is>
      </c>
      <c r="F374" t="inlineStr">
        <is>
          <t>Sveaskog</t>
        </is>
      </c>
      <c r="G374" t="n">
        <v>1.8</v>
      </c>
      <c r="H374" t="n">
        <v>1</v>
      </c>
      <c r="I374" t="n">
        <v>0</v>
      </c>
      <c r="J374" t="n">
        <v>0</v>
      </c>
      <c r="K374" t="n">
        <v>0</v>
      </c>
      <c r="L374" t="n">
        <v>0</v>
      </c>
      <c r="M374" t="n">
        <v>0</v>
      </c>
      <c r="N374" t="n">
        <v>0</v>
      </c>
      <c r="O374" t="n">
        <v>0</v>
      </c>
      <c r="P374" t="n">
        <v>0</v>
      </c>
      <c r="Q374" t="n">
        <v>1</v>
      </c>
      <c r="R374" s="2" t="inlineStr">
        <is>
          <t>Kungsfågel</t>
        </is>
      </c>
      <c r="S374">
        <f>HYPERLINK("https://klasma.github.io/Logging_080883/artfynd/A 16695-2025 artfynd.xlsx", "A 16695-2025")</f>
        <v/>
      </c>
      <c r="T374">
        <f>HYPERLINK("https://klasma.github.io/Logging_080883/kartor/A 16695-2025 karta.png", "A 16695-2025")</f>
        <v/>
      </c>
      <c r="V374">
        <f>HYPERLINK("https://klasma.github.io/Logging_080883/klagomål/A 16695-2025 FSC-klagomål.docx", "A 16695-2025")</f>
        <v/>
      </c>
      <c r="W374">
        <f>HYPERLINK("https://klasma.github.io/Logging_080883/klagomålsmail/A 16695-2025 FSC-klagomål mail.docx", "A 16695-2025")</f>
        <v/>
      </c>
      <c r="X374">
        <f>HYPERLINK("https://klasma.github.io/Logging_080883/tillsyn/A 16695-2025 tillsynsbegäran.docx", "A 16695-2025")</f>
        <v/>
      </c>
      <c r="Y374">
        <f>HYPERLINK("https://klasma.github.io/Logging_080883/tillsynsmail/A 16695-2025 tillsynsbegäran mail.docx", "A 16695-2025")</f>
        <v/>
      </c>
      <c r="Z374">
        <f>HYPERLINK("https://klasma.github.io/Logging_080883/fåglar/A 16695-2025 prioriterade fågelarter.docx", "A 16695-2025")</f>
        <v/>
      </c>
    </row>
    <row r="375" ht="15" customHeight="1">
      <c r="A375" t="inlineStr">
        <is>
          <t>A 16697-2025</t>
        </is>
      </c>
      <c r="B375" s="1" t="n">
        <v>45754</v>
      </c>
      <c r="C375" s="1" t="n">
        <v>45844</v>
      </c>
      <c r="D375" t="inlineStr">
        <is>
          <t>KALMAR LÄN</t>
        </is>
      </c>
      <c r="E375" t="inlineStr">
        <is>
          <t>VÄSTERVIK</t>
        </is>
      </c>
      <c r="F375" t="inlineStr">
        <is>
          <t>Sveaskog</t>
        </is>
      </c>
      <c r="G375" t="n">
        <v>1.3</v>
      </c>
      <c r="H375" t="n">
        <v>1</v>
      </c>
      <c r="I375" t="n">
        <v>0</v>
      </c>
      <c r="J375" t="n">
        <v>1</v>
      </c>
      <c r="K375" t="n">
        <v>0</v>
      </c>
      <c r="L375" t="n">
        <v>0</v>
      </c>
      <c r="M375" t="n">
        <v>0</v>
      </c>
      <c r="N375" t="n">
        <v>0</v>
      </c>
      <c r="O375" t="n">
        <v>1</v>
      </c>
      <c r="P375" t="n">
        <v>0</v>
      </c>
      <c r="Q375" t="n">
        <v>1</v>
      </c>
      <c r="R375" s="2" t="inlineStr">
        <is>
          <t>Spillkråka</t>
        </is>
      </c>
      <c r="S375">
        <f>HYPERLINK("https://klasma.github.io/Logging_080883/artfynd/A 16697-2025 artfynd.xlsx", "A 16697-2025")</f>
        <v/>
      </c>
      <c r="T375">
        <f>HYPERLINK("https://klasma.github.io/Logging_080883/kartor/A 16697-2025 karta.png", "A 16697-2025")</f>
        <v/>
      </c>
      <c r="V375">
        <f>HYPERLINK("https://klasma.github.io/Logging_080883/klagomål/A 16697-2025 FSC-klagomål.docx", "A 16697-2025")</f>
        <v/>
      </c>
      <c r="W375">
        <f>HYPERLINK("https://klasma.github.io/Logging_080883/klagomålsmail/A 16697-2025 FSC-klagomål mail.docx", "A 16697-2025")</f>
        <v/>
      </c>
      <c r="X375">
        <f>HYPERLINK("https://klasma.github.io/Logging_080883/tillsyn/A 16697-2025 tillsynsbegäran.docx", "A 16697-2025")</f>
        <v/>
      </c>
      <c r="Y375">
        <f>HYPERLINK("https://klasma.github.io/Logging_080883/tillsynsmail/A 16697-2025 tillsynsbegäran mail.docx", "A 16697-2025")</f>
        <v/>
      </c>
      <c r="Z375">
        <f>HYPERLINK("https://klasma.github.io/Logging_080883/fåglar/A 16697-2025 prioriterade fågelarter.docx", "A 16697-2025")</f>
        <v/>
      </c>
    </row>
    <row r="376" ht="15" customHeight="1">
      <c r="A376" t="inlineStr">
        <is>
          <t>A 17953-2025</t>
        </is>
      </c>
      <c r="B376" s="1" t="n">
        <v>45760</v>
      </c>
      <c r="C376" s="1" t="n">
        <v>45844</v>
      </c>
      <c r="D376" t="inlineStr">
        <is>
          <t>KALMAR LÄN</t>
        </is>
      </c>
      <c r="E376" t="inlineStr">
        <is>
          <t>VÄSTERVIK</t>
        </is>
      </c>
      <c r="G376" t="n">
        <v>4.1</v>
      </c>
      <c r="H376" t="n">
        <v>1</v>
      </c>
      <c r="I376" t="n">
        <v>0</v>
      </c>
      <c r="J376" t="n">
        <v>1</v>
      </c>
      <c r="K376" t="n">
        <v>0</v>
      </c>
      <c r="L376" t="n">
        <v>0</v>
      </c>
      <c r="M376" t="n">
        <v>0</v>
      </c>
      <c r="N376" t="n">
        <v>0</v>
      </c>
      <c r="O376" t="n">
        <v>1</v>
      </c>
      <c r="P376" t="n">
        <v>0</v>
      </c>
      <c r="Q376" t="n">
        <v>1</v>
      </c>
      <c r="R376" s="2" t="inlineStr">
        <is>
          <t>Talltita</t>
        </is>
      </c>
      <c r="S376">
        <f>HYPERLINK("https://klasma.github.io/Logging_080883/artfynd/A 17953-2025 artfynd.xlsx", "A 17953-2025")</f>
        <v/>
      </c>
      <c r="T376">
        <f>HYPERLINK("https://klasma.github.io/Logging_080883/kartor/A 17953-2025 karta.png", "A 17953-2025")</f>
        <v/>
      </c>
      <c r="V376">
        <f>HYPERLINK("https://klasma.github.io/Logging_080883/klagomål/A 17953-2025 FSC-klagomål.docx", "A 17953-2025")</f>
        <v/>
      </c>
      <c r="W376">
        <f>HYPERLINK("https://klasma.github.io/Logging_080883/klagomålsmail/A 17953-2025 FSC-klagomål mail.docx", "A 17953-2025")</f>
        <v/>
      </c>
      <c r="X376">
        <f>HYPERLINK("https://klasma.github.io/Logging_080883/tillsyn/A 17953-2025 tillsynsbegäran.docx", "A 17953-2025")</f>
        <v/>
      </c>
      <c r="Y376">
        <f>HYPERLINK("https://klasma.github.io/Logging_080883/tillsynsmail/A 17953-2025 tillsynsbegäran mail.docx", "A 17953-2025")</f>
        <v/>
      </c>
      <c r="Z376">
        <f>HYPERLINK("https://klasma.github.io/Logging_080883/fåglar/A 17953-2025 prioriterade fågelarter.docx", "A 17953-2025")</f>
        <v/>
      </c>
    </row>
    <row r="377" ht="15" customHeight="1">
      <c r="A377" t="inlineStr">
        <is>
          <t>A 17952-2025</t>
        </is>
      </c>
      <c r="B377" s="1" t="n">
        <v>45760</v>
      </c>
      <c r="C377" s="1" t="n">
        <v>45844</v>
      </c>
      <c r="D377" t="inlineStr">
        <is>
          <t>KALMAR LÄN</t>
        </is>
      </c>
      <c r="E377" t="inlineStr">
        <is>
          <t>VÄSTERVIK</t>
        </is>
      </c>
      <c r="G377" t="n">
        <v>3.3</v>
      </c>
      <c r="H377" t="n">
        <v>1</v>
      </c>
      <c r="I377" t="n">
        <v>0</v>
      </c>
      <c r="J377" t="n">
        <v>0</v>
      </c>
      <c r="K377" t="n">
        <v>0</v>
      </c>
      <c r="L377" t="n">
        <v>0</v>
      </c>
      <c r="M377" t="n">
        <v>0</v>
      </c>
      <c r="N377" t="n">
        <v>0</v>
      </c>
      <c r="O377" t="n">
        <v>0</v>
      </c>
      <c r="P377" t="n">
        <v>0</v>
      </c>
      <c r="Q377" t="n">
        <v>1</v>
      </c>
      <c r="R377" s="2" t="inlineStr">
        <is>
          <t>Revlummer</t>
        </is>
      </c>
      <c r="S377">
        <f>HYPERLINK("https://klasma.github.io/Logging_080883/artfynd/A 17952-2025 artfynd.xlsx", "A 17952-2025")</f>
        <v/>
      </c>
      <c r="T377">
        <f>HYPERLINK("https://klasma.github.io/Logging_080883/kartor/A 17952-2025 karta.png", "A 17952-2025")</f>
        <v/>
      </c>
      <c r="V377">
        <f>HYPERLINK("https://klasma.github.io/Logging_080883/klagomål/A 17952-2025 FSC-klagomål.docx", "A 17952-2025")</f>
        <v/>
      </c>
      <c r="W377">
        <f>HYPERLINK("https://klasma.github.io/Logging_080883/klagomålsmail/A 17952-2025 FSC-klagomål mail.docx", "A 17952-2025")</f>
        <v/>
      </c>
      <c r="X377">
        <f>HYPERLINK("https://klasma.github.io/Logging_080883/tillsyn/A 17952-2025 tillsynsbegäran.docx", "A 17952-2025")</f>
        <v/>
      </c>
      <c r="Y377">
        <f>HYPERLINK("https://klasma.github.io/Logging_080883/tillsynsmail/A 17952-2025 tillsynsbegäran mail.docx", "A 17952-2025")</f>
        <v/>
      </c>
    </row>
    <row r="378" ht="15" customHeight="1">
      <c r="A378" t="inlineStr">
        <is>
          <t>A 21409-2025</t>
        </is>
      </c>
      <c r="B378" s="1" t="n">
        <v>45782</v>
      </c>
      <c r="C378" s="1" t="n">
        <v>45844</v>
      </c>
      <c r="D378" t="inlineStr">
        <is>
          <t>KALMAR LÄN</t>
        </is>
      </c>
      <c r="E378" t="inlineStr">
        <is>
          <t>VÄSTERVIK</t>
        </is>
      </c>
      <c r="G378" t="n">
        <v>2.5</v>
      </c>
      <c r="H378" t="n">
        <v>1</v>
      </c>
      <c r="I378" t="n">
        <v>0</v>
      </c>
      <c r="J378" t="n">
        <v>0</v>
      </c>
      <c r="K378" t="n">
        <v>0</v>
      </c>
      <c r="L378" t="n">
        <v>0</v>
      </c>
      <c r="M378" t="n">
        <v>0</v>
      </c>
      <c r="N378" t="n">
        <v>0</v>
      </c>
      <c r="O378" t="n">
        <v>0</v>
      </c>
      <c r="P378" t="n">
        <v>0</v>
      </c>
      <c r="Q378" t="n">
        <v>1</v>
      </c>
      <c r="R378" s="2" t="inlineStr">
        <is>
          <t>Grönvit nattviol</t>
        </is>
      </c>
      <c r="S378">
        <f>HYPERLINK("https://klasma.github.io/Logging_080883/artfynd/A 21409-2025 artfynd.xlsx", "A 21409-2025")</f>
        <v/>
      </c>
      <c r="T378">
        <f>HYPERLINK("https://klasma.github.io/Logging_080883/kartor/A 21409-2025 karta.png", "A 21409-2025")</f>
        <v/>
      </c>
      <c r="V378">
        <f>HYPERLINK("https://klasma.github.io/Logging_080883/klagomål/A 21409-2025 FSC-klagomål.docx", "A 21409-2025")</f>
        <v/>
      </c>
      <c r="W378">
        <f>HYPERLINK("https://klasma.github.io/Logging_080883/klagomålsmail/A 21409-2025 FSC-klagomål mail.docx", "A 21409-2025")</f>
        <v/>
      </c>
      <c r="X378">
        <f>HYPERLINK("https://klasma.github.io/Logging_080883/tillsyn/A 21409-2025 tillsynsbegäran.docx", "A 21409-2025")</f>
        <v/>
      </c>
      <c r="Y378">
        <f>HYPERLINK("https://klasma.github.io/Logging_080883/tillsynsmail/A 21409-2025 tillsynsbegäran mail.docx", "A 21409-2025")</f>
        <v/>
      </c>
    </row>
    <row r="379" ht="15" customHeight="1">
      <c r="A379" t="inlineStr">
        <is>
          <t>A 21653-2025</t>
        </is>
      </c>
      <c r="B379" s="1" t="n">
        <v>45783</v>
      </c>
      <c r="C379" s="1" t="n">
        <v>45844</v>
      </c>
      <c r="D379" t="inlineStr">
        <is>
          <t>KALMAR LÄN</t>
        </is>
      </c>
      <c r="E379" t="inlineStr">
        <is>
          <t>VÄSTERVIK</t>
        </is>
      </c>
      <c r="F379" t="inlineStr">
        <is>
          <t>Sveaskog</t>
        </is>
      </c>
      <c r="G379" t="n">
        <v>2.8</v>
      </c>
      <c r="H379" t="n">
        <v>1</v>
      </c>
      <c r="I379" t="n">
        <v>0</v>
      </c>
      <c r="J379" t="n">
        <v>1</v>
      </c>
      <c r="K379" t="n">
        <v>0</v>
      </c>
      <c r="L379" t="n">
        <v>0</v>
      </c>
      <c r="M379" t="n">
        <v>0</v>
      </c>
      <c r="N379" t="n">
        <v>0</v>
      </c>
      <c r="O379" t="n">
        <v>1</v>
      </c>
      <c r="P379" t="n">
        <v>0</v>
      </c>
      <c r="Q379" t="n">
        <v>1</v>
      </c>
      <c r="R379" s="2" t="inlineStr">
        <is>
          <t>Entita</t>
        </is>
      </c>
      <c r="S379">
        <f>HYPERLINK("https://klasma.github.io/Logging_080883/artfynd/A 21653-2025 artfynd.xlsx", "A 21653-2025")</f>
        <v/>
      </c>
      <c r="T379">
        <f>HYPERLINK("https://klasma.github.io/Logging_080883/kartor/A 21653-2025 karta.png", "A 21653-2025")</f>
        <v/>
      </c>
      <c r="V379">
        <f>HYPERLINK("https://klasma.github.io/Logging_080883/klagomål/A 21653-2025 FSC-klagomål.docx", "A 21653-2025")</f>
        <v/>
      </c>
      <c r="W379">
        <f>HYPERLINK("https://klasma.github.io/Logging_080883/klagomålsmail/A 21653-2025 FSC-klagomål mail.docx", "A 21653-2025")</f>
        <v/>
      </c>
      <c r="X379">
        <f>HYPERLINK("https://klasma.github.io/Logging_080883/tillsyn/A 21653-2025 tillsynsbegäran.docx", "A 21653-2025")</f>
        <v/>
      </c>
      <c r="Y379">
        <f>HYPERLINK("https://klasma.github.io/Logging_080883/tillsynsmail/A 21653-2025 tillsynsbegäran mail.docx", "A 21653-2025")</f>
        <v/>
      </c>
      <c r="Z379">
        <f>HYPERLINK("https://klasma.github.io/Logging_080883/fåglar/A 21653-2025 prioriterade fågelarter.docx", "A 21653-2025")</f>
        <v/>
      </c>
    </row>
    <row r="380" ht="15" customHeight="1">
      <c r="A380" t="inlineStr">
        <is>
          <t>A 23192-2025</t>
        </is>
      </c>
      <c r="B380" s="1" t="n">
        <v>45791</v>
      </c>
      <c r="C380" s="1" t="n">
        <v>45844</v>
      </c>
      <c r="D380" t="inlineStr">
        <is>
          <t>KALMAR LÄN</t>
        </is>
      </c>
      <c r="E380" t="inlineStr">
        <is>
          <t>VÄSTERVIK</t>
        </is>
      </c>
      <c r="G380" t="n">
        <v>1.5</v>
      </c>
      <c r="H380" t="n">
        <v>1</v>
      </c>
      <c r="I380" t="n">
        <v>0</v>
      </c>
      <c r="J380" t="n">
        <v>1</v>
      </c>
      <c r="K380" t="n">
        <v>0</v>
      </c>
      <c r="L380" t="n">
        <v>0</v>
      </c>
      <c r="M380" t="n">
        <v>0</v>
      </c>
      <c r="N380" t="n">
        <v>0</v>
      </c>
      <c r="O380" t="n">
        <v>1</v>
      </c>
      <c r="P380" t="n">
        <v>0</v>
      </c>
      <c r="Q380" t="n">
        <v>1</v>
      </c>
      <c r="R380" s="2" t="inlineStr">
        <is>
          <t>Talltita</t>
        </is>
      </c>
      <c r="S380">
        <f>HYPERLINK("https://klasma.github.io/Logging_080883/artfynd/A 23192-2025 artfynd.xlsx", "A 23192-2025")</f>
        <v/>
      </c>
      <c r="T380">
        <f>HYPERLINK("https://klasma.github.io/Logging_080883/kartor/A 23192-2025 karta.png", "A 23192-2025")</f>
        <v/>
      </c>
      <c r="V380">
        <f>HYPERLINK("https://klasma.github.io/Logging_080883/klagomål/A 23192-2025 FSC-klagomål.docx", "A 23192-2025")</f>
        <v/>
      </c>
      <c r="W380">
        <f>HYPERLINK("https://klasma.github.io/Logging_080883/klagomålsmail/A 23192-2025 FSC-klagomål mail.docx", "A 23192-2025")</f>
        <v/>
      </c>
      <c r="X380">
        <f>HYPERLINK("https://klasma.github.io/Logging_080883/tillsyn/A 23192-2025 tillsynsbegäran.docx", "A 23192-2025")</f>
        <v/>
      </c>
      <c r="Y380">
        <f>HYPERLINK("https://klasma.github.io/Logging_080883/tillsynsmail/A 23192-2025 tillsynsbegäran mail.docx", "A 23192-2025")</f>
        <v/>
      </c>
      <c r="Z380">
        <f>HYPERLINK("https://klasma.github.io/Logging_080883/fåglar/A 23192-2025 prioriterade fågelarter.docx", "A 23192-2025")</f>
        <v/>
      </c>
    </row>
    <row r="381" ht="15" customHeight="1">
      <c r="A381" t="inlineStr">
        <is>
          <t>A 23199-2025</t>
        </is>
      </c>
      <c r="B381" s="1" t="n">
        <v>45791</v>
      </c>
      <c r="C381" s="1" t="n">
        <v>45844</v>
      </c>
      <c r="D381" t="inlineStr">
        <is>
          <t>KALMAR LÄN</t>
        </is>
      </c>
      <c r="E381" t="inlineStr">
        <is>
          <t>VÄSTERVIK</t>
        </is>
      </c>
      <c r="G381" t="n">
        <v>2.1</v>
      </c>
      <c r="H381" t="n">
        <v>0</v>
      </c>
      <c r="I381" t="n">
        <v>1</v>
      </c>
      <c r="J381" t="n">
        <v>0</v>
      </c>
      <c r="K381" t="n">
        <v>0</v>
      </c>
      <c r="L381" t="n">
        <v>0</v>
      </c>
      <c r="M381" t="n">
        <v>0</v>
      </c>
      <c r="N381" t="n">
        <v>0</v>
      </c>
      <c r="O381" t="n">
        <v>0</v>
      </c>
      <c r="P381" t="n">
        <v>0</v>
      </c>
      <c r="Q381" t="n">
        <v>1</v>
      </c>
      <c r="R381" s="2" t="inlineStr">
        <is>
          <t>Blåmossa</t>
        </is>
      </c>
      <c r="S381">
        <f>HYPERLINK("https://klasma.github.io/Logging_080883/artfynd/A 23199-2025 artfynd.xlsx", "A 23199-2025")</f>
        <v/>
      </c>
      <c r="T381">
        <f>HYPERLINK("https://klasma.github.io/Logging_080883/kartor/A 23199-2025 karta.png", "A 23199-2025")</f>
        <v/>
      </c>
      <c r="V381">
        <f>HYPERLINK("https://klasma.github.io/Logging_080883/klagomål/A 23199-2025 FSC-klagomål.docx", "A 23199-2025")</f>
        <v/>
      </c>
      <c r="W381">
        <f>HYPERLINK("https://klasma.github.io/Logging_080883/klagomålsmail/A 23199-2025 FSC-klagomål mail.docx", "A 23199-2025")</f>
        <v/>
      </c>
      <c r="X381">
        <f>HYPERLINK("https://klasma.github.io/Logging_080883/tillsyn/A 23199-2025 tillsynsbegäran.docx", "A 23199-2025")</f>
        <v/>
      </c>
      <c r="Y381">
        <f>HYPERLINK("https://klasma.github.io/Logging_080883/tillsynsmail/A 23199-2025 tillsynsbegäran mail.docx", "A 23199-2025")</f>
        <v/>
      </c>
    </row>
    <row r="382" ht="15" customHeight="1">
      <c r="A382" t="inlineStr">
        <is>
          <t>A 23186-2025</t>
        </is>
      </c>
      <c r="B382" s="1" t="n">
        <v>45791</v>
      </c>
      <c r="C382" s="1" t="n">
        <v>45844</v>
      </c>
      <c r="D382" t="inlineStr">
        <is>
          <t>KALMAR LÄN</t>
        </is>
      </c>
      <c r="E382" t="inlineStr">
        <is>
          <t>VÄSTERVIK</t>
        </is>
      </c>
      <c r="G382" t="n">
        <v>1.4</v>
      </c>
      <c r="H382" t="n">
        <v>0</v>
      </c>
      <c r="I382" t="n">
        <v>0</v>
      </c>
      <c r="J382" t="n">
        <v>1</v>
      </c>
      <c r="K382" t="n">
        <v>0</v>
      </c>
      <c r="L382" t="n">
        <v>0</v>
      </c>
      <c r="M382" t="n">
        <v>0</v>
      </c>
      <c r="N382" t="n">
        <v>0</v>
      </c>
      <c r="O382" t="n">
        <v>1</v>
      </c>
      <c r="P382" t="n">
        <v>0</v>
      </c>
      <c r="Q382" t="n">
        <v>1</v>
      </c>
      <c r="R382" s="2" t="inlineStr">
        <is>
          <t>Krusfrö</t>
        </is>
      </c>
      <c r="S382">
        <f>HYPERLINK("https://klasma.github.io/Logging_080883/artfynd/A 23186-2025 artfynd.xlsx", "A 23186-2025")</f>
        <v/>
      </c>
      <c r="T382">
        <f>HYPERLINK("https://klasma.github.io/Logging_080883/kartor/A 23186-2025 karta.png", "A 23186-2025")</f>
        <v/>
      </c>
      <c r="V382">
        <f>HYPERLINK("https://klasma.github.io/Logging_080883/klagomål/A 23186-2025 FSC-klagomål.docx", "A 23186-2025")</f>
        <v/>
      </c>
      <c r="W382">
        <f>HYPERLINK("https://klasma.github.io/Logging_080883/klagomålsmail/A 23186-2025 FSC-klagomål mail.docx", "A 23186-2025")</f>
        <v/>
      </c>
      <c r="X382">
        <f>HYPERLINK("https://klasma.github.io/Logging_080883/tillsyn/A 23186-2025 tillsynsbegäran.docx", "A 23186-2025")</f>
        <v/>
      </c>
      <c r="Y382">
        <f>HYPERLINK("https://klasma.github.io/Logging_080883/tillsynsmail/A 23186-2025 tillsynsbegäran mail.docx", "A 23186-2025")</f>
        <v/>
      </c>
    </row>
    <row r="383" ht="15" customHeight="1">
      <c r="A383" t="inlineStr">
        <is>
          <t>A 24808-2025</t>
        </is>
      </c>
      <c r="B383" s="1" t="n">
        <v>45799</v>
      </c>
      <c r="C383" s="1" t="n">
        <v>45844</v>
      </c>
      <c r="D383" t="inlineStr">
        <is>
          <t>KALMAR LÄN</t>
        </is>
      </c>
      <c r="E383" t="inlineStr">
        <is>
          <t>VÄSTERVIK</t>
        </is>
      </c>
      <c r="G383" t="n">
        <v>2.9</v>
      </c>
      <c r="H383" t="n">
        <v>1</v>
      </c>
      <c r="I383" t="n">
        <v>0</v>
      </c>
      <c r="J383" t="n">
        <v>0</v>
      </c>
      <c r="K383" t="n">
        <v>0</v>
      </c>
      <c r="L383" t="n">
        <v>0</v>
      </c>
      <c r="M383" t="n">
        <v>0</v>
      </c>
      <c r="N383" t="n">
        <v>0</v>
      </c>
      <c r="O383" t="n">
        <v>0</v>
      </c>
      <c r="P383" t="n">
        <v>0</v>
      </c>
      <c r="Q383" t="n">
        <v>1</v>
      </c>
      <c r="R383" s="2" t="inlineStr">
        <is>
          <t>Fläcknycklar</t>
        </is>
      </c>
      <c r="S383">
        <f>HYPERLINK("https://klasma.github.io/Logging_080883/artfynd/A 24808-2025 artfynd.xlsx", "A 24808-2025")</f>
        <v/>
      </c>
      <c r="T383">
        <f>HYPERLINK("https://klasma.github.io/Logging_080883/kartor/A 24808-2025 karta.png", "A 24808-2025")</f>
        <v/>
      </c>
      <c r="V383">
        <f>HYPERLINK("https://klasma.github.io/Logging_080883/klagomål/A 24808-2025 FSC-klagomål.docx", "A 24808-2025")</f>
        <v/>
      </c>
      <c r="W383">
        <f>HYPERLINK("https://klasma.github.io/Logging_080883/klagomålsmail/A 24808-2025 FSC-klagomål mail.docx", "A 24808-2025")</f>
        <v/>
      </c>
      <c r="X383">
        <f>HYPERLINK("https://klasma.github.io/Logging_080883/tillsyn/A 24808-2025 tillsynsbegäran.docx", "A 24808-2025")</f>
        <v/>
      </c>
      <c r="Y383">
        <f>HYPERLINK("https://klasma.github.io/Logging_080883/tillsynsmail/A 24808-2025 tillsynsbegäran mail.docx", "A 24808-2025")</f>
        <v/>
      </c>
    </row>
    <row r="384" ht="15" customHeight="1">
      <c r="A384" t="inlineStr">
        <is>
          <t>A 24884-2025</t>
        </is>
      </c>
      <c r="B384" s="1" t="n">
        <v>45799</v>
      </c>
      <c r="C384" s="1" t="n">
        <v>45844</v>
      </c>
      <c r="D384" t="inlineStr">
        <is>
          <t>KALMAR LÄN</t>
        </is>
      </c>
      <c r="E384" t="inlineStr">
        <is>
          <t>VÄSTERVIK</t>
        </is>
      </c>
      <c r="F384" t="inlineStr">
        <is>
          <t>Holmen skog AB</t>
        </is>
      </c>
      <c r="G384" t="n">
        <v>5.1</v>
      </c>
      <c r="H384" t="n">
        <v>0</v>
      </c>
      <c r="I384" t="n">
        <v>1</v>
      </c>
      <c r="J384" t="n">
        <v>0</v>
      </c>
      <c r="K384" t="n">
        <v>0</v>
      </c>
      <c r="L384" t="n">
        <v>0</v>
      </c>
      <c r="M384" t="n">
        <v>0</v>
      </c>
      <c r="N384" t="n">
        <v>0</v>
      </c>
      <c r="O384" t="n">
        <v>0</v>
      </c>
      <c r="P384" t="n">
        <v>0</v>
      </c>
      <c r="Q384" t="n">
        <v>1</v>
      </c>
      <c r="R384" s="2" t="inlineStr">
        <is>
          <t>Strävlosta</t>
        </is>
      </c>
      <c r="S384">
        <f>HYPERLINK("https://klasma.github.io/Logging_080883/artfynd/A 24884-2025 artfynd.xlsx", "A 24884-2025")</f>
        <v/>
      </c>
      <c r="T384">
        <f>HYPERLINK("https://klasma.github.io/Logging_080883/kartor/A 24884-2025 karta.png", "A 24884-2025")</f>
        <v/>
      </c>
      <c r="V384">
        <f>HYPERLINK("https://klasma.github.io/Logging_080883/klagomål/A 24884-2025 FSC-klagomål.docx", "A 24884-2025")</f>
        <v/>
      </c>
      <c r="W384">
        <f>HYPERLINK("https://klasma.github.io/Logging_080883/klagomålsmail/A 24884-2025 FSC-klagomål mail.docx", "A 24884-2025")</f>
        <v/>
      </c>
      <c r="X384">
        <f>HYPERLINK("https://klasma.github.io/Logging_080883/tillsyn/A 24884-2025 tillsynsbegäran.docx", "A 24884-2025")</f>
        <v/>
      </c>
      <c r="Y384">
        <f>HYPERLINK("https://klasma.github.io/Logging_080883/tillsynsmail/A 24884-2025 tillsynsbegäran mail.docx", "A 24884-2025")</f>
        <v/>
      </c>
    </row>
    <row r="385" ht="15" customHeight="1">
      <c r="A385" t="inlineStr">
        <is>
          <t>A 25501-2025</t>
        </is>
      </c>
      <c r="B385" s="1" t="n">
        <v>45803</v>
      </c>
      <c r="C385" s="1" t="n">
        <v>45844</v>
      </c>
      <c r="D385" t="inlineStr">
        <is>
          <t>KALMAR LÄN</t>
        </is>
      </c>
      <c r="E385" t="inlineStr">
        <is>
          <t>VÄSTERVIK</t>
        </is>
      </c>
      <c r="G385" t="n">
        <v>1.8</v>
      </c>
      <c r="H385" t="n">
        <v>1</v>
      </c>
      <c r="I385" t="n">
        <v>0</v>
      </c>
      <c r="J385" t="n">
        <v>0</v>
      </c>
      <c r="K385" t="n">
        <v>0</v>
      </c>
      <c r="L385" t="n">
        <v>0</v>
      </c>
      <c r="M385" t="n">
        <v>0</v>
      </c>
      <c r="N385" t="n">
        <v>0</v>
      </c>
      <c r="O385" t="n">
        <v>0</v>
      </c>
      <c r="P385" t="n">
        <v>0</v>
      </c>
      <c r="Q385" t="n">
        <v>1</v>
      </c>
      <c r="R385" s="2" t="inlineStr">
        <is>
          <t>Kungsfågel</t>
        </is>
      </c>
      <c r="S385">
        <f>HYPERLINK("https://klasma.github.io/Logging_080883/artfynd/A 25501-2025 artfynd.xlsx", "A 25501-2025")</f>
        <v/>
      </c>
      <c r="T385">
        <f>HYPERLINK("https://klasma.github.io/Logging_080883/kartor/A 25501-2025 karta.png", "A 25501-2025")</f>
        <v/>
      </c>
      <c r="U385">
        <f>HYPERLINK("https://klasma.github.io/Logging_080883/knärot/A 25501-2025 karta knärot.png", "A 25501-2025")</f>
        <v/>
      </c>
      <c r="V385">
        <f>HYPERLINK("https://klasma.github.io/Logging_080883/klagomål/A 25501-2025 FSC-klagomål.docx", "A 25501-2025")</f>
        <v/>
      </c>
      <c r="W385">
        <f>HYPERLINK("https://klasma.github.io/Logging_080883/klagomålsmail/A 25501-2025 FSC-klagomål mail.docx", "A 25501-2025")</f>
        <v/>
      </c>
      <c r="X385">
        <f>HYPERLINK("https://klasma.github.io/Logging_080883/tillsyn/A 25501-2025 tillsynsbegäran.docx", "A 25501-2025")</f>
        <v/>
      </c>
      <c r="Y385">
        <f>HYPERLINK("https://klasma.github.io/Logging_080883/tillsynsmail/A 25501-2025 tillsynsbegäran mail.docx", "A 25501-2025")</f>
        <v/>
      </c>
      <c r="Z385">
        <f>HYPERLINK("https://klasma.github.io/Logging_080883/fåglar/A 25501-2025 prioriterade fågelarter.docx", "A 25501-2025")</f>
        <v/>
      </c>
    </row>
    <row r="386" ht="15" customHeight="1">
      <c r="A386" t="inlineStr">
        <is>
          <t>A 26516-2025</t>
        </is>
      </c>
      <c r="B386" s="1" t="n">
        <v>45807</v>
      </c>
      <c r="C386" s="1" t="n">
        <v>45844</v>
      </c>
      <c r="D386" t="inlineStr">
        <is>
          <t>KALMAR LÄN</t>
        </is>
      </c>
      <c r="E386" t="inlineStr">
        <is>
          <t>VÄSTERVIK</t>
        </is>
      </c>
      <c r="G386" t="n">
        <v>1.3</v>
      </c>
      <c r="H386" t="n">
        <v>1</v>
      </c>
      <c r="I386" t="n">
        <v>0</v>
      </c>
      <c r="J386" t="n">
        <v>1</v>
      </c>
      <c r="K386" t="n">
        <v>0</v>
      </c>
      <c r="L386" t="n">
        <v>0</v>
      </c>
      <c r="M386" t="n">
        <v>0</v>
      </c>
      <c r="N386" t="n">
        <v>0</v>
      </c>
      <c r="O386" t="n">
        <v>1</v>
      </c>
      <c r="P386" t="n">
        <v>0</v>
      </c>
      <c r="Q386" t="n">
        <v>1</v>
      </c>
      <c r="R386" s="2" t="inlineStr">
        <is>
          <t>Grönsångare</t>
        </is>
      </c>
      <c r="S386">
        <f>HYPERLINK("https://klasma.github.io/Logging_080883/artfynd/A 26516-2025 artfynd.xlsx", "A 26516-2025")</f>
        <v/>
      </c>
      <c r="T386">
        <f>HYPERLINK("https://klasma.github.io/Logging_080883/kartor/A 26516-2025 karta.png", "A 26516-2025")</f>
        <v/>
      </c>
      <c r="V386">
        <f>HYPERLINK("https://klasma.github.io/Logging_080883/klagomål/A 26516-2025 FSC-klagomål.docx", "A 26516-2025")</f>
        <v/>
      </c>
      <c r="W386">
        <f>HYPERLINK("https://klasma.github.io/Logging_080883/klagomålsmail/A 26516-2025 FSC-klagomål mail.docx", "A 26516-2025")</f>
        <v/>
      </c>
      <c r="X386">
        <f>HYPERLINK("https://klasma.github.io/Logging_080883/tillsyn/A 26516-2025 tillsynsbegäran.docx", "A 26516-2025")</f>
        <v/>
      </c>
      <c r="Y386">
        <f>HYPERLINK("https://klasma.github.io/Logging_080883/tillsynsmail/A 26516-2025 tillsynsbegäran mail.docx", "A 26516-2025")</f>
        <v/>
      </c>
      <c r="Z386">
        <f>HYPERLINK("https://klasma.github.io/Logging_080883/fåglar/A 26516-2025 prioriterade fågelarter.docx", "A 26516-2025")</f>
        <v/>
      </c>
    </row>
    <row r="387" ht="15" customHeight="1">
      <c r="A387" t="inlineStr">
        <is>
          <t>A 27426-2025</t>
        </is>
      </c>
      <c r="B387" s="1" t="n">
        <v>45813</v>
      </c>
      <c r="C387" s="1" t="n">
        <v>45844</v>
      </c>
      <c r="D387" t="inlineStr">
        <is>
          <t>KALMAR LÄN</t>
        </is>
      </c>
      <c r="E387" t="inlineStr">
        <is>
          <t>VÄSTERVIK</t>
        </is>
      </c>
      <c r="G387" t="n">
        <v>2</v>
      </c>
      <c r="H387" t="n">
        <v>0</v>
      </c>
      <c r="I387" t="n">
        <v>1</v>
      </c>
      <c r="J387" t="n">
        <v>0</v>
      </c>
      <c r="K387" t="n">
        <v>0</v>
      </c>
      <c r="L387" t="n">
        <v>0</v>
      </c>
      <c r="M387" t="n">
        <v>0</v>
      </c>
      <c r="N387" t="n">
        <v>0</v>
      </c>
      <c r="O387" t="n">
        <v>0</v>
      </c>
      <c r="P387" t="n">
        <v>0</v>
      </c>
      <c r="Q387" t="n">
        <v>1</v>
      </c>
      <c r="R387" s="2" t="inlineStr">
        <is>
          <t>Vätteros</t>
        </is>
      </c>
      <c r="S387">
        <f>HYPERLINK("https://klasma.github.io/Logging_080883/artfynd/A 27426-2025 artfynd.xlsx", "A 27426-2025")</f>
        <v/>
      </c>
      <c r="T387">
        <f>HYPERLINK("https://klasma.github.io/Logging_080883/kartor/A 27426-2025 karta.png", "A 27426-2025")</f>
        <v/>
      </c>
      <c r="V387">
        <f>HYPERLINK("https://klasma.github.io/Logging_080883/klagomål/A 27426-2025 FSC-klagomål.docx", "A 27426-2025")</f>
        <v/>
      </c>
      <c r="W387">
        <f>HYPERLINK("https://klasma.github.io/Logging_080883/klagomålsmail/A 27426-2025 FSC-klagomål mail.docx", "A 27426-2025")</f>
        <v/>
      </c>
      <c r="X387">
        <f>HYPERLINK("https://klasma.github.io/Logging_080883/tillsyn/A 27426-2025 tillsynsbegäran.docx", "A 27426-2025")</f>
        <v/>
      </c>
      <c r="Y387">
        <f>HYPERLINK("https://klasma.github.io/Logging_080883/tillsynsmail/A 27426-2025 tillsynsbegäran mail.docx", "A 27426-2025")</f>
        <v/>
      </c>
    </row>
    <row r="388" ht="15" customHeight="1">
      <c r="A388" t="inlineStr">
        <is>
          <t>A 17794-2019</t>
        </is>
      </c>
      <c r="B388" s="1" t="n">
        <v>43556</v>
      </c>
      <c r="C388" s="1" t="n">
        <v>45844</v>
      </c>
      <c r="D388" t="inlineStr">
        <is>
          <t>KALMAR LÄN</t>
        </is>
      </c>
      <c r="E388" t="inlineStr">
        <is>
          <t>VÄSTERVIK</t>
        </is>
      </c>
      <c r="G388" t="n">
        <v>3.3</v>
      </c>
      <c r="H388" t="n">
        <v>0</v>
      </c>
      <c r="I388" t="n">
        <v>0</v>
      </c>
      <c r="J388" t="n">
        <v>0</v>
      </c>
      <c r="K388" t="n">
        <v>0</v>
      </c>
      <c r="L388" t="n">
        <v>0</v>
      </c>
      <c r="M388" t="n">
        <v>0</v>
      </c>
      <c r="N388" t="n">
        <v>0</v>
      </c>
      <c r="O388" t="n">
        <v>0</v>
      </c>
      <c r="P388" t="n">
        <v>0</v>
      </c>
      <c r="Q388" t="n">
        <v>0</v>
      </c>
      <c r="R388" s="2" t="inlineStr"/>
    </row>
    <row r="389" ht="15" customHeight="1">
      <c r="A389" t="inlineStr">
        <is>
          <t>A 18417-2019</t>
        </is>
      </c>
      <c r="B389" s="1" t="n">
        <v>43559</v>
      </c>
      <c r="C389" s="1" t="n">
        <v>45844</v>
      </c>
      <c r="D389" t="inlineStr">
        <is>
          <t>KALMAR LÄN</t>
        </is>
      </c>
      <c r="E389" t="inlineStr">
        <is>
          <t>VÄSTERVIK</t>
        </is>
      </c>
      <c r="G389" t="n">
        <v>1</v>
      </c>
      <c r="H389" t="n">
        <v>0</v>
      </c>
      <c r="I389" t="n">
        <v>0</v>
      </c>
      <c r="J389" t="n">
        <v>0</v>
      </c>
      <c r="K389" t="n">
        <v>0</v>
      </c>
      <c r="L389" t="n">
        <v>0</v>
      </c>
      <c r="M389" t="n">
        <v>0</v>
      </c>
      <c r="N389" t="n">
        <v>0</v>
      </c>
      <c r="O389" t="n">
        <v>0</v>
      </c>
      <c r="P389" t="n">
        <v>0</v>
      </c>
      <c r="Q389" t="n">
        <v>0</v>
      </c>
      <c r="R389" s="2" t="inlineStr"/>
    </row>
    <row r="390" ht="15" customHeight="1">
      <c r="A390" t="inlineStr">
        <is>
          <t>A 18552-2019</t>
        </is>
      </c>
      <c r="B390" s="1" t="n">
        <v>43559</v>
      </c>
      <c r="C390" s="1" t="n">
        <v>45844</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18419-2019</t>
        </is>
      </c>
      <c r="B391" s="1" t="n">
        <v>43559</v>
      </c>
      <c r="C391" s="1" t="n">
        <v>45844</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18768-2019</t>
        </is>
      </c>
      <c r="B392" s="1" t="n">
        <v>43560</v>
      </c>
      <c r="C392" s="1" t="n">
        <v>45844</v>
      </c>
      <c r="D392" t="inlineStr">
        <is>
          <t>KALMAR LÄN</t>
        </is>
      </c>
      <c r="E392" t="inlineStr">
        <is>
          <t>VÄSTERVIK</t>
        </is>
      </c>
      <c r="G392" t="n">
        <v>1.2</v>
      </c>
      <c r="H392" t="n">
        <v>0</v>
      </c>
      <c r="I392" t="n">
        <v>0</v>
      </c>
      <c r="J392" t="n">
        <v>0</v>
      </c>
      <c r="K392" t="n">
        <v>0</v>
      </c>
      <c r="L392" t="n">
        <v>0</v>
      </c>
      <c r="M392" t="n">
        <v>0</v>
      </c>
      <c r="N392" t="n">
        <v>0</v>
      </c>
      <c r="O392" t="n">
        <v>0</v>
      </c>
      <c r="P392" t="n">
        <v>0</v>
      </c>
      <c r="Q392" t="n">
        <v>0</v>
      </c>
      <c r="R392" s="2" t="inlineStr"/>
    </row>
    <row r="393" ht="15" customHeight="1">
      <c r="A393" t="inlineStr">
        <is>
          <t>A 19141-2019</t>
        </is>
      </c>
      <c r="B393" s="1" t="n">
        <v>43564</v>
      </c>
      <c r="C393" s="1" t="n">
        <v>45844</v>
      </c>
      <c r="D393" t="inlineStr">
        <is>
          <t>KALMAR LÄN</t>
        </is>
      </c>
      <c r="E393" t="inlineStr">
        <is>
          <t>VÄSTERVIK</t>
        </is>
      </c>
      <c r="G393" t="n">
        <v>3.3</v>
      </c>
      <c r="H393" t="n">
        <v>0</v>
      </c>
      <c r="I393" t="n">
        <v>0</v>
      </c>
      <c r="J393" t="n">
        <v>0</v>
      </c>
      <c r="K393" t="n">
        <v>0</v>
      </c>
      <c r="L393" t="n">
        <v>0</v>
      </c>
      <c r="M393" t="n">
        <v>0</v>
      </c>
      <c r="N393" t="n">
        <v>0</v>
      </c>
      <c r="O393" t="n">
        <v>0</v>
      </c>
      <c r="P393" t="n">
        <v>0</v>
      </c>
      <c r="Q393" t="n">
        <v>0</v>
      </c>
      <c r="R393" s="2" t="inlineStr"/>
    </row>
    <row r="394" ht="15" customHeight="1">
      <c r="A394" t="inlineStr">
        <is>
          <t>A 19414-2019</t>
        </is>
      </c>
      <c r="B394" s="1" t="n">
        <v>43565</v>
      </c>
      <c r="C394" s="1" t="n">
        <v>45844</v>
      </c>
      <c r="D394" t="inlineStr">
        <is>
          <t>KALMAR LÄN</t>
        </is>
      </c>
      <c r="E394" t="inlineStr">
        <is>
          <t>VÄSTERVIK</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19653-2019</t>
        </is>
      </c>
      <c r="B395" s="1" t="n">
        <v>43566</v>
      </c>
      <c r="C395" s="1" t="n">
        <v>45844</v>
      </c>
      <c r="D395" t="inlineStr">
        <is>
          <t>KALMAR LÄN</t>
        </is>
      </c>
      <c r="E395" t="inlineStr">
        <is>
          <t>VÄSTERVIK</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19819-2019</t>
        </is>
      </c>
      <c r="B396" s="1" t="n">
        <v>43567</v>
      </c>
      <c r="C396" s="1" t="n">
        <v>45844</v>
      </c>
      <c r="D396" t="inlineStr">
        <is>
          <t>KALMAR LÄN</t>
        </is>
      </c>
      <c r="E396" t="inlineStr">
        <is>
          <t>VÄSTERVIK</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19825-2019</t>
        </is>
      </c>
      <c r="B397" s="1" t="n">
        <v>43567</v>
      </c>
      <c r="C397" s="1" t="n">
        <v>45844</v>
      </c>
      <c r="D397" t="inlineStr">
        <is>
          <t>KALMAR LÄN</t>
        </is>
      </c>
      <c r="E397" t="inlineStr">
        <is>
          <t>VÄSTERVIK</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20371-2019</t>
        </is>
      </c>
      <c r="B398" s="1" t="n">
        <v>43571</v>
      </c>
      <c r="C398" s="1" t="n">
        <v>45844</v>
      </c>
      <c r="D398" t="inlineStr">
        <is>
          <t>KALMAR LÄN</t>
        </is>
      </c>
      <c r="E398" t="inlineStr">
        <is>
          <t>VÄSTERVIK</t>
        </is>
      </c>
      <c r="G398" t="n">
        <v>1</v>
      </c>
      <c r="H398" t="n">
        <v>0</v>
      </c>
      <c r="I398" t="n">
        <v>0</v>
      </c>
      <c r="J398" t="n">
        <v>0</v>
      </c>
      <c r="K398" t="n">
        <v>0</v>
      </c>
      <c r="L398" t="n">
        <v>0</v>
      </c>
      <c r="M398" t="n">
        <v>0</v>
      </c>
      <c r="N398" t="n">
        <v>0</v>
      </c>
      <c r="O398" t="n">
        <v>0</v>
      </c>
      <c r="P398" t="n">
        <v>0</v>
      </c>
      <c r="Q398" t="n">
        <v>0</v>
      </c>
      <c r="R398" s="2" t="inlineStr"/>
    </row>
    <row r="399" ht="15" customHeight="1">
      <c r="A399" t="inlineStr">
        <is>
          <t>A 24133-2019</t>
        </is>
      </c>
      <c r="B399" s="1" t="n">
        <v>43598</v>
      </c>
      <c r="C399" s="1" t="n">
        <v>45844</v>
      </c>
      <c r="D399" t="inlineStr">
        <is>
          <t>KALMAR LÄN</t>
        </is>
      </c>
      <c r="E399" t="inlineStr">
        <is>
          <t>VÄSTERVIK</t>
        </is>
      </c>
      <c r="G399" t="n">
        <v>1.8</v>
      </c>
      <c r="H399" t="n">
        <v>0</v>
      </c>
      <c r="I399" t="n">
        <v>0</v>
      </c>
      <c r="J399" t="n">
        <v>0</v>
      </c>
      <c r="K399" t="n">
        <v>0</v>
      </c>
      <c r="L399" t="n">
        <v>0</v>
      </c>
      <c r="M399" t="n">
        <v>0</v>
      </c>
      <c r="N399" t="n">
        <v>0</v>
      </c>
      <c r="O399" t="n">
        <v>0</v>
      </c>
      <c r="P399" t="n">
        <v>0</v>
      </c>
      <c r="Q399" t="n">
        <v>0</v>
      </c>
      <c r="R399" s="2" t="inlineStr"/>
    </row>
    <row r="400" ht="15" customHeight="1">
      <c r="A400" t="inlineStr">
        <is>
          <t>A 24356-2019</t>
        </is>
      </c>
      <c r="B400" s="1" t="n">
        <v>43599</v>
      </c>
      <c r="C400" s="1" t="n">
        <v>45844</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24358-2019</t>
        </is>
      </c>
      <c r="B401" s="1" t="n">
        <v>43599</v>
      </c>
      <c r="C401" s="1" t="n">
        <v>45844</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24316-2019</t>
        </is>
      </c>
      <c r="B402" s="1" t="n">
        <v>43599</v>
      </c>
      <c r="C402" s="1" t="n">
        <v>45844</v>
      </c>
      <c r="D402" t="inlineStr">
        <is>
          <t>KALMAR LÄN</t>
        </is>
      </c>
      <c r="E402" t="inlineStr">
        <is>
          <t>VÄSTERVIK</t>
        </is>
      </c>
      <c r="G402" t="n">
        <v>14.9</v>
      </c>
      <c r="H402" t="n">
        <v>0</v>
      </c>
      <c r="I402" t="n">
        <v>0</v>
      </c>
      <c r="J402" t="n">
        <v>0</v>
      </c>
      <c r="K402" t="n">
        <v>0</v>
      </c>
      <c r="L402" t="n">
        <v>0</v>
      </c>
      <c r="M402" t="n">
        <v>0</v>
      </c>
      <c r="N402" t="n">
        <v>0</v>
      </c>
      <c r="O402" t="n">
        <v>0</v>
      </c>
      <c r="P402" t="n">
        <v>0</v>
      </c>
      <c r="Q402" t="n">
        <v>0</v>
      </c>
      <c r="R402" s="2" t="inlineStr"/>
    </row>
    <row r="403" ht="15" customHeight="1">
      <c r="A403" t="inlineStr">
        <is>
          <t>A 24318-2019</t>
        </is>
      </c>
      <c r="B403" s="1" t="n">
        <v>43599</v>
      </c>
      <c r="C403" s="1" t="n">
        <v>45844</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24354-2019</t>
        </is>
      </c>
      <c r="B404" s="1" t="n">
        <v>43599</v>
      </c>
      <c r="C404" s="1" t="n">
        <v>45844</v>
      </c>
      <c r="D404" t="inlineStr">
        <is>
          <t>KALMAR LÄN</t>
        </is>
      </c>
      <c r="E404" t="inlineStr">
        <is>
          <t>VÄSTERVIK</t>
        </is>
      </c>
      <c r="G404" t="n">
        <v>3.7</v>
      </c>
      <c r="H404" t="n">
        <v>0</v>
      </c>
      <c r="I404" t="n">
        <v>0</v>
      </c>
      <c r="J404" t="n">
        <v>0</v>
      </c>
      <c r="K404" t="n">
        <v>0</v>
      </c>
      <c r="L404" t="n">
        <v>0</v>
      </c>
      <c r="M404" t="n">
        <v>0</v>
      </c>
      <c r="N404" t="n">
        <v>0</v>
      </c>
      <c r="O404" t="n">
        <v>0</v>
      </c>
      <c r="P404" t="n">
        <v>0</v>
      </c>
      <c r="Q404" t="n">
        <v>0</v>
      </c>
      <c r="R404" s="2" t="inlineStr"/>
    </row>
    <row r="405" ht="15" customHeight="1">
      <c r="A405" t="inlineStr">
        <is>
          <t>A 24550-2019</t>
        </is>
      </c>
      <c r="B405" s="1" t="n">
        <v>43600</v>
      </c>
      <c r="C405" s="1" t="n">
        <v>45844</v>
      </c>
      <c r="D405" t="inlineStr">
        <is>
          <t>KALMAR LÄN</t>
        </is>
      </c>
      <c r="E405" t="inlineStr">
        <is>
          <t>VÄSTERVIK</t>
        </is>
      </c>
      <c r="G405" t="n">
        <v>3.6</v>
      </c>
      <c r="H405" t="n">
        <v>0</v>
      </c>
      <c r="I405" t="n">
        <v>0</v>
      </c>
      <c r="J405" t="n">
        <v>0</v>
      </c>
      <c r="K405" t="n">
        <v>0</v>
      </c>
      <c r="L405" t="n">
        <v>0</v>
      </c>
      <c r="M405" t="n">
        <v>0</v>
      </c>
      <c r="N405" t="n">
        <v>0</v>
      </c>
      <c r="O405" t="n">
        <v>0</v>
      </c>
      <c r="P405" t="n">
        <v>0</v>
      </c>
      <c r="Q405" t="n">
        <v>0</v>
      </c>
      <c r="R405" s="2" t="inlineStr"/>
    </row>
    <row r="406" ht="15" customHeight="1">
      <c r="A406" t="inlineStr">
        <is>
          <t>A 24683-2019</t>
        </is>
      </c>
      <c r="B406" s="1" t="n">
        <v>43601</v>
      </c>
      <c r="C406" s="1" t="n">
        <v>45844</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24944-2019</t>
        </is>
      </c>
      <c r="B407" s="1" t="n">
        <v>43602</v>
      </c>
      <c r="C407" s="1" t="n">
        <v>45844</v>
      </c>
      <c r="D407" t="inlineStr">
        <is>
          <t>KALMAR LÄN</t>
        </is>
      </c>
      <c r="E407" t="inlineStr">
        <is>
          <t>VÄSTERVIK</t>
        </is>
      </c>
      <c r="G407" t="n">
        <v>4.1</v>
      </c>
      <c r="H407" t="n">
        <v>0</v>
      </c>
      <c r="I407" t="n">
        <v>0</v>
      </c>
      <c r="J407" t="n">
        <v>0</v>
      </c>
      <c r="K407" t="n">
        <v>0</v>
      </c>
      <c r="L407" t="n">
        <v>0</v>
      </c>
      <c r="M407" t="n">
        <v>0</v>
      </c>
      <c r="N407" t="n">
        <v>0</v>
      </c>
      <c r="O407" t="n">
        <v>0</v>
      </c>
      <c r="P407" t="n">
        <v>0</v>
      </c>
      <c r="Q407" t="n">
        <v>0</v>
      </c>
      <c r="R407" s="2" t="inlineStr"/>
    </row>
    <row r="408" ht="15" customHeight="1">
      <c r="A408" t="inlineStr">
        <is>
          <t>A 26470-2019</t>
        </is>
      </c>
      <c r="B408" s="1" t="n">
        <v>43606</v>
      </c>
      <c r="C408" s="1" t="n">
        <v>45844</v>
      </c>
      <c r="D408" t="inlineStr">
        <is>
          <t>KALMAR LÄN</t>
        </is>
      </c>
      <c r="E408" t="inlineStr">
        <is>
          <t>VÄSTERVIK</t>
        </is>
      </c>
      <c r="G408" t="n">
        <v>1.4</v>
      </c>
      <c r="H408" t="n">
        <v>0</v>
      </c>
      <c r="I408" t="n">
        <v>0</v>
      </c>
      <c r="J408" t="n">
        <v>0</v>
      </c>
      <c r="K408" t="n">
        <v>0</v>
      </c>
      <c r="L408" t="n">
        <v>0</v>
      </c>
      <c r="M408" t="n">
        <v>0</v>
      </c>
      <c r="N408" t="n">
        <v>0</v>
      </c>
      <c r="O408" t="n">
        <v>0</v>
      </c>
      <c r="P408" t="n">
        <v>0</v>
      </c>
      <c r="Q408" t="n">
        <v>0</v>
      </c>
      <c r="R408" s="2" t="inlineStr"/>
    </row>
    <row r="409" ht="15" customHeight="1">
      <c r="A409" t="inlineStr">
        <is>
          <t>A 26834-2019</t>
        </is>
      </c>
      <c r="B409" s="1" t="n">
        <v>43608</v>
      </c>
      <c r="C409" s="1" t="n">
        <v>45844</v>
      </c>
      <c r="D409" t="inlineStr">
        <is>
          <t>KALMAR LÄN</t>
        </is>
      </c>
      <c r="E409" t="inlineStr">
        <is>
          <t>VÄSTERVIK</t>
        </is>
      </c>
      <c r="G409" t="n">
        <v>0.4</v>
      </c>
      <c r="H409" t="n">
        <v>0</v>
      </c>
      <c r="I409" t="n">
        <v>0</v>
      </c>
      <c r="J409" t="n">
        <v>0</v>
      </c>
      <c r="K409" t="n">
        <v>0</v>
      </c>
      <c r="L409" t="n">
        <v>0</v>
      </c>
      <c r="M409" t="n">
        <v>0</v>
      </c>
      <c r="N409" t="n">
        <v>0</v>
      </c>
      <c r="O409" t="n">
        <v>0</v>
      </c>
      <c r="P409" t="n">
        <v>0</v>
      </c>
      <c r="Q409" t="n">
        <v>0</v>
      </c>
      <c r="R409" s="2" t="inlineStr"/>
    </row>
    <row r="410" ht="15" customHeight="1">
      <c r="A410" t="inlineStr">
        <is>
          <t>A 26833-2019</t>
        </is>
      </c>
      <c r="B410" s="1" t="n">
        <v>43608</v>
      </c>
      <c r="C410" s="1" t="n">
        <v>45844</v>
      </c>
      <c r="D410" t="inlineStr">
        <is>
          <t>KALMAR LÄN</t>
        </is>
      </c>
      <c r="E410" t="inlineStr">
        <is>
          <t>VÄSTERVIK</t>
        </is>
      </c>
      <c r="G410" t="n">
        <v>2.3</v>
      </c>
      <c r="H410" t="n">
        <v>0</v>
      </c>
      <c r="I410" t="n">
        <v>0</v>
      </c>
      <c r="J410" t="n">
        <v>0</v>
      </c>
      <c r="K410" t="n">
        <v>0</v>
      </c>
      <c r="L410" t="n">
        <v>0</v>
      </c>
      <c r="M410" t="n">
        <v>0</v>
      </c>
      <c r="N410" t="n">
        <v>0</v>
      </c>
      <c r="O410" t="n">
        <v>0</v>
      </c>
      <c r="P410" t="n">
        <v>0</v>
      </c>
      <c r="Q410" t="n">
        <v>0</v>
      </c>
      <c r="R410" s="2" t="inlineStr"/>
    </row>
    <row r="411" ht="15" customHeight="1">
      <c r="A411" t="inlineStr">
        <is>
          <t>A 26567-2019</t>
        </is>
      </c>
      <c r="B411" s="1" t="n">
        <v>43612</v>
      </c>
      <c r="C411" s="1" t="n">
        <v>45844</v>
      </c>
      <c r="D411" t="inlineStr">
        <is>
          <t>KALMAR LÄN</t>
        </is>
      </c>
      <c r="E411" t="inlineStr">
        <is>
          <t>VÄSTERVIK</t>
        </is>
      </c>
      <c r="G411" t="n">
        <v>1.9</v>
      </c>
      <c r="H411" t="n">
        <v>0</v>
      </c>
      <c r="I411" t="n">
        <v>0</v>
      </c>
      <c r="J411" t="n">
        <v>0</v>
      </c>
      <c r="K411" t="n">
        <v>0</v>
      </c>
      <c r="L411" t="n">
        <v>0</v>
      </c>
      <c r="M411" t="n">
        <v>0</v>
      </c>
      <c r="N411" t="n">
        <v>0</v>
      </c>
      <c r="O411" t="n">
        <v>0</v>
      </c>
      <c r="P411" t="n">
        <v>0</v>
      </c>
      <c r="Q411" t="n">
        <v>0</v>
      </c>
      <c r="R411" s="2" t="inlineStr"/>
    </row>
    <row r="412" ht="15" customHeight="1">
      <c r="A412" t="inlineStr">
        <is>
          <t>A 26590-2019</t>
        </is>
      </c>
      <c r="B412" s="1" t="n">
        <v>43612</v>
      </c>
      <c r="C412" s="1" t="n">
        <v>45844</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26585-2019</t>
        </is>
      </c>
      <c r="B413" s="1" t="n">
        <v>43612</v>
      </c>
      <c r="C413" s="1" t="n">
        <v>45844</v>
      </c>
      <c r="D413" t="inlineStr">
        <is>
          <t>KALMAR LÄN</t>
        </is>
      </c>
      <c r="E413" t="inlineStr">
        <is>
          <t>VÄSTERVIK</t>
        </is>
      </c>
      <c r="G413" t="n">
        <v>3</v>
      </c>
      <c r="H413" t="n">
        <v>0</v>
      </c>
      <c r="I413" t="n">
        <v>0</v>
      </c>
      <c r="J413" t="n">
        <v>0</v>
      </c>
      <c r="K413" t="n">
        <v>0</v>
      </c>
      <c r="L413" t="n">
        <v>0</v>
      </c>
      <c r="M413" t="n">
        <v>0</v>
      </c>
      <c r="N413" t="n">
        <v>0</v>
      </c>
      <c r="O413" t="n">
        <v>0</v>
      </c>
      <c r="P413" t="n">
        <v>0</v>
      </c>
      <c r="Q413" t="n">
        <v>0</v>
      </c>
      <c r="R413" s="2" t="inlineStr"/>
    </row>
    <row r="414" ht="15" customHeight="1">
      <c r="A414" t="inlineStr">
        <is>
          <t>A 26578-2019</t>
        </is>
      </c>
      <c r="B414" s="1" t="n">
        <v>43612</v>
      </c>
      <c r="C414" s="1" t="n">
        <v>45844</v>
      </c>
      <c r="D414" t="inlineStr">
        <is>
          <t>KALMAR LÄN</t>
        </is>
      </c>
      <c r="E414" t="inlineStr">
        <is>
          <t>VÄSTERVIK</t>
        </is>
      </c>
      <c r="G414" t="n">
        <v>0.7</v>
      </c>
      <c r="H414" t="n">
        <v>0</v>
      </c>
      <c r="I414" t="n">
        <v>0</v>
      </c>
      <c r="J414" t="n">
        <v>0</v>
      </c>
      <c r="K414" t="n">
        <v>0</v>
      </c>
      <c r="L414" t="n">
        <v>0</v>
      </c>
      <c r="M414" t="n">
        <v>0</v>
      </c>
      <c r="N414" t="n">
        <v>0</v>
      </c>
      <c r="O414" t="n">
        <v>0</v>
      </c>
      <c r="P414" t="n">
        <v>0</v>
      </c>
      <c r="Q414" t="n">
        <v>0</v>
      </c>
      <c r="R414" s="2" t="inlineStr"/>
    </row>
    <row r="415" ht="15" customHeight="1">
      <c r="A415" t="inlineStr">
        <is>
          <t>A 27206-2019</t>
        </is>
      </c>
      <c r="B415" s="1" t="n">
        <v>43614</v>
      </c>
      <c r="C415" s="1" t="n">
        <v>45844</v>
      </c>
      <c r="D415" t="inlineStr">
        <is>
          <t>KALMAR LÄN</t>
        </is>
      </c>
      <c r="E415" t="inlineStr">
        <is>
          <t>VÄSTERVIK</t>
        </is>
      </c>
      <c r="F415" t="inlineStr">
        <is>
          <t>Sveaskog</t>
        </is>
      </c>
      <c r="G415" t="n">
        <v>7.9</v>
      </c>
      <c r="H415" t="n">
        <v>0</v>
      </c>
      <c r="I415" t="n">
        <v>0</v>
      </c>
      <c r="J415" t="n">
        <v>0</v>
      </c>
      <c r="K415" t="n">
        <v>0</v>
      </c>
      <c r="L415" t="n">
        <v>0</v>
      </c>
      <c r="M415" t="n">
        <v>0</v>
      </c>
      <c r="N415" t="n">
        <v>0</v>
      </c>
      <c r="O415" t="n">
        <v>0</v>
      </c>
      <c r="P415" t="n">
        <v>0</v>
      </c>
      <c r="Q415" t="n">
        <v>0</v>
      </c>
      <c r="R415" s="2" t="inlineStr"/>
    </row>
    <row r="416" ht="15" customHeight="1">
      <c r="A416" t="inlineStr">
        <is>
          <t>A 28970-2019</t>
        </is>
      </c>
      <c r="B416" s="1" t="n">
        <v>43619</v>
      </c>
      <c r="C416" s="1" t="n">
        <v>45844</v>
      </c>
      <c r="D416" t="inlineStr">
        <is>
          <t>KALMAR LÄN</t>
        </is>
      </c>
      <c r="E416" t="inlineStr">
        <is>
          <t>VÄSTERVIK</t>
        </is>
      </c>
      <c r="G416" t="n">
        <v>1.1</v>
      </c>
      <c r="H416" t="n">
        <v>0</v>
      </c>
      <c r="I416" t="n">
        <v>0</v>
      </c>
      <c r="J416" t="n">
        <v>0</v>
      </c>
      <c r="K416" t="n">
        <v>0</v>
      </c>
      <c r="L416" t="n">
        <v>0</v>
      </c>
      <c r="M416" t="n">
        <v>0</v>
      </c>
      <c r="N416" t="n">
        <v>0</v>
      </c>
      <c r="O416" t="n">
        <v>0</v>
      </c>
      <c r="P416" t="n">
        <v>0</v>
      </c>
      <c r="Q416" t="n">
        <v>0</v>
      </c>
      <c r="R416" s="2" t="inlineStr"/>
    </row>
    <row r="417" ht="15" customHeight="1">
      <c r="A417" t="inlineStr">
        <is>
          <t>A 27654-2019</t>
        </is>
      </c>
      <c r="B417" s="1" t="n">
        <v>43619</v>
      </c>
      <c r="C417" s="1" t="n">
        <v>45844</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row>
    <row r="418" ht="15" customHeight="1">
      <c r="A418" t="inlineStr">
        <is>
          <t>A 28347-2019</t>
        </is>
      </c>
      <c r="B418" s="1" t="n">
        <v>43624</v>
      </c>
      <c r="C418" s="1" t="n">
        <v>45844</v>
      </c>
      <c r="D418" t="inlineStr">
        <is>
          <t>KALMAR LÄN</t>
        </is>
      </c>
      <c r="E418" t="inlineStr">
        <is>
          <t>VÄSTERVIK</t>
        </is>
      </c>
      <c r="G418" t="n">
        <v>5.1</v>
      </c>
      <c r="H418" t="n">
        <v>0</v>
      </c>
      <c r="I418" t="n">
        <v>0</v>
      </c>
      <c r="J418" t="n">
        <v>0</v>
      </c>
      <c r="K418" t="n">
        <v>0</v>
      </c>
      <c r="L418" t="n">
        <v>0</v>
      </c>
      <c r="M418" t="n">
        <v>0</v>
      </c>
      <c r="N418" t="n">
        <v>0</v>
      </c>
      <c r="O418" t="n">
        <v>0</v>
      </c>
      <c r="P418" t="n">
        <v>0</v>
      </c>
      <c r="Q418" t="n">
        <v>0</v>
      </c>
      <c r="R418" s="2" t="inlineStr"/>
    </row>
    <row r="419" ht="15" customHeight="1">
      <c r="A419" t="inlineStr">
        <is>
          <t>A 28594-2019</t>
        </is>
      </c>
      <c r="B419" s="1" t="n">
        <v>43626</v>
      </c>
      <c r="C419" s="1" t="n">
        <v>45844</v>
      </c>
      <c r="D419" t="inlineStr">
        <is>
          <t>KALMAR LÄN</t>
        </is>
      </c>
      <c r="E419" t="inlineStr">
        <is>
          <t>VÄSTERVIK</t>
        </is>
      </c>
      <c r="G419" t="n">
        <v>1.2</v>
      </c>
      <c r="H419" t="n">
        <v>0</v>
      </c>
      <c r="I419" t="n">
        <v>0</v>
      </c>
      <c r="J419" t="n">
        <v>0</v>
      </c>
      <c r="K419" t="n">
        <v>0</v>
      </c>
      <c r="L419" t="n">
        <v>0</v>
      </c>
      <c r="M419" t="n">
        <v>0</v>
      </c>
      <c r="N419" t="n">
        <v>0</v>
      </c>
      <c r="O419" t="n">
        <v>0</v>
      </c>
      <c r="P419" t="n">
        <v>0</v>
      </c>
      <c r="Q419" t="n">
        <v>0</v>
      </c>
      <c r="R419" s="2" t="inlineStr"/>
    </row>
    <row r="420" ht="15" customHeight="1">
      <c r="A420" t="inlineStr">
        <is>
          <t>A 28590-2019</t>
        </is>
      </c>
      <c r="B420" s="1" t="n">
        <v>43626</v>
      </c>
      <c r="C420" s="1" t="n">
        <v>45844</v>
      </c>
      <c r="D420" t="inlineStr">
        <is>
          <t>KALMAR LÄN</t>
        </is>
      </c>
      <c r="E420" t="inlineStr">
        <is>
          <t>VÄSTERVIK</t>
        </is>
      </c>
      <c r="G420" t="n">
        <v>2.9</v>
      </c>
      <c r="H420" t="n">
        <v>0</v>
      </c>
      <c r="I420" t="n">
        <v>0</v>
      </c>
      <c r="J420" t="n">
        <v>0</v>
      </c>
      <c r="K420" t="n">
        <v>0</v>
      </c>
      <c r="L420" t="n">
        <v>0</v>
      </c>
      <c r="M420" t="n">
        <v>0</v>
      </c>
      <c r="N420" t="n">
        <v>0</v>
      </c>
      <c r="O420" t="n">
        <v>0</v>
      </c>
      <c r="P420" t="n">
        <v>0</v>
      </c>
      <c r="Q420" t="n">
        <v>0</v>
      </c>
      <c r="R420" s="2" t="inlineStr"/>
    </row>
    <row r="421" ht="15" customHeight="1">
      <c r="A421" t="inlineStr">
        <is>
          <t>A 29519-2019</t>
        </is>
      </c>
      <c r="B421" s="1" t="n">
        <v>43627</v>
      </c>
      <c r="C421" s="1" t="n">
        <v>45844</v>
      </c>
      <c r="D421" t="inlineStr">
        <is>
          <t>KALMAR LÄN</t>
        </is>
      </c>
      <c r="E421" t="inlineStr">
        <is>
          <t>VÄSTERVIK</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30058-2019</t>
        </is>
      </c>
      <c r="B422" s="1" t="n">
        <v>43633</v>
      </c>
      <c r="C422" s="1" t="n">
        <v>45844</v>
      </c>
      <c r="D422" t="inlineStr">
        <is>
          <t>KALMAR LÄN</t>
        </is>
      </c>
      <c r="E422" t="inlineStr">
        <is>
          <t>VÄSTERVIK</t>
        </is>
      </c>
      <c r="G422" t="n">
        <v>0.8</v>
      </c>
      <c r="H422" t="n">
        <v>0</v>
      </c>
      <c r="I422" t="n">
        <v>0</v>
      </c>
      <c r="J422" t="n">
        <v>0</v>
      </c>
      <c r="K422" t="n">
        <v>0</v>
      </c>
      <c r="L422" t="n">
        <v>0</v>
      </c>
      <c r="M422" t="n">
        <v>0</v>
      </c>
      <c r="N422" t="n">
        <v>0</v>
      </c>
      <c r="O422" t="n">
        <v>0</v>
      </c>
      <c r="P422" t="n">
        <v>0</v>
      </c>
      <c r="Q422" t="n">
        <v>0</v>
      </c>
      <c r="R422" s="2" t="inlineStr"/>
    </row>
    <row r="423" ht="15" customHeight="1">
      <c r="A423" t="inlineStr">
        <is>
          <t>A 30057-2019</t>
        </is>
      </c>
      <c r="B423" s="1" t="n">
        <v>43633</v>
      </c>
      <c r="C423" s="1" t="n">
        <v>45844</v>
      </c>
      <c r="D423" t="inlineStr">
        <is>
          <t>KALMAR LÄN</t>
        </is>
      </c>
      <c r="E423" t="inlineStr">
        <is>
          <t>VÄSTERVIK</t>
        </is>
      </c>
      <c r="G423" t="n">
        <v>0.7</v>
      </c>
      <c r="H423" t="n">
        <v>0</v>
      </c>
      <c r="I423" t="n">
        <v>0</v>
      </c>
      <c r="J423" t="n">
        <v>0</v>
      </c>
      <c r="K423" t="n">
        <v>0</v>
      </c>
      <c r="L423" t="n">
        <v>0</v>
      </c>
      <c r="M423" t="n">
        <v>0</v>
      </c>
      <c r="N423" t="n">
        <v>0</v>
      </c>
      <c r="O423" t="n">
        <v>0</v>
      </c>
      <c r="P423" t="n">
        <v>0</v>
      </c>
      <c r="Q423" t="n">
        <v>0</v>
      </c>
      <c r="R423" s="2" t="inlineStr"/>
    </row>
    <row r="424" ht="15" customHeight="1">
      <c r="A424" t="inlineStr">
        <is>
          <t>A 29922-2019</t>
        </is>
      </c>
      <c r="B424" s="1" t="n">
        <v>43633</v>
      </c>
      <c r="C424" s="1" t="n">
        <v>45844</v>
      </c>
      <c r="D424" t="inlineStr">
        <is>
          <t>KALMAR LÄN</t>
        </is>
      </c>
      <c r="E424" t="inlineStr">
        <is>
          <t>VÄSTERVIK</t>
        </is>
      </c>
      <c r="G424" t="n">
        <v>3.8</v>
      </c>
      <c r="H424" t="n">
        <v>0</v>
      </c>
      <c r="I424" t="n">
        <v>0</v>
      </c>
      <c r="J424" t="n">
        <v>0</v>
      </c>
      <c r="K424" t="n">
        <v>0</v>
      </c>
      <c r="L424" t="n">
        <v>0</v>
      </c>
      <c r="M424" t="n">
        <v>0</v>
      </c>
      <c r="N424" t="n">
        <v>0</v>
      </c>
      <c r="O424" t="n">
        <v>0</v>
      </c>
      <c r="P424" t="n">
        <v>0</v>
      </c>
      <c r="Q424" t="n">
        <v>0</v>
      </c>
      <c r="R424" s="2" t="inlineStr"/>
    </row>
    <row r="425" ht="15" customHeight="1">
      <c r="A425" t="inlineStr">
        <is>
          <t>A 31072-2019</t>
        </is>
      </c>
      <c r="B425" s="1" t="n">
        <v>43640</v>
      </c>
      <c r="C425" s="1" t="n">
        <v>45844</v>
      </c>
      <c r="D425" t="inlineStr">
        <is>
          <t>KALMAR LÄN</t>
        </is>
      </c>
      <c r="E425" t="inlineStr">
        <is>
          <t>VÄSTERVIK</t>
        </is>
      </c>
      <c r="G425" t="n">
        <v>2.6</v>
      </c>
      <c r="H425" t="n">
        <v>0</v>
      </c>
      <c r="I425" t="n">
        <v>0</v>
      </c>
      <c r="J425" t="n">
        <v>0</v>
      </c>
      <c r="K425" t="n">
        <v>0</v>
      </c>
      <c r="L425" t="n">
        <v>0</v>
      </c>
      <c r="M425" t="n">
        <v>0</v>
      </c>
      <c r="N425" t="n">
        <v>0</v>
      </c>
      <c r="O425" t="n">
        <v>0</v>
      </c>
      <c r="P425" t="n">
        <v>0</v>
      </c>
      <c r="Q425" t="n">
        <v>0</v>
      </c>
      <c r="R425" s="2" t="inlineStr"/>
    </row>
    <row r="426" ht="15" customHeight="1">
      <c r="A426" t="inlineStr">
        <is>
          <t>A 32045-2019</t>
        </is>
      </c>
      <c r="B426" s="1" t="n">
        <v>43643</v>
      </c>
      <c r="C426" s="1" t="n">
        <v>45844</v>
      </c>
      <c r="D426" t="inlineStr">
        <is>
          <t>KALMAR LÄN</t>
        </is>
      </c>
      <c r="E426" t="inlineStr">
        <is>
          <t>VÄSTERVIK</t>
        </is>
      </c>
      <c r="G426" t="n">
        <v>6.5</v>
      </c>
      <c r="H426" t="n">
        <v>0</v>
      </c>
      <c r="I426" t="n">
        <v>0</v>
      </c>
      <c r="J426" t="n">
        <v>0</v>
      </c>
      <c r="K426" t="n">
        <v>0</v>
      </c>
      <c r="L426" t="n">
        <v>0</v>
      </c>
      <c r="M426" t="n">
        <v>0</v>
      </c>
      <c r="N426" t="n">
        <v>0</v>
      </c>
      <c r="O426" t="n">
        <v>0</v>
      </c>
      <c r="P426" t="n">
        <v>0</v>
      </c>
      <c r="Q426" t="n">
        <v>0</v>
      </c>
      <c r="R426" s="2" t="inlineStr"/>
    </row>
    <row r="427" ht="15" customHeight="1">
      <c r="A427" t="inlineStr">
        <is>
          <t>A 32052-2019</t>
        </is>
      </c>
      <c r="B427" s="1" t="n">
        <v>43643</v>
      </c>
      <c r="C427" s="1" t="n">
        <v>45844</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32048-2019</t>
        </is>
      </c>
      <c r="B428" s="1" t="n">
        <v>43643</v>
      </c>
      <c r="C428" s="1" t="n">
        <v>45844</v>
      </c>
      <c r="D428" t="inlineStr">
        <is>
          <t>KALMAR LÄN</t>
        </is>
      </c>
      <c r="E428" t="inlineStr">
        <is>
          <t>VÄSTERVIK</t>
        </is>
      </c>
      <c r="G428" t="n">
        <v>1.9</v>
      </c>
      <c r="H428" t="n">
        <v>0</v>
      </c>
      <c r="I428" t="n">
        <v>0</v>
      </c>
      <c r="J428" t="n">
        <v>0</v>
      </c>
      <c r="K428" t="n">
        <v>0</v>
      </c>
      <c r="L428" t="n">
        <v>0</v>
      </c>
      <c r="M428" t="n">
        <v>0</v>
      </c>
      <c r="N428" t="n">
        <v>0</v>
      </c>
      <c r="O428" t="n">
        <v>0</v>
      </c>
      <c r="P428" t="n">
        <v>0</v>
      </c>
      <c r="Q428" t="n">
        <v>0</v>
      </c>
      <c r="R428" s="2" t="inlineStr"/>
    </row>
    <row r="429" ht="15" customHeight="1">
      <c r="A429" t="inlineStr">
        <is>
          <t>A 32522-2019</t>
        </is>
      </c>
      <c r="B429" s="1" t="n">
        <v>43646</v>
      </c>
      <c r="C429" s="1" t="n">
        <v>45844</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32521-2019</t>
        </is>
      </c>
      <c r="B430" s="1" t="n">
        <v>43646</v>
      </c>
      <c r="C430" s="1" t="n">
        <v>45844</v>
      </c>
      <c r="D430" t="inlineStr">
        <is>
          <t>KALMAR LÄN</t>
        </is>
      </c>
      <c r="E430" t="inlineStr">
        <is>
          <t>VÄSTERVIK</t>
        </is>
      </c>
      <c r="G430" t="n">
        <v>0.4</v>
      </c>
      <c r="H430" t="n">
        <v>0</v>
      </c>
      <c r="I430" t="n">
        <v>0</v>
      </c>
      <c r="J430" t="n">
        <v>0</v>
      </c>
      <c r="K430" t="n">
        <v>0</v>
      </c>
      <c r="L430" t="n">
        <v>0</v>
      </c>
      <c r="M430" t="n">
        <v>0</v>
      </c>
      <c r="N430" t="n">
        <v>0</v>
      </c>
      <c r="O430" t="n">
        <v>0</v>
      </c>
      <c r="P430" t="n">
        <v>0</v>
      </c>
      <c r="Q430" t="n">
        <v>0</v>
      </c>
      <c r="R430" s="2" t="inlineStr"/>
    </row>
    <row r="431" ht="15" customHeight="1">
      <c r="A431" t="inlineStr">
        <is>
          <t>A 32524-2019</t>
        </is>
      </c>
      <c r="B431" s="1" t="n">
        <v>43646</v>
      </c>
      <c r="C431" s="1" t="n">
        <v>45844</v>
      </c>
      <c r="D431" t="inlineStr">
        <is>
          <t>KALMAR LÄN</t>
        </is>
      </c>
      <c r="E431" t="inlineStr">
        <is>
          <t>VÄSTERVIK</t>
        </is>
      </c>
      <c r="G431" t="n">
        <v>1.4</v>
      </c>
      <c r="H431" t="n">
        <v>0</v>
      </c>
      <c r="I431" t="n">
        <v>0</v>
      </c>
      <c r="J431" t="n">
        <v>0</v>
      </c>
      <c r="K431" t="n">
        <v>0</v>
      </c>
      <c r="L431" t="n">
        <v>0</v>
      </c>
      <c r="M431" t="n">
        <v>0</v>
      </c>
      <c r="N431" t="n">
        <v>0</v>
      </c>
      <c r="O431" t="n">
        <v>0</v>
      </c>
      <c r="P431" t="n">
        <v>0</v>
      </c>
      <c r="Q431" t="n">
        <v>0</v>
      </c>
      <c r="R431" s="2" t="inlineStr"/>
    </row>
    <row r="432" ht="15" customHeight="1">
      <c r="A432" t="inlineStr">
        <is>
          <t>A 32523-2019</t>
        </is>
      </c>
      <c r="B432" s="1" t="n">
        <v>43646</v>
      </c>
      <c r="C432" s="1" t="n">
        <v>45844</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33752-2019</t>
        </is>
      </c>
      <c r="B433" s="1" t="n">
        <v>43651</v>
      </c>
      <c r="C433" s="1" t="n">
        <v>45844</v>
      </c>
      <c r="D433" t="inlineStr">
        <is>
          <t>KALMAR LÄN</t>
        </is>
      </c>
      <c r="E433" t="inlineStr">
        <is>
          <t>VÄSTERVIK</t>
        </is>
      </c>
      <c r="G433" t="n">
        <v>3.1</v>
      </c>
      <c r="H433" t="n">
        <v>0</v>
      </c>
      <c r="I433" t="n">
        <v>0</v>
      </c>
      <c r="J433" t="n">
        <v>0</v>
      </c>
      <c r="K433" t="n">
        <v>0</v>
      </c>
      <c r="L433" t="n">
        <v>0</v>
      </c>
      <c r="M433" t="n">
        <v>0</v>
      </c>
      <c r="N433" t="n">
        <v>0</v>
      </c>
      <c r="O433" t="n">
        <v>0</v>
      </c>
      <c r="P433" t="n">
        <v>0</v>
      </c>
      <c r="Q433" t="n">
        <v>0</v>
      </c>
      <c r="R433" s="2" t="inlineStr"/>
    </row>
    <row r="434" ht="15" customHeight="1">
      <c r="A434" t="inlineStr">
        <is>
          <t>A 33738-2019</t>
        </is>
      </c>
      <c r="B434" s="1" t="n">
        <v>43651</v>
      </c>
      <c r="C434" s="1" t="n">
        <v>45844</v>
      </c>
      <c r="D434" t="inlineStr">
        <is>
          <t>KALMAR LÄN</t>
        </is>
      </c>
      <c r="E434" t="inlineStr">
        <is>
          <t>VÄSTERVIK</t>
        </is>
      </c>
      <c r="G434" t="n">
        <v>2.5</v>
      </c>
      <c r="H434" t="n">
        <v>0</v>
      </c>
      <c r="I434" t="n">
        <v>0</v>
      </c>
      <c r="J434" t="n">
        <v>0</v>
      </c>
      <c r="K434" t="n">
        <v>0</v>
      </c>
      <c r="L434" t="n">
        <v>0</v>
      </c>
      <c r="M434" t="n">
        <v>0</v>
      </c>
      <c r="N434" t="n">
        <v>0</v>
      </c>
      <c r="O434" t="n">
        <v>0</v>
      </c>
      <c r="P434" t="n">
        <v>0</v>
      </c>
      <c r="Q434" t="n">
        <v>0</v>
      </c>
      <c r="R434" s="2" t="inlineStr"/>
    </row>
    <row r="435" ht="15" customHeight="1">
      <c r="A435" t="inlineStr">
        <is>
          <t>A 33741-2019</t>
        </is>
      </c>
      <c r="B435" s="1" t="n">
        <v>43651</v>
      </c>
      <c r="C435" s="1" t="n">
        <v>45844</v>
      </c>
      <c r="D435" t="inlineStr">
        <is>
          <t>KALMAR LÄN</t>
        </is>
      </c>
      <c r="E435" t="inlineStr">
        <is>
          <t>VÄSTERVIK</t>
        </is>
      </c>
      <c r="G435" t="n">
        <v>0.6</v>
      </c>
      <c r="H435" t="n">
        <v>0</v>
      </c>
      <c r="I435" t="n">
        <v>0</v>
      </c>
      <c r="J435" t="n">
        <v>0</v>
      </c>
      <c r="K435" t="n">
        <v>0</v>
      </c>
      <c r="L435" t="n">
        <v>0</v>
      </c>
      <c r="M435" t="n">
        <v>0</v>
      </c>
      <c r="N435" t="n">
        <v>0</v>
      </c>
      <c r="O435" t="n">
        <v>0</v>
      </c>
      <c r="P435" t="n">
        <v>0</v>
      </c>
      <c r="Q435" t="n">
        <v>0</v>
      </c>
      <c r="R435" s="2" t="inlineStr"/>
    </row>
    <row r="436" ht="15" customHeight="1">
      <c r="A436" t="inlineStr">
        <is>
          <t>A 35283-2019</t>
        </is>
      </c>
      <c r="B436" s="1" t="n">
        <v>43656</v>
      </c>
      <c r="C436" s="1" t="n">
        <v>45844</v>
      </c>
      <c r="D436" t="inlineStr">
        <is>
          <t>KALMAR LÄN</t>
        </is>
      </c>
      <c r="E436" t="inlineStr">
        <is>
          <t>VÄSTERVIK</t>
        </is>
      </c>
      <c r="G436" t="n">
        <v>3.2</v>
      </c>
      <c r="H436" t="n">
        <v>0</v>
      </c>
      <c r="I436" t="n">
        <v>0</v>
      </c>
      <c r="J436" t="n">
        <v>0</v>
      </c>
      <c r="K436" t="n">
        <v>0</v>
      </c>
      <c r="L436" t="n">
        <v>0</v>
      </c>
      <c r="M436" t="n">
        <v>0</v>
      </c>
      <c r="N436" t="n">
        <v>0</v>
      </c>
      <c r="O436" t="n">
        <v>0</v>
      </c>
      <c r="P436" t="n">
        <v>0</v>
      </c>
      <c r="Q436" t="n">
        <v>0</v>
      </c>
      <c r="R436" s="2" t="inlineStr"/>
    </row>
    <row r="437" ht="15" customHeight="1">
      <c r="A437" t="inlineStr">
        <is>
          <t>A 35284-2019</t>
        </is>
      </c>
      <c r="B437" s="1" t="n">
        <v>43656</v>
      </c>
      <c r="C437" s="1" t="n">
        <v>45844</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35285-2019</t>
        </is>
      </c>
      <c r="B438" s="1" t="n">
        <v>43656</v>
      </c>
      <c r="C438" s="1" t="n">
        <v>45844</v>
      </c>
      <c r="D438" t="inlineStr">
        <is>
          <t>KALMAR LÄN</t>
        </is>
      </c>
      <c r="E438" t="inlineStr">
        <is>
          <t>VÄSTERVIK</t>
        </is>
      </c>
      <c r="G438" t="n">
        <v>5.7</v>
      </c>
      <c r="H438" t="n">
        <v>0</v>
      </c>
      <c r="I438" t="n">
        <v>0</v>
      </c>
      <c r="J438" t="n">
        <v>0</v>
      </c>
      <c r="K438" t="n">
        <v>0</v>
      </c>
      <c r="L438" t="n">
        <v>0</v>
      </c>
      <c r="M438" t="n">
        <v>0</v>
      </c>
      <c r="N438" t="n">
        <v>0</v>
      </c>
      <c r="O438" t="n">
        <v>0</v>
      </c>
      <c r="P438" t="n">
        <v>0</v>
      </c>
      <c r="Q438" t="n">
        <v>0</v>
      </c>
      <c r="R438" s="2" t="inlineStr"/>
    </row>
    <row r="439" ht="15" customHeight="1">
      <c r="A439" t="inlineStr">
        <is>
          <t>A 37615-2019</t>
        </is>
      </c>
      <c r="B439" s="1" t="n">
        <v>43681</v>
      </c>
      <c r="C439" s="1" t="n">
        <v>45844</v>
      </c>
      <c r="D439" t="inlineStr">
        <is>
          <t>KALMAR LÄN</t>
        </is>
      </c>
      <c r="E439" t="inlineStr">
        <is>
          <t>VÄSTERVIK</t>
        </is>
      </c>
      <c r="G439" t="n">
        <v>3.9</v>
      </c>
      <c r="H439" t="n">
        <v>0</v>
      </c>
      <c r="I439" t="n">
        <v>0</v>
      </c>
      <c r="J439" t="n">
        <v>0</v>
      </c>
      <c r="K439" t="n">
        <v>0</v>
      </c>
      <c r="L439" t="n">
        <v>0</v>
      </c>
      <c r="M439" t="n">
        <v>0</v>
      </c>
      <c r="N439" t="n">
        <v>0</v>
      </c>
      <c r="O439" t="n">
        <v>0</v>
      </c>
      <c r="P439" t="n">
        <v>0</v>
      </c>
      <c r="Q439" t="n">
        <v>0</v>
      </c>
      <c r="R439" s="2" t="inlineStr"/>
    </row>
    <row r="440" ht="15" customHeight="1">
      <c r="A440" t="inlineStr">
        <is>
          <t>A 37983-2019</t>
        </is>
      </c>
      <c r="B440" s="1" t="n">
        <v>43683</v>
      </c>
      <c r="C440" s="1" t="n">
        <v>45844</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37920-2019</t>
        </is>
      </c>
      <c r="B441" s="1" t="n">
        <v>43683</v>
      </c>
      <c r="C441" s="1" t="n">
        <v>45844</v>
      </c>
      <c r="D441" t="inlineStr">
        <is>
          <t>KALMAR LÄN</t>
        </is>
      </c>
      <c r="E441" t="inlineStr">
        <is>
          <t>VÄSTERVIK</t>
        </is>
      </c>
      <c r="G441" t="n">
        <v>0.5</v>
      </c>
      <c r="H441" t="n">
        <v>0</v>
      </c>
      <c r="I441" t="n">
        <v>0</v>
      </c>
      <c r="J441" t="n">
        <v>0</v>
      </c>
      <c r="K441" t="n">
        <v>0</v>
      </c>
      <c r="L441" t="n">
        <v>0</v>
      </c>
      <c r="M441" t="n">
        <v>0</v>
      </c>
      <c r="N441" t="n">
        <v>0</v>
      </c>
      <c r="O441" t="n">
        <v>0</v>
      </c>
      <c r="P441" t="n">
        <v>0</v>
      </c>
      <c r="Q441" t="n">
        <v>0</v>
      </c>
      <c r="R441" s="2" t="inlineStr"/>
    </row>
    <row r="442" ht="15" customHeight="1">
      <c r="A442" t="inlineStr">
        <is>
          <t>A 38229-2019</t>
        </is>
      </c>
      <c r="B442" s="1" t="n">
        <v>43684</v>
      </c>
      <c r="C442" s="1" t="n">
        <v>45844</v>
      </c>
      <c r="D442" t="inlineStr">
        <is>
          <t>KALMAR LÄN</t>
        </is>
      </c>
      <c r="E442" t="inlineStr">
        <is>
          <t>VÄSTERVIK</t>
        </is>
      </c>
      <c r="G442" t="n">
        <v>1.1</v>
      </c>
      <c r="H442" t="n">
        <v>0</v>
      </c>
      <c r="I442" t="n">
        <v>0</v>
      </c>
      <c r="J442" t="n">
        <v>0</v>
      </c>
      <c r="K442" t="n">
        <v>0</v>
      </c>
      <c r="L442" t="n">
        <v>0</v>
      </c>
      <c r="M442" t="n">
        <v>0</v>
      </c>
      <c r="N442" t="n">
        <v>0</v>
      </c>
      <c r="O442" t="n">
        <v>0</v>
      </c>
      <c r="P442" t="n">
        <v>0</v>
      </c>
      <c r="Q442" t="n">
        <v>0</v>
      </c>
      <c r="R442" s="2" t="inlineStr"/>
    </row>
    <row r="443" ht="15" customHeight="1">
      <c r="A443" t="inlineStr">
        <is>
          <t>A 38239-2019</t>
        </is>
      </c>
      <c r="B443" s="1" t="n">
        <v>43684</v>
      </c>
      <c r="C443" s="1" t="n">
        <v>45844</v>
      </c>
      <c r="D443" t="inlineStr">
        <is>
          <t>KALMAR LÄN</t>
        </is>
      </c>
      <c r="E443" t="inlineStr">
        <is>
          <t>VÄSTERVIK</t>
        </is>
      </c>
      <c r="G443" t="n">
        <v>1.4</v>
      </c>
      <c r="H443" t="n">
        <v>0</v>
      </c>
      <c r="I443" t="n">
        <v>0</v>
      </c>
      <c r="J443" t="n">
        <v>0</v>
      </c>
      <c r="K443" t="n">
        <v>0</v>
      </c>
      <c r="L443" t="n">
        <v>0</v>
      </c>
      <c r="M443" t="n">
        <v>0</v>
      </c>
      <c r="N443" t="n">
        <v>0</v>
      </c>
      <c r="O443" t="n">
        <v>0</v>
      </c>
      <c r="P443" t="n">
        <v>0</v>
      </c>
      <c r="Q443" t="n">
        <v>0</v>
      </c>
      <c r="R443" s="2" t="inlineStr"/>
    </row>
    <row r="444" ht="15" customHeight="1">
      <c r="A444" t="inlineStr">
        <is>
          <t>A 38904-2019</t>
        </is>
      </c>
      <c r="B444" s="1" t="n">
        <v>43689</v>
      </c>
      <c r="C444" s="1" t="n">
        <v>45844</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39696-2019</t>
        </is>
      </c>
      <c r="B445" s="1" t="n">
        <v>43691</v>
      </c>
      <c r="C445" s="1" t="n">
        <v>45844</v>
      </c>
      <c r="D445" t="inlineStr">
        <is>
          <t>KALMAR LÄN</t>
        </is>
      </c>
      <c r="E445" t="inlineStr">
        <is>
          <t>VÄSTERVIK</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39745-2019</t>
        </is>
      </c>
      <c r="B446" s="1" t="n">
        <v>43691</v>
      </c>
      <c r="C446" s="1" t="n">
        <v>45844</v>
      </c>
      <c r="D446" t="inlineStr">
        <is>
          <t>KALMAR LÄN</t>
        </is>
      </c>
      <c r="E446" t="inlineStr">
        <is>
          <t>VÄSTERVIK</t>
        </is>
      </c>
      <c r="G446" t="n">
        <v>2.1</v>
      </c>
      <c r="H446" t="n">
        <v>0</v>
      </c>
      <c r="I446" t="n">
        <v>0</v>
      </c>
      <c r="J446" t="n">
        <v>0</v>
      </c>
      <c r="K446" t="n">
        <v>0</v>
      </c>
      <c r="L446" t="n">
        <v>0</v>
      </c>
      <c r="M446" t="n">
        <v>0</v>
      </c>
      <c r="N446" t="n">
        <v>0</v>
      </c>
      <c r="O446" t="n">
        <v>0</v>
      </c>
      <c r="P446" t="n">
        <v>0</v>
      </c>
      <c r="Q446" t="n">
        <v>0</v>
      </c>
      <c r="R446" s="2" t="inlineStr"/>
    </row>
    <row r="447" ht="15" customHeight="1">
      <c r="A447" t="inlineStr">
        <is>
          <t>A 41961-2019</t>
        </is>
      </c>
      <c r="B447" s="1" t="n">
        <v>43698</v>
      </c>
      <c r="C447" s="1" t="n">
        <v>45844</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41728-2019</t>
        </is>
      </c>
      <c r="B448" s="1" t="n">
        <v>43699</v>
      </c>
      <c r="C448" s="1" t="n">
        <v>45844</v>
      </c>
      <c r="D448" t="inlineStr">
        <is>
          <t>KALMAR LÄN</t>
        </is>
      </c>
      <c r="E448" t="inlineStr">
        <is>
          <t>VÄSTERVIK</t>
        </is>
      </c>
      <c r="G448" t="n">
        <v>0.5</v>
      </c>
      <c r="H448" t="n">
        <v>0</v>
      </c>
      <c r="I448" t="n">
        <v>0</v>
      </c>
      <c r="J448" t="n">
        <v>0</v>
      </c>
      <c r="K448" t="n">
        <v>0</v>
      </c>
      <c r="L448" t="n">
        <v>0</v>
      </c>
      <c r="M448" t="n">
        <v>0</v>
      </c>
      <c r="N448" t="n">
        <v>0</v>
      </c>
      <c r="O448" t="n">
        <v>0</v>
      </c>
      <c r="P448" t="n">
        <v>0</v>
      </c>
      <c r="Q448" t="n">
        <v>0</v>
      </c>
      <c r="R448" s="2" t="inlineStr"/>
    </row>
    <row r="449" ht="15" customHeight="1">
      <c r="A449" t="inlineStr">
        <is>
          <t>A 44467-2019</t>
        </is>
      </c>
      <c r="B449" s="1" t="n">
        <v>43711</v>
      </c>
      <c r="C449" s="1" t="n">
        <v>45844</v>
      </c>
      <c r="D449" t="inlineStr">
        <is>
          <t>KALMAR LÄN</t>
        </is>
      </c>
      <c r="E449" t="inlineStr">
        <is>
          <t>VÄSTERVIK</t>
        </is>
      </c>
      <c r="G449" t="n">
        <v>2.5</v>
      </c>
      <c r="H449" t="n">
        <v>0</v>
      </c>
      <c r="I449" t="n">
        <v>0</v>
      </c>
      <c r="J449" t="n">
        <v>0</v>
      </c>
      <c r="K449" t="n">
        <v>0</v>
      </c>
      <c r="L449" t="n">
        <v>0</v>
      </c>
      <c r="M449" t="n">
        <v>0</v>
      </c>
      <c r="N449" t="n">
        <v>0</v>
      </c>
      <c r="O449" t="n">
        <v>0</v>
      </c>
      <c r="P449" t="n">
        <v>0</v>
      </c>
      <c r="Q449" t="n">
        <v>0</v>
      </c>
      <c r="R449" s="2" t="inlineStr"/>
    </row>
    <row r="450" ht="15" customHeight="1">
      <c r="A450" t="inlineStr">
        <is>
          <t>A 44639-2019</t>
        </is>
      </c>
      <c r="B450" s="1" t="n">
        <v>43712</v>
      </c>
      <c r="C450" s="1" t="n">
        <v>45844</v>
      </c>
      <c r="D450" t="inlineStr">
        <is>
          <t>KALMAR LÄN</t>
        </is>
      </c>
      <c r="E450" t="inlineStr">
        <is>
          <t>VÄSTERVIK</t>
        </is>
      </c>
      <c r="F450" t="inlineStr">
        <is>
          <t>Övriga Aktiebolag</t>
        </is>
      </c>
      <c r="G450" t="n">
        <v>5.9</v>
      </c>
      <c r="H450" t="n">
        <v>0</v>
      </c>
      <c r="I450" t="n">
        <v>0</v>
      </c>
      <c r="J450" t="n">
        <v>0</v>
      </c>
      <c r="K450" t="n">
        <v>0</v>
      </c>
      <c r="L450" t="n">
        <v>0</v>
      </c>
      <c r="M450" t="n">
        <v>0</v>
      </c>
      <c r="N450" t="n">
        <v>0</v>
      </c>
      <c r="O450" t="n">
        <v>0</v>
      </c>
      <c r="P450" t="n">
        <v>0</v>
      </c>
      <c r="Q450" t="n">
        <v>0</v>
      </c>
      <c r="R450" s="2" t="inlineStr"/>
    </row>
    <row r="451" ht="15" customHeight="1">
      <c r="A451" t="inlineStr">
        <is>
          <t>A 46173-2019</t>
        </is>
      </c>
      <c r="B451" s="1" t="n">
        <v>43712</v>
      </c>
      <c r="C451" s="1" t="n">
        <v>45844</v>
      </c>
      <c r="D451" t="inlineStr">
        <is>
          <t>KALMAR LÄN</t>
        </is>
      </c>
      <c r="E451" t="inlineStr">
        <is>
          <t>VÄSTERVIK</t>
        </is>
      </c>
      <c r="G451" t="n">
        <v>4.2</v>
      </c>
      <c r="H451" t="n">
        <v>0</v>
      </c>
      <c r="I451" t="n">
        <v>0</v>
      </c>
      <c r="J451" t="n">
        <v>0</v>
      </c>
      <c r="K451" t="n">
        <v>0</v>
      </c>
      <c r="L451" t="n">
        <v>0</v>
      </c>
      <c r="M451" t="n">
        <v>0</v>
      </c>
      <c r="N451" t="n">
        <v>0</v>
      </c>
      <c r="O451" t="n">
        <v>0</v>
      </c>
      <c r="P451" t="n">
        <v>0</v>
      </c>
      <c r="Q451" t="n">
        <v>0</v>
      </c>
      <c r="R451" s="2" t="inlineStr"/>
    </row>
    <row r="452" ht="15" customHeight="1">
      <c r="A452" t="inlineStr">
        <is>
          <t>A 45162-2019</t>
        </is>
      </c>
      <c r="B452" s="1" t="n">
        <v>43713</v>
      </c>
      <c r="C452" s="1" t="n">
        <v>45844</v>
      </c>
      <c r="D452" t="inlineStr">
        <is>
          <t>KALMAR LÄN</t>
        </is>
      </c>
      <c r="E452" t="inlineStr">
        <is>
          <t>VÄSTERVIK</t>
        </is>
      </c>
      <c r="F452" t="inlineStr">
        <is>
          <t>Holmen skog AB</t>
        </is>
      </c>
      <c r="G452" t="n">
        <v>0.8</v>
      </c>
      <c r="H452" t="n">
        <v>0</v>
      </c>
      <c r="I452" t="n">
        <v>0</v>
      </c>
      <c r="J452" t="n">
        <v>0</v>
      </c>
      <c r="K452" t="n">
        <v>0</v>
      </c>
      <c r="L452" t="n">
        <v>0</v>
      </c>
      <c r="M452" t="n">
        <v>0</v>
      </c>
      <c r="N452" t="n">
        <v>0</v>
      </c>
      <c r="O452" t="n">
        <v>0</v>
      </c>
      <c r="P452" t="n">
        <v>0</v>
      </c>
      <c r="Q452" t="n">
        <v>0</v>
      </c>
      <c r="R452" s="2" t="inlineStr"/>
    </row>
    <row r="453" ht="15" customHeight="1">
      <c r="A453" t="inlineStr">
        <is>
          <t>A 45379-2019</t>
        </is>
      </c>
      <c r="B453" s="1" t="n">
        <v>43713</v>
      </c>
      <c r="C453" s="1" t="n">
        <v>45844</v>
      </c>
      <c r="D453" t="inlineStr">
        <is>
          <t>KALMAR LÄN</t>
        </is>
      </c>
      <c r="E453" t="inlineStr">
        <is>
          <t>VÄSTERVIK</t>
        </is>
      </c>
      <c r="G453" t="n">
        <v>6.3</v>
      </c>
      <c r="H453" t="n">
        <v>0</v>
      </c>
      <c r="I453" t="n">
        <v>0</v>
      </c>
      <c r="J453" t="n">
        <v>0</v>
      </c>
      <c r="K453" t="n">
        <v>0</v>
      </c>
      <c r="L453" t="n">
        <v>0</v>
      </c>
      <c r="M453" t="n">
        <v>0</v>
      </c>
      <c r="N453" t="n">
        <v>0</v>
      </c>
      <c r="O453" t="n">
        <v>0</v>
      </c>
      <c r="P453" t="n">
        <v>0</v>
      </c>
      <c r="Q453" t="n">
        <v>0</v>
      </c>
      <c r="R453" s="2" t="inlineStr"/>
    </row>
    <row r="454" ht="15" customHeight="1">
      <c r="A454" t="inlineStr">
        <is>
          <t>A 45386-2019</t>
        </is>
      </c>
      <c r="B454" s="1" t="n">
        <v>43713</v>
      </c>
      <c r="C454" s="1" t="n">
        <v>45844</v>
      </c>
      <c r="D454" t="inlineStr">
        <is>
          <t>KALMAR LÄN</t>
        </is>
      </c>
      <c r="E454" t="inlineStr">
        <is>
          <t>VÄSTERVIK</t>
        </is>
      </c>
      <c r="G454" t="n">
        <v>11</v>
      </c>
      <c r="H454" t="n">
        <v>0</v>
      </c>
      <c r="I454" t="n">
        <v>0</v>
      </c>
      <c r="J454" t="n">
        <v>0</v>
      </c>
      <c r="K454" t="n">
        <v>0</v>
      </c>
      <c r="L454" t="n">
        <v>0</v>
      </c>
      <c r="M454" t="n">
        <v>0</v>
      </c>
      <c r="N454" t="n">
        <v>0</v>
      </c>
      <c r="O454" t="n">
        <v>0</v>
      </c>
      <c r="P454" t="n">
        <v>0</v>
      </c>
      <c r="Q454" t="n">
        <v>0</v>
      </c>
      <c r="R454" s="2" t="inlineStr"/>
    </row>
    <row r="455" ht="15" customHeight="1">
      <c r="A455" t="inlineStr">
        <is>
          <t>A 45757-2019</t>
        </is>
      </c>
      <c r="B455" s="1" t="n">
        <v>43717</v>
      </c>
      <c r="C455" s="1" t="n">
        <v>45844</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45772-2019</t>
        </is>
      </c>
      <c r="B456" s="1" t="n">
        <v>43717</v>
      </c>
      <c r="C456" s="1" t="n">
        <v>45844</v>
      </c>
      <c r="D456" t="inlineStr">
        <is>
          <t>KALMAR LÄN</t>
        </is>
      </c>
      <c r="E456" t="inlineStr">
        <is>
          <t>VÄSTERVIK</t>
        </is>
      </c>
      <c r="G456" t="n">
        <v>2.2</v>
      </c>
      <c r="H456" t="n">
        <v>0</v>
      </c>
      <c r="I456" t="n">
        <v>0</v>
      </c>
      <c r="J456" t="n">
        <v>0</v>
      </c>
      <c r="K456" t="n">
        <v>0</v>
      </c>
      <c r="L456" t="n">
        <v>0</v>
      </c>
      <c r="M456" t="n">
        <v>0</v>
      </c>
      <c r="N456" t="n">
        <v>0</v>
      </c>
      <c r="O456" t="n">
        <v>0</v>
      </c>
      <c r="P456" t="n">
        <v>0</v>
      </c>
      <c r="Q456" t="n">
        <v>0</v>
      </c>
      <c r="R456" s="2" t="inlineStr"/>
    </row>
    <row r="457" ht="15" customHeight="1">
      <c r="A457" t="inlineStr">
        <is>
          <t>A 45897-2019</t>
        </is>
      </c>
      <c r="B457" s="1" t="n">
        <v>43717</v>
      </c>
      <c r="C457" s="1" t="n">
        <v>45844</v>
      </c>
      <c r="D457" t="inlineStr">
        <is>
          <t>KALMAR LÄN</t>
        </is>
      </c>
      <c r="E457" t="inlineStr">
        <is>
          <t>VÄSTERVIK</t>
        </is>
      </c>
      <c r="G457" t="n">
        <v>1.7</v>
      </c>
      <c r="H457" t="n">
        <v>0</v>
      </c>
      <c r="I457" t="n">
        <v>0</v>
      </c>
      <c r="J457" t="n">
        <v>0</v>
      </c>
      <c r="K457" t="n">
        <v>0</v>
      </c>
      <c r="L457" t="n">
        <v>0</v>
      </c>
      <c r="M457" t="n">
        <v>0</v>
      </c>
      <c r="N457" t="n">
        <v>0</v>
      </c>
      <c r="O457" t="n">
        <v>0</v>
      </c>
      <c r="P457" t="n">
        <v>0</v>
      </c>
      <c r="Q457" t="n">
        <v>0</v>
      </c>
      <c r="R457" s="2" t="inlineStr"/>
    </row>
    <row r="458" ht="15" customHeight="1">
      <c r="A458" t="inlineStr">
        <is>
          <t>A 46333-2019</t>
        </is>
      </c>
      <c r="B458" s="1" t="n">
        <v>43718</v>
      </c>
      <c r="C458" s="1" t="n">
        <v>45844</v>
      </c>
      <c r="D458" t="inlineStr">
        <is>
          <t>KALMAR LÄN</t>
        </is>
      </c>
      <c r="E458" t="inlineStr">
        <is>
          <t>VÄSTERVIK</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46942-2019</t>
        </is>
      </c>
      <c r="B459" s="1" t="n">
        <v>43719</v>
      </c>
      <c r="C459" s="1" t="n">
        <v>45844</v>
      </c>
      <c r="D459" t="inlineStr">
        <is>
          <t>KALMAR LÄN</t>
        </is>
      </c>
      <c r="E459" t="inlineStr">
        <is>
          <t>VÄSTERVIK</t>
        </is>
      </c>
      <c r="G459" t="n">
        <v>0.6</v>
      </c>
      <c r="H459" t="n">
        <v>0</v>
      </c>
      <c r="I459" t="n">
        <v>0</v>
      </c>
      <c r="J459" t="n">
        <v>0</v>
      </c>
      <c r="K459" t="n">
        <v>0</v>
      </c>
      <c r="L459" t="n">
        <v>0</v>
      </c>
      <c r="M459" t="n">
        <v>0</v>
      </c>
      <c r="N459" t="n">
        <v>0</v>
      </c>
      <c r="O459" t="n">
        <v>0</v>
      </c>
      <c r="P459" t="n">
        <v>0</v>
      </c>
      <c r="Q459" t="n">
        <v>0</v>
      </c>
      <c r="R459" s="2" t="inlineStr"/>
    </row>
    <row r="460" ht="15" customHeight="1">
      <c r="A460" t="inlineStr">
        <is>
          <t>A 47434-2019</t>
        </is>
      </c>
      <c r="B460" s="1" t="n">
        <v>43723</v>
      </c>
      <c r="C460" s="1" t="n">
        <v>45844</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47435-2019</t>
        </is>
      </c>
      <c r="B461" s="1" t="n">
        <v>43723</v>
      </c>
      <c r="C461" s="1" t="n">
        <v>45844</v>
      </c>
      <c r="D461" t="inlineStr">
        <is>
          <t>KALMAR LÄN</t>
        </is>
      </c>
      <c r="E461" t="inlineStr">
        <is>
          <t>VÄSTERVIK</t>
        </is>
      </c>
      <c r="F461" t="inlineStr">
        <is>
          <t>Sveaskog</t>
        </is>
      </c>
      <c r="G461" t="n">
        <v>2.5</v>
      </c>
      <c r="H461" t="n">
        <v>0</v>
      </c>
      <c r="I461" t="n">
        <v>0</v>
      </c>
      <c r="J461" t="n">
        <v>0</v>
      </c>
      <c r="K461" t="n">
        <v>0</v>
      </c>
      <c r="L461" t="n">
        <v>0</v>
      </c>
      <c r="M461" t="n">
        <v>0</v>
      </c>
      <c r="N461" t="n">
        <v>0</v>
      </c>
      <c r="O461" t="n">
        <v>0</v>
      </c>
      <c r="P461" t="n">
        <v>0</v>
      </c>
      <c r="Q461" t="n">
        <v>0</v>
      </c>
      <c r="R461" s="2" t="inlineStr"/>
    </row>
    <row r="462" ht="15" customHeight="1">
      <c r="A462" t="inlineStr">
        <is>
          <t>A 47438-2019</t>
        </is>
      </c>
      <c r="B462" s="1" t="n">
        <v>43723</v>
      </c>
      <c r="C462" s="1" t="n">
        <v>45844</v>
      </c>
      <c r="D462" t="inlineStr">
        <is>
          <t>KALMAR LÄN</t>
        </is>
      </c>
      <c r="E462" t="inlineStr">
        <is>
          <t>VÄSTERVIK</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47956-2019</t>
        </is>
      </c>
      <c r="B463" s="1" t="n">
        <v>43725</v>
      </c>
      <c r="C463" s="1" t="n">
        <v>45844</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47954-2019</t>
        </is>
      </c>
      <c r="B464" s="1" t="n">
        <v>43725</v>
      </c>
      <c r="C464" s="1" t="n">
        <v>45844</v>
      </c>
      <c r="D464" t="inlineStr">
        <is>
          <t>KALMAR LÄN</t>
        </is>
      </c>
      <c r="E464" t="inlineStr">
        <is>
          <t>VÄSTERVIK</t>
        </is>
      </c>
      <c r="G464" t="n">
        <v>6.8</v>
      </c>
      <c r="H464" t="n">
        <v>0</v>
      </c>
      <c r="I464" t="n">
        <v>0</v>
      </c>
      <c r="J464" t="n">
        <v>0</v>
      </c>
      <c r="K464" t="n">
        <v>0</v>
      </c>
      <c r="L464" t="n">
        <v>0</v>
      </c>
      <c r="M464" t="n">
        <v>0</v>
      </c>
      <c r="N464" t="n">
        <v>0</v>
      </c>
      <c r="O464" t="n">
        <v>0</v>
      </c>
      <c r="P464" t="n">
        <v>0</v>
      </c>
      <c r="Q464" t="n">
        <v>0</v>
      </c>
      <c r="R464" s="2" t="inlineStr"/>
    </row>
    <row r="465" ht="15" customHeight="1">
      <c r="A465" t="inlineStr">
        <is>
          <t>A 48357-2019</t>
        </is>
      </c>
      <c r="B465" s="1" t="n">
        <v>43726</v>
      </c>
      <c r="C465" s="1" t="n">
        <v>45844</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48982-2019</t>
        </is>
      </c>
      <c r="B466" s="1" t="n">
        <v>43729</v>
      </c>
      <c r="C466" s="1" t="n">
        <v>45844</v>
      </c>
      <c r="D466" t="inlineStr">
        <is>
          <t>KALMAR LÄN</t>
        </is>
      </c>
      <c r="E466" t="inlineStr">
        <is>
          <t>VÄSTERVIK</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48981-2019</t>
        </is>
      </c>
      <c r="B467" s="1" t="n">
        <v>43729</v>
      </c>
      <c r="C467" s="1" t="n">
        <v>45844</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48983-2019</t>
        </is>
      </c>
      <c r="B468" s="1" t="n">
        <v>43729</v>
      </c>
      <c r="C468" s="1" t="n">
        <v>45844</v>
      </c>
      <c r="D468" t="inlineStr">
        <is>
          <t>KALMAR LÄN</t>
        </is>
      </c>
      <c r="E468" t="inlineStr">
        <is>
          <t>VÄSTERVIK</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50461-2019</t>
        </is>
      </c>
      <c r="B469" s="1" t="n">
        <v>43735</v>
      </c>
      <c r="C469" s="1" t="n">
        <v>45844</v>
      </c>
      <c r="D469" t="inlineStr">
        <is>
          <t>KALMAR LÄN</t>
        </is>
      </c>
      <c r="E469" t="inlineStr">
        <is>
          <t>VÄSTERVIK</t>
        </is>
      </c>
      <c r="G469" t="n">
        <v>5.1</v>
      </c>
      <c r="H469" t="n">
        <v>0</v>
      </c>
      <c r="I469" t="n">
        <v>0</v>
      </c>
      <c r="J469" t="n">
        <v>0</v>
      </c>
      <c r="K469" t="n">
        <v>0</v>
      </c>
      <c r="L469" t="n">
        <v>0</v>
      </c>
      <c r="M469" t="n">
        <v>0</v>
      </c>
      <c r="N469" t="n">
        <v>0</v>
      </c>
      <c r="O469" t="n">
        <v>0</v>
      </c>
      <c r="P469" t="n">
        <v>0</v>
      </c>
      <c r="Q469" t="n">
        <v>0</v>
      </c>
      <c r="R469" s="2" t="inlineStr"/>
    </row>
    <row r="470" ht="15" customHeight="1">
      <c r="A470" t="inlineStr">
        <is>
          <t>A 50627-2019</t>
        </is>
      </c>
      <c r="B470" s="1" t="n">
        <v>43736</v>
      </c>
      <c r="C470" s="1" t="n">
        <v>45844</v>
      </c>
      <c r="D470" t="inlineStr">
        <is>
          <t>KALMAR LÄN</t>
        </is>
      </c>
      <c r="E470" t="inlineStr">
        <is>
          <t>VÄSTERVIK</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50626-2019</t>
        </is>
      </c>
      <c r="B471" s="1" t="n">
        <v>43736</v>
      </c>
      <c r="C471" s="1" t="n">
        <v>45844</v>
      </c>
      <c r="D471" t="inlineStr">
        <is>
          <t>KALMAR LÄN</t>
        </is>
      </c>
      <c r="E471" t="inlineStr">
        <is>
          <t>VÄSTERVIK</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51408-2019</t>
        </is>
      </c>
      <c r="B472" s="1" t="n">
        <v>43740</v>
      </c>
      <c r="C472" s="1" t="n">
        <v>45844</v>
      </c>
      <c r="D472" t="inlineStr">
        <is>
          <t>KALMAR LÄN</t>
        </is>
      </c>
      <c r="E472" t="inlineStr">
        <is>
          <t>VÄSTERVIK</t>
        </is>
      </c>
      <c r="G472" t="n">
        <v>1.4</v>
      </c>
      <c r="H472" t="n">
        <v>0</v>
      </c>
      <c r="I472" t="n">
        <v>0</v>
      </c>
      <c r="J472" t="n">
        <v>0</v>
      </c>
      <c r="K472" t="n">
        <v>0</v>
      </c>
      <c r="L472" t="n">
        <v>0</v>
      </c>
      <c r="M472" t="n">
        <v>0</v>
      </c>
      <c r="N472" t="n">
        <v>0</v>
      </c>
      <c r="O472" t="n">
        <v>0</v>
      </c>
      <c r="P472" t="n">
        <v>0</v>
      </c>
      <c r="Q472" t="n">
        <v>0</v>
      </c>
      <c r="R472" s="2" t="inlineStr"/>
    </row>
    <row r="473" ht="15" customHeight="1">
      <c r="A473" t="inlineStr">
        <is>
          <t>A 52292-2019</t>
        </is>
      </c>
      <c r="B473" s="1" t="n">
        <v>43744</v>
      </c>
      <c r="C473" s="1" t="n">
        <v>45844</v>
      </c>
      <c r="D473" t="inlineStr">
        <is>
          <t>KALMAR LÄN</t>
        </is>
      </c>
      <c r="E473" t="inlineStr">
        <is>
          <t>VÄSTERVIK</t>
        </is>
      </c>
      <c r="F473" t="inlineStr">
        <is>
          <t>Sveaskog</t>
        </is>
      </c>
      <c r="G473" t="n">
        <v>1.8</v>
      </c>
      <c r="H473" t="n">
        <v>0</v>
      </c>
      <c r="I473" t="n">
        <v>0</v>
      </c>
      <c r="J473" t="n">
        <v>0</v>
      </c>
      <c r="K473" t="n">
        <v>0</v>
      </c>
      <c r="L473" t="n">
        <v>0</v>
      </c>
      <c r="M473" t="n">
        <v>0</v>
      </c>
      <c r="N473" t="n">
        <v>0</v>
      </c>
      <c r="O473" t="n">
        <v>0</v>
      </c>
      <c r="P473" t="n">
        <v>0</v>
      </c>
      <c r="Q473" t="n">
        <v>0</v>
      </c>
      <c r="R473" s="2" t="inlineStr"/>
    </row>
    <row r="474" ht="15" customHeight="1">
      <c r="A474" t="inlineStr">
        <is>
          <t>A 52527-2019</t>
        </is>
      </c>
      <c r="B474" s="1" t="n">
        <v>43745</v>
      </c>
      <c r="C474" s="1" t="n">
        <v>45844</v>
      </c>
      <c r="D474" t="inlineStr">
        <is>
          <t>KALMAR LÄN</t>
        </is>
      </c>
      <c r="E474" t="inlineStr">
        <is>
          <t>VÄSTERVIK</t>
        </is>
      </c>
      <c r="G474" t="n">
        <v>0.3</v>
      </c>
      <c r="H474" t="n">
        <v>0</v>
      </c>
      <c r="I474" t="n">
        <v>0</v>
      </c>
      <c r="J474" t="n">
        <v>0</v>
      </c>
      <c r="K474" t="n">
        <v>0</v>
      </c>
      <c r="L474" t="n">
        <v>0</v>
      </c>
      <c r="M474" t="n">
        <v>0</v>
      </c>
      <c r="N474" t="n">
        <v>0</v>
      </c>
      <c r="O474" t="n">
        <v>0</v>
      </c>
      <c r="P474" t="n">
        <v>0</v>
      </c>
      <c r="Q474" t="n">
        <v>0</v>
      </c>
      <c r="R474" s="2" t="inlineStr"/>
    </row>
    <row r="475" ht="15" customHeight="1">
      <c r="A475" t="inlineStr">
        <is>
          <t>A 53714-2019</t>
        </is>
      </c>
      <c r="B475" s="1" t="n">
        <v>43749</v>
      </c>
      <c r="C475" s="1" t="n">
        <v>45844</v>
      </c>
      <c r="D475" t="inlineStr">
        <is>
          <t>KALMAR LÄN</t>
        </is>
      </c>
      <c r="E475" t="inlineStr">
        <is>
          <t>VÄSTERVIK</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53546-2019</t>
        </is>
      </c>
      <c r="B476" s="1" t="n">
        <v>43749</v>
      </c>
      <c r="C476" s="1" t="n">
        <v>45844</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54591-2019</t>
        </is>
      </c>
      <c r="B477" s="1" t="n">
        <v>43754</v>
      </c>
      <c r="C477" s="1" t="n">
        <v>45844</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54597-2019</t>
        </is>
      </c>
      <c r="B478" s="1" t="n">
        <v>43754</v>
      </c>
      <c r="C478" s="1" t="n">
        <v>45844</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57650-2019</t>
        </is>
      </c>
      <c r="B479" s="1" t="n">
        <v>43761</v>
      </c>
      <c r="C479" s="1" t="n">
        <v>45844</v>
      </c>
      <c r="D479" t="inlineStr">
        <is>
          <t>KALMAR LÄN</t>
        </is>
      </c>
      <c r="E479" t="inlineStr">
        <is>
          <t>VÄSTERVIK</t>
        </is>
      </c>
      <c r="G479" t="n">
        <v>1.3</v>
      </c>
      <c r="H479" t="n">
        <v>0</v>
      </c>
      <c r="I479" t="n">
        <v>0</v>
      </c>
      <c r="J479" t="n">
        <v>0</v>
      </c>
      <c r="K479" t="n">
        <v>0</v>
      </c>
      <c r="L479" t="n">
        <v>0</v>
      </c>
      <c r="M479" t="n">
        <v>0</v>
      </c>
      <c r="N479" t="n">
        <v>0</v>
      </c>
      <c r="O479" t="n">
        <v>0</v>
      </c>
      <c r="P479" t="n">
        <v>0</v>
      </c>
      <c r="Q479" t="n">
        <v>0</v>
      </c>
      <c r="R479" s="2" t="inlineStr"/>
    </row>
    <row r="480" ht="15" customHeight="1">
      <c r="A480" t="inlineStr">
        <is>
          <t>A 57654-2019</t>
        </is>
      </c>
      <c r="B480" s="1" t="n">
        <v>43761</v>
      </c>
      <c r="C480" s="1" t="n">
        <v>45844</v>
      </c>
      <c r="D480" t="inlineStr">
        <is>
          <t>KALMAR LÄN</t>
        </is>
      </c>
      <c r="E480" t="inlineStr">
        <is>
          <t>VÄSTERVIK</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56580-2019</t>
        </is>
      </c>
      <c r="B481" s="1" t="n">
        <v>43763</v>
      </c>
      <c r="C481" s="1" t="n">
        <v>45844</v>
      </c>
      <c r="D481" t="inlineStr">
        <is>
          <t>KALMAR LÄN</t>
        </is>
      </c>
      <c r="E481" t="inlineStr">
        <is>
          <t>VÄSTERVIK</t>
        </is>
      </c>
      <c r="F481" t="inlineStr">
        <is>
          <t>Övriga Aktiebolag</t>
        </is>
      </c>
      <c r="G481" t="n">
        <v>2.4</v>
      </c>
      <c r="H481" t="n">
        <v>0</v>
      </c>
      <c r="I481" t="n">
        <v>0</v>
      </c>
      <c r="J481" t="n">
        <v>0</v>
      </c>
      <c r="K481" t="n">
        <v>0</v>
      </c>
      <c r="L481" t="n">
        <v>0</v>
      </c>
      <c r="M481" t="n">
        <v>0</v>
      </c>
      <c r="N481" t="n">
        <v>0</v>
      </c>
      <c r="O481" t="n">
        <v>0</v>
      </c>
      <c r="P481" t="n">
        <v>0</v>
      </c>
      <c r="Q481" t="n">
        <v>0</v>
      </c>
      <c r="R481" s="2" t="inlineStr"/>
    </row>
    <row r="482" ht="15" customHeight="1">
      <c r="A482" t="inlineStr">
        <is>
          <t>A 57770-2019</t>
        </is>
      </c>
      <c r="B482" s="1" t="n">
        <v>43768</v>
      </c>
      <c r="C482" s="1" t="n">
        <v>45844</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58323-2019</t>
        </is>
      </c>
      <c r="B483" s="1" t="n">
        <v>43770</v>
      </c>
      <c r="C483" s="1" t="n">
        <v>45844</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58386-2019</t>
        </is>
      </c>
      <c r="B484" s="1" t="n">
        <v>43772</v>
      </c>
      <c r="C484" s="1" t="n">
        <v>45844</v>
      </c>
      <c r="D484" t="inlineStr">
        <is>
          <t>KALMAR LÄN</t>
        </is>
      </c>
      <c r="E484" t="inlineStr">
        <is>
          <t>VÄSTERVIK</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58658-2019</t>
        </is>
      </c>
      <c r="B485" s="1" t="n">
        <v>43773</v>
      </c>
      <c r="C485" s="1" t="n">
        <v>45844</v>
      </c>
      <c r="D485" t="inlineStr">
        <is>
          <t>KALMAR LÄN</t>
        </is>
      </c>
      <c r="E485" t="inlineStr">
        <is>
          <t>VÄSTERVIK</t>
        </is>
      </c>
      <c r="F485" t="inlineStr">
        <is>
          <t>Kyrkan</t>
        </is>
      </c>
      <c r="G485" t="n">
        <v>2.9</v>
      </c>
      <c r="H485" t="n">
        <v>0</v>
      </c>
      <c r="I485" t="n">
        <v>0</v>
      </c>
      <c r="J485" t="n">
        <v>0</v>
      </c>
      <c r="K485" t="n">
        <v>0</v>
      </c>
      <c r="L485" t="n">
        <v>0</v>
      </c>
      <c r="M485" t="n">
        <v>0</v>
      </c>
      <c r="N485" t="n">
        <v>0</v>
      </c>
      <c r="O485" t="n">
        <v>0</v>
      </c>
      <c r="P485" t="n">
        <v>0</v>
      </c>
      <c r="Q485" t="n">
        <v>0</v>
      </c>
      <c r="R485" s="2" t="inlineStr"/>
    </row>
    <row r="486" ht="15" customHeight="1">
      <c r="A486" t="inlineStr">
        <is>
          <t>A 59753-2019</t>
        </is>
      </c>
      <c r="B486" s="1" t="n">
        <v>43776</v>
      </c>
      <c r="C486" s="1" t="n">
        <v>45844</v>
      </c>
      <c r="D486" t="inlineStr">
        <is>
          <t>KALMAR LÄN</t>
        </is>
      </c>
      <c r="E486" t="inlineStr">
        <is>
          <t>VÄSTERVIK</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59898-2019</t>
        </is>
      </c>
      <c r="B487" s="1" t="n">
        <v>43777</v>
      </c>
      <c r="C487" s="1" t="n">
        <v>45844</v>
      </c>
      <c r="D487" t="inlineStr">
        <is>
          <t>KALMAR LÄN</t>
        </is>
      </c>
      <c r="E487" t="inlineStr">
        <is>
          <t>VÄSTERVIK</t>
        </is>
      </c>
      <c r="G487" t="n">
        <v>3.6</v>
      </c>
      <c r="H487" t="n">
        <v>0</v>
      </c>
      <c r="I487" t="n">
        <v>0</v>
      </c>
      <c r="J487" t="n">
        <v>0</v>
      </c>
      <c r="K487" t="n">
        <v>0</v>
      </c>
      <c r="L487" t="n">
        <v>0</v>
      </c>
      <c r="M487" t="n">
        <v>0</v>
      </c>
      <c r="N487" t="n">
        <v>0</v>
      </c>
      <c r="O487" t="n">
        <v>0</v>
      </c>
      <c r="P487" t="n">
        <v>0</v>
      </c>
      <c r="Q487" t="n">
        <v>0</v>
      </c>
      <c r="R487" s="2" t="inlineStr"/>
    </row>
    <row r="488" ht="15" customHeight="1">
      <c r="A488" t="inlineStr">
        <is>
          <t>A 59892-2019</t>
        </is>
      </c>
      <c r="B488" s="1" t="n">
        <v>43777</v>
      </c>
      <c r="C488" s="1" t="n">
        <v>45844</v>
      </c>
      <c r="D488" t="inlineStr">
        <is>
          <t>KALMAR LÄN</t>
        </is>
      </c>
      <c r="E488" t="inlineStr">
        <is>
          <t>VÄSTERVIK</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59937-2019</t>
        </is>
      </c>
      <c r="B489" s="1" t="n">
        <v>43777</v>
      </c>
      <c r="C489" s="1" t="n">
        <v>45844</v>
      </c>
      <c r="D489" t="inlineStr">
        <is>
          <t>KALMAR LÄN</t>
        </is>
      </c>
      <c r="E489" t="inlineStr">
        <is>
          <t>VÄSTERVIK</t>
        </is>
      </c>
      <c r="G489" t="n">
        <v>4.8</v>
      </c>
      <c r="H489" t="n">
        <v>0</v>
      </c>
      <c r="I489" t="n">
        <v>0</v>
      </c>
      <c r="J489" t="n">
        <v>0</v>
      </c>
      <c r="K489" t="n">
        <v>0</v>
      </c>
      <c r="L489" t="n">
        <v>0</v>
      </c>
      <c r="M489" t="n">
        <v>0</v>
      </c>
      <c r="N489" t="n">
        <v>0</v>
      </c>
      <c r="O489" t="n">
        <v>0</v>
      </c>
      <c r="P489" t="n">
        <v>0</v>
      </c>
      <c r="Q489" t="n">
        <v>0</v>
      </c>
      <c r="R489" s="2" t="inlineStr"/>
    </row>
    <row r="490" ht="15" customHeight="1">
      <c r="A490" t="inlineStr">
        <is>
          <t>A 60707-2019</t>
        </is>
      </c>
      <c r="B490" s="1" t="n">
        <v>43781</v>
      </c>
      <c r="C490" s="1" t="n">
        <v>45844</v>
      </c>
      <c r="D490" t="inlineStr">
        <is>
          <t>KALMAR LÄN</t>
        </is>
      </c>
      <c r="E490" t="inlineStr">
        <is>
          <t>VÄSTERVIK</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61055-2019</t>
        </is>
      </c>
      <c r="B491" s="1" t="n">
        <v>43782</v>
      </c>
      <c r="C491" s="1" t="n">
        <v>45844</v>
      </c>
      <c r="D491" t="inlineStr">
        <is>
          <t>KALMAR LÄN</t>
        </is>
      </c>
      <c r="E491" t="inlineStr">
        <is>
          <t>VÄSTERVIK</t>
        </is>
      </c>
      <c r="G491" t="n">
        <v>2.8</v>
      </c>
      <c r="H491" t="n">
        <v>0</v>
      </c>
      <c r="I491" t="n">
        <v>0</v>
      </c>
      <c r="J491" t="n">
        <v>0</v>
      </c>
      <c r="K491" t="n">
        <v>0</v>
      </c>
      <c r="L491" t="n">
        <v>0</v>
      </c>
      <c r="M491" t="n">
        <v>0</v>
      </c>
      <c r="N491" t="n">
        <v>0</v>
      </c>
      <c r="O491" t="n">
        <v>0</v>
      </c>
      <c r="P491" t="n">
        <v>0</v>
      </c>
      <c r="Q491" t="n">
        <v>0</v>
      </c>
      <c r="R491" s="2" t="inlineStr"/>
    </row>
    <row r="492" ht="15" customHeight="1">
      <c r="A492" t="inlineStr">
        <is>
          <t>A 61708-2019</t>
        </is>
      </c>
      <c r="B492" s="1" t="n">
        <v>43784</v>
      </c>
      <c r="C492" s="1" t="n">
        <v>45844</v>
      </c>
      <c r="D492" t="inlineStr">
        <is>
          <t>KALMAR LÄN</t>
        </is>
      </c>
      <c r="E492" t="inlineStr">
        <is>
          <t>VÄSTERVIK</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62093-2019</t>
        </is>
      </c>
      <c r="B493" s="1" t="n">
        <v>43787</v>
      </c>
      <c r="C493" s="1" t="n">
        <v>45844</v>
      </c>
      <c r="D493" t="inlineStr">
        <is>
          <t>KALMAR LÄN</t>
        </is>
      </c>
      <c r="E493" t="inlineStr">
        <is>
          <t>VÄSTERVIK</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62046-2019</t>
        </is>
      </c>
      <c r="B494" s="1" t="n">
        <v>43787</v>
      </c>
      <c r="C494" s="1" t="n">
        <v>45844</v>
      </c>
      <c r="D494" t="inlineStr">
        <is>
          <t>KALMAR LÄN</t>
        </is>
      </c>
      <c r="E494" t="inlineStr">
        <is>
          <t>VÄSTERVIK</t>
        </is>
      </c>
      <c r="G494" t="n">
        <v>2.7</v>
      </c>
      <c r="H494" t="n">
        <v>0</v>
      </c>
      <c r="I494" t="n">
        <v>0</v>
      </c>
      <c r="J494" t="n">
        <v>0</v>
      </c>
      <c r="K494" t="n">
        <v>0</v>
      </c>
      <c r="L494" t="n">
        <v>0</v>
      </c>
      <c r="M494" t="n">
        <v>0</v>
      </c>
      <c r="N494" t="n">
        <v>0</v>
      </c>
      <c r="O494" t="n">
        <v>0</v>
      </c>
      <c r="P494" t="n">
        <v>0</v>
      </c>
      <c r="Q494" t="n">
        <v>0</v>
      </c>
      <c r="R494" s="2" t="inlineStr"/>
    </row>
    <row r="495" ht="15" customHeight="1">
      <c r="A495" t="inlineStr">
        <is>
          <t>A 62473-2019</t>
        </is>
      </c>
      <c r="B495" s="1" t="n">
        <v>43788</v>
      </c>
      <c r="C495" s="1" t="n">
        <v>45844</v>
      </c>
      <c r="D495" t="inlineStr">
        <is>
          <t>KALMAR LÄN</t>
        </is>
      </c>
      <c r="E495" t="inlineStr">
        <is>
          <t>VÄSTERVIK</t>
        </is>
      </c>
      <c r="F495" t="inlineStr">
        <is>
          <t>Holmen skog AB</t>
        </is>
      </c>
      <c r="G495" t="n">
        <v>0.5</v>
      </c>
      <c r="H495" t="n">
        <v>0</v>
      </c>
      <c r="I495" t="n">
        <v>0</v>
      </c>
      <c r="J495" t="n">
        <v>0</v>
      </c>
      <c r="K495" t="n">
        <v>0</v>
      </c>
      <c r="L495" t="n">
        <v>0</v>
      </c>
      <c r="M495" t="n">
        <v>0</v>
      </c>
      <c r="N495" t="n">
        <v>0</v>
      </c>
      <c r="O495" t="n">
        <v>0</v>
      </c>
      <c r="P495" t="n">
        <v>0</v>
      </c>
      <c r="Q495" t="n">
        <v>0</v>
      </c>
      <c r="R495" s="2" t="inlineStr"/>
    </row>
    <row r="496" ht="15" customHeight="1">
      <c r="A496" t="inlineStr">
        <is>
          <t>A 62660-2019</t>
        </is>
      </c>
      <c r="B496" s="1" t="n">
        <v>43789</v>
      </c>
      <c r="C496" s="1" t="n">
        <v>45844</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63090-2019</t>
        </is>
      </c>
      <c r="B497" s="1" t="n">
        <v>43791</v>
      </c>
      <c r="C497" s="1" t="n">
        <v>45844</v>
      </c>
      <c r="D497" t="inlineStr">
        <is>
          <t>KALMAR LÄN</t>
        </is>
      </c>
      <c r="E497" t="inlineStr">
        <is>
          <t>VÄSTERVIK</t>
        </is>
      </c>
      <c r="F497" t="inlineStr">
        <is>
          <t>Övriga Aktiebolag</t>
        </is>
      </c>
      <c r="G497" t="n">
        <v>5.8</v>
      </c>
      <c r="H497" t="n">
        <v>0</v>
      </c>
      <c r="I497" t="n">
        <v>0</v>
      </c>
      <c r="J497" t="n">
        <v>0</v>
      </c>
      <c r="K497" t="n">
        <v>0</v>
      </c>
      <c r="L497" t="n">
        <v>0</v>
      </c>
      <c r="M497" t="n">
        <v>0</v>
      </c>
      <c r="N497" t="n">
        <v>0</v>
      </c>
      <c r="O497" t="n">
        <v>0</v>
      </c>
      <c r="P497" t="n">
        <v>0</v>
      </c>
      <c r="Q497" t="n">
        <v>0</v>
      </c>
      <c r="R497" s="2" t="inlineStr"/>
    </row>
    <row r="498" ht="15" customHeight="1">
      <c r="A498" t="inlineStr">
        <is>
          <t>A 63385-2019</t>
        </is>
      </c>
      <c r="B498" s="1" t="n">
        <v>43794</v>
      </c>
      <c r="C498" s="1" t="n">
        <v>45844</v>
      </c>
      <c r="D498" t="inlineStr">
        <is>
          <t>KALMAR LÄN</t>
        </is>
      </c>
      <c r="E498" t="inlineStr">
        <is>
          <t>VÄSTERVIK</t>
        </is>
      </c>
      <c r="G498" t="n">
        <v>5.1</v>
      </c>
      <c r="H498" t="n">
        <v>0</v>
      </c>
      <c r="I498" t="n">
        <v>0</v>
      </c>
      <c r="J498" t="n">
        <v>0</v>
      </c>
      <c r="K498" t="n">
        <v>0</v>
      </c>
      <c r="L498" t="n">
        <v>0</v>
      </c>
      <c r="M498" t="n">
        <v>0</v>
      </c>
      <c r="N498" t="n">
        <v>0</v>
      </c>
      <c r="O498" t="n">
        <v>0</v>
      </c>
      <c r="P498" t="n">
        <v>0</v>
      </c>
      <c r="Q498" t="n">
        <v>0</v>
      </c>
      <c r="R498" s="2" t="inlineStr"/>
    </row>
    <row r="499" ht="15" customHeight="1">
      <c r="A499" t="inlineStr">
        <is>
          <t>A 64610-2019</t>
        </is>
      </c>
      <c r="B499" s="1" t="n">
        <v>43798</v>
      </c>
      <c r="C499" s="1" t="n">
        <v>45844</v>
      </c>
      <c r="D499" t="inlineStr">
        <is>
          <t>KALMAR LÄN</t>
        </is>
      </c>
      <c r="E499" t="inlineStr">
        <is>
          <t>VÄSTERVIK</t>
        </is>
      </c>
      <c r="F499" t="inlineStr">
        <is>
          <t>Holmen skog AB</t>
        </is>
      </c>
      <c r="G499" t="n">
        <v>0.5</v>
      </c>
      <c r="H499" t="n">
        <v>0</v>
      </c>
      <c r="I499" t="n">
        <v>0</v>
      </c>
      <c r="J499" t="n">
        <v>0</v>
      </c>
      <c r="K499" t="n">
        <v>0</v>
      </c>
      <c r="L499" t="n">
        <v>0</v>
      </c>
      <c r="M499" t="n">
        <v>0</v>
      </c>
      <c r="N499" t="n">
        <v>0</v>
      </c>
      <c r="O499" t="n">
        <v>0</v>
      </c>
      <c r="P499" t="n">
        <v>0</v>
      </c>
      <c r="Q499" t="n">
        <v>0</v>
      </c>
      <c r="R499" s="2" t="inlineStr"/>
    </row>
    <row r="500" ht="15" customHeight="1">
      <c r="A500" t="inlineStr">
        <is>
          <t>A 65604-2019</t>
        </is>
      </c>
      <c r="B500" s="1" t="n">
        <v>43804</v>
      </c>
      <c r="C500" s="1" t="n">
        <v>45844</v>
      </c>
      <c r="D500" t="inlineStr">
        <is>
          <t>KALMAR LÄN</t>
        </is>
      </c>
      <c r="E500" t="inlineStr">
        <is>
          <t>VÄSTERVIK</t>
        </is>
      </c>
      <c r="G500" t="n">
        <v>3.8</v>
      </c>
      <c r="H500" t="n">
        <v>0</v>
      </c>
      <c r="I500" t="n">
        <v>0</v>
      </c>
      <c r="J500" t="n">
        <v>0</v>
      </c>
      <c r="K500" t="n">
        <v>0</v>
      </c>
      <c r="L500" t="n">
        <v>0</v>
      </c>
      <c r="M500" t="n">
        <v>0</v>
      </c>
      <c r="N500" t="n">
        <v>0</v>
      </c>
      <c r="O500" t="n">
        <v>0</v>
      </c>
      <c r="P500" t="n">
        <v>0</v>
      </c>
      <c r="Q500" t="n">
        <v>0</v>
      </c>
      <c r="R500" s="2" t="inlineStr"/>
    </row>
    <row r="501" ht="15" customHeight="1">
      <c r="A501" t="inlineStr">
        <is>
          <t>A 66743-2019</t>
        </is>
      </c>
      <c r="B501" s="1" t="n">
        <v>43804</v>
      </c>
      <c r="C501" s="1" t="n">
        <v>45844</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c r="U501">
        <f>HYPERLINK("https://klasma.github.io/Logging_0883/knärot/A 66743-2019 karta knärot.png", "A 66743-2019")</f>
        <v/>
      </c>
      <c r="V501">
        <f>HYPERLINK("https://klasma.github.io/Logging_0883/klagomål/A 66743-2019 FSC-klagomål.docx", "A 66743-2019")</f>
        <v/>
      </c>
      <c r="W501">
        <f>HYPERLINK("https://klasma.github.io/Logging_0883/klagomålsmail/A 66743-2019 FSC-klagomål mail.docx", "A 66743-2019")</f>
        <v/>
      </c>
      <c r="X501">
        <f>HYPERLINK("https://klasma.github.io/Logging_0883/tillsyn/A 66743-2019 tillsynsbegäran.docx", "A 66743-2019")</f>
        <v/>
      </c>
      <c r="Y501">
        <f>HYPERLINK("https://klasma.github.io/Logging_0883/tillsynsmail/A 66743-2019 tillsynsbegäran mail.docx", "A 66743-2019")</f>
        <v/>
      </c>
    </row>
    <row r="502" ht="15" customHeight="1">
      <c r="A502" t="inlineStr">
        <is>
          <t>A 66279-2019</t>
        </is>
      </c>
      <c r="B502" s="1" t="n">
        <v>43808</v>
      </c>
      <c r="C502" s="1" t="n">
        <v>45844</v>
      </c>
      <c r="D502" t="inlineStr">
        <is>
          <t>KALMAR LÄN</t>
        </is>
      </c>
      <c r="E502" t="inlineStr">
        <is>
          <t>VÄSTERVIK</t>
        </is>
      </c>
      <c r="G502" t="n">
        <v>1.3</v>
      </c>
      <c r="H502" t="n">
        <v>0</v>
      </c>
      <c r="I502" t="n">
        <v>0</v>
      </c>
      <c r="J502" t="n">
        <v>0</v>
      </c>
      <c r="K502" t="n">
        <v>0</v>
      </c>
      <c r="L502" t="n">
        <v>0</v>
      </c>
      <c r="M502" t="n">
        <v>0</v>
      </c>
      <c r="N502" t="n">
        <v>0</v>
      </c>
      <c r="O502" t="n">
        <v>0</v>
      </c>
      <c r="P502" t="n">
        <v>0</v>
      </c>
      <c r="Q502" t="n">
        <v>0</v>
      </c>
      <c r="R502" s="2" t="inlineStr"/>
    </row>
    <row r="503" ht="15" customHeight="1">
      <c r="A503" t="inlineStr">
        <is>
          <t>A 66232-2019</t>
        </is>
      </c>
      <c r="B503" s="1" t="n">
        <v>43808</v>
      </c>
      <c r="C503" s="1" t="n">
        <v>45844</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67407-2019</t>
        </is>
      </c>
      <c r="B504" s="1" t="n">
        <v>43812</v>
      </c>
      <c r="C504" s="1" t="n">
        <v>45844</v>
      </c>
      <c r="D504" t="inlineStr">
        <is>
          <t>KALMAR LÄN</t>
        </is>
      </c>
      <c r="E504" t="inlineStr">
        <is>
          <t>VÄSTERVIK</t>
        </is>
      </c>
      <c r="F504" t="inlineStr">
        <is>
          <t>Holmen skog AB</t>
        </is>
      </c>
      <c r="G504" t="n">
        <v>2.4</v>
      </c>
      <c r="H504" t="n">
        <v>0</v>
      </c>
      <c r="I504" t="n">
        <v>0</v>
      </c>
      <c r="J504" t="n">
        <v>0</v>
      </c>
      <c r="K504" t="n">
        <v>0</v>
      </c>
      <c r="L504" t="n">
        <v>0</v>
      </c>
      <c r="M504" t="n">
        <v>0</v>
      </c>
      <c r="N504" t="n">
        <v>0</v>
      </c>
      <c r="O504" t="n">
        <v>0</v>
      </c>
      <c r="P504" t="n">
        <v>0</v>
      </c>
      <c r="Q504" t="n">
        <v>0</v>
      </c>
      <c r="R504" s="2" t="inlineStr"/>
    </row>
    <row r="505" ht="15" customHeight="1">
      <c r="A505" t="inlineStr">
        <is>
          <t>A 68494-2019</t>
        </is>
      </c>
      <c r="B505" s="1" t="n">
        <v>43818</v>
      </c>
      <c r="C505" s="1" t="n">
        <v>45844</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68764-2019</t>
        </is>
      </c>
      <c r="B506" s="1" t="n">
        <v>43819</v>
      </c>
      <c r="C506" s="1" t="n">
        <v>45844</v>
      </c>
      <c r="D506" t="inlineStr">
        <is>
          <t>KALMAR LÄN</t>
        </is>
      </c>
      <c r="E506" t="inlineStr">
        <is>
          <t>VÄSTERVIK</t>
        </is>
      </c>
      <c r="F506" t="inlineStr">
        <is>
          <t>Holmen skog AB</t>
        </is>
      </c>
      <c r="G506" t="n">
        <v>0.6</v>
      </c>
      <c r="H506" t="n">
        <v>0</v>
      </c>
      <c r="I506" t="n">
        <v>0</v>
      </c>
      <c r="J506" t="n">
        <v>0</v>
      </c>
      <c r="K506" t="n">
        <v>0</v>
      </c>
      <c r="L506" t="n">
        <v>0</v>
      </c>
      <c r="M506" t="n">
        <v>0</v>
      </c>
      <c r="N506" t="n">
        <v>0</v>
      </c>
      <c r="O506" t="n">
        <v>0</v>
      </c>
      <c r="P506" t="n">
        <v>0</v>
      </c>
      <c r="Q506" t="n">
        <v>0</v>
      </c>
      <c r="R506" s="2" t="inlineStr"/>
    </row>
    <row r="507" ht="15" customHeight="1">
      <c r="A507" t="inlineStr">
        <is>
          <t>A 483-2020</t>
        </is>
      </c>
      <c r="B507" s="1" t="n">
        <v>43837</v>
      </c>
      <c r="C507" s="1" t="n">
        <v>45844</v>
      </c>
      <c r="D507" t="inlineStr">
        <is>
          <t>KALMAR LÄN</t>
        </is>
      </c>
      <c r="E507" t="inlineStr">
        <is>
          <t>VÄSTERVIK</t>
        </is>
      </c>
      <c r="G507" t="n">
        <v>0.5</v>
      </c>
      <c r="H507" t="n">
        <v>0</v>
      </c>
      <c r="I507" t="n">
        <v>0</v>
      </c>
      <c r="J507" t="n">
        <v>0</v>
      </c>
      <c r="K507" t="n">
        <v>0</v>
      </c>
      <c r="L507" t="n">
        <v>0</v>
      </c>
      <c r="M507" t="n">
        <v>0</v>
      </c>
      <c r="N507" t="n">
        <v>0</v>
      </c>
      <c r="O507" t="n">
        <v>0</v>
      </c>
      <c r="P507" t="n">
        <v>0</v>
      </c>
      <c r="Q507" t="n">
        <v>0</v>
      </c>
      <c r="R507" s="2" t="inlineStr"/>
    </row>
    <row r="508" ht="15" customHeight="1">
      <c r="A508" t="inlineStr">
        <is>
          <t>A 777-2020</t>
        </is>
      </c>
      <c r="B508" s="1" t="n">
        <v>43838</v>
      </c>
      <c r="C508" s="1" t="n">
        <v>45844</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776-2020</t>
        </is>
      </c>
      <c r="B509" s="1" t="n">
        <v>43838</v>
      </c>
      <c r="C509" s="1" t="n">
        <v>45844</v>
      </c>
      <c r="D509" t="inlineStr">
        <is>
          <t>KALMAR LÄN</t>
        </is>
      </c>
      <c r="E509" t="inlineStr">
        <is>
          <t>VÄSTERVIK</t>
        </is>
      </c>
      <c r="G509" t="n">
        <v>2.2</v>
      </c>
      <c r="H509" t="n">
        <v>0</v>
      </c>
      <c r="I509" t="n">
        <v>0</v>
      </c>
      <c r="J509" t="n">
        <v>0</v>
      </c>
      <c r="K509" t="n">
        <v>0</v>
      </c>
      <c r="L509" t="n">
        <v>0</v>
      </c>
      <c r="M509" t="n">
        <v>0</v>
      </c>
      <c r="N509" t="n">
        <v>0</v>
      </c>
      <c r="O509" t="n">
        <v>0</v>
      </c>
      <c r="P509" t="n">
        <v>0</v>
      </c>
      <c r="Q509" t="n">
        <v>0</v>
      </c>
      <c r="R509" s="2" t="inlineStr"/>
    </row>
    <row r="510" ht="15" customHeight="1">
      <c r="A510" t="inlineStr">
        <is>
          <t>A 1989-2020</t>
        </is>
      </c>
      <c r="B510" s="1" t="n">
        <v>43838</v>
      </c>
      <c r="C510" s="1" t="n">
        <v>45844</v>
      </c>
      <c r="D510" t="inlineStr">
        <is>
          <t>KALMAR LÄN</t>
        </is>
      </c>
      <c r="E510" t="inlineStr">
        <is>
          <t>VÄSTERVIK</t>
        </is>
      </c>
      <c r="G510" t="n">
        <v>3.7</v>
      </c>
      <c r="H510" t="n">
        <v>0</v>
      </c>
      <c r="I510" t="n">
        <v>0</v>
      </c>
      <c r="J510" t="n">
        <v>0</v>
      </c>
      <c r="K510" t="n">
        <v>0</v>
      </c>
      <c r="L510" t="n">
        <v>0</v>
      </c>
      <c r="M510" t="n">
        <v>0</v>
      </c>
      <c r="N510" t="n">
        <v>0</v>
      </c>
      <c r="O510" t="n">
        <v>0</v>
      </c>
      <c r="P510" t="n">
        <v>0</v>
      </c>
      <c r="Q510" t="n">
        <v>0</v>
      </c>
      <c r="R510" s="2" t="inlineStr"/>
    </row>
    <row r="511" ht="15" customHeight="1">
      <c r="A511" t="inlineStr">
        <is>
          <t>A 2494-2020</t>
        </is>
      </c>
      <c r="B511" s="1" t="n">
        <v>43847</v>
      </c>
      <c r="C511" s="1" t="n">
        <v>45844</v>
      </c>
      <c r="D511" t="inlineStr">
        <is>
          <t>KALMAR LÄN</t>
        </is>
      </c>
      <c r="E511" t="inlineStr">
        <is>
          <t>VÄSTERVIK</t>
        </is>
      </c>
      <c r="G511" t="n">
        <v>0.8</v>
      </c>
      <c r="H511" t="n">
        <v>0</v>
      </c>
      <c r="I511" t="n">
        <v>0</v>
      </c>
      <c r="J511" t="n">
        <v>0</v>
      </c>
      <c r="K511" t="n">
        <v>0</v>
      </c>
      <c r="L511" t="n">
        <v>0</v>
      </c>
      <c r="M511" t="n">
        <v>0</v>
      </c>
      <c r="N511" t="n">
        <v>0</v>
      </c>
      <c r="O511" t="n">
        <v>0</v>
      </c>
      <c r="P511" t="n">
        <v>0</v>
      </c>
      <c r="Q511" t="n">
        <v>0</v>
      </c>
      <c r="R511" s="2" t="inlineStr"/>
    </row>
    <row r="512" ht="15" customHeight="1">
      <c r="A512" t="inlineStr">
        <is>
          <t>A 3739-2020</t>
        </is>
      </c>
      <c r="B512" s="1" t="n">
        <v>43853</v>
      </c>
      <c r="C512" s="1" t="n">
        <v>45844</v>
      </c>
      <c r="D512" t="inlineStr">
        <is>
          <t>KALMAR LÄN</t>
        </is>
      </c>
      <c r="E512" t="inlineStr">
        <is>
          <t>VÄSTERVIK</t>
        </is>
      </c>
      <c r="G512" t="n">
        <v>0.5</v>
      </c>
      <c r="H512" t="n">
        <v>0</v>
      </c>
      <c r="I512" t="n">
        <v>0</v>
      </c>
      <c r="J512" t="n">
        <v>0</v>
      </c>
      <c r="K512" t="n">
        <v>0</v>
      </c>
      <c r="L512" t="n">
        <v>0</v>
      </c>
      <c r="M512" t="n">
        <v>0</v>
      </c>
      <c r="N512" t="n">
        <v>0</v>
      </c>
      <c r="O512" t="n">
        <v>0</v>
      </c>
      <c r="P512" t="n">
        <v>0</v>
      </c>
      <c r="Q512" t="n">
        <v>0</v>
      </c>
      <c r="R512" s="2" t="inlineStr"/>
    </row>
    <row r="513" ht="15" customHeight="1">
      <c r="A513" t="inlineStr">
        <is>
          <t>A 3934-2020</t>
        </is>
      </c>
      <c r="B513" s="1" t="n">
        <v>43854</v>
      </c>
      <c r="C513" s="1" t="n">
        <v>45844</v>
      </c>
      <c r="D513" t="inlineStr">
        <is>
          <t>KALMAR LÄN</t>
        </is>
      </c>
      <c r="E513" t="inlineStr">
        <is>
          <t>VÄSTERVIK</t>
        </is>
      </c>
      <c r="G513" t="n">
        <v>1.1</v>
      </c>
      <c r="H513" t="n">
        <v>0</v>
      </c>
      <c r="I513" t="n">
        <v>0</v>
      </c>
      <c r="J513" t="n">
        <v>0</v>
      </c>
      <c r="K513" t="n">
        <v>0</v>
      </c>
      <c r="L513" t="n">
        <v>0</v>
      </c>
      <c r="M513" t="n">
        <v>0</v>
      </c>
      <c r="N513" t="n">
        <v>0</v>
      </c>
      <c r="O513" t="n">
        <v>0</v>
      </c>
      <c r="P513" t="n">
        <v>0</v>
      </c>
      <c r="Q513" t="n">
        <v>0</v>
      </c>
      <c r="R513" s="2" t="inlineStr"/>
    </row>
    <row r="514" ht="15" customHeight="1">
      <c r="A514" t="inlineStr">
        <is>
          <t>A 4786-2020</t>
        </is>
      </c>
      <c r="B514" s="1" t="n">
        <v>43859</v>
      </c>
      <c r="C514" s="1" t="n">
        <v>45844</v>
      </c>
      <c r="D514" t="inlineStr">
        <is>
          <t>KALMAR LÄN</t>
        </is>
      </c>
      <c r="E514" t="inlineStr">
        <is>
          <t>VÄSTERVIK</t>
        </is>
      </c>
      <c r="G514" t="n">
        <v>1.3</v>
      </c>
      <c r="H514" t="n">
        <v>0</v>
      </c>
      <c r="I514" t="n">
        <v>0</v>
      </c>
      <c r="J514" t="n">
        <v>0</v>
      </c>
      <c r="K514" t="n">
        <v>0</v>
      </c>
      <c r="L514" t="n">
        <v>0</v>
      </c>
      <c r="M514" t="n">
        <v>0</v>
      </c>
      <c r="N514" t="n">
        <v>0</v>
      </c>
      <c r="O514" t="n">
        <v>0</v>
      </c>
      <c r="P514" t="n">
        <v>0</v>
      </c>
      <c r="Q514" t="n">
        <v>0</v>
      </c>
      <c r="R514" s="2" t="inlineStr"/>
    </row>
    <row r="515" ht="15" customHeight="1">
      <c r="A515" t="inlineStr">
        <is>
          <t>A 4954-2020</t>
        </is>
      </c>
      <c r="B515" s="1" t="n">
        <v>43859</v>
      </c>
      <c r="C515" s="1" t="n">
        <v>45844</v>
      </c>
      <c r="D515" t="inlineStr">
        <is>
          <t>KALMAR LÄN</t>
        </is>
      </c>
      <c r="E515" t="inlineStr">
        <is>
          <t>VÄSTERVIK</t>
        </is>
      </c>
      <c r="F515" t="inlineStr">
        <is>
          <t>Holmen skog AB</t>
        </is>
      </c>
      <c r="G515" t="n">
        <v>0.7</v>
      </c>
      <c r="H515" t="n">
        <v>0</v>
      </c>
      <c r="I515" t="n">
        <v>0</v>
      </c>
      <c r="J515" t="n">
        <v>0</v>
      </c>
      <c r="K515" t="n">
        <v>0</v>
      </c>
      <c r="L515" t="n">
        <v>0</v>
      </c>
      <c r="M515" t="n">
        <v>0</v>
      </c>
      <c r="N515" t="n">
        <v>0</v>
      </c>
      <c r="O515" t="n">
        <v>0</v>
      </c>
      <c r="P515" t="n">
        <v>0</v>
      </c>
      <c r="Q515" t="n">
        <v>0</v>
      </c>
      <c r="R515" s="2" t="inlineStr"/>
    </row>
    <row r="516" ht="15" customHeight="1">
      <c r="A516" t="inlineStr">
        <is>
          <t>A 4992-2020</t>
        </is>
      </c>
      <c r="B516" s="1" t="n">
        <v>43859</v>
      </c>
      <c r="C516" s="1" t="n">
        <v>45844</v>
      </c>
      <c r="D516" t="inlineStr">
        <is>
          <t>KALMAR LÄN</t>
        </is>
      </c>
      <c r="E516" t="inlineStr">
        <is>
          <t>VÄSTERVIK</t>
        </is>
      </c>
      <c r="G516" t="n">
        <v>1.4</v>
      </c>
      <c r="H516" t="n">
        <v>0</v>
      </c>
      <c r="I516" t="n">
        <v>0</v>
      </c>
      <c r="J516" t="n">
        <v>0</v>
      </c>
      <c r="K516" t="n">
        <v>0</v>
      </c>
      <c r="L516" t="n">
        <v>0</v>
      </c>
      <c r="M516" t="n">
        <v>0</v>
      </c>
      <c r="N516" t="n">
        <v>0</v>
      </c>
      <c r="O516" t="n">
        <v>0</v>
      </c>
      <c r="P516" t="n">
        <v>0</v>
      </c>
      <c r="Q516" t="n">
        <v>0</v>
      </c>
      <c r="R516" s="2" t="inlineStr"/>
    </row>
    <row r="517" ht="15" customHeight="1">
      <c r="A517" t="inlineStr">
        <is>
          <t>A 4939-2020</t>
        </is>
      </c>
      <c r="B517" s="1" t="n">
        <v>43859</v>
      </c>
      <c r="C517" s="1" t="n">
        <v>45844</v>
      </c>
      <c r="D517" t="inlineStr">
        <is>
          <t>KALMAR LÄN</t>
        </is>
      </c>
      <c r="E517" t="inlineStr">
        <is>
          <t>VÄSTERVIK</t>
        </is>
      </c>
      <c r="F517" t="inlineStr">
        <is>
          <t>Holmen skog AB</t>
        </is>
      </c>
      <c r="G517" t="n">
        <v>0.7</v>
      </c>
      <c r="H517" t="n">
        <v>0</v>
      </c>
      <c r="I517" t="n">
        <v>0</v>
      </c>
      <c r="J517" t="n">
        <v>0</v>
      </c>
      <c r="K517" t="n">
        <v>0</v>
      </c>
      <c r="L517" t="n">
        <v>0</v>
      </c>
      <c r="M517" t="n">
        <v>0</v>
      </c>
      <c r="N517" t="n">
        <v>0</v>
      </c>
      <c r="O517" t="n">
        <v>0</v>
      </c>
      <c r="P517" t="n">
        <v>0</v>
      </c>
      <c r="Q517" t="n">
        <v>0</v>
      </c>
      <c r="R517" s="2" t="inlineStr"/>
    </row>
    <row r="518" ht="15" customHeight="1">
      <c r="A518" t="inlineStr">
        <is>
          <t>A 5622-2020</t>
        </is>
      </c>
      <c r="B518" s="1" t="n">
        <v>43860</v>
      </c>
      <c r="C518" s="1" t="n">
        <v>45844</v>
      </c>
      <c r="D518" t="inlineStr">
        <is>
          <t>KALMAR LÄN</t>
        </is>
      </c>
      <c r="E518" t="inlineStr">
        <is>
          <t>VÄSTERVIK</t>
        </is>
      </c>
      <c r="G518" t="n">
        <v>1.6</v>
      </c>
      <c r="H518" t="n">
        <v>0</v>
      </c>
      <c r="I518" t="n">
        <v>0</v>
      </c>
      <c r="J518" t="n">
        <v>0</v>
      </c>
      <c r="K518" t="n">
        <v>0</v>
      </c>
      <c r="L518" t="n">
        <v>0</v>
      </c>
      <c r="M518" t="n">
        <v>0</v>
      </c>
      <c r="N518" t="n">
        <v>0</v>
      </c>
      <c r="O518" t="n">
        <v>0</v>
      </c>
      <c r="P518" t="n">
        <v>0</v>
      </c>
      <c r="Q518" t="n">
        <v>0</v>
      </c>
      <c r="R518" s="2" t="inlineStr"/>
    </row>
    <row r="519" ht="15" customHeight="1">
      <c r="A519" t="inlineStr">
        <is>
          <t>A 5637-2020</t>
        </is>
      </c>
      <c r="B519" s="1" t="n">
        <v>43860</v>
      </c>
      <c r="C519" s="1" t="n">
        <v>45844</v>
      </c>
      <c r="D519" t="inlineStr">
        <is>
          <t>KALMAR LÄN</t>
        </is>
      </c>
      <c r="E519" t="inlineStr">
        <is>
          <t>VÄSTERVIK</t>
        </is>
      </c>
      <c r="G519" t="n">
        <v>3.2</v>
      </c>
      <c r="H519" t="n">
        <v>0</v>
      </c>
      <c r="I519" t="n">
        <v>0</v>
      </c>
      <c r="J519" t="n">
        <v>0</v>
      </c>
      <c r="K519" t="n">
        <v>0</v>
      </c>
      <c r="L519" t="n">
        <v>0</v>
      </c>
      <c r="M519" t="n">
        <v>0</v>
      </c>
      <c r="N519" t="n">
        <v>0</v>
      </c>
      <c r="O519" t="n">
        <v>0</v>
      </c>
      <c r="P519" t="n">
        <v>0</v>
      </c>
      <c r="Q519" t="n">
        <v>0</v>
      </c>
      <c r="R519" s="2" t="inlineStr"/>
    </row>
    <row r="520" ht="15" customHeight="1">
      <c r="A520" t="inlineStr">
        <is>
          <t>A 5629-2020</t>
        </is>
      </c>
      <c r="B520" s="1" t="n">
        <v>43860</v>
      </c>
      <c r="C520" s="1" t="n">
        <v>45844</v>
      </c>
      <c r="D520" t="inlineStr">
        <is>
          <t>KALMAR LÄN</t>
        </is>
      </c>
      <c r="E520" t="inlineStr">
        <is>
          <t>VÄSTERVIK</t>
        </is>
      </c>
      <c r="G520" t="n">
        <v>3.8</v>
      </c>
      <c r="H520" t="n">
        <v>0</v>
      </c>
      <c r="I520" t="n">
        <v>0</v>
      </c>
      <c r="J520" t="n">
        <v>0</v>
      </c>
      <c r="K520" t="n">
        <v>0</v>
      </c>
      <c r="L520" t="n">
        <v>0</v>
      </c>
      <c r="M520" t="n">
        <v>0</v>
      </c>
      <c r="N520" t="n">
        <v>0</v>
      </c>
      <c r="O520" t="n">
        <v>0</v>
      </c>
      <c r="P520" t="n">
        <v>0</v>
      </c>
      <c r="Q520" t="n">
        <v>0</v>
      </c>
      <c r="R520" s="2" t="inlineStr"/>
    </row>
    <row r="521" ht="15" customHeight="1">
      <c r="A521" t="inlineStr">
        <is>
          <t>A 5583-2020</t>
        </is>
      </c>
      <c r="B521" s="1" t="n">
        <v>43861</v>
      </c>
      <c r="C521" s="1" t="n">
        <v>45844</v>
      </c>
      <c r="D521" t="inlineStr">
        <is>
          <t>KALMAR LÄN</t>
        </is>
      </c>
      <c r="E521" t="inlineStr">
        <is>
          <t>VÄSTERVIK</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5594-2020</t>
        </is>
      </c>
      <c r="B522" s="1" t="n">
        <v>43861</v>
      </c>
      <c r="C522" s="1" t="n">
        <v>45844</v>
      </c>
      <c r="D522" t="inlineStr">
        <is>
          <t>KALMAR LÄN</t>
        </is>
      </c>
      <c r="E522" t="inlineStr">
        <is>
          <t>VÄSTERVIK</t>
        </is>
      </c>
      <c r="G522" t="n">
        <v>1.7</v>
      </c>
      <c r="H522" t="n">
        <v>0</v>
      </c>
      <c r="I522" t="n">
        <v>0</v>
      </c>
      <c r="J522" t="n">
        <v>0</v>
      </c>
      <c r="K522" t="n">
        <v>0</v>
      </c>
      <c r="L522" t="n">
        <v>0</v>
      </c>
      <c r="M522" t="n">
        <v>0</v>
      </c>
      <c r="N522" t="n">
        <v>0</v>
      </c>
      <c r="O522" t="n">
        <v>0</v>
      </c>
      <c r="P522" t="n">
        <v>0</v>
      </c>
      <c r="Q522" t="n">
        <v>0</v>
      </c>
      <c r="R522" s="2" t="inlineStr"/>
    </row>
    <row r="523" ht="15" customHeight="1">
      <c r="A523" t="inlineStr">
        <is>
          <t>A 5697-2020</t>
        </is>
      </c>
      <c r="B523" s="1" t="n">
        <v>43861</v>
      </c>
      <c r="C523" s="1" t="n">
        <v>45844</v>
      </c>
      <c r="D523" t="inlineStr">
        <is>
          <t>KALMAR LÄN</t>
        </is>
      </c>
      <c r="E523" t="inlineStr">
        <is>
          <t>VÄSTERVIK</t>
        </is>
      </c>
      <c r="F523" t="inlineStr">
        <is>
          <t>Holmen skog AB</t>
        </is>
      </c>
      <c r="G523" t="n">
        <v>1.6</v>
      </c>
      <c r="H523" t="n">
        <v>0</v>
      </c>
      <c r="I523" t="n">
        <v>0</v>
      </c>
      <c r="J523" t="n">
        <v>0</v>
      </c>
      <c r="K523" t="n">
        <v>0</v>
      </c>
      <c r="L523" t="n">
        <v>0</v>
      </c>
      <c r="M523" t="n">
        <v>0</v>
      </c>
      <c r="N523" t="n">
        <v>0</v>
      </c>
      <c r="O523" t="n">
        <v>0</v>
      </c>
      <c r="P523" t="n">
        <v>0</v>
      </c>
      <c r="Q523" t="n">
        <v>0</v>
      </c>
      <c r="R523" s="2" t="inlineStr"/>
    </row>
    <row r="524" ht="15" customHeight="1">
      <c r="A524" t="inlineStr">
        <is>
          <t>A 5822-2020</t>
        </is>
      </c>
      <c r="B524" s="1" t="n">
        <v>43864</v>
      </c>
      <c r="C524" s="1" t="n">
        <v>45844</v>
      </c>
      <c r="D524" t="inlineStr">
        <is>
          <t>KALMAR LÄN</t>
        </is>
      </c>
      <c r="E524" t="inlineStr">
        <is>
          <t>VÄSTERVIK</t>
        </is>
      </c>
      <c r="G524" t="n">
        <v>1.5</v>
      </c>
      <c r="H524" t="n">
        <v>0</v>
      </c>
      <c r="I524" t="n">
        <v>0</v>
      </c>
      <c r="J524" t="n">
        <v>0</v>
      </c>
      <c r="K524" t="n">
        <v>0</v>
      </c>
      <c r="L524" t="n">
        <v>0</v>
      </c>
      <c r="M524" t="n">
        <v>0</v>
      </c>
      <c r="N524" t="n">
        <v>0</v>
      </c>
      <c r="O524" t="n">
        <v>0</v>
      </c>
      <c r="P524" t="n">
        <v>0</v>
      </c>
      <c r="Q524" t="n">
        <v>0</v>
      </c>
      <c r="R524" s="2" t="inlineStr"/>
    </row>
    <row r="525" ht="15" customHeight="1">
      <c r="A525" t="inlineStr">
        <is>
          <t>A 6425-2020</t>
        </is>
      </c>
      <c r="B525" s="1" t="n">
        <v>43865</v>
      </c>
      <c r="C525" s="1" t="n">
        <v>45844</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6391-2020</t>
        </is>
      </c>
      <c r="B526" s="1" t="n">
        <v>43866</v>
      </c>
      <c r="C526" s="1" t="n">
        <v>45844</v>
      </c>
      <c r="D526" t="inlineStr">
        <is>
          <t>KALMAR LÄN</t>
        </is>
      </c>
      <c r="E526" t="inlineStr">
        <is>
          <t>VÄSTERVIK</t>
        </is>
      </c>
      <c r="G526" t="n">
        <v>1.6</v>
      </c>
      <c r="H526" t="n">
        <v>0</v>
      </c>
      <c r="I526" t="n">
        <v>0</v>
      </c>
      <c r="J526" t="n">
        <v>0</v>
      </c>
      <c r="K526" t="n">
        <v>0</v>
      </c>
      <c r="L526" t="n">
        <v>0</v>
      </c>
      <c r="M526" t="n">
        <v>0</v>
      </c>
      <c r="N526" t="n">
        <v>0</v>
      </c>
      <c r="O526" t="n">
        <v>0</v>
      </c>
      <c r="P526" t="n">
        <v>0</v>
      </c>
      <c r="Q526" t="n">
        <v>0</v>
      </c>
      <c r="R526" s="2" t="inlineStr"/>
    </row>
    <row r="527" ht="15" customHeight="1">
      <c r="A527" t="inlineStr">
        <is>
          <t>A 6387-2020</t>
        </is>
      </c>
      <c r="B527" s="1" t="n">
        <v>43866</v>
      </c>
      <c r="C527" s="1" t="n">
        <v>45844</v>
      </c>
      <c r="D527" t="inlineStr">
        <is>
          <t>KALMAR LÄN</t>
        </is>
      </c>
      <c r="E527" t="inlineStr">
        <is>
          <t>VÄSTERVIK</t>
        </is>
      </c>
      <c r="G527" t="n">
        <v>0.6</v>
      </c>
      <c r="H527" t="n">
        <v>0</v>
      </c>
      <c r="I527" t="n">
        <v>0</v>
      </c>
      <c r="J527" t="n">
        <v>0</v>
      </c>
      <c r="K527" t="n">
        <v>0</v>
      </c>
      <c r="L527" t="n">
        <v>0</v>
      </c>
      <c r="M527" t="n">
        <v>0</v>
      </c>
      <c r="N527" t="n">
        <v>0</v>
      </c>
      <c r="O527" t="n">
        <v>0</v>
      </c>
      <c r="P527" t="n">
        <v>0</v>
      </c>
      <c r="Q527" t="n">
        <v>0</v>
      </c>
      <c r="R527" s="2" t="inlineStr"/>
    </row>
    <row r="528" ht="15" customHeight="1">
      <c r="A528" t="inlineStr">
        <is>
          <t>A 7290-2020</t>
        </is>
      </c>
      <c r="B528" s="1" t="n">
        <v>43871</v>
      </c>
      <c r="C528" s="1" t="n">
        <v>45844</v>
      </c>
      <c r="D528" t="inlineStr">
        <is>
          <t>KALMAR LÄN</t>
        </is>
      </c>
      <c r="E528" t="inlineStr">
        <is>
          <t>VÄSTERVIK</t>
        </is>
      </c>
      <c r="F528" t="inlineStr">
        <is>
          <t>Holmen skog AB</t>
        </is>
      </c>
      <c r="G528" t="n">
        <v>1.7</v>
      </c>
      <c r="H528" t="n">
        <v>0</v>
      </c>
      <c r="I528" t="n">
        <v>0</v>
      </c>
      <c r="J528" t="n">
        <v>0</v>
      </c>
      <c r="K528" t="n">
        <v>0</v>
      </c>
      <c r="L528" t="n">
        <v>0</v>
      </c>
      <c r="M528" t="n">
        <v>0</v>
      </c>
      <c r="N528" t="n">
        <v>0</v>
      </c>
      <c r="O528" t="n">
        <v>0</v>
      </c>
      <c r="P528" t="n">
        <v>0</v>
      </c>
      <c r="Q528" t="n">
        <v>0</v>
      </c>
      <c r="R528" s="2" t="inlineStr"/>
    </row>
    <row r="529" ht="15" customHeight="1">
      <c r="A529" t="inlineStr">
        <is>
          <t>A 7660-2020</t>
        </is>
      </c>
      <c r="B529" s="1" t="n">
        <v>43872</v>
      </c>
      <c r="C529" s="1" t="n">
        <v>45844</v>
      </c>
      <c r="D529" t="inlineStr">
        <is>
          <t>KALMAR LÄN</t>
        </is>
      </c>
      <c r="E529" t="inlineStr">
        <is>
          <t>VÄSTERVIK</t>
        </is>
      </c>
      <c r="G529" t="n">
        <v>1.1</v>
      </c>
      <c r="H529" t="n">
        <v>0</v>
      </c>
      <c r="I529" t="n">
        <v>0</v>
      </c>
      <c r="J529" t="n">
        <v>0</v>
      </c>
      <c r="K529" t="n">
        <v>0</v>
      </c>
      <c r="L529" t="n">
        <v>0</v>
      </c>
      <c r="M529" t="n">
        <v>0</v>
      </c>
      <c r="N529" t="n">
        <v>0</v>
      </c>
      <c r="O529" t="n">
        <v>0</v>
      </c>
      <c r="P529" t="n">
        <v>0</v>
      </c>
      <c r="Q529" t="n">
        <v>0</v>
      </c>
      <c r="R529" s="2" t="inlineStr"/>
    </row>
    <row r="530" ht="15" customHeight="1">
      <c r="A530" t="inlineStr">
        <is>
          <t>A 7652-2020</t>
        </is>
      </c>
      <c r="B530" s="1" t="n">
        <v>43872</v>
      </c>
      <c r="C530" s="1" t="n">
        <v>45844</v>
      </c>
      <c r="D530" t="inlineStr">
        <is>
          <t>KALMAR LÄN</t>
        </is>
      </c>
      <c r="E530" t="inlineStr">
        <is>
          <t>VÄSTERVIK</t>
        </is>
      </c>
      <c r="G530" t="n">
        <v>1</v>
      </c>
      <c r="H530" t="n">
        <v>0</v>
      </c>
      <c r="I530" t="n">
        <v>0</v>
      </c>
      <c r="J530" t="n">
        <v>0</v>
      </c>
      <c r="K530" t="n">
        <v>0</v>
      </c>
      <c r="L530" t="n">
        <v>0</v>
      </c>
      <c r="M530" t="n">
        <v>0</v>
      </c>
      <c r="N530" t="n">
        <v>0</v>
      </c>
      <c r="O530" t="n">
        <v>0</v>
      </c>
      <c r="P530" t="n">
        <v>0</v>
      </c>
      <c r="Q530" t="n">
        <v>0</v>
      </c>
      <c r="R530" s="2" t="inlineStr"/>
    </row>
    <row r="531" ht="15" customHeight="1">
      <c r="A531" t="inlineStr">
        <is>
          <t>A 7727-2020</t>
        </is>
      </c>
      <c r="B531" s="1" t="n">
        <v>43872</v>
      </c>
      <c r="C531" s="1" t="n">
        <v>45844</v>
      </c>
      <c r="D531" t="inlineStr">
        <is>
          <t>KALMAR LÄN</t>
        </is>
      </c>
      <c r="E531" t="inlineStr">
        <is>
          <t>VÄSTERVIK</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8075-2020</t>
        </is>
      </c>
      <c r="B532" s="1" t="n">
        <v>43874</v>
      </c>
      <c r="C532" s="1" t="n">
        <v>45844</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8072-2020</t>
        </is>
      </c>
      <c r="B533" s="1" t="n">
        <v>43874</v>
      </c>
      <c r="C533" s="1" t="n">
        <v>45844</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9168-2020</t>
        </is>
      </c>
      <c r="B534" s="1" t="n">
        <v>43879</v>
      </c>
      <c r="C534" s="1" t="n">
        <v>45844</v>
      </c>
      <c r="D534" t="inlineStr">
        <is>
          <t>KALMAR LÄN</t>
        </is>
      </c>
      <c r="E534" t="inlineStr">
        <is>
          <t>VÄSTERVIK</t>
        </is>
      </c>
      <c r="G534" t="n">
        <v>1.5</v>
      </c>
      <c r="H534" t="n">
        <v>0</v>
      </c>
      <c r="I534" t="n">
        <v>0</v>
      </c>
      <c r="J534" t="n">
        <v>0</v>
      </c>
      <c r="K534" t="n">
        <v>0</v>
      </c>
      <c r="L534" t="n">
        <v>0</v>
      </c>
      <c r="M534" t="n">
        <v>0</v>
      </c>
      <c r="N534" t="n">
        <v>0</v>
      </c>
      <c r="O534" t="n">
        <v>0</v>
      </c>
      <c r="P534" t="n">
        <v>0</v>
      </c>
      <c r="Q534" t="n">
        <v>0</v>
      </c>
      <c r="R534" s="2" t="inlineStr"/>
    </row>
    <row r="535" ht="15" customHeight="1">
      <c r="A535" t="inlineStr">
        <is>
          <t>A 9166-2020</t>
        </is>
      </c>
      <c r="B535" s="1" t="n">
        <v>43879</v>
      </c>
      <c r="C535" s="1" t="n">
        <v>45844</v>
      </c>
      <c r="D535" t="inlineStr">
        <is>
          <t>KALMAR LÄN</t>
        </is>
      </c>
      <c r="E535" t="inlineStr">
        <is>
          <t>VÄSTERVIK</t>
        </is>
      </c>
      <c r="G535" t="n">
        <v>6.9</v>
      </c>
      <c r="H535" t="n">
        <v>0</v>
      </c>
      <c r="I535" t="n">
        <v>0</v>
      </c>
      <c r="J535" t="n">
        <v>0</v>
      </c>
      <c r="K535" t="n">
        <v>0</v>
      </c>
      <c r="L535" t="n">
        <v>0</v>
      </c>
      <c r="M535" t="n">
        <v>0</v>
      </c>
      <c r="N535" t="n">
        <v>0</v>
      </c>
      <c r="O535" t="n">
        <v>0</v>
      </c>
      <c r="P535" t="n">
        <v>0</v>
      </c>
      <c r="Q535" t="n">
        <v>0</v>
      </c>
      <c r="R535" s="2" t="inlineStr"/>
    </row>
    <row r="536" ht="15" customHeight="1">
      <c r="A536" t="inlineStr">
        <is>
          <t>A 9332-2020</t>
        </is>
      </c>
      <c r="B536" s="1" t="n">
        <v>43880</v>
      </c>
      <c r="C536" s="1" t="n">
        <v>45844</v>
      </c>
      <c r="D536" t="inlineStr">
        <is>
          <t>KALMAR LÄN</t>
        </is>
      </c>
      <c r="E536" t="inlineStr">
        <is>
          <t>VÄSTERVIK</t>
        </is>
      </c>
      <c r="G536" t="n">
        <v>1.4</v>
      </c>
      <c r="H536" t="n">
        <v>0</v>
      </c>
      <c r="I536" t="n">
        <v>0</v>
      </c>
      <c r="J536" t="n">
        <v>0</v>
      </c>
      <c r="K536" t="n">
        <v>0</v>
      </c>
      <c r="L536" t="n">
        <v>0</v>
      </c>
      <c r="M536" t="n">
        <v>0</v>
      </c>
      <c r="N536" t="n">
        <v>0</v>
      </c>
      <c r="O536" t="n">
        <v>0</v>
      </c>
      <c r="P536" t="n">
        <v>0</v>
      </c>
      <c r="Q536" t="n">
        <v>0</v>
      </c>
      <c r="R536" s="2" t="inlineStr"/>
    </row>
    <row r="537" ht="15" customHeight="1">
      <c r="A537" t="inlineStr">
        <is>
          <t>A 10373-2020</t>
        </is>
      </c>
      <c r="B537" s="1" t="n">
        <v>43885</v>
      </c>
      <c r="C537" s="1" t="n">
        <v>45844</v>
      </c>
      <c r="D537" t="inlineStr">
        <is>
          <t>KALMAR LÄN</t>
        </is>
      </c>
      <c r="E537" t="inlineStr">
        <is>
          <t>VÄSTERVIK</t>
        </is>
      </c>
      <c r="F537" t="inlineStr">
        <is>
          <t>Kyrkan</t>
        </is>
      </c>
      <c r="G537" t="n">
        <v>2.5</v>
      </c>
      <c r="H537" t="n">
        <v>0</v>
      </c>
      <c r="I537" t="n">
        <v>0</v>
      </c>
      <c r="J537" t="n">
        <v>0</v>
      </c>
      <c r="K537" t="n">
        <v>0</v>
      </c>
      <c r="L537" t="n">
        <v>0</v>
      </c>
      <c r="M537" t="n">
        <v>0</v>
      </c>
      <c r="N537" t="n">
        <v>0</v>
      </c>
      <c r="O537" t="n">
        <v>0</v>
      </c>
      <c r="P537" t="n">
        <v>0</v>
      </c>
      <c r="Q537" t="n">
        <v>0</v>
      </c>
      <c r="R537" s="2" t="inlineStr"/>
    </row>
    <row r="538" ht="15" customHeight="1">
      <c r="A538" t="inlineStr">
        <is>
          <t>A 11067-2020</t>
        </is>
      </c>
      <c r="B538" s="1" t="n">
        <v>43885</v>
      </c>
      <c r="C538" s="1" t="n">
        <v>45844</v>
      </c>
      <c r="D538" t="inlineStr">
        <is>
          <t>KALMAR LÄN</t>
        </is>
      </c>
      <c r="E538" t="inlineStr">
        <is>
          <t>VÄSTERVIK</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10482-2020</t>
        </is>
      </c>
      <c r="B539" s="1" t="n">
        <v>43886</v>
      </c>
      <c r="C539" s="1" t="n">
        <v>45844</v>
      </c>
      <c r="D539" t="inlineStr">
        <is>
          <t>KALMAR LÄN</t>
        </is>
      </c>
      <c r="E539" t="inlineStr">
        <is>
          <t>VÄSTERVIK</t>
        </is>
      </c>
      <c r="G539" t="n">
        <v>1.2</v>
      </c>
      <c r="H539" t="n">
        <v>0</v>
      </c>
      <c r="I539" t="n">
        <v>0</v>
      </c>
      <c r="J539" t="n">
        <v>0</v>
      </c>
      <c r="K539" t="n">
        <v>0</v>
      </c>
      <c r="L539" t="n">
        <v>0</v>
      </c>
      <c r="M539" t="n">
        <v>0</v>
      </c>
      <c r="N539" t="n">
        <v>0</v>
      </c>
      <c r="O539" t="n">
        <v>0</v>
      </c>
      <c r="P539" t="n">
        <v>0</v>
      </c>
      <c r="Q539" t="n">
        <v>0</v>
      </c>
      <c r="R539" s="2" t="inlineStr"/>
    </row>
    <row r="540" ht="15" customHeight="1">
      <c r="A540" t="inlineStr">
        <is>
          <t>A 10173-2020</t>
        </is>
      </c>
      <c r="B540" s="1" t="n">
        <v>43886</v>
      </c>
      <c r="C540" s="1" t="n">
        <v>45844</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11253-2020</t>
        </is>
      </c>
      <c r="B541" s="1" t="n">
        <v>43892</v>
      </c>
      <c r="C541" s="1" t="n">
        <v>45844</v>
      </c>
      <c r="D541" t="inlineStr">
        <is>
          <t>KALMAR LÄN</t>
        </is>
      </c>
      <c r="E541" t="inlineStr">
        <is>
          <t>VÄSTERVIK</t>
        </is>
      </c>
      <c r="F541" t="inlineStr">
        <is>
          <t>Övriga Aktiebolag</t>
        </is>
      </c>
      <c r="G541" t="n">
        <v>4.6</v>
      </c>
      <c r="H541" t="n">
        <v>0</v>
      </c>
      <c r="I541" t="n">
        <v>0</v>
      </c>
      <c r="J541" t="n">
        <v>0</v>
      </c>
      <c r="K541" t="n">
        <v>0</v>
      </c>
      <c r="L541" t="n">
        <v>0</v>
      </c>
      <c r="M541" t="n">
        <v>0</v>
      </c>
      <c r="N541" t="n">
        <v>0</v>
      </c>
      <c r="O541" t="n">
        <v>0</v>
      </c>
      <c r="P541" t="n">
        <v>0</v>
      </c>
      <c r="Q541" t="n">
        <v>0</v>
      </c>
      <c r="R541" s="2" t="inlineStr"/>
    </row>
    <row r="542" ht="15" customHeight="1">
      <c r="A542" t="inlineStr">
        <is>
          <t>A 11248-2020</t>
        </is>
      </c>
      <c r="B542" s="1" t="n">
        <v>43892</v>
      </c>
      <c r="C542" s="1" t="n">
        <v>45844</v>
      </c>
      <c r="D542" t="inlineStr">
        <is>
          <t>KALMAR LÄN</t>
        </is>
      </c>
      <c r="E542" t="inlineStr">
        <is>
          <t>VÄSTERVIK</t>
        </is>
      </c>
      <c r="F542" t="inlineStr">
        <is>
          <t>Övriga Aktiebolag</t>
        </is>
      </c>
      <c r="G542" t="n">
        <v>1.7</v>
      </c>
      <c r="H542" t="n">
        <v>0</v>
      </c>
      <c r="I542" t="n">
        <v>0</v>
      </c>
      <c r="J542" t="n">
        <v>0</v>
      </c>
      <c r="K542" t="n">
        <v>0</v>
      </c>
      <c r="L542" t="n">
        <v>0</v>
      </c>
      <c r="M542" t="n">
        <v>0</v>
      </c>
      <c r="N542" t="n">
        <v>0</v>
      </c>
      <c r="O542" t="n">
        <v>0</v>
      </c>
      <c r="P542" t="n">
        <v>0</v>
      </c>
      <c r="Q542" t="n">
        <v>0</v>
      </c>
      <c r="R542" s="2" t="inlineStr"/>
    </row>
    <row r="543" ht="15" customHeight="1">
      <c r="A543" t="inlineStr">
        <is>
          <t>A 11246-2020</t>
        </is>
      </c>
      <c r="B543" s="1" t="n">
        <v>43892</v>
      </c>
      <c r="C543" s="1" t="n">
        <v>45844</v>
      </c>
      <c r="D543" t="inlineStr">
        <is>
          <t>KALMAR LÄN</t>
        </is>
      </c>
      <c r="E543" t="inlineStr">
        <is>
          <t>VÄSTERVIK</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12430-2020</t>
        </is>
      </c>
      <c r="B544" s="1" t="n">
        <v>43896</v>
      </c>
      <c r="C544" s="1" t="n">
        <v>45844</v>
      </c>
      <c r="D544" t="inlineStr">
        <is>
          <t>KALMAR LÄN</t>
        </is>
      </c>
      <c r="E544" t="inlineStr">
        <is>
          <t>VÄSTERVIK</t>
        </is>
      </c>
      <c r="G544" t="n">
        <v>2.1</v>
      </c>
      <c r="H544" t="n">
        <v>0</v>
      </c>
      <c r="I544" t="n">
        <v>0</v>
      </c>
      <c r="J544" t="n">
        <v>0</v>
      </c>
      <c r="K544" t="n">
        <v>0</v>
      </c>
      <c r="L544" t="n">
        <v>0</v>
      </c>
      <c r="M544" t="n">
        <v>0</v>
      </c>
      <c r="N544" t="n">
        <v>0</v>
      </c>
      <c r="O544" t="n">
        <v>0</v>
      </c>
      <c r="P544" t="n">
        <v>0</v>
      </c>
      <c r="Q544" t="n">
        <v>0</v>
      </c>
      <c r="R544" s="2" t="inlineStr"/>
    </row>
    <row r="545" ht="15" customHeight="1">
      <c r="A545" t="inlineStr">
        <is>
          <t>A 12965-2020</t>
        </is>
      </c>
      <c r="B545" s="1" t="n">
        <v>43900</v>
      </c>
      <c r="C545" s="1" t="n">
        <v>45844</v>
      </c>
      <c r="D545" t="inlineStr">
        <is>
          <t>KALMAR LÄN</t>
        </is>
      </c>
      <c r="E545" t="inlineStr">
        <is>
          <t>VÄSTERVIK</t>
        </is>
      </c>
      <c r="G545" t="n">
        <v>1.1</v>
      </c>
      <c r="H545" t="n">
        <v>0</v>
      </c>
      <c r="I545" t="n">
        <v>0</v>
      </c>
      <c r="J545" t="n">
        <v>0</v>
      </c>
      <c r="K545" t="n">
        <v>0</v>
      </c>
      <c r="L545" t="n">
        <v>0</v>
      </c>
      <c r="M545" t="n">
        <v>0</v>
      </c>
      <c r="N545" t="n">
        <v>0</v>
      </c>
      <c r="O545" t="n">
        <v>0</v>
      </c>
      <c r="P545" t="n">
        <v>0</v>
      </c>
      <c r="Q545" t="n">
        <v>0</v>
      </c>
      <c r="R545" s="2" t="inlineStr"/>
    </row>
    <row r="546" ht="15" customHeight="1">
      <c r="A546" t="inlineStr">
        <is>
          <t>A 13514-2020</t>
        </is>
      </c>
      <c r="B546" s="1" t="n">
        <v>43902</v>
      </c>
      <c r="C546" s="1" t="n">
        <v>45844</v>
      </c>
      <c r="D546" t="inlineStr">
        <is>
          <t>KALMAR LÄN</t>
        </is>
      </c>
      <c r="E546" t="inlineStr">
        <is>
          <t>VÄSTERVIK</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13526-2020</t>
        </is>
      </c>
      <c r="B547" s="1" t="n">
        <v>43902</v>
      </c>
      <c r="C547" s="1" t="n">
        <v>45844</v>
      </c>
      <c r="D547" t="inlineStr">
        <is>
          <t>KALMAR LÄN</t>
        </is>
      </c>
      <c r="E547" t="inlineStr">
        <is>
          <t>VÄSTERVIK</t>
        </is>
      </c>
      <c r="F547" t="inlineStr">
        <is>
          <t>Holmen skog AB</t>
        </is>
      </c>
      <c r="G547" t="n">
        <v>18.6</v>
      </c>
      <c r="H547" t="n">
        <v>0</v>
      </c>
      <c r="I547" t="n">
        <v>0</v>
      </c>
      <c r="J547" t="n">
        <v>0</v>
      </c>
      <c r="K547" t="n">
        <v>0</v>
      </c>
      <c r="L547" t="n">
        <v>0</v>
      </c>
      <c r="M547" t="n">
        <v>0</v>
      </c>
      <c r="N547" t="n">
        <v>0</v>
      </c>
      <c r="O547" t="n">
        <v>0</v>
      </c>
      <c r="P547" t="n">
        <v>0</v>
      </c>
      <c r="Q547" t="n">
        <v>0</v>
      </c>
      <c r="R547" s="2" t="inlineStr"/>
    </row>
    <row r="548" ht="15" customHeight="1">
      <c r="A548" t="inlineStr">
        <is>
          <t>A 13523-2020</t>
        </is>
      </c>
      <c r="B548" s="1" t="n">
        <v>43902</v>
      </c>
      <c r="C548" s="1" t="n">
        <v>45844</v>
      </c>
      <c r="D548" t="inlineStr">
        <is>
          <t>KALMAR LÄN</t>
        </is>
      </c>
      <c r="E548" t="inlineStr">
        <is>
          <t>VÄSTERVIK</t>
        </is>
      </c>
      <c r="F548" t="inlineStr">
        <is>
          <t>Holmen skog AB</t>
        </is>
      </c>
      <c r="G548" t="n">
        <v>3.8</v>
      </c>
      <c r="H548" t="n">
        <v>0</v>
      </c>
      <c r="I548" t="n">
        <v>0</v>
      </c>
      <c r="J548" t="n">
        <v>0</v>
      </c>
      <c r="K548" t="n">
        <v>0</v>
      </c>
      <c r="L548" t="n">
        <v>0</v>
      </c>
      <c r="M548" t="n">
        <v>0</v>
      </c>
      <c r="N548" t="n">
        <v>0</v>
      </c>
      <c r="O548" t="n">
        <v>0</v>
      </c>
      <c r="P548" t="n">
        <v>0</v>
      </c>
      <c r="Q548" t="n">
        <v>0</v>
      </c>
      <c r="R548" s="2" t="inlineStr"/>
    </row>
    <row r="549" ht="15" customHeight="1">
      <c r="A549" t="inlineStr">
        <is>
          <t>A 14889-2020</t>
        </is>
      </c>
      <c r="B549" s="1" t="n">
        <v>43906</v>
      </c>
      <c r="C549" s="1" t="n">
        <v>45844</v>
      </c>
      <c r="D549" t="inlineStr">
        <is>
          <t>KALMAR LÄN</t>
        </is>
      </c>
      <c r="E549" t="inlineStr">
        <is>
          <t>VÄSTERVIK</t>
        </is>
      </c>
      <c r="G549" t="n">
        <v>2.4</v>
      </c>
      <c r="H549" t="n">
        <v>0</v>
      </c>
      <c r="I549" t="n">
        <v>0</v>
      </c>
      <c r="J549" t="n">
        <v>0</v>
      </c>
      <c r="K549" t="n">
        <v>0</v>
      </c>
      <c r="L549" t="n">
        <v>0</v>
      </c>
      <c r="M549" t="n">
        <v>0</v>
      </c>
      <c r="N549" t="n">
        <v>0</v>
      </c>
      <c r="O549" t="n">
        <v>0</v>
      </c>
      <c r="P549" t="n">
        <v>0</v>
      </c>
      <c r="Q549" t="n">
        <v>0</v>
      </c>
      <c r="R549" s="2" t="inlineStr"/>
    </row>
    <row r="550" ht="15" customHeight="1">
      <c r="A550" t="inlineStr">
        <is>
          <t>A 14887-2020</t>
        </is>
      </c>
      <c r="B550" s="1" t="n">
        <v>43906</v>
      </c>
      <c r="C550" s="1" t="n">
        <v>45844</v>
      </c>
      <c r="D550" t="inlineStr">
        <is>
          <t>KALMAR LÄN</t>
        </is>
      </c>
      <c r="E550" t="inlineStr">
        <is>
          <t>VÄSTERVIK</t>
        </is>
      </c>
      <c r="G550" t="n">
        <v>3.3</v>
      </c>
      <c r="H550" t="n">
        <v>0</v>
      </c>
      <c r="I550" t="n">
        <v>0</v>
      </c>
      <c r="J550" t="n">
        <v>0</v>
      </c>
      <c r="K550" t="n">
        <v>0</v>
      </c>
      <c r="L550" t="n">
        <v>0</v>
      </c>
      <c r="M550" t="n">
        <v>0</v>
      </c>
      <c r="N550" t="n">
        <v>0</v>
      </c>
      <c r="O550" t="n">
        <v>0</v>
      </c>
      <c r="P550" t="n">
        <v>0</v>
      </c>
      <c r="Q550" t="n">
        <v>0</v>
      </c>
      <c r="R550" s="2" t="inlineStr"/>
    </row>
    <row r="551" ht="15" customHeight="1">
      <c r="A551" t="inlineStr">
        <is>
          <t>A 14891-2020</t>
        </is>
      </c>
      <c r="B551" s="1" t="n">
        <v>43906</v>
      </c>
      <c r="C551" s="1" t="n">
        <v>45844</v>
      </c>
      <c r="D551" t="inlineStr">
        <is>
          <t>KALMAR LÄN</t>
        </is>
      </c>
      <c r="E551" t="inlineStr">
        <is>
          <t>VÄSTERVIK</t>
        </is>
      </c>
      <c r="G551" t="n">
        <v>1.6</v>
      </c>
      <c r="H551" t="n">
        <v>0</v>
      </c>
      <c r="I551" t="n">
        <v>0</v>
      </c>
      <c r="J551" t="n">
        <v>0</v>
      </c>
      <c r="K551" t="n">
        <v>0</v>
      </c>
      <c r="L551" t="n">
        <v>0</v>
      </c>
      <c r="M551" t="n">
        <v>0</v>
      </c>
      <c r="N551" t="n">
        <v>0</v>
      </c>
      <c r="O551" t="n">
        <v>0</v>
      </c>
      <c r="P551" t="n">
        <v>0</v>
      </c>
      <c r="Q551" t="n">
        <v>0</v>
      </c>
      <c r="R551" s="2" t="inlineStr"/>
    </row>
    <row r="552" ht="15" customHeight="1">
      <c r="A552" t="inlineStr">
        <is>
          <t>A 14456-2020</t>
        </is>
      </c>
      <c r="B552" s="1" t="n">
        <v>43908</v>
      </c>
      <c r="C552" s="1" t="n">
        <v>45844</v>
      </c>
      <c r="D552" t="inlineStr">
        <is>
          <t>KALMAR LÄN</t>
        </is>
      </c>
      <c r="E552" t="inlineStr">
        <is>
          <t>VÄSTERVIK</t>
        </is>
      </c>
      <c r="G552" t="n">
        <v>0.7</v>
      </c>
      <c r="H552" t="n">
        <v>0</v>
      </c>
      <c r="I552" t="n">
        <v>0</v>
      </c>
      <c r="J552" t="n">
        <v>0</v>
      </c>
      <c r="K552" t="n">
        <v>0</v>
      </c>
      <c r="L552" t="n">
        <v>0</v>
      </c>
      <c r="M552" t="n">
        <v>0</v>
      </c>
      <c r="N552" t="n">
        <v>0</v>
      </c>
      <c r="O552" t="n">
        <v>0</v>
      </c>
      <c r="P552" t="n">
        <v>0</v>
      </c>
      <c r="Q552" t="n">
        <v>0</v>
      </c>
      <c r="R552" s="2" t="inlineStr"/>
    </row>
    <row r="553" ht="15" customHeight="1">
      <c r="A553" t="inlineStr">
        <is>
          <t>A 16580-2020</t>
        </is>
      </c>
      <c r="B553" s="1" t="n">
        <v>43908</v>
      </c>
      <c r="C553" s="1" t="n">
        <v>45844</v>
      </c>
      <c r="D553" t="inlineStr">
        <is>
          <t>KALMAR LÄN</t>
        </is>
      </c>
      <c r="E553" t="inlineStr">
        <is>
          <t>VÄSTERVIK</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19422-2020</t>
        </is>
      </c>
      <c r="B554" s="1" t="n">
        <v>43938</v>
      </c>
      <c r="C554" s="1" t="n">
        <v>45844</v>
      </c>
      <c r="D554" t="inlineStr">
        <is>
          <t>KALMAR LÄN</t>
        </is>
      </c>
      <c r="E554" t="inlineStr">
        <is>
          <t>VÄSTERVIK</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19437-2020</t>
        </is>
      </c>
      <c r="B555" s="1" t="n">
        <v>43938</v>
      </c>
      <c r="C555" s="1" t="n">
        <v>45844</v>
      </c>
      <c r="D555" t="inlineStr">
        <is>
          <t>KALMAR LÄN</t>
        </is>
      </c>
      <c r="E555" t="inlineStr">
        <is>
          <t>VÄSTERVIK</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19829-2020</t>
        </is>
      </c>
      <c r="B556" s="1" t="n">
        <v>43942</v>
      </c>
      <c r="C556" s="1" t="n">
        <v>45844</v>
      </c>
      <c r="D556" t="inlineStr">
        <is>
          <t>KALMAR LÄN</t>
        </is>
      </c>
      <c r="E556" t="inlineStr">
        <is>
          <t>VÄSTERVIK</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20408-2020</t>
        </is>
      </c>
      <c r="B557" s="1" t="n">
        <v>43945</v>
      </c>
      <c r="C557" s="1" t="n">
        <v>45844</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20411-2020</t>
        </is>
      </c>
      <c r="B558" s="1" t="n">
        <v>43945</v>
      </c>
      <c r="C558" s="1" t="n">
        <v>45844</v>
      </c>
      <c r="D558" t="inlineStr">
        <is>
          <t>KALMAR LÄN</t>
        </is>
      </c>
      <c r="E558" t="inlineStr">
        <is>
          <t>VÄSTERVIK</t>
        </is>
      </c>
      <c r="G558" t="n">
        <v>2</v>
      </c>
      <c r="H558" t="n">
        <v>0</v>
      </c>
      <c r="I558" t="n">
        <v>0</v>
      </c>
      <c r="J558" t="n">
        <v>0</v>
      </c>
      <c r="K558" t="n">
        <v>0</v>
      </c>
      <c r="L558" t="n">
        <v>0</v>
      </c>
      <c r="M558" t="n">
        <v>0</v>
      </c>
      <c r="N558" t="n">
        <v>0</v>
      </c>
      <c r="O558" t="n">
        <v>0</v>
      </c>
      <c r="P558" t="n">
        <v>0</v>
      </c>
      <c r="Q558" t="n">
        <v>0</v>
      </c>
      <c r="R558" s="2" t="inlineStr"/>
    </row>
    <row r="559" ht="15" customHeight="1">
      <c r="A559" t="inlineStr">
        <is>
          <t>A 20694-2020</t>
        </is>
      </c>
      <c r="B559" s="1" t="n">
        <v>43949</v>
      </c>
      <c r="C559" s="1" t="n">
        <v>45844</v>
      </c>
      <c r="D559" t="inlineStr">
        <is>
          <t>KALMAR LÄN</t>
        </is>
      </c>
      <c r="E559" t="inlineStr">
        <is>
          <t>VÄSTERVIK</t>
        </is>
      </c>
      <c r="F559" t="inlineStr">
        <is>
          <t>Holmen skog AB</t>
        </is>
      </c>
      <c r="G559" t="n">
        <v>1.1</v>
      </c>
      <c r="H559" t="n">
        <v>0</v>
      </c>
      <c r="I559" t="n">
        <v>0</v>
      </c>
      <c r="J559" t="n">
        <v>0</v>
      </c>
      <c r="K559" t="n">
        <v>0</v>
      </c>
      <c r="L559" t="n">
        <v>0</v>
      </c>
      <c r="M559" t="n">
        <v>0</v>
      </c>
      <c r="N559" t="n">
        <v>0</v>
      </c>
      <c r="O559" t="n">
        <v>0</v>
      </c>
      <c r="P559" t="n">
        <v>0</v>
      </c>
      <c r="Q559" t="n">
        <v>0</v>
      </c>
      <c r="R559" s="2" t="inlineStr"/>
    </row>
    <row r="560" ht="15" customHeight="1">
      <c r="A560" t="inlineStr">
        <is>
          <t>A 22643-2020</t>
        </is>
      </c>
      <c r="B560" s="1" t="n">
        <v>43963</v>
      </c>
      <c r="C560" s="1" t="n">
        <v>45844</v>
      </c>
      <c r="D560" t="inlineStr">
        <is>
          <t>KALMAR LÄN</t>
        </is>
      </c>
      <c r="E560" t="inlineStr">
        <is>
          <t>VÄSTERVIK</t>
        </is>
      </c>
      <c r="G560" t="n">
        <v>2</v>
      </c>
      <c r="H560" t="n">
        <v>0</v>
      </c>
      <c r="I560" t="n">
        <v>0</v>
      </c>
      <c r="J560" t="n">
        <v>0</v>
      </c>
      <c r="K560" t="n">
        <v>0</v>
      </c>
      <c r="L560" t="n">
        <v>0</v>
      </c>
      <c r="M560" t="n">
        <v>0</v>
      </c>
      <c r="N560" t="n">
        <v>0</v>
      </c>
      <c r="O560" t="n">
        <v>0</v>
      </c>
      <c r="P560" t="n">
        <v>0</v>
      </c>
      <c r="Q560" t="n">
        <v>0</v>
      </c>
      <c r="R560" s="2" t="inlineStr"/>
    </row>
    <row r="561" ht="15" customHeight="1">
      <c r="A561" t="inlineStr">
        <is>
          <t>A 22882-2020</t>
        </is>
      </c>
      <c r="B561" s="1" t="n">
        <v>43964</v>
      </c>
      <c r="C561" s="1" t="n">
        <v>45844</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row>
    <row r="562" ht="15" customHeight="1">
      <c r="A562" t="inlineStr">
        <is>
          <t>A 22880-2020</t>
        </is>
      </c>
      <c r="B562" s="1" t="n">
        <v>43964</v>
      </c>
      <c r="C562" s="1" t="n">
        <v>45844</v>
      </c>
      <c r="D562" t="inlineStr">
        <is>
          <t>KALMAR LÄN</t>
        </is>
      </c>
      <c r="E562" t="inlineStr">
        <is>
          <t>VÄSTERVIK</t>
        </is>
      </c>
      <c r="G562" t="n">
        <v>1.1</v>
      </c>
      <c r="H562" t="n">
        <v>0</v>
      </c>
      <c r="I562" t="n">
        <v>0</v>
      </c>
      <c r="J562" t="n">
        <v>0</v>
      </c>
      <c r="K562" t="n">
        <v>0</v>
      </c>
      <c r="L562" t="n">
        <v>0</v>
      </c>
      <c r="M562" t="n">
        <v>0</v>
      </c>
      <c r="N562" t="n">
        <v>0</v>
      </c>
      <c r="O562" t="n">
        <v>0</v>
      </c>
      <c r="P562" t="n">
        <v>0</v>
      </c>
      <c r="Q562" t="n">
        <v>0</v>
      </c>
      <c r="R562" s="2" t="inlineStr"/>
    </row>
    <row r="563" ht="15" customHeight="1">
      <c r="A563" t="inlineStr">
        <is>
          <t>A 22803-2020</t>
        </is>
      </c>
      <c r="B563" s="1" t="n">
        <v>43964</v>
      </c>
      <c r="C563" s="1" t="n">
        <v>45844</v>
      </c>
      <c r="D563" t="inlineStr">
        <is>
          <t>KALMAR LÄN</t>
        </is>
      </c>
      <c r="E563" t="inlineStr">
        <is>
          <t>VÄSTERVIK</t>
        </is>
      </c>
      <c r="G563" t="n">
        <v>1.5</v>
      </c>
      <c r="H563" t="n">
        <v>0</v>
      </c>
      <c r="I563" t="n">
        <v>0</v>
      </c>
      <c r="J563" t="n">
        <v>0</v>
      </c>
      <c r="K563" t="n">
        <v>0</v>
      </c>
      <c r="L563" t="n">
        <v>0</v>
      </c>
      <c r="M563" t="n">
        <v>0</v>
      </c>
      <c r="N563" t="n">
        <v>0</v>
      </c>
      <c r="O563" t="n">
        <v>0</v>
      </c>
      <c r="P563" t="n">
        <v>0</v>
      </c>
      <c r="Q563" t="n">
        <v>0</v>
      </c>
      <c r="R563" s="2" t="inlineStr"/>
    </row>
    <row r="564" ht="15" customHeight="1">
      <c r="A564" t="inlineStr">
        <is>
          <t>A 24366-2020</t>
        </is>
      </c>
      <c r="B564" s="1" t="n">
        <v>43973</v>
      </c>
      <c r="C564" s="1" t="n">
        <v>45844</v>
      </c>
      <c r="D564" t="inlineStr">
        <is>
          <t>KALMAR LÄN</t>
        </is>
      </c>
      <c r="E564" t="inlineStr">
        <is>
          <t>VÄSTERVIK</t>
        </is>
      </c>
      <c r="G564" t="n">
        <v>6.9</v>
      </c>
      <c r="H564" t="n">
        <v>0</v>
      </c>
      <c r="I564" t="n">
        <v>0</v>
      </c>
      <c r="J564" t="n">
        <v>0</v>
      </c>
      <c r="K564" t="n">
        <v>0</v>
      </c>
      <c r="L564" t="n">
        <v>0</v>
      </c>
      <c r="M564" t="n">
        <v>0</v>
      </c>
      <c r="N564" t="n">
        <v>0</v>
      </c>
      <c r="O564" t="n">
        <v>0</v>
      </c>
      <c r="P564" t="n">
        <v>0</v>
      </c>
      <c r="Q564" t="n">
        <v>0</v>
      </c>
      <c r="R564" s="2" t="inlineStr"/>
    </row>
    <row r="565" ht="15" customHeight="1">
      <c r="A565" t="inlineStr">
        <is>
          <t>A 24575-2020</t>
        </is>
      </c>
      <c r="B565" s="1" t="n">
        <v>43977</v>
      </c>
      <c r="C565" s="1" t="n">
        <v>45844</v>
      </c>
      <c r="D565" t="inlineStr">
        <is>
          <t>KALMAR LÄN</t>
        </is>
      </c>
      <c r="E565" t="inlineStr">
        <is>
          <t>VÄSTERVIK</t>
        </is>
      </c>
      <c r="G565" t="n">
        <v>0.5</v>
      </c>
      <c r="H565" t="n">
        <v>0</v>
      </c>
      <c r="I565" t="n">
        <v>0</v>
      </c>
      <c r="J565" t="n">
        <v>0</v>
      </c>
      <c r="K565" t="n">
        <v>0</v>
      </c>
      <c r="L565" t="n">
        <v>0</v>
      </c>
      <c r="M565" t="n">
        <v>0</v>
      </c>
      <c r="N565" t="n">
        <v>0</v>
      </c>
      <c r="O565" t="n">
        <v>0</v>
      </c>
      <c r="P565" t="n">
        <v>0</v>
      </c>
      <c r="Q565" t="n">
        <v>0</v>
      </c>
      <c r="R565" s="2" t="inlineStr"/>
    </row>
    <row r="566" ht="15" customHeight="1">
      <c r="A566" t="inlineStr">
        <is>
          <t>A 24570-2020</t>
        </is>
      </c>
      <c r="B566" s="1" t="n">
        <v>43977</v>
      </c>
      <c r="C566" s="1" t="n">
        <v>45844</v>
      </c>
      <c r="D566" t="inlineStr">
        <is>
          <t>KALMAR LÄN</t>
        </is>
      </c>
      <c r="E566" t="inlineStr">
        <is>
          <t>VÄSTERVIK</t>
        </is>
      </c>
      <c r="G566" t="n">
        <v>0.9</v>
      </c>
      <c r="H566" t="n">
        <v>0</v>
      </c>
      <c r="I566" t="n">
        <v>0</v>
      </c>
      <c r="J566" t="n">
        <v>0</v>
      </c>
      <c r="K566" t="n">
        <v>0</v>
      </c>
      <c r="L566" t="n">
        <v>0</v>
      </c>
      <c r="M566" t="n">
        <v>0</v>
      </c>
      <c r="N566" t="n">
        <v>0</v>
      </c>
      <c r="O566" t="n">
        <v>0</v>
      </c>
      <c r="P566" t="n">
        <v>0</v>
      </c>
      <c r="Q566" t="n">
        <v>0</v>
      </c>
      <c r="R566" s="2" t="inlineStr"/>
    </row>
    <row r="567" ht="15" customHeight="1">
      <c r="A567" t="inlineStr">
        <is>
          <t>A 24677-2020</t>
        </is>
      </c>
      <c r="B567" s="1" t="n">
        <v>43978</v>
      </c>
      <c r="C567" s="1" t="n">
        <v>45844</v>
      </c>
      <c r="D567" t="inlineStr">
        <is>
          <t>KALMAR LÄN</t>
        </is>
      </c>
      <c r="E567" t="inlineStr">
        <is>
          <t>VÄSTERVIK</t>
        </is>
      </c>
      <c r="G567" t="n">
        <v>2.7</v>
      </c>
      <c r="H567" t="n">
        <v>0</v>
      </c>
      <c r="I567" t="n">
        <v>0</v>
      </c>
      <c r="J567" t="n">
        <v>0</v>
      </c>
      <c r="K567" t="n">
        <v>0</v>
      </c>
      <c r="L567" t="n">
        <v>0</v>
      </c>
      <c r="M567" t="n">
        <v>0</v>
      </c>
      <c r="N567" t="n">
        <v>0</v>
      </c>
      <c r="O567" t="n">
        <v>0</v>
      </c>
      <c r="P567" t="n">
        <v>0</v>
      </c>
      <c r="Q567" t="n">
        <v>0</v>
      </c>
      <c r="R567" s="2" t="inlineStr"/>
    </row>
    <row r="568" ht="15" customHeight="1">
      <c r="A568" t="inlineStr">
        <is>
          <t>A 25241-2020</t>
        </is>
      </c>
      <c r="B568" s="1" t="n">
        <v>43980</v>
      </c>
      <c r="C568" s="1" t="n">
        <v>45844</v>
      </c>
      <c r="D568" t="inlineStr">
        <is>
          <t>KALMAR LÄN</t>
        </is>
      </c>
      <c r="E568" t="inlineStr">
        <is>
          <t>VÄSTERVIK</t>
        </is>
      </c>
      <c r="G568" t="n">
        <v>0.7</v>
      </c>
      <c r="H568" t="n">
        <v>0</v>
      </c>
      <c r="I568" t="n">
        <v>0</v>
      </c>
      <c r="J568" t="n">
        <v>0</v>
      </c>
      <c r="K568" t="n">
        <v>0</v>
      </c>
      <c r="L568" t="n">
        <v>0</v>
      </c>
      <c r="M568" t="n">
        <v>0</v>
      </c>
      <c r="N568" t="n">
        <v>0</v>
      </c>
      <c r="O568" t="n">
        <v>0</v>
      </c>
      <c r="P568" t="n">
        <v>0</v>
      </c>
      <c r="Q568" t="n">
        <v>0</v>
      </c>
      <c r="R568" s="2" t="inlineStr"/>
    </row>
    <row r="569" ht="15" customHeight="1">
      <c r="A569" t="inlineStr">
        <is>
          <t>A 26226-2020</t>
        </is>
      </c>
      <c r="B569" s="1" t="n">
        <v>43985</v>
      </c>
      <c r="C569" s="1" t="n">
        <v>45844</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26129-2020</t>
        </is>
      </c>
      <c r="B570" s="1" t="n">
        <v>43985</v>
      </c>
      <c r="C570" s="1" t="n">
        <v>45844</v>
      </c>
      <c r="D570" t="inlineStr">
        <is>
          <t>KALMAR LÄN</t>
        </is>
      </c>
      <c r="E570" t="inlineStr">
        <is>
          <t>VÄSTERVIK</t>
        </is>
      </c>
      <c r="G570" t="n">
        <v>0.4</v>
      </c>
      <c r="H570" t="n">
        <v>0</v>
      </c>
      <c r="I570" t="n">
        <v>0</v>
      </c>
      <c r="J570" t="n">
        <v>0</v>
      </c>
      <c r="K570" t="n">
        <v>0</v>
      </c>
      <c r="L570" t="n">
        <v>0</v>
      </c>
      <c r="M570" t="n">
        <v>0</v>
      </c>
      <c r="N570" t="n">
        <v>0</v>
      </c>
      <c r="O570" t="n">
        <v>0</v>
      </c>
      <c r="P570" t="n">
        <v>0</v>
      </c>
      <c r="Q570" t="n">
        <v>0</v>
      </c>
      <c r="R570" s="2" t="inlineStr"/>
    </row>
    <row r="571" ht="15" customHeight="1">
      <c r="A571" t="inlineStr">
        <is>
          <t>A 26842-2020</t>
        </is>
      </c>
      <c r="B571" s="1" t="n">
        <v>43987</v>
      </c>
      <c r="C571" s="1" t="n">
        <v>45844</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29093-2020</t>
        </is>
      </c>
      <c r="B572" s="1" t="n">
        <v>44002</v>
      </c>
      <c r="C572" s="1" t="n">
        <v>45844</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29264-2020</t>
        </is>
      </c>
      <c r="B573" s="1" t="n">
        <v>44004</v>
      </c>
      <c r="C573" s="1" t="n">
        <v>45844</v>
      </c>
      <c r="D573" t="inlineStr">
        <is>
          <t>KALMAR LÄN</t>
        </is>
      </c>
      <c r="E573" t="inlineStr">
        <is>
          <t>VÄSTERVIK</t>
        </is>
      </c>
      <c r="G573" t="n">
        <v>5.5</v>
      </c>
      <c r="H573" t="n">
        <v>0</v>
      </c>
      <c r="I573" t="n">
        <v>0</v>
      </c>
      <c r="J573" t="n">
        <v>0</v>
      </c>
      <c r="K573" t="n">
        <v>0</v>
      </c>
      <c r="L573" t="n">
        <v>0</v>
      </c>
      <c r="M573" t="n">
        <v>0</v>
      </c>
      <c r="N573" t="n">
        <v>0</v>
      </c>
      <c r="O573" t="n">
        <v>0</v>
      </c>
      <c r="P573" t="n">
        <v>0</v>
      </c>
      <c r="Q573" t="n">
        <v>0</v>
      </c>
      <c r="R573" s="2" t="inlineStr"/>
    </row>
    <row r="574" ht="15" customHeight="1">
      <c r="A574" t="inlineStr">
        <is>
          <t>A 30581-2020</t>
        </is>
      </c>
      <c r="B574" s="1" t="n">
        <v>44008</v>
      </c>
      <c r="C574" s="1" t="n">
        <v>45844</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30578-2020</t>
        </is>
      </c>
      <c r="B575" s="1" t="n">
        <v>44008</v>
      </c>
      <c r="C575" s="1" t="n">
        <v>45844</v>
      </c>
      <c r="D575" t="inlineStr">
        <is>
          <t>KALMAR LÄN</t>
        </is>
      </c>
      <c r="E575" t="inlineStr">
        <is>
          <t>VÄSTERVIK</t>
        </is>
      </c>
      <c r="G575" t="n">
        <v>0.4</v>
      </c>
      <c r="H575" t="n">
        <v>0</v>
      </c>
      <c r="I575" t="n">
        <v>0</v>
      </c>
      <c r="J575" t="n">
        <v>0</v>
      </c>
      <c r="K575" t="n">
        <v>0</v>
      </c>
      <c r="L575" t="n">
        <v>0</v>
      </c>
      <c r="M575" t="n">
        <v>0</v>
      </c>
      <c r="N575" t="n">
        <v>0</v>
      </c>
      <c r="O575" t="n">
        <v>0</v>
      </c>
      <c r="P575" t="n">
        <v>0</v>
      </c>
      <c r="Q575" t="n">
        <v>0</v>
      </c>
      <c r="R575" s="2" t="inlineStr"/>
    </row>
    <row r="576" ht="15" customHeight="1">
      <c r="A576" t="inlineStr">
        <is>
          <t>A 31587-2020</t>
        </is>
      </c>
      <c r="B576" s="1" t="n">
        <v>44012</v>
      </c>
      <c r="C576" s="1" t="n">
        <v>45844</v>
      </c>
      <c r="D576" t="inlineStr">
        <is>
          <t>KALMAR LÄN</t>
        </is>
      </c>
      <c r="E576" t="inlineStr">
        <is>
          <t>VÄSTERVIK</t>
        </is>
      </c>
      <c r="G576" t="n">
        <v>2.5</v>
      </c>
      <c r="H576" t="n">
        <v>0</v>
      </c>
      <c r="I576" t="n">
        <v>0</v>
      </c>
      <c r="J576" t="n">
        <v>0</v>
      </c>
      <c r="K576" t="n">
        <v>0</v>
      </c>
      <c r="L576" t="n">
        <v>0</v>
      </c>
      <c r="M576" t="n">
        <v>0</v>
      </c>
      <c r="N576" t="n">
        <v>0</v>
      </c>
      <c r="O576" t="n">
        <v>0</v>
      </c>
      <c r="P576" t="n">
        <v>0</v>
      </c>
      <c r="Q576" t="n">
        <v>0</v>
      </c>
      <c r="R576" s="2" t="inlineStr"/>
    </row>
    <row r="577" ht="15" customHeight="1">
      <c r="A577" t="inlineStr">
        <is>
          <t>A 32807-2020</t>
        </is>
      </c>
      <c r="B577" s="1" t="n">
        <v>44018</v>
      </c>
      <c r="C577" s="1" t="n">
        <v>45844</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33137-2020</t>
        </is>
      </c>
      <c r="B578" s="1" t="n">
        <v>44021</v>
      </c>
      <c r="C578" s="1" t="n">
        <v>45844</v>
      </c>
      <c r="D578" t="inlineStr">
        <is>
          <t>KALMAR LÄN</t>
        </is>
      </c>
      <c r="E578" t="inlineStr">
        <is>
          <t>VÄSTERVIK</t>
        </is>
      </c>
      <c r="G578" t="n">
        <v>0.9</v>
      </c>
      <c r="H578" t="n">
        <v>0</v>
      </c>
      <c r="I578" t="n">
        <v>0</v>
      </c>
      <c r="J578" t="n">
        <v>0</v>
      </c>
      <c r="K578" t="n">
        <v>0</v>
      </c>
      <c r="L578" t="n">
        <v>0</v>
      </c>
      <c r="M578" t="n">
        <v>0</v>
      </c>
      <c r="N578" t="n">
        <v>0</v>
      </c>
      <c r="O578" t="n">
        <v>0</v>
      </c>
      <c r="P578" t="n">
        <v>0</v>
      </c>
      <c r="Q578" t="n">
        <v>0</v>
      </c>
      <c r="R578" s="2" t="inlineStr"/>
    </row>
    <row r="579" ht="15" customHeight="1">
      <c r="A579" t="inlineStr">
        <is>
          <t>A 34775-2020</t>
        </is>
      </c>
      <c r="B579" s="1" t="n">
        <v>44035</v>
      </c>
      <c r="C579" s="1" t="n">
        <v>45844</v>
      </c>
      <c r="D579" t="inlineStr">
        <is>
          <t>KALMAR LÄN</t>
        </is>
      </c>
      <c r="E579" t="inlineStr">
        <is>
          <t>VÄSTERVIK</t>
        </is>
      </c>
      <c r="G579" t="n">
        <v>3.5</v>
      </c>
      <c r="H579" t="n">
        <v>0</v>
      </c>
      <c r="I579" t="n">
        <v>0</v>
      </c>
      <c r="J579" t="n">
        <v>0</v>
      </c>
      <c r="K579" t="n">
        <v>0</v>
      </c>
      <c r="L579" t="n">
        <v>0</v>
      </c>
      <c r="M579" t="n">
        <v>0</v>
      </c>
      <c r="N579" t="n">
        <v>0</v>
      </c>
      <c r="O579" t="n">
        <v>0</v>
      </c>
      <c r="P579" t="n">
        <v>0</v>
      </c>
      <c r="Q579" t="n">
        <v>0</v>
      </c>
      <c r="R579" s="2" t="inlineStr"/>
    </row>
    <row r="580" ht="15" customHeight="1">
      <c r="A580" t="inlineStr">
        <is>
          <t>A 35150-2020</t>
        </is>
      </c>
      <c r="B580" s="1" t="n">
        <v>44040</v>
      </c>
      <c r="C580" s="1" t="n">
        <v>45844</v>
      </c>
      <c r="D580" t="inlineStr">
        <is>
          <t>KALMAR LÄN</t>
        </is>
      </c>
      <c r="E580" t="inlineStr">
        <is>
          <t>VÄSTERVIK</t>
        </is>
      </c>
      <c r="F580" t="inlineStr">
        <is>
          <t>Sveaskog</t>
        </is>
      </c>
      <c r="G580" t="n">
        <v>3.3</v>
      </c>
      <c r="H580" t="n">
        <v>0</v>
      </c>
      <c r="I580" t="n">
        <v>0</v>
      </c>
      <c r="J580" t="n">
        <v>0</v>
      </c>
      <c r="K580" t="n">
        <v>0</v>
      </c>
      <c r="L580" t="n">
        <v>0</v>
      </c>
      <c r="M580" t="n">
        <v>0</v>
      </c>
      <c r="N580" t="n">
        <v>0</v>
      </c>
      <c r="O580" t="n">
        <v>0</v>
      </c>
      <c r="P580" t="n">
        <v>0</v>
      </c>
      <c r="Q580" t="n">
        <v>0</v>
      </c>
      <c r="R580" s="2" t="inlineStr"/>
    </row>
    <row r="581" ht="15" customHeight="1">
      <c r="A581" t="inlineStr">
        <is>
          <t>A 35655-2020</t>
        </is>
      </c>
      <c r="B581" s="1" t="n">
        <v>44046</v>
      </c>
      <c r="C581" s="1" t="n">
        <v>45844</v>
      </c>
      <c r="D581" t="inlineStr">
        <is>
          <t>KALMAR LÄN</t>
        </is>
      </c>
      <c r="E581" t="inlineStr">
        <is>
          <t>VÄSTERVIK</t>
        </is>
      </c>
      <c r="F581" t="inlineStr">
        <is>
          <t>Övriga Aktiebolag</t>
        </is>
      </c>
      <c r="G581" t="n">
        <v>3.2</v>
      </c>
      <c r="H581" t="n">
        <v>0</v>
      </c>
      <c r="I581" t="n">
        <v>0</v>
      </c>
      <c r="J581" t="n">
        <v>0</v>
      </c>
      <c r="K581" t="n">
        <v>0</v>
      </c>
      <c r="L581" t="n">
        <v>0</v>
      </c>
      <c r="M581" t="n">
        <v>0</v>
      </c>
      <c r="N581" t="n">
        <v>0</v>
      </c>
      <c r="O581" t="n">
        <v>0</v>
      </c>
      <c r="P581" t="n">
        <v>0</v>
      </c>
      <c r="Q581" t="n">
        <v>0</v>
      </c>
      <c r="R581" s="2" t="inlineStr"/>
    </row>
    <row r="582" ht="15" customHeight="1">
      <c r="A582" t="inlineStr">
        <is>
          <t>A 35689-2020</t>
        </is>
      </c>
      <c r="B582" s="1" t="n">
        <v>44046</v>
      </c>
      <c r="C582" s="1" t="n">
        <v>45844</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35868-2020</t>
        </is>
      </c>
      <c r="B583" s="1" t="n">
        <v>44047</v>
      </c>
      <c r="C583" s="1" t="n">
        <v>45844</v>
      </c>
      <c r="D583" t="inlineStr">
        <is>
          <t>KALMAR LÄN</t>
        </is>
      </c>
      <c r="E583" t="inlineStr">
        <is>
          <t>VÄSTERVIK</t>
        </is>
      </c>
      <c r="G583" t="n">
        <v>0.6</v>
      </c>
      <c r="H583" t="n">
        <v>0</v>
      </c>
      <c r="I583" t="n">
        <v>0</v>
      </c>
      <c r="J583" t="n">
        <v>0</v>
      </c>
      <c r="K583" t="n">
        <v>0</v>
      </c>
      <c r="L583" t="n">
        <v>0</v>
      </c>
      <c r="M583" t="n">
        <v>0</v>
      </c>
      <c r="N583" t="n">
        <v>0</v>
      </c>
      <c r="O583" t="n">
        <v>0</v>
      </c>
      <c r="P583" t="n">
        <v>0</v>
      </c>
      <c r="Q583" t="n">
        <v>0</v>
      </c>
      <c r="R583" s="2" t="inlineStr"/>
    </row>
    <row r="584" ht="15" customHeight="1">
      <c r="A584" t="inlineStr">
        <is>
          <t>A 37146-2020</t>
        </is>
      </c>
      <c r="B584" s="1" t="n">
        <v>44054</v>
      </c>
      <c r="C584" s="1" t="n">
        <v>45844</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37156-2020</t>
        </is>
      </c>
      <c r="B585" s="1" t="n">
        <v>44054</v>
      </c>
      <c r="C585" s="1" t="n">
        <v>45844</v>
      </c>
      <c r="D585" t="inlineStr">
        <is>
          <t>KALMAR LÄN</t>
        </is>
      </c>
      <c r="E585" t="inlineStr">
        <is>
          <t>VÄSTERVIK</t>
        </is>
      </c>
      <c r="G585" t="n">
        <v>2.2</v>
      </c>
      <c r="H585" t="n">
        <v>0</v>
      </c>
      <c r="I585" t="n">
        <v>0</v>
      </c>
      <c r="J585" t="n">
        <v>0</v>
      </c>
      <c r="K585" t="n">
        <v>0</v>
      </c>
      <c r="L585" t="n">
        <v>0</v>
      </c>
      <c r="M585" t="n">
        <v>0</v>
      </c>
      <c r="N585" t="n">
        <v>0</v>
      </c>
      <c r="O585" t="n">
        <v>0</v>
      </c>
      <c r="P585" t="n">
        <v>0</v>
      </c>
      <c r="Q585" t="n">
        <v>0</v>
      </c>
      <c r="R585" s="2" t="inlineStr"/>
    </row>
    <row r="586" ht="15" customHeight="1">
      <c r="A586" t="inlineStr">
        <is>
          <t>A 37163-2020</t>
        </is>
      </c>
      <c r="B586" s="1" t="n">
        <v>44054</v>
      </c>
      <c r="C586" s="1" t="n">
        <v>45844</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37162-2020</t>
        </is>
      </c>
      <c r="B587" s="1" t="n">
        <v>44054</v>
      </c>
      <c r="C587" s="1" t="n">
        <v>45844</v>
      </c>
      <c r="D587" t="inlineStr">
        <is>
          <t>KALMAR LÄN</t>
        </is>
      </c>
      <c r="E587" t="inlineStr">
        <is>
          <t>VÄSTERVIK</t>
        </is>
      </c>
      <c r="G587" t="n">
        <v>1.4</v>
      </c>
      <c r="H587" t="n">
        <v>0</v>
      </c>
      <c r="I587" t="n">
        <v>0</v>
      </c>
      <c r="J587" t="n">
        <v>0</v>
      </c>
      <c r="K587" t="n">
        <v>0</v>
      </c>
      <c r="L587" t="n">
        <v>0</v>
      </c>
      <c r="M587" t="n">
        <v>0</v>
      </c>
      <c r="N587" t="n">
        <v>0</v>
      </c>
      <c r="O587" t="n">
        <v>0</v>
      </c>
      <c r="P587" t="n">
        <v>0</v>
      </c>
      <c r="Q587" t="n">
        <v>0</v>
      </c>
      <c r="R587" s="2" t="inlineStr"/>
    </row>
    <row r="588" ht="15" customHeight="1">
      <c r="A588" t="inlineStr">
        <is>
          <t>A 37113-2020</t>
        </is>
      </c>
      <c r="B588" s="1" t="n">
        <v>44054</v>
      </c>
      <c r="C588" s="1" t="n">
        <v>45844</v>
      </c>
      <c r="D588" t="inlineStr">
        <is>
          <t>KALMAR LÄN</t>
        </is>
      </c>
      <c r="E588" t="inlineStr">
        <is>
          <t>VÄSTERVIK</t>
        </is>
      </c>
      <c r="G588" t="n">
        <v>2.1</v>
      </c>
      <c r="H588" t="n">
        <v>0</v>
      </c>
      <c r="I588" t="n">
        <v>0</v>
      </c>
      <c r="J588" t="n">
        <v>0</v>
      </c>
      <c r="K588" t="n">
        <v>0</v>
      </c>
      <c r="L588" t="n">
        <v>0</v>
      </c>
      <c r="M588" t="n">
        <v>0</v>
      </c>
      <c r="N588" t="n">
        <v>0</v>
      </c>
      <c r="O588" t="n">
        <v>0</v>
      </c>
      <c r="P588" t="n">
        <v>0</v>
      </c>
      <c r="Q588" t="n">
        <v>0</v>
      </c>
      <c r="R588" s="2" t="inlineStr"/>
    </row>
    <row r="589" ht="15" customHeight="1">
      <c r="A589" t="inlineStr">
        <is>
          <t>A 37122-2020</t>
        </is>
      </c>
      <c r="B589" s="1" t="n">
        <v>44054</v>
      </c>
      <c r="C589" s="1" t="n">
        <v>45844</v>
      </c>
      <c r="D589" t="inlineStr">
        <is>
          <t>KALMAR LÄN</t>
        </is>
      </c>
      <c r="E589" t="inlineStr">
        <is>
          <t>VÄSTERVIK</t>
        </is>
      </c>
      <c r="G589" t="n">
        <v>0.4</v>
      </c>
      <c r="H589" t="n">
        <v>0</v>
      </c>
      <c r="I589" t="n">
        <v>0</v>
      </c>
      <c r="J589" t="n">
        <v>0</v>
      </c>
      <c r="K589" t="n">
        <v>0</v>
      </c>
      <c r="L589" t="n">
        <v>0</v>
      </c>
      <c r="M589" t="n">
        <v>0</v>
      </c>
      <c r="N589" t="n">
        <v>0</v>
      </c>
      <c r="O589" t="n">
        <v>0</v>
      </c>
      <c r="P589" t="n">
        <v>0</v>
      </c>
      <c r="Q589" t="n">
        <v>0</v>
      </c>
      <c r="R589" s="2" t="inlineStr"/>
    </row>
    <row r="590" ht="15" customHeight="1">
      <c r="A590" t="inlineStr">
        <is>
          <t>A 37149-2020</t>
        </is>
      </c>
      <c r="B590" s="1" t="n">
        <v>44054</v>
      </c>
      <c r="C590" s="1" t="n">
        <v>45844</v>
      </c>
      <c r="D590" t="inlineStr">
        <is>
          <t>KALMAR LÄN</t>
        </is>
      </c>
      <c r="E590" t="inlineStr">
        <is>
          <t>VÄSTERVIK</t>
        </is>
      </c>
      <c r="G590" t="n">
        <v>4.6</v>
      </c>
      <c r="H590" t="n">
        <v>0</v>
      </c>
      <c r="I590" t="n">
        <v>0</v>
      </c>
      <c r="J590" t="n">
        <v>0</v>
      </c>
      <c r="K590" t="n">
        <v>0</v>
      </c>
      <c r="L590" t="n">
        <v>0</v>
      </c>
      <c r="M590" t="n">
        <v>0</v>
      </c>
      <c r="N590" t="n">
        <v>0</v>
      </c>
      <c r="O590" t="n">
        <v>0</v>
      </c>
      <c r="P590" t="n">
        <v>0</v>
      </c>
      <c r="Q590" t="n">
        <v>0</v>
      </c>
      <c r="R590" s="2" t="inlineStr"/>
    </row>
    <row r="591" ht="15" customHeight="1">
      <c r="A591" t="inlineStr">
        <is>
          <t>A 37166-2020</t>
        </is>
      </c>
      <c r="B591" s="1" t="n">
        <v>44054</v>
      </c>
      <c r="C591" s="1" t="n">
        <v>45844</v>
      </c>
      <c r="D591" t="inlineStr">
        <is>
          <t>KALMAR LÄN</t>
        </is>
      </c>
      <c r="E591" t="inlineStr">
        <is>
          <t>VÄSTERVIK</t>
        </is>
      </c>
      <c r="G591" t="n">
        <v>1.6</v>
      </c>
      <c r="H591" t="n">
        <v>0</v>
      </c>
      <c r="I591" t="n">
        <v>0</v>
      </c>
      <c r="J591" t="n">
        <v>0</v>
      </c>
      <c r="K591" t="n">
        <v>0</v>
      </c>
      <c r="L591" t="n">
        <v>0</v>
      </c>
      <c r="M591" t="n">
        <v>0</v>
      </c>
      <c r="N591" t="n">
        <v>0</v>
      </c>
      <c r="O591" t="n">
        <v>0</v>
      </c>
      <c r="P591" t="n">
        <v>0</v>
      </c>
      <c r="Q591" t="n">
        <v>0</v>
      </c>
      <c r="R591" s="2" t="inlineStr"/>
    </row>
    <row r="592" ht="15" customHeight="1">
      <c r="A592" t="inlineStr">
        <is>
          <t>A 37114-2020</t>
        </is>
      </c>
      <c r="B592" s="1" t="n">
        <v>44054</v>
      </c>
      <c r="C592" s="1" t="n">
        <v>45844</v>
      </c>
      <c r="D592" t="inlineStr">
        <is>
          <t>KALMAR LÄN</t>
        </is>
      </c>
      <c r="E592" t="inlineStr">
        <is>
          <t>VÄSTERVIK</t>
        </is>
      </c>
      <c r="G592" t="n">
        <v>2.8</v>
      </c>
      <c r="H592" t="n">
        <v>0</v>
      </c>
      <c r="I592" t="n">
        <v>0</v>
      </c>
      <c r="J592" t="n">
        <v>0</v>
      </c>
      <c r="K592" t="n">
        <v>0</v>
      </c>
      <c r="L592" t="n">
        <v>0</v>
      </c>
      <c r="M592" t="n">
        <v>0</v>
      </c>
      <c r="N592" t="n">
        <v>0</v>
      </c>
      <c r="O592" t="n">
        <v>0</v>
      </c>
      <c r="P592" t="n">
        <v>0</v>
      </c>
      <c r="Q592" t="n">
        <v>0</v>
      </c>
      <c r="R592" s="2" t="inlineStr"/>
    </row>
    <row r="593" ht="15" customHeight="1">
      <c r="A593" t="inlineStr">
        <is>
          <t>A 39153-2020</t>
        </is>
      </c>
      <c r="B593" s="1" t="n">
        <v>44063</v>
      </c>
      <c r="C593" s="1" t="n">
        <v>45844</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row>
    <row r="594" ht="15" customHeight="1">
      <c r="A594" t="inlineStr">
        <is>
          <t>A 39779-2020</t>
        </is>
      </c>
      <c r="B594" s="1" t="n">
        <v>44064</v>
      </c>
      <c r="C594" s="1" t="n">
        <v>45844</v>
      </c>
      <c r="D594" t="inlineStr">
        <is>
          <t>KALMAR LÄN</t>
        </is>
      </c>
      <c r="E594" t="inlineStr">
        <is>
          <t>VÄSTERVIK</t>
        </is>
      </c>
      <c r="G594" t="n">
        <v>2.1</v>
      </c>
      <c r="H594" t="n">
        <v>0</v>
      </c>
      <c r="I594" t="n">
        <v>0</v>
      </c>
      <c r="J594" t="n">
        <v>0</v>
      </c>
      <c r="K594" t="n">
        <v>0</v>
      </c>
      <c r="L594" t="n">
        <v>0</v>
      </c>
      <c r="M594" t="n">
        <v>0</v>
      </c>
      <c r="N594" t="n">
        <v>0</v>
      </c>
      <c r="O594" t="n">
        <v>0</v>
      </c>
      <c r="P594" t="n">
        <v>0</v>
      </c>
      <c r="Q594" t="n">
        <v>0</v>
      </c>
      <c r="R594" s="2" t="inlineStr"/>
    </row>
    <row r="595" ht="15" customHeight="1">
      <c r="A595" t="inlineStr">
        <is>
          <t>A 39859-2020</t>
        </is>
      </c>
      <c r="B595" s="1" t="n">
        <v>44064</v>
      </c>
      <c r="C595" s="1" t="n">
        <v>45844</v>
      </c>
      <c r="D595" t="inlineStr">
        <is>
          <t>KALMAR LÄN</t>
        </is>
      </c>
      <c r="E595" t="inlineStr">
        <is>
          <t>VÄSTERVIK</t>
        </is>
      </c>
      <c r="G595" t="n">
        <v>29.6</v>
      </c>
      <c r="H595" t="n">
        <v>0</v>
      </c>
      <c r="I595" t="n">
        <v>0</v>
      </c>
      <c r="J595" t="n">
        <v>0</v>
      </c>
      <c r="K595" t="n">
        <v>0</v>
      </c>
      <c r="L595" t="n">
        <v>0</v>
      </c>
      <c r="M595" t="n">
        <v>0</v>
      </c>
      <c r="N595" t="n">
        <v>0</v>
      </c>
      <c r="O595" t="n">
        <v>0</v>
      </c>
      <c r="P595" t="n">
        <v>0</v>
      </c>
      <c r="Q595" t="n">
        <v>0</v>
      </c>
      <c r="R595" s="2" t="inlineStr"/>
    </row>
    <row r="596" ht="15" customHeight="1">
      <c r="A596" t="inlineStr">
        <is>
          <t>A 42113-2020</t>
        </is>
      </c>
      <c r="B596" s="1" t="n">
        <v>44071</v>
      </c>
      <c r="C596" s="1" t="n">
        <v>45844</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43730-2020</t>
        </is>
      </c>
      <c r="B597" s="1" t="n">
        <v>44082</v>
      </c>
      <c r="C597" s="1" t="n">
        <v>45844</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44466-2020</t>
        </is>
      </c>
      <c r="B598" s="1" t="n">
        <v>44084</v>
      </c>
      <c r="C598" s="1" t="n">
        <v>45844</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44466-2020 karta knärot.png", "A 44466-2020")</f>
        <v/>
      </c>
      <c r="V598">
        <f>HYPERLINK("https://klasma.github.io/Logging_0883/klagomål/A 44466-2020 FSC-klagomål.docx", "A 44466-2020")</f>
        <v/>
      </c>
      <c r="W598">
        <f>HYPERLINK("https://klasma.github.io/Logging_0883/klagomålsmail/A 44466-2020 FSC-klagomål mail.docx", "A 44466-2020")</f>
        <v/>
      </c>
      <c r="X598">
        <f>HYPERLINK("https://klasma.github.io/Logging_0883/tillsyn/A 44466-2020 tillsynsbegäran.docx", "A 44466-2020")</f>
        <v/>
      </c>
      <c r="Y598">
        <f>HYPERLINK("https://klasma.github.io/Logging_0883/tillsynsmail/A 44466-2020 tillsynsbegäran mail.docx", "A 44466-2020")</f>
        <v/>
      </c>
    </row>
    <row r="599" ht="15" customHeight="1">
      <c r="A599" t="inlineStr">
        <is>
          <t>A 45537-2020</t>
        </is>
      </c>
      <c r="B599" s="1" t="n">
        <v>44089</v>
      </c>
      <c r="C599" s="1" t="n">
        <v>45844</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45877-2020</t>
        </is>
      </c>
      <c r="B600" s="1" t="n">
        <v>44091</v>
      </c>
      <c r="C600" s="1" t="n">
        <v>45844</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46214-2020</t>
        </is>
      </c>
      <c r="B601" s="1" t="n">
        <v>44092</v>
      </c>
      <c r="C601" s="1" t="n">
        <v>45844</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46822-2020</t>
        </is>
      </c>
      <c r="B602" s="1" t="n">
        <v>44096</v>
      </c>
      <c r="C602" s="1" t="n">
        <v>45844</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47907-2020</t>
        </is>
      </c>
      <c r="B603" s="1" t="n">
        <v>44099</v>
      </c>
      <c r="C603" s="1" t="n">
        <v>45844</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48135-2020</t>
        </is>
      </c>
      <c r="B604" s="1" t="n">
        <v>44099</v>
      </c>
      <c r="C604" s="1" t="n">
        <v>45844</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50821-2020</t>
        </is>
      </c>
      <c r="B605" s="1" t="n">
        <v>44111</v>
      </c>
      <c r="C605" s="1" t="n">
        <v>45844</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50800-2020</t>
        </is>
      </c>
      <c r="B606" s="1" t="n">
        <v>44111</v>
      </c>
      <c r="C606" s="1" t="n">
        <v>45844</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51264-2020</t>
        </is>
      </c>
      <c r="B607" s="1" t="n">
        <v>44112</v>
      </c>
      <c r="C607" s="1" t="n">
        <v>45844</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54164-2020</t>
        </is>
      </c>
      <c r="B608" s="1" t="n">
        <v>44125</v>
      </c>
      <c r="C608" s="1" t="n">
        <v>45844</v>
      </c>
      <c r="D608" t="inlineStr">
        <is>
          <t>KALMAR LÄN</t>
        </is>
      </c>
      <c r="E608" t="inlineStr">
        <is>
          <t>VÄSTERVIK</t>
        </is>
      </c>
      <c r="F608" t="inlineStr">
        <is>
          <t>Sveaskog</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55240-2020</t>
        </is>
      </c>
      <c r="B609" s="1" t="n">
        <v>44130</v>
      </c>
      <c r="C609" s="1" t="n">
        <v>45844</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56127-2020</t>
        </is>
      </c>
      <c r="B610" s="1" t="n">
        <v>44132</v>
      </c>
      <c r="C610" s="1" t="n">
        <v>45844</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57009-2020</t>
        </is>
      </c>
      <c r="B611" s="1" t="n">
        <v>44138</v>
      </c>
      <c r="C611" s="1" t="n">
        <v>45844</v>
      </c>
      <c r="D611" t="inlineStr">
        <is>
          <t>KALMAR LÄN</t>
        </is>
      </c>
      <c r="E611" t="inlineStr">
        <is>
          <t>VÄSTERVIK</t>
        </is>
      </c>
      <c r="F611" t="inlineStr">
        <is>
          <t>Holmen skog AB</t>
        </is>
      </c>
      <c r="G611" t="n">
        <v>1.7</v>
      </c>
      <c r="H611" t="n">
        <v>0</v>
      </c>
      <c r="I611" t="n">
        <v>0</v>
      </c>
      <c r="J611" t="n">
        <v>0</v>
      </c>
      <c r="K611" t="n">
        <v>0</v>
      </c>
      <c r="L611" t="n">
        <v>0</v>
      </c>
      <c r="M611" t="n">
        <v>0</v>
      </c>
      <c r="N611" t="n">
        <v>0</v>
      </c>
      <c r="O611" t="n">
        <v>0</v>
      </c>
      <c r="P611" t="n">
        <v>0</v>
      </c>
      <c r="Q611" t="n">
        <v>0</v>
      </c>
      <c r="R611" s="2" t="inlineStr"/>
      <c r="U611">
        <f>HYPERLINK("https://klasma.github.io/Logging_0883/knärot/A 57009-2020 karta knärot.png", "A 57009-2020")</f>
        <v/>
      </c>
      <c r="V611">
        <f>HYPERLINK("https://klasma.github.io/Logging_0883/klagomål/A 57009-2020 FSC-klagomål.docx", "A 57009-2020")</f>
        <v/>
      </c>
      <c r="W611">
        <f>HYPERLINK("https://klasma.github.io/Logging_0883/klagomålsmail/A 57009-2020 FSC-klagomål mail.docx", "A 57009-2020")</f>
        <v/>
      </c>
      <c r="X611">
        <f>HYPERLINK("https://klasma.github.io/Logging_0883/tillsyn/A 57009-2020 tillsynsbegäran.docx", "A 57009-2020")</f>
        <v/>
      </c>
      <c r="Y611">
        <f>HYPERLINK("https://klasma.github.io/Logging_0883/tillsynsmail/A 57009-2020 tillsynsbegäran mail.docx", "A 57009-2020")</f>
        <v/>
      </c>
    </row>
    <row r="612" ht="15" customHeight="1">
      <c r="A612" t="inlineStr">
        <is>
          <t>A 57065-2020</t>
        </is>
      </c>
      <c r="B612" s="1" t="n">
        <v>44138</v>
      </c>
      <c r="C612" s="1" t="n">
        <v>45844</v>
      </c>
      <c r="D612" t="inlineStr">
        <is>
          <t>KALMAR LÄN</t>
        </is>
      </c>
      <c r="E612" t="inlineStr">
        <is>
          <t>VÄSTERVIK</t>
        </is>
      </c>
      <c r="G612" t="n">
        <v>3.7</v>
      </c>
      <c r="H612" t="n">
        <v>0</v>
      </c>
      <c r="I612" t="n">
        <v>0</v>
      </c>
      <c r="J612" t="n">
        <v>0</v>
      </c>
      <c r="K612" t="n">
        <v>0</v>
      </c>
      <c r="L612" t="n">
        <v>0</v>
      </c>
      <c r="M612" t="n">
        <v>0</v>
      </c>
      <c r="N612" t="n">
        <v>0</v>
      </c>
      <c r="O612" t="n">
        <v>0</v>
      </c>
      <c r="P612" t="n">
        <v>0</v>
      </c>
      <c r="Q612" t="n">
        <v>0</v>
      </c>
      <c r="R612" s="2" t="inlineStr"/>
    </row>
    <row r="613" ht="15" customHeight="1">
      <c r="A613" t="inlineStr">
        <is>
          <t>A 58041-2020</t>
        </is>
      </c>
      <c r="B613" s="1" t="n">
        <v>44140</v>
      </c>
      <c r="C613" s="1" t="n">
        <v>45844</v>
      </c>
      <c r="D613" t="inlineStr">
        <is>
          <t>KALMAR LÄN</t>
        </is>
      </c>
      <c r="E613" t="inlineStr">
        <is>
          <t>VÄSTERVIK</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57922-2020</t>
        </is>
      </c>
      <c r="B614" s="1" t="n">
        <v>44141</v>
      </c>
      <c r="C614" s="1" t="n">
        <v>45844</v>
      </c>
      <c r="D614" t="inlineStr">
        <is>
          <t>KALMAR LÄN</t>
        </is>
      </c>
      <c r="E614" t="inlineStr">
        <is>
          <t>VÄSTERVIK</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58800-2020</t>
        </is>
      </c>
      <c r="B615" s="1" t="n">
        <v>44146</v>
      </c>
      <c r="C615" s="1" t="n">
        <v>45844</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59421-2020</t>
        </is>
      </c>
      <c r="B616" s="1" t="n">
        <v>44148</v>
      </c>
      <c r="C616" s="1" t="n">
        <v>45844</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59634-2020</t>
        </is>
      </c>
      <c r="B617" s="1" t="n">
        <v>44150</v>
      </c>
      <c r="C617" s="1" t="n">
        <v>45844</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61682-2020</t>
        </is>
      </c>
      <c r="B618" s="1" t="n">
        <v>44154</v>
      </c>
      <c r="C618" s="1" t="n">
        <v>45844</v>
      </c>
      <c r="D618" t="inlineStr">
        <is>
          <t>KALMAR LÄN</t>
        </is>
      </c>
      <c r="E618" t="inlineStr">
        <is>
          <t>VÄSTERVIK</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61696-2020</t>
        </is>
      </c>
      <c r="B619" s="1" t="n">
        <v>44158</v>
      </c>
      <c r="C619" s="1" t="n">
        <v>45844</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61799-2020</t>
        </is>
      </c>
      <c r="B620" s="1" t="n">
        <v>44158</v>
      </c>
      <c r="C620" s="1" t="n">
        <v>45844</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63635-2020</t>
        </is>
      </c>
      <c r="B621" s="1" t="n">
        <v>44162</v>
      </c>
      <c r="C621" s="1" t="n">
        <v>45844</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63212-2020</t>
        </is>
      </c>
      <c r="B622" s="1" t="n">
        <v>44163</v>
      </c>
      <c r="C622" s="1" t="n">
        <v>45844</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64399-2020</t>
        </is>
      </c>
      <c r="B623" s="1" t="n">
        <v>44168</v>
      </c>
      <c r="C623" s="1" t="n">
        <v>45844</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66149-2020</t>
        </is>
      </c>
      <c r="B624" s="1" t="n">
        <v>44173</v>
      </c>
      <c r="C624" s="1" t="n">
        <v>45844</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65647-2020</t>
        </is>
      </c>
      <c r="B625" s="1" t="n">
        <v>44174</v>
      </c>
      <c r="C625" s="1" t="n">
        <v>45844</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66748-2020</t>
        </is>
      </c>
      <c r="B626" s="1" t="n">
        <v>44175</v>
      </c>
      <c r="C626" s="1" t="n">
        <v>45844</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66757-2020</t>
        </is>
      </c>
      <c r="B627" s="1" t="n">
        <v>44175</v>
      </c>
      <c r="C627" s="1" t="n">
        <v>45844</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66328-2020</t>
        </is>
      </c>
      <c r="B628" s="1" t="n">
        <v>44176</v>
      </c>
      <c r="C628" s="1" t="n">
        <v>45844</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66292-2020</t>
        </is>
      </c>
      <c r="B629" s="1" t="n">
        <v>44176</v>
      </c>
      <c r="C629" s="1" t="n">
        <v>45844</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66888-2020</t>
        </is>
      </c>
      <c r="B630" s="1" t="n">
        <v>44179</v>
      </c>
      <c r="C630" s="1" t="n">
        <v>45844</v>
      </c>
      <c r="D630" t="inlineStr">
        <is>
          <t>KALMAR LÄN</t>
        </is>
      </c>
      <c r="E630" t="inlineStr">
        <is>
          <t>VÄSTERVIK</t>
        </is>
      </c>
      <c r="G630" t="n">
        <v>0.3</v>
      </c>
      <c r="H630" t="n">
        <v>0</v>
      </c>
      <c r="I630" t="n">
        <v>0</v>
      </c>
      <c r="J630" t="n">
        <v>0</v>
      </c>
      <c r="K630" t="n">
        <v>0</v>
      </c>
      <c r="L630" t="n">
        <v>0</v>
      </c>
      <c r="M630" t="n">
        <v>0</v>
      </c>
      <c r="N630" t="n">
        <v>0</v>
      </c>
      <c r="O630" t="n">
        <v>0</v>
      </c>
      <c r="P630" t="n">
        <v>0</v>
      </c>
      <c r="Q630" t="n">
        <v>0</v>
      </c>
      <c r="R630" s="2" t="inlineStr"/>
    </row>
    <row r="631" ht="15" customHeight="1">
      <c r="A631" t="inlineStr">
        <is>
          <t>A 67133-2020</t>
        </is>
      </c>
      <c r="B631" s="1" t="n">
        <v>44180</v>
      </c>
      <c r="C631" s="1" t="n">
        <v>45844</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68811-2020</t>
        </is>
      </c>
      <c r="B632" s="1" t="n">
        <v>44187</v>
      </c>
      <c r="C632" s="1" t="n">
        <v>45844</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45844</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69064-2020</t>
        </is>
      </c>
      <c r="B634" s="1" t="n">
        <v>44188</v>
      </c>
      <c r="C634" s="1" t="n">
        <v>45844</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119-2021</t>
        </is>
      </c>
      <c r="B635" s="1" t="n">
        <v>44200</v>
      </c>
      <c r="C635" s="1" t="n">
        <v>45844</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401-2021</t>
        </is>
      </c>
      <c r="B636" s="1" t="n">
        <v>44201</v>
      </c>
      <c r="C636" s="1" t="n">
        <v>45844</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410-2021</t>
        </is>
      </c>
      <c r="B637" s="1" t="n">
        <v>44201</v>
      </c>
      <c r="C637" s="1" t="n">
        <v>45844</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578-2021</t>
        </is>
      </c>
      <c r="B638" s="1" t="n">
        <v>44203</v>
      </c>
      <c r="C638" s="1" t="n">
        <v>45844</v>
      </c>
      <c r="D638" t="inlineStr">
        <is>
          <t>KALMAR LÄN</t>
        </is>
      </c>
      <c r="E638" t="inlineStr">
        <is>
          <t>VÄSTERVIK</t>
        </is>
      </c>
      <c r="G638" t="n">
        <v>3.5</v>
      </c>
      <c r="H638" t="n">
        <v>0</v>
      </c>
      <c r="I638" t="n">
        <v>0</v>
      </c>
      <c r="J638" t="n">
        <v>0</v>
      </c>
      <c r="K638" t="n">
        <v>0</v>
      </c>
      <c r="L638" t="n">
        <v>0</v>
      </c>
      <c r="M638" t="n">
        <v>0</v>
      </c>
      <c r="N638" t="n">
        <v>0</v>
      </c>
      <c r="O638" t="n">
        <v>0</v>
      </c>
      <c r="P638" t="n">
        <v>0</v>
      </c>
      <c r="Q638" t="n">
        <v>0</v>
      </c>
      <c r="R638" s="2" t="inlineStr"/>
    </row>
    <row r="639" ht="15" customHeight="1">
      <c r="A639" t="inlineStr">
        <is>
          <t>A 809-2021</t>
        </is>
      </c>
      <c r="B639" s="1" t="n">
        <v>44204</v>
      </c>
      <c r="C639" s="1" t="n">
        <v>45844</v>
      </c>
      <c r="D639" t="inlineStr">
        <is>
          <t>KALMAR LÄN</t>
        </is>
      </c>
      <c r="E639" t="inlineStr">
        <is>
          <t>VÄSTERVIK</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789-2021</t>
        </is>
      </c>
      <c r="B640" s="1" t="n">
        <v>44204</v>
      </c>
      <c r="C640" s="1" t="n">
        <v>45844</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1959-2021</t>
        </is>
      </c>
      <c r="B641" s="1" t="n">
        <v>44210</v>
      </c>
      <c r="C641" s="1" t="n">
        <v>45844</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2106-2021</t>
        </is>
      </c>
      <c r="B642" s="1" t="n">
        <v>44211</v>
      </c>
      <c r="C642" s="1" t="n">
        <v>45844</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3555-2021</t>
        </is>
      </c>
      <c r="B643" s="1" t="n">
        <v>44218</v>
      </c>
      <c r="C643" s="1" t="n">
        <v>45844</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3553-2021</t>
        </is>
      </c>
      <c r="B644" s="1" t="n">
        <v>44218</v>
      </c>
      <c r="C644" s="1" t="n">
        <v>45844</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3492-2021</t>
        </is>
      </c>
      <c r="B645" s="1" t="n">
        <v>44218</v>
      </c>
      <c r="C645" s="1" t="n">
        <v>45844</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3669-2021</t>
        </is>
      </c>
      <c r="B646" s="1" t="n">
        <v>44221</v>
      </c>
      <c r="C646" s="1" t="n">
        <v>45844</v>
      </c>
      <c r="D646" t="inlineStr">
        <is>
          <t>KALMAR LÄN</t>
        </is>
      </c>
      <c r="E646" t="inlineStr">
        <is>
          <t>VÄSTERVIK</t>
        </is>
      </c>
      <c r="G646" t="n">
        <v>2.7</v>
      </c>
      <c r="H646" t="n">
        <v>0</v>
      </c>
      <c r="I646" t="n">
        <v>0</v>
      </c>
      <c r="J646" t="n">
        <v>0</v>
      </c>
      <c r="K646" t="n">
        <v>0</v>
      </c>
      <c r="L646" t="n">
        <v>0</v>
      </c>
      <c r="M646" t="n">
        <v>0</v>
      </c>
      <c r="N646" t="n">
        <v>0</v>
      </c>
      <c r="O646" t="n">
        <v>0</v>
      </c>
      <c r="P646" t="n">
        <v>0</v>
      </c>
      <c r="Q646" t="n">
        <v>0</v>
      </c>
      <c r="R646" s="2" t="inlineStr"/>
    </row>
    <row r="647" ht="15" customHeight="1">
      <c r="A647" t="inlineStr">
        <is>
          <t>A 5510-2021</t>
        </is>
      </c>
      <c r="B647" s="1" t="n">
        <v>44230</v>
      </c>
      <c r="C647" s="1" t="n">
        <v>45844</v>
      </c>
      <c r="D647" t="inlineStr">
        <is>
          <t>KALMAR LÄN</t>
        </is>
      </c>
      <c r="E647" t="inlineStr">
        <is>
          <t>VÄSTERVIK</t>
        </is>
      </c>
      <c r="G647" t="n">
        <v>3.2</v>
      </c>
      <c r="H647" t="n">
        <v>0</v>
      </c>
      <c r="I647" t="n">
        <v>0</v>
      </c>
      <c r="J647" t="n">
        <v>0</v>
      </c>
      <c r="K647" t="n">
        <v>0</v>
      </c>
      <c r="L647" t="n">
        <v>0</v>
      </c>
      <c r="M647" t="n">
        <v>0</v>
      </c>
      <c r="N647" t="n">
        <v>0</v>
      </c>
      <c r="O647" t="n">
        <v>0</v>
      </c>
      <c r="P647" t="n">
        <v>0</v>
      </c>
      <c r="Q647" t="n">
        <v>0</v>
      </c>
      <c r="R647" s="2" t="inlineStr"/>
    </row>
    <row r="648" ht="15" customHeight="1">
      <c r="A648" t="inlineStr">
        <is>
          <t>A 6627-2021</t>
        </is>
      </c>
      <c r="B648" s="1" t="n">
        <v>44236</v>
      </c>
      <c r="C648" s="1" t="n">
        <v>45844</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6616-2021</t>
        </is>
      </c>
      <c r="B649" s="1" t="n">
        <v>44236</v>
      </c>
      <c r="C649" s="1" t="n">
        <v>45844</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6974-2021</t>
        </is>
      </c>
      <c r="B650" s="1" t="n">
        <v>44237</v>
      </c>
      <c r="C650" s="1" t="n">
        <v>45844</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7754-2021</t>
        </is>
      </c>
      <c r="B651" s="1" t="n">
        <v>44239</v>
      </c>
      <c r="C651" s="1" t="n">
        <v>45844</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8074-2021</t>
        </is>
      </c>
      <c r="B652" s="1" t="n">
        <v>44243</v>
      </c>
      <c r="C652" s="1" t="n">
        <v>45844</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8196-2021</t>
        </is>
      </c>
      <c r="B653" s="1" t="n">
        <v>44244</v>
      </c>
      <c r="C653" s="1" t="n">
        <v>45844</v>
      </c>
      <c r="D653" t="inlineStr">
        <is>
          <t>KALMAR LÄN</t>
        </is>
      </c>
      <c r="E653" t="inlineStr">
        <is>
          <t>VÄSTERVIK</t>
        </is>
      </c>
      <c r="G653" t="n">
        <v>3.5</v>
      </c>
      <c r="H653" t="n">
        <v>0</v>
      </c>
      <c r="I653" t="n">
        <v>0</v>
      </c>
      <c r="J653" t="n">
        <v>0</v>
      </c>
      <c r="K653" t="n">
        <v>0</v>
      </c>
      <c r="L653" t="n">
        <v>0</v>
      </c>
      <c r="M653" t="n">
        <v>0</v>
      </c>
      <c r="N653" t="n">
        <v>0</v>
      </c>
      <c r="O653" t="n">
        <v>0</v>
      </c>
      <c r="P653" t="n">
        <v>0</v>
      </c>
      <c r="Q653" t="n">
        <v>0</v>
      </c>
      <c r="R653" s="2" t="inlineStr"/>
    </row>
    <row r="654" ht="15" customHeight="1">
      <c r="A654" t="inlineStr">
        <is>
          <t>A 8788-2021</t>
        </is>
      </c>
      <c r="B654" s="1" t="n">
        <v>44246</v>
      </c>
      <c r="C654" s="1" t="n">
        <v>45844</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9091-2021</t>
        </is>
      </c>
      <c r="B655" s="1" t="n">
        <v>44249</v>
      </c>
      <c r="C655" s="1" t="n">
        <v>45844</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9125-2021</t>
        </is>
      </c>
      <c r="B656" s="1" t="n">
        <v>44249</v>
      </c>
      <c r="C656" s="1" t="n">
        <v>45844</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45844</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10517-2021</t>
        </is>
      </c>
      <c r="B658" s="1" t="n">
        <v>44258</v>
      </c>
      <c r="C658" s="1" t="n">
        <v>45844</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12123-2021</t>
        </is>
      </c>
      <c r="B659" s="1" t="n">
        <v>44266</v>
      </c>
      <c r="C659" s="1" t="n">
        <v>45844</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45844</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13036-2021</t>
        </is>
      </c>
      <c r="B661" s="1" t="n">
        <v>44271</v>
      </c>
      <c r="C661" s="1" t="n">
        <v>45844</v>
      </c>
      <c r="D661" t="inlineStr">
        <is>
          <t>KALMAR LÄN</t>
        </is>
      </c>
      <c r="E661" t="inlineStr">
        <is>
          <t>VÄSTERVIK</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13230-2021</t>
        </is>
      </c>
      <c r="B662" s="1" t="n">
        <v>44272</v>
      </c>
      <c r="C662" s="1" t="n">
        <v>45844</v>
      </c>
      <c r="D662" t="inlineStr">
        <is>
          <t>KALMAR LÄN</t>
        </is>
      </c>
      <c r="E662" t="inlineStr">
        <is>
          <t>VÄSTERVIK</t>
        </is>
      </c>
      <c r="G662" t="n">
        <v>7.2</v>
      </c>
      <c r="H662" t="n">
        <v>0</v>
      </c>
      <c r="I662" t="n">
        <v>0</v>
      </c>
      <c r="J662" t="n">
        <v>0</v>
      </c>
      <c r="K662" t="n">
        <v>0</v>
      </c>
      <c r="L662" t="n">
        <v>0</v>
      </c>
      <c r="M662" t="n">
        <v>0</v>
      </c>
      <c r="N662" t="n">
        <v>0</v>
      </c>
      <c r="O662" t="n">
        <v>0</v>
      </c>
      <c r="P662" t="n">
        <v>0</v>
      </c>
      <c r="Q662" t="n">
        <v>0</v>
      </c>
      <c r="R662" s="2" t="inlineStr"/>
    </row>
    <row r="663" ht="15" customHeight="1">
      <c r="A663" t="inlineStr">
        <is>
          <t>A 13761-2021</t>
        </is>
      </c>
      <c r="B663" s="1" t="n">
        <v>44274</v>
      </c>
      <c r="C663" s="1" t="n">
        <v>45844</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13626-2021</t>
        </is>
      </c>
      <c r="B664" s="1" t="n">
        <v>44274</v>
      </c>
      <c r="C664" s="1" t="n">
        <v>45844</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14151-2021</t>
        </is>
      </c>
      <c r="B665" s="1" t="n">
        <v>44278</v>
      </c>
      <c r="C665" s="1" t="n">
        <v>45844</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14149-2021</t>
        </is>
      </c>
      <c r="B666" s="1" t="n">
        <v>44278</v>
      </c>
      <c r="C666" s="1" t="n">
        <v>45844</v>
      </c>
      <c r="D666" t="inlineStr">
        <is>
          <t>KALMAR LÄN</t>
        </is>
      </c>
      <c r="E666" t="inlineStr">
        <is>
          <t>VÄSTERVIK</t>
        </is>
      </c>
      <c r="G666" t="n">
        <v>4.1</v>
      </c>
      <c r="H666" t="n">
        <v>0</v>
      </c>
      <c r="I666" t="n">
        <v>0</v>
      </c>
      <c r="J666" t="n">
        <v>0</v>
      </c>
      <c r="K666" t="n">
        <v>0</v>
      </c>
      <c r="L666" t="n">
        <v>0</v>
      </c>
      <c r="M666" t="n">
        <v>0</v>
      </c>
      <c r="N666" t="n">
        <v>0</v>
      </c>
      <c r="O666" t="n">
        <v>0</v>
      </c>
      <c r="P666" t="n">
        <v>0</v>
      </c>
      <c r="Q666" t="n">
        <v>0</v>
      </c>
      <c r="R666" s="2" t="inlineStr"/>
    </row>
    <row r="667" ht="15" customHeight="1">
      <c r="A667" t="inlineStr">
        <is>
          <t>A 14317-2021</t>
        </is>
      </c>
      <c r="B667" s="1" t="n">
        <v>44278</v>
      </c>
      <c r="C667" s="1" t="n">
        <v>45844</v>
      </c>
      <c r="D667" t="inlineStr">
        <is>
          <t>KALMAR LÄN</t>
        </is>
      </c>
      <c r="E667" t="inlineStr">
        <is>
          <t>VÄSTERVIK</t>
        </is>
      </c>
      <c r="G667" t="n">
        <v>2.1</v>
      </c>
      <c r="H667" t="n">
        <v>0</v>
      </c>
      <c r="I667" t="n">
        <v>0</v>
      </c>
      <c r="J667" t="n">
        <v>0</v>
      </c>
      <c r="K667" t="n">
        <v>0</v>
      </c>
      <c r="L667" t="n">
        <v>0</v>
      </c>
      <c r="M667" t="n">
        <v>0</v>
      </c>
      <c r="N667" t="n">
        <v>0</v>
      </c>
      <c r="O667" t="n">
        <v>0</v>
      </c>
      <c r="P667" t="n">
        <v>0</v>
      </c>
      <c r="Q667" t="n">
        <v>0</v>
      </c>
      <c r="R667" s="2" t="inlineStr"/>
    </row>
    <row r="668" ht="15" customHeight="1">
      <c r="A668" t="inlineStr">
        <is>
          <t>A 15595-2021</t>
        </is>
      </c>
      <c r="B668" s="1" t="n">
        <v>44285</v>
      </c>
      <c r="C668" s="1" t="n">
        <v>45844</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15598-2021</t>
        </is>
      </c>
      <c r="B669" s="1" t="n">
        <v>44285</v>
      </c>
      <c r="C669" s="1" t="n">
        <v>45844</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15591-2021</t>
        </is>
      </c>
      <c r="B670" s="1" t="n">
        <v>44285</v>
      </c>
      <c r="C670" s="1" t="n">
        <v>45844</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15834-2021</t>
        </is>
      </c>
      <c r="B671" s="1" t="n">
        <v>44286</v>
      </c>
      <c r="C671" s="1" t="n">
        <v>45844</v>
      </c>
      <c r="D671" t="inlineStr">
        <is>
          <t>KALMAR LÄN</t>
        </is>
      </c>
      <c r="E671" t="inlineStr">
        <is>
          <t>VÄSTERVIK</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16729-2021</t>
        </is>
      </c>
      <c r="B672" s="1" t="n">
        <v>44294</v>
      </c>
      <c r="C672" s="1" t="n">
        <v>45844</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16697-2021</t>
        </is>
      </c>
      <c r="B673" s="1" t="n">
        <v>44294</v>
      </c>
      <c r="C673" s="1" t="n">
        <v>45844</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16728-2021</t>
        </is>
      </c>
      <c r="B674" s="1" t="n">
        <v>44294</v>
      </c>
      <c r="C674" s="1" t="n">
        <v>45844</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16734-2021</t>
        </is>
      </c>
      <c r="B675" s="1" t="n">
        <v>44294</v>
      </c>
      <c r="C675" s="1" t="n">
        <v>45844</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16726-2021</t>
        </is>
      </c>
      <c r="B676" s="1" t="n">
        <v>44294</v>
      </c>
      <c r="C676" s="1" t="n">
        <v>45844</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16992-2021</t>
        </is>
      </c>
      <c r="B677" s="1" t="n">
        <v>44295</v>
      </c>
      <c r="C677" s="1" t="n">
        <v>45844</v>
      </c>
      <c r="D677" t="inlineStr">
        <is>
          <t>KALMAR LÄN</t>
        </is>
      </c>
      <c r="E677" t="inlineStr">
        <is>
          <t>VÄSTERVIK</t>
        </is>
      </c>
      <c r="G677" t="n">
        <v>3.6</v>
      </c>
      <c r="H677" t="n">
        <v>0</v>
      </c>
      <c r="I677" t="n">
        <v>0</v>
      </c>
      <c r="J677" t="n">
        <v>0</v>
      </c>
      <c r="K677" t="n">
        <v>0</v>
      </c>
      <c r="L677" t="n">
        <v>0</v>
      </c>
      <c r="M677" t="n">
        <v>0</v>
      </c>
      <c r="N677" t="n">
        <v>0</v>
      </c>
      <c r="O677" t="n">
        <v>0</v>
      </c>
      <c r="P677" t="n">
        <v>0</v>
      </c>
      <c r="Q677" t="n">
        <v>0</v>
      </c>
      <c r="R677" s="2" t="inlineStr"/>
    </row>
    <row r="678" ht="15" customHeight="1">
      <c r="A678" t="inlineStr">
        <is>
          <t>A 17124-2021</t>
        </is>
      </c>
      <c r="B678" s="1" t="n">
        <v>44298</v>
      </c>
      <c r="C678" s="1" t="n">
        <v>45844</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17200-2021</t>
        </is>
      </c>
      <c r="B679" s="1" t="n">
        <v>44298</v>
      </c>
      <c r="C679" s="1" t="n">
        <v>45844</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17277-2021</t>
        </is>
      </c>
      <c r="B680" s="1" t="n">
        <v>44298</v>
      </c>
      <c r="C680" s="1" t="n">
        <v>45844</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17216-2021</t>
        </is>
      </c>
      <c r="B681" s="1" t="n">
        <v>44298</v>
      </c>
      <c r="C681" s="1" t="n">
        <v>45844</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17253-2021</t>
        </is>
      </c>
      <c r="B682" s="1" t="n">
        <v>44298</v>
      </c>
      <c r="C682" s="1" t="n">
        <v>45844</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18013-2021</t>
        </is>
      </c>
      <c r="B683" s="1" t="n">
        <v>44302</v>
      </c>
      <c r="C683" s="1" t="n">
        <v>45844</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18470-2021</t>
        </is>
      </c>
      <c r="B684" s="1" t="n">
        <v>44306</v>
      </c>
      <c r="C684" s="1" t="n">
        <v>45844</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18837-2021</t>
        </is>
      </c>
      <c r="B685" s="1" t="n">
        <v>44307</v>
      </c>
      <c r="C685" s="1" t="n">
        <v>45844</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18900-2021</t>
        </is>
      </c>
      <c r="B686" s="1" t="n">
        <v>44308</v>
      </c>
      <c r="C686" s="1" t="n">
        <v>45844</v>
      </c>
      <c r="D686" t="inlineStr">
        <is>
          <t>KALMAR LÄN</t>
        </is>
      </c>
      <c r="E686" t="inlineStr">
        <is>
          <t>VÄSTERVIK</t>
        </is>
      </c>
      <c r="F686" t="inlineStr">
        <is>
          <t>Holmen skog AB</t>
        </is>
      </c>
      <c r="G686" t="n">
        <v>7.5</v>
      </c>
      <c r="H686" t="n">
        <v>0</v>
      </c>
      <c r="I686" t="n">
        <v>0</v>
      </c>
      <c r="J686" t="n">
        <v>0</v>
      </c>
      <c r="K686" t="n">
        <v>0</v>
      </c>
      <c r="L686" t="n">
        <v>0</v>
      </c>
      <c r="M686" t="n">
        <v>0</v>
      </c>
      <c r="N686" t="n">
        <v>0</v>
      </c>
      <c r="O686" t="n">
        <v>0</v>
      </c>
      <c r="P686" t="n">
        <v>0</v>
      </c>
      <c r="Q686" t="n">
        <v>0</v>
      </c>
      <c r="R686" s="2" t="inlineStr"/>
    </row>
    <row r="687" ht="15" customHeight="1">
      <c r="A687" t="inlineStr">
        <is>
          <t>A 18915-2021</t>
        </is>
      </c>
      <c r="B687" s="1" t="n">
        <v>44308</v>
      </c>
      <c r="C687" s="1" t="n">
        <v>45844</v>
      </c>
      <c r="D687" t="inlineStr">
        <is>
          <t>KALMAR LÄN</t>
        </is>
      </c>
      <c r="E687" t="inlineStr">
        <is>
          <t>VÄSTERVIK</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19219-2021</t>
        </is>
      </c>
      <c r="B688" s="1" t="n">
        <v>44309</v>
      </c>
      <c r="C688" s="1" t="n">
        <v>45844</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19644-2021</t>
        </is>
      </c>
      <c r="B689" s="1" t="n">
        <v>44312</v>
      </c>
      <c r="C689" s="1" t="n">
        <v>45844</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19660-2021</t>
        </is>
      </c>
      <c r="B690" s="1" t="n">
        <v>44312</v>
      </c>
      <c r="C690" s="1" t="n">
        <v>45844</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45844</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20772-2021</t>
        </is>
      </c>
      <c r="B692" s="1" t="n">
        <v>44316</v>
      </c>
      <c r="C692" s="1" t="n">
        <v>45844</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20945-2021</t>
        </is>
      </c>
      <c r="B693" s="1" t="n">
        <v>44319</v>
      </c>
      <c r="C693" s="1" t="n">
        <v>45844</v>
      </c>
      <c r="D693" t="inlineStr">
        <is>
          <t>KALMAR LÄN</t>
        </is>
      </c>
      <c r="E693" t="inlineStr">
        <is>
          <t>VÄSTERVIK</t>
        </is>
      </c>
      <c r="G693" t="n">
        <v>3.7</v>
      </c>
      <c r="H693" t="n">
        <v>0</v>
      </c>
      <c r="I693" t="n">
        <v>0</v>
      </c>
      <c r="J693" t="n">
        <v>0</v>
      </c>
      <c r="K693" t="n">
        <v>0</v>
      </c>
      <c r="L693" t="n">
        <v>0</v>
      </c>
      <c r="M693" t="n">
        <v>0</v>
      </c>
      <c r="N693" t="n">
        <v>0</v>
      </c>
      <c r="O693" t="n">
        <v>0</v>
      </c>
      <c r="P693" t="n">
        <v>0</v>
      </c>
      <c r="Q693" t="n">
        <v>0</v>
      </c>
      <c r="R693" s="2" t="inlineStr"/>
    </row>
    <row r="694" ht="15" customHeight="1">
      <c r="A694" t="inlineStr">
        <is>
          <t>A 21036-2021</t>
        </is>
      </c>
      <c r="B694" s="1" t="n">
        <v>44319</v>
      </c>
      <c r="C694" s="1" t="n">
        <v>45844</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21057-2021</t>
        </is>
      </c>
      <c r="B695" s="1" t="n">
        <v>44319</v>
      </c>
      <c r="C695" s="1" t="n">
        <v>45844</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21255-2021</t>
        </is>
      </c>
      <c r="B696" s="1" t="n">
        <v>44320</v>
      </c>
      <c r="C696" s="1" t="n">
        <v>45844</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23090-2021</t>
        </is>
      </c>
      <c r="B697" s="1" t="n">
        <v>44330</v>
      </c>
      <c r="C697" s="1" t="n">
        <v>45844</v>
      </c>
      <c r="D697" t="inlineStr">
        <is>
          <t>KALMAR LÄN</t>
        </is>
      </c>
      <c r="E697" t="inlineStr">
        <is>
          <t>VÄSTERVIK</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23097-2021</t>
        </is>
      </c>
      <c r="B698" s="1" t="n">
        <v>44330</v>
      </c>
      <c r="C698" s="1" t="n">
        <v>45844</v>
      </c>
      <c r="D698" t="inlineStr">
        <is>
          <t>KALMAR LÄN</t>
        </is>
      </c>
      <c r="E698" t="inlineStr">
        <is>
          <t>VÄSTERVIK</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23150-2021</t>
        </is>
      </c>
      <c r="B699" s="1" t="n">
        <v>44331</v>
      </c>
      <c r="C699" s="1" t="n">
        <v>45844</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23504-2021</t>
        </is>
      </c>
      <c r="B700" s="1" t="n">
        <v>44334</v>
      </c>
      <c r="C700" s="1" t="n">
        <v>45844</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23628-2021</t>
        </is>
      </c>
      <c r="B701" s="1" t="n">
        <v>44334</v>
      </c>
      <c r="C701" s="1" t="n">
        <v>45844</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23626-2021</t>
        </is>
      </c>
      <c r="B702" s="1" t="n">
        <v>44334</v>
      </c>
      <c r="C702" s="1" t="n">
        <v>45844</v>
      </c>
      <c r="D702" t="inlineStr">
        <is>
          <t>KALMAR LÄN</t>
        </is>
      </c>
      <c r="E702" t="inlineStr">
        <is>
          <t>VÄSTERVIK</t>
        </is>
      </c>
      <c r="G702" t="n">
        <v>9</v>
      </c>
      <c r="H702" t="n">
        <v>0</v>
      </c>
      <c r="I702" t="n">
        <v>0</v>
      </c>
      <c r="J702" t="n">
        <v>0</v>
      </c>
      <c r="K702" t="n">
        <v>0</v>
      </c>
      <c r="L702" t="n">
        <v>0</v>
      </c>
      <c r="M702" t="n">
        <v>0</v>
      </c>
      <c r="N702" t="n">
        <v>0</v>
      </c>
      <c r="O702" t="n">
        <v>0</v>
      </c>
      <c r="P702" t="n">
        <v>0</v>
      </c>
      <c r="Q702" t="n">
        <v>0</v>
      </c>
      <c r="R702" s="2" t="inlineStr"/>
    </row>
    <row r="703" ht="15" customHeight="1">
      <c r="A703" t="inlineStr">
        <is>
          <t>A 23995-2021</t>
        </is>
      </c>
      <c r="B703" s="1" t="n">
        <v>44335</v>
      </c>
      <c r="C703" s="1" t="n">
        <v>45844</v>
      </c>
      <c r="D703" t="inlineStr">
        <is>
          <t>KALMAR LÄN</t>
        </is>
      </c>
      <c r="E703" t="inlineStr">
        <is>
          <t>VÄSTERVIK</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23993-2021</t>
        </is>
      </c>
      <c r="B704" s="1" t="n">
        <v>44335</v>
      </c>
      <c r="C704" s="1" t="n">
        <v>45844</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23998-2021</t>
        </is>
      </c>
      <c r="B705" s="1" t="n">
        <v>44335</v>
      </c>
      <c r="C705" s="1" t="n">
        <v>45844</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23992-2021</t>
        </is>
      </c>
      <c r="B706" s="1" t="n">
        <v>44335</v>
      </c>
      <c r="C706" s="1" t="n">
        <v>45844</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23997-2021</t>
        </is>
      </c>
      <c r="B707" s="1" t="n">
        <v>44335</v>
      </c>
      <c r="C707" s="1" t="n">
        <v>45844</v>
      </c>
      <c r="D707" t="inlineStr">
        <is>
          <t>KALMAR LÄN</t>
        </is>
      </c>
      <c r="E707" t="inlineStr">
        <is>
          <t>VÄSTERVIK</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24000-2021</t>
        </is>
      </c>
      <c r="B708" s="1" t="n">
        <v>44335</v>
      </c>
      <c r="C708" s="1" t="n">
        <v>45844</v>
      </c>
      <c r="D708" t="inlineStr">
        <is>
          <t>KALMAR LÄN</t>
        </is>
      </c>
      <c r="E708" t="inlineStr">
        <is>
          <t>VÄSTERVIK</t>
        </is>
      </c>
      <c r="F708" t="inlineStr">
        <is>
          <t>Sveaskog</t>
        </is>
      </c>
      <c r="G708" t="n">
        <v>6.9</v>
      </c>
      <c r="H708" t="n">
        <v>0</v>
      </c>
      <c r="I708" t="n">
        <v>0</v>
      </c>
      <c r="J708" t="n">
        <v>0</v>
      </c>
      <c r="K708" t="n">
        <v>0</v>
      </c>
      <c r="L708" t="n">
        <v>0</v>
      </c>
      <c r="M708" t="n">
        <v>0</v>
      </c>
      <c r="N708" t="n">
        <v>0</v>
      </c>
      <c r="O708" t="n">
        <v>0</v>
      </c>
      <c r="P708" t="n">
        <v>0</v>
      </c>
      <c r="Q708" t="n">
        <v>0</v>
      </c>
      <c r="R708" s="2" t="inlineStr"/>
    </row>
    <row r="709" ht="15" customHeight="1">
      <c r="A709" t="inlineStr">
        <is>
          <t>A 23996-2021</t>
        </is>
      </c>
      <c r="B709" s="1" t="n">
        <v>44335</v>
      </c>
      <c r="C709" s="1" t="n">
        <v>45844</v>
      </c>
      <c r="D709" t="inlineStr">
        <is>
          <t>KALMAR LÄN</t>
        </is>
      </c>
      <c r="E709" t="inlineStr">
        <is>
          <t>VÄSTERVIK</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24570-2021</t>
        </is>
      </c>
      <c r="B710" s="1" t="n">
        <v>44339</v>
      </c>
      <c r="C710" s="1" t="n">
        <v>45844</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25238-2021</t>
        </is>
      </c>
      <c r="B711" s="1" t="n">
        <v>44342</v>
      </c>
      <c r="C711" s="1" t="n">
        <v>45844</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25418-2021</t>
        </is>
      </c>
      <c r="B712" s="1" t="n">
        <v>44342</v>
      </c>
      <c r="C712" s="1" t="n">
        <v>45844</v>
      </c>
      <c r="D712" t="inlineStr">
        <is>
          <t>KALMAR LÄN</t>
        </is>
      </c>
      <c r="E712" t="inlineStr">
        <is>
          <t>VÄSTERVIK</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25408-2021</t>
        </is>
      </c>
      <c r="B713" s="1" t="n">
        <v>44342</v>
      </c>
      <c r="C713" s="1" t="n">
        <v>45844</v>
      </c>
      <c r="D713" t="inlineStr">
        <is>
          <t>KALMAR LÄN</t>
        </is>
      </c>
      <c r="E713" t="inlineStr">
        <is>
          <t>VÄSTERVIK</t>
        </is>
      </c>
      <c r="F713" t="inlineStr">
        <is>
          <t>Holmen skog AB</t>
        </is>
      </c>
      <c r="G713" t="n">
        <v>1.1</v>
      </c>
      <c r="H713" t="n">
        <v>0</v>
      </c>
      <c r="I713" t="n">
        <v>0</v>
      </c>
      <c r="J713" t="n">
        <v>0</v>
      </c>
      <c r="K713" t="n">
        <v>0</v>
      </c>
      <c r="L713" t="n">
        <v>0</v>
      </c>
      <c r="M713" t="n">
        <v>0</v>
      </c>
      <c r="N713" t="n">
        <v>0</v>
      </c>
      <c r="O713" t="n">
        <v>0</v>
      </c>
      <c r="P713" t="n">
        <v>0</v>
      </c>
      <c r="Q713" t="n">
        <v>0</v>
      </c>
      <c r="R713" s="2" t="inlineStr"/>
      <c r="U713">
        <f>HYPERLINK("https://klasma.github.io/Logging_0883/knärot/A 25408-2021 karta knärot.png", "A 25408-2021")</f>
        <v/>
      </c>
      <c r="V713">
        <f>HYPERLINK("https://klasma.github.io/Logging_0883/klagomål/A 25408-2021 FSC-klagomål.docx", "A 25408-2021")</f>
        <v/>
      </c>
      <c r="W713">
        <f>HYPERLINK("https://klasma.github.io/Logging_0883/klagomålsmail/A 25408-2021 FSC-klagomål mail.docx", "A 25408-2021")</f>
        <v/>
      </c>
      <c r="X713">
        <f>HYPERLINK("https://klasma.github.io/Logging_0883/tillsyn/A 25408-2021 tillsynsbegäran.docx", "A 25408-2021")</f>
        <v/>
      </c>
      <c r="Y713">
        <f>HYPERLINK("https://klasma.github.io/Logging_0883/tillsynsmail/A 25408-2021 tillsynsbegäran mail.docx", "A 25408-2021")</f>
        <v/>
      </c>
    </row>
    <row r="714" ht="15" customHeight="1">
      <c r="A714" t="inlineStr">
        <is>
          <t>A 27183-2021</t>
        </is>
      </c>
      <c r="B714" s="1" t="n">
        <v>44350</v>
      </c>
      <c r="C714" s="1" t="n">
        <v>45844</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29460-2021</t>
        </is>
      </c>
      <c r="B715" s="1" t="n">
        <v>44361</v>
      </c>
      <c r="C715" s="1" t="n">
        <v>45844</v>
      </c>
      <c r="D715" t="inlineStr">
        <is>
          <t>KALMAR LÄN</t>
        </is>
      </c>
      <c r="E715" t="inlineStr">
        <is>
          <t>VÄSTERVIK</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31061-2021</t>
        </is>
      </c>
      <c r="B716" s="1" t="n">
        <v>44368</v>
      </c>
      <c r="C716" s="1" t="n">
        <v>45844</v>
      </c>
      <c r="D716" t="inlineStr">
        <is>
          <t>KALMAR LÄN</t>
        </is>
      </c>
      <c r="E716" t="inlineStr">
        <is>
          <t>VÄSTERVIK</t>
        </is>
      </c>
      <c r="G716" t="n">
        <v>8.1</v>
      </c>
      <c r="H716" t="n">
        <v>0</v>
      </c>
      <c r="I716" t="n">
        <v>0</v>
      </c>
      <c r="J716" t="n">
        <v>0</v>
      </c>
      <c r="K716" t="n">
        <v>0</v>
      </c>
      <c r="L716" t="n">
        <v>0</v>
      </c>
      <c r="M716" t="n">
        <v>0</v>
      </c>
      <c r="N716" t="n">
        <v>0</v>
      </c>
      <c r="O716" t="n">
        <v>0</v>
      </c>
      <c r="P716" t="n">
        <v>0</v>
      </c>
      <c r="Q716" t="n">
        <v>0</v>
      </c>
      <c r="R716" s="2" t="inlineStr"/>
    </row>
    <row r="717" ht="15" customHeight="1">
      <c r="A717" t="inlineStr">
        <is>
          <t>A 31318-2021</t>
        </is>
      </c>
      <c r="B717" s="1" t="n">
        <v>44368</v>
      </c>
      <c r="C717" s="1" t="n">
        <v>45844</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31319-2021</t>
        </is>
      </c>
      <c r="B718" s="1" t="n">
        <v>44368</v>
      </c>
      <c r="C718" s="1" t="n">
        <v>45844</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31317-2021</t>
        </is>
      </c>
      <c r="B719" s="1" t="n">
        <v>44368</v>
      </c>
      <c r="C719" s="1" t="n">
        <v>45844</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31479-2021</t>
        </is>
      </c>
      <c r="B720" s="1" t="n">
        <v>44369</v>
      </c>
      <c r="C720" s="1" t="n">
        <v>45844</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31558-2021</t>
        </is>
      </c>
      <c r="B721" s="1" t="n">
        <v>44369</v>
      </c>
      <c r="C721" s="1" t="n">
        <v>45844</v>
      </c>
      <c r="D721" t="inlineStr">
        <is>
          <t>KALMAR LÄN</t>
        </is>
      </c>
      <c r="E721" t="inlineStr">
        <is>
          <t>VÄSTERVIK</t>
        </is>
      </c>
      <c r="G721" t="n">
        <v>22.9</v>
      </c>
      <c r="H721" t="n">
        <v>0</v>
      </c>
      <c r="I721" t="n">
        <v>0</v>
      </c>
      <c r="J721" t="n">
        <v>0</v>
      </c>
      <c r="K721" t="n">
        <v>0</v>
      </c>
      <c r="L721" t="n">
        <v>0</v>
      </c>
      <c r="M721" t="n">
        <v>0</v>
      </c>
      <c r="N721" t="n">
        <v>0</v>
      </c>
      <c r="O721" t="n">
        <v>0</v>
      </c>
      <c r="P721" t="n">
        <v>0</v>
      </c>
      <c r="Q721" t="n">
        <v>0</v>
      </c>
      <c r="R721" s="2" t="inlineStr"/>
    </row>
    <row r="722" ht="15" customHeight="1">
      <c r="A722" t="inlineStr">
        <is>
          <t>A 31545-2021</t>
        </is>
      </c>
      <c r="B722" s="1" t="n">
        <v>44369</v>
      </c>
      <c r="C722" s="1" t="n">
        <v>45844</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31633-2021</t>
        </is>
      </c>
      <c r="B723" s="1" t="n">
        <v>44369</v>
      </c>
      <c r="C723" s="1" t="n">
        <v>45844</v>
      </c>
      <c r="D723" t="inlineStr">
        <is>
          <t>KALMAR LÄN</t>
        </is>
      </c>
      <c r="E723" t="inlineStr">
        <is>
          <t>VÄSTERVIK</t>
        </is>
      </c>
      <c r="G723" t="n">
        <v>2.1</v>
      </c>
      <c r="H723" t="n">
        <v>0</v>
      </c>
      <c r="I723" t="n">
        <v>0</v>
      </c>
      <c r="J723" t="n">
        <v>0</v>
      </c>
      <c r="K723" t="n">
        <v>0</v>
      </c>
      <c r="L723" t="n">
        <v>0</v>
      </c>
      <c r="M723" t="n">
        <v>0</v>
      </c>
      <c r="N723" t="n">
        <v>0</v>
      </c>
      <c r="O723" t="n">
        <v>0</v>
      </c>
      <c r="P723" t="n">
        <v>0</v>
      </c>
      <c r="Q723" t="n">
        <v>0</v>
      </c>
      <c r="R723" s="2" t="inlineStr"/>
    </row>
    <row r="724" ht="15" customHeight="1">
      <c r="A724" t="inlineStr">
        <is>
          <t>A 31592-2021</t>
        </is>
      </c>
      <c r="B724" s="1" t="n">
        <v>44369</v>
      </c>
      <c r="C724" s="1" t="n">
        <v>45844</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31952-2021</t>
        </is>
      </c>
      <c r="B725" s="1" t="n">
        <v>44370</v>
      </c>
      <c r="C725" s="1" t="n">
        <v>45844</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32394-2021</t>
        </is>
      </c>
      <c r="B726" s="1" t="n">
        <v>44371</v>
      </c>
      <c r="C726" s="1" t="n">
        <v>45844</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32583-2021</t>
        </is>
      </c>
      <c r="B727" s="1" t="n">
        <v>44375</v>
      </c>
      <c r="C727" s="1" t="n">
        <v>45844</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32822-2021</t>
        </is>
      </c>
      <c r="B728" s="1" t="n">
        <v>44375</v>
      </c>
      <c r="C728" s="1" t="n">
        <v>45844</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34125-2021</t>
        </is>
      </c>
      <c r="B729" s="1" t="n">
        <v>44379</v>
      </c>
      <c r="C729" s="1" t="n">
        <v>45844</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34118-2021</t>
        </is>
      </c>
      <c r="B730" s="1" t="n">
        <v>44379</v>
      </c>
      <c r="C730" s="1" t="n">
        <v>45844</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34493-2021</t>
        </is>
      </c>
      <c r="B731" s="1" t="n">
        <v>44382</v>
      </c>
      <c r="C731" s="1" t="n">
        <v>45844</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34953-2021</t>
        </is>
      </c>
      <c r="B732" s="1" t="n">
        <v>44383</v>
      </c>
      <c r="C732" s="1" t="n">
        <v>45844</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45844</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36125-2021</t>
        </is>
      </c>
      <c r="B734" s="1" t="n">
        <v>44386</v>
      </c>
      <c r="C734" s="1" t="n">
        <v>45844</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35906-2021</t>
        </is>
      </c>
      <c r="B735" s="1" t="n">
        <v>44387</v>
      </c>
      <c r="C735" s="1" t="n">
        <v>45844</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37036-2021</t>
        </is>
      </c>
      <c r="B736" s="1" t="n">
        <v>44393</v>
      </c>
      <c r="C736" s="1" t="n">
        <v>45844</v>
      </c>
      <c r="D736" t="inlineStr">
        <is>
          <t>KALMAR LÄN</t>
        </is>
      </c>
      <c r="E736" t="inlineStr">
        <is>
          <t>VÄSTERVIK</t>
        </is>
      </c>
      <c r="G736" t="n">
        <v>16.1</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45844</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37441-2021</t>
        </is>
      </c>
      <c r="B738" s="1" t="n">
        <v>44398</v>
      </c>
      <c r="C738" s="1" t="n">
        <v>45844</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37545-2021</t>
        </is>
      </c>
      <c r="B739" s="1" t="n">
        <v>44399</v>
      </c>
      <c r="C739" s="1" t="n">
        <v>45844</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37550-2021</t>
        </is>
      </c>
      <c r="B740" s="1" t="n">
        <v>44399</v>
      </c>
      <c r="C740" s="1" t="n">
        <v>45844</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37717-2021</t>
        </is>
      </c>
      <c r="B741" s="1" t="n">
        <v>44400</v>
      </c>
      <c r="C741" s="1" t="n">
        <v>45844</v>
      </c>
      <c r="D741" t="inlineStr">
        <is>
          <t>KALMAR LÄN</t>
        </is>
      </c>
      <c r="E741" t="inlineStr">
        <is>
          <t>VÄSTERVIK</t>
        </is>
      </c>
      <c r="G741" t="n">
        <v>3.7</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v>
      </c>
      <c r="C742" s="1" t="n">
        <v>45844</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37753-2021</t>
        </is>
      </c>
      <c r="B743" s="1" t="n">
        <v>44400</v>
      </c>
      <c r="C743" s="1" t="n">
        <v>45844</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38613-2021</t>
        </is>
      </c>
      <c r="B744" s="1" t="n">
        <v>44409</v>
      </c>
      <c r="C744" s="1" t="n">
        <v>45844</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42052-2021</t>
        </is>
      </c>
      <c r="B745" s="1" t="n">
        <v>44426</v>
      </c>
      <c r="C745" s="1" t="n">
        <v>45844</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42112-2021</t>
        </is>
      </c>
      <c r="B746" s="1" t="n">
        <v>44426</v>
      </c>
      <c r="C746" s="1" t="n">
        <v>45844</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42131-2021</t>
        </is>
      </c>
      <c r="B747" s="1" t="n">
        <v>44426</v>
      </c>
      <c r="C747" s="1" t="n">
        <v>45844</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42150-2021</t>
        </is>
      </c>
      <c r="B748" s="1" t="n">
        <v>44426</v>
      </c>
      <c r="C748" s="1" t="n">
        <v>45844</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42137-2021</t>
        </is>
      </c>
      <c r="B749" s="1" t="n">
        <v>44426</v>
      </c>
      <c r="C749" s="1" t="n">
        <v>45844</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42164-2021</t>
        </is>
      </c>
      <c r="B750" s="1" t="n">
        <v>44426</v>
      </c>
      <c r="C750" s="1" t="n">
        <v>45844</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42164-2021 karta knärot.png", "A 42164-2021")</f>
        <v/>
      </c>
      <c r="V750">
        <f>HYPERLINK("https://klasma.github.io/Logging_0883/klagomål/A 42164-2021 FSC-klagomål.docx", "A 42164-2021")</f>
        <v/>
      </c>
      <c r="W750">
        <f>HYPERLINK("https://klasma.github.io/Logging_0883/klagomålsmail/A 42164-2021 FSC-klagomål mail.docx", "A 42164-2021")</f>
        <v/>
      </c>
      <c r="X750">
        <f>HYPERLINK("https://klasma.github.io/Logging_0883/tillsyn/A 42164-2021 tillsynsbegäran.docx", "A 42164-2021")</f>
        <v/>
      </c>
      <c r="Y750">
        <f>HYPERLINK("https://klasma.github.io/Logging_0883/tillsynsmail/A 42164-2021 tillsynsbegäran mail.docx", "A 42164-2021")</f>
        <v/>
      </c>
    </row>
    <row r="751" ht="15" customHeight="1">
      <c r="A751" t="inlineStr">
        <is>
          <t>A 42353-2021</t>
        </is>
      </c>
      <c r="B751" s="1" t="n">
        <v>44427</v>
      </c>
      <c r="C751" s="1" t="n">
        <v>45844</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43759-2021</t>
        </is>
      </c>
      <c r="B752" s="1" t="n">
        <v>44433</v>
      </c>
      <c r="C752" s="1" t="n">
        <v>45844</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43828-2021</t>
        </is>
      </c>
      <c r="B753" s="1" t="n">
        <v>44433</v>
      </c>
      <c r="C753" s="1" t="n">
        <v>45844</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43805-2021</t>
        </is>
      </c>
      <c r="B754" s="1" t="n">
        <v>44433</v>
      </c>
      <c r="C754" s="1" t="n">
        <v>45844</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43810-2021</t>
        </is>
      </c>
      <c r="B755" s="1" t="n">
        <v>44433</v>
      </c>
      <c r="C755" s="1" t="n">
        <v>45844</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43826-2021</t>
        </is>
      </c>
      <c r="B756" s="1" t="n">
        <v>44433</v>
      </c>
      <c r="C756" s="1" t="n">
        <v>45844</v>
      </c>
      <c r="D756" t="inlineStr">
        <is>
          <t>KALMAR LÄN</t>
        </is>
      </c>
      <c r="E756" t="inlineStr">
        <is>
          <t>VÄSTERVIK</t>
        </is>
      </c>
      <c r="G756" t="n">
        <v>4.2</v>
      </c>
      <c r="H756" t="n">
        <v>0</v>
      </c>
      <c r="I756" t="n">
        <v>0</v>
      </c>
      <c r="J756" t="n">
        <v>0</v>
      </c>
      <c r="K756" t="n">
        <v>0</v>
      </c>
      <c r="L756" t="n">
        <v>0</v>
      </c>
      <c r="M756" t="n">
        <v>0</v>
      </c>
      <c r="N756" t="n">
        <v>0</v>
      </c>
      <c r="O756" t="n">
        <v>0</v>
      </c>
      <c r="P756" t="n">
        <v>0</v>
      </c>
      <c r="Q756" t="n">
        <v>0</v>
      </c>
      <c r="R756" s="2" t="inlineStr"/>
    </row>
    <row r="757" ht="15" customHeight="1">
      <c r="A757" t="inlineStr">
        <is>
          <t>A 43803-2021</t>
        </is>
      </c>
      <c r="B757" s="1" t="n">
        <v>44433</v>
      </c>
      <c r="C757" s="1" t="n">
        <v>45844</v>
      </c>
      <c r="D757" t="inlineStr">
        <is>
          <t>KALMAR LÄN</t>
        </is>
      </c>
      <c r="E757" t="inlineStr">
        <is>
          <t>VÄSTERVIK</t>
        </is>
      </c>
      <c r="G757" t="n">
        <v>4.2</v>
      </c>
      <c r="H757" t="n">
        <v>0</v>
      </c>
      <c r="I757" t="n">
        <v>0</v>
      </c>
      <c r="J757" t="n">
        <v>0</v>
      </c>
      <c r="K757" t="n">
        <v>0</v>
      </c>
      <c r="L757" t="n">
        <v>0</v>
      </c>
      <c r="M757" t="n">
        <v>0</v>
      </c>
      <c r="N757" t="n">
        <v>0</v>
      </c>
      <c r="O757" t="n">
        <v>0</v>
      </c>
      <c r="P757" t="n">
        <v>0</v>
      </c>
      <c r="Q757" t="n">
        <v>0</v>
      </c>
      <c r="R757" s="2" t="inlineStr"/>
    </row>
    <row r="758" ht="15" customHeight="1">
      <c r="A758" t="inlineStr">
        <is>
          <t>A 43802-2021</t>
        </is>
      </c>
      <c r="B758" s="1" t="n">
        <v>44433</v>
      </c>
      <c r="C758" s="1" t="n">
        <v>45844</v>
      </c>
      <c r="D758" t="inlineStr">
        <is>
          <t>KALMAR LÄN</t>
        </is>
      </c>
      <c r="E758" t="inlineStr">
        <is>
          <t>VÄSTERVIK</t>
        </is>
      </c>
      <c r="G758" t="n">
        <v>6</v>
      </c>
      <c r="H758" t="n">
        <v>0</v>
      </c>
      <c r="I758" t="n">
        <v>0</v>
      </c>
      <c r="J758" t="n">
        <v>0</v>
      </c>
      <c r="K758" t="n">
        <v>0</v>
      </c>
      <c r="L758" t="n">
        <v>0</v>
      </c>
      <c r="M758" t="n">
        <v>0</v>
      </c>
      <c r="N758" t="n">
        <v>0</v>
      </c>
      <c r="O758" t="n">
        <v>0</v>
      </c>
      <c r="P758" t="n">
        <v>0</v>
      </c>
      <c r="Q758" t="n">
        <v>0</v>
      </c>
      <c r="R758" s="2" t="inlineStr"/>
    </row>
    <row r="759" ht="15" customHeight="1">
      <c r="A759" t="inlineStr">
        <is>
          <t>A 43808-2021</t>
        </is>
      </c>
      <c r="B759" s="1" t="n">
        <v>44433</v>
      </c>
      <c r="C759" s="1" t="n">
        <v>45844</v>
      </c>
      <c r="D759" t="inlineStr">
        <is>
          <t>KALMAR LÄN</t>
        </is>
      </c>
      <c r="E759" t="inlineStr">
        <is>
          <t>VÄSTERVIK</t>
        </is>
      </c>
      <c r="G759" t="n">
        <v>3.1</v>
      </c>
      <c r="H759" t="n">
        <v>0</v>
      </c>
      <c r="I759" t="n">
        <v>0</v>
      </c>
      <c r="J759" t="n">
        <v>0</v>
      </c>
      <c r="K759" t="n">
        <v>0</v>
      </c>
      <c r="L759" t="n">
        <v>0</v>
      </c>
      <c r="M759" t="n">
        <v>0</v>
      </c>
      <c r="N759" t="n">
        <v>0</v>
      </c>
      <c r="O759" t="n">
        <v>0</v>
      </c>
      <c r="P759" t="n">
        <v>0</v>
      </c>
      <c r="Q759" t="n">
        <v>0</v>
      </c>
      <c r="R759" s="2" t="inlineStr"/>
    </row>
    <row r="760" ht="15" customHeight="1">
      <c r="A760" t="inlineStr">
        <is>
          <t>A 43807-2021</t>
        </is>
      </c>
      <c r="B760" s="1" t="n">
        <v>44433</v>
      </c>
      <c r="C760" s="1" t="n">
        <v>45844</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43953-2021</t>
        </is>
      </c>
      <c r="B761" s="1" t="n">
        <v>44434</v>
      </c>
      <c r="C761" s="1" t="n">
        <v>45844</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44454-2021</t>
        </is>
      </c>
      <c r="B762" s="1" t="n">
        <v>44435</v>
      </c>
      <c r="C762" s="1" t="n">
        <v>45844</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c r="U762">
        <f>HYPERLINK("https://klasma.github.io/Logging_0883/knärot/A 44454-2021 karta knärot.png", "A 44454-2021")</f>
        <v/>
      </c>
      <c r="V762">
        <f>HYPERLINK("https://klasma.github.io/Logging_0883/klagomål/A 44454-2021 FSC-klagomål.docx", "A 44454-2021")</f>
        <v/>
      </c>
      <c r="W762">
        <f>HYPERLINK("https://klasma.github.io/Logging_0883/klagomålsmail/A 44454-2021 FSC-klagomål mail.docx", "A 44454-2021")</f>
        <v/>
      </c>
      <c r="X762">
        <f>HYPERLINK("https://klasma.github.io/Logging_0883/tillsyn/A 44454-2021 tillsynsbegäran.docx", "A 44454-2021")</f>
        <v/>
      </c>
      <c r="Y762">
        <f>HYPERLINK("https://klasma.github.io/Logging_0883/tillsynsmail/A 44454-2021 tillsynsbegäran mail.docx", "A 44454-2021")</f>
        <v/>
      </c>
    </row>
    <row r="763" ht="15" customHeight="1">
      <c r="A763" t="inlineStr">
        <is>
          <t>A 44668-2021</t>
        </is>
      </c>
      <c r="B763" s="1" t="n">
        <v>44438</v>
      </c>
      <c r="C763" s="1" t="n">
        <v>45844</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47404-2021</t>
        </is>
      </c>
      <c r="B764" s="1" t="n">
        <v>44447</v>
      </c>
      <c r="C764" s="1" t="n">
        <v>45844</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47527-2021</t>
        </is>
      </c>
      <c r="B765" s="1" t="n">
        <v>44447</v>
      </c>
      <c r="C765" s="1" t="n">
        <v>45844</v>
      </c>
      <c r="D765" t="inlineStr">
        <is>
          <t>KALMAR LÄN</t>
        </is>
      </c>
      <c r="E765" t="inlineStr">
        <is>
          <t>VÄSTERVIK</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47525-2021</t>
        </is>
      </c>
      <c r="B766" s="1" t="n">
        <v>44447</v>
      </c>
      <c r="C766" s="1" t="n">
        <v>45844</v>
      </c>
      <c r="D766" t="inlineStr">
        <is>
          <t>KALMAR LÄN</t>
        </is>
      </c>
      <c r="E766" t="inlineStr">
        <is>
          <t>VÄSTERVIK</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47530-2021</t>
        </is>
      </c>
      <c r="B767" s="1" t="n">
        <v>44447</v>
      </c>
      <c r="C767" s="1" t="n">
        <v>45844</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48021-2021</t>
        </is>
      </c>
      <c r="B768" s="1" t="n">
        <v>44449</v>
      </c>
      <c r="C768" s="1" t="n">
        <v>45844</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48018-2021</t>
        </is>
      </c>
      <c r="B769" s="1" t="n">
        <v>44449</v>
      </c>
      <c r="C769" s="1" t="n">
        <v>45844</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48041-2021</t>
        </is>
      </c>
      <c r="B770" s="1" t="n">
        <v>44449</v>
      </c>
      <c r="C770" s="1" t="n">
        <v>45844</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48254-2021</t>
        </is>
      </c>
      <c r="B771" s="1" t="n">
        <v>44449</v>
      </c>
      <c r="C771" s="1" t="n">
        <v>45844</v>
      </c>
      <c r="D771" t="inlineStr">
        <is>
          <t>KALMAR LÄN</t>
        </is>
      </c>
      <c r="E771" t="inlineStr">
        <is>
          <t>VÄSTERVIK</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49402-2021</t>
        </is>
      </c>
      <c r="B772" s="1" t="n">
        <v>44454</v>
      </c>
      <c r="C772" s="1" t="n">
        <v>45844</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49407-2021</t>
        </is>
      </c>
      <c r="B773" s="1" t="n">
        <v>44454</v>
      </c>
      <c r="C773" s="1" t="n">
        <v>45844</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49398-2021</t>
        </is>
      </c>
      <c r="B774" s="1" t="n">
        <v>44454</v>
      </c>
      <c r="C774" s="1" t="n">
        <v>45844</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49404-2021</t>
        </is>
      </c>
      <c r="B775" s="1" t="n">
        <v>44454</v>
      </c>
      <c r="C775" s="1" t="n">
        <v>45844</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50977-2021</t>
        </is>
      </c>
      <c r="B776" s="1" t="n">
        <v>44460</v>
      </c>
      <c r="C776" s="1" t="n">
        <v>45844</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51504-2021</t>
        </is>
      </c>
      <c r="B777" s="1" t="n">
        <v>44461</v>
      </c>
      <c r="C777" s="1" t="n">
        <v>45844</v>
      </c>
      <c r="D777" t="inlineStr">
        <is>
          <t>KALMAR LÄN</t>
        </is>
      </c>
      <c r="E777" t="inlineStr">
        <is>
          <t>VÄSTERVIK</t>
        </is>
      </c>
      <c r="G777" t="n">
        <v>6.4</v>
      </c>
      <c r="H777" t="n">
        <v>0</v>
      </c>
      <c r="I777" t="n">
        <v>0</v>
      </c>
      <c r="J777" t="n">
        <v>0</v>
      </c>
      <c r="K777" t="n">
        <v>0</v>
      </c>
      <c r="L777" t="n">
        <v>0</v>
      </c>
      <c r="M777" t="n">
        <v>0</v>
      </c>
      <c r="N777" t="n">
        <v>0</v>
      </c>
      <c r="O777" t="n">
        <v>0</v>
      </c>
      <c r="P777" t="n">
        <v>0</v>
      </c>
      <c r="Q777" t="n">
        <v>0</v>
      </c>
      <c r="R777" s="2" t="inlineStr"/>
    </row>
    <row r="778" ht="15" customHeight="1">
      <c r="A778" t="inlineStr">
        <is>
          <t>A 51883-2021</t>
        </is>
      </c>
      <c r="B778" s="1" t="n">
        <v>44462</v>
      </c>
      <c r="C778" s="1" t="n">
        <v>45844</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51884-2021</t>
        </is>
      </c>
      <c r="B779" s="1" t="n">
        <v>44462</v>
      </c>
      <c r="C779" s="1" t="n">
        <v>45844</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45844</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52645-2021</t>
        </is>
      </c>
      <c r="B781" s="1" t="n">
        <v>44466</v>
      </c>
      <c r="C781" s="1" t="n">
        <v>45844</v>
      </c>
      <c r="D781" t="inlineStr">
        <is>
          <t>KALMAR LÄN</t>
        </is>
      </c>
      <c r="E781" t="inlineStr">
        <is>
          <t>VÄSTERVIK</t>
        </is>
      </c>
      <c r="G781" t="n">
        <v>5</v>
      </c>
      <c r="H781" t="n">
        <v>0</v>
      </c>
      <c r="I781" t="n">
        <v>0</v>
      </c>
      <c r="J781" t="n">
        <v>0</v>
      </c>
      <c r="K781" t="n">
        <v>0</v>
      </c>
      <c r="L781" t="n">
        <v>0</v>
      </c>
      <c r="M781" t="n">
        <v>0</v>
      </c>
      <c r="N781" t="n">
        <v>0</v>
      </c>
      <c r="O781" t="n">
        <v>0</v>
      </c>
      <c r="P781" t="n">
        <v>0</v>
      </c>
      <c r="Q781" t="n">
        <v>0</v>
      </c>
      <c r="R781" s="2" t="inlineStr"/>
    </row>
    <row r="782" ht="15" customHeight="1">
      <c r="A782" t="inlineStr">
        <is>
          <t>A 53259-2021</t>
        </is>
      </c>
      <c r="B782" s="1" t="n">
        <v>44468</v>
      </c>
      <c r="C782" s="1" t="n">
        <v>45844</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53254-2021</t>
        </is>
      </c>
      <c r="B783" s="1" t="n">
        <v>44468</v>
      </c>
      <c r="C783" s="1" t="n">
        <v>45844</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53913-2021</t>
        </is>
      </c>
      <c r="B784" s="1" t="n">
        <v>44469</v>
      </c>
      <c r="C784" s="1" t="n">
        <v>45844</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55008-2021</t>
        </is>
      </c>
      <c r="B785" s="1" t="n">
        <v>44474</v>
      </c>
      <c r="C785" s="1" t="n">
        <v>45844</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55023-2021</t>
        </is>
      </c>
      <c r="B786" s="1" t="n">
        <v>44474</v>
      </c>
      <c r="C786" s="1" t="n">
        <v>45844</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56617-2021</t>
        </is>
      </c>
      <c r="B787" s="1" t="n">
        <v>44480</v>
      </c>
      <c r="C787" s="1" t="n">
        <v>45844</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56620-2021</t>
        </is>
      </c>
      <c r="B788" s="1" t="n">
        <v>44480</v>
      </c>
      <c r="C788" s="1" t="n">
        <v>45844</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56619-2021</t>
        </is>
      </c>
      <c r="B789" s="1" t="n">
        <v>44480</v>
      </c>
      <c r="C789" s="1" t="n">
        <v>45844</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45844</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57808-2021</t>
        </is>
      </c>
      <c r="B791" s="1" t="n">
        <v>44484</v>
      </c>
      <c r="C791" s="1" t="n">
        <v>45844</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57983-2021</t>
        </is>
      </c>
      <c r="B792" s="1" t="n">
        <v>44487</v>
      </c>
      <c r="C792" s="1" t="n">
        <v>45844</v>
      </c>
      <c r="D792" t="inlineStr">
        <is>
          <t>KALMAR LÄN</t>
        </is>
      </c>
      <c r="E792" t="inlineStr">
        <is>
          <t>VÄSTERVIK</t>
        </is>
      </c>
      <c r="G792" t="n">
        <v>4.4</v>
      </c>
      <c r="H792" t="n">
        <v>0</v>
      </c>
      <c r="I792" t="n">
        <v>0</v>
      </c>
      <c r="J792" t="n">
        <v>0</v>
      </c>
      <c r="K792" t="n">
        <v>0</v>
      </c>
      <c r="L792" t="n">
        <v>0</v>
      </c>
      <c r="M792" t="n">
        <v>0</v>
      </c>
      <c r="N792" t="n">
        <v>0</v>
      </c>
      <c r="O792" t="n">
        <v>0</v>
      </c>
      <c r="P792" t="n">
        <v>0</v>
      </c>
      <c r="Q792" t="n">
        <v>0</v>
      </c>
      <c r="R792" s="2" t="inlineStr"/>
    </row>
    <row r="793" ht="15" customHeight="1">
      <c r="A793" t="inlineStr">
        <is>
          <t>A 57928-2021</t>
        </is>
      </c>
      <c r="B793" s="1" t="n">
        <v>44487</v>
      </c>
      <c r="C793" s="1" t="n">
        <v>45844</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57937-2021</t>
        </is>
      </c>
      <c r="B794" s="1" t="n">
        <v>44487</v>
      </c>
      <c r="C794" s="1" t="n">
        <v>45844</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58090-2021</t>
        </is>
      </c>
      <c r="B795" s="1" t="n">
        <v>44487</v>
      </c>
      <c r="C795" s="1" t="n">
        <v>45844</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58555-2021</t>
        </is>
      </c>
      <c r="B796" s="1" t="n">
        <v>44488</v>
      </c>
      <c r="C796" s="1" t="n">
        <v>45844</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61317-2021</t>
        </is>
      </c>
      <c r="B797" s="1" t="n">
        <v>44498</v>
      </c>
      <c r="C797" s="1" t="n">
        <v>45844</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61584-2021</t>
        </is>
      </c>
      <c r="B798" s="1" t="n">
        <v>44501</v>
      </c>
      <c r="C798" s="1" t="n">
        <v>45844</v>
      </c>
      <c r="D798" t="inlineStr">
        <is>
          <t>KALMAR LÄN</t>
        </is>
      </c>
      <c r="E798" t="inlineStr">
        <is>
          <t>VÄSTERVIK</t>
        </is>
      </c>
      <c r="G798" t="n">
        <v>3.3</v>
      </c>
      <c r="H798" t="n">
        <v>0</v>
      </c>
      <c r="I798" t="n">
        <v>0</v>
      </c>
      <c r="J798" t="n">
        <v>0</v>
      </c>
      <c r="K798" t="n">
        <v>0</v>
      </c>
      <c r="L798" t="n">
        <v>0</v>
      </c>
      <c r="M798" t="n">
        <v>0</v>
      </c>
      <c r="N798" t="n">
        <v>0</v>
      </c>
      <c r="O798" t="n">
        <v>0</v>
      </c>
      <c r="P798" t="n">
        <v>0</v>
      </c>
      <c r="Q798" t="n">
        <v>0</v>
      </c>
      <c r="R798" s="2" t="inlineStr"/>
    </row>
    <row r="799" ht="15" customHeight="1">
      <c r="A799" t="inlineStr">
        <is>
          <t>A 62930-2021</t>
        </is>
      </c>
      <c r="B799" s="1" t="n">
        <v>44504</v>
      </c>
      <c r="C799" s="1" t="n">
        <v>45844</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63812-2021</t>
        </is>
      </c>
      <c r="B800" s="1" t="n">
        <v>44509</v>
      </c>
      <c r="C800" s="1" t="n">
        <v>45844</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64497-2021</t>
        </is>
      </c>
      <c r="B801" s="1" t="n">
        <v>44511</v>
      </c>
      <c r="C801" s="1" t="n">
        <v>45844</v>
      </c>
      <c r="D801" t="inlineStr">
        <is>
          <t>KALMAR LÄN</t>
        </is>
      </c>
      <c r="E801" t="inlineStr">
        <is>
          <t>VÄSTERVIK</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64558-2021</t>
        </is>
      </c>
      <c r="B802" s="1" t="n">
        <v>44511</v>
      </c>
      <c r="C802" s="1" t="n">
        <v>45844</v>
      </c>
      <c r="D802" t="inlineStr">
        <is>
          <t>KALMAR LÄN</t>
        </is>
      </c>
      <c r="E802" t="inlineStr">
        <is>
          <t>VÄSTERVIK</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64822-2021</t>
        </is>
      </c>
      <c r="B803" s="1" t="n">
        <v>44512</v>
      </c>
      <c r="C803" s="1" t="n">
        <v>45844</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64920-2021</t>
        </is>
      </c>
      <c r="B804" s="1" t="n">
        <v>44512</v>
      </c>
      <c r="C804" s="1" t="n">
        <v>45844</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c r="U804">
        <f>HYPERLINK("https://klasma.github.io/Logging_0883/knärot/A 64920-2021 karta knärot.png", "A 64920-2021")</f>
        <v/>
      </c>
      <c r="V804">
        <f>HYPERLINK("https://klasma.github.io/Logging_0883/klagomål/A 64920-2021 FSC-klagomål.docx", "A 64920-2021")</f>
        <v/>
      </c>
      <c r="W804">
        <f>HYPERLINK("https://klasma.github.io/Logging_0883/klagomålsmail/A 64920-2021 FSC-klagomål mail.docx", "A 64920-2021")</f>
        <v/>
      </c>
      <c r="X804">
        <f>HYPERLINK("https://klasma.github.io/Logging_0883/tillsyn/A 64920-2021 tillsynsbegäran.docx", "A 64920-2021")</f>
        <v/>
      </c>
      <c r="Y804">
        <f>HYPERLINK("https://klasma.github.io/Logging_0883/tillsynsmail/A 64920-2021 tillsynsbegäran mail.docx", "A 64920-2021")</f>
        <v/>
      </c>
    </row>
    <row r="805" ht="15" customHeight="1">
      <c r="A805" t="inlineStr">
        <is>
          <t>A 65408-2021</t>
        </is>
      </c>
      <c r="B805" s="1" t="n">
        <v>44515</v>
      </c>
      <c r="C805" s="1" t="n">
        <v>45844</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68920-2021</t>
        </is>
      </c>
      <c r="B806" s="1" t="n">
        <v>44530</v>
      </c>
      <c r="C806" s="1" t="n">
        <v>45844</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69328-2021</t>
        </is>
      </c>
      <c r="B807" s="1" t="n">
        <v>44531</v>
      </c>
      <c r="C807" s="1" t="n">
        <v>45844</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69702-2021</t>
        </is>
      </c>
      <c r="B808" s="1" t="n">
        <v>44532</v>
      </c>
      <c r="C808" s="1" t="n">
        <v>45844</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69750-2021</t>
        </is>
      </c>
      <c r="B809" s="1" t="n">
        <v>44532</v>
      </c>
      <c r="C809" s="1" t="n">
        <v>45844</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69753-2021</t>
        </is>
      </c>
      <c r="B810" s="1" t="n">
        <v>44532</v>
      </c>
      <c r="C810" s="1" t="n">
        <v>45844</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71114-2021</t>
        </is>
      </c>
      <c r="B811" s="1" t="n">
        <v>44539</v>
      </c>
      <c r="C811" s="1" t="n">
        <v>45844</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72378-2021</t>
        </is>
      </c>
      <c r="B812" s="1" t="n">
        <v>44545</v>
      </c>
      <c r="C812" s="1" t="n">
        <v>45844</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72733-2021</t>
        </is>
      </c>
      <c r="B813" s="1" t="n">
        <v>44546</v>
      </c>
      <c r="C813" s="1" t="n">
        <v>45844</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73640-2021</t>
        </is>
      </c>
      <c r="B814" s="1" t="n">
        <v>44552</v>
      </c>
      <c r="C814" s="1" t="n">
        <v>45844</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73638-2021</t>
        </is>
      </c>
      <c r="B815" s="1" t="n">
        <v>44552</v>
      </c>
      <c r="C815" s="1" t="n">
        <v>45844</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166-2022</t>
        </is>
      </c>
      <c r="B816" s="1" t="n">
        <v>44564</v>
      </c>
      <c r="C816" s="1" t="n">
        <v>45844</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174-2022</t>
        </is>
      </c>
      <c r="B817" s="1" t="n">
        <v>44564</v>
      </c>
      <c r="C817" s="1" t="n">
        <v>45844</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170-2022</t>
        </is>
      </c>
      <c r="B818" s="1" t="n">
        <v>44564</v>
      </c>
      <c r="C818" s="1" t="n">
        <v>45844</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358-2022</t>
        </is>
      </c>
      <c r="B819" s="1" t="n">
        <v>44565</v>
      </c>
      <c r="C819" s="1" t="n">
        <v>45844</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320-2022</t>
        </is>
      </c>
      <c r="B820" s="1" t="n">
        <v>44565</v>
      </c>
      <c r="C820" s="1" t="n">
        <v>45844</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360-2022</t>
        </is>
      </c>
      <c r="B821" s="1" t="n">
        <v>44565</v>
      </c>
      <c r="C821" s="1" t="n">
        <v>45844</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959-2022</t>
        </is>
      </c>
      <c r="B822" s="1" t="n">
        <v>44571</v>
      </c>
      <c r="C822" s="1" t="n">
        <v>45844</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1585-2022</t>
        </is>
      </c>
      <c r="B823" s="1" t="n">
        <v>44573</v>
      </c>
      <c r="C823" s="1" t="n">
        <v>45844</v>
      </c>
      <c r="D823" t="inlineStr">
        <is>
          <t>KALMAR LÄN</t>
        </is>
      </c>
      <c r="E823" t="inlineStr">
        <is>
          <t>VÄSTERVIK</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1843-2022</t>
        </is>
      </c>
      <c r="B824" s="1" t="n">
        <v>44574</v>
      </c>
      <c r="C824" s="1" t="n">
        <v>45844</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3145-2022</t>
        </is>
      </c>
      <c r="B825" s="1" t="n">
        <v>44582</v>
      </c>
      <c r="C825" s="1" t="n">
        <v>45844</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3718-2022</t>
        </is>
      </c>
      <c r="B826" s="1" t="n">
        <v>44586</v>
      </c>
      <c r="C826" s="1" t="n">
        <v>45844</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4463-2022</t>
        </is>
      </c>
      <c r="B827" s="1" t="n">
        <v>44589</v>
      </c>
      <c r="C827" s="1" t="n">
        <v>45844</v>
      </c>
      <c r="D827" t="inlineStr">
        <is>
          <t>KALMAR LÄN</t>
        </is>
      </c>
      <c r="E827" t="inlineStr">
        <is>
          <t>VÄSTERVIK</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4490-2022</t>
        </is>
      </c>
      <c r="B828" s="1" t="n">
        <v>44589</v>
      </c>
      <c r="C828" s="1" t="n">
        <v>45844</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4812-2022</t>
        </is>
      </c>
      <c r="B829" s="1" t="n">
        <v>44592</v>
      </c>
      <c r="C829" s="1" t="n">
        <v>45844</v>
      </c>
      <c r="D829" t="inlineStr">
        <is>
          <t>KALMAR LÄN</t>
        </is>
      </c>
      <c r="E829" t="inlineStr">
        <is>
          <t>VÄSTERVIK</t>
        </is>
      </c>
      <c r="G829" t="n">
        <v>3.2</v>
      </c>
      <c r="H829" t="n">
        <v>0</v>
      </c>
      <c r="I829" t="n">
        <v>0</v>
      </c>
      <c r="J829" t="n">
        <v>0</v>
      </c>
      <c r="K829" t="n">
        <v>0</v>
      </c>
      <c r="L829" t="n">
        <v>0</v>
      </c>
      <c r="M829" t="n">
        <v>0</v>
      </c>
      <c r="N829" t="n">
        <v>0</v>
      </c>
      <c r="O829" t="n">
        <v>0</v>
      </c>
      <c r="P829" t="n">
        <v>0</v>
      </c>
      <c r="Q829" t="n">
        <v>0</v>
      </c>
      <c r="R829" s="2" t="inlineStr"/>
    </row>
    <row r="830" ht="15" customHeight="1">
      <c r="A830" t="inlineStr">
        <is>
          <t>A 5450-2022</t>
        </is>
      </c>
      <c r="B830" s="1" t="n">
        <v>44595</v>
      </c>
      <c r="C830" s="1" t="n">
        <v>45844</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5551-2022</t>
        </is>
      </c>
      <c r="B831" s="1" t="n">
        <v>44595</v>
      </c>
      <c r="C831" s="1" t="n">
        <v>45844</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5761-2022</t>
        </is>
      </c>
      <c r="B832" s="1" t="n">
        <v>44596</v>
      </c>
      <c r="C832" s="1" t="n">
        <v>45844</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7580-2022</t>
        </is>
      </c>
      <c r="B833" s="1" t="n">
        <v>44607</v>
      </c>
      <c r="C833" s="1" t="n">
        <v>45844</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7826-2022</t>
        </is>
      </c>
      <c r="B834" s="1" t="n">
        <v>44608</v>
      </c>
      <c r="C834" s="1" t="n">
        <v>45844</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8355-2022</t>
        </is>
      </c>
      <c r="B835" s="1" t="n">
        <v>44610</v>
      </c>
      <c r="C835" s="1" t="n">
        <v>45844</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9025-2022</t>
        </is>
      </c>
      <c r="B836" s="1" t="n">
        <v>44615</v>
      </c>
      <c r="C836" s="1" t="n">
        <v>45844</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9605-2022</t>
        </is>
      </c>
      <c r="B837" s="1" t="n">
        <v>44617</v>
      </c>
      <c r="C837" s="1" t="n">
        <v>45844</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c r="U837">
        <f>HYPERLINK("https://klasma.github.io/Logging_0883/knärot/A 9605-2022 karta knärot.png", "A 9605-2022")</f>
        <v/>
      </c>
      <c r="V837">
        <f>HYPERLINK("https://klasma.github.io/Logging_0883/klagomål/A 9605-2022 FSC-klagomål.docx", "A 9605-2022")</f>
        <v/>
      </c>
      <c r="W837">
        <f>HYPERLINK("https://klasma.github.io/Logging_0883/klagomålsmail/A 9605-2022 FSC-klagomål mail.docx", "A 9605-2022")</f>
        <v/>
      </c>
      <c r="X837">
        <f>HYPERLINK("https://klasma.github.io/Logging_0883/tillsyn/A 9605-2022 tillsynsbegäran.docx", "A 9605-2022")</f>
        <v/>
      </c>
      <c r="Y837">
        <f>HYPERLINK("https://klasma.github.io/Logging_0883/tillsynsmail/A 9605-2022 tillsynsbegäran mail.docx", "A 9605-2022")</f>
        <v/>
      </c>
    </row>
    <row r="838" ht="15" customHeight="1">
      <c r="A838" t="inlineStr">
        <is>
          <t>A 10071-2022</t>
        </is>
      </c>
      <c r="B838" s="1" t="n">
        <v>44621</v>
      </c>
      <c r="C838" s="1" t="n">
        <v>45844</v>
      </c>
      <c r="D838" t="inlineStr">
        <is>
          <t>KALMAR LÄN</t>
        </is>
      </c>
      <c r="E838" t="inlineStr">
        <is>
          <t>VÄSTERVIK</t>
        </is>
      </c>
      <c r="G838" t="n">
        <v>2</v>
      </c>
      <c r="H838" t="n">
        <v>0</v>
      </c>
      <c r="I838" t="n">
        <v>0</v>
      </c>
      <c r="J838" t="n">
        <v>0</v>
      </c>
      <c r="K838" t="n">
        <v>0</v>
      </c>
      <c r="L838" t="n">
        <v>0</v>
      </c>
      <c r="M838" t="n">
        <v>0</v>
      </c>
      <c r="N838" t="n">
        <v>0</v>
      </c>
      <c r="O838" t="n">
        <v>0</v>
      </c>
      <c r="P838" t="n">
        <v>0</v>
      </c>
      <c r="Q838" t="n">
        <v>0</v>
      </c>
      <c r="R838" s="2" t="inlineStr"/>
    </row>
    <row r="839" ht="15" customHeight="1">
      <c r="A839" t="inlineStr">
        <is>
          <t>A 10119-2022</t>
        </is>
      </c>
      <c r="B839" s="1" t="n">
        <v>44621</v>
      </c>
      <c r="C839" s="1" t="n">
        <v>45844</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10117-2022</t>
        </is>
      </c>
      <c r="B840" s="1" t="n">
        <v>44621</v>
      </c>
      <c r="C840" s="1" t="n">
        <v>45844</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10116-2022</t>
        </is>
      </c>
      <c r="B841" s="1" t="n">
        <v>44621</v>
      </c>
      <c r="C841" s="1" t="n">
        <v>45844</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10406-2022</t>
        </is>
      </c>
      <c r="B842" s="1" t="n">
        <v>44623</v>
      </c>
      <c r="C842" s="1" t="n">
        <v>45844</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10441-2022</t>
        </is>
      </c>
      <c r="B843" s="1" t="n">
        <v>44623</v>
      </c>
      <c r="C843" s="1" t="n">
        <v>45844</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10452-2022</t>
        </is>
      </c>
      <c r="B844" s="1" t="n">
        <v>44623</v>
      </c>
      <c r="C844" s="1" t="n">
        <v>45844</v>
      </c>
      <c r="D844" t="inlineStr">
        <is>
          <t>KALMAR LÄN</t>
        </is>
      </c>
      <c r="E844" t="inlineStr">
        <is>
          <t>VÄSTERVIK</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v>
      </c>
      <c r="C845" s="1" t="n">
        <v>45844</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45844</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13023-2022</t>
        </is>
      </c>
      <c r="B847" s="1" t="n">
        <v>44643</v>
      </c>
      <c r="C847" s="1" t="n">
        <v>45844</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13375-2022</t>
        </is>
      </c>
      <c r="B848" s="1" t="n">
        <v>44645</v>
      </c>
      <c r="C848" s="1" t="n">
        <v>45844</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13491-2022</t>
        </is>
      </c>
      <c r="B849" s="1" t="n">
        <v>44646</v>
      </c>
      <c r="C849" s="1" t="n">
        <v>45844</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45844</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13490-2022</t>
        </is>
      </c>
      <c r="B851" s="1" t="n">
        <v>44646</v>
      </c>
      <c r="C851" s="1" t="n">
        <v>45844</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13765-2022</t>
        </is>
      </c>
      <c r="B852" s="1" t="n">
        <v>44649</v>
      </c>
      <c r="C852" s="1" t="n">
        <v>45844</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14038-2022</t>
        </is>
      </c>
      <c r="B853" s="1" t="n">
        <v>44650</v>
      </c>
      <c r="C853" s="1" t="n">
        <v>45844</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14212-2022</t>
        </is>
      </c>
      <c r="B854" s="1" t="n">
        <v>44651</v>
      </c>
      <c r="C854" s="1" t="n">
        <v>45844</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14529-2022</t>
        </is>
      </c>
      <c r="B855" s="1" t="n">
        <v>44655</v>
      </c>
      <c r="C855" s="1" t="n">
        <v>45844</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15379-2022</t>
        </is>
      </c>
      <c r="B856" s="1" t="n">
        <v>44659</v>
      </c>
      <c r="C856" s="1" t="n">
        <v>45844</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16207-2022</t>
        </is>
      </c>
      <c r="B857" s="1" t="n">
        <v>44669</v>
      </c>
      <c r="C857" s="1" t="n">
        <v>45844</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16587-2022</t>
        </is>
      </c>
      <c r="B858" s="1" t="n">
        <v>44672</v>
      </c>
      <c r="C858" s="1" t="n">
        <v>45844</v>
      </c>
      <c r="D858" t="inlineStr">
        <is>
          <t>KALMAR LÄN</t>
        </is>
      </c>
      <c r="E858" t="inlineStr">
        <is>
          <t>VÄSTERVIK</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16586-2022</t>
        </is>
      </c>
      <c r="B859" s="1" t="n">
        <v>44672</v>
      </c>
      <c r="C859" s="1" t="n">
        <v>45844</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16765-2022</t>
        </is>
      </c>
      <c r="B860" s="1" t="n">
        <v>44673</v>
      </c>
      <c r="C860" s="1" t="n">
        <v>45844</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17953-2022</t>
        </is>
      </c>
      <c r="B861" s="1" t="n">
        <v>44683</v>
      </c>
      <c r="C861" s="1" t="n">
        <v>45844</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17954-2022</t>
        </is>
      </c>
      <c r="B862" s="1" t="n">
        <v>44683</v>
      </c>
      <c r="C862" s="1" t="n">
        <v>45844</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19648-2022</t>
        </is>
      </c>
      <c r="B863" s="1" t="n">
        <v>44694</v>
      </c>
      <c r="C863" s="1" t="n">
        <v>45844</v>
      </c>
      <c r="D863" t="inlineStr">
        <is>
          <t>KALMAR LÄN</t>
        </is>
      </c>
      <c r="E863" t="inlineStr">
        <is>
          <t>VÄSTERVIK</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19656-2022</t>
        </is>
      </c>
      <c r="B864" s="1" t="n">
        <v>44694</v>
      </c>
      <c r="C864" s="1" t="n">
        <v>45844</v>
      </c>
      <c r="D864" t="inlineStr">
        <is>
          <t>KALMAR LÄN</t>
        </is>
      </c>
      <c r="E864" t="inlineStr">
        <is>
          <t>VÄSTERVIK</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19653-2022</t>
        </is>
      </c>
      <c r="B865" s="1" t="n">
        <v>44694</v>
      </c>
      <c r="C865" s="1" t="n">
        <v>45844</v>
      </c>
      <c r="D865" t="inlineStr">
        <is>
          <t>KALMAR LÄN</t>
        </is>
      </c>
      <c r="E865" t="inlineStr">
        <is>
          <t>VÄSTERVIK</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23167-2022</t>
        </is>
      </c>
      <c r="B866" s="1" t="n">
        <v>44719</v>
      </c>
      <c r="C866" s="1" t="n">
        <v>45844</v>
      </c>
      <c r="D866" t="inlineStr">
        <is>
          <t>KALMAR LÄN</t>
        </is>
      </c>
      <c r="E866" t="inlineStr">
        <is>
          <t>VÄSTERVIK</t>
        </is>
      </c>
      <c r="G866" t="n">
        <v>0.6</v>
      </c>
      <c r="H866" t="n">
        <v>0</v>
      </c>
      <c r="I866" t="n">
        <v>0</v>
      </c>
      <c r="J866" t="n">
        <v>0</v>
      </c>
      <c r="K866" t="n">
        <v>0</v>
      </c>
      <c r="L866" t="n">
        <v>0</v>
      </c>
      <c r="M866" t="n">
        <v>0</v>
      </c>
      <c r="N866" t="n">
        <v>0</v>
      </c>
      <c r="O866" t="n">
        <v>0</v>
      </c>
      <c r="P866" t="n">
        <v>0</v>
      </c>
      <c r="Q866" t="n">
        <v>0</v>
      </c>
      <c r="R866" s="2" t="inlineStr"/>
    </row>
    <row r="867" ht="15" customHeight="1">
      <c r="A867" t="inlineStr">
        <is>
          <t>A 23411-2022</t>
        </is>
      </c>
      <c r="B867" s="1" t="n">
        <v>44720</v>
      </c>
      <c r="C867" s="1" t="n">
        <v>45844</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23589-2022</t>
        </is>
      </c>
      <c r="B868" s="1" t="n">
        <v>44721</v>
      </c>
      <c r="C868" s="1" t="n">
        <v>45844</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23743-2022</t>
        </is>
      </c>
      <c r="B869" s="1" t="n">
        <v>44722</v>
      </c>
      <c r="C869" s="1" t="n">
        <v>45844</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24040-2022</t>
        </is>
      </c>
      <c r="B870" s="1" t="n">
        <v>44724</v>
      </c>
      <c r="C870" s="1" t="n">
        <v>45844</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24830-2022</t>
        </is>
      </c>
      <c r="B871" s="1" t="n">
        <v>44728</v>
      </c>
      <c r="C871" s="1" t="n">
        <v>45844</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24829-2022</t>
        </is>
      </c>
      <c r="B872" s="1" t="n">
        <v>44728</v>
      </c>
      <c r="C872" s="1" t="n">
        <v>45844</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26059-2022</t>
        </is>
      </c>
      <c r="B873" s="1" t="n">
        <v>44734</v>
      </c>
      <c r="C873" s="1" t="n">
        <v>45844</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27552-2022</t>
        </is>
      </c>
      <c r="B874" s="1" t="n">
        <v>44742</v>
      </c>
      <c r="C874" s="1" t="n">
        <v>45844</v>
      </c>
      <c r="D874" t="inlineStr">
        <is>
          <t>KALMAR LÄN</t>
        </is>
      </c>
      <c r="E874" t="inlineStr">
        <is>
          <t>VÄSTERVIK</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28426-2022</t>
        </is>
      </c>
      <c r="B875" s="1" t="n">
        <v>44747</v>
      </c>
      <c r="C875" s="1" t="n">
        <v>45844</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28588-2022</t>
        </is>
      </c>
      <c r="B876" s="1" t="n">
        <v>44748</v>
      </c>
      <c r="C876" s="1" t="n">
        <v>45844</v>
      </c>
      <c r="D876" t="inlineStr">
        <is>
          <t>KALMAR LÄN</t>
        </is>
      </c>
      <c r="E876" t="inlineStr">
        <is>
          <t>VÄSTERVIK</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28679-2022</t>
        </is>
      </c>
      <c r="B877" s="1" t="n">
        <v>44748</v>
      </c>
      <c r="C877" s="1" t="n">
        <v>45844</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28798-2022</t>
        </is>
      </c>
      <c r="B878" s="1" t="n">
        <v>44749</v>
      </c>
      <c r="C878" s="1" t="n">
        <v>45844</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29816-2022</t>
        </is>
      </c>
      <c r="B879" s="1" t="n">
        <v>44755</v>
      </c>
      <c r="C879" s="1" t="n">
        <v>45844</v>
      </c>
      <c r="D879" t="inlineStr">
        <is>
          <t>KALMAR LÄN</t>
        </is>
      </c>
      <c r="E879" t="inlineStr">
        <is>
          <t>VÄSTERVIK</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29909-2022</t>
        </is>
      </c>
      <c r="B880" s="1" t="n">
        <v>44756</v>
      </c>
      <c r="C880" s="1" t="n">
        <v>45844</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v>
      </c>
      <c r="C881" s="1" t="n">
        <v>45844</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30186-2022</t>
        </is>
      </c>
      <c r="B882" s="1" t="n">
        <v>44757</v>
      </c>
      <c r="C882" s="1" t="n">
        <v>45844</v>
      </c>
      <c r="D882" t="inlineStr">
        <is>
          <t>KALMAR LÄN</t>
        </is>
      </c>
      <c r="E882" t="inlineStr">
        <is>
          <t>VÄSTERVIK</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31825-2022</t>
        </is>
      </c>
      <c r="B883" s="1" t="n">
        <v>44776</v>
      </c>
      <c r="C883" s="1" t="n">
        <v>45844</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32104-2022</t>
        </is>
      </c>
      <c r="B884" s="1" t="n">
        <v>44778</v>
      </c>
      <c r="C884" s="1" t="n">
        <v>45844</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32702-2022</t>
        </is>
      </c>
      <c r="B885" s="1" t="n">
        <v>44783</v>
      </c>
      <c r="C885" s="1" t="n">
        <v>45844</v>
      </c>
      <c r="D885" t="inlineStr">
        <is>
          <t>KALMAR LÄN</t>
        </is>
      </c>
      <c r="E885" t="inlineStr">
        <is>
          <t>VÄSTERVIK</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32763-2022</t>
        </is>
      </c>
      <c r="B886" s="1" t="n">
        <v>44783</v>
      </c>
      <c r="C886" s="1" t="n">
        <v>45844</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32764-2022</t>
        </is>
      </c>
      <c r="B887" s="1" t="n">
        <v>44783</v>
      </c>
      <c r="C887" s="1" t="n">
        <v>45844</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32934-2022</t>
        </is>
      </c>
      <c r="B888" s="1" t="n">
        <v>44784</v>
      </c>
      <c r="C888" s="1" t="n">
        <v>45844</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33206-2022</t>
        </is>
      </c>
      <c r="B889" s="1" t="n">
        <v>44785</v>
      </c>
      <c r="C889" s="1" t="n">
        <v>45844</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33204-2022</t>
        </is>
      </c>
      <c r="B890" s="1" t="n">
        <v>44785</v>
      </c>
      <c r="C890" s="1" t="n">
        <v>45844</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33208-2022</t>
        </is>
      </c>
      <c r="B891" s="1" t="n">
        <v>44785</v>
      </c>
      <c r="C891" s="1" t="n">
        <v>45844</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33210-2022</t>
        </is>
      </c>
      <c r="B892" s="1" t="n">
        <v>44785</v>
      </c>
      <c r="C892" s="1" t="n">
        <v>45844</v>
      </c>
      <c r="D892" t="inlineStr">
        <is>
          <t>KALMAR LÄN</t>
        </is>
      </c>
      <c r="E892" t="inlineStr">
        <is>
          <t>VÄSTERVIK</t>
        </is>
      </c>
      <c r="G892" t="n">
        <v>3.2</v>
      </c>
      <c r="H892" t="n">
        <v>0</v>
      </c>
      <c r="I892" t="n">
        <v>0</v>
      </c>
      <c r="J892" t="n">
        <v>0</v>
      </c>
      <c r="K892" t="n">
        <v>0</v>
      </c>
      <c r="L892" t="n">
        <v>0</v>
      </c>
      <c r="M892" t="n">
        <v>0</v>
      </c>
      <c r="N892" t="n">
        <v>0</v>
      </c>
      <c r="O892" t="n">
        <v>0</v>
      </c>
      <c r="P892" t="n">
        <v>0</v>
      </c>
      <c r="Q892" t="n">
        <v>0</v>
      </c>
      <c r="R892" s="2" t="inlineStr"/>
    </row>
    <row r="893" ht="15" customHeight="1">
      <c r="A893" t="inlineStr">
        <is>
          <t>A 33207-2022</t>
        </is>
      </c>
      <c r="B893" s="1" t="n">
        <v>44785</v>
      </c>
      <c r="C893" s="1" t="n">
        <v>45844</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33211-2022</t>
        </is>
      </c>
      <c r="B894" s="1" t="n">
        <v>44785</v>
      </c>
      <c r="C894" s="1" t="n">
        <v>45844</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34241-2022</t>
        </is>
      </c>
      <c r="B895" s="1" t="n">
        <v>44791</v>
      </c>
      <c r="C895" s="1" t="n">
        <v>45844</v>
      </c>
      <c r="D895" t="inlineStr">
        <is>
          <t>KALMAR LÄN</t>
        </is>
      </c>
      <c r="E895" t="inlineStr">
        <is>
          <t>VÄSTERVIK</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34644-2022</t>
        </is>
      </c>
      <c r="B896" s="1" t="n">
        <v>44795</v>
      </c>
      <c r="C896" s="1" t="n">
        <v>45844</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34675-2022</t>
        </is>
      </c>
      <c r="B897" s="1" t="n">
        <v>44795</v>
      </c>
      <c r="C897" s="1" t="n">
        <v>45844</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34672-2022</t>
        </is>
      </c>
      <c r="B898" s="1" t="n">
        <v>44795</v>
      </c>
      <c r="C898" s="1" t="n">
        <v>45844</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34836-2022</t>
        </is>
      </c>
      <c r="B899" s="1" t="n">
        <v>44796</v>
      </c>
      <c r="C899" s="1" t="n">
        <v>45844</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45844</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37936-2022</t>
        </is>
      </c>
      <c r="B901" s="1" t="n">
        <v>44811</v>
      </c>
      <c r="C901" s="1" t="n">
        <v>45844</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38069-2022</t>
        </is>
      </c>
      <c r="B902" s="1" t="n">
        <v>44811</v>
      </c>
      <c r="C902" s="1" t="n">
        <v>45844</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38399-2022</t>
        </is>
      </c>
      <c r="B903" s="1" t="n">
        <v>44812</v>
      </c>
      <c r="C903" s="1" t="n">
        <v>45844</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45844</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40050-2022</t>
        </is>
      </c>
      <c r="B905" s="1" t="n">
        <v>44820</v>
      </c>
      <c r="C905" s="1" t="n">
        <v>45844</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40925-2022</t>
        </is>
      </c>
      <c r="B906" s="1" t="n">
        <v>44825</v>
      </c>
      <c r="C906" s="1" t="n">
        <v>45844</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40920-2022</t>
        </is>
      </c>
      <c r="B907" s="1" t="n">
        <v>44825</v>
      </c>
      <c r="C907" s="1" t="n">
        <v>45844</v>
      </c>
      <c r="D907" t="inlineStr">
        <is>
          <t>KALMAR LÄN</t>
        </is>
      </c>
      <c r="E907" t="inlineStr">
        <is>
          <t>VÄSTERVIK</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42122-2022</t>
        </is>
      </c>
      <c r="B908" s="1" t="n">
        <v>44830</v>
      </c>
      <c r="C908" s="1" t="n">
        <v>45844</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42130-2022</t>
        </is>
      </c>
      <c r="B909" s="1" t="n">
        <v>44830</v>
      </c>
      <c r="C909" s="1" t="n">
        <v>45844</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42119-2022</t>
        </is>
      </c>
      <c r="B910" s="1" t="n">
        <v>44830</v>
      </c>
      <c r="C910" s="1" t="n">
        <v>45844</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43965-2022</t>
        </is>
      </c>
      <c r="B911" s="1" t="n">
        <v>44838</v>
      </c>
      <c r="C911" s="1" t="n">
        <v>45844</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45721-2022</t>
        </is>
      </c>
      <c r="B912" s="1" t="n">
        <v>44845</v>
      </c>
      <c r="C912" s="1" t="n">
        <v>45844</v>
      </c>
      <c r="D912" t="inlineStr">
        <is>
          <t>KALMAR LÄN</t>
        </is>
      </c>
      <c r="E912" t="inlineStr">
        <is>
          <t>VÄSTERVIK</t>
        </is>
      </c>
      <c r="F912" t="inlineStr">
        <is>
          <t>Holmen skog AB</t>
        </is>
      </c>
      <c r="G912" t="n">
        <v>3.3</v>
      </c>
      <c r="H912" t="n">
        <v>0</v>
      </c>
      <c r="I912" t="n">
        <v>0</v>
      </c>
      <c r="J912" t="n">
        <v>0</v>
      </c>
      <c r="K912" t="n">
        <v>0</v>
      </c>
      <c r="L912" t="n">
        <v>0</v>
      </c>
      <c r="M912" t="n">
        <v>0</v>
      </c>
      <c r="N912" t="n">
        <v>0</v>
      </c>
      <c r="O912" t="n">
        <v>0</v>
      </c>
      <c r="P912" t="n">
        <v>0</v>
      </c>
      <c r="Q912" t="n">
        <v>0</v>
      </c>
      <c r="R912" s="2" t="inlineStr"/>
      <c r="U912">
        <f>HYPERLINK("https://klasma.github.io/Logging_0883/knärot/A 45721-2022 karta knärot.png", "A 45721-2022")</f>
        <v/>
      </c>
      <c r="V912">
        <f>HYPERLINK("https://klasma.github.io/Logging_0883/klagomål/A 45721-2022 FSC-klagomål.docx", "A 45721-2022")</f>
        <v/>
      </c>
      <c r="W912">
        <f>HYPERLINK("https://klasma.github.io/Logging_0883/klagomålsmail/A 45721-2022 FSC-klagomål mail.docx", "A 45721-2022")</f>
        <v/>
      </c>
      <c r="X912">
        <f>HYPERLINK("https://klasma.github.io/Logging_0883/tillsyn/A 45721-2022 tillsynsbegäran.docx", "A 45721-2022")</f>
        <v/>
      </c>
      <c r="Y912">
        <f>HYPERLINK("https://klasma.github.io/Logging_0883/tillsynsmail/A 45721-2022 tillsynsbegäran mail.docx", "A 45721-2022")</f>
        <v/>
      </c>
    </row>
    <row r="913" ht="15" customHeight="1">
      <c r="A913" t="inlineStr">
        <is>
          <t>A 45806-2022</t>
        </is>
      </c>
      <c r="B913" s="1" t="n">
        <v>44846</v>
      </c>
      <c r="C913" s="1" t="n">
        <v>45844</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46018-2022</t>
        </is>
      </c>
      <c r="B914" s="1" t="n">
        <v>44846</v>
      </c>
      <c r="C914" s="1" t="n">
        <v>45844</v>
      </c>
      <c r="D914" t="inlineStr">
        <is>
          <t>KALMAR LÄN</t>
        </is>
      </c>
      <c r="E914" t="inlineStr">
        <is>
          <t>VÄSTERVIK</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46267-2022</t>
        </is>
      </c>
      <c r="B915" s="1" t="n">
        <v>44847</v>
      </c>
      <c r="C915" s="1" t="n">
        <v>45844</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46135-2022</t>
        </is>
      </c>
      <c r="B916" s="1" t="n">
        <v>44847</v>
      </c>
      <c r="C916" s="1" t="n">
        <v>45844</v>
      </c>
      <c r="D916" t="inlineStr">
        <is>
          <t>KALMAR LÄN</t>
        </is>
      </c>
      <c r="E916" t="inlineStr">
        <is>
          <t>VÄSTERVIK</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46354-2022</t>
        </is>
      </c>
      <c r="B917" s="1" t="n">
        <v>44848</v>
      </c>
      <c r="C917" s="1" t="n">
        <v>45844</v>
      </c>
      <c r="D917" t="inlineStr">
        <is>
          <t>KALMAR LÄN</t>
        </is>
      </c>
      <c r="E917" t="inlineStr">
        <is>
          <t>VÄSTERVIK</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46527-2022</t>
        </is>
      </c>
      <c r="B918" s="1" t="n">
        <v>44848</v>
      </c>
      <c r="C918" s="1" t="n">
        <v>45844</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46560-2022</t>
        </is>
      </c>
      <c r="B919" s="1" t="n">
        <v>44848</v>
      </c>
      <c r="C919" s="1" t="n">
        <v>45844</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46561-2022</t>
        </is>
      </c>
      <c r="B920" s="1" t="n">
        <v>44848</v>
      </c>
      <c r="C920" s="1" t="n">
        <v>45844</v>
      </c>
      <c r="D920" t="inlineStr">
        <is>
          <t>KALMAR LÄN</t>
        </is>
      </c>
      <c r="E920" t="inlineStr">
        <is>
          <t>VÄSTERVIK</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v>
      </c>
      <c r="C921" s="1" t="n">
        <v>45844</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46562-2022</t>
        </is>
      </c>
      <c r="B922" s="1" t="n">
        <v>44848</v>
      </c>
      <c r="C922" s="1" t="n">
        <v>45844</v>
      </c>
      <c r="D922" t="inlineStr">
        <is>
          <t>KALMAR LÄN</t>
        </is>
      </c>
      <c r="E922" t="inlineStr">
        <is>
          <t>VÄSTERVIK</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46781-2022</t>
        </is>
      </c>
      <c r="B923" s="1" t="n">
        <v>44851</v>
      </c>
      <c r="C923" s="1" t="n">
        <v>45844</v>
      </c>
      <c r="D923" t="inlineStr">
        <is>
          <t>KALMAR LÄN</t>
        </is>
      </c>
      <c r="E923" t="inlineStr">
        <is>
          <t>VÄSTERVIK</t>
        </is>
      </c>
      <c r="G923" t="n">
        <v>13.2</v>
      </c>
      <c r="H923" t="n">
        <v>0</v>
      </c>
      <c r="I923" t="n">
        <v>0</v>
      </c>
      <c r="J923" t="n">
        <v>0</v>
      </c>
      <c r="K923" t="n">
        <v>0</v>
      </c>
      <c r="L923" t="n">
        <v>0</v>
      </c>
      <c r="M923" t="n">
        <v>0</v>
      </c>
      <c r="N923" t="n">
        <v>0</v>
      </c>
      <c r="O923" t="n">
        <v>0</v>
      </c>
      <c r="P923" t="n">
        <v>0</v>
      </c>
      <c r="Q923" t="n">
        <v>0</v>
      </c>
      <c r="R923" s="2" t="inlineStr"/>
    </row>
    <row r="924" ht="15" customHeight="1">
      <c r="A924" t="inlineStr">
        <is>
          <t>A 46783-2022</t>
        </is>
      </c>
      <c r="B924" s="1" t="n">
        <v>44851</v>
      </c>
      <c r="C924" s="1" t="n">
        <v>45844</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46790-2022</t>
        </is>
      </c>
      <c r="B925" s="1" t="n">
        <v>44851</v>
      </c>
      <c r="C925" s="1" t="n">
        <v>45844</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47323-2022</t>
        </is>
      </c>
      <c r="B926" s="1" t="n">
        <v>44853</v>
      </c>
      <c r="C926" s="1" t="n">
        <v>45844</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47325-2022</t>
        </is>
      </c>
      <c r="B927" s="1" t="n">
        <v>44853</v>
      </c>
      <c r="C927" s="1" t="n">
        <v>45844</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47705-2022</t>
        </is>
      </c>
      <c r="B928" s="1" t="n">
        <v>44854</v>
      </c>
      <c r="C928" s="1" t="n">
        <v>45844</v>
      </c>
      <c r="D928" t="inlineStr">
        <is>
          <t>KALMAR LÄN</t>
        </is>
      </c>
      <c r="E928" t="inlineStr">
        <is>
          <t>VÄSTERVIK</t>
        </is>
      </c>
      <c r="G928" t="n">
        <v>2.3</v>
      </c>
      <c r="H928" t="n">
        <v>0</v>
      </c>
      <c r="I928" t="n">
        <v>0</v>
      </c>
      <c r="J928" t="n">
        <v>0</v>
      </c>
      <c r="K928" t="n">
        <v>0</v>
      </c>
      <c r="L928" t="n">
        <v>0</v>
      </c>
      <c r="M928" t="n">
        <v>0</v>
      </c>
      <c r="N928" t="n">
        <v>0</v>
      </c>
      <c r="O928" t="n">
        <v>0</v>
      </c>
      <c r="P928" t="n">
        <v>0</v>
      </c>
      <c r="Q928" t="n">
        <v>0</v>
      </c>
      <c r="R928" s="2" t="inlineStr"/>
    </row>
    <row r="929" ht="15" customHeight="1">
      <c r="A929" t="inlineStr">
        <is>
          <t>A 49276-2022</t>
        </is>
      </c>
      <c r="B929" s="1" t="n">
        <v>44858</v>
      </c>
      <c r="C929" s="1" t="n">
        <v>45844</v>
      </c>
      <c r="D929" t="inlineStr">
        <is>
          <t>KALMAR LÄN</t>
        </is>
      </c>
      <c r="E929" t="inlineStr">
        <is>
          <t>VÄSTERVIK</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48553-2022</t>
        </is>
      </c>
      <c r="B930" s="1" t="n">
        <v>44859</v>
      </c>
      <c r="C930" s="1" t="n">
        <v>45844</v>
      </c>
      <c r="D930" t="inlineStr">
        <is>
          <t>KALMAR LÄN</t>
        </is>
      </c>
      <c r="E930" t="inlineStr">
        <is>
          <t>VÄSTERVIK</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48888-2022</t>
        </is>
      </c>
      <c r="B931" s="1" t="n">
        <v>44859</v>
      </c>
      <c r="C931" s="1" t="n">
        <v>45844</v>
      </c>
      <c r="D931" t="inlineStr">
        <is>
          <t>KALMAR LÄN</t>
        </is>
      </c>
      <c r="E931" t="inlineStr">
        <is>
          <t>VÄSTERVIK</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49205-2022</t>
        </is>
      </c>
      <c r="B932" s="1" t="n">
        <v>44860</v>
      </c>
      <c r="C932" s="1" t="n">
        <v>45844</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50253-2022</t>
        </is>
      </c>
      <c r="B933" s="1" t="n">
        <v>44860</v>
      </c>
      <c r="C933" s="1" t="n">
        <v>45844</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49286-2022</t>
        </is>
      </c>
      <c r="B934" s="1" t="n">
        <v>44861</v>
      </c>
      <c r="C934" s="1" t="n">
        <v>45844</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49377-2022</t>
        </is>
      </c>
      <c r="B935" s="1" t="n">
        <v>44861</v>
      </c>
      <c r="C935" s="1" t="n">
        <v>45844</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49916-2022</t>
        </is>
      </c>
      <c r="B936" s="1" t="n">
        <v>44865</v>
      </c>
      <c r="C936" s="1" t="n">
        <v>45844</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50691-2022</t>
        </is>
      </c>
      <c r="B937" s="1" t="n">
        <v>44867</v>
      </c>
      <c r="C937" s="1" t="n">
        <v>45844</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50911-2022</t>
        </is>
      </c>
      <c r="B938" s="1" t="n">
        <v>44867</v>
      </c>
      <c r="C938" s="1" t="n">
        <v>45844</v>
      </c>
      <c r="D938" t="inlineStr">
        <is>
          <t>KALMAR LÄN</t>
        </is>
      </c>
      <c r="E938" t="inlineStr">
        <is>
          <t>VÄSTERVIK</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50990-2022</t>
        </is>
      </c>
      <c r="B939" s="1" t="n">
        <v>44867</v>
      </c>
      <c r="C939" s="1" t="n">
        <v>45844</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52289-2022</t>
        </is>
      </c>
      <c r="B940" s="1" t="n">
        <v>44873</v>
      </c>
      <c r="C940" s="1" t="n">
        <v>45844</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53108-2022</t>
        </is>
      </c>
      <c r="B941" s="1" t="n">
        <v>44876</v>
      </c>
      <c r="C941" s="1" t="n">
        <v>45844</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53333-2022</t>
        </is>
      </c>
      <c r="B942" s="1" t="n">
        <v>44879</v>
      </c>
      <c r="C942" s="1" t="n">
        <v>45844</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54190-2022</t>
        </is>
      </c>
      <c r="B943" s="1" t="n">
        <v>44881</v>
      </c>
      <c r="C943" s="1" t="n">
        <v>45844</v>
      </c>
      <c r="D943" t="inlineStr">
        <is>
          <t>KALMAR LÄN</t>
        </is>
      </c>
      <c r="E943" t="inlineStr">
        <is>
          <t>VÄSTERVIK</t>
        </is>
      </c>
      <c r="G943" t="n">
        <v>7.4</v>
      </c>
      <c r="H943" t="n">
        <v>0</v>
      </c>
      <c r="I943" t="n">
        <v>0</v>
      </c>
      <c r="J943" t="n">
        <v>0</v>
      </c>
      <c r="K943" t="n">
        <v>0</v>
      </c>
      <c r="L943" t="n">
        <v>0</v>
      </c>
      <c r="M943" t="n">
        <v>0</v>
      </c>
      <c r="N943" t="n">
        <v>0</v>
      </c>
      <c r="O943" t="n">
        <v>0</v>
      </c>
      <c r="P943" t="n">
        <v>0</v>
      </c>
      <c r="Q943" t="n">
        <v>0</v>
      </c>
      <c r="R943" s="2" t="inlineStr"/>
    </row>
    <row r="944" ht="15" customHeight="1">
      <c r="A944" t="inlineStr">
        <is>
          <t>A 55382-2022</t>
        </is>
      </c>
      <c r="B944" s="1" t="n">
        <v>44887</v>
      </c>
      <c r="C944" s="1" t="n">
        <v>45844</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55828-2022</t>
        </is>
      </c>
      <c r="B945" s="1" t="n">
        <v>44888</v>
      </c>
      <c r="C945" s="1" t="n">
        <v>45844</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55922-2022</t>
        </is>
      </c>
      <c r="B946" s="1" t="n">
        <v>44889</v>
      </c>
      <c r="C946" s="1" t="n">
        <v>45844</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v>
      </c>
      <c r="C947" s="1" t="n">
        <v>45844</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57023-2022</t>
        </is>
      </c>
      <c r="B948" s="1" t="n">
        <v>44895</v>
      </c>
      <c r="C948" s="1" t="n">
        <v>45844</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58927-2022</t>
        </is>
      </c>
      <c r="B949" s="1" t="n">
        <v>44896</v>
      </c>
      <c r="C949" s="1" t="n">
        <v>45844</v>
      </c>
      <c r="D949" t="inlineStr">
        <is>
          <t>KALMAR LÄN</t>
        </is>
      </c>
      <c r="E949" t="inlineStr">
        <is>
          <t>VÄSTERVIK</t>
        </is>
      </c>
      <c r="G949" t="n">
        <v>2.5</v>
      </c>
      <c r="H949" t="n">
        <v>0</v>
      </c>
      <c r="I949" t="n">
        <v>0</v>
      </c>
      <c r="J949" t="n">
        <v>0</v>
      </c>
      <c r="K949" t="n">
        <v>0</v>
      </c>
      <c r="L949" t="n">
        <v>0</v>
      </c>
      <c r="M949" t="n">
        <v>0</v>
      </c>
      <c r="N949" t="n">
        <v>0</v>
      </c>
      <c r="O949" t="n">
        <v>0</v>
      </c>
      <c r="P949" t="n">
        <v>0</v>
      </c>
      <c r="Q949" t="n">
        <v>0</v>
      </c>
      <c r="R949" s="2" t="inlineStr"/>
    </row>
    <row r="950" ht="15" customHeight="1">
      <c r="A950" t="inlineStr">
        <is>
          <t>A 57997-2022</t>
        </is>
      </c>
      <c r="B950" s="1" t="n">
        <v>44900</v>
      </c>
      <c r="C950" s="1" t="n">
        <v>45844</v>
      </c>
      <c r="D950" t="inlineStr">
        <is>
          <t>KALMAR LÄN</t>
        </is>
      </c>
      <c r="E950" t="inlineStr">
        <is>
          <t>VÄSTERVIK</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58217-2022</t>
        </is>
      </c>
      <c r="B951" s="1" t="n">
        <v>44901</v>
      </c>
      <c r="C951" s="1" t="n">
        <v>45844</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58216-2022</t>
        </is>
      </c>
      <c r="B952" s="1" t="n">
        <v>44901</v>
      </c>
      <c r="C952" s="1" t="n">
        <v>45844</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58209-2022</t>
        </is>
      </c>
      <c r="B953" s="1" t="n">
        <v>44901</v>
      </c>
      <c r="C953" s="1" t="n">
        <v>45844</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58214-2022</t>
        </is>
      </c>
      <c r="B954" s="1" t="n">
        <v>44901</v>
      </c>
      <c r="C954" s="1" t="n">
        <v>45844</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58707-2022</t>
        </is>
      </c>
      <c r="B955" s="1" t="n">
        <v>44902</v>
      </c>
      <c r="C955" s="1" t="n">
        <v>45844</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58826-2022</t>
        </is>
      </c>
      <c r="B956" s="1" t="n">
        <v>44903</v>
      </c>
      <c r="C956" s="1" t="n">
        <v>45844</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59212-2022</t>
        </is>
      </c>
      <c r="B957" s="1" t="n">
        <v>44904</v>
      </c>
      <c r="C957" s="1" t="n">
        <v>45844</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59227-2022</t>
        </is>
      </c>
      <c r="B958" s="1" t="n">
        <v>44904</v>
      </c>
      <c r="C958" s="1" t="n">
        <v>45844</v>
      </c>
      <c r="D958" t="inlineStr">
        <is>
          <t>KALMAR LÄN</t>
        </is>
      </c>
      <c r="E958" t="inlineStr">
        <is>
          <t>VÄSTERVIK</t>
        </is>
      </c>
      <c r="G958" t="n">
        <v>6</v>
      </c>
      <c r="H958" t="n">
        <v>0</v>
      </c>
      <c r="I958" t="n">
        <v>0</v>
      </c>
      <c r="J958" t="n">
        <v>0</v>
      </c>
      <c r="K958" t="n">
        <v>0</v>
      </c>
      <c r="L958" t="n">
        <v>0</v>
      </c>
      <c r="M958" t="n">
        <v>0</v>
      </c>
      <c r="N958" t="n">
        <v>0</v>
      </c>
      <c r="O958" t="n">
        <v>0</v>
      </c>
      <c r="P958" t="n">
        <v>0</v>
      </c>
      <c r="Q958" t="n">
        <v>0</v>
      </c>
      <c r="R958" s="2" t="inlineStr"/>
    </row>
    <row r="959" ht="15" customHeight="1">
      <c r="A959" t="inlineStr">
        <is>
          <t>A 59210-2022</t>
        </is>
      </c>
      <c r="B959" s="1" t="n">
        <v>44904</v>
      </c>
      <c r="C959" s="1" t="n">
        <v>45844</v>
      </c>
      <c r="D959" t="inlineStr">
        <is>
          <t>KALMAR LÄN</t>
        </is>
      </c>
      <c r="E959" t="inlineStr">
        <is>
          <t>VÄSTERVIK</t>
        </is>
      </c>
      <c r="G959" t="n">
        <v>21.2</v>
      </c>
      <c r="H959" t="n">
        <v>0</v>
      </c>
      <c r="I959" t="n">
        <v>0</v>
      </c>
      <c r="J959" t="n">
        <v>0</v>
      </c>
      <c r="K959" t="n">
        <v>0</v>
      </c>
      <c r="L959" t="n">
        <v>0</v>
      </c>
      <c r="M959" t="n">
        <v>0</v>
      </c>
      <c r="N959" t="n">
        <v>0</v>
      </c>
      <c r="O959" t="n">
        <v>0</v>
      </c>
      <c r="P959" t="n">
        <v>0</v>
      </c>
      <c r="Q959" t="n">
        <v>0</v>
      </c>
      <c r="R959" s="2" t="inlineStr"/>
    </row>
    <row r="960" ht="15" customHeight="1">
      <c r="A960" t="inlineStr">
        <is>
          <t>A 59221-2022</t>
        </is>
      </c>
      <c r="B960" s="1" t="n">
        <v>44904</v>
      </c>
      <c r="C960" s="1" t="n">
        <v>45844</v>
      </c>
      <c r="D960" t="inlineStr">
        <is>
          <t>KALMAR LÄN</t>
        </is>
      </c>
      <c r="E960" t="inlineStr">
        <is>
          <t>VÄSTERVIK</t>
        </is>
      </c>
      <c r="G960" t="n">
        <v>6.1</v>
      </c>
      <c r="H960" t="n">
        <v>0</v>
      </c>
      <c r="I960" t="n">
        <v>0</v>
      </c>
      <c r="J960" t="n">
        <v>0</v>
      </c>
      <c r="K960" t="n">
        <v>0</v>
      </c>
      <c r="L960" t="n">
        <v>0</v>
      </c>
      <c r="M960" t="n">
        <v>0</v>
      </c>
      <c r="N960" t="n">
        <v>0</v>
      </c>
      <c r="O960" t="n">
        <v>0</v>
      </c>
      <c r="P960" t="n">
        <v>0</v>
      </c>
      <c r="Q960" t="n">
        <v>0</v>
      </c>
      <c r="R960" s="2" t="inlineStr"/>
    </row>
    <row r="961" ht="15" customHeight="1">
      <c r="A961" t="inlineStr">
        <is>
          <t>A 59156-2022</t>
        </is>
      </c>
      <c r="B961" s="1" t="n">
        <v>44904</v>
      </c>
      <c r="C961" s="1" t="n">
        <v>45844</v>
      </c>
      <c r="D961" t="inlineStr">
        <is>
          <t>KALMAR LÄN</t>
        </is>
      </c>
      <c r="E961" t="inlineStr">
        <is>
          <t>VÄSTERVIK</t>
        </is>
      </c>
      <c r="G961" t="n">
        <v>9.4</v>
      </c>
      <c r="H961" t="n">
        <v>0</v>
      </c>
      <c r="I961" t="n">
        <v>0</v>
      </c>
      <c r="J961" t="n">
        <v>0</v>
      </c>
      <c r="K961" t="n">
        <v>0</v>
      </c>
      <c r="L961" t="n">
        <v>0</v>
      </c>
      <c r="M961" t="n">
        <v>0</v>
      </c>
      <c r="N961" t="n">
        <v>0</v>
      </c>
      <c r="O961" t="n">
        <v>0</v>
      </c>
      <c r="P961" t="n">
        <v>0</v>
      </c>
      <c r="Q961" t="n">
        <v>0</v>
      </c>
      <c r="R961" s="2" t="inlineStr"/>
    </row>
    <row r="962" ht="15" customHeight="1">
      <c r="A962" t="inlineStr">
        <is>
          <t>A 59170-2022</t>
        </is>
      </c>
      <c r="B962" s="1" t="n">
        <v>44904</v>
      </c>
      <c r="C962" s="1" t="n">
        <v>45844</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59202-2022</t>
        </is>
      </c>
      <c r="B963" s="1" t="n">
        <v>44904</v>
      </c>
      <c r="C963" s="1" t="n">
        <v>45844</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59220-2022</t>
        </is>
      </c>
      <c r="B964" s="1" t="n">
        <v>44904</v>
      </c>
      <c r="C964" s="1" t="n">
        <v>45844</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59498-2022</t>
        </is>
      </c>
      <c r="B965" s="1" t="n">
        <v>44907</v>
      </c>
      <c r="C965" s="1" t="n">
        <v>45844</v>
      </c>
      <c r="D965" t="inlineStr">
        <is>
          <t>KALMAR LÄN</t>
        </is>
      </c>
      <c r="E965" t="inlineStr">
        <is>
          <t>VÄSTERVIK</t>
        </is>
      </c>
      <c r="G965" t="n">
        <v>4.2</v>
      </c>
      <c r="H965" t="n">
        <v>0</v>
      </c>
      <c r="I965" t="n">
        <v>0</v>
      </c>
      <c r="J965" t="n">
        <v>0</v>
      </c>
      <c r="K965" t="n">
        <v>0</v>
      </c>
      <c r="L965" t="n">
        <v>0</v>
      </c>
      <c r="M965" t="n">
        <v>0</v>
      </c>
      <c r="N965" t="n">
        <v>0</v>
      </c>
      <c r="O965" t="n">
        <v>0</v>
      </c>
      <c r="P965" t="n">
        <v>0</v>
      </c>
      <c r="Q965" t="n">
        <v>0</v>
      </c>
      <c r="R965" s="2" t="inlineStr"/>
    </row>
    <row r="966" ht="15" customHeight="1">
      <c r="A966" t="inlineStr">
        <is>
          <t>A 59675-2022</t>
        </is>
      </c>
      <c r="B966" s="1" t="n">
        <v>44908</v>
      </c>
      <c r="C966" s="1" t="n">
        <v>45844</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45844</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60263-2022</t>
        </is>
      </c>
      <c r="B968" s="1" t="n">
        <v>44910</v>
      </c>
      <c r="C968" s="1" t="n">
        <v>45844</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60402-2022</t>
        </is>
      </c>
      <c r="B969" s="1" t="n">
        <v>44910</v>
      </c>
      <c r="C969" s="1" t="n">
        <v>45844</v>
      </c>
      <c r="D969" t="inlineStr">
        <is>
          <t>KALMAR LÄN</t>
        </is>
      </c>
      <c r="E969" t="inlineStr">
        <is>
          <t>VÄSTERVIK</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60409-2022</t>
        </is>
      </c>
      <c r="B970" s="1" t="n">
        <v>44910</v>
      </c>
      <c r="C970" s="1" t="n">
        <v>45844</v>
      </c>
      <c r="D970" t="inlineStr">
        <is>
          <t>KALMAR LÄN</t>
        </is>
      </c>
      <c r="E970" t="inlineStr">
        <is>
          <t>VÄSTERVIK</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61529-2022</t>
        </is>
      </c>
      <c r="B971" s="1" t="n">
        <v>44910</v>
      </c>
      <c r="C971" s="1" t="n">
        <v>45844</v>
      </c>
      <c r="D971" t="inlineStr">
        <is>
          <t>KALMAR LÄN</t>
        </is>
      </c>
      <c r="E971" t="inlineStr">
        <is>
          <t>VÄSTERVIK</t>
        </is>
      </c>
      <c r="G971" t="n">
        <v>6.5</v>
      </c>
      <c r="H971" t="n">
        <v>0</v>
      </c>
      <c r="I971" t="n">
        <v>0</v>
      </c>
      <c r="J971" t="n">
        <v>0</v>
      </c>
      <c r="K971" t="n">
        <v>0</v>
      </c>
      <c r="L971" t="n">
        <v>0</v>
      </c>
      <c r="M971" t="n">
        <v>0</v>
      </c>
      <c r="N971" t="n">
        <v>0</v>
      </c>
      <c r="O971" t="n">
        <v>0</v>
      </c>
      <c r="P971" t="n">
        <v>0</v>
      </c>
      <c r="Q971" t="n">
        <v>0</v>
      </c>
      <c r="R971" s="2" t="inlineStr"/>
    </row>
    <row r="972" ht="15" customHeight="1">
      <c r="A972" t="inlineStr">
        <is>
          <t>A 60710-2022</t>
        </is>
      </c>
      <c r="B972" s="1" t="n">
        <v>44912</v>
      </c>
      <c r="C972" s="1" t="n">
        <v>45844</v>
      </c>
      <c r="D972" t="inlineStr">
        <is>
          <t>KALMAR LÄN</t>
        </is>
      </c>
      <c r="E972" t="inlineStr">
        <is>
          <t>VÄSTERVIK</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60713-2022</t>
        </is>
      </c>
      <c r="B973" s="1" t="n">
        <v>44912</v>
      </c>
      <c r="C973" s="1" t="n">
        <v>45844</v>
      </c>
      <c r="D973" t="inlineStr">
        <is>
          <t>KALMAR LÄN</t>
        </is>
      </c>
      <c r="E973" t="inlineStr">
        <is>
          <t>VÄSTERVIK</t>
        </is>
      </c>
      <c r="F973" t="inlineStr">
        <is>
          <t>Övriga Aktiebolag</t>
        </is>
      </c>
      <c r="G973" t="n">
        <v>2.6</v>
      </c>
      <c r="H973" t="n">
        <v>0</v>
      </c>
      <c r="I973" t="n">
        <v>0</v>
      </c>
      <c r="J973" t="n">
        <v>0</v>
      </c>
      <c r="K973" t="n">
        <v>0</v>
      </c>
      <c r="L973" t="n">
        <v>0</v>
      </c>
      <c r="M973" t="n">
        <v>0</v>
      </c>
      <c r="N973" t="n">
        <v>0</v>
      </c>
      <c r="O973" t="n">
        <v>0</v>
      </c>
      <c r="P973" t="n">
        <v>0</v>
      </c>
      <c r="Q973" t="n">
        <v>0</v>
      </c>
      <c r="R973" s="2" t="inlineStr"/>
    </row>
    <row r="974" ht="15" customHeight="1">
      <c r="A974" t="inlineStr">
        <is>
          <t>A 60711-2022</t>
        </is>
      </c>
      <c r="B974" s="1" t="n">
        <v>44912</v>
      </c>
      <c r="C974" s="1" t="n">
        <v>45844</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v>
      </c>
      <c r="C975" s="1" t="n">
        <v>45844</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61649-2022</t>
        </is>
      </c>
      <c r="B976" s="1" t="n">
        <v>44916</v>
      </c>
      <c r="C976" s="1" t="n">
        <v>45844</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62005-2022</t>
        </is>
      </c>
      <c r="B977" s="1" t="n">
        <v>44918</v>
      </c>
      <c r="C977" s="1" t="n">
        <v>45844</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62306-2022</t>
        </is>
      </c>
      <c r="B978" s="1" t="n">
        <v>44923</v>
      </c>
      <c r="C978" s="1" t="n">
        <v>45844</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62422-2022</t>
        </is>
      </c>
      <c r="B979" s="1" t="n">
        <v>44924</v>
      </c>
      <c r="C979" s="1" t="n">
        <v>45844</v>
      </c>
      <c r="D979" t="inlineStr">
        <is>
          <t>KALMAR LÄN</t>
        </is>
      </c>
      <c r="E979" t="inlineStr">
        <is>
          <t>VÄSTERVIK</t>
        </is>
      </c>
      <c r="G979" t="n">
        <v>4.9</v>
      </c>
      <c r="H979" t="n">
        <v>0</v>
      </c>
      <c r="I979" t="n">
        <v>0</v>
      </c>
      <c r="J979" t="n">
        <v>0</v>
      </c>
      <c r="K979" t="n">
        <v>0</v>
      </c>
      <c r="L979" t="n">
        <v>0</v>
      </c>
      <c r="M979" t="n">
        <v>0</v>
      </c>
      <c r="N979" t="n">
        <v>0</v>
      </c>
      <c r="O979" t="n">
        <v>0</v>
      </c>
      <c r="P979" t="n">
        <v>0</v>
      </c>
      <c r="Q979" t="n">
        <v>0</v>
      </c>
      <c r="R979" s="2" t="inlineStr"/>
    </row>
    <row r="980" ht="15" customHeight="1">
      <c r="A980" t="inlineStr">
        <is>
          <t>A 65-2023</t>
        </is>
      </c>
      <c r="B980" s="1" t="n">
        <v>44928</v>
      </c>
      <c r="C980" s="1" t="n">
        <v>45844</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352-2023</t>
        </is>
      </c>
      <c r="B981" s="1" t="n">
        <v>44929</v>
      </c>
      <c r="C981" s="1" t="n">
        <v>45844</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351-2023</t>
        </is>
      </c>
      <c r="B982" s="1" t="n">
        <v>44929</v>
      </c>
      <c r="C982" s="1" t="n">
        <v>45844</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562-2023</t>
        </is>
      </c>
      <c r="B983" s="1" t="n">
        <v>44930</v>
      </c>
      <c r="C983" s="1" t="n">
        <v>45844</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740-2023</t>
        </is>
      </c>
      <c r="B984" s="1" t="n">
        <v>44931</v>
      </c>
      <c r="C984" s="1" t="n">
        <v>45844</v>
      </c>
      <c r="D984" t="inlineStr">
        <is>
          <t>KALMAR LÄN</t>
        </is>
      </c>
      <c r="E984" t="inlineStr">
        <is>
          <t>VÄSTERVIK</t>
        </is>
      </c>
      <c r="G984" t="n">
        <v>9.6</v>
      </c>
      <c r="H984" t="n">
        <v>0</v>
      </c>
      <c r="I984" t="n">
        <v>0</v>
      </c>
      <c r="J984" t="n">
        <v>0</v>
      </c>
      <c r="K984" t="n">
        <v>0</v>
      </c>
      <c r="L984" t="n">
        <v>0</v>
      </c>
      <c r="M984" t="n">
        <v>0</v>
      </c>
      <c r="N984" t="n">
        <v>0</v>
      </c>
      <c r="O984" t="n">
        <v>0</v>
      </c>
      <c r="P984" t="n">
        <v>0</v>
      </c>
      <c r="Q984" t="n">
        <v>0</v>
      </c>
      <c r="R984" s="2" t="inlineStr"/>
    </row>
    <row r="985" ht="15" customHeight="1">
      <c r="A985" t="inlineStr">
        <is>
          <t>A 792-2023</t>
        </is>
      </c>
      <c r="B985" s="1" t="n">
        <v>44931</v>
      </c>
      <c r="C985" s="1" t="n">
        <v>45844</v>
      </c>
      <c r="D985" t="inlineStr">
        <is>
          <t>KALMAR LÄN</t>
        </is>
      </c>
      <c r="E985" t="inlineStr">
        <is>
          <t>VÄSTERVIK</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808-2023</t>
        </is>
      </c>
      <c r="B986" s="1" t="n">
        <v>44931</v>
      </c>
      <c r="C986" s="1" t="n">
        <v>45844</v>
      </c>
      <c r="D986" t="inlineStr">
        <is>
          <t>KALMAR LÄN</t>
        </is>
      </c>
      <c r="E986" t="inlineStr">
        <is>
          <t>VÄSTERVIK</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843-2023</t>
        </is>
      </c>
      <c r="B987" s="1" t="n">
        <v>44931</v>
      </c>
      <c r="C987" s="1" t="n">
        <v>45844</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1079-2023</t>
        </is>
      </c>
      <c r="B988" s="1" t="n">
        <v>44935</v>
      </c>
      <c r="C988" s="1" t="n">
        <v>45844</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1699-2023</t>
        </is>
      </c>
      <c r="B989" s="1" t="n">
        <v>44935</v>
      </c>
      <c r="C989" s="1" t="n">
        <v>45844</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1568-2023</t>
        </is>
      </c>
      <c r="B990" s="1" t="n">
        <v>44937</v>
      </c>
      <c r="C990" s="1" t="n">
        <v>45844</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1798-2023</t>
        </is>
      </c>
      <c r="B991" s="1" t="n">
        <v>44938</v>
      </c>
      <c r="C991" s="1" t="n">
        <v>45844</v>
      </c>
      <c r="D991" t="inlineStr">
        <is>
          <t>KALMAR LÄN</t>
        </is>
      </c>
      <c r="E991" t="inlineStr">
        <is>
          <t>VÄSTERVIK</t>
        </is>
      </c>
      <c r="G991" t="n">
        <v>3.9</v>
      </c>
      <c r="H991" t="n">
        <v>0</v>
      </c>
      <c r="I991" t="n">
        <v>0</v>
      </c>
      <c r="J991" t="n">
        <v>0</v>
      </c>
      <c r="K991" t="n">
        <v>0</v>
      </c>
      <c r="L991" t="n">
        <v>0</v>
      </c>
      <c r="M991" t="n">
        <v>0</v>
      </c>
      <c r="N991" t="n">
        <v>0</v>
      </c>
      <c r="O991" t="n">
        <v>0</v>
      </c>
      <c r="P991" t="n">
        <v>0</v>
      </c>
      <c r="Q991" t="n">
        <v>0</v>
      </c>
      <c r="R991" s="2" t="inlineStr"/>
    </row>
    <row r="992" ht="15" customHeight="1">
      <c r="A992" t="inlineStr">
        <is>
          <t>A 1961-2023</t>
        </is>
      </c>
      <c r="B992" s="1" t="n">
        <v>44939</v>
      </c>
      <c r="C992" s="1" t="n">
        <v>45844</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2098-2023</t>
        </is>
      </c>
      <c r="B993" s="1" t="n">
        <v>44939</v>
      </c>
      <c r="C993" s="1" t="n">
        <v>45844</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2314-2023</t>
        </is>
      </c>
      <c r="B994" s="1" t="n">
        <v>44942</v>
      </c>
      <c r="C994" s="1" t="n">
        <v>45844</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2738-2023</t>
        </is>
      </c>
      <c r="B995" s="1" t="n">
        <v>44944</v>
      </c>
      <c r="C995" s="1" t="n">
        <v>45844</v>
      </c>
      <c r="D995" t="inlineStr">
        <is>
          <t>KALMAR LÄN</t>
        </is>
      </c>
      <c r="E995" t="inlineStr">
        <is>
          <t>VÄSTERVIK</t>
        </is>
      </c>
      <c r="G995" t="n">
        <v>3</v>
      </c>
      <c r="H995" t="n">
        <v>0</v>
      </c>
      <c r="I995" t="n">
        <v>0</v>
      </c>
      <c r="J995" t="n">
        <v>0</v>
      </c>
      <c r="K995" t="n">
        <v>0</v>
      </c>
      <c r="L995" t="n">
        <v>0</v>
      </c>
      <c r="M995" t="n">
        <v>0</v>
      </c>
      <c r="N995" t="n">
        <v>0</v>
      </c>
      <c r="O995" t="n">
        <v>0</v>
      </c>
      <c r="P995" t="n">
        <v>0</v>
      </c>
      <c r="Q995" t="n">
        <v>0</v>
      </c>
      <c r="R995" s="2" t="inlineStr"/>
    </row>
    <row r="996" ht="15" customHeight="1">
      <c r="A996" t="inlineStr">
        <is>
          <t>A 2741-2023</t>
        </is>
      </c>
      <c r="B996" s="1" t="n">
        <v>44944</v>
      </c>
      <c r="C996" s="1" t="n">
        <v>45844</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2746-2023</t>
        </is>
      </c>
      <c r="B997" s="1" t="n">
        <v>44944</v>
      </c>
      <c r="C997" s="1" t="n">
        <v>45844</v>
      </c>
      <c r="D997" t="inlineStr">
        <is>
          <t>KALMAR LÄN</t>
        </is>
      </c>
      <c r="E997" t="inlineStr">
        <is>
          <t>VÄSTERVIK</t>
        </is>
      </c>
      <c r="G997" t="n">
        <v>5.5</v>
      </c>
      <c r="H997" t="n">
        <v>0</v>
      </c>
      <c r="I997" t="n">
        <v>0</v>
      </c>
      <c r="J997" t="n">
        <v>0</v>
      </c>
      <c r="K997" t="n">
        <v>0</v>
      </c>
      <c r="L997" t="n">
        <v>0</v>
      </c>
      <c r="M997" t="n">
        <v>0</v>
      </c>
      <c r="N997" t="n">
        <v>0</v>
      </c>
      <c r="O997" t="n">
        <v>0</v>
      </c>
      <c r="P997" t="n">
        <v>0</v>
      </c>
      <c r="Q997" t="n">
        <v>0</v>
      </c>
      <c r="R997" s="2" t="inlineStr"/>
    </row>
    <row r="998" ht="15" customHeight="1">
      <c r="A998" t="inlineStr">
        <is>
          <t>A 3075-2023</t>
        </is>
      </c>
      <c r="B998" s="1" t="n">
        <v>44946</v>
      </c>
      <c r="C998" s="1" t="n">
        <v>45844</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3187-2023</t>
        </is>
      </c>
      <c r="B999" s="1" t="n">
        <v>44946</v>
      </c>
      <c r="C999" s="1" t="n">
        <v>45844</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v>
      </c>
      <c r="C1000" s="1" t="n">
        <v>45844</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3190-2023</t>
        </is>
      </c>
      <c r="B1001" s="1" t="n">
        <v>44946</v>
      </c>
      <c r="C1001" s="1" t="n">
        <v>45844</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3867-2023</t>
        </is>
      </c>
      <c r="B1002" s="1" t="n">
        <v>44951</v>
      </c>
      <c r="C1002" s="1" t="n">
        <v>45844</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4508-2023</t>
        </is>
      </c>
      <c r="B1003" s="1" t="n">
        <v>44956</v>
      </c>
      <c r="C1003" s="1" t="n">
        <v>45844</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4624-2023</t>
        </is>
      </c>
      <c r="B1004" s="1" t="n">
        <v>44956</v>
      </c>
      <c r="C1004" s="1" t="n">
        <v>45844</v>
      </c>
      <c r="D1004" t="inlineStr">
        <is>
          <t>KALMAR LÄN</t>
        </is>
      </c>
      <c r="E1004" t="inlineStr">
        <is>
          <t>VÄSTERVIK</t>
        </is>
      </c>
      <c r="F1004" t="inlineStr">
        <is>
          <t>Holmen skog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4579-2023</t>
        </is>
      </c>
      <c r="B1005" s="1" t="n">
        <v>44956</v>
      </c>
      <c r="C1005" s="1" t="n">
        <v>45844</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4583-2023</t>
        </is>
      </c>
      <c r="B1006" s="1" t="n">
        <v>44956</v>
      </c>
      <c r="C1006" s="1" t="n">
        <v>45844</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4951-2023</t>
        </is>
      </c>
      <c r="B1007" s="1" t="n">
        <v>44958</v>
      </c>
      <c r="C1007" s="1" t="n">
        <v>45844</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v>
      </c>
      <c r="C1008" s="1" t="n">
        <v>45844</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6346-2023</t>
        </is>
      </c>
      <c r="B1009" s="1" t="n">
        <v>44960</v>
      </c>
      <c r="C1009" s="1" t="n">
        <v>45844</v>
      </c>
      <c r="D1009" t="inlineStr">
        <is>
          <t>KALMAR LÄN</t>
        </is>
      </c>
      <c r="E1009" t="inlineStr">
        <is>
          <t>VÄSTERVIK</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5775-2023</t>
        </is>
      </c>
      <c r="B1010" s="1" t="n">
        <v>44963</v>
      </c>
      <c r="C1010" s="1" t="n">
        <v>45844</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v>
      </c>
      <c r="C1011" s="1" t="n">
        <v>45844</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5774-2023</t>
        </is>
      </c>
      <c r="B1012" s="1" t="n">
        <v>44963</v>
      </c>
      <c r="C1012" s="1" t="n">
        <v>45844</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6042-2023</t>
        </is>
      </c>
      <c r="B1013" s="1" t="n">
        <v>44964</v>
      </c>
      <c r="C1013" s="1" t="n">
        <v>45844</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5982-2023</t>
        </is>
      </c>
      <c r="B1014" s="1" t="n">
        <v>44964</v>
      </c>
      <c r="C1014" s="1" t="n">
        <v>45844</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6126-2023</t>
        </is>
      </c>
      <c r="B1015" s="1" t="n">
        <v>44964</v>
      </c>
      <c r="C1015" s="1" t="n">
        <v>45844</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6319-2023</t>
        </is>
      </c>
      <c r="B1016" s="1" t="n">
        <v>44965</v>
      </c>
      <c r="C1016" s="1" t="n">
        <v>45844</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7126-2023</t>
        </is>
      </c>
      <c r="B1017" s="1" t="n">
        <v>44970</v>
      </c>
      <c r="C1017" s="1" t="n">
        <v>45844</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7080-2023</t>
        </is>
      </c>
      <c r="B1018" s="1" t="n">
        <v>44970</v>
      </c>
      <c r="C1018" s="1" t="n">
        <v>45844</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7098-2023</t>
        </is>
      </c>
      <c r="B1019" s="1" t="n">
        <v>44970</v>
      </c>
      <c r="C1019" s="1" t="n">
        <v>45844</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7255-2023</t>
        </is>
      </c>
      <c r="B1020" s="1" t="n">
        <v>44970</v>
      </c>
      <c r="C1020" s="1" t="n">
        <v>45844</v>
      </c>
      <c r="D1020" t="inlineStr">
        <is>
          <t>KALMAR LÄN</t>
        </is>
      </c>
      <c r="E1020" t="inlineStr">
        <is>
          <t>VÄSTERVIK</t>
        </is>
      </c>
      <c r="F1020" t="inlineStr">
        <is>
          <t>Naturvårdsverket</t>
        </is>
      </c>
      <c r="G1020" t="n">
        <v>0.6</v>
      </c>
      <c r="H1020" t="n">
        <v>0</v>
      </c>
      <c r="I1020" t="n">
        <v>0</v>
      </c>
      <c r="J1020" t="n">
        <v>0</v>
      </c>
      <c r="K1020" t="n">
        <v>0</v>
      </c>
      <c r="L1020" t="n">
        <v>0</v>
      </c>
      <c r="M1020" t="n">
        <v>0</v>
      </c>
      <c r="N1020" t="n">
        <v>0</v>
      </c>
      <c r="O1020" t="n">
        <v>0</v>
      </c>
      <c r="P1020" t="n">
        <v>0</v>
      </c>
      <c r="Q1020" t="n">
        <v>0</v>
      </c>
      <c r="R1020" s="2" t="inlineStr"/>
      <c r="U1020">
        <f>HYPERLINK("https://klasma.github.io/Logging_0883/knärot/A 7255-2023 karta knärot.png", "A 7255-2023")</f>
        <v/>
      </c>
      <c r="V1020">
        <f>HYPERLINK("https://klasma.github.io/Logging_0883/klagomål/A 7255-2023 FSC-klagomål.docx", "A 7255-2023")</f>
        <v/>
      </c>
      <c r="W1020">
        <f>HYPERLINK("https://klasma.github.io/Logging_0883/klagomålsmail/A 7255-2023 FSC-klagomål mail.docx", "A 7255-2023")</f>
        <v/>
      </c>
      <c r="X1020">
        <f>HYPERLINK("https://klasma.github.io/Logging_0883/tillsyn/A 7255-2023 tillsynsbegäran.docx", "A 7255-2023")</f>
        <v/>
      </c>
      <c r="Y1020">
        <f>HYPERLINK("https://klasma.github.io/Logging_0883/tillsynsmail/A 7255-2023 tillsynsbegäran mail.docx", "A 7255-2023")</f>
        <v/>
      </c>
    </row>
    <row r="1021" ht="15" customHeight="1">
      <c r="A1021" t="inlineStr">
        <is>
          <t>A 7100-2023</t>
        </is>
      </c>
      <c r="B1021" s="1" t="n">
        <v>44970</v>
      </c>
      <c r="C1021" s="1" t="n">
        <v>45844</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7360-2023</t>
        </is>
      </c>
      <c r="B1022" s="1" t="n">
        <v>44971</v>
      </c>
      <c r="C1022" s="1" t="n">
        <v>45844</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7779-2023</t>
        </is>
      </c>
      <c r="B1023" s="1" t="n">
        <v>44973</v>
      </c>
      <c r="C1023" s="1" t="n">
        <v>45844</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8005-2023</t>
        </is>
      </c>
      <c r="B1024" s="1" t="n">
        <v>44973</v>
      </c>
      <c r="C1024" s="1" t="n">
        <v>45844</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v>
      </c>
      <c r="C1025" s="1" t="n">
        <v>45844</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7934-2023</t>
        </is>
      </c>
      <c r="B1026" s="1" t="n">
        <v>44973</v>
      </c>
      <c r="C1026" s="1" t="n">
        <v>45844</v>
      </c>
      <c r="D1026" t="inlineStr">
        <is>
          <t>KALMAR LÄN</t>
        </is>
      </c>
      <c r="E1026" t="inlineStr">
        <is>
          <t>VÄSTERVIK</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7938-2023</t>
        </is>
      </c>
      <c r="B1027" s="1" t="n">
        <v>44973</v>
      </c>
      <c r="C1027" s="1" t="n">
        <v>45844</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8014-2023</t>
        </is>
      </c>
      <c r="B1028" s="1" t="n">
        <v>44973</v>
      </c>
      <c r="C1028" s="1" t="n">
        <v>45844</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8007-2023</t>
        </is>
      </c>
      <c r="B1029" s="1" t="n">
        <v>44973</v>
      </c>
      <c r="C1029" s="1" t="n">
        <v>45844</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8283-2023</t>
        </is>
      </c>
      <c r="B1030" s="1" t="n">
        <v>44974</v>
      </c>
      <c r="C1030" s="1" t="n">
        <v>45844</v>
      </c>
      <c r="D1030" t="inlineStr">
        <is>
          <t>KALMAR LÄN</t>
        </is>
      </c>
      <c r="E1030" t="inlineStr">
        <is>
          <t>VÄSTERVIK</t>
        </is>
      </c>
      <c r="F1030" t="inlineStr">
        <is>
          <t>Kyrkan</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8289-2023</t>
        </is>
      </c>
      <c r="B1031" s="1" t="n">
        <v>44974</v>
      </c>
      <c r="C1031" s="1" t="n">
        <v>45844</v>
      </c>
      <c r="D1031" t="inlineStr">
        <is>
          <t>KALMAR LÄN</t>
        </is>
      </c>
      <c r="E1031" t="inlineStr">
        <is>
          <t>VÄSTERVIK</t>
        </is>
      </c>
      <c r="F1031" t="inlineStr">
        <is>
          <t>Kyrkan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8456-2023</t>
        </is>
      </c>
      <c r="B1032" s="1" t="n">
        <v>44977</v>
      </c>
      <c r="C1032" s="1" t="n">
        <v>45844</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8382-2023</t>
        </is>
      </c>
      <c r="B1033" s="1" t="n">
        <v>44977</v>
      </c>
      <c r="C1033" s="1" t="n">
        <v>45844</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8440-2023</t>
        </is>
      </c>
      <c r="B1034" s="1" t="n">
        <v>44977</v>
      </c>
      <c r="C1034" s="1" t="n">
        <v>45844</v>
      </c>
      <c r="D1034" t="inlineStr">
        <is>
          <t>KALMAR LÄN</t>
        </is>
      </c>
      <c r="E1034" t="inlineStr">
        <is>
          <t>VÄSTERVIK</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8593-2023</t>
        </is>
      </c>
      <c r="B1035" s="1" t="n">
        <v>44977</v>
      </c>
      <c r="C1035" s="1" t="n">
        <v>45844</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8597-2023</t>
        </is>
      </c>
      <c r="B1036" s="1" t="n">
        <v>44977</v>
      </c>
      <c r="C1036" s="1" t="n">
        <v>45844</v>
      </c>
      <c r="D1036" t="inlineStr">
        <is>
          <t>KALMAR LÄN</t>
        </is>
      </c>
      <c r="E1036" t="inlineStr">
        <is>
          <t>VÄSTERVIK</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8594-2023</t>
        </is>
      </c>
      <c r="B1037" s="1" t="n">
        <v>44977</v>
      </c>
      <c r="C1037" s="1" t="n">
        <v>45844</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8513-2023</t>
        </is>
      </c>
      <c r="B1038" s="1" t="n">
        <v>44977</v>
      </c>
      <c r="C1038" s="1" t="n">
        <v>45844</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8561-2023</t>
        </is>
      </c>
      <c r="B1039" s="1" t="n">
        <v>44977</v>
      </c>
      <c r="C1039" s="1" t="n">
        <v>45844</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8896-2023</t>
        </is>
      </c>
      <c r="B1040" s="1" t="n">
        <v>44979</v>
      </c>
      <c r="C1040" s="1" t="n">
        <v>45844</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9037-2023</t>
        </is>
      </c>
      <c r="B1041" s="1" t="n">
        <v>44979</v>
      </c>
      <c r="C1041" s="1" t="n">
        <v>45844</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9111-2023</t>
        </is>
      </c>
      <c r="B1042" s="1" t="n">
        <v>44980</v>
      </c>
      <c r="C1042" s="1" t="n">
        <v>45844</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9042-2023</t>
        </is>
      </c>
      <c r="B1043" s="1" t="n">
        <v>44979</v>
      </c>
      <c r="C1043" s="1" t="n">
        <v>45844</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9112-2023</t>
        </is>
      </c>
      <c r="B1044" s="1" t="n">
        <v>44979</v>
      </c>
      <c r="C1044" s="1" t="n">
        <v>45844</v>
      </c>
      <c r="D1044" t="inlineStr">
        <is>
          <t>KALMAR LÄN</t>
        </is>
      </c>
      <c r="E1044" t="inlineStr">
        <is>
          <t>VÄSTERVIK</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9110-2023</t>
        </is>
      </c>
      <c r="B1045" s="1" t="n">
        <v>44979</v>
      </c>
      <c r="C1045" s="1" t="n">
        <v>45844</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9223-2023</t>
        </is>
      </c>
      <c r="B1046" s="1" t="n">
        <v>44980</v>
      </c>
      <c r="C1046" s="1" t="n">
        <v>45844</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9222-2023</t>
        </is>
      </c>
      <c r="B1047" s="1" t="n">
        <v>44980</v>
      </c>
      <c r="C1047" s="1" t="n">
        <v>45844</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9220-2023</t>
        </is>
      </c>
      <c r="B1048" s="1" t="n">
        <v>44980</v>
      </c>
      <c r="C1048" s="1" t="n">
        <v>45844</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9631-2023</t>
        </is>
      </c>
      <c r="B1049" s="1" t="n">
        <v>44984</v>
      </c>
      <c r="C1049" s="1" t="n">
        <v>45844</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9771-2023</t>
        </is>
      </c>
      <c r="B1050" s="1" t="n">
        <v>44984</v>
      </c>
      <c r="C1050" s="1" t="n">
        <v>45844</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45844</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9792-2023</t>
        </is>
      </c>
      <c r="B1052" s="1" t="n">
        <v>44984</v>
      </c>
      <c r="C1052" s="1" t="n">
        <v>45844</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45844</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10421-2023</t>
        </is>
      </c>
      <c r="B1054" s="1" t="n">
        <v>44987</v>
      </c>
      <c r="C1054" s="1" t="n">
        <v>45844</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10665-2023</t>
        </is>
      </c>
      <c r="B1055" s="1" t="n">
        <v>44988</v>
      </c>
      <c r="C1055" s="1" t="n">
        <v>45844</v>
      </c>
      <c r="D1055" t="inlineStr">
        <is>
          <t>KALMAR LÄN</t>
        </is>
      </c>
      <c r="E1055" t="inlineStr">
        <is>
          <t>VÄSTERVIK</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10725-2023</t>
        </is>
      </c>
      <c r="B1056" s="1" t="n">
        <v>44988</v>
      </c>
      <c r="C1056" s="1" t="n">
        <v>45844</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v>
      </c>
      <c r="C1057" s="1" t="n">
        <v>45844</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10801-2023</t>
        </is>
      </c>
      <c r="B1058" s="1" t="n">
        <v>44989</v>
      </c>
      <c r="C1058" s="1" t="n">
        <v>45844</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11210-2023</t>
        </is>
      </c>
      <c r="B1059" s="1" t="n">
        <v>44992</v>
      </c>
      <c r="C1059" s="1" t="n">
        <v>45844</v>
      </c>
      <c r="D1059" t="inlineStr">
        <is>
          <t>KALMAR LÄN</t>
        </is>
      </c>
      <c r="E1059" t="inlineStr">
        <is>
          <t>VÄSTERVIK</t>
        </is>
      </c>
      <c r="F1059" t="inlineStr">
        <is>
          <t>Holmen skog AB</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11276-2023</t>
        </is>
      </c>
      <c r="B1060" s="1" t="n">
        <v>44992</v>
      </c>
      <c r="C1060" s="1" t="n">
        <v>45844</v>
      </c>
      <c r="D1060" t="inlineStr">
        <is>
          <t>KALMAR LÄN</t>
        </is>
      </c>
      <c r="E1060" t="inlineStr">
        <is>
          <t>VÄSTERVIK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11577-2023</t>
        </is>
      </c>
      <c r="B1061" s="1" t="n">
        <v>44994</v>
      </c>
      <c r="C1061" s="1" t="n">
        <v>45844</v>
      </c>
      <c r="D1061" t="inlineStr">
        <is>
          <t>KALMAR LÄN</t>
        </is>
      </c>
      <c r="E1061" t="inlineStr">
        <is>
          <t>VÄSTERVIK</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11583-2023</t>
        </is>
      </c>
      <c r="B1062" s="1" t="n">
        <v>44994</v>
      </c>
      <c r="C1062" s="1" t="n">
        <v>45844</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11579-2023</t>
        </is>
      </c>
      <c r="B1063" s="1" t="n">
        <v>44994</v>
      </c>
      <c r="C1063" s="1" t="n">
        <v>45844</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11584-2023</t>
        </is>
      </c>
      <c r="B1064" s="1" t="n">
        <v>44994</v>
      </c>
      <c r="C1064" s="1" t="n">
        <v>45844</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11586-2023</t>
        </is>
      </c>
      <c r="B1065" s="1" t="n">
        <v>44994</v>
      </c>
      <c r="C1065" s="1" t="n">
        <v>45844</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11804-2023</t>
        </is>
      </c>
      <c r="B1066" s="1" t="n">
        <v>44994</v>
      </c>
      <c r="C1066" s="1" t="n">
        <v>45844</v>
      </c>
      <c r="D1066" t="inlineStr">
        <is>
          <t>KALMAR LÄN</t>
        </is>
      </c>
      <c r="E1066" t="inlineStr">
        <is>
          <t>VÄSTERVIK</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11727-2023</t>
        </is>
      </c>
      <c r="B1067" s="1" t="n">
        <v>44994</v>
      </c>
      <c r="C1067" s="1" t="n">
        <v>45844</v>
      </c>
      <c r="D1067" t="inlineStr">
        <is>
          <t>KALMAR LÄN</t>
        </is>
      </c>
      <c r="E1067" t="inlineStr">
        <is>
          <t>VÄSTERVIK</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11741-2023</t>
        </is>
      </c>
      <c r="B1068" s="1" t="n">
        <v>44994</v>
      </c>
      <c r="C1068" s="1" t="n">
        <v>45844</v>
      </c>
      <c r="D1068" t="inlineStr">
        <is>
          <t>KALMAR LÄN</t>
        </is>
      </c>
      <c r="E1068" t="inlineStr">
        <is>
          <t>VÄSTERVIK</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11730-2023</t>
        </is>
      </c>
      <c r="B1069" s="1" t="n">
        <v>44994</v>
      </c>
      <c r="C1069" s="1" t="n">
        <v>45844</v>
      </c>
      <c r="D1069" t="inlineStr">
        <is>
          <t>KALMAR LÄN</t>
        </is>
      </c>
      <c r="E1069" t="inlineStr">
        <is>
          <t>VÄSTERVIK</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12504-2023</t>
        </is>
      </c>
      <c r="B1070" s="1" t="n">
        <v>44999</v>
      </c>
      <c r="C1070" s="1" t="n">
        <v>45844</v>
      </c>
      <c r="D1070" t="inlineStr">
        <is>
          <t>KALMAR LÄN</t>
        </is>
      </c>
      <c r="E1070" t="inlineStr">
        <is>
          <t>VÄSTERVIK</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12595-2023</t>
        </is>
      </c>
      <c r="B1071" s="1" t="n">
        <v>45000</v>
      </c>
      <c r="C1071" s="1" t="n">
        <v>45844</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13275-2023</t>
        </is>
      </c>
      <c r="B1072" s="1" t="n">
        <v>45003</v>
      </c>
      <c r="C1072" s="1" t="n">
        <v>45844</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c r="U1072">
        <f>HYPERLINK("https://klasma.github.io/Logging_0883/knärot/A 13275-2023 karta knärot.png", "A 13275-2023")</f>
        <v/>
      </c>
      <c r="V1072">
        <f>HYPERLINK("https://klasma.github.io/Logging_0883/klagomål/A 13275-2023 FSC-klagomål.docx", "A 13275-2023")</f>
        <v/>
      </c>
      <c r="W1072">
        <f>HYPERLINK("https://klasma.github.io/Logging_0883/klagomålsmail/A 13275-2023 FSC-klagomål mail.docx", "A 13275-2023")</f>
        <v/>
      </c>
      <c r="X1072">
        <f>HYPERLINK("https://klasma.github.io/Logging_0883/tillsyn/A 13275-2023 tillsynsbegäran.docx", "A 13275-2023")</f>
        <v/>
      </c>
      <c r="Y1072">
        <f>HYPERLINK("https://klasma.github.io/Logging_0883/tillsynsmail/A 13275-2023 tillsynsbegäran mail.docx", "A 13275-2023")</f>
        <v/>
      </c>
    </row>
    <row r="1073" ht="15" customHeight="1">
      <c r="A1073" t="inlineStr">
        <is>
          <t>A 13761-2023</t>
        </is>
      </c>
      <c r="B1073" s="1" t="n">
        <v>45007</v>
      </c>
      <c r="C1073" s="1" t="n">
        <v>45844</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13770-2023</t>
        </is>
      </c>
      <c r="B1074" s="1" t="n">
        <v>45007</v>
      </c>
      <c r="C1074" s="1" t="n">
        <v>45844</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13841-2023</t>
        </is>
      </c>
      <c r="B1075" s="1" t="n">
        <v>45007</v>
      </c>
      <c r="C1075" s="1" t="n">
        <v>45844</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13838-2023</t>
        </is>
      </c>
      <c r="B1076" s="1" t="n">
        <v>45007</v>
      </c>
      <c r="C1076" s="1" t="n">
        <v>45844</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13995-2023</t>
        </is>
      </c>
      <c r="B1077" s="1" t="n">
        <v>45008</v>
      </c>
      <c r="C1077" s="1" t="n">
        <v>45844</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14388-2023</t>
        </is>
      </c>
      <c r="B1078" s="1" t="n">
        <v>45012</v>
      </c>
      <c r="C1078" s="1" t="n">
        <v>45844</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14387-2023</t>
        </is>
      </c>
      <c r="B1079" s="1" t="n">
        <v>45012</v>
      </c>
      <c r="C1079" s="1" t="n">
        <v>45844</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14385-2023</t>
        </is>
      </c>
      <c r="B1080" s="1" t="n">
        <v>45012</v>
      </c>
      <c r="C1080" s="1" t="n">
        <v>45844</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15099-2023</t>
        </is>
      </c>
      <c r="B1081" s="1" t="n">
        <v>45016</v>
      </c>
      <c r="C1081" s="1" t="n">
        <v>45844</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15106-2023</t>
        </is>
      </c>
      <c r="B1082" s="1" t="n">
        <v>45016</v>
      </c>
      <c r="C1082" s="1" t="n">
        <v>45844</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15097-2023</t>
        </is>
      </c>
      <c r="B1083" s="1" t="n">
        <v>45016</v>
      </c>
      <c r="C1083" s="1" t="n">
        <v>45844</v>
      </c>
      <c r="D1083" t="inlineStr">
        <is>
          <t>KALMAR LÄN</t>
        </is>
      </c>
      <c r="E1083" t="inlineStr">
        <is>
          <t>VÄSTERVIK</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15103-2023</t>
        </is>
      </c>
      <c r="B1084" s="1" t="n">
        <v>45016</v>
      </c>
      <c r="C1084" s="1" t="n">
        <v>45844</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15270-2023</t>
        </is>
      </c>
      <c r="B1085" s="1" t="n">
        <v>45019</v>
      </c>
      <c r="C1085" s="1" t="n">
        <v>45844</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15438-2023</t>
        </is>
      </c>
      <c r="B1086" s="1" t="n">
        <v>45020</v>
      </c>
      <c r="C1086" s="1" t="n">
        <v>45844</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15761-2023</t>
        </is>
      </c>
      <c r="B1087" s="1" t="n">
        <v>45021</v>
      </c>
      <c r="C1087" s="1" t="n">
        <v>45844</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15765-2023</t>
        </is>
      </c>
      <c r="B1088" s="1" t="n">
        <v>45021</v>
      </c>
      <c r="C1088" s="1" t="n">
        <v>45844</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15875-2023</t>
        </is>
      </c>
      <c r="B1089" s="1" t="n">
        <v>45022</v>
      </c>
      <c r="C1089" s="1" t="n">
        <v>45844</v>
      </c>
      <c r="D1089" t="inlineStr">
        <is>
          <t>KALMAR LÄN</t>
        </is>
      </c>
      <c r="E1089" t="inlineStr">
        <is>
          <t>VÄSTERVIK</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16485-2023</t>
        </is>
      </c>
      <c r="B1090" s="1" t="n">
        <v>45029</v>
      </c>
      <c r="C1090" s="1" t="n">
        <v>45844</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16506-2023</t>
        </is>
      </c>
      <c r="B1091" s="1" t="n">
        <v>45029</v>
      </c>
      <c r="C1091" s="1" t="n">
        <v>45844</v>
      </c>
      <c r="D1091" t="inlineStr">
        <is>
          <t>KALMAR LÄN</t>
        </is>
      </c>
      <c r="E1091" t="inlineStr">
        <is>
          <t>VÄSTERVIK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16507-2023</t>
        </is>
      </c>
      <c r="B1092" s="1" t="n">
        <v>45029</v>
      </c>
      <c r="C1092" s="1" t="n">
        <v>45844</v>
      </c>
      <c r="D1092" t="inlineStr">
        <is>
          <t>KALMAR LÄN</t>
        </is>
      </c>
      <c r="E1092" t="inlineStr">
        <is>
          <t>VÄSTERVIK</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16617-2023</t>
        </is>
      </c>
      <c r="B1093" s="1" t="n">
        <v>45030</v>
      </c>
      <c r="C1093" s="1" t="n">
        <v>45844</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16834-2023</t>
        </is>
      </c>
      <c r="B1094" s="1" t="n">
        <v>45033</v>
      </c>
      <c r="C1094" s="1" t="n">
        <v>45844</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16819-2023</t>
        </is>
      </c>
      <c r="B1095" s="1" t="n">
        <v>45033</v>
      </c>
      <c r="C1095" s="1" t="n">
        <v>45844</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17307-2023</t>
        </is>
      </c>
      <c r="B1096" s="1" t="n">
        <v>45035</v>
      </c>
      <c r="C1096" s="1" t="n">
        <v>45844</v>
      </c>
      <c r="D1096" t="inlineStr">
        <is>
          <t>KALMAR LÄN</t>
        </is>
      </c>
      <c r="E1096" t="inlineStr">
        <is>
          <t>VÄSTERVIK</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17314-2023</t>
        </is>
      </c>
      <c r="B1097" s="1" t="n">
        <v>45035</v>
      </c>
      <c r="C1097" s="1" t="n">
        <v>45844</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17315-2023</t>
        </is>
      </c>
      <c r="B1098" s="1" t="n">
        <v>45035</v>
      </c>
      <c r="C1098" s="1" t="n">
        <v>45844</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17306-2023</t>
        </is>
      </c>
      <c r="B1099" s="1" t="n">
        <v>45035</v>
      </c>
      <c r="C1099" s="1" t="n">
        <v>45844</v>
      </c>
      <c r="D1099" t="inlineStr">
        <is>
          <t>KALMAR LÄN</t>
        </is>
      </c>
      <c r="E1099" t="inlineStr">
        <is>
          <t>VÄSTERVIK</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17313-2023</t>
        </is>
      </c>
      <c r="B1100" s="1" t="n">
        <v>45035</v>
      </c>
      <c r="C1100" s="1" t="n">
        <v>45844</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17317-2023</t>
        </is>
      </c>
      <c r="B1101" s="1" t="n">
        <v>45035</v>
      </c>
      <c r="C1101" s="1" t="n">
        <v>45844</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c r="U1101">
        <f>HYPERLINK("https://klasma.github.io/Logging_0883/knärot/A 17317-2023 karta knärot.png", "A 17317-2023")</f>
        <v/>
      </c>
      <c r="V1101">
        <f>HYPERLINK("https://klasma.github.io/Logging_0883/klagomål/A 17317-2023 FSC-klagomål.docx", "A 17317-2023")</f>
        <v/>
      </c>
      <c r="W1101">
        <f>HYPERLINK("https://klasma.github.io/Logging_0883/klagomålsmail/A 17317-2023 FSC-klagomål mail.docx", "A 17317-2023")</f>
        <v/>
      </c>
      <c r="X1101">
        <f>HYPERLINK("https://klasma.github.io/Logging_0883/tillsyn/A 17317-2023 tillsynsbegäran.docx", "A 17317-2023")</f>
        <v/>
      </c>
      <c r="Y1101">
        <f>HYPERLINK("https://klasma.github.io/Logging_0883/tillsynsmail/A 17317-2023 tillsynsbegäran mail.docx", "A 17317-2023")</f>
        <v/>
      </c>
    </row>
    <row r="1102" ht="15" customHeight="1">
      <c r="A1102" t="inlineStr">
        <is>
          <t>A 17467-2023</t>
        </is>
      </c>
      <c r="B1102" s="1" t="n">
        <v>45036</v>
      </c>
      <c r="C1102" s="1" t="n">
        <v>45844</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17642-2023</t>
        </is>
      </c>
      <c r="B1103" s="1" t="n">
        <v>45036</v>
      </c>
      <c r="C1103" s="1" t="n">
        <v>45844</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17644-2023</t>
        </is>
      </c>
      <c r="B1104" s="1" t="n">
        <v>45036</v>
      </c>
      <c r="C1104" s="1" t="n">
        <v>45844</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17650-2023</t>
        </is>
      </c>
      <c r="B1105" s="1" t="n">
        <v>45036</v>
      </c>
      <c r="C1105" s="1" t="n">
        <v>45844</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17645-2023</t>
        </is>
      </c>
      <c r="B1106" s="1" t="n">
        <v>45036</v>
      </c>
      <c r="C1106" s="1" t="n">
        <v>45844</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17652-2023</t>
        </is>
      </c>
      <c r="B1107" s="1" t="n">
        <v>45036</v>
      </c>
      <c r="C1107" s="1" t="n">
        <v>45844</v>
      </c>
      <c r="D1107" t="inlineStr">
        <is>
          <t>KALMAR LÄN</t>
        </is>
      </c>
      <c r="E1107" t="inlineStr">
        <is>
          <t>VÄSTERVIK</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17643-2023</t>
        </is>
      </c>
      <c r="B1108" s="1" t="n">
        <v>45036</v>
      </c>
      <c r="C1108" s="1" t="n">
        <v>45844</v>
      </c>
      <c r="D1108" t="inlineStr">
        <is>
          <t>KALMAR LÄN</t>
        </is>
      </c>
      <c r="E1108" t="inlineStr">
        <is>
          <t>VÄSTERVIK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17648-2023</t>
        </is>
      </c>
      <c r="B1109" s="1" t="n">
        <v>45036</v>
      </c>
      <c r="C1109" s="1" t="n">
        <v>45844</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18051-2023</t>
        </is>
      </c>
      <c r="B1110" s="1" t="n">
        <v>45040</v>
      </c>
      <c r="C1110" s="1" t="n">
        <v>45844</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18071-2023</t>
        </is>
      </c>
      <c r="B1111" s="1" t="n">
        <v>45040</v>
      </c>
      <c r="C1111" s="1" t="n">
        <v>45844</v>
      </c>
      <c r="D1111" t="inlineStr">
        <is>
          <t>KALMAR LÄN</t>
        </is>
      </c>
      <c r="E1111" t="inlineStr">
        <is>
          <t>VÄSTERVIK</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18068-2023</t>
        </is>
      </c>
      <c r="B1112" s="1" t="n">
        <v>45040</v>
      </c>
      <c r="C1112" s="1" t="n">
        <v>45844</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18079-2023</t>
        </is>
      </c>
      <c r="B1113" s="1" t="n">
        <v>45040</v>
      </c>
      <c r="C1113" s="1" t="n">
        <v>45844</v>
      </c>
      <c r="D1113" t="inlineStr">
        <is>
          <t>KALMAR LÄN</t>
        </is>
      </c>
      <c r="E1113" t="inlineStr">
        <is>
          <t>VÄSTERVIK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18048-2023</t>
        </is>
      </c>
      <c r="B1114" s="1" t="n">
        <v>45040</v>
      </c>
      <c r="C1114" s="1" t="n">
        <v>45844</v>
      </c>
      <c r="D1114" t="inlineStr">
        <is>
          <t>KALMAR LÄN</t>
        </is>
      </c>
      <c r="E1114" t="inlineStr">
        <is>
          <t>VÄSTERVIK</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18081-2023</t>
        </is>
      </c>
      <c r="B1115" s="1" t="n">
        <v>45040</v>
      </c>
      <c r="C1115" s="1" t="n">
        <v>45844</v>
      </c>
      <c r="D1115" t="inlineStr">
        <is>
          <t>KALMAR LÄN</t>
        </is>
      </c>
      <c r="E1115" t="inlineStr">
        <is>
          <t>VÄSTERVIK</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18858-2023</t>
        </is>
      </c>
      <c r="B1116" s="1" t="n">
        <v>45044</v>
      </c>
      <c r="C1116" s="1" t="n">
        <v>45844</v>
      </c>
      <c r="D1116" t="inlineStr">
        <is>
          <t>KALMAR LÄN</t>
        </is>
      </c>
      <c r="E1116" t="inlineStr">
        <is>
          <t>VÄSTERVIK</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18859-2023</t>
        </is>
      </c>
      <c r="B1117" s="1" t="n">
        <v>45044</v>
      </c>
      <c r="C1117" s="1" t="n">
        <v>45844</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18960-2023</t>
        </is>
      </c>
      <c r="B1118" s="1" t="n">
        <v>45044</v>
      </c>
      <c r="C1118" s="1" t="n">
        <v>45844</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19110-2023</t>
        </is>
      </c>
      <c r="B1119" s="1" t="n">
        <v>45048</v>
      </c>
      <c r="C1119" s="1" t="n">
        <v>45844</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19212-2023</t>
        </is>
      </c>
      <c r="B1120" s="1" t="n">
        <v>45048</v>
      </c>
      <c r="C1120" s="1" t="n">
        <v>45844</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19365-2023</t>
        </is>
      </c>
      <c r="B1121" s="1" t="n">
        <v>45049</v>
      </c>
      <c r="C1121" s="1" t="n">
        <v>45844</v>
      </c>
      <c r="D1121" t="inlineStr">
        <is>
          <t>KALMAR LÄN</t>
        </is>
      </c>
      <c r="E1121" t="inlineStr">
        <is>
          <t>VÄSTERVIK</t>
        </is>
      </c>
      <c r="G1121" t="n">
        <v>5.8</v>
      </c>
      <c r="H1121" t="n">
        <v>0</v>
      </c>
      <c r="I1121" t="n">
        <v>0</v>
      </c>
      <c r="J1121" t="n">
        <v>0</v>
      </c>
      <c r="K1121" t="n">
        <v>0</v>
      </c>
      <c r="L1121" t="n">
        <v>0</v>
      </c>
      <c r="M1121" t="n">
        <v>0</v>
      </c>
      <c r="N1121" t="n">
        <v>0</v>
      </c>
      <c r="O1121" t="n">
        <v>0</v>
      </c>
      <c r="P1121" t="n">
        <v>0</v>
      </c>
      <c r="Q1121" t="n">
        <v>0</v>
      </c>
      <c r="R1121" s="2" t="inlineStr"/>
      <c r="U1121">
        <f>HYPERLINK("https://klasma.github.io/Logging_0883/knärot/A 19365-2023 karta knärot.png", "A 19365-2023")</f>
        <v/>
      </c>
      <c r="V1121">
        <f>HYPERLINK("https://klasma.github.io/Logging_0883/klagomål/A 19365-2023 FSC-klagomål.docx", "A 19365-2023")</f>
        <v/>
      </c>
      <c r="W1121">
        <f>HYPERLINK("https://klasma.github.io/Logging_0883/klagomålsmail/A 19365-2023 FSC-klagomål mail.docx", "A 19365-2023")</f>
        <v/>
      </c>
      <c r="X1121">
        <f>HYPERLINK("https://klasma.github.io/Logging_0883/tillsyn/A 19365-2023 tillsynsbegäran.docx", "A 19365-2023")</f>
        <v/>
      </c>
      <c r="Y1121">
        <f>HYPERLINK("https://klasma.github.io/Logging_0883/tillsynsmail/A 19365-2023 tillsynsbegäran mail.docx", "A 19365-2023")</f>
        <v/>
      </c>
    </row>
    <row r="1122" ht="15" customHeight="1">
      <c r="A1122" t="inlineStr">
        <is>
          <t>A 19333-2023</t>
        </is>
      </c>
      <c r="B1122" s="1" t="n">
        <v>45049</v>
      </c>
      <c r="C1122" s="1" t="n">
        <v>45844</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19551-2023</t>
        </is>
      </c>
      <c r="B1123" s="1" t="n">
        <v>45049</v>
      </c>
      <c r="C1123" s="1" t="n">
        <v>45844</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19638-2023</t>
        </is>
      </c>
      <c r="B1124" s="1" t="n">
        <v>45051</v>
      </c>
      <c r="C1124" s="1" t="n">
        <v>45844</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19660-2023</t>
        </is>
      </c>
      <c r="B1125" s="1" t="n">
        <v>45051</v>
      </c>
      <c r="C1125" s="1" t="n">
        <v>45844</v>
      </c>
      <c r="D1125" t="inlineStr">
        <is>
          <t>KALMAR LÄN</t>
        </is>
      </c>
      <c r="E1125" t="inlineStr">
        <is>
          <t>VÄSTERVIK</t>
        </is>
      </c>
      <c r="F1125" t="inlineStr">
        <is>
          <t>Övriga Aktiebolag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19639-2023</t>
        </is>
      </c>
      <c r="B1126" s="1" t="n">
        <v>45051</v>
      </c>
      <c r="C1126" s="1" t="n">
        <v>45844</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19640-2023</t>
        </is>
      </c>
      <c r="B1127" s="1" t="n">
        <v>45051</v>
      </c>
      <c r="C1127" s="1" t="n">
        <v>45844</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19864-2023</t>
        </is>
      </c>
      <c r="B1128" s="1" t="n">
        <v>45053</v>
      </c>
      <c r="C1128" s="1" t="n">
        <v>45844</v>
      </c>
      <c r="D1128" t="inlineStr">
        <is>
          <t>KALMAR LÄN</t>
        </is>
      </c>
      <c r="E1128" t="inlineStr">
        <is>
          <t>VÄSTERVIK</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20637-2023</t>
        </is>
      </c>
      <c r="B1129" s="1" t="n">
        <v>45057</v>
      </c>
      <c r="C1129" s="1" t="n">
        <v>45844</v>
      </c>
      <c r="D1129" t="inlineStr">
        <is>
          <t>KALMAR LÄN</t>
        </is>
      </c>
      <c r="E1129" t="inlineStr">
        <is>
          <t>VÄSTERVIK</t>
        </is>
      </c>
      <c r="F1129" t="inlineStr">
        <is>
          <t>Holmen skog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20774-2023</t>
        </is>
      </c>
      <c r="B1130" s="1" t="n">
        <v>45058</v>
      </c>
      <c r="C1130" s="1" t="n">
        <v>45844</v>
      </c>
      <c r="D1130" t="inlineStr">
        <is>
          <t>KALMAR LÄN</t>
        </is>
      </c>
      <c r="E1130" t="inlineStr">
        <is>
          <t>VÄSTERVIK</t>
        </is>
      </c>
      <c r="F1130" t="inlineStr">
        <is>
          <t>Sveaskog</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21122-2023</t>
        </is>
      </c>
      <c r="B1131" s="1" t="n">
        <v>45062</v>
      </c>
      <c r="C1131" s="1" t="n">
        <v>45844</v>
      </c>
      <c r="D1131" t="inlineStr">
        <is>
          <t>KALMAR LÄN</t>
        </is>
      </c>
      <c r="E1131" t="inlineStr">
        <is>
          <t>VÄSTERVIK</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21286-2023</t>
        </is>
      </c>
      <c r="B1132" s="1" t="n">
        <v>45062</v>
      </c>
      <c r="C1132" s="1" t="n">
        <v>45844</v>
      </c>
      <c r="D1132" t="inlineStr">
        <is>
          <t>KALMAR LÄN</t>
        </is>
      </c>
      <c r="E1132" t="inlineStr">
        <is>
          <t>VÄSTERVIK</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21447-2023</t>
        </is>
      </c>
      <c r="B1133" s="1" t="n">
        <v>45063</v>
      </c>
      <c r="C1133" s="1" t="n">
        <v>45844</v>
      </c>
      <c r="D1133" t="inlineStr">
        <is>
          <t>KALMAR LÄN</t>
        </is>
      </c>
      <c r="E1133" t="inlineStr">
        <is>
          <t>VÄSTERVIK</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21826-2023</t>
        </is>
      </c>
      <c r="B1134" s="1" t="n">
        <v>45068</v>
      </c>
      <c r="C1134" s="1" t="n">
        <v>45844</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21831-2023</t>
        </is>
      </c>
      <c r="B1135" s="1" t="n">
        <v>45068</v>
      </c>
      <c r="C1135" s="1" t="n">
        <v>45844</v>
      </c>
      <c r="D1135" t="inlineStr">
        <is>
          <t>KALMAR LÄN</t>
        </is>
      </c>
      <c r="E1135" t="inlineStr">
        <is>
          <t>VÄSTERVIK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21939-2023</t>
        </is>
      </c>
      <c r="B1136" s="1" t="n">
        <v>45068</v>
      </c>
      <c r="C1136" s="1" t="n">
        <v>45844</v>
      </c>
      <c r="D1136" t="inlineStr">
        <is>
          <t>KALMAR LÄN</t>
        </is>
      </c>
      <c r="E1136" t="inlineStr">
        <is>
          <t>VÄSTERVIK</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21823-2023</t>
        </is>
      </c>
      <c r="B1137" s="1" t="n">
        <v>45068</v>
      </c>
      <c r="C1137" s="1" t="n">
        <v>45844</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21830-2023</t>
        </is>
      </c>
      <c r="B1138" s="1" t="n">
        <v>45068</v>
      </c>
      <c r="C1138" s="1" t="n">
        <v>45844</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21824-2023</t>
        </is>
      </c>
      <c r="B1139" s="1" t="n">
        <v>45068</v>
      </c>
      <c r="C1139" s="1" t="n">
        <v>45844</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21829-2023</t>
        </is>
      </c>
      <c r="B1140" s="1" t="n">
        <v>45068</v>
      </c>
      <c r="C1140" s="1" t="n">
        <v>45844</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21942-2023</t>
        </is>
      </c>
      <c r="B1141" s="1" t="n">
        <v>45068</v>
      </c>
      <c r="C1141" s="1" t="n">
        <v>45844</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21940-2023</t>
        </is>
      </c>
      <c r="B1142" s="1" t="n">
        <v>45068</v>
      </c>
      <c r="C1142" s="1" t="n">
        <v>45844</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23439-2023</t>
        </is>
      </c>
      <c r="B1143" s="1" t="n">
        <v>45072</v>
      </c>
      <c r="C1143" s="1" t="n">
        <v>45844</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23080-2023</t>
        </is>
      </c>
      <c r="B1144" s="1" t="n">
        <v>45075</v>
      </c>
      <c r="C1144" s="1" t="n">
        <v>45844</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23317-2023</t>
        </is>
      </c>
      <c r="B1145" s="1" t="n">
        <v>45076</v>
      </c>
      <c r="C1145" s="1" t="n">
        <v>45844</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23316-2023</t>
        </is>
      </c>
      <c r="B1146" s="1" t="n">
        <v>45076</v>
      </c>
      <c r="C1146" s="1" t="n">
        <v>45844</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45844</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25403-2023</t>
        </is>
      </c>
      <c r="B1148" s="1" t="n">
        <v>45079</v>
      </c>
      <c r="C1148" s="1" t="n">
        <v>45844</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24877-2023</t>
        </is>
      </c>
      <c r="B1149" s="1" t="n">
        <v>45085</v>
      </c>
      <c r="C1149" s="1" t="n">
        <v>45844</v>
      </c>
      <c r="D1149" t="inlineStr">
        <is>
          <t>KALMAR LÄN</t>
        </is>
      </c>
      <c r="E1149" t="inlineStr">
        <is>
          <t>VÄSTERVIK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24881-2023</t>
        </is>
      </c>
      <c r="B1150" s="1" t="n">
        <v>45085</v>
      </c>
      <c r="C1150" s="1" t="n">
        <v>45844</v>
      </c>
      <c r="D1150" t="inlineStr">
        <is>
          <t>KALMAR LÄN</t>
        </is>
      </c>
      <c r="E1150" t="inlineStr">
        <is>
          <t>VÄSTERVIK</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24893-2023</t>
        </is>
      </c>
      <c r="B1151" s="1" t="n">
        <v>45085</v>
      </c>
      <c r="C1151" s="1" t="n">
        <v>45844</v>
      </c>
      <c r="D1151" t="inlineStr">
        <is>
          <t>KALMAR LÄN</t>
        </is>
      </c>
      <c r="E1151" t="inlineStr">
        <is>
          <t>VÄSTERVIK</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25180-2023</t>
        </is>
      </c>
      <c r="B1152" s="1" t="n">
        <v>45086</v>
      </c>
      <c r="C1152" s="1" t="n">
        <v>45844</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25434-2023</t>
        </is>
      </c>
      <c r="B1153" s="1" t="n">
        <v>45089</v>
      </c>
      <c r="C1153" s="1" t="n">
        <v>45844</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25440-2023</t>
        </is>
      </c>
      <c r="B1154" s="1" t="n">
        <v>45089</v>
      </c>
      <c r="C1154" s="1" t="n">
        <v>45844</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25568-2023</t>
        </is>
      </c>
      <c r="B1155" s="1" t="n">
        <v>45089</v>
      </c>
      <c r="C1155" s="1" t="n">
        <v>45844</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25488-2023</t>
        </is>
      </c>
      <c r="B1156" s="1" t="n">
        <v>45089</v>
      </c>
      <c r="C1156" s="1" t="n">
        <v>45844</v>
      </c>
      <c r="D1156" t="inlineStr">
        <is>
          <t>KALMAR LÄN</t>
        </is>
      </c>
      <c r="E1156" t="inlineStr">
        <is>
          <t>VÄSTERVIK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25518-2023</t>
        </is>
      </c>
      <c r="B1157" s="1" t="n">
        <v>45089</v>
      </c>
      <c r="C1157" s="1" t="n">
        <v>45844</v>
      </c>
      <c r="D1157" t="inlineStr">
        <is>
          <t>KALMAR LÄN</t>
        </is>
      </c>
      <c r="E1157" t="inlineStr">
        <is>
          <t>VÄSTERVIK</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25714-2023</t>
        </is>
      </c>
      <c r="B1158" s="1" t="n">
        <v>45089</v>
      </c>
      <c r="C1158" s="1" t="n">
        <v>45844</v>
      </c>
      <c r="D1158" t="inlineStr">
        <is>
          <t>KALMAR LÄN</t>
        </is>
      </c>
      <c r="E1158" t="inlineStr">
        <is>
          <t>VÄSTERVIK</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25801-2023</t>
        </is>
      </c>
      <c r="B1159" s="1" t="n">
        <v>45090</v>
      </c>
      <c r="C1159" s="1" t="n">
        <v>45844</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26244-2023</t>
        </is>
      </c>
      <c r="B1160" s="1" t="n">
        <v>45091</v>
      </c>
      <c r="C1160" s="1" t="n">
        <v>45844</v>
      </c>
      <c r="D1160" t="inlineStr">
        <is>
          <t>KALMAR LÄN</t>
        </is>
      </c>
      <c r="E1160" t="inlineStr">
        <is>
          <t>VÄSTERVIK</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26073-2023</t>
        </is>
      </c>
      <c r="B1161" s="1" t="n">
        <v>45091</v>
      </c>
      <c r="C1161" s="1" t="n">
        <v>45844</v>
      </c>
      <c r="D1161" t="inlineStr">
        <is>
          <t>KALMAR LÄN</t>
        </is>
      </c>
      <c r="E1161" t="inlineStr">
        <is>
          <t>VÄSTERVIK</t>
        </is>
      </c>
      <c r="F1161" t="inlineStr">
        <is>
          <t>Sveaskog</t>
        </is>
      </c>
      <c r="G1161" t="n">
        <v>21.2</v>
      </c>
      <c r="H1161" t="n">
        <v>0</v>
      </c>
      <c r="I1161" t="n">
        <v>0</v>
      </c>
      <c r="J1161" t="n">
        <v>0</v>
      </c>
      <c r="K1161" t="n">
        <v>0</v>
      </c>
      <c r="L1161" t="n">
        <v>0</v>
      </c>
      <c r="M1161" t="n">
        <v>0</v>
      </c>
      <c r="N1161" t="n">
        <v>0</v>
      </c>
      <c r="O1161" t="n">
        <v>0</v>
      </c>
      <c r="P1161" t="n">
        <v>0</v>
      </c>
      <c r="Q1161" t="n">
        <v>0</v>
      </c>
      <c r="R1161" s="2" t="inlineStr"/>
    </row>
    <row r="1162" ht="15" customHeight="1">
      <c r="A1162" t="inlineStr">
        <is>
          <t>A 26773-2023</t>
        </is>
      </c>
      <c r="B1162" s="1" t="n">
        <v>45093</v>
      </c>
      <c r="C1162" s="1" t="n">
        <v>45844</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26772-2023</t>
        </is>
      </c>
      <c r="B1163" s="1" t="n">
        <v>45093</v>
      </c>
      <c r="C1163" s="1" t="n">
        <v>45844</v>
      </c>
      <c r="D1163" t="inlineStr">
        <is>
          <t>KALMAR LÄN</t>
        </is>
      </c>
      <c r="E1163" t="inlineStr">
        <is>
          <t>VÄSTERVIK</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26776-2023</t>
        </is>
      </c>
      <c r="B1164" s="1" t="n">
        <v>45093</v>
      </c>
      <c r="C1164" s="1" t="n">
        <v>45844</v>
      </c>
      <c r="D1164" t="inlineStr">
        <is>
          <t>KALMAR LÄN</t>
        </is>
      </c>
      <c r="E1164" t="inlineStr">
        <is>
          <t>VÄSTERVIK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26770-2023</t>
        </is>
      </c>
      <c r="B1165" s="1" t="n">
        <v>45093</v>
      </c>
      <c r="C1165" s="1" t="n">
        <v>45844</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26775-2023</t>
        </is>
      </c>
      <c r="B1166" s="1" t="n">
        <v>45093</v>
      </c>
      <c r="C1166" s="1" t="n">
        <v>45844</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27485-2023</t>
        </is>
      </c>
      <c r="B1167" s="1" t="n">
        <v>45097</v>
      </c>
      <c r="C1167" s="1" t="n">
        <v>45844</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27491-2023</t>
        </is>
      </c>
      <c r="B1168" s="1" t="n">
        <v>45097</v>
      </c>
      <c r="C1168" s="1" t="n">
        <v>45844</v>
      </c>
      <c r="D1168" t="inlineStr">
        <is>
          <t>KALMAR LÄN</t>
        </is>
      </c>
      <c r="E1168" t="inlineStr">
        <is>
          <t>VÄSTERVIK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27482-2023</t>
        </is>
      </c>
      <c r="B1169" s="1" t="n">
        <v>45097</v>
      </c>
      <c r="C1169" s="1" t="n">
        <v>45844</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27662-2023</t>
        </is>
      </c>
      <c r="B1170" s="1" t="n">
        <v>45097</v>
      </c>
      <c r="C1170" s="1" t="n">
        <v>45844</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28895-2023</t>
        </is>
      </c>
      <c r="B1171" s="1" t="n">
        <v>45104</v>
      </c>
      <c r="C1171" s="1" t="n">
        <v>45844</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28894-2023</t>
        </is>
      </c>
      <c r="B1172" s="1" t="n">
        <v>45104</v>
      </c>
      <c r="C1172" s="1" t="n">
        <v>45844</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28939-2023</t>
        </is>
      </c>
      <c r="B1173" s="1" t="n">
        <v>45104</v>
      </c>
      <c r="C1173" s="1" t="n">
        <v>45844</v>
      </c>
      <c r="D1173" t="inlineStr">
        <is>
          <t>KALMAR LÄN</t>
        </is>
      </c>
      <c r="E1173" t="inlineStr">
        <is>
          <t>VÄSTERVIK</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28952-2023</t>
        </is>
      </c>
      <c r="B1174" s="1" t="n">
        <v>45104</v>
      </c>
      <c r="C1174" s="1" t="n">
        <v>45844</v>
      </c>
      <c r="D1174" t="inlineStr">
        <is>
          <t>KALMAR LÄN</t>
        </is>
      </c>
      <c r="E1174" t="inlineStr">
        <is>
          <t>VÄSTERVIK</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29907-2023</t>
        </is>
      </c>
      <c r="B1175" s="1" t="n">
        <v>45107</v>
      </c>
      <c r="C1175" s="1" t="n">
        <v>45844</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29905-2023</t>
        </is>
      </c>
      <c r="B1176" s="1" t="n">
        <v>45107</v>
      </c>
      <c r="C1176" s="1" t="n">
        <v>45844</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29904-2023</t>
        </is>
      </c>
      <c r="B1177" s="1" t="n">
        <v>45107</v>
      </c>
      <c r="C1177" s="1" t="n">
        <v>45844</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30029-2023</t>
        </is>
      </c>
      <c r="B1178" s="1" t="n">
        <v>45110</v>
      </c>
      <c r="C1178" s="1" t="n">
        <v>45844</v>
      </c>
      <c r="D1178" t="inlineStr">
        <is>
          <t>KALMAR LÄN</t>
        </is>
      </c>
      <c r="E1178" t="inlineStr">
        <is>
          <t>VÄSTERVIK</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30035-2023</t>
        </is>
      </c>
      <c r="B1179" s="1" t="n">
        <v>45110</v>
      </c>
      <c r="C1179" s="1" t="n">
        <v>45844</v>
      </c>
      <c r="D1179" t="inlineStr">
        <is>
          <t>KALMAR LÄN</t>
        </is>
      </c>
      <c r="E1179" t="inlineStr">
        <is>
          <t>VÄSTERVIK</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32418-2023</t>
        </is>
      </c>
      <c r="B1180" s="1" t="n">
        <v>45110</v>
      </c>
      <c r="C1180" s="1" t="n">
        <v>45844</v>
      </c>
      <c r="D1180" t="inlineStr">
        <is>
          <t>KALMAR LÄN</t>
        </is>
      </c>
      <c r="E1180" t="inlineStr">
        <is>
          <t>VÄSTERVIK</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30431-2023</t>
        </is>
      </c>
      <c r="B1181" s="1" t="n">
        <v>45111</v>
      </c>
      <c r="C1181" s="1" t="n">
        <v>45844</v>
      </c>
      <c r="D1181" t="inlineStr">
        <is>
          <t>KALMAR LÄN</t>
        </is>
      </c>
      <c r="E1181" t="inlineStr">
        <is>
          <t>VÄSTERVIK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30692-2023</t>
        </is>
      </c>
      <c r="B1182" s="1" t="n">
        <v>45112</v>
      </c>
      <c r="C1182" s="1" t="n">
        <v>45844</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31437-2023</t>
        </is>
      </c>
      <c r="B1183" s="1" t="n">
        <v>45114</v>
      </c>
      <c r="C1183" s="1" t="n">
        <v>45844</v>
      </c>
      <c r="D1183" t="inlineStr">
        <is>
          <t>KALMAR LÄN</t>
        </is>
      </c>
      <c r="E1183" t="inlineStr">
        <is>
          <t>VÄSTERVIK</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33277-2023</t>
        </is>
      </c>
      <c r="B1184" s="1" t="n">
        <v>45114</v>
      </c>
      <c r="C1184" s="1" t="n">
        <v>45844</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31686-2023</t>
        </is>
      </c>
      <c r="B1185" s="1" t="n">
        <v>45117</v>
      </c>
      <c r="C1185" s="1" t="n">
        <v>45844</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31691-2023</t>
        </is>
      </c>
      <c r="B1186" s="1" t="n">
        <v>45117</v>
      </c>
      <c r="C1186" s="1" t="n">
        <v>45844</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32647-2023</t>
        </is>
      </c>
      <c r="B1187" s="1" t="n">
        <v>45121</v>
      </c>
      <c r="C1187" s="1" t="n">
        <v>45844</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32813-2023</t>
        </is>
      </c>
      <c r="B1188" s="1" t="n">
        <v>45124</v>
      </c>
      <c r="C1188" s="1" t="n">
        <v>45844</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32812-2023</t>
        </is>
      </c>
      <c r="B1189" s="1" t="n">
        <v>45124</v>
      </c>
      <c r="C1189" s="1" t="n">
        <v>45844</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32811-2023</t>
        </is>
      </c>
      <c r="B1190" s="1" t="n">
        <v>45124</v>
      </c>
      <c r="C1190" s="1" t="n">
        <v>45844</v>
      </c>
      <c r="D1190" t="inlineStr">
        <is>
          <t>KALMAR LÄN</t>
        </is>
      </c>
      <c r="E1190" t="inlineStr">
        <is>
          <t>VÄSTERVIK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33271-2023</t>
        </is>
      </c>
      <c r="B1191" s="1" t="n">
        <v>45127</v>
      </c>
      <c r="C1191" s="1" t="n">
        <v>45844</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33272-2023</t>
        </is>
      </c>
      <c r="B1192" s="1" t="n">
        <v>45127</v>
      </c>
      <c r="C1192" s="1" t="n">
        <v>45844</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33489-2023</t>
        </is>
      </c>
      <c r="B1193" s="1" t="n">
        <v>45131</v>
      </c>
      <c r="C1193" s="1" t="n">
        <v>45844</v>
      </c>
      <c r="D1193" t="inlineStr">
        <is>
          <t>KALMAR LÄN</t>
        </is>
      </c>
      <c r="E1193" t="inlineStr">
        <is>
          <t>VÄSTERVIK</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33648-2023</t>
        </is>
      </c>
      <c r="B1194" s="1" t="n">
        <v>45132</v>
      </c>
      <c r="C1194" s="1" t="n">
        <v>45844</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33647-2023</t>
        </is>
      </c>
      <c r="B1195" s="1" t="n">
        <v>45132</v>
      </c>
      <c r="C1195" s="1" t="n">
        <v>45844</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33722-2023</t>
        </is>
      </c>
      <c r="B1196" s="1" t="n">
        <v>45133</v>
      </c>
      <c r="C1196" s="1" t="n">
        <v>45844</v>
      </c>
      <c r="D1196" t="inlineStr">
        <is>
          <t>KALMAR LÄN</t>
        </is>
      </c>
      <c r="E1196" t="inlineStr">
        <is>
          <t>VÄSTERVIK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33828-2023</t>
        </is>
      </c>
      <c r="B1197" s="1" t="n">
        <v>45133</v>
      </c>
      <c r="C1197" s="1" t="n">
        <v>45844</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33814-2023</t>
        </is>
      </c>
      <c r="B1198" s="1" t="n">
        <v>45133</v>
      </c>
      <c r="C1198" s="1" t="n">
        <v>45844</v>
      </c>
      <c r="D1198" t="inlineStr">
        <is>
          <t>KALMAR LÄN</t>
        </is>
      </c>
      <c r="E1198" t="inlineStr">
        <is>
          <t>VÄSTERVIK</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33990-2023</t>
        </is>
      </c>
      <c r="B1199" s="1" t="n">
        <v>45134</v>
      </c>
      <c r="C1199" s="1" t="n">
        <v>45844</v>
      </c>
      <c r="D1199" t="inlineStr">
        <is>
          <t>KALMAR LÄN</t>
        </is>
      </c>
      <c r="E1199" t="inlineStr">
        <is>
          <t>VÄSTERVIK</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34121-2023</t>
        </is>
      </c>
      <c r="B1200" s="1" t="n">
        <v>45135</v>
      </c>
      <c r="C1200" s="1" t="n">
        <v>45844</v>
      </c>
      <c r="D1200" t="inlineStr">
        <is>
          <t>KALMAR LÄN</t>
        </is>
      </c>
      <c r="E1200" t="inlineStr">
        <is>
          <t>VÄSTERVIK</t>
        </is>
      </c>
      <c r="G1200" t="n">
        <v>4</v>
      </c>
      <c r="H1200" t="n">
        <v>0</v>
      </c>
      <c r="I1200" t="n">
        <v>0</v>
      </c>
      <c r="J1200" t="n">
        <v>0</v>
      </c>
      <c r="K1200" t="n">
        <v>0</v>
      </c>
      <c r="L1200" t="n">
        <v>0</v>
      </c>
      <c r="M1200" t="n">
        <v>0</v>
      </c>
      <c r="N1200" t="n">
        <v>0</v>
      </c>
      <c r="O1200" t="n">
        <v>0</v>
      </c>
      <c r="P1200" t="n">
        <v>0</v>
      </c>
      <c r="Q1200" t="n">
        <v>0</v>
      </c>
      <c r="R1200" s="2" t="inlineStr"/>
      <c r="U1200">
        <f>HYPERLINK("https://klasma.github.io/Logging_0883/knärot/A 34121-2023 karta knärot.png", "A 34121-2023")</f>
        <v/>
      </c>
      <c r="V1200">
        <f>HYPERLINK("https://klasma.github.io/Logging_0883/klagomål/A 34121-2023 FSC-klagomål.docx", "A 34121-2023")</f>
        <v/>
      </c>
      <c r="W1200">
        <f>HYPERLINK("https://klasma.github.io/Logging_0883/klagomålsmail/A 34121-2023 FSC-klagomål mail.docx", "A 34121-2023")</f>
        <v/>
      </c>
      <c r="X1200">
        <f>HYPERLINK("https://klasma.github.io/Logging_0883/tillsyn/A 34121-2023 tillsynsbegäran.docx", "A 34121-2023")</f>
        <v/>
      </c>
      <c r="Y1200">
        <f>HYPERLINK("https://klasma.github.io/Logging_0883/tillsynsmail/A 34121-2023 tillsynsbegäran mail.docx", "A 34121-2023")</f>
        <v/>
      </c>
    </row>
    <row r="1201" ht="15" customHeight="1">
      <c r="A1201" t="inlineStr">
        <is>
          <t>A 34643-2023</t>
        </is>
      </c>
      <c r="B1201" s="1" t="n">
        <v>45140</v>
      </c>
      <c r="C1201" s="1" t="n">
        <v>45844</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34648-2023</t>
        </is>
      </c>
      <c r="B1202" s="1" t="n">
        <v>45140</v>
      </c>
      <c r="C1202" s="1" t="n">
        <v>45844</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34641-2023</t>
        </is>
      </c>
      <c r="B1203" s="1" t="n">
        <v>45140</v>
      </c>
      <c r="C1203" s="1" t="n">
        <v>45844</v>
      </c>
      <c r="D1203" t="inlineStr">
        <is>
          <t>KALMAR LÄN</t>
        </is>
      </c>
      <c r="E1203" t="inlineStr">
        <is>
          <t>VÄSTERVIK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34646-2023</t>
        </is>
      </c>
      <c r="B1204" s="1" t="n">
        <v>45140</v>
      </c>
      <c r="C1204" s="1" t="n">
        <v>45844</v>
      </c>
      <c r="D1204" t="inlineStr">
        <is>
          <t>KALMAR LÄN</t>
        </is>
      </c>
      <c r="E1204" t="inlineStr">
        <is>
          <t>VÄSTERVIK</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34655-2023</t>
        </is>
      </c>
      <c r="B1205" s="1" t="n">
        <v>45140</v>
      </c>
      <c r="C1205" s="1" t="n">
        <v>45844</v>
      </c>
      <c r="D1205" t="inlineStr">
        <is>
          <t>KALMAR LÄN</t>
        </is>
      </c>
      <c r="E1205" t="inlineStr">
        <is>
          <t>VÄSTERVIK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34650-2023</t>
        </is>
      </c>
      <c r="B1206" s="1" t="n">
        <v>45140</v>
      </c>
      <c r="C1206" s="1" t="n">
        <v>45844</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34953-2023</t>
        </is>
      </c>
      <c r="B1207" s="1" t="n">
        <v>45142</v>
      </c>
      <c r="C1207" s="1" t="n">
        <v>45844</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35171-2023</t>
        </is>
      </c>
      <c r="B1208" s="1" t="n">
        <v>45145</v>
      </c>
      <c r="C1208" s="1" t="n">
        <v>45844</v>
      </c>
      <c r="D1208" t="inlineStr">
        <is>
          <t>KALMAR LÄN</t>
        </is>
      </c>
      <c r="E1208" t="inlineStr">
        <is>
          <t>VÄSTERVIK</t>
        </is>
      </c>
      <c r="F1208" t="inlineStr">
        <is>
          <t>Holmen skog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35160-2023</t>
        </is>
      </c>
      <c r="B1209" s="1" t="n">
        <v>45145</v>
      </c>
      <c r="C1209" s="1" t="n">
        <v>45844</v>
      </c>
      <c r="D1209" t="inlineStr">
        <is>
          <t>KALMAR LÄN</t>
        </is>
      </c>
      <c r="E1209" t="inlineStr">
        <is>
          <t>VÄSTERVIK</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35180-2023</t>
        </is>
      </c>
      <c r="B1210" s="1" t="n">
        <v>45145</v>
      </c>
      <c r="C1210" s="1" t="n">
        <v>45844</v>
      </c>
      <c r="D1210" t="inlineStr">
        <is>
          <t>KALMAR LÄN</t>
        </is>
      </c>
      <c r="E1210" t="inlineStr">
        <is>
          <t>VÄSTERVIK</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35502-2023</t>
        </is>
      </c>
      <c r="B1211" s="1" t="n">
        <v>45146</v>
      </c>
      <c r="C1211" s="1" t="n">
        <v>45844</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35484-2023</t>
        </is>
      </c>
      <c r="B1212" s="1" t="n">
        <v>45146</v>
      </c>
      <c r="C1212" s="1" t="n">
        <v>45844</v>
      </c>
      <c r="D1212" t="inlineStr">
        <is>
          <t>KALMAR LÄN</t>
        </is>
      </c>
      <c r="E1212" t="inlineStr">
        <is>
          <t>VÄSTERVIK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35485-2023</t>
        </is>
      </c>
      <c r="B1213" s="1" t="n">
        <v>45146</v>
      </c>
      <c r="C1213" s="1" t="n">
        <v>45844</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35658-2023</t>
        </is>
      </c>
      <c r="B1214" s="1" t="n">
        <v>45147</v>
      </c>
      <c r="C1214" s="1" t="n">
        <v>45844</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35662-2023</t>
        </is>
      </c>
      <c r="B1215" s="1" t="n">
        <v>45147</v>
      </c>
      <c r="C1215" s="1" t="n">
        <v>45844</v>
      </c>
      <c r="D1215" t="inlineStr">
        <is>
          <t>KALMAR LÄN</t>
        </is>
      </c>
      <c r="E1215" t="inlineStr">
        <is>
          <t>VÄSTERVIK</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35666-2023</t>
        </is>
      </c>
      <c r="B1216" s="1" t="n">
        <v>45147</v>
      </c>
      <c r="C1216" s="1" t="n">
        <v>45844</v>
      </c>
      <c r="D1216" t="inlineStr">
        <is>
          <t>KALMAR LÄN</t>
        </is>
      </c>
      <c r="E1216" t="inlineStr">
        <is>
          <t>VÄSTERVIK</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35606-2023</t>
        </is>
      </c>
      <c r="B1217" s="1" t="n">
        <v>45147</v>
      </c>
      <c r="C1217" s="1" t="n">
        <v>45844</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35770-2023</t>
        </is>
      </c>
      <c r="B1218" s="1" t="n">
        <v>45147</v>
      </c>
      <c r="C1218" s="1" t="n">
        <v>45844</v>
      </c>
      <c r="D1218" t="inlineStr">
        <is>
          <t>KALMAR LÄN</t>
        </is>
      </c>
      <c r="E1218" t="inlineStr">
        <is>
          <t>VÄSTERVIK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35655-2023</t>
        </is>
      </c>
      <c r="B1219" s="1" t="n">
        <v>45147</v>
      </c>
      <c r="C1219" s="1" t="n">
        <v>45844</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35667-2023</t>
        </is>
      </c>
      <c r="B1220" s="1" t="n">
        <v>45147</v>
      </c>
      <c r="C1220" s="1" t="n">
        <v>45844</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35652-2023</t>
        </is>
      </c>
      <c r="B1221" s="1" t="n">
        <v>45147</v>
      </c>
      <c r="C1221" s="1" t="n">
        <v>45844</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35660-2023</t>
        </is>
      </c>
      <c r="B1222" s="1" t="n">
        <v>45147</v>
      </c>
      <c r="C1222" s="1" t="n">
        <v>45844</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35619-2023</t>
        </is>
      </c>
      <c r="B1223" s="1" t="n">
        <v>45147</v>
      </c>
      <c r="C1223" s="1" t="n">
        <v>45844</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35653-2023</t>
        </is>
      </c>
      <c r="B1224" s="1" t="n">
        <v>45147</v>
      </c>
      <c r="C1224" s="1" t="n">
        <v>45844</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35665-2023</t>
        </is>
      </c>
      <c r="B1225" s="1" t="n">
        <v>45147</v>
      </c>
      <c r="C1225" s="1" t="n">
        <v>45844</v>
      </c>
      <c r="D1225" t="inlineStr">
        <is>
          <t>KALMAR LÄN</t>
        </is>
      </c>
      <c r="E1225" t="inlineStr">
        <is>
          <t>VÄSTERVIK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35960-2023</t>
        </is>
      </c>
      <c r="B1226" s="1" t="n">
        <v>45148</v>
      </c>
      <c r="C1226" s="1" t="n">
        <v>45844</v>
      </c>
      <c r="D1226" t="inlineStr">
        <is>
          <t>KALMAR LÄN</t>
        </is>
      </c>
      <c r="E1226" t="inlineStr">
        <is>
          <t>VÄSTERVIK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35959-2023</t>
        </is>
      </c>
      <c r="B1227" s="1" t="n">
        <v>45148</v>
      </c>
      <c r="C1227" s="1" t="n">
        <v>45844</v>
      </c>
      <c r="D1227" t="inlineStr">
        <is>
          <t>KALMAR LÄN</t>
        </is>
      </c>
      <c r="E1227" t="inlineStr">
        <is>
          <t>VÄSTERVIK</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35962-2023</t>
        </is>
      </c>
      <c r="B1228" s="1" t="n">
        <v>45148</v>
      </c>
      <c r="C1228" s="1" t="n">
        <v>45844</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35961-2023</t>
        </is>
      </c>
      <c r="B1229" s="1" t="n">
        <v>45148</v>
      </c>
      <c r="C1229" s="1" t="n">
        <v>45844</v>
      </c>
      <c r="D1229" t="inlineStr">
        <is>
          <t>KALMAR LÄN</t>
        </is>
      </c>
      <c r="E1229" t="inlineStr">
        <is>
          <t>VÄSTERVIK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36418-2023</t>
        </is>
      </c>
      <c r="B1230" s="1" t="n">
        <v>45152</v>
      </c>
      <c r="C1230" s="1" t="n">
        <v>45844</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c r="U1230">
        <f>HYPERLINK("https://klasma.github.io/Logging_0883/knärot/A 36418-2023 karta knärot.png", "A 36418-2023")</f>
        <v/>
      </c>
      <c r="V1230">
        <f>HYPERLINK("https://klasma.github.io/Logging_0883/klagomål/A 36418-2023 FSC-klagomål.docx", "A 36418-2023")</f>
        <v/>
      </c>
      <c r="W1230">
        <f>HYPERLINK("https://klasma.github.io/Logging_0883/klagomålsmail/A 36418-2023 FSC-klagomål mail.docx", "A 36418-2023")</f>
        <v/>
      </c>
      <c r="X1230">
        <f>HYPERLINK("https://klasma.github.io/Logging_0883/tillsyn/A 36418-2023 tillsynsbegäran.docx", "A 36418-2023")</f>
        <v/>
      </c>
      <c r="Y1230">
        <f>HYPERLINK("https://klasma.github.io/Logging_0883/tillsynsmail/A 36418-2023 tillsynsbegäran mail.docx", "A 36418-2023")</f>
        <v/>
      </c>
    </row>
    <row r="1231" ht="15" customHeight="1">
      <c r="A1231" t="inlineStr">
        <is>
          <t>A 36572-2023</t>
        </is>
      </c>
      <c r="B1231" s="1" t="n">
        <v>45153</v>
      </c>
      <c r="C1231" s="1" t="n">
        <v>45844</v>
      </c>
      <c r="D1231" t="inlineStr">
        <is>
          <t>KALMAR LÄN</t>
        </is>
      </c>
      <c r="E1231" t="inlineStr">
        <is>
          <t>VÄSTERVIK</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36643-2023</t>
        </is>
      </c>
      <c r="B1232" s="1" t="n">
        <v>45153</v>
      </c>
      <c r="C1232" s="1" t="n">
        <v>45844</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37349-2023</t>
        </is>
      </c>
      <c r="B1233" s="1" t="n">
        <v>45156</v>
      </c>
      <c r="C1233" s="1" t="n">
        <v>45844</v>
      </c>
      <c r="D1233" t="inlineStr">
        <is>
          <t>KALMAR LÄN</t>
        </is>
      </c>
      <c r="E1233" t="inlineStr">
        <is>
          <t>VÄSTERVIK</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37352-2023</t>
        </is>
      </c>
      <c r="B1234" s="1" t="n">
        <v>45156</v>
      </c>
      <c r="C1234" s="1" t="n">
        <v>45844</v>
      </c>
      <c r="D1234" t="inlineStr">
        <is>
          <t>KALMAR LÄN</t>
        </is>
      </c>
      <c r="E1234" t="inlineStr">
        <is>
          <t>VÄSTERVIK</t>
        </is>
      </c>
      <c r="F1234" t="inlineStr">
        <is>
          <t>Sveaskog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37354-2023</t>
        </is>
      </c>
      <c r="B1235" s="1" t="n">
        <v>45156</v>
      </c>
      <c r="C1235" s="1" t="n">
        <v>45844</v>
      </c>
      <c r="D1235" t="inlineStr">
        <is>
          <t>KALMAR LÄN</t>
        </is>
      </c>
      <c r="E1235" t="inlineStr">
        <is>
          <t>VÄSTERVIK</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37351-2023</t>
        </is>
      </c>
      <c r="B1236" s="1" t="n">
        <v>45156</v>
      </c>
      <c r="C1236" s="1" t="n">
        <v>45844</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37642-2023</t>
        </is>
      </c>
      <c r="B1237" s="1" t="n">
        <v>45159</v>
      </c>
      <c r="C1237" s="1" t="n">
        <v>45844</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37643-2023</t>
        </is>
      </c>
      <c r="B1238" s="1" t="n">
        <v>45159</v>
      </c>
      <c r="C1238" s="1" t="n">
        <v>45844</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37644-2023</t>
        </is>
      </c>
      <c r="B1239" s="1" t="n">
        <v>45159</v>
      </c>
      <c r="C1239" s="1" t="n">
        <v>45844</v>
      </c>
      <c r="D1239" t="inlineStr">
        <is>
          <t>KALMAR LÄN</t>
        </is>
      </c>
      <c r="E1239" t="inlineStr">
        <is>
          <t>VÄSTERVIK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37661-2023</t>
        </is>
      </c>
      <c r="B1240" s="1" t="n">
        <v>45159</v>
      </c>
      <c r="C1240" s="1" t="n">
        <v>45844</v>
      </c>
      <c r="D1240" t="inlineStr">
        <is>
          <t>KALMAR LÄN</t>
        </is>
      </c>
      <c r="E1240" t="inlineStr">
        <is>
          <t>VÄSTERVIK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37716-2023</t>
        </is>
      </c>
      <c r="B1241" s="1" t="n">
        <v>45159</v>
      </c>
      <c r="C1241" s="1" t="n">
        <v>45844</v>
      </c>
      <c r="D1241" t="inlineStr">
        <is>
          <t>KALMAR LÄN</t>
        </is>
      </c>
      <c r="E1241" t="inlineStr">
        <is>
          <t>VÄSTERVIK</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37858-2023</t>
        </is>
      </c>
      <c r="B1242" s="1" t="n">
        <v>45160</v>
      </c>
      <c r="C1242" s="1" t="n">
        <v>45844</v>
      </c>
      <c r="D1242" t="inlineStr">
        <is>
          <t>KALMAR LÄN</t>
        </is>
      </c>
      <c r="E1242" t="inlineStr">
        <is>
          <t>VÄSTERVIK</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37956-2023</t>
        </is>
      </c>
      <c r="B1243" s="1" t="n">
        <v>45160</v>
      </c>
      <c r="C1243" s="1" t="n">
        <v>45844</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38040-2023</t>
        </is>
      </c>
      <c r="B1244" s="1" t="n">
        <v>45160</v>
      </c>
      <c r="C1244" s="1" t="n">
        <v>45844</v>
      </c>
      <c r="D1244" t="inlineStr">
        <is>
          <t>KALMAR LÄN</t>
        </is>
      </c>
      <c r="E1244" t="inlineStr">
        <is>
          <t>VÄSTERVIK</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38045-2023</t>
        </is>
      </c>
      <c r="B1245" s="1" t="n">
        <v>45160</v>
      </c>
      <c r="C1245" s="1" t="n">
        <v>45844</v>
      </c>
      <c r="D1245" t="inlineStr">
        <is>
          <t>KALMAR LÄN</t>
        </is>
      </c>
      <c r="E1245" t="inlineStr">
        <is>
          <t>VÄSTERVIK</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37952-2023</t>
        </is>
      </c>
      <c r="B1246" s="1" t="n">
        <v>45160</v>
      </c>
      <c r="C1246" s="1" t="n">
        <v>45844</v>
      </c>
      <c r="D1246" t="inlineStr">
        <is>
          <t>KALMAR LÄN</t>
        </is>
      </c>
      <c r="E1246" t="inlineStr">
        <is>
          <t>VÄSTERVIK</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37986-2023</t>
        </is>
      </c>
      <c r="B1247" s="1" t="n">
        <v>45160</v>
      </c>
      <c r="C1247" s="1" t="n">
        <v>45844</v>
      </c>
      <c r="D1247" t="inlineStr">
        <is>
          <t>KALMAR LÄN</t>
        </is>
      </c>
      <c r="E1247" t="inlineStr">
        <is>
          <t>VÄSTERVIK</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37991-2023</t>
        </is>
      </c>
      <c r="B1248" s="1" t="n">
        <v>45160</v>
      </c>
      <c r="C1248" s="1" t="n">
        <v>45844</v>
      </c>
      <c r="D1248" t="inlineStr">
        <is>
          <t>KALMAR LÄN</t>
        </is>
      </c>
      <c r="E1248" t="inlineStr">
        <is>
          <t>VÄSTERVIK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38047-2023</t>
        </is>
      </c>
      <c r="B1249" s="1" t="n">
        <v>45160</v>
      </c>
      <c r="C1249" s="1" t="n">
        <v>45844</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37987-2023</t>
        </is>
      </c>
      <c r="B1250" s="1" t="n">
        <v>45160</v>
      </c>
      <c r="C1250" s="1" t="n">
        <v>45844</v>
      </c>
      <c r="D1250" t="inlineStr">
        <is>
          <t>KALMAR LÄN</t>
        </is>
      </c>
      <c r="E1250" t="inlineStr">
        <is>
          <t>VÄSTERVIK</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37997-2023</t>
        </is>
      </c>
      <c r="B1251" s="1" t="n">
        <v>45160</v>
      </c>
      <c r="C1251" s="1" t="n">
        <v>45844</v>
      </c>
      <c r="D1251" t="inlineStr">
        <is>
          <t>KALMAR LÄN</t>
        </is>
      </c>
      <c r="E1251" t="inlineStr">
        <is>
          <t>VÄSTERVIK</t>
        </is>
      </c>
      <c r="F1251" t="inlineStr">
        <is>
          <t>Sveaskog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37957-2023</t>
        </is>
      </c>
      <c r="B1252" s="1" t="n">
        <v>45160</v>
      </c>
      <c r="C1252" s="1" t="n">
        <v>45844</v>
      </c>
      <c r="D1252" t="inlineStr">
        <is>
          <t>KALMAR LÄN</t>
        </is>
      </c>
      <c r="E1252" t="inlineStr">
        <is>
          <t>VÄSTERVIK</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37963-2023</t>
        </is>
      </c>
      <c r="B1253" s="1" t="n">
        <v>45160</v>
      </c>
      <c r="C1253" s="1" t="n">
        <v>45844</v>
      </c>
      <c r="D1253" t="inlineStr">
        <is>
          <t>KALMAR LÄN</t>
        </is>
      </c>
      <c r="E1253" t="inlineStr">
        <is>
          <t>VÄSTERVIK</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37989-2023</t>
        </is>
      </c>
      <c r="B1254" s="1" t="n">
        <v>45160</v>
      </c>
      <c r="C1254" s="1" t="n">
        <v>45844</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37995-2023</t>
        </is>
      </c>
      <c r="B1255" s="1" t="n">
        <v>45160</v>
      </c>
      <c r="C1255" s="1" t="n">
        <v>45844</v>
      </c>
      <c r="D1255" t="inlineStr">
        <is>
          <t>KALMAR LÄN</t>
        </is>
      </c>
      <c r="E1255" t="inlineStr">
        <is>
          <t>VÄSTERVIK</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38037-2023</t>
        </is>
      </c>
      <c r="B1256" s="1" t="n">
        <v>45160</v>
      </c>
      <c r="C1256" s="1" t="n">
        <v>45844</v>
      </c>
      <c r="D1256" t="inlineStr">
        <is>
          <t>KALMAR LÄN</t>
        </is>
      </c>
      <c r="E1256" t="inlineStr">
        <is>
          <t>VÄSTERVIK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38041-2023</t>
        </is>
      </c>
      <c r="B1257" s="1" t="n">
        <v>45160</v>
      </c>
      <c r="C1257" s="1" t="n">
        <v>45844</v>
      </c>
      <c r="D1257" t="inlineStr">
        <is>
          <t>KALMAR LÄN</t>
        </is>
      </c>
      <c r="E1257" t="inlineStr">
        <is>
          <t>VÄSTERVIK</t>
        </is>
      </c>
      <c r="F1257" t="inlineStr">
        <is>
          <t>Sveaskog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38046-2023</t>
        </is>
      </c>
      <c r="B1258" s="1" t="n">
        <v>45160</v>
      </c>
      <c r="C1258" s="1" t="n">
        <v>45844</v>
      </c>
      <c r="D1258" t="inlineStr">
        <is>
          <t>KALMAR LÄN</t>
        </is>
      </c>
      <c r="E1258" t="inlineStr">
        <is>
          <t>VÄSTERVIK</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38048-2023</t>
        </is>
      </c>
      <c r="B1259" s="1" t="n">
        <v>45160</v>
      </c>
      <c r="C1259" s="1" t="n">
        <v>45844</v>
      </c>
      <c r="D1259" t="inlineStr">
        <is>
          <t>KALMAR LÄN</t>
        </is>
      </c>
      <c r="E1259" t="inlineStr">
        <is>
          <t>VÄSTERVIK</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38174-2023</t>
        </is>
      </c>
      <c r="B1260" s="1" t="n">
        <v>45161</v>
      </c>
      <c r="C1260" s="1" t="n">
        <v>45844</v>
      </c>
      <c r="D1260" t="inlineStr">
        <is>
          <t>KALMAR LÄN</t>
        </is>
      </c>
      <c r="E1260" t="inlineStr">
        <is>
          <t>VÄSTERVIK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39299-2023</t>
        </is>
      </c>
      <c r="B1261" s="1" t="n">
        <v>45166</v>
      </c>
      <c r="C1261" s="1" t="n">
        <v>45844</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39630-2023</t>
        </is>
      </c>
      <c r="B1262" s="1" t="n">
        <v>45167</v>
      </c>
      <c r="C1262" s="1" t="n">
        <v>45844</v>
      </c>
      <c r="D1262" t="inlineStr">
        <is>
          <t>KALMAR LÄN</t>
        </is>
      </c>
      <c r="E1262" t="inlineStr">
        <is>
          <t>VÄSTERVIK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39892-2023</t>
        </is>
      </c>
      <c r="B1263" s="1" t="n">
        <v>45168</v>
      </c>
      <c r="C1263" s="1" t="n">
        <v>45844</v>
      </c>
      <c r="D1263" t="inlineStr">
        <is>
          <t>KALMAR LÄN</t>
        </is>
      </c>
      <c r="E1263" t="inlineStr">
        <is>
          <t>VÄSTERVIK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40677-2023</t>
        </is>
      </c>
      <c r="B1264" s="1" t="n">
        <v>45170</v>
      </c>
      <c r="C1264" s="1" t="n">
        <v>45844</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40451-2023</t>
        </is>
      </c>
      <c r="B1265" s="1" t="n">
        <v>45170</v>
      </c>
      <c r="C1265" s="1" t="n">
        <v>45844</v>
      </c>
      <c r="D1265" t="inlineStr">
        <is>
          <t>KALMAR LÄN</t>
        </is>
      </c>
      <c r="E1265" t="inlineStr">
        <is>
          <t>VÄSTERVIK</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40674-2023</t>
        </is>
      </c>
      <c r="B1266" s="1" t="n">
        <v>45170</v>
      </c>
      <c r="C1266" s="1" t="n">
        <v>45844</v>
      </c>
      <c r="D1266" t="inlineStr">
        <is>
          <t>KALMAR LÄN</t>
        </is>
      </c>
      <c r="E1266" t="inlineStr">
        <is>
          <t>VÄSTERVIK</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40973-2023</t>
        </is>
      </c>
      <c r="B1267" s="1" t="n">
        <v>45173</v>
      </c>
      <c r="C1267" s="1" t="n">
        <v>45844</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40935-2023</t>
        </is>
      </c>
      <c r="B1268" s="1" t="n">
        <v>45173</v>
      </c>
      <c r="C1268" s="1" t="n">
        <v>45844</v>
      </c>
      <c r="D1268" t="inlineStr">
        <is>
          <t>KALMAR LÄN</t>
        </is>
      </c>
      <c r="E1268" t="inlineStr">
        <is>
          <t>VÄSTERVIK</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40977-2023</t>
        </is>
      </c>
      <c r="B1269" s="1" t="n">
        <v>45173</v>
      </c>
      <c r="C1269" s="1" t="n">
        <v>45844</v>
      </c>
      <c r="D1269" t="inlineStr">
        <is>
          <t>KALMAR LÄN</t>
        </is>
      </c>
      <c r="E1269" t="inlineStr">
        <is>
          <t>VÄSTERVIK</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41342-2023</t>
        </is>
      </c>
      <c r="B1270" s="1" t="n">
        <v>45174</v>
      </c>
      <c r="C1270" s="1" t="n">
        <v>45844</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41994-2023</t>
        </is>
      </c>
      <c r="B1271" s="1" t="n">
        <v>45177</v>
      </c>
      <c r="C1271" s="1" t="n">
        <v>45844</v>
      </c>
      <c r="D1271" t="inlineStr">
        <is>
          <t>KALMAR LÄN</t>
        </is>
      </c>
      <c r="E1271" t="inlineStr">
        <is>
          <t>VÄSTERVIK</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42415-2023</t>
        </is>
      </c>
      <c r="B1272" s="1" t="n">
        <v>45180</v>
      </c>
      <c r="C1272" s="1" t="n">
        <v>45844</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42331-2023</t>
        </is>
      </c>
      <c r="B1273" s="1" t="n">
        <v>45180</v>
      </c>
      <c r="C1273" s="1" t="n">
        <v>45844</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42348-2023</t>
        </is>
      </c>
      <c r="B1274" s="1" t="n">
        <v>45180</v>
      </c>
      <c r="C1274" s="1" t="n">
        <v>45844</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43660-2023</t>
        </is>
      </c>
      <c r="B1275" s="1" t="n">
        <v>45187</v>
      </c>
      <c r="C1275" s="1" t="n">
        <v>45844</v>
      </c>
      <c r="D1275" t="inlineStr">
        <is>
          <t>KALMAR LÄN</t>
        </is>
      </c>
      <c r="E1275" t="inlineStr">
        <is>
          <t>VÄSTERVIK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43759-2023</t>
        </is>
      </c>
      <c r="B1276" s="1" t="n">
        <v>45187</v>
      </c>
      <c r="C1276" s="1" t="n">
        <v>45844</v>
      </c>
      <c r="D1276" t="inlineStr">
        <is>
          <t>KALMAR LÄN</t>
        </is>
      </c>
      <c r="E1276" t="inlineStr">
        <is>
          <t>VÄSTERVIK</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43900-2023</t>
        </is>
      </c>
      <c r="B1277" s="1" t="n">
        <v>45187</v>
      </c>
      <c r="C1277" s="1" t="n">
        <v>45844</v>
      </c>
      <c r="D1277" t="inlineStr">
        <is>
          <t>KALMAR LÄN</t>
        </is>
      </c>
      <c r="E1277" t="inlineStr">
        <is>
          <t>VÄSTERVIK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44705-2023</t>
        </is>
      </c>
      <c r="B1278" s="1" t="n">
        <v>45190</v>
      </c>
      <c r="C1278" s="1" t="n">
        <v>45844</v>
      </c>
      <c r="D1278" t="inlineStr">
        <is>
          <t>KALMAR LÄN</t>
        </is>
      </c>
      <c r="E1278" t="inlineStr">
        <is>
          <t>VÄSTERVIK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44714-2023</t>
        </is>
      </c>
      <c r="B1279" s="1" t="n">
        <v>45190</v>
      </c>
      <c r="C1279" s="1" t="n">
        <v>45844</v>
      </c>
      <c r="D1279" t="inlineStr">
        <is>
          <t>KALMAR LÄN</t>
        </is>
      </c>
      <c r="E1279" t="inlineStr">
        <is>
          <t>VÄSTERVIK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44749-2023</t>
        </is>
      </c>
      <c r="B1280" s="1" t="n">
        <v>45190</v>
      </c>
      <c r="C1280" s="1" t="n">
        <v>45844</v>
      </c>
      <c r="D1280" t="inlineStr">
        <is>
          <t>KALMAR LÄN</t>
        </is>
      </c>
      <c r="E1280" t="inlineStr">
        <is>
          <t>VÄSTERVIK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44721-2023</t>
        </is>
      </c>
      <c r="B1281" s="1" t="n">
        <v>45190</v>
      </c>
      <c r="C1281" s="1" t="n">
        <v>45844</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45192-2023</t>
        </is>
      </c>
      <c r="B1282" s="1" t="n">
        <v>45191</v>
      </c>
      <c r="C1282" s="1" t="n">
        <v>45844</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45202-2023</t>
        </is>
      </c>
      <c r="B1283" s="1" t="n">
        <v>45191</v>
      </c>
      <c r="C1283" s="1" t="n">
        <v>45844</v>
      </c>
      <c r="D1283" t="inlineStr">
        <is>
          <t>KALMAR LÄN</t>
        </is>
      </c>
      <c r="E1283" t="inlineStr">
        <is>
          <t>VÄSTERVIK</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45190-2023</t>
        </is>
      </c>
      <c r="B1284" s="1" t="n">
        <v>45191</v>
      </c>
      <c r="C1284" s="1" t="n">
        <v>45844</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45396-2023</t>
        </is>
      </c>
      <c r="B1285" s="1" t="n">
        <v>45194</v>
      </c>
      <c r="C1285" s="1" t="n">
        <v>45844</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45474-2023</t>
        </is>
      </c>
      <c r="B1286" s="1" t="n">
        <v>45194</v>
      </c>
      <c r="C1286" s="1" t="n">
        <v>45844</v>
      </c>
      <c r="D1286" t="inlineStr">
        <is>
          <t>KALMAR LÄN</t>
        </is>
      </c>
      <c r="E1286" t="inlineStr">
        <is>
          <t>VÄSTERVIK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45450-2023</t>
        </is>
      </c>
      <c r="B1287" s="1" t="n">
        <v>45194</v>
      </c>
      <c r="C1287" s="1" t="n">
        <v>45844</v>
      </c>
      <c r="D1287" t="inlineStr">
        <is>
          <t>KALMAR LÄN</t>
        </is>
      </c>
      <c r="E1287" t="inlineStr">
        <is>
          <t>VÄSTERVIK</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45460-2023</t>
        </is>
      </c>
      <c r="B1288" s="1" t="n">
        <v>45194</v>
      </c>
      <c r="C1288" s="1" t="n">
        <v>45844</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45921-2023</t>
        </is>
      </c>
      <c r="B1289" s="1" t="n">
        <v>45195</v>
      </c>
      <c r="C1289" s="1" t="n">
        <v>45844</v>
      </c>
      <c r="D1289" t="inlineStr">
        <is>
          <t>KALMAR LÄN</t>
        </is>
      </c>
      <c r="E1289" t="inlineStr">
        <is>
          <t>VÄSTERVIK</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46088-2023</t>
        </is>
      </c>
      <c r="B1290" s="1" t="n">
        <v>45196</v>
      </c>
      <c r="C1290" s="1" t="n">
        <v>45844</v>
      </c>
      <c r="D1290" t="inlineStr">
        <is>
          <t>KALMAR LÄN</t>
        </is>
      </c>
      <c r="E1290" t="inlineStr">
        <is>
          <t>VÄSTERVIK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46124-2023</t>
        </is>
      </c>
      <c r="B1291" s="1" t="n">
        <v>45196</v>
      </c>
      <c r="C1291" s="1" t="n">
        <v>45844</v>
      </c>
      <c r="D1291" t="inlineStr">
        <is>
          <t>KALMAR LÄN</t>
        </is>
      </c>
      <c r="E1291" t="inlineStr">
        <is>
          <t>VÄSTERVIK</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46129-2023</t>
        </is>
      </c>
      <c r="B1292" s="1" t="n">
        <v>45196</v>
      </c>
      <c r="C1292" s="1" t="n">
        <v>45844</v>
      </c>
      <c r="D1292" t="inlineStr">
        <is>
          <t>KALMAR LÄN</t>
        </is>
      </c>
      <c r="E1292" t="inlineStr">
        <is>
          <t>VÄSTERVIK</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46067-2023</t>
        </is>
      </c>
      <c r="B1293" s="1" t="n">
        <v>45196</v>
      </c>
      <c r="C1293" s="1" t="n">
        <v>45844</v>
      </c>
      <c r="D1293" t="inlineStr">
        <is>
          <t>KALMAR LÄN</t>
        </is>
      </c>
      <c r="E1293" t="inlineStr">
        <is>
          <t>VÄSTERVIK</t>
        </is>
      </c>
      <c r="F1293" t="inlineStr">
        <is>
          <t>Sveaskog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46064-2023</t>
        </is>
      </c>
      <c r="B1294" s="1" t="n">
        <v>45196</v>
      </c>
      <c r="C1294" s="1" t="n">
        <v>45844</v>
      </c>
      <c r="D1294" t="inlineStr">
        <is>
          <t>KALMAR LÄN</t>
        </is>
      </c>
      <c r="E1294" t="inlineStr">
        <is>
          <t>VÄSTERVIK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46069-2023</t>
        </is>
      </c>
      <c r="B1295" s="1" t="n">
        <v>45196</v>
      </c>
      <c r="C1295" s="1" t="n">
        <v>45844</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46130-2023</t>
        </is>
      </c>
      <c r="B1296" s="1" t="n">
        <v>45196</v>
      </c>
      <c r="C1296" s="1" t="n">
        <v>45844</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46066-2023</t>
        </is>
      </c>
      <c r="B1297" s="1" t="n">
        <v>45196</v>
      </c>
      <c r="C1297" s="1" t="n">
        <v>45844</v>
      </c>
      <c r="D1297" t="inlineStr">
        <is>
          <t>KALMAR LÄN</t>
        </is>
      </c>
      <c r="E1297" t="inlineStr">
        <is>
          <t>VÄSTERVIK</t>
        </is>
      </c>
      <c r="F1297" t="inlineStr">
        <is>
          <t>Sveaskog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46070-2023</t>
        </is>
      </c>
      <c r="B1298" s="1" t="n">
        <v>45196</v>
      </c>
      <c r="C1298" s="1" t="n">
        <v>45844</v>
      </c>
      <c r="D1298" t="inlineStr">
        <is>
          <t>KALMAR LÄN</t>
        </is>
      </c>
      <c r="E1298" t="inlineStr">
        <is>
          <t>VÄSTERVIK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46121-2023</t>
        </is>
      </c>
      <c r="B1299" s="1" t="n">
        <v>45196</v>
      </c>
      <c r="C1299" s="1" t="n">
        <v>45844</v>
      </c>
      <c r="D1299" t="inlineStr">
        <is>
          <t>KALMAR LÄN</t>
        </is>
      </c>
      <c r="E1299" t="inlineStr">
        <is>
          <t>VÄSTERVIK</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46126-2023</t>
        </is>
      </c>
      <c r="B1300" s="1" t="n">
        <v>45196</v>
      </c>
      <c r="C1300" s="1" t="n">
        <v>45844</v>
      </c>
      <c r="D1300" t="inlineStr">
        <is>
          <t>KALMAR LÄN</t>
        </is>
      </c>
      <c r="E1300" t="inlineStr">
        <is>
          <t>VÄSTERVIK</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46131-2023</t>
        </is>
      </c>
      <c r="B1301" s="1" t="n">
        <v>45196</v>
      </c>
      <c r="C1301" s="1" t="n">
        <v>45844</v>
      </c>
      <c r="D1301" t="inlineStr">
        <is>
          <t>KALMAR LÄN</t>
        </is>
      </c>
      <c r="E1301" t="inlineStr">
        <is>
          <t>VÄSTERVIK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46598-2023</t>
        </is>
      </c>
      <c r="B1302" s="1" t="n">
        <v>45198</v>
      </c>
      <c r="C1302" s="1" t="n">
        <v>45844</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46717-2023</t>
        </is>
      </c>
      <c r="B1303" s="1" t="n">
        <v>45198</v>
      </c>
      <c r="C1303" s="1" t="n">
        <v>45844</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46718-2023</t>
        </is>
      </c>
      <c r="B1304" s="1" t="n">
        <v>45198</v>
      </c>
      <c r="C1304" s="1" t="n">
        <v>45844</v>
      </c>
      <c r="D1304" t="inlineStr">
        <is>
          <t>KALMAR LÄN</t>
        </is>
      </c>
      <c r="E1304" t="inlineStr">
        <is>
          <t>VÄSTERVIK</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47123-2023</t>
        </is>
      </c>
      <c r="B1305" s="1" t="n">
        <v>45201</v>
      </c>
      <c r="C1305" s="1" t="n">
        <v>45844</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46920-2023</t>
        </is>
      </c>
      <c r="B1306" s="1" t="n">
        <v>45201</v>
      </c>
      <c r="C1306" s="1" t="n">
        <v>45844</v>
      </c>
      <c r="D1306" t="inlineStr">
        <is>
          <t>KALMAR LÄN</t>
        </is>
      </c>
      <c r="E1306" t="inlineStr">
        <is>
          <t>VÄSTERVIK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47111-2023</t>
        </is>
      </c>
      <c r="B1307" s="1" t="n">
        <v>45201</v>
      </c>
      <c r="C1307" s="1" t="n">
        <v>45844</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47120-2023</t>
        </is>
      </c>
      <c r="B1308" s="1" t="n">
        <v>45201</v>
      </c>
      <c r="C1308" s="1" t="n">
        <v>45844</v>
      </c>
      <c r="D1308" t="inlineStr">
        <is>
          <t>KALMAR LÄN</t>
        </is>
      </c>
      <c r="E1308" t="inlineStr">
        <is>
          <t>VÄSTERVIK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47124-2023</t>
        </is>
      </c>
      <c r="B1309" s="1" t="n">
        <v>45201</v>
      </c>
      <c r="C1309" s="1" t="n">
        <v>45844</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46970-2023</t>
        </is>
      </c>
      <c r="B1310" s="1" t="n">
        <v>45201</v>
      </c>
      <c r="C1310" s="1" t="n">
        <v>45844</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46968-2023</t>
        </is>
      </c>
      <c r="B1311" s="1" t="n">
        <v>45201</v>
      </c>
      <c r="C1311" s="1" t="n">
        <v>45844</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47414-2023</t>
        </is>
      </c>
      <c r="B1312" s="1" t="n">
        <v>45202</v>
      </c>
      <c r="C1312" s="1" t="n">
        <v>45844</v>
      </c>
      <c r="D1312" t="inlineStr">
        <is>
          <t>KALMAR LÄN</t>
        </is>
      </c>
      <c r="E1312" t="inlineStr">
        <is>
          <t>VÄSTERVIK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47267-2023</t>
        </is>
      </c>
      <c r="B1313" s="1" t="n">
        <v>45202</v>
      </c>
      <c r="C1313" s="1" t="n">
        <v>45844</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47363-2023</t>
        </is>
      </c>
      <c r="B1314" s="1" t="n">
        <v>45202</v>
      </c>
      <c r="C1314" s="1" t="n">
        <v>45844</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47964-2023</t>
        </is>
      </c>
      <c r="B1315" s="1" t="n">
        <v>45204</v>
      </c>
      <c r="C1315" s="1" t="n">
        <v>45844</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47945-2023</t>
        </is>
      </c>
      <c r="B1316" s="1" t="n">
        <v>45204</v>
      </c>
      <c r="C1316" s="1" t="n">
        <v>45844</v>
      </c>
      <c r="D1316" t="inlineStr">
        <is>
          <t>KALMAR LÄN</t>
        </is>
      </c>
      <c r="E1316" t="inlineStr">
        <is>
          <t>VÄSTERVIK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47939-2023</t>
        </is>
      </c>
      <c r="B1317" s="1" t="n">
        <v>45204</v>
      </c>
      <c r="C1317" s="1" t="n">
        <v>45844</v>
      </c>
      <c r="D1317" t="inlineStr">
        <is>
          <t>KALMAR LÄN</t>
        </is>
      </c>
      <c r="E1317" t="inlineStr">
        <is>
          <t>VÄSTERVIK</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48039-2023</t>
        </is>
      </c>
      <c r="B1318" s="1" t="n">
        <v>45204</v>
      </c>
      <c r="C1318" s="1" t="n">
        <v>45844</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48043-2023</t>
        </is>
      </c>
      <c r="B1319" s="1" t="n">
        <v>45204</v>
      </c>
      <c r="C1319" s="1" t="n">
        <v>45844</v>
      </c>
      <c r="D1319" t="inlineStr">
        <is>
          <t>KALMAR LÄN</t>
        </is>
      </c>
      <c r="E1319" t="inlineStr">
        <is>
          <t>VÄSTERVIK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48041-2023</t>
        </is>
      </c>
      <c r="B1320" s="1" t="n">
        <v>45204</v>
      </c>
      <c r="C1320" s="1" t="n">
        <v>45844</v>
      </c>
      <c r="D1320" t="inlineStr">
        <is>
          <t>KALMAR LÄN</t>
        </is>
      </c>
      <c r="E1320" t="inlineStr">
        <is>
          <t>VÄSTERVIK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47967-2023</t>
        </is>
      </c>
      <c r="B1321" s="1" t="n">
        <v>45204</v>
      </c>
      <c r="C1321" s="1" t="n">
        <v>45844</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48511-2023</t>
        </is>
      </c>
      <c r="B1322" s="1" t="n">
        <v>45208</v>
      </c>
      <c r="C1322" s="1" t="n">
        <v>45844</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49177-2023</t>
        </is>
      </c>
      <c r="B1323" s="1" t="n">
        <v>45210</v>
      </c>
      <c r="C1323" s="1" t="n">
        <v>45844</v>
      </c>
      <c r="D1323" t="inlineStr">
        <is>
          <t>KALMAR LÄN</t>
        </is>
      </c>
      <c r="E1323" t="inlineStr">
        <is>
          <t>VÄSTERVIK</t>
        </is>
      </c>
      <c r="G1323" t="n">
        <v>16.7</v>
      </c>
      <c r="H1323" t="n">
        <v>0</v>
      </c>
      <c r="I1323" t="n">
        <v>0</v>
      </c>
      <c r="J1323" t="n">
        <v>0</v>
      </c>
      <c r="K1323" t="n">
        <v>0</v>
      </c>
      <c r="L1323" t="n">
        <v>0</v>
      </c>
      <c r="M1323" t="n">
        <v>0</v>
      </c>
      <c r="N1323" t="n">
        <v>0</v>
      </c>
      <c r="O1323" t="n">
        <v>0</v>
      </c>
      <c r="P1323" t="n">
        <v>0</v>
      </c>
      <c r="Q1323" t="n">
        <v>0</v>
      </c>
      <c r="R1323" s="2" t="inlineStr"/>
    </row>
    <row r="1324" ht="15" customHeight="1">
      <c r="A1324" t="inlineStr">
        <is>
          <t>A 49351-2023</t>
        </is>
      </c>
      <c r="B1324" s="1" t="n">
        <v>45211</v>
      </c>
      <c r="C1324" s="1" t="n">
        <v>45844</v>
      </c>
      <c r="D1324" t="inlineStr">
        <is>
          <t>KALMAR LÄN</t>
        </is>
      </c>
      <c r="E1324" t="inlineStr">
        <is>
          <t>VÄSTERVIK</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49355-2023</t>
        </is>
      </c>
      <c r="B1325" s="1" t="n">
        <v>45211</v>
      </c>
      <c r="C1325" s="1" t="n">
        <v>45844</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49369-2023</t>
        </is>
      </c>
      <c r="B1326" s="1" t="n">
        <v>45211</v>
      </c>
      <c r="C1326" s="1" t="n">
        <v>45844</v>
      </c>
      <c r="D1326" t="inlineStr">
        <is>
          <t>KALMAR LÄN</t>
        </is>
      </c>
      <c r="E1326" t="inlineStr">
        <is>
          <t>VÄSTERVIK</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49452-2023</t>
        </is>
      </c>
      <c r="B1327" s="1" t="n">
        <v>45211</v>
      </c>
      <c r="C1327" s="1" t="n">
        <v>45844</v>
      </c>
      <c r="D1327" t="inlineStr">
        <is>
          <t>KALMAR LÄN</t>
        </is>
      </c>
      <c r="E1327" t="inlineStr">
        <is>
          <t>VÄSTERVIK</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49479-2023</t>
        </is>
      </c>
      <c r="B1328" s="1" t="n">
        <v>45211</v>
      </c>
      <c r="C1328" s="1" t="n">
        <v>45844</v>
      </c>
      <c r="D1328" t="inlineStr">
        <is>
          <t>KALMAR LÄN</t>
        </is>
      </c>
      <c r="E1328" t="inlineStr">
        <is>
          <t>VÄSTERVIK</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49507-2023</t>
        </is>
      </c>
      <c r="B1329" s="1" t="n">
        <v>45211</v>
      </c>
      <c r="C1329" s="1" t="n">
        <v>45844</v>
      </c>
      <c r="D1329" t="inlineStr">
        <is>
          <t>KALMAR LÄN</t>
        </is>
      </c>
      <c r="E1329" t="inlineStr">
        <is>
          <t>VÄSTERVIK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49516-2023</t>
        </is>
      </c>
      <c r="B1330" s="1" t="n">
        <v>45211</v>
      </c>
      <c r="C1330" s="1" t="n">
        <v>45844</v>
      </c>
      <c r="D1330" t="inlineStr">
        <is>
          <t>KALMAR LÄN</t>
        </is>
      </c>
      <c r="E1330" t="inlineStr">
        <is>
          <t>VÄSTERVIK</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49442-2023</t>
        </is>
      </c>
      <c r="B1331" s="1" t="n">
        <v>45211</v>
      </c>
      <c r="C1331" s="1" t="n">
        <v>45844</v>
      </c>
      <c r="D1331" t="inlineStr">
        <is>
          <t>KALMAR LÄN</t>
        </is>
      </c>
      <c r="E1331" t="inlineStr">
        <is>
          <t>VÄSTERVIK</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49468-2023</t>
        </is>
      </c>
      <c r="B1332" s="1" t="n">
        <v>45211</v>
      </c>
      <c r="C1332" s="1" t="n">
        <v>45844</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49580-2023</t>
        </is>
      </c>
      <c r="B1333" s="1" t="n">
        <v>45211</v>
      </c>
      <c r="C1333" s="1" t="n">
        <v>45844</v>
      </c>
      <c r="D1333" t="inlineStr">
        <is>
          <t>KALMAR LÄN</t>
        </is>
      </c>
      <c r="E1333" t="inlineStr">
        <is>
          <t>VÄSTERVIK</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50042-2023</t>
        </is>
      </c>
      <c r="B1334" s="1" t="n">
        <v>45215</v>
      </c>
      <c r="C1334" s="1" t="n">
        <v>45844</v>
      </c>
      <c r="D1334" t="inlineStr">
        <is>
          <t>KALMAR LÄN</t>
        </is>
      </c>
      <c r="E1334" t="inlineStr">
        <is>
          <t>VÄSTERVIK</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50127-2023</t>
        </is>
      </c>
      <c r="B1335" s="1" t="n">
        <v>45215</v>
      </c>
      <c r="C1335" s="1" t="n">
        <v>45844</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50001-2023</t>
        </is>
      </c>
      <c r="B1336" s="1" t="n">
        <v>45215</v>
      </c>
      <c r="C1336" s="1" t="n">
        <v>45844</v>
      </c>
      <c r="D1336" t="inlineStr">
        <is>
          <t>KALMAR LÄN</t>
        </is>
      </c>
      <c r="E1336" t="inlineStr">
        <is>
          <t>VÄSTERVIK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50045-2023</t>
        </is>
      </c>
      <c r="B1337" s="1" t="n">
        <v>45215</v>
      </c>
      <c r="C1337" s="1" t="n">
        <v>45844</v>
      </c>
      <c r="D1337" t="inlineStr">
        <is>
          <t>KALMAR LÄN</t>
        </is>
      </c>
      <c r="E1337" t="inlineStr">
        <is>
          <t>VÄSTERVIK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50086-2023</t>
        </is>
      </c>
      <c r="B1338" s="1" t="n">
        <v>45215</v>
      </c>
      <c r="C1338" s="1" t="n">
        <v>45844</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52043-2023</t>
        </is>
      </c>
      <c r="B1339" s="1" t="n">
        <v>45216</v>
      </c>
      <c r="C1339" s="1" t="n">
        <v>45844</v>
      </c>
      <c r="D1339" t="inlineStr">
        <is>
          <t>KALMAR LÄN</t>
        </is>
      </c>
      <c r="E1339" t="inlineStr">
        <is>
          <t>VÄSTERVIK</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52049-2023</t>
        </is>
      </c>
      <c r="B1340" s="1" t="n">
        <v>45216</v>
      </c>
      <c r="C1340" s="1" t="n">
        <v>45844</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52035-2023</t>
        </is>
      </c>
      <c r="B1341" s="1" t="n">
        <v>45216</v>
      </c>
      <c r="C1341" s="1" t="n">
        <v>45844</v>
      </c>
      <c r="D1341" t="inlineStr">
        <is>
          <t>KALMAR LÄN</t>
        </is>
      </c>
      <c r="E1341" t="inlineStr">
        <is>
          <t>VÄSTERVIK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51524-2023</t>
        </is>
      </c>
      <c r="B1342" s="1" t="n">
        <v>45222</v>
      </c>
      <c r="C1342" s="1" t="n">
        <v>45844</v>
      </c>
      <c r="D1342" t="inlineStr">
        <is>
          <t>KALMAR LÄN</t>
        </is>
      </c>
      <c r="E1342" t="inlineStr">
        <is>
          <t>VÄSTERVIK</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51640-2023</t>
        </is>
      </c>
      <c r="B1343" s="1" t="n">
        <v>45222</v>
      </c>
      <c r="C1343" s="1" t="n">
        <v>45844</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51645-2023</t>
        </is>
      </c>
      <c r="B1344" s="1" t="n">
        <v>45222</v>
      </c>
      <c r="C1344" s="1" t="n">
        <v>45844</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51581-2023</t>
        </is>
      </c>
      <c r="B1345" s="1" t="n">
        <v>45222</v>
      </c>
      <c r="C1345" s="1" t="n">
        <v>45844</v>
      </c>
      <c r="D1345" t="inlineStr">
        <is>
          <t>KALMAR LÄN</t>
        </is>
      </c>
      <c r="E1345" t="inlineStr">
        <is>
          <t>VÄSTERVIK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52189-2023</t>
        </is>
      </c>
      <c r="B1346" s="1" t="n">
        <v>45224</v>
      </c>
      <c r="C1346" s="1" t="n">
        <v>45844</v>
      </c>
      <c r="D1346" t="inlineStr">
        <is>
          <t>KALMAR LÄN</t>
        </is>
      </c>
      <c r="E1346" t="inlineStr">
        <is>
          <t>VÄSTERVIK</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52325-2023</t>
        </is>
      </c>
      <c r="B1347" s="1" t="n">
        <v>45224</v>
      </c>
      <c r="C1347" s="1" t="n">
        <v>45844</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52468-2023</t>
        </is>
      </c>
      <c r="B1348" s="1" t="n">
        <v>45225</v>
      </c>
      <c r="C1348" s="1" t="n">
        <v>45844</v>
      </c>
      <c r="D1348" t="inlineStr">
        <is>
          <t>KALMAR LÄN</t>
        </is>
      </c>
      <c r="E1348" t="inlineStr">
        <is>
          <t>VÄSTERVIK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52845-2023</t>
        </is>
      </c>
      <c r="B1349" s="1" t="n">
        <v>45226</v>
      </c>
      <c r="C1349" s="1" t="n">
        <v>45844</v>
      </c>
      <c r="D1349" t="inlineStr">
        <is>
          <t>KALMAR LÄN</t>
        </is>
      </c>
      <c r="E1349" t="inlineStr">
        <is>
          <t>VÄSTERVIK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52844-2023</t>
        </is>
      </c>
      <c r="B1350" s="1" t="n">
        <v>45226</v>
      </c>
      <c r="C1350" s="1" t="n">
        <v>45844</v>
      </c>
      <c r="D1350" t="inlineStr">
        <is>
          <t>KALMAR LÄN</t>
        </is>
      </c>
      <c r="E1350" t="inlineStr">
        <is>
          <t>VÄSTERVIK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54124-2023</t>
        </is>
      </c>
      <c r="B1351" s="1" t="n">
        <v>45232</v>
      </c>
      <c r="C1351" s="1" t="n">
        <v>45844</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54135-2023</t>
        </is>
      </c>
      <c r="B1352" s="1" t="n">
        <v>45232</v>
      </c>
      <c r="C1352" s="1" t="n">
        <v>45844</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54232-2023</t>
        </is>
      </c>
      <c r="B1353" s="1" t="n">
        <v>45232</v>
      </c>
      <c r="C1353" s="1" t="n">
        <v>45844</v>
      </c>
      <c r="D1353" t="inlineStr">
        <is>
          <t>KALMAR LÄN</t>
        </is>
      </c>
      <c r="E1353" t="inlineStr">
        <is>
          <t>VÄSTERVIK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54569-2023</t>
        </is>
      </c>
      <c r="B1354" s="1" t="n">
        <v>45233</v>
      </c>
      <c r="C1354" s="1" t="n">
        <v>45844</v>
      </c>
      <c r="D1354" t="inlineStr">
        <is>
          <t>KALMAR LÄN</t>
        </is>
      </c>
      <c r="E1354" t="inlineStr">
        <is>
          <t>VÄSTERVIK</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54358-2023</t>
        </is>
      </c>
      <c r="B1355" s="1" t="n">
        <v>45233</v>
      </c>
      <c r="C1355" s="1" t="n">
        <v>45844</v>
      </c>
      <c r="D1355" t="inlineStr">
        <is>
          <t>KALMAR LÄN</t>
        </is>
      </c>
      <c r="E1355" t="inlineStr">
        <is>
          <t>VÄSTERVIK</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54778-2023</t>
        </is>
      </c>
      <c r="B1356" s="1" t="n">
        <v>45236</v>
      </c>
      <c r="C1356" s="1" t="n">
        <v>45844</v>
      </c>
      <c r="D1356" t="inlineStr">
        <is>
          <t>KALMAR LÄN</t>
        </is>
      </c>
      <c r="E1356" t="inlineStr">
        <is>
          <t>VÄSTERVIK</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54951-2023</t>
        </is>
      </c>
      <c r="B1357" s="1" t="n">
        <v>45236</v>
      </c>
      <c r="C1357" s="1" t="n">
        <v>45844</v>
      </c>
      <c r="D1357" t="inlineStr">
        <is>
          <t>KALMAR LÄN</t>
        </is>
      </c>
      <c r="E1357" t="inlineStr">
        <is>
          <t>VÄSTERVIK</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55007-2023</t>
        </is>
      </c>
      <c r="B1358" s="1" t="n">
        <v>45237</v>
      </c>
      <c r="C1358" s="1" t="n">
        <v>45844</v>
      </c>
      <c r="D1358" t="inlineStr">
        <is>
          <t>KALMAR LÄN</t>
        </is>
      </c>
      <c r="E1358" t="inlineStr">
        <is>
          <t>VÄSTERVIK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54950-2023</t>
        </is>
      </c>
      <c r="B1359" s="1" t="n">
        <v>45236</v>
      </c>
      <c r="C1359" s="1" t="n">
        <v>45844</v>
      </c>
      <c r="D1359" t="inlineStr">
        <is>
          <t>KALMAR LÄN</t>
        </is>
      </c>
      <c r="E1359" t="inlineStr">
        <is>
          <t>VÄSTERVIK</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54784-2023</t>
        </is>
      </c>
      <c r="B1360" s="1" t="n">
        <v>45236</v>
      </c>
      <c r="C1360" s="1" t="n">
        <v>45844</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54953-2023</t>
        </is>
      </c>
      <c r="B1361" s="1" t="n">
        <v>45236</v>
      </c>
      <c r="C1361" s="1" t="n">
        <v>45844</v>
      </c>
      <c r="D1361" t="inlineStr">
        <is>
          <t>KALMAR LÄN</t>
        </is>
      </c>
      <c r="E1361" t="inlineStr">
        <is>
          <t>VÄSTERVIK</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55287-2023</t>
        </is>
      </c>
      <c r="B1362" s="1" t="n">
        <v>45237</v>
      </c>
      <c r="C1362" s="1" t="n">
        <v>45844</v>
      </c>
      <c r="D1362" t="inlineStr">
        <is>
          <t>KALMAR LÄN</t>
        </is>
      </c>
      <c r="E1362" t="inlineStr">
        <is>
          <t>VÄSTERVIK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55289-2023</t>
        </is>
      </c>
      <c r="B1363" s="1" t="n">
        <v>45237</v>
      </c>
      <c r="C1363" s="1" t="n">
        <v>45844</v>
      </c>
      <c r="D1363" t="inlineStr">
        <is>
          <t>KALMAR LÄN</t>
        </is>
      </c>
      <c r="E1363" t="inlineStr">
        <is>
          <t>VÄSTERVIK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55403-2023</t>
        </is>
      </c>
      <c r="B1364" s="1" t="n">
        <v>45238</v>
      </c>
      <c r="C1364" s="1" t="n">
        <v>45844</v>
      </c>
      <c r="D1364" t="inlineStr">
        <is>
          <t>KALMAR LÄN</t>
        </is>
      </c>
      <c r="E1364" t="inlineStr">
        <is>
          <t>VÄSTERVIK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55578-2023</t>
        </is>
      </c>
      <c r="B1365" s="1" t="n">
        <v>45238</v>
      </c>
      <c r="C1365" s="1" t="n">
        <v>45844</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56719-2023</t>
        </is>
      </c>
      <c r="B1366" s="1" t="n">
        <v>45238</v>
      </c>
      <c r="C1366" s="1" t="n">
        <v>45844</v>
      </c>
      <c r="D1366" t="inlineStr">
        <is>
          <t>KALMAR LÄN</t>
        </is>
      </c>
      <c r="E1366" t="inlineStr">
        <is>
          <t>VÄSTERVIK</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55866-2023</t>
        </is>
      </c>
      <c r="B1367" s="1" t="n">
        <v>45239</v>
      </c>
      <c r="C1367" s="1" t="n">
        <v>45844</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55958-2023</t>
        </is>
      </c>
      <c r="B1368" s="1" t="n">
        <v>45240</v>
      </c>
      <c r="C1368" s="1" t="n">
        <v>45844</v>
      </c>
      <c r="D1368" t="inlineStr">
        <is>
          <t>KALMAR LÄN</t>
        </is>
      </c>
      <c r="E1368" t="inlineStr">
        <is>
          <t>VÄSTERVIK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56188-2023</t>
        </is>
      </c>
      <c r="B1369" s="1" t="n">
        <v>45240</v>
      </c>
      <c r="C1369" s="1" t="n">
        <v>45844</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56033-2023</t>
        </is>
      </c>
      <c r="B1370" s="1" t="n">
        <v>45240</v>
      </c>
      <c r="C1370" s="1" t="n">
        <v>45844</v>
      </c>
      <c r="D1370" t="inlineStr">
        <is>
          <t>KALMAR LÄN</t>
        </is>
      </c>
      <c r="E1370" t="inlineStr">
        <is>
          <t>VÄSTERVIK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56187-2023</t>
        </is>
      </c>
      <c r="B1371" s="1" t="n">
        <v>45240</v>
      </c>
      <c r="C1371" s="1" t="n">
        <v>45844</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c r="U1371">
        <f>HYPERLINK("https://klasma.github.io/Logging_0883/knärot/A 56187-2023 karta knärot.png", "A 56187-2023")</f>
        <v/>
      </c>
      <c r="V1371">
        <f>HYPERLINK("https://klasma.github.io/Logging_0883/klagomål/A 56187-2023 FSC-klagomål.docx", "A 56187-2023")</f>
        <v/>
      </c>
      <c r="W1371">
        <f>HYPERLINK("https://klasma.github.io/Logging_0883/klagomålsmail/A 56187-2023 FSC-klagomål mail.docx", "A 56187-2023")</f>
        <v/>
      </c>
      <c r="X1371">
        <f>HYPERLINK("https://klasma.github.io/Logging_0883/tillsyn/A 56187-2023 tillsynsbegäran.docx", "A 56187-2023")</f>
        <v/>
      </c>
      <c r="Y1371">
        <f>HYPERLINK("https://klasma.github.io/Logging_0883/tillsynsmail/A 56187-2023 tillsynsbegäran mail.docx", "A 56187-2023")</f>
        <v/>
      </c>
    </row>
    <row r="1372" ht="15" customHeight="1">
      <c r="A1372" t="inlineStr">
        <is>
          <t>A 56042-2023</t>
        </is>
      </c>
      <c r="B1372" s="1" t="n">
        <v>45240</v>
      </c>
      <c r="C1372" s="1" t="n">
        <v>45844</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56046-2023</t>
        </is>
      </c>
      <c r="B1373" s="1" t="n">
        <v>45240</v>
      </c>
      <c r="C1373" s="1" t="n">
        <v>45844</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57019-2023</t>
        </is>
      </c>
      <c r="B1374" s="1" t="n">
        <v>45244</v>
      </c>
      <c r="C1374" s="1" t="n">
        <v>45844</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57025-2023</t>
        </is>
      </c>
      <c r="B1375" s="1" t="n">
        <v>45244</v>
      </c>
      <c r="C1375" s="1" t="n">
        <v>45844</v>
      </c>
      <c r="D1375" t="inlineStr">
        <is>
          <t>KALMAR LÄN</t>
        </is>
      </c>
      <c r="E1375" t="inlineStr">
        <is>
          <t>VÄSTERVIK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57367-2023</t>
        </is>
      </c>
      <c r="B1376" s="1" t="n">
        <v>45245</v>
      </c>
      <c r="C1376" s="1" t="n">
        <v>45844</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57162-2023</t>
        </is>
      </c>
      <c r="B1377" s="1" t="n">
        <v>45245</v>
      </c>
      <c r="C1377" s="1" t="n">
        <v>45844</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57369-2023</t>
        </is>
      </c>
      <c r="B1378" s="1" t="n">
        <v>45245</v>
      </c>
      <c r="C1378" s="1" t="n">
        <v>45844</v>
      </c>
      <c r="D1378" t="inlineStr">
        <is>
          <t>KALMAR LÄN</t>
        </is>
      </c>
      <c r="E1378" t="inlineStr">
        <is>
          <t>VÄSTERVIK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57368-2023</t>
        </is>
      </c>
      <c r="B1379" s="1" t="n">
        <v>45245</v>
      </c>
      <c r="C1379" s="1" t="n">
        <v>45844</v>
      </c>
      <c r="D1379" t="inlineStr">
        <is>
          <t>KALMAR LÄN</t>
        </is>
      </c>
      <c r="E1379" t="inlineStr">
        <is>
          <t>VÄSTERVIK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57366-2023</t>
        </is>
      </c>
      <c r="B1380" s="1" t="n">
        <v>45245</v>
      </c>
      <c r="C1380" s="1" t="n">
        <v>45844</v>
      </c>
      <c r="D1380" t="inlineStr">
        <is>
          <t>KALMAR LÄN</t>
        </is>
      </c>
      <c r="E1380" t="inlineStr">
        <is>
          <t>VÄSTERVIK</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57757-2023</t>
        </is>
      </c>
      <c r="B1381" s="1" t="n">
        <v>45246</v>
      </c>
      <c r="C1381" s="1" t="n">
        <v>45844</v>
      </c>
      <c r="D1381" t="inlineStr">
        <is>
          <t>KALMAR LÄN</t>
        </is>
      </c>
      <c r="E1381" t="inlineStr">
        <is>
          <t>VÄSTERVIK</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58454-2023</t>
        </is>
      </c>
      <c r="B1382" s="1" t="n">
        <v>45250</v>
      </c>
      <c r="C1382" s="1" t="n">
        <v>45844</v>
      </c>
      <c r="D1382" t="inlineStr">
        <is>
          <t>KALMAR LÄN</t>
        </is>
      </c>
      <c r="E1382" t="inlineStr">
        <is>
          <t>VÄSTERVIK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58703-2023</t>
        </is>
      </c>
      <c r="B1383" s="1" t="n">
        <v>45251</v>
      </c>
      <c r="C1383" s="1" t="n">
        <v>45844</v>
      </c>
      <c r="D1383" t="inlineStr">
        <is>
          <t>KALMAR LÄN</t>
        </is>
      </c>
      <c r="E1383" t="inlineStr">
        <is>
          <t>VÄSTERVIK</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59331-2023</t>
        </is>
      </c>
      <c r="B1384" s="1" t="n">
        <v>45253</v>
      </c>
      <c r="C1384" s="1" t="n">
        <v>45844</v>
      </c>
      <c r="D1384" t="inlineStr">
        <is>
          <t>KALMAR LÄN</t>
        </is>
      </c>
      <c r="E1384" t="inlineStr">
        <is>
          <t>VÄSTERVIK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59539-2023</t>
        </is>
      </c>
      <c r="B1385" s="1" t="n">
        <v>45254</v>
      </c>
      <c r="C1385" s="1" t="n">
        <v>45844</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59696-2023</t>
        </is>
      </c>
      <c r="B1386" s="1" t="n">
        <v>45256</v>
      </c>
      <c r="C1386" s="1" t="n">
        <v>45844</v>
      </c>
      <c r="D1386" t="inlineStr">
        <is>
          <t>KALMAR LÄN</t>
        </is>
      </c>
      <c r="E1386" t="inlineStr">
        <is>
          <t>VÄSTERVIK</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59695-2023</t>
        </is>
      </c>
      <c r="B1387" s="1" t="n">
        <v>45256</v>
      </c>
      <c r="C1387" s="1" t="n">
        <v>45844</v>
      </c>
      <c r="D1387" t="inlineStr">
        <is>
          <t>KALMAR LÄN</t>
        </is>
      </c>
      <c r="E1387" t="inlineStr">
        <is>
          <t>VÄSTERVIK</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59732-2023</t>
        </is>
      </c>
      <c r="B1388" s="1" t="n">
        <v>45257</v>
      </c>
      <c r="C1388" s="1" t="n">
        <v>45844</v>
      </c>
      <c r="D1388" t="inlineStr">
        <is>
          <t>KALMAR LÄN</t>
        </is>
      </c>
      <c r="E1388" t="inlineStr">
        <is>
          <t>VÄSTERVIK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59844-2023</t>
        </is>
      </c>
      <c r="B1389" s="1" t="n">
        <v>45257</v>
      </c>
      <c r="C1389" s="1" t="n">
        <v>45844</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59847-2023</t>
        </is>
      </c>
      <c r="B1390" s="1" t="n">
        <v>45257</v>
      </c>
      <c r="C1390" s="1" t="n">
        <v>45844</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60056-2023</t>
        </is>
      </c>
      <c r="B1391" s="1" t="n">
        <v>45258</v>
      </c>
      <c r="C1391" s="1" t="n">
        <v>45844</v>
      </c>
      <c r="D1391" t="inlineStr">
        <is>
          <t>KALMAR LÄN</t>
        </is>
      </c>
      <c r="E1391" t="inlineStr">
        <is>
          <t>VÄSTERVIK</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60196-2023</t>
        </is>
      </c>
      <c r="B1392" s="1" t="n">
        <v>45258</v>
      </c>
      <c r="C1392" s="1" t="n">
        <v>45844</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60179-2023</t>
        </is>
      </c>
      <c r="B1393" s="1" t="n">
        <v>45258</v>
      </c>
      <c r="C1393" s="1" t="n">
        <v>45844</v>
      </c>
      <c r="D1393" t="inlineStr">
        <is>
          <t>KALMAR LÄN</t>
        </is>
      </c>
      <c r="E1393" t="inlineStr">
        <is>
          <t>VÄSTERVIK</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60187-2023</t>
        </is>
      </c>
      <c r="B1394" s="1" t="n">
        <v>45258</v>
      </c>
      <c r="C1394" s="1" t="n">
        <v>45844</v>
      </c>
      <c r="D1394" t="inlineStr">
        <is>
          <t>KALMAR LÄN</t>
        </is>
      </c>
      <c r="E1394" t="inlineStr">
        <is>
          <t>VÄSTERVIK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60300-2023</t>
        </is>
      </c>
      <c r="B1395" s="1" t="n">
        <v>45258</v>
      </c>
      <c r="C1395" s="1" t="n">
        <v>45844</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60634-2023</t>
        </is>
      </c>
      <c r="B1396" s="1" t="n">
        <v>45260</v>
      </c>
      <c r="C1396" s="1" t="n">
        <v>45844</v>
      </c>
      <c r="D1396" t="inlineStr">
        <is>
          <t>KALMAR LÄN</t>
        </is>
      </c>
      <c r="E1396" t="inlineStr">
        <is>
          <t>VÄSTERVIK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60921-2023</t>
        </is>
      </c>
      <c r="B1397" s="1" t="n">
        <v>45261</v>
      </c>
      <c r="C1397" s="1" t="n">
        <v>45844</v>
      </c>
      <c r="D1397" t="inlineStr">
        <is>
          <t>KALMAR LÄN</t>
        </is>
      </c>
      <c r="E1397" t="inlineStr">
        <is>
          <t>VÄSTERVIK</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61556-2023</t>
        </is>
      </c>
      <c r="B1398" s="1" t="n">
        <v>45261</v>
      </c>
      <c r="C1398" s="1" t="n">
        <v>45844</v>
      </c>
      <c r="D1398" t="inlineStr">
        <is>
          <t>KALMAR LÄN</t>
        </is>
      </c>
      <c r="E1398" t="inlineStr">
        <is>
          <t>VÄSTERVIK</t>
        </is>
      </c>
      <c r="F1398" t="inlineStr">
        <is>
          <t>Övriga Aktiebolag</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61450-2023</t>
        </is>
      </c>
      <c r="B1399" s="1" t="n">
        <v>45264</v>
      </c>
      <c r="C1399" s="1" t="n">
        <v>45844</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61449-2023</t>
        </is>
      </c>
      <c r="B1400" s="1" t="n">
        <v>45264</v>
      </c>
      <c r="C1400" s="1" t="n">
        <v>45844</v>
      </c>
      <c r="D1400" t="inlineStr">
        <is>
          <t>KALMAR LÄN</t>
        </is>
      </c>
      <c r="E1400" t="inlineStr">
        <is>
          <t>VÄSTERVIK</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61448-2023</t>
        </is>
      </c>
      <c r="B1401" s="1" t="n">
        <v>45264</v>
      </c>
      <c r="C1401" s="1" t="n">
        <v>45844</v>
      </c>
      <c r="D1401" t="inlineStr">
        <is>
          <t>KALMAR LÄN</t>
        </is>
      </c>
      <c r="E1401" t="inlineStr">
        <is>
          <t>VÄSTERVIK</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61728-2023</t>
        </is>
      </c>
      <c r="B1402" s="1" t="n">
        <v>45265</v>
      </c>
      <c r="C1402" s="1" t="n">
        <v>45844</v>
      </c>
      <c r="D1402" t="inlineStr">
        <is>
          <t>KALMAR LÄN</t>
        </is>
      </c>
      <c r="E1402" t="inlineStr">
        <is>
          <t>VÄSTERVIK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61746-2023</t>
        </is>
      </c>
      <c r="B1403" s="1" t="n">
        <v>45265</v>
      </c>
      <c r="C1403" s="1" t="n">
        <v>45844</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61807-2023</t>
        </is>
      </c>
      <c r="B1404" s="1" t="n">
        <v>45266</v>
      </c>
      <c r="C1404" s="1" t="n">
        <v>45844</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61999-2023</t>
        </is>
      </c>
      <c r="B1405" s="1" t="n">
        <v>45266</v>
      </c>
      <c r="C1405" s="1" t="n">
        <v>45844</v>
      </c>
      <c r="D1405" t="inlineStr">
        <is>
          <t>KALMAR LÄN</t>
        </is>
      </c>
      <c r="E1405" t="inlineStr">
        <is>
          <t>VÄSTERVIK</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62003-2023</t>
        </is>
      </c>
      <c r="B1406" s="1" t="n">
        <v>45266</v>
      </c>
      <c r="C1406" s="1" t="n">
        <v>45844</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62017-2023</t>
        </is>
      </c>
      <c r="B1407" s="1" t="n">
        <v>45266</v>
      </c>
      <c r="C1407" s="1" t="n">
        <v>45844</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62027-2023</t>
        </is>
      </c>
      <c r="B1408" s="1" t="n">
        <v>45266</v>
      </c>
      <c r="C1408" s="1" t="n">
        <v>45844</v>
      </c>
      <c r="D1408" t="inlineStr">
        <is>
          <t>KALMAR LÄN</t>
        </is>
      </c>
      <c r="E1408" t="inlineStr">
        <is>
          <t>VÄSTERVIK</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62034-2023</t>
        </is>
      </c>
      <c r="B1409" s="1" t="n">
        <v>45266</v>
      </c>
      <c r="C1409" s="1" t="n">
        <v>45844</v>
      </c>
      <c r="D1409" t="inlineStr">
        <is>
          <t>KALMAR LÄN</t>
        </is>
      </c>
      <c r="E1409" t="inlineStr">
        <is>
          <t>VÄSTERVIK</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62340-2023</t>
        </is>
      </c>
      <c r="B1410" s="1" t="n">
        <v>45267</v>
      </c>
      <c r="C1410" s="1" t="n">
        <v>45844</v>
      </c>
      <c r="D1410" t="inlineStr">
        <is>
          <t>KALMAR LÄN</t>
        </is>
      </c>
      <c r="E1410" t="inlineStr">
        <is>
          <t>VÄSTERVIK</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62589-2023</t>
        </is>
      </c>
      <c r="B1411" s="1" t="n">
        <v>45270</v>
      </c>
      <c r="C1411" s="1" t="n">
        <v>45844</v>
      </c>
      <c r="D1411" t="inlineStr">
        <is>
          <t>KALMAR LÄN</t>
        </is>
      </c>
      <c r="E1411" t="inlineStr">
        <is>
          <t>VÄSTERVIK</t>
        </is>
      </c>
      <c r="F1411" t="inlineStr">
        <is>
          <t>Holmen skog AB</t>
        </is>
      </c>
      <c r="G1411" t="n">
        <v>1.1</v>
      </c>
      <c r="H1411" t="n">
        <v>0</v>
      </c>
      <c r="I1411" t="n">
        <v>0</v>
      </c>
      <c r="J1411" t="n">
        <v>0</v>
      </c>
      <c r="K1411" t="n">
        <v>0</v>
      </c>
      <c r="L1411" t="n">
        <v>0</v>
      </c>
      <c r="M1411" t="n">
        <v>0</v>
      </c>
      <c r="N1411" t="n">
        <v>0</v>
      </c>
      <c r="O1411" t="n">
        <v>0</v>
      </c>
      <c r="P1411" t="n">
        <v>0</v>
      </c>
      <c r="Q1411" t="n">
        <v>0</v>
      </c>
      <c r="R1411" s="2" t="inlineStr"/>
      <c r="U1411">
        <f>HYPERLINK("https://klasma.github.io/Logging_0883/knärot/A 62589-2023 karta knärot.png", "A 62589-2023")</f>
        <v/>
      </c>
      <c r="V1411">
        <f>HYPERLINK("https://klasma.github.io/Logging_0883/klagomål/A 62589-2023 FSC-klagomål.docx", "A 62589-2023")</f>
        <v/>
      </c>
      <c r="W1411">
        <f>HYPERLINK("https://klasma.github.io/Logging_0883/klagomålsmail/A 62589-2023 FSC-klagomål mail.docx", "A 62589-2023")</f>
        <v/>
      </c>
      <c r="X1411">
        <f>HYPERLINK("https://klasma.github.io/Logging_0883/tillsyn/A 62589-2023 tillsynsbegäran.docx", "A 62589-2023")</f>
        <v/>
      </c>
      <c r="Y1411">
        <f>HYPERLINK("https://klasma.github.io/Logging_0883/tillsynsmail/A 62589-2023 tillsynsbegäran mail.docx", "A 62589-2023")</f>
        <v/>
      </c>
    </row>
    <row r="1412" ht="15" customHeight="1">
      <c r="A1412" t="inlineStr">
        <is>
          <t>A 62898-2023</t>
        </is>
      </c>
      <c r="B1412" s="1" t="n">
        <v>45271</v>
      </c>
      <c r="C1412" s="1" t="n">
        <v>45844</v>
      </c>
      <c r="D1412" t="inlineStr">
        <is>
          <t>KALMAR LÄN</t>
        </is>
      </c>
      <c r="E1412" t="inlineStr">
        <is>
          <t>VÄSTERVIK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62888-2023</t>
        </is>
      </c>
      <c r="B1413" s="1" t="n">
        <v>45272</v>
      </c>
      <c r="C1413" s="1" t="n">
        <v>45844</v>
      </c>
      <c r="D1413" t="inlineStr">
        <is>
          <t>KALMAR LÄN</t>
        </is>
      </c>
      <c r="E1413" t="inlineStr">
        <is>
          <t>VÄSTERVIK</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63018-2023</t>
        </is>
      </c>
      <c r="B1414" s="1" t="n">
        <v>45272</v>
      </c>
      <c r="C1414" s="1" t="n">
        <v>45844</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62873-2023</t>
        </is>
      </c>
      <c r="B1415" s="1" t="n">
        <v>45272</v>
      </c>
      <c r="C1415" s="1" t="n">
        <v>45844</v>
      </c>
      <c r="D1415" t="inlineStr">
        <is>
          <t>KALMAR LÄN</t>
        </is>
      </c>
      <c r="E1415" t="inlineStr">
        <is>
          <t>VÄSTERVIK</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62887-2023</t>
        </is>
      </c>
      <c r="B1416" s="1" t="n">
        <v>45272</v>
      </c>
      <c r="C1416" s="1" t="n">
        <v>45844</v>
      </c>
      <c r="D1416" t="inlineStr">
        <is>
          <t>KALMAR LÄN</t>
        </is>
      </c>
      <c r="E1416" t="inlineStr">
        <is>
          <t>VÄSTERVIK</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62850-2023</t>
        </is>
      </c>
      <c r="B1417" s="1" t="n">
        <v>45272</v>
      </c>
      <c r="C1417" s="1" t="n">
        <v>45844</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62876-2023</t>
        </is>
      </c>
      <c r="B1418" s="1" t="n">
        <v>45272</v>
      </c>
      <c r="C1418" s="1" t="n">
        <v>45844</v>
      </c>
      <c r="D1418" t="inlineStr">
        <is>
          <t>KALMAR LÄN</t>
        </is>
      </c>
      <c r="E1418" t="inlineStr">
        <is>
          <t>VÄSTERVIK</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63023-2023</t>
        </is>
      </c>
      <c r="B1419" s="1" t="n">
        <v>45272</v>
      </c>
      <c r="C1419" s="1" t="n">
        <v>45844</v>
      </c>
      <c r="D1419" t="inlineStr">
        <is>
          <t>KALMAR LÄN</t>
        </is>
      </c>
      <c r="E1419" t="inlineStr">
        <is>
          <t>VÄSTERVIK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63043-2023</t>
        </is>
      </c>
      <c r="B1420" s="1" t="n">
        <v>45272</v>
      </c>
      <c r="C1420" s="1" t="n">
        <v>45844</v>
      </c>
      <c r="D1420" t="inlineStr">
        <is>
          <t>KALMAR LÄN</t>
        </is>
      </c>
      <c r="E1420" t="inlineStr">
        <is>
          <t>VÄSTERVIK</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62921-2023</t>
        </is>
      </c>
      <c r="B1421" s="1" t="n">
        <v>45272</v>
      </c>
      <c r="C1421" s="1" t="n">
        <v>45844</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63017-2023</t>
        </is>
      </c>
      <c r="B1422" s="1" t="n">
        <v>45272</v>
      </c>
      <c r="C1422" s="1" t="n">
        <v>45844</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63021-2023</t>
        </is>
      </c>
      <c r="B1423" s="1" t="n">
        <v>45272</v>
      </c>
      <c r="C1423" s="1" t="n">
        <v>45844</v>
      </c>
      <c r="D1423" t="inlineStr">
        <is>
          <t>KALMAR LÄN</t>
        </is>
      </c>
      <c r="E1423" t="inlineStr">
        <is>
          <t>VÄSTERVIK</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63041-2023</t>
        </is>
      </c>
      <c r="B1424" s="1" t="n">
        <v>45272</v>
      </c>
      <c r="C1424" s="1" t="n">
        <v>45844</v>
      </c>
      <c r="D1424" t="inlineStr">
        <is>
          <t>KALMAR LÄN</t>
        </is>
      </c>
      <c r="E1424" t="inlineStr">
        <is>
          <t>VÄSTERVIK</t>
        </is>
      </c>
      <c r="F1424" t="inlineStr">
        <is>
          <t>Sveaskog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63361-2023</t>
        </is>
      </c>
      <c r="B1425" s="1" t="n">
        <v>45274</v>
      </c>
      <c r="C1425" s="1" t="n">
        <v>45844</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63606-2023</t>
        </is>
      </c>
      <c r="B1426" s="1" t="n">
        <v>45275</v>
      </c>
      <c r="C1426" s="1" t="n">
        <v>45844</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63890-2023</t>
        </is>
      </c>
      <c r="B1427" s="1" t="n">
        <v>45278</v>
      </c>
      <c r="C1427" s="1" t="n">
        <v>45844</v>
      </c>
      <c r="D1427" t="inlineStr">
        <is>
          <t>KALMAR LÄN</t>
        </is>
      </c>
      <c r="E1427" t="inlineStr">
        <is>
          <t>VÄSTERVIK</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63859-2023</t>
        </is>
      </c>
      <c r="B1428" s="1" t="n">
        <v>45278</v>
      </c>
      <c r="C1428" s="1" t="n">
        <v>45844</v>
      </c>
      <c r="D1428" t="inlineStr">
        <is>
          <t>KALMAR LÄN</t>
        </is>
      </c>
      <c r="E1428" t="inlineStr">
        <is>
          <t>VÄSTERVIK</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64040-2023</t>
        </is>
      </c>
      <c r="B1429" s="1" t="n">
        <v>45279</v>
      </c>
      <c r="C1429" s="1" t="n">
        <v>45844</v>
      </c>
      <c r="D1429" t="inlineStr">
        <is>
          <t>KALMAR LÄN</t>
        </is>
      </c>
      <c r="E1429" t="inlineStr">
        <is>
          <t>VÄSTERVIK</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64580-2023</t>
        </is>
      </c>
      <c r="B1430" s="1" t="n">
        <v>45281</v>
      </c>
      <c r="C1430" s="1" t="n">
        <v>45844</v>
      </c>
      <c r="D1430" t="inlineStr">
        <is>
          <t>KALMAR LÄN</t>
        </is>
      </c>
      <c r="E1430" t="inlineStr">
        <is>
          <t>VÄSTERVIK</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64762-2023</t>
        </is>
      </c>
      <c r="B1431" s="1" t="n">
        <v>45282</v>
      </c>
      <c r="C1431" s="1" t="n">
        <v>45844</v>
      </c>
      <c r="D1431" t="inlineStr">
        <is>
          <t>KALMAR LÄN</t>
        </is>
      </c>
      <c r="E1431" t="inlineStr">
        <is>
          <t>VÄSTERVIK</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64763-2023</t>
        </is>
      </c>
      <c r="B1432" s="1" t="n">
        <v>45282</v>
      </c>
      <c r="C1432" s="1" t="n">
        <v>45844</v>
      </c>
      <c r="D1432" t="inlineStr">
        <is>
          <t>KALMAR LÄN</t>
        </is>
      </c>
      <c r="E1432" t="inlineStr">
        <is>
          <t>VÄSTERVIK</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64760-2023</t>
        </is>
      </c>
      <c r="B1433" s="1" t="n">
        <v>45282</v>
      </c>
      <c r="C1433" s="1" t="n">
        <v>45844</v>
      </c>
      <c r="D1433" t="inlineStr">
        <is>
          <t>KALMAR LÄN</t>
        </is>
      </c>
      <c r="E1433" t="inlineStr">
        <is>
          <t>VÄSTERVIK</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64886-2023</t>
        </is>
      </c>
      <c r="B1434" s="1" t="n">
        <v>45282</v>
      </c>
      <c r="C1434" s="1" t="n">
        <v>45844</v>
      </c>
      <c r="D1434" t="inlineStr">
        <is>
          <t>KALMAR LÄN</t>
        </is>
      </c>
      <c r="E1434" t="inlineStr">
        <is>
          <t>VÄSTERVIK</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65046-2023</t>
        </is>
      </c>
      <c r="B1435" s="1" t="n">
        <v>45287</v>
      </c>
      <c r="C1435" s="1" t="n">
        <v>45844</v>
      </c>
      <c r="D1435" t="inlineStr">
        <is>
          <t>KALMAR LÄN</t>
        </is>
      </c>
      <c r="E1435" t="inlineStr">
        <is>
          <t>VÄSTERVIK</t>
        </is>
      </c>
      <c r="F1435" t="inlineStr">
        <is>
          <t>Holmen skog AB</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65028-2023</t>
        </is>
      </c>
      <c r="B1436" s="1" t="n">
        <v>45287</v>
      </c>
      <c r="C1436" s="1" t="n">
        <v>45844</v>
      </c>
      <c r="D1436" t="inlineStr">
        <is>
          <t>KALMAR LÄN</t>
        </is>
      </c>
      <c r="E1436" t="inlineStr">
        <is>
          <t>VÄSTERVIK</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65059-2023</t>
        </is>
      </c>
      <c r="B1437" s="1" t="n">
        <v>45287</v>
      </c>
      <c r="C1437" s="1" t="n">
        <v>45844</v>
      </c>
      <c r="D1437" t="inlineStr">
        <is>
          <t>KALMAR LÄN</t>
        </is>
      </c>
      <c r="E1437" t="inlineStr">
        <is>
          <t>VÄSTERVIK</t>
        </is>
      </c>
      <c r="F1437" t="inlineStr">
        <is>
          <t>Holmen skog AB</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338-2024</t>
        </is>
      </c>
      <c r="B1438" s="1" t="n">
        <v>45295</v>
      </c>
      <c r="C1438" s="1" t="n">
        <v>45844</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340-2024</t>
        </is>
      </c>
      <c r="B1439" s="1" t="n">
        <v>45295</v>
      </c>
      <c r="C1439" s="1" t="n">
        <v>45844</v>
      </c>
      <c r="D1439" t="inlineStr">
        <is>
          <t>KALMAR LÄN</t>
        </is>
      </c>
      <c r="E1439" t="inlineStr">
        <is>
          <t>VÄSTERVIK</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492-2024</t>
        </is>
      </c>
      <c r="B1440" s="1" t="n">
        <v>45299</v>
      </c>
      <c r="C1440" s="1" t="n">
        <v>45844</v>
      </c>
      <c r="D1440" t="inlineStr">
        <is>
          <t>KALMAR LÄN</t>
        </is>
      </c>
      <c r="E1440" t="inlineStr">
        <is>
          <t>VÄSTERVIK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782-2024</t>
        </is>
      </c>
      <c r="B1441" s="1" t="n">
        <v>45300</v>
      </c>
      <c r="C1441" s="1" t="n">
        <v>45844</v>
      </c>
      <c r="D1441" t="inlineStr">
        <is>
          <t>KALMAR LÄN</t>
        </is>
      </c>
      <c r="E1441" t="inlineStr">
        <is>
          <t>VÄSTERVIK</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928-2024</t>
        </is>
      </c>
      <c r="B1442" s="1" t="n">
        <v>45301</v>
      </c>
      <c r="C1442" s="1" t="n">
        <v>45844</v>
      </c>
      <c r="D1442" t="inlineStr">
        <is>
          <t>KALMAR LÄN</t>
        </is>
      </c>
      <c r="E1442" t="inlineStr">
        <is>
          <t>VÄSTERVIK</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936-2024</t>
        </is>
      </c>
      <c r="B1443" s="1" t="n">
        <v>45301</v>
      </c>
      <c r="C1443" s="1" t="n">
        <v>45844</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944-2024</t>
        </is>
      </c>
      <c r="B1444" s="1" t="n">
        <v>45301</v>
      </c>
      <c r="C1444" s="1" t="n">
        <v>45844</v>
      </c>
      <c r="D1444" t="inlineStr">
        <is>
          <t>KALMAR LÄN</t>
        </is>
      </c>
      <c r="E1444" t="inlineStr">
        <is>
          <t>VÄSTERVIK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901-2024</t>
        </is>
      </c>
      <c r="B1445" s="1" t="n">
        <v>45301</v>
      </c>
      <c r="C1445" s="1" t="n">
        <v>45844</v>
      </c>
      <c r="D1445" t="inlineStr">
        <is>
          <t>KALMAR LÄN</t>
        </is>
      </c>
      <c r="E1445" t="inlineStr">
        <is>
          <t>VÄSTERVIK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925-2024</t>
        </is>
      </c>
      <c r="B1446" s="1" t="n">
        <v>45301</v>
      </c>
      <c r="C1446" s="1" t="n">
        <v>45844</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949-2024</t>
        </is>
      </c>
      <c r="B1447" s="1" t="n">
        <v>45301</v>
      </c>
      <c r="C1447" s="1" t="n">
        <v>45844</v>
      </c>
      <c r="D1447" t="inlineStr">
        <is>
          <t>KALMAR LÄN</t>
        </is>
      </c>
      <c r="E1447" t="inlineStr">
        <is>
          <t>VÄSTERVIK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934-2024</t>
        </is>
      </c>
      <c r="B1448" s="1" t="n">
        <v>45301</v>
      </c>
      <c r="C1448" s="1" t="n">
        <v>45844</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942-2024</t>
        </is>
      </c>
      <c r="B1449" s="1" t="n">
        <v>45301</v>
      </c>
      <c r="C1449" s="1" t="n">
        <v>45844</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946-2024</t>
        </is>
      </c>
      <c r="B1450" s="1" t="n">
        <v>45301</v>
      </c>
      <c r="C1450" s="1" t="n">
        <v>45844</v>
      </c>
      <c r="D1450" t="inlineStr">
        <is>
          <t>KALMAR LÄN</t>
        </is>
      </c>
      <c r="E1450" t="inlineStr">
        <is>
          <t>VÄSTERVIK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1098-2024</t>
        </is>
      </c>
      <c r="B1451" s="1" t="n">
        <v>45302</v>
      </c>
      <c r="C1451" s="1" t="n">
        <v>45844</v>
      </c>
      <c r="D1451" t="inlineStr">
        <is>
          <t>KALMAR LÄN</t>
        </is>
      </c>
      <c r="E1451" t="inlineStr">
        <is>
          <t>VÄSTERVIK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1096-2024</t>
        </is>
      </c>
      <c r="B1452" s="1" t="n">
        <v>45302</v>
      </c>
      <c r="C1452" s="1" t="n">
        <v>45844</v>
      </c>
      <c r="D1452" t="inlineStr">
        <is>
          <t>KALMAR LÄN</t>
        </is>
      </c>
      <c r="E1452" t="inlineStr">
        <is>
          <t>VÄSTERVIK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1665-2024</t>
        </is>
      </c>
      <c r="B1453" s="1" t="n">
        <v>45306</v>
      </c>
      <c r="C1453" s="1" t="n">
        <v>45844</v>
      </c>
      <c r="D1453" t="inlineStr">
        <is>
          <t>KALMAR LÄN</t>
        </is>
      </c>
      <c r="E1453" t="inlineStr">
        <is>
          <t>VÄSTERVIK</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1568-2024</t>
        </is>
      </c>
      <c r="B1454" s="1" t="n">
        <v>45306</v>
      </c>
      <c r="C1454" s="1" t="n">
        <v>45844</v>
      </c>
      <c r="D1454" t="inlineStr">
        <is>
          <t>KALMAR LÄN</t>
        </is>
      </c>
      <c r="E1454" t="inlineStr">
        <is>
          <t>VÄSTERVIK</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1572-2024</t>
        </is>
      </c>
      <c r="B1455" s="1" t="n">
        <v>45306</v>
      </c>
      <c r="C1455" s="1" t="n">
        <v>45844</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1664-2024</t>
        </is>
      </c>
      <c r="B1456" s="1" t="n">
        <v>45306</v>
      </c>
      <c r="C1456" s="1" t="n">
        <v>45844</v>
      </c>
      <c r="D1456" t="inlineStr">
        <is>
          <t>KALMAR LÄN</t>
        </is>
      </c>
      <c r="E1456" t="inlineStr">
        <is>
          <t>VÄSTERVIK</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2153-2024</t>
        </is>
      </c>
      <c r="B1457" s="1" t="n">
        <v>45309</v>
      </c>
      <c r="C1457" s="1" t="n">
        <v>45844</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2082-2024</t>
        </is>
      </c>
      <c r="B1458" s="1" t="n">
        <v>45309</v>
      </c>
      <c r="C1458" s="1" t="n">
        <v>45844</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2144-2024</t>
        </is>
      </c>
      <c r="B1459" s="1" t="n">
        <v>45309</v>
      </c>
      <c r="C1459" s="1" t="n">
        <v>45844</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2168-2024</t>
        </is>
      </c>
      <c r="B1460" s="1" t="n">
        <v>45309</v>
      </c>
      <c r="C1460" s="1" t="n">
        <v>45844</v>
      </c>
      <c r="D1460" t="inlineStr">
        <is>
          <t>KALMAR LÄN</t>
        </is>
      </c>
      <c r="E1460" t="inlineStr">
        <is>
          <t>VÄSTERVIK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2520-2024</t>
        </is>
      </c>
      <c r="B1461" s="1" t="n">
        <v>45313</v>
      </c>
      <c r="C1461" s="1" t="n">
        <v>45844</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2507-2024</t>
        </is>
      </c>
      <c r="B1462" s="1" t="n">
        <v>45313</v>
      </c>
      <c r="C1462" s="1" t="n">
        <v>45844</v>
      </c>
      <c r="D1462" t="inlineStr">
        <is>
          <t>KALMAR LÄN</t>
        </is>
      </c>
      <c r="E1462" t="inlineStr">
        <is>
          <t>VÄSTERVIK</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2543-2024</t>
        </is>
      </c>
      <c r="B1463" s="1" t="n">
        <v>45313</v>
      </c>
      <c r="C1463" s="1" t="n">
        <v>45844</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2634-2024</t>
        </is>
      </c>
      <c r="B1464" s="1" t="n">
        <v>45314</v>
      </c>
      <c r="C1464" s="1" t="n">
        <v>45844</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2726-2024</t>
        </is>
      </c>
      <c r="B1465" s="1" t="n">
        <v>45314</v>
      </c>
      <c r="C1465" s="1" t="n">
        <v>45844</v>
      </c>
      <c r="D1465" t="inlineStr">
        <is>
          <t>KALMAR LÄN</t>
        </is>
      </c>
      <c r="E1465" t="inlineStr">
        <is>
          <t>VÄSTERVIK</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3157-2024</t>
        </is>
      </c>
      <c r="B1466" s="1" t="n">
        <v>45316</v>
      </c>
      <c r="C1466" s="1" t="n">
        <v>45844</v>
      </c>
      <c r="D1466" t="inlineStr">
        <is>
          <t>KALMAR LÄN</t>
        </is>
      </c>
      <c r="E1466" t="inlineStr">
        <is>
          <t>VÄSTERVIK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3557-2024</t>
        </is>
      </c>
      <c r="B1467" s="1" t="n">
        <v>45320</v>
      </c>
      <c r="C1467" s="1" t="n">
        <v>45844</v>
      </c>
      <c r="D1467" t="inlineStr">
        <is>
          <t>KALMAR LÄN</t>
        </is>
      </c>
      <c r="E1467" t="inlineStr">
        <is>
          <t>VÄSTERVIK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3818-2024</t>
        </is>
      </c>
      <c r="B1468" s="1" t="n">
        <v>45321</v>
      </c>
      <c r="C1468" s="1" t="n">
        <v>45844</v>
      </c>
      <c r="D1468" t="inlineStr">
        <is>
          <t>KALMAR LÄN</t>
        </is>
      </c>
      <c r="E1468" t="inlineStr">
        <is>
          <t>VÄSTERVIK</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3826-2024</t>
        </is>
      </c>
      <c r="B1469" s="1" t="n">
        <v>45321</v>
      </c>
      <c r="C1469" s="1" t="n">
        <v>45844</v>
      </c>
      <c r="D1469" t="inlineStr">
        <is>
          <t>KALMAR LÄN</t>
        </is>
      </c>
      <c r="E1469" t="inlineStr">
        <is>
          <t>VÄSTERVIK</t>
        </is>
      </c>
      <c r="F1469" t="inlineStr">
        <is>
          <t>Holmen skog AB</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3830-2024</t>
        </is>
      </c>
      <c r="B1470" s="1" t="n">
        <v>45321</v>
      </c>
      <c r="C1470" s="1" t="n">
        <v>45844</v>
      </c>
      <c r="D1470" t="inlineStr">
        <is>
          <t>KALMAR LÄN</t>
        </is>
      </c>
      <c r="E1470" t="inlineStr">
        <is>
          <t>VÄSTERVIK</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3776-2024</t>
        </is>
      </c>
      <c r="B1471" s="1" t="n">
        <v>45321</v>
      </c>
      <c r="C1471" s="1" t="n">
        <v>45844</v>
      </c>
      <c r="D1471" t="inlineStr">
        <is>
          <t>KALMAR LÄN</t>
        </is>
      </c>
      <c r="E1471" t="inlineStr">
        <is>
          <t>VÄSTERVIK</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3817-2024</t>
        </is>
      </c>
      <c r="B1472" s="1" t="n">
        <v>45321</v>
      </c>
      <c r="C1472" s="1" t="n">
        <v>45844</v>
      </c>
      <c r="D1472" t="inlineStr">
        <is>
          <t>KALMAR LÄN</t>
        </is>
      </c>
      <c r="E1472" t="inlineStr">
        <is>
          <t>VÄSTERVIK</t>
        </is>
      </c>
      <c r="F1472" t="inlineStr">
        <is>
          <t>Holmen skog AB</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3829-2024</t>
        </is>
      </c>
      <c r="B1473" s="1" t="n">
        <v>45321</v>
      </c>
      <c r="C1473" s="1" t="n">
        <v>45844</v>
      </c>
      <c r="D1473" t="inlineStr">
        <is>
          <t>KALMAR LÄN</t>
        </is>
      </c>
      <c r="E1473" t="inlineStr">
        <is>
          <t>VÄSTERVIK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3828-2024</t>
        </is>
      </c>
      <c r="B1474" s="1" t="n">
        <v>45321</v>
      </c>
      <c r="C1474" s="1" t="n">
        <v>45844</v>
      </c>
      <c r="D1474" t="inlineStr">
        <is>
          <t>KALMAR LÄN</t>
        </is>
      </c>
      <c r="E1474" t="inlineStr">
        <is>
          <t>VÄSTERVIK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4520-2024</t>
        </is>
      </c>
      <c r="B1475" s="1" t="n">
        <v>45327</v>
      </c>
      <c r="C1475" s="1" t="n">
        <v>45844</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4540-2024</t>
        </is>
      </c>
      <c r="B1476" s="1" t="n">
        <v>45327</v>
      </c>
      <c r="C1476" s="1" t="n">
        <v>45844</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4858-2024</t>
        </is>
      </c>
      <c r="B1477" s="1" t="n">
        <v>45329</v>
      </c>
      <c r="C1477" s="1" t="n">
        <v>45844</v>
      </c>
      <c r="D1477" t="inlineStr">
        <is>
          <t>KALMAR LÄN</t>
        </is>
      </c>
      <c r="E1477" t="inlineStr">
        <is>
          <t>VÄSTERVIK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4950-2024</t>
        </is>
      </c>
      <c r="B1478" s="1" t="n">
        <v>45329</v>
      </c>
      <c r="C1478" s="1" t="n">
        <v>45844</v>
      </c>
      <c r="D1478" t="inlineStr">
        <is>
          <t>KALMAR LÄN</t>
        </is>
      </c>
      <c r="E1478" t="inlineStr">
        <is>
          <t>VÄSTERVIK</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5004-2024</t>
        </is>
      </c>
      <c r="B1479" s="1" t="n">
        <v>45329</v>
      </c>
      <c r="C1479" s="1" t="n">
        <v>45844</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4945-2024</t>
        </is>
      </c>
      <c r="B1480" s="1" t="n">
        <v>45329</v>
      </c>
      <c r="C1480" s="1" t="n">
        <v>45844</v>
      </c>
      <c r="D1480" t="inlineStr">
        <is>
          <t>KALMAR LÄN</t>
        </is>
      </c>
      <c r="E1480" t="inlineStr">
        <is>
          <t>VÄSTERVIK</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4965-2024</t>
        </is>
      </c>
      <c r="B1481" s="1" t="n">
        <v>45329</v>
      </c>
      <c r="C1481" s="1" t="n">
        <v>45844</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5234-2024</t>
        </is>
      </c>
      <c r="B1482" s="1" t="n">
        <v>45330</v>
      </c>
      <c r="C1482" s="1" t="n">
        <v>45844</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5300-2024</t>
        </is>
      </c>
      <c r="B1483" s="1" t="n">
        <v>45331</v>
      </c>
      <c r="C1483" s="1" t="n">
        <v>45844</v>
      </c>
      <c r="D1483" t="inlineStr">
        <is>
          <t>KALMAR LÄN</t>
        </is>
      </c>
      <c r="E1483" t="inlineStr">
        <is>
          <t>VÄSTERVIK</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5348-2024</t>
        </is>
      </c>
      <c r="B1484" s="1" t="n">
        <v>45331</v>
      </c>
      <c r="C1484" s="1" t="n">
        <v>45844</v>
      </c>
      <c r="D1484" t="inlineStr">
        <is>
          <t>KALMAR LÄN</t>
        </is>
      </c>
      <c r="E1484" t="inlineStr">
        <is>
          <t>VÄSTERVIK</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5355-2024</t>
        </is>
      </c>
      <c r="B1485" s="1" t="n">
        <v>45331</v>
      </c>
      <c r="C1485" s="1" t="n">
        <v>45844</v>
      </c>
      <c r="D1485" t="inlineStr">
        <is>
          <t>KALMAR LÄN</t>
        </is>
      </c>
      <c r="E1485" t="inlineStr">
        <is>
          <t>VÄSTERVIK</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5923-2024</t>
        </is>
      </c>
      <c r="B1486" s="1" t="n">
        <v>45335</v>
      </c>
      <c r="C1486" s="1" t="n">
        <v>45844</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5924-2024</t>
        </is>
      </c>
      <c r="B1487" s="1" t="n">
        <v>45335</v>
      </c>
      <c r="C1487" s="1" t="n">
        <v>45844</v>
      </c>
      <c r="D1487" t="inlineStr">
        <is>
          <t>KALMAR LÄN</t>
        </is>
      </c>
      <c r="E1487" t="inlineStr">
        <is>
          <t>VÄSTERVIK</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5925-2024</t>
        </is>
      </c>
      <c r="B1488" s="1" t="n">
        <v>45336</v>
      </c>
      <c r="C1488" s="1" t="n">
        <v>45844</v>
      </c>
      <c r="D1488" t="inlineStr">
        <is>
          <t>KALMAR LÄN</t>
        </is>
      </c>
      <c r="E1488" t="inlineStr">
        <is>
          <t>VÄSTERVIK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6019-2024</t>
        </is>
      </c>
      <c r="B1489" s="1" t="n">
        <v>45336</v>
      </c>
      <c r="C1489" s="1" t="n">
        <v>45844</v>
      </c>
      <c r="D1489" t="inlineStr">
        <is>
          <t>KALMAR LÄN</t>
        </is>
      </c>
      <c r="E1489" t="inlineStr">
        <is>
          <t>VÄSTERVIK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6017-2024</t>
        </is>
      </c>
      <c r="B1490" s="1" t="n">
        <v>45336</v>
      </c>
      <c r="C1490" s="1" t="n">
        <v>45844</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6021-2024</t>
        </is>
      </c>
      <c r="B1491" s="1" t="n">
        <v>45336</v>
      </c>
      <c r="C1491" s="1" t="n">
        <v>45844</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6148-2024</t>
        </is>
      </c>
      <c r="B1492" s="1" t="n">
        <v>45337</v>
      </c>
      <c r="C1492" s="1" t="n">
        <v>45844</v>
      </c>
      <c r="D1492" t="inlineStr">
        <is>
          <t>KALMAR LÄN</t>
        </is>
      </c>
      <c r="E1492" t="inlineStr">
        <is>
          <t>VÄSTERVIK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6289-2024</t>
        </is>
      </c>
      <c r="B1493" s="1" t="n">
        <v>45338</v>
      </c>
      <c r="C1493" s="1" t="n">
        <v>45844</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6426-2024</t>
        </is>
      </c>
      <c r="B1494" s="1" t="n">
        <v>45338</v>
      </c>
      <c r="C1494" s="1" t="n">
        <v>45844</v>
      </c>
      <c r="D1494" t="inlineStr">
        <is>
          <t>KALMAR LÄN</t>
        </is>
      </c>
      <c r="E1494" t="inlineStr">
        <is>
          <t>VÄSTERVIK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6312-2024</t>
        </is>
      </c>
      <c r="B1495" s="1" t="n">
        <v>45338</v>
      </c>
      <c r="C1495" s="1" t="n">
        <v>45844</v>
      </c>
      <c r="D1495" t="inlineStr">
        <is>
          <t>KALMAR LÄN</t>
        </is>
      </c>
      <c r="E1495" t="inlineStr">
        <is>
          <t>VÄSTERVIK</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6406-2024</t>
        </is>
      </c>
      <c r="B1496" s="1" t="n">
        <v>45338</v>
      </c>
      <c r="C1496" s="1" t="n">
        <v>45844</v>
      </c>
      <c r="D1496" t="inlineStr">
        <is>
          <t>KALMAR LÄN</t>
        </is>
      </c>
      <c r="E1496" t="inlineStr">
        <is>
          <t>VÄSTERVIK</t>
        </is>
      </c>
      <c r="G1496" t="n">
        <v>5.5</v>
      </c>
      <c r="H1496" t="n">
        <v>0</v>
      </c>
      <c r="I1496" t="n">
        <v>0</v>
      </c>
      <c r="J1496" t="n">
        <v>0</v>
      </c>
      <c r="K1496" t="n">
        <v>0</v>
      </c>
      <c r="L1496" t="n">
        <v>0</v>
      </c>
      <c r="M1496" t="n">
        <v>0</v>
      </c>
      <c r="N1496" t="n">
        <v>0</v>
      </c>
      <c r="O1496" t="n">
        <v>0</v>
      </c>
      <c r="P1496" t="n">
        <v>0</v>
      </c>
      <c r="Q1496" t="n">
        <v>0</v>
      </c>
      <c r="R1496" s="2" t="inlineStr"/>
      <c r="U1496">
        <f>HYPERLINK("https://klasma.github.io/Logging_0883/knärot/A 6406-2024 karta knärot.png", "A 6406-2024")</f>
        <v/>
      </c>
      <c r="V1496">
        <f>HYPERLINK("https://klasma.github.io/Logging_0883/klagomål/A 6406-2024 FSC-klagomål.docx", "A 6406-2024")</f>
        <v/>
      </c>
      <c r="W1496">
        <f>HYPERLINK("https://klasma.github.io/Logging_0883/klagomålsmail/A 6406-2024 FSC-klagomål mail.docx", "A 6406-2024")</f>
        <v/>
      </c>
      <c r="X1496">
        <f>HYPERLINK("https://klasma.github.io/Logging_0883/tillsyn/A 6406-2024 tillsynsbegäran.docx", "A 6406-2024")</f>
        <v/>
      </c>
      <c r="Y1496">
        <f>HYPERLINK("https://klasma.github.io/Logging_0883/tillsynsmail/A 6406-2024 tillsynsbegäran mail.docx", "A 6406-2024")</f>
        <v/>
      </c>
    </row>
    <row r="1497" ht="15" customHeight="1">
      <c r="A1497" t="inlineStr">
        <is>
          <t>A 6731-2024</t>
        </is>
      </c>
      <c r="B1497" s="1" t="n">
        <v>45342</v>
      </c>
      <c r="C1497" s="1" t="n">
        <v>45844</v>
      </c>
      <c r="D1497" t="inlineStr">
        <is>
          <t>KALMAR LÄN</t>
        </is>
      </c>
      <c r="E1497" t="inlineStr">
        <is>
          <t>VÄSTERVIK</t>
        </is>
      </c>
      <c r="F1497" t="inlineStr">
        <is>
          <t>Holmen skog AB</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6746-2024</t>
        </is>
      </c>
      <c r="B1498" s="1" t="n">
        <v>45342</v>
      </c>
      <c r="C1498" s="1" t="n">
        <v>45844</v>
      </c>
      <c r="D1498" t="inlineStr">
        <is>
          <t>KALMAR LÄN</t>
        </is>
      </c>
      <c r="E1498" t="inlineStr">
        <is>
          <t>VÄSTERVIK</t>
        </is>
      </c>
      <c r="F1498" t="inlineStr">
        <is>
          <t>Holmen skog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7089-2024</t>
        </is>
      </c>
      <c r="B1499" s="1" t="n">
        <v>45343</v>
      </c>
      <c r="C1499" s="1" t="n">
        <v>45844</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7090-2024</t>
        </is>
      </c>
      <c r="B1500" s="1" t="n">
        <v>45343</v>
      </c>
      <c r="C1500" s="1" t="n">
        <v>45844</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7512-2024</t>
        </is>
      </c>
      <c r="B1501" s="1" t="n">
        <v>45348</v>
      </c>
      <c r="C1501" s="1" t="n">
        <v>45844</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7536-2024</t>
        </is>
      </c>
      <c r="B1502" s="1" t="n">
        <v>45348</v>
      </c>
      <c r="C1502" s="1" t="n">
        <v>45844</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7548-2024</t>
        </is>
      </c>
      <c r="B1503" s="1" t="n">
        <v>45348</v>
      </c>
      <c r="C1503" s="1" t="n">
        <v>45844</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7688-2024</t>
        </is>
      </c>
      <c r="B1504" s="1" t="n">
        <v>45349</v>
      </c>
      <c r="C1504" s="1" t="n">
        <v>45844</v>
      </c>
      <c r="D1504" t="inlineStr">
        <is>
          <t>KALMAR LÄN</t>
        </is>
      </c>
      <c r="E1504" t="inlineStr">
        <is>
          <t>VÄSTERVIK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7687-2024</t>
        </is>
      </c>
      <c r="B1505" s="1" t="n">
        <v>45349</v>
      </c>
      <c r="C1505" s="1" t="n">
        <v>45844</v>
      </c>
      <c r="D1505" t="inlineStr">
        <is>
          <t>KALMAR LÄN</t>
        </is>
      </c>
      <c r="E1505" t="inlineStr">
        <is>
          <t>VÄSTERVIK</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8089-2024</t>
        </is>
      </c>
      <c r="B1506" s="1" t="n">
        <v>45351</v>
      </c>
      <c r="C1506" s="1" t="n">
        <v>45844</v>
      </c>
      <c r="D1506" t="inlineStr">
        <is>
          <t>KALMAR LÄN</t>
        </is>
      </c>
      <c r="E1506" t="inlineStr">
        <is>
          <t>VÄSTERVIK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8619-2024</t>
        </is>
      </c>
      <c r="B1507" s="1" t="n">
        <v>45355</v>
      </c>
      <c r="C1507" s="1" t="n">
        <v>45844</v>
      </c>
      <c r="D1507" t="inlineStr">
        <is>
          <t>KALMAR LÄN</t>
        </is>
      </c>
      <c r="E1507" t="inlineStr">
        <is>
          <t>VÄSTERVIK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8731-2024</t>
        </is>
      </c>
      <c r="B1508" s="1" t="n">
        <v>45356</v>
      </c>
      <c r="C1508" s="1" t="n">
        <v>45844</v>
      </c>
      <c r="D1508" t="inlineStr">
        <is>
          <t>KALMAR LÄN</t>
        </is>
      </c>
      <c r="E1508" t="inlineStr">
        <is>
          <t>VÄSTERVIK</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8732-2024</t>
        </is>
      </c>
      <c r="B1509" s="1" t="n">
        <v>45356</v>
      </c>
      <c r="C1509" s="1" t="n">
        <v>45844</v>
      </c>
      <c r="D1509" t="inlineStr">
        <is>
          <t>KALMAR LÄN</t>
        </is>
      </c>
      <c r="E1509" t="inlineStr">
        <is>
          <t>VÄSTERVIK</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9107-2024</t>
        </is>
      </c>
      <c r="B1510" s="1" t="n">
        <v>45357</v>
      </c>
      <c r="C1510" s="1" t="n">
        <v>45844</v>
      </c>
      <c r="D1510" t="inlineStr">
        <is>
          <t>KALMAR LÄN</t>
        </is>
      </c>
      <c r="E1510" t="inlineStr">
        <is>
          <t>VÄSTERVIK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9124-2024</t>
        </is>
      </c>
      <c r="B1511" s="1" t="n">
        <v>45358</v>
      </c>
      <c r="C1511" s="1" t="n">
        <v>45844</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9249-2024</t>
        </is>
      </c>
      <c r="B1512" s="1" t="n">
        <v>45358</v>
      </c>
      <c r="C1512" s="1" t="n">
        <v>45844</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9140-2024</t>
        </is>
      </c>
      <c r="B1513" s="1" t="n">
        <v>45358</v>
      </c>
      <c r="C1513" s="1" t="n">
        <v>45844</v>
      </c>
      <c r="D1513" t="inlineStr">
        <is>
          <t>KALMAR LÄN</t>
        </is>
      </c>
      <c r="E1513" t="inlineStr">
        <is>
          <t>VÄSTERVIK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9549-2024</t>
        </is>
      </c>
      <c r="B1514" s="1" t="n">
        <v>45359</v>
      </c>
      <c r="C1514" s="1" t="n">
        <v>45844</v>
      </c>
      <c r="D1514" t="inlineStr">
        <is>
          <t>KALMAR LÄN</t>
        </is>
      </c>
      <c r="E1514" t="inlineStr">
        <is>
          <t>VÄSTERVIK</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9760-2024</t>
        </is>
      </c>
      <c r="B1515" s="1" t="n">
        <v>45362</v>
      </c>
      <c r="C1515" s="1" t="n">
        <v>45844</v>
      </c>
      <c r="D1515" t="inlineStr">
        <is>
          <t>KALMAR LÄN</t>
        </is>
      </c>
      <c r="E1515" t="inlineStr">
        <is>
          <t>VÄSTERVIK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9753-2024</t>
        </is>
      </c>
      <c r="B1516" s="1" t="n">
        <v>45362</v>
      </c>
      <c r="C1516" s="1" t="n">
        <v>45844</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9985-2024</t>
        </is>
      </c>
      <c r="B1517" s="1" t="n">
        <v>45363</v>
      </c>
      <c r="C1517" s="1" t="n">
        <v>45844</v>
      </c>
      <c r="D1517" t="inlineStr">
        <is>
          <t>KALMAR LÄN</t>
        </is>
      </c>
      <c r="E1517" t="inlineStr">
        <is>
          <t>VÄSTERVIK</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10515-2024</t>
        </is>
      </c>
      <c r="B1518" s="1" t="n">
        <v>45366</v>
      </c>
      <c r="C1518" s="1" t="n">
        <v>45844</v>
      </c>
      <c r="D1518" t="inlineStr">
        <is>
          <t>KALMAR LÄN</t>
        </is>
      </c>
      <c r="E1518" t="inlineStr">
        <is>
          <t>VÄSTERVIK</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10521-2024</t>
        </is>
      </c>
      <c r="B1519" s="1" t="n">
        <v>45366</v>
      </c>
      <c r="C1519" s="1" t="n">
        <v>45844</v>
      </c>
      <c r="D1519" t="inlineStr">
        <is>
          <t>KALMAR LÄN</t>
        </is>
      </c>
      <c r="E1519" t="inlineStr">
        <is>
          <t>VÄSTERVIK</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10727-2024</t>
        </is>
      </c>
      <c r="B1520" s="1" t="n">
        <v>45369</v>
      </c>
      <c r="C1520" s="1" t="n">
        <v>45844</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10688-2024</t>
        </is>
      </c>
      <c r="B1521" s="1" t="n">
        <v>45369</v>
      </c>
      <c r="C1521" s="1" t="n">
        <v>45844</v>
      </c>
      <c r="D1521" t="inlineStr">
        <is>
          <t>KALMAR LÄN</t>
        </is>
      </c>
      <c r="E1521" t="inlineStr">
        <is>
          <t>VÄSTERVIK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10942-2024</t>
        </is>
      </c>
      <c r="B1522" s="1" t="n">
        <v>45370</v>
      </c>
      <c r="C1522" s="1" t="n">
        <v>45844</v>
      </c>
      <c r="D1522" t="inlineStr">
        <is>
          <t>KALMAR LÄN</t>
        </is>
      </c>
      <c r="E1522" t="inlineStr">
        <is>
          <t>VÄSTERVIK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11189-2024</t>
        </is>
      </c>
      <c r="B1523" s="1" t="n">
        <v>45371</v>
      </c>
      <c r="C1523" s="1" t="n">
        <v>45844</v>
      </c>
      <c r="D1523" t="inlineStr">
        <is>
          <t>KALMAR LÄN</t>
        </is>
      </c>
      <c r="E1523" t="inlineStr">
        <is>
          <t>VÄSTERVIK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11167-2024</t>
        </is>
      </c>
      <c r="B1524" s="1" t="n">
        <v>45371</v>
      </c>
      <c r="C1524" s="1" t="n">
        <v>45844</v>
      </c>
      <c r="D1524" t="inlineStr">
        <is>
          <t>KALMAR LÄN</t>
        </is>
      </c>
      <c r="E1524" t="inlineStr">
        <is>
          <t>VÄSTERVIK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11183-2024</t>
        </is>
      </c>
      <c r="B1525" s="1" t="n">
        <v>45371</v>
      </c>
      <c r="C1525" s="1" t="n">
        <v>45844</v>
      </c>
      <c r="D1525" t="inlineStr">
        <is>
          <t>KALMAR LÄN</t>
        </is>
      </c>
      <c r="E1525" t="inlineStr">
        <is>
          <t>VÄSTERVIK</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11198-2024</t>
        </is>
      </c>
      <c r="B1526" s="1" t="n">
        <v>45371</v>
      </c>
      <c r="C1526" s="1" t="n">
        <v>45844</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11750-2024</t>
        </is>
      </c>
      <c r="B1527" s="1" t="n">
        <v>45373</v>
      </c>
      <c r="C1527" s="1" t="n">
        <v>45844</v>
      </c>
      <c r="D1527" t="inlineStr">
        <is>
          <t>KALMAR LÄN</t>
        </is>
      </c>
      <c r="E1527" t="inlineStr">
        <is>
          <t>VÄSTERVIK</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11746-2024</t>
        </is>
      </c>
      <c r="B1528" s="1" t="n">
        <v>45373</v>
      </c>
      <c r="C1528" s="1" t="n">
        <v>45844</v>
      </c>
      <c r="D1528" t="inlineStr">
        <is>
          <t>KALMAR LÄN</t>
        </is>
      </c>
      <c r="E1528" t="inlineStr">
        <is>
          <t>VÄSTERVIK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11611-2024</t>
        </is>
      </c>
      <c r="B1529" s="1" t="n">
        <v>45373</v>
      </c>
      <c r="C1529" s="1" t="n">
        <v>45844</v>
      </c>
      <c r="D1529" t="inlineStr">
        <is>
          <t>KALMAR LÄN</t>
        </is>
      </c>
      <c r="E1529" t="inlineStr">
        <is>
          <t>VÄSTERVIK</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11791-2024</t>
        </is>
      </c>
      <c r="B1530" s="1" t="n">
        <v>45375</v>
      </c>
      <c r="C1530" s="1" t="n">
        <v>45844</v>
      </c>
      <c r="D1530" t="inlineStr">
        <is>
          <t>KALMAR LÄN</t>
        </is>
      </c>
      <c r="E1530" t="inlineStr">
        <is>
          <t>VÄSTERVIK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11848-2024</t>
        </is>
      </c>
      <c r="B1531" s="1" t="n">
        <v>45376</v>
      </c>
      <c r="C1531" s="1" t="n">
        <v>45844</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11856-2024</t>
        </is>
      </c>
      <c r="B1532" s="1" t="n">
        <v>45376</v>
      </c>
      <c r="C1532" s="1" t="n">
        <v>45844</v>
      </c>
      <c r="D1532" t="inlineStr">
        <is>
          <t>KALMAR LÄN</t>
        </is>
      </c>
      <c r="E1532" t="inlineStr">
        <is>
          <t>VÄSTERVIK</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11864-2024</t>
        </is>
      </c>
      <c r="B1533" s="1" t="n">
        <v>45376</v>
      </c>
      <c r="C1533" s="1" t="n">
        <v>45844</v>
      </c>
      <c r="D1533" t="inlineStr">
        <is>
          <t>KALMAR LÄN</t>
        </is>
      </c>
      <c r="E1533" t="inlineStr">
        <is>
          <t>VÄSTERVIK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11854-2024</t>
        </is>
      </c>
      <c r="B1534" s="1" t="n">
        <v>45376</v>
      </c>
      <c r="C1534" s="1" t="n">
        <v>45844</v>
      </c>
      <c r="D1534" t="inlineStr">
        <is>
          <t>KALMAR LÄN</t>
        </is>
      </c>
      <c r="E1534" t="inlineStr">
        <is>
          <t>VÄSTERVIK</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12009-2024</t>
        </is>
      </c>
      <c r="B1535" s="1" t="n">
        <v>45377</v>
      </c>
      <c r="C1535" s="1" t="n">
        <v>45844</v>
      </c>
      <c r="D1535" t="inlineStr">
        <is>
          <t>KALMAR LÄN</t>
        </is>
      </c>
      <c r="E1535" t="inlineStr">
        <is>
          <t>VÄSTERVIK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12433-2024</t>
        </is>
      </c>
      <c r="B1536" s="1" t="n">
        <v>45379</v>
      </c>
      <c r="C1536" s="1" t="n">
        <v>45844</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12643-2024</t>
        </is>
      </c>
      <c r="B1537" s="1" t="n">
        <v>45379</v>
      </c>
      <c r="C1537" s="1" t="n">
        <v>45844</v>
      </c>
      <c r="D1537" t="inlineStr">
        <is>
          <t>KALMAR LÄN</t>
        </is>
      </c>
      <c r="E1537" t="inlineStr">
        <is>
          <t>VÄSTERVIK</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12431-2024</t>
        </is>
      </c>
      <c r="B1538" s="1" t="n">
        <v>45379</v>
      </c>
      <c r="C1538" s="1" t="n">
        <v>45844</v>
      </c>
      <c r="D1538" t="inlineStr">
        <is>
          <t>KALMAR LÄN</t>
        </is>
      </c>
      <c r="E1538" t="inlineStr">
        <is>
          <t>VÄSTERVIK</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12435-2024</t>
        </is>
      </c>
      <c r="B1539" s="1" t="n">
        <v>45379</v>
      </c>
      <c r="C1539" s="1" t="n">
        <v>45844</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12446-2024</t>
        </is>
      </c>
      <c r="B1540" s="1" t="n">
        <v>45379</v>
      </c>
      <c r="C1540" s="1" t="n">
        <v>45844</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12852-2024</t>
        </is>
      </c>
      <c r="B1541" s="1" t="n">
        <v>45384</v>
      </c>
      <c r="C1541" s="1" t="n">
        <v>45844</v>
      </c>
      <c r="D1541" t="inlineStr">
        <is>
          <t>KALMAR LÄN</t>
        </is>
      </c>
      <c r="E1541" t="inlineStr">
        <is>
          <t>VÄSTERVIK</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13400-2024</t>
        </is>
      </c>
      <c r="B1542" s="1" t="n">
        <v>45387</v>
      </c>
      <c r="C1542" s="1" t="n">
        <v>45844</v>
      </c>
      <c r="D1542" t="inlineStr">
        <is>
          <t>KALMAR LÄN</t>
        </is>
      </c>
      <c r="E1542" t="inlineStr">
        <is>
          <t>VÄSTERVIK</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13753-2024</t>
        </is>
      </c>
      <c r="B1543" s="1" t="n">
        <v>45390</v>
      </c>
      <c r="C1543" s="1" t="n">
        <v>45844</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13743-2024</t>
        </is>
      </c>
      <c r="B1544" s="1" t="n">
        <v>45390</v>
      </c>
      <c r="C1544" s="1" t="n">
        <v>45844</v>
      </c>
      <c r="D1544" t="inlineStr">
        <is>
          <t>KALMAR LÄN</t>
        </is>
      </c>
      <c r="E1544" t="inlineStr">
        <is>
          <t>VÄSTERVIK</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13748-2024</t>
        </is>
      </c>
      <c r="B1545" s="1" t="n">
        <v>45390</v>
      </c>
      <c r="C1545" s="1" t="n">
        <v>45844</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13747-2024</t>
        </is>
      </c>
      <c r="B1546" s="1" t="n">
        <v>45390</v>
      </c>
      <c r="C1546" s="1" t="n">
        <v>45844</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13751-2024</t>
        </is>
      </c>
      <c r="B1547" s="1" t="n">
        <v>45390</v>
      </c>
      <c r="C1547" s="1" t="n">
        <v>45844</v>
      </c>
      <c r="D1547" t="inlineStr">
        <is>
          <t>KALMAR LÄN</t>
        </is>
      </c>
      <c r="E1547" t="inlineStr">
        <is>
          <t>VÄSTERVIK</t>
        </is>
      </c>
      <c r="F1547" t="inlineStr">
        <is>
          <t>Sveaskog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13742-2024</t>
        </is>
      </c>
      <c r="B1548" s="1" t="n">
        <v>45390</v>
      </c>
      <c r="C1548" s="1" t="n">
        <v>45844</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13746-2024</t>
        </is>
      </c>
      <c r="B1549" s="1" t="n">
        <v>45390</v>
      </c>
      <c r="C1549" s="1" t="n">
        <v>45844</v>
      </c>
      <c r="D1549" t="inlineStr">
        <is>
          <t>KALMAR LÄN</t>
        </is>
      </c>
      <c r="E1549" t="inlineStr">
        <is>
          <t>VÄSTERVIK</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13750-2024</t>
        </is>
      </c>
      <c r="B1550" s="1" t="n">
        <v>45390</v>
      </c>
      <c r="C1550" s="1" t="n">
        <v>45844</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13825-2024</t>
        </is>
      </c>
      <c r="B1551" s="1" t="n">
        <v>45391</v>
      </c>
      <c r="C1551" s="1" t="n">
        <v>45844</v>
      </c>
      <c r="D1551" t="inlineStr">
        <is>
          <t>KALMAR LÄN</t>
        </is>
      </c>
      <c r="E1551" t="inlineStr">
        <is>
          <t>VÄSTERVIK</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13836-2024</t>
        </is>
      </c>
      <c r="B1552" s="1" t="n">
        <v>45391</v>
      </c>
      <c r="C1552" s="1" t="n">
        <v>45844</v>
      </c>
      <c r="D1552" t="inlineStr">
        <is>
          <t>KALMAR LÄN</t>
        </is>
      </c>
      <c r="E1552" t="inlineStr">
        <is>
          <t>VÄSTERVIK</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13840-2024</t>
        </is>
      </c>
      <c r="B1553" s="1" t="n">
        <v>45391</v>
      </c>
      <c r="C1553" s="1" t="n">
        <v>45844</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13823-2024</t>
        </is>
      </c>
      <c r="B1554" s="1" t="n">
        <v>45391</v>
      </c>
      <c r="C1554" s="1" t="n">
        <v>45844</v>
      </c>
      <c r="D1554" t="inlineStr">
        <is>
          <t>KALMAR LÄN</t>
        </is>
      </c>
      <c r="E1554" t="inlineStr">
        <is>
          <t>VÄSTERVIK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13827-2024</t>
        </is>
      </c>
      <c r="B1555" s="1" t="n">
        <v>45391</v>
      </c>
      <c r="C1555" s="1" t="n">
        <v>45844</v>
      </c>
      <c r="D1555" t="inlineStr">
        <is>
          <t>KALMAR LÄN</t>
        </is>
      </c>
      <c r="E1555" t="inlineStr">
        <is>
          <t>VÄSTERVIK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13838-2024</t>
        </is>
      </c>
      <c r="B1556" s="1" t="n">
        <v>45391</v>
      </c>
      <c r="C1556" s="1" t="n">
        <v>45844</v>
      </c>
      <c r="D1556" t="inlineStr">
        <is>
          <t>KALMAR LÄN</t>
        </is>
      </c>
      <c r="E1556" t="inlineStr">
        <is>
          <t>VÄSTERVIK</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13837-2024</t>
        </is>
      </c>
      <c r="B1557" s="1" t="n">
        <v>45391</v>
      </c>
      <c r="C1557" s="1" t="n">
        <v>45844</v>
      </c>
      <c r="D1557" t="inlineStr">
        <is>
          <t>KALMAR LÄN</t>
        </is>
      </c>
      <c r="E1557" t="inlineStr">
        <is>
          <t>VÄSTERVIK</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13843-2024</t>
        </is>
      </c>
      <c r="B1558" s="1" t="n">
        <v>45391</v>
      </c>
      <c r="C1558" s="1" t="n">
        <v>45844</v>
      </c>
      <c r="D1558" t="inlineStr">
        <is>
          <t>KALMAR LÄN</t>
        </is>
      </c>
      <c r="E1558" t="inlineStr">
        <is>
          <t>VÄSTERVIK</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13839-2024</t>
        </is>
      </c>
      <c r="B1559" s="1" t="n">
        <v>45391</v>
      </c>
      <c r="C1559" s="1" t="n">
        <v>45844</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14024-2024</t>
        </is>
      </c>
      <c r="B1560" s="1" t="n">
        <v>45392</v>
      </c>
      <c r="C1560" s="1" t="n">
        <v>45844</v>
      </c>
      <c r="D1560" t="inlineStr">
        <is>
          <t>KALMAR LÄN</t>
        </is>
      </c>
      <c r="E1560" t="inlineStr">
        <is>
          <t>VÄSTERVIK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14147-2024</t>
        </is>
      </c>
      <c r="B1561" s="1" t="n">
        <v>45392</v>
      </c>
      <c r="C1561" s="1" t="n">
        <v>45844</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14146-2024</t>
        </is>
      </c>
      <c r="B1562" s="1" t="n">
        <v>45392</v>
      </c>
      <c r="C1562" s="1" t="n">
        <v>45844</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14145-2024</t>
        </is>
      </c>
      <c r="B1563" s="1" t="n">
        <v>45392</v>
      </c>
      <c r="C1563" s="1" t="n">
        <v>45844</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14281-2024</t>
        </is>
      </c>
      <c r="B1564" s="1" t="n">
        <v>45393</v>
      </c>
      <c r="C1564" s="1" t="n">
        <v>45844</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14282-2024</t>
        </is>
      </c>
      <c r="B1565" s="1" t="n">
        <v>45393</v>
      </c>
      <c r="C1565" s="1" t="n">
        <v>45844</v>
      </c>
      <c r="D1565" t="inlineStr">
        <is>
          <t>KALMAR LÄN</t>
        </is>
      </c>
      <c r="E1565" t="inlineStr">
        <is>
          <t>VÄSTERVIK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14237-2024</t>
        </is>
      </c>
      <c r="B1566" s="1" t="n">
        <v>45393</v>
      </c>
      <c r="C1566" s="1" t="n">
        <v>45844</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14452-2024</t>
        </is>
      </c>
      <c r="B1567" s="1" t="n">
        <v>45394</v>
      </c>
      <c r="C1567" s="1" t="n">
        <v>45844</v>
      </c>
      <c r="D1567" t="inlineStr">
        <is>
          <t>KALMAR LÄN</t>
        </is>
      </c>
      <c r="E1567" t="inlineStr">
        <is>
          <t>VÄSTERVIK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15356-2024</t>
        </is>
      </c>
      <c r="B1568" s="1" t="n">
        <v>45400</v>
      </c>
      <c r="C1568" s="1" t="n">
        <v>45844</v>
      </c>
      <c r="D1568" t="inlineStr">
        <is>
          <t>KALMAR LÄN</t>
        </is>
      </c>
      <c r="E1568" t="inlineStr">
        <is>
          <t>VÄSTERVIK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15357-2024</t>
        </is>
      </c>
      <c r="B1569" s="1" t="n">
        <v>45400</v>
      </c>
      <c r="C1569" s="1" t="n">
        <v>45844</v>
      </c>
      <c r="D1569" t="inlineStr">
        <is>
          <t>KALMAR LÄN</t>
        </is>
      </c>
      <c r="E1569" t="inlineStr">
        <is>
          <t>VÄSTERVIK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15553-2024</t>
        </is>
      </c>
      <c r="B1570" s="1" t="n">
        <v>45401</v>
      </c>
      <c r="C1570" s="1" t="n">
        <v>45844</v>
      </c>
      <c r="D1570" t="inlineStr">
        <is>
          <t>KALMAR LÄN</t>
        </is>
      </c>
      <c r="E1570" t="inlineStr">
        <is>
          <t>VÄSTERVIK</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16040-2024</t>
        </is>
      </c>
      <c r="B1571" s="1" t="n">
        <v>45405</v>
      </c>
      <c r="C1571" s="1" t="n">
        <v>45844</v>
      </c>
      <c r="D1571" t="inlineStr">
        <is>
          <t>KALMAR LÄN</t>
        </is>
      </c>
      <c r="E1571" t="inlineStr">
        <is>
          <t>VÄSTERVIK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16011-2024</t>
        </is>
      </c>
      <c r="B1572" s="1" t="n">
        <v>45405</v>
      </c>
      <c r="C1572" s="1" t="n">
        <v>45844</v>
      </c>
      <c r="D1572" t="inlineStr">
        <is>
          <t>KALMAR LÄN</t>
        </is>
      </c>
      <c r="E1572" t="inlineStr">
        <is>
          <t>VÄSTERVIK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15926-2024</t>
        </is>
      </c>
      <c r="B1573" s="1" t="n">
        <v>45405</v>
      </c>
      <c r="C1573" s="1" t="n">
        <v>45844</v>
      </c>
      <c r="D1573" t="inlineStr">
        <is>
          <t>KALMAR LÄN</t>
        </is>
      </c>
      <c r="E1573" t="inlineStr">
        <is>
          <t>VÄSTERVIK</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16395-2024</t>
        </is>
      </c>
      <c r="B1574" s="1" t="n">
        <v>45407</v>
      </c>
      <c r="C1574" s="1" t="n">
        <v>45844</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c r="U1574">
        <f>HYPERLINK("https://klasma.github.io/Logging_0883/knärot/A 16395-2024 karta knärot.png", "A 16395-2024")</f>
        <v/>
      </c>
      <c r="V1574">
        <f>HYPERLINK("https://klasma.github.io/Logging_0883/klagomål/A 16395-2024 FSC-klagomål.docx", "A 16395-2024")</f>
        <v/>
      </c>
      <c r="W1574">
        <f>HYPERLINK("https://klasma.github.io/Logging_0883/klagomålsmail/A 16395-2024 FSC-klagomål mail.docx", "A 16395-2024")</f>
        <v/>
      </c>
      <c r="X1574">
        <f>HYPERLINK("https://klasma.github.io/Logging_0883/tillsyn/A 16395-2024 tillsynsbegäran.docx", "A 16395-2024")</f>
        <v/>
      </c>
      <c r="Y1574">
        <f>HYPERLINK("https://klasma.github.io/Logging_0883/tillsynsmail/A 16395-2024 tillsynsbegäran mail.docx", "A 16395-2024")</f>
        <v/>
      </c>
    </row>
    <row r="1575" ht="15" customHeight="1">
      <c r="A1575" t="inlineStr">
        <is>
          <t>A 16381-2024</t>
        </is>
      </c>
      <c r="B1575" s="1" t="n">
        <v>45407</v>
      </c>
      <c r="C1575" s="1" t="n">
        <v>45844</v>
      </c>
      <c r="D1575" t="inlineStr">
        <is>
          <t>KALMAR LÄN</t>
        </is>
      </c>
      <c r="E1575" t="inlineStr">
        <is>
          <t>VÄSTERVIK</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16385-2024</t>
        </is>
      </c>
      <c r="B1576" s="1" t="n">
        <v>45407</v>
      </c>
      <c r="C1576" s="1" t="n">
        <v>45844</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16386-2024</t>
        </is>
      </c>
      <c r="B1577" s="1" t="n">
        <v>45407</v>
      </c>
      <c r="C1577" s="1" t="n">
        <v>45844</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16390-2024</t>
        </is>
      </c>
      <c r="B1578" s="1" t="n">
        <v>45407</v>
      </c>
      <c r="C1578" s="1" t="n">
        <v>45844</v>
      </c>
      <c r="D1578" t="inlineStr">
        <is>
          <t>KALMAR LÄN</t>
        </is>
      </c>
      <c r="E1578" t="inlineStr">
        <is>
          <t>VÄSTERVIK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16398-2024</t>
        </is>
      </c>
      <c r="B1579" s="1" t="n">
        <v>45407</v>
      </c>
      <c r="C1579" s="1" t="n">
        <v>45844</v>
      </c>
      <c r="D1579" t="inlineStr">
        <is>
          <t>KALMAR LÄN</t>
        </is>
      </c>
      <c r="E1579" t="inlineStr">
        <is>
          <t>VÄSTERVIK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16696-2024</t>
        </is>
      </c>
      <c r="B1580" s="1" t="n">
        <v>45409</v>
      </c>
      <c r="C1580" s="1" t="n">
        <v>45844</v>
      </c>
      <c r="D1580" t="inlineStr">
        <is>
          <t>KALMAR LÄN</t>
        </is>
      </c>
      <c r="E1580" t="inlineStr">
        <is>
          <t>VÄSTERVIK</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17216-2024</t>
        </is>
      </c>
      <c r="B1581" s="1" t="n">
        <v>45414</v>
      </c>
      <c r="C1581" s="1" t="n">
        <v>45844</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17214-2024</t>
        </is>
      </c>
      <c r="B1582" s="1" t="n">
        <v>45414</v>
      </c>
      <c r="C1582" s="1" t="n">
        <v>45844</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17427-2024</t>
        </is>
      </c>
      <c r="B1583" s="1" t="n">
        <v>45415</v>
      </c>
      <c r="C1583" s="1" t="n">
        <v>45844</v>
      </c>
      <c r="D1583" t="inlineStr">
        <is>
          <t>KALMAR LÄN</t>
        </is>
      </c>
      <c r="E1583" t="inlineStr">
        <is>
          <t>VÄSTERVIK</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17425-2024</t>
        </is>
      </c>
      <c r="B1584" s="1" t="n">
        <v>45415</v>
      </c>
      <c r="C1584" s="1" t="n">
        <v>45844</v>
      </c>
      <c r="D1584" t="inlineStr">
        <is>
          <t>KALMAR LÄN</t>
        </is>
      </c>
      <c r="E1584" t="inlineStr">
        <is>
          <t>VÄSTERVIK</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17426-2024</t>
        </is>
      </c>
      <c r="B1585" s="1" t="n">
        <v>45415</v>
      </c>
      <c r="C1585" s="1" t="n">
        <v>45844</v>
      </c>
      <c r="D1585" t="inlineStr">
        <is>
          <t>KALMAR LÄN</t>
        </is>
      </c>
      <c r="E1585" t="inlineStr">
        <is>
          <t>VÄSTERVIK</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18034-2024</t>
        </is>
      </c>
      <c r="B1586" s="1" t="n">
        <v>45420</v>
      </c>
      <c r="C1586" s="1" t="n">
        <v>45844</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18143-2024</t>
        </is>
      </c>
      <c r="B1587" s="1" t="n">
        <v>45420</v>
      </c>
      <c r="C1587" s="1" t="n">
        <v>45844</v>
      </c>
      <c r="D1587" t="inlineStr">
        <is>
          <t>KALMAR LÄN</t>
        </is>
      </c>
      <c r="E1587" t="inlineStr">
        <is>
          <t>VÄSTERVIK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18395-2024</t>
        </is>
      </c>
      <c r="B1588" s="1" t="n">
        <v>45425</v>
      </c>
      <c r="C1588" s="1" t="n">
        <v>45844</v>
      </c>
      <c r="D1588" t="inlineStr">
        <is>
          <t>KALMAR LÄN</t>
        </is>
      </c>
      <c r="E1588" t="inlineStr">
        <is>
          <t>VÄSTERVIK</t>
        </is>
      </c>
      <c r="F1588" t="inlineStr">
        <is>
          <t>Holmen skog AB</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18434-2024</t>
        </is>
      </c>
      <c r="B1589" s="1" t="n">
        <v>45425</v>
      </c>
      <c r="C1589" s="1" t="n">
        <v>45844</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20368-2024</t>
        </is>
      </c>
      <c r="B1590" s="1" t="n">
        <v>45435</v>
      </c>
      <c r="C1590" s="1" t="n">
        <v>45844</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20365-2024</t>
        </is>
      </c>
      <c r="B1591" s="1" t="n">
        <v>45435</v>
      </c>
      <c r="C1591" s="1" t="n">
        <v>45844</v>
      </c>
      <c r="D1591" t="inlineStr">
        <is>
          <t>KALMAR LÄN</t>
        </is>
      </c>
      <c r="E1591" t="inlineStr">
        <is>
          <t>VÄSTERVIK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20370-2024</t>
        </is>
      </c>
      <c r="B1592" s="1" t="n">
        <v>45435</v>
      </c>
      <c r="C1592" s="1" t="n">
        <v>45844</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21648-2024</t>
        </is>
      </c>
      <c r="B1593" s="1" t="n">
        <v>45442</v>
      </c>
      <c r="C1593" s="1" t="n">
        <v>45844</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21752-2024</t>
        </is>
      </c>
      <c r="B1594" s="1" t="n">
        <v>45442</v>
      </c>
      <c r="C1594" s="1" t="n">
        <v>45844</v>
      </c>
      <c r="D1594" t="inlineStr">
        <is>
          <t>KALMAR LÄN</t>
        </is>
      </c>
      <c r="E1594" t="inlineStr">
        <is>
          <t>VÄSTERVIK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22266-2024</t>
        </is>
      </c>
      <c r="B1595" s="1" t="n">
        <v>45446</v>
      </c>
      <c r="C1595" s="1" t="n">
        <v>45844</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22740-2024</t>
        </is>
      </c>
      <c r="B1596" s="1" t="n">
        <v>45448</v>
      </c>
      <c r="C1596" s="1" t="n">
        <v>45844</v>
      </c>
      <c r="D1596" t="inlineStr">
        <is>
          <t>KALMAR LÄN</t>
        </is>
      </c>
      <c r="E1596" t="inlineStr">
        <is>
          <t>VÄSTERVIK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23221-2024</t>
        </is>
      </c>
      <c r="B1597" s="1" t="n">
        <v>45452</v>
      </c>
      <c r="C1597" s="1" t="n">
        <v>45844</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23248-2024</t>
        </is>
      </c>
      <c r="B1598" s="1" t="n">
        <v>45453</v>
      </c>
      <c r="C1598" s="1" t="n">
        <v>45844</v>
      </c>
      <c r="D1598" t="inlineStr">
        <is>
          <t>KALMAR LÄN</t>
        </is>
      </c>
      <c r="E1598" t="inlineStr">
        <is>
          <t>VÄSTERVIK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23626-2024</t>
        </is>
      </c>
      <c r="B1599" s="1" t="n">
        <v>45454</v>
      </c>
      <c r="C1599" s="1" t="n">
        <v>45844</v>
      </c>
      <c r="D1599" t="inlineStr">
        <is>
          <t>KALMAR LÄN</t>
        </is>
      </c>
      <c r="E1599" t="inlineStr">
        <is>
          <t>VÄSTERVIK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23873-2024</t>
        </is>
      </c>
      <c r="B1600" s="1" t="n">
        <v>45455</v>
      </c>
      <c r="C1600" s="1" t="n">
        <v>45844</v>
      </c>
      <c r="D1600" t="inlineStr">
        <is>
          <t>KALMAR LÄN</t>
        </is>
      </c>
      <c r="E1600" t="inlineStr">
        <is>
          <t>VÄSTERVIK</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23983-2024</t>
        </is>
      </c>
      <c r="B1601" s="1" t="n">
        <v>45456</v>
      </c>
      <c r="C1601" s="1" t="n">
        <v>45844</v>
      </c>
      <c r="D1601" t="inlineStr">
        <is>
          <t>KALMAR LÄN</t>
        </is>
      </c>
      <c r="E1601" t="inlineStr">
        <is>
          <t>VÄSTERVIK</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24600-2024</t>
        </is>
      </c>
      <c r="B1602" s="1" t="n">
        <v>45460</v>
      </c>
      <c r="C1602" s="1" t="n">
        <v>45844</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24596-2024</t>
        </is>
      </c>
      <c r="B1603" s="1" t="n">
        <v>45460</v>
      </c>
      <c r="C1603" s="1" t="n">
        <v>45844</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24592-2024</t>
        </is>
      </c>
      <c r="B1604" s="1" t="n">
        <v>45460</v>
      </c>
      <c r="C1604" s="1" t="n">
        <v>45844</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24584-2024</t>
        </is>
      </c>
      <c r="B1605" s="1" t="n">
        <v>45460</v>
      </c>
      <c r="C1605" s="1" t="n">
        <v>45844</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24571-2024</t>
        </is>
      </c>
      <c r="B1606" s="1" t="n">
        <v>45460</v>
      </c>
      <c r="C1606" s="1" t="n">
        <v>45844</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24567-2024</t>
        </is>
      </c>
      <c r="B1607" s="1" t="n">
        <v>45460</v>
      </c>
      <c r="C1607" s="1" t="n">
        <v>45844</v>
      </c>
      <c r="D1607" t="inlineStr">
        <is>
          <t>KALMAR LÄN</t>
        </is>
      </c>
      <c r="E1607" t="inlineStr">
        <is>
          <t>VÄSTERVIK</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24536-2024</t>
        </is>
      </c>
      <c r="B1608" s="1" t="n">
        <v>45460</v>
      </c>
      <c r="C1608" s="1" t="n">
        <v>45844</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24578-2024</t>
        </is>
      </c>
      <c r="B1609" s="1" t="n">
        <v>45460</v>
      </c>
      <c r="C1609" s="1" t="n">
        <v>45844</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24562-2024</t>
        </is>
      </c>
      <c r="B1610" s="1" t="n">
        <v>45460</v>
      </c>
      <c r="C1610" s="1" t="n">
        <v>45844</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24572-2024</t>
        </is>
      </c>
      <c r="B1611" s="1" t="n">
        <v>45460</v>
      </c>
      <c r="C1611" s="1" t="n">
        <v>45844</v>
      </c>
      <c r="D1611" t="inlineStr">
        <is>
          <t>KALMAR LÄN</t>
        </is>
      </c>
      <c r="E1611" t="inlineStr">
        <is>
          <t>VÄSTERVIK</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24988-2024</t>
        </is>
      </c>
      <c r="B1612" s="1" t="n">
        <v>45461</v>
      </c>
      <c r="C1612" s="1" t="n">
        <v>45844</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25561-2024</t>
        </is>
      </c>
      <c r="B1613" s="1" t="n">
        <v>45463</v>
      </c>
      <c r="C1613" s="1" t="n">
        <v>45844</v>
      </c>
      <c r="D1613" t="inlineStr">
        <is>
          <t>KALMAR LÄN</t>
        </is>
      </c>
      <c r="E1613" t="inlineStr">
        <is>
          <t>VÄSTERVIK</t>
        </is>
      </c>
      <c r="F1613" t="inlineStr">
        <is>
          <t>Holmen skog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25429-2024</t>
        </is>
      </c>
      <c r="B1614" s="1" t="n">
        <v>45463</v>
      </c>
      <c r="C1614" s="1" t="n">
        <v>45844</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25882-2024</t>
        </is>
      </c>
      <c r="B1615" s="1" t="n">
        <v>45467</v>
      </c>
      <c r="C1615" s="1" t="n">
        <v>45844</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26285-2024</t>
        </is>
      </c>
      <c r="B1616" s="1" t="n">
        <v>45468</v>
      </c>
      <c r="C1616" s="1" t="n">
        <v>45844</v>
      </c>
      <c r="D1616" t="inlineStr">
        <is>
          <t>KALMAR LÄN</t>
        </is>
      </c>
      <c r="E1616" t="inlineStr">
        <is>
          <t>VÄSTERVIK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26140-2024</t>
        </is>
      </c>
      <c r="B1617" s="1" t="n">
        <v>45468</v>
      </c>
      <c r="C1617" s="1" t="n">
        <v>45844</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26066-2024</t>
        </is>
      </c>
      <c r="B1618" s="1" t="n">
        <v>45468</v>
      </c>
      <c r="C1618" s="1" t="n">
        <v>45844</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26061-2024</t>
        </is>
      </c>
      <c r="B1619" s="1" t="n">
        <v>45468</v>
      </c>
      <c r="C1619" s="1" t="n">
        <v>45844</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26053-2024</t>
        </is>
      </c>
      <c r="B1620" s="1" t="n">
        <v>45468</v>
      </c>
      <c r="C1620" s="1" t="n">
        <v>45844</v>
      </c>
      <c r="D1620" t="inlineStr">
        <is>
          <t>KALMAR LÄN</t>
        </is>
      </c>
      <c r="E1620" t="inlineStr">
        <is>
          <t>VÄSTERVIK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27094-2024</t>
        </is>
      </c>
      <c r="B1621" s="1" t="n">
        <v>45471</v>
      </c>
      <c r="C1621" s="1" t="n">
        <v>45844</v>
      </c>
      <c r="D1621" t="inlineStr">
        <is>
          <t>KALMAR LÄN</t>
        </is>
      </c>
      <c r="E1621" t="inlineStr">
        <is>
          <t>VÄSTERVIK</t>
        </is>
      </c>
      <c r="F1621" t="inlineStr">
        <is>
          <t>Holmen skog AB</t>
        </is>
      </c>
      <c r="G1621" t="n">
        <v>2.4</v>
      </c>
      <c r="H1621" t="n">
        <v>0</v>
      </c>
      <c r="I1621" t="n">
        <v>0</v>
      </c>
      <c r="J1621" t="n">
        <v>0</v>
      </c>
      <c r="K1621" t="n">
        <v>0</v>
      </c>
      <c r="L1621" t="n">
        <v>0</v>
      </c>
      <c r="M1621" t="n">
        <v>0</v>
      </c>
      <c r="N1621" t="n">
        <v>0</v>
      </c>
      <c r="O1621" t="n">
        <v>0</v>
      </c>
      <c r="P1621" t="n">
        <v>0</v>
      </c>
      <c r="Q1621" t="n">
        <v>0</v>
      </c>
      <c r="R1621" s="2" t="inlineStr"/>
      <c r="U1621">
        <f>HYPERLINK("https://klasma.github.io/Logging_0883/knärot/A 27094-2024 karta knärot.png", "A 27094-2024")</f>
        <v/>
      </c>
      <c r="V1621">
        <f>HYPERLINK("https://klasma.github.io/Logging_0883/klagomål/A 27094-2024 FSC-klagomål.docx", "A 27094-2024")</f>
        <v/>
      </c>
      <c r="W1621">
        <f>HYPERLINK("https://klasma.github.io/Logging_0883/klagomålsmail/A 27094-2024 FSC-klagomål mail.docx", "A 27094-2024")</f>
        <v/>
      </c>
      <c r="X1621">
        <f>HYPERLINK("https://klasma.github.io/Logging_0883/tillsyn/A 27094-2024 tillsynsbegäran.docx", "A 27094-2024")</f>
        <v/>
      </c>
      <c r="Y1621">
        <f>HYPERLINK("https://klasma.github.io/Logging_0883/tillsynsmail/A 27094-2024 tillsynsbegäran mail.docx", "A 27094-2024")</f>
        <v/>
      </c>
    </row>
    <row r="1622" ht="15" customHeight="1">
      <c r="A1622" t="inlineStr">
        <is>
          <t>A 27568-2024</t>
        </is>
      </c>
      <c r="B1622" s="1" t="n">
        <v>45474</v>
      </c>
      <c r="C1622" s="1" t="n">
        <v>45844</v>
      </c>
      <c r="D1622" t="inlineStr">
        <is>
          <t>KALMAR LÄN</t>
        </is>
      </c>
      <c r="E1622" t="inlineStr">
        <is>
          <t>VÄSTERVIK</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28110-2024</t>
        </is>
      </c>
      <c r="B1623" s="1" t="n">
        <v>45476</v>
      </c>
      <c r="C1623" s="1" t="n">
        <v>45844</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28122-2024</t>
        </is>
      </c>
      <c r="B1624" s="1" t="n">
        <v>45476</v>
      </c>
      <c r="C1624" s="1" t="n">
        <v>45844</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28037-2024</t>
        </is>
      </c>
      <c r="B1625" s="1" t="n">
        <v>45476</v>
      </c>
      <c r="C1625" s="1" t="n">
        <v>45844</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28404-2024</t>
        </is>
      </c>
      <c r="B1626" s="1" t="n">
        <v>45477</v>
      </c>
      <c r="C1626" s="1" t="n">
        <v>45844</v>
      </c>
      <c r="D1626" t="inlineStr">
        <is>
          <t>KALMAR LÄN</t>
        </is>
      </c>
      <c r="E1626" t="inlineStr">
        <is>
          <t>VÄSTERVIK</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28315-2024</t>
        </is>
      </c>
      <c r="B1627" s="1" t="n">
        <v>45477</v>
      </c>
      <c r="C1627" s="1" t="n">
        <v>45844</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28291-2024</t>
        </is>
      </c>
      <c r="B1628" s="1" t="n">
        <v>45477</v>
      </c>
      <c r="C1628" s="1" t="n">
        <v>45844</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28415-2024</t>
        </is>
      </c>
      <c r="B1629" s="1" t="n">
        <v>45477</v>
      </c>
      <c r="C1629" s="1" t="n">
        <v>45844</v>
      </c>
      <c r="D1629" t="inlineStr">
        <is>
          <t>KALMAR LÄN</t>
        </is>
      </c>
      <c r="E1629" t="inlineStr">
        <is>
          <t>VÄSTERVIK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28390-2024</t>
        </is>
      </c>
      <c r="B1630" s="1" t="n">
        <v>45477</v>
      </c>
      <c r="C1630" s="1" t="n">
        <v>45844</v>
      </c>
      <c r="D1630" t="inlineStr">
        <is>
          <t>KALMAR LÄN</t>
        </is>
      </c>
      <c r="E1630" t="inlineStr">
        <is>
          <t>VÄSTERVIK</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28378-2024</t>
        </is>
      </c>
      <c r="B1631" s="1" t="n">
        <v>45477</v>
      </c>
      <c r="C1631" s="1" t="n">
        <v>45844</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28222-2024</t>
        </is>
      </c>
      <c r="B1632" s="1" t="n">
        <v>45477</v>
      </c>
      <c r="C1632" s="1" t="n">
        <v>45844</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28344-2024</t>
        </is>
      </c>
      <c r="B1633" s="1" t="n">
        <v>45477</v>
      </c>
      <c r="C1633" s="1" t="n">
        <v>45844</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28667-2024</t>
        </is>
      </c>
      <c r="B1634" s="1" t="n">
        <v>45478</v>
      </c>
      <c r="C1634" s="1" t="n">
        <v>45844</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28640-2024</t>
        </is>
      </c>
      <c r="B1635" s="1" t="n">
        <v>45478</v>
      </c>
      <c r="C1635" s="1" t="n">
        <v>45844</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29400-2024</t>
        </is>
      </c>
      <c r="B1636" s="1" t="n">
        <v>45483</v>
      </c>
      <c r="C1636" s="1" t="n">
        <v>45844</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29404-2024</t>
        </is>
      </c>
      <c r="B1637" s="1" t="n">
        <v>45483</v>
      </c>
      <c r="C1637" s="1" t="n">
        <v>45844</v>
      </c>
      <c r="D1637" t="inlineStr">
        <is>
          <t>KALMAR LÄN</t>
        </is>
      </c>
      <c r="E1637" t="inlineStr">
        <is>
          <t>VÄSTERVIK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29412-2024</t>
        </is>
      </c>
      <c r="B1638" s="1" t="n">
        <v>45483</v>
      </c>
      <c r="C1638" s="1" t="n">
        <v>45844</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29420-2024</t>
        </is>
      </c>
      <c r="B1639" s="1" t="n">
        <v>45483</v>
      </c>
      <c r="C1639" s="1" t="n">
        <v>45844</v>
      </c>
      <c r="D1639" t="inlineStr">
        <is>
          <t>KALMAR LÄN</t>
        </is>
      </c>
      <c r="E1639" t="inlineStr">
        <is>
          <t>VÄSTERVIK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29396-2024</t>
        </is>
      </c>
      <c r="B1640" s="1" t="n">
        <v>45483</v>
      </c>
      <c r="C1640" s="1" t="n">
        <v>45844</v>
      </c>
      <c r="D1640" t="inlineStr">
        <is>
          <t>KALMAR LÄN</t>
        </is>
      </c>
      <c r="E1640" t="inlineStr">
        <is>
          <t>VÄSTERVIK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29405-2024</t>
        </is>
      </c>
      <c r="B1641" s="1" t="n">
        <v>45483</v>
      </c>
      <c r="C1641" s="1" t="n">
        <v>45844</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29417-2024</t>
        </is>
      </c>
      <c r="B1642" s="1" t="n">
        <v>45483</v>
      </c>
      <c r="C1642" s="1" t="n">
        <v>45844</v>
      </c>
      <c r="D1642" t="inlineStr">
        <is>
          <t>KALMAR LÄN</t>
        </is>
      </c>
      <c r="E1642" t="inlineStr">
        <is>
          <t>VÄSTERVIK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29407-2024</t>
        </is>
      </c>
      <c r="B1643" s="1" t="n">
        <v>45483</v>
      </c>
      <c r="C1643" s="1" t="n">
        <v>45844</v>
      </c>
      <c r="D1643" t="inlineStr">
        <is>
          <t>KALMAR LÄN</t>
        </is>
      </c>
      <c r="E1643" t="inlineStr">
        <is>
          <t>VÄSTERVIK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29414-2024</t>
        </is>
      </c>
      <c r="B1644" s="1" t="n">
        <v>45483</v>
      </c>
      <c r="C1644" s="1" t="n">
        <v>45844</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29418-2024</t>
        </is>
      </c>
      <c r="B1645" s="1" t="n">
        <v>45483</v>
      </c>
      <c r="C1645" s="1" t="n">
        <v>45844</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29557-2024</t>
        </is>
      </c>
      <c r="B1646" s="1" t="n">
        <v>45484</v>
      </c>
      <c r="C1646" s="1" t="n">
        <v>45844</v>
      </c>
      <c r="D1646" t="inlineStr">
        <is>
          <t>KALMAR LÄN</t>
        </is>
      </c>
      <c r="E1646" t="inlineStr">
        <is>
          <t>VÄSTERVIK</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29571-2024</t>
        </is>
      </c>
      <c r="B1647" s="1" t="n">
        <v>45484</v>
      </c>
      <c r="C1647" s="1" t="n">
        <v>45844</v>
      </c>
      <c r="D1647" t="inlineStr">
        <is>
          <t>KALMAR LÄN</t>
        </is>
      </c>
      <c r="E1647" t="inlineStr">
        <is>
          <t>VÄSTERVIK</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29786-2024</t>
        </is>
      </c>
      <c r="B1648" s="1" t="n">
        <v>45485</v>
      </c>
      <c r="C1648" s="1" t="n">
        <v>45844</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29784-2024</t>
        </is>
      </c>
      <c r="B1649" s="1" t="n">
        <v>45485</v>
      </c>
      <c r="C1649" s="1" t="n">
        <v>45844</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29789-2024</t>
        </is>
      </c>
      <c r="B1650" s="1" t="n">
        <v>45485</v>
      </c>
      <c r="C1650" s="1" t="n">
        <v>45844</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30153-2024</t>
        </is>
      </c>
      <c r="B1651" s="1" t="n">
        <v>45489</v>
      </c>
      <c r="C1651" s="1" t="n">
        <v>45844</v>
      </c>
      <c r="D1651" t="inlineStr">
        <is>
          <t>KALMAR LÄN</t>
        </is>
      </c>
      <c r="E1651" t="inlineStr">
        <is>
          <t>VÄSTERVIK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30148-2024</t>
        </is>
      </c>
      <c r="B1652" s="1" t="n">
        <v>45489</v>
      </c>
      <c r="C1652" s="1" t="n">
        <v>45844</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30149-2024</t>
        </is>
      </c>
      <c r="B1653" s="1" t="n">
        <v>45489</v>
      </c>
      <c r="C1653" s="1" t="n">
        <v>45844</v>
      </c>
      <c r="D1653" t="inlineStr">
        <is>
          <t>KALMAR LÄN</t>
        </is>
      </c>
      <c r="E1653" t="inlineStr">
        <is>
          <t>VÄSTERVIK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30157-2024</t>
        </is>
      </c>
      <c r="B1654" s="1" t="n">
        <v>45489</v>
      </c>
      <c r="C1654" s="1" t="n">
        <v>45844</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30437-2024</t>
        </is>
      </c>
      <c r="B1655" s="1" t="n">
        <v>45491</v>
      </c>
      <c r="C1655" s="1" t="n">
        <v>45844</v>
      </c>
      <c r="D1655" t="inlineStr">
        <is>
          <t>KALMAR LÄN</t>
        </is>
      </c>
      <c r="E1655" t="inlineStr">
        <is>
          <t>VÄSTERVIK</t>
        </is>
      </c>
      <c r="F1655" t="inlineStr">
        <is>
          <t>Holmen skog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30525-2024</t>
        </is>
      </c>
      <c r="B1656" s="1" t="n">
        <v>45492</v>
      </c>
      <c r="C1656" s="1" t="n">
        <v>45844</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30523-2024</t>
        </is>
      </c>
      <c r="B1657" s="1" t="n">
        <v>45492</v>
      </c>
      <c r="C1657" s="1" t="n">
        <v>45844</v>
      </c>
      <c r="D1657" t="inlineStr">
        <is>
          <t>KALMAR LÄN</t>
        </is>
      </c>
      <c r="E1657" t="inlineStr">
        <is>
          <t>VÄSTERVIK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30511-2024</t>
        </is>
      </c>
      <c r="B1658" s="1" t="n">
        <v>45492</v>
      </c>
      <c r="C1658" s="1" t="n">
        <v>45844</v>
      </c>
      <c r="D1658" t="inlineStr">
        <is>
          <t>KALMAR LÄN</t>
        </is>
      </c>
      <c r="E1658" t="inlineStr">
        <is>
          <t>VÄSTERVIK</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31147-2024</t>
        </is>
      </c>
      <c r="B1659" s="1" t="n">
        <v>45502</v>
      </c>
      <c r="C1659" s="1" t="n">
        <v>45844</v>
      </c>
      <c r="D1659" t="inlineStr">
        <is>
          <t>KALMAR LÄN</t>
        </is>
      </c>
      <c r="E1659" t="inlineStr">
        <is>
          <t>VÄSTERVIK</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31056-2024</t>
        </is>
      </c>
      <c r="B1660" s="1" t="n">
        <v>45502</v>
      </c>
      <c r="C1660" s="1" t="n">
        <v>45844</v>
      </c>
      <c r="D1660" t="inlineStr">
        <is>
          <t>KALMAR LÄN</t>
        </is>
      </c>
      <c r="E1660" t="inlineStr">
        <is>
          <t>VÄSTERVIK</t>
        </is>
      </c>
      <c r="F1660" t="inlineStr">
        <is>
          <t>Holmen skog AB</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32009-2024</t>
        </is>
      </c>
      <c r="B1661" s="1" t="n">
        <v>45510</v>
      </c>
      <c r="C1661" s="1" t="n">
        <v>45844</v>
      </c>
      <c r="D1661" t="inlineStr">
        <is>
          <t>KALMAR LÄN</t>
        </is>
      </c>
      <c r="E1661" t="inlineStr">
        <is>
          <t>VÄSTERVIK</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31999-2024</t>
        </is>
      </c>
      <c r="B1662" s="1" t="n">
        <v>45510</v>
      </c>
      <c r="C1662" s="1" t="n">
        <v>45844</v>
      </c>
      <c r="D1662" t="inlineStr">
        <is>
          <t>KALMAR LÄN</t>
        </is>
      </c>
      <c r="E1662" t="inlineStr">
        <is>
          <t>VÄSTERVIK</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32006-2024</t>
        </is>
      </c>
      <c r="B1663" s="1" t="n">
        <v>45510</v>
      </c>
      <c r="C1663" s="1" t="n">
        <v>45844</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32159-2024</t>
        </is>
      </c>
      <c r="B1664" s="1" t="n">
        <v>45511</v>
      </c>
      <c r="C1664" s="1" t="n">
        <v>45844</v>
      </c>
      <c r="D1664" t="inlineStr">
        <is>
          <t>KALMAR LÄN</t>
        </is>
      </c>
      <c r="E1664" t="inlineStr">
        <is>
          <t>VÄSTERVIK</t>
        </is>
      </c>
      <c r="F1664" t="inlineStr">
        <is>
          <t>Övriga Aktiebolag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32146-2024</t>
        </is>
      </c>
      <c r="B1665" s="1" t="n">
        <v>45511</v>
      </c>
      <c r="C1665" s="1" t="n">
        <v>45844</v>
      </c>
      <c r="D1665" t="inlineStr">
        <is>
          <t>KALMAR LÄN</t>
        </is>
      </c>
      <c r="E1665" t="inlineStr">
        <is>
          <t>VÄSTERVIK</t>
        </is>
      </c>
      <c r="F1665" t="inlineStr">
        <is>
          <t>Övriga Aktiebolag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32137-2024</t>
        </is>
      </c>
      <c r="B1666" s="1" t="n">
        <v>45511</v>
      </c>
      <c r="C1666" s="1" t="n">
        <v>45844</v>
      </c>
      <c r="D1666" t="inlineStr">
        <is>
          <t>KALMAR LÄN</t>
        </is>
      </c>
      <c r="E1666" t="inlineStr">
        <is>
          <t>VÄSTERVIK</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32386-2024</t>
        </is>
      </c>
      <c r="B1667" s="1" t="n">
        <v>45512</v>
      </c>
      <c r="C1667" s="1" t="n">
        <v>45844</v>
      </c>
      <c r="D1667" t="inlineStr">
        <is>
          <t>KALMAR LÄN</t>
        </is>
      </c>
      <c r="E1667" t="inlineStr">
        <is>
          <t>VÄSTERVIK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32388-2024</t>
        </is>
      </c>
      <c r="B1668" s="1" t="n">
        <v>45512</v>
      </c>
      <c r="C1668" s="1" t="n">
        <v>45844</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32389-2024</t>
        </is>
      </c>
      <c r="B1669" s="1" t="n">
        <v>45512</v>
      </c>
      <c r="C1669" s="1" t="n">
        <v>45844</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32283-2024</t>
        </is>
      </c>
      <c r="B1670" s="1" t="n">
        <v>45512</v>
      </c>
      <c r="C1670" s="1" t="n">
        <v>45844</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33535-2024</t>
        </is>
      </c>
      <c r="B1671" s="1" t="n">
        <v>45519</v>
      </c>
      <c r="C1671" s="1" t="n">
        <v>45844</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33508-2024</t>
        </is>
      </c>
      <c r="B1672" s="1" t="n">
        <v>45519</v>
      </c>
      <c r="C1672" s="1" t="n">
        <v>45844</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33969-2024</t>
        </is>
      </c>
      <c r="B1673" s="1" t="n">
        <v>45523</v>
      </c>
      <c r="C1673" s="1" t="n">
        <v>45844</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33966-2024</t>
        </is>
      </c>
      <c r="B1674" s="1" t="n">
        <v>45523</v>
      </c>
      <c r="C1674" s="1" t="n">
        <v>45844</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34461-2024</t>
        </is>
      </c>
      <c r="B1675" s="1" t="n">
        <v>45525</v>
      </c>
      <c r="C1675" s="1" t="n">
        <v>45844</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34463-2024</t>
        </is>
      </c>
      <c r="B1676" s="1" t="n">
        <v>45525</v>
      </c>
      <c r="C1676" s="1" t="n">
        <v>45844</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34471-2024</t>
        </is>
      </c>
      <c r="B1677" s="1" t="n">
        <v>45525</v>
      </c>
      <c r="C1677" s="1" t="n">
        <v>45844</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34420-2024</t>
        </is>
      </c>
      <c r="B1678" s="1" t="n">
        <v>45525</v>
      </c>
      <c r="C1678" s="1" t="n">
        <v>45844</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34795-2024</t>
        </is>
      </c>
      <c r="B1679" s="1" t="n">
        <v>45526</v>
      </c>
      <c r="C1679" s="1" t="n">
        <v>45844</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34833-2024</t>
        </is>
      </c>
      <c r="B1680" s="1" t="n">
        <v>45526</v>
      </c>
      <c r="C1680" s="1" t="n">
        <v>45844</v>
      </c>
      <c r="D1680" t="inlineStr">
        <is>
          <t>KALMAR LÄN</t>
        </is>
      </c>
      <c r="E1680" t="inlineStr">
        <is>
          <t>VÄSTERVIK</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34788-2024</t>
        </is>
      </c>
      <c r="B1681" s="1" t="n">
        <v>45526</v>
      </c>
      <c r="C1681" s="1" t="n">
        <v>45844</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34832-2024</t>
        </is>
      </c>
      <c r="B1682" s="1" t="n">
        <v>45526</v>
      </c>
      <c r="C1682" s="1" t="n">
        <v>45844</v>
      </c>
      <c r="D1682" t="inlineStr">
        <is>
          <t>KALMAR LÄN</t>
        </is>
      </c>
      <c r="E1682" t="inlineStr">
        <is>
          <t>VÄSTERVIK</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35018-2024</t>
        </is>
      </c>
      <c r="B1683" s="1" t="n">
        <v>45527</v>
      </c>
      <c r="C1683" s="1" t="n">
        <v>45844</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35108-2024</t>
        </is>
      </c>
      <c r="B1684" s="1" t="n">
        <v>45529</v>
      </c>
      <c r="C1684" s="1" t="n">
        <v>45844</v>
      </c>
      <c r="D1684" t="inlineStr">
        <is>
          <t>KALMAR LÄN</t>
        </is>
      </c>
      <c r="E1684" t="inlineStr">
        <is>
          <t>VÄSTERVIK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35162-2024</t>
        </is>
      </c>
      <c r="B1685" s="1" t="n">
        <v>45530</v>
      </c>
      <c r="C1685" s="1" t="n">
        <v>45844</v>
      </c>
      <c r="D1685" t="inlineStr">
        <is>
          <t>KALMAR LÄN</t>
        </is>
      </c>
      <c r="E1685" t="inlineStr">
        <is>
          <t>VÄSTERVIK</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35163-2024</t>
        </is>
      </c>
      <c r="B1686" s="1" t="n">
        <v>45530</v>
      </c>
      <c r="C1686" s="1" t="n">
        <v>45844</v>
      </c>
      <c r="D1686" t="inlineStr">
        <is>
          <t>KALMAR LÄN</t>
        </is>
      </c>
      <c r="E1686" t="inlineStr">
        <is>
          <t>VÄSTERVIK</t>
        </is>
      </c>
      <c r="F1686" t="inlineStr">
        <is>
          <t>Sveaskog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35137-2024</t>
        </is>
      </c>
      <c r="B1687" s="1" t="n">
        <v>45530</v>
      </c>
      <c r="C1687" s="1" t="n">
        <v>45844</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35456-2024</t>
        </is>
      </c>
      <c r="B1688" s="1" t="n">
        <v>45531</v>
      </c>
      <c r="C1688" s="1" t="n">
        <v>45844</v>
      </c>
      <c r="D1688" t="inlineStr">
        <is>
          <t>KALMAR LÄN</t>
        </is>
      </c>
      <c r="E1688" t="inlineStr">
        <is>
          <t>VÄSTERVIK</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35951-2024</t>
        </is>
      </c>
      <c r="B1689" s="1" t="n">
        <v>45533</v>
      </c>
      <c r="C1689" s="1" t="n">
        <v>45844</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36050-2024</t>
        </is>
      </c>
      <c r="B1690" s="1" t="n">
        <v>45533</v>
      </c>
      <c r="C1690" s="1" t="n">
        <v>45844</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35983-2024</t>
        </is>
      </c>
      <c r="B1691" s="1" t="n">
        <v>45533</v>
      </c>
      <c r="C1691" s="1" t="n">
        <v>45844</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36259-2024</t>
        </is>
      </c>
      <c r="B1692" s="1" t="n">
        <v>45534</v>
      </c>
      <c r="C1692" s="1" t="n">
        <v>45844</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36400-2024</t>
        </is>
      </c>
      <c r="B1693" s="1" t="n">
        <v>45535</v>
      </c>
      <c r="C1693" s="1" t="n">
        <v>45844</v>
      </c>
      <c r="D1693" t="inlineStr">
        <is>
          <t>KALMAR LÄN</t>
        </is>
      </c>
      <c r="E1693" t="inlineStr">
        <is>
          <t>VÄSTERVIK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36555-2024</t>
        </is>
      </c>
      <c r="B1694" s="1" t="n">
        <v>45537</v>
      </c>
      <c r="C1694" s="1" t="n">
        <v>45844</v>
      </c>
      <c r="D1694" t="inlineStr">
        <is>
          <t>KALMAR LÄN</t>
        </is>
      </c>
      <c r="E1694" t="inlineStr">
        <is>
          <t>VÄSTERVIK</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36725-2024</t>
        </is>
      </c>
      <c r="B1695" s="1" t="n">
        <v>45537</v>
      </c>
      <c r="C1695" s="1" t="n">
        <v>45844</v>
      </c>
      <c r="D1695" t="inlineStr">
        <is>
          <t>KALMAR LÄN</t>
        </is>
      </c>
      <c r="E1695" t="inlineStr">
        <is>
          <t>VÄSTERVIK</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36853-2024</t>
        </is>
      </c>
      <c r="B1696" s="1" t="n">
        <v>45538</v>
      </c>
      <c r="C1696" s="1" t="n">
        <v>45844</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36878-2024</t>
        </is>
      </c>
      <c r="B1697" s="1" t="n">
        <v>45538</v>
      </c>
      <c r="C1697" s="1" t="n">
        <v>45844</v>
      </c>
      <c r="D1697" t="inlineStr">
        <is>
          <t>KALMAR LÄN</t>
        </is>
      </c>
      <c r="E1697" t="inlineStr">
        <is>
          <t>VÄSTERVIK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36881-2024</t>
        </is>
      </c>
      <c r="B1698" s="1" t="n">
        <v>45538</v>
      </c>
      <c r="C1698" s="1" t="n">
        <v>45844</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36889-2024</t>
        </is>
      </c>
      <c r="B1699" s="1" t="n">
        <v>45538</v>
      </c>
      <c r="C1699" s="1" t="n">
        <v>45844</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36888-2024</t>
        </is>
      </c>
      <c r="B1700" s="1" t="n">
        <v>45538</v>
      </c>
      <c r="C1700" s="1" t="n">
        <v>45844</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36906-2024</t>
        </is>
      </c>
      <c r="B1701" s="1" t="n">
        <v>45538</v>
      </c>
      <c r="C1701" s="1" t="n">
        <v>45844</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37117-2024</t>
        </is>
      </c>
      <c r="B1702" s="1" t="n">
        <v>45539</v>
      </c>
      <c r="C1702" s="1" t="n">
        <v>45844</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37326-2024</t>
        </is>
      </c>
      <c r="B1703" s="1" t="n">
        <v>45540</v>
      </c>
      <c r="C1703" s="1" t="n">
        <v>45844</v>
      </c>
      <c r="D1703" t="inlineStr">
        <is>
          <t>KALMAR LÄN</t>
        </is>
      </c>
      <c r="E1703" t="inlineStr">
        <is>
          <t>VÄSTERVIK</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38061-2024</t>
        </is>
      </c>
      <c r="B1704" s="1" t="n">
        <v>45544</v>
      </c>
      <c r="C1704" s="1" t="n">
        <v>45844</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38545-2024</t>
        </is>
      </c>
      <c r="B1705" s="1" t="n">
        <v>45546</v>
      </c>
      <c r="C1705" s="1" t="n">
        <v>45844</v>
      </c>
      <c r="D1705" t="inlineStr">
        <is>
          <t>KALMAR LÄN</t>
        </is>
      </c>
      <c r="E1705" t="inlineStr">
        <is>
          <t>VÄSTERVIK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39193-2024</t>
        </is>
      </c>
      <c r="B1706" s="1" t="n">
        <v>45548</v>
      </c>
      <c r="C1706" s="1" t="n">
        <v>45844</v>
      </c>
      <c r="D1706" t="inlineStr">
        <is>
          <t>KALMAR LÄN</t>
        </is>
      </c>
      <c r="E1706" t="inlineStr">
        <is>
          <t>VÄSTERVIK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39257-2024</t>
        </is>
      </c>
      <c r="B1707" s="1" t="n">
        <v>45551</v>
      </c>
      <c r="C1707" s="1" t="n">
        <v>45844</v>
      </c>
      <c r="D1707" t="inlineStr">
        <is>
          <t>KALMAR LÄN</t>
        </is>
      </c>
      <c r="E1707" t="inlineStr">
        <is>
          <t>VÄSTERVIK</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39278-2024</t>
        </is>
      </c>
      <c r="B1708" s="1" t="n">
        <v>45551</v>
      </c>
      <c r="C1708" s="1" t="n">
        <v>45844</v>
      </c>
      <c r="D1708" t="inlineStr">
        <is>
          <t>KALMAR LÄN</t>
        </is>
      </c>
      <c r="E1708" t="inlineStr">
        <is>
          <t>VÄSTERVIK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39287-2024</t>
        </is>
      </c>
      <c r="B1709" s="1" t="n">
        <v>45551</v>
      </c>
      <c r="C1709" s="1" t="n">
        <v>45844</v>
      </c>
      <c r="D1709" t="inlineStr">
        <is>
          <t>KALMAR LÄN</t>
        </is>
      </c>
      <c r="E1709" t="inlineStr">
        <is>
          <t>VÄSTERVIK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39309-2024</t>
        </is>
      </c>
      <c r="B1710" s="1" t="n">
        <v>45551</v>
      </c>
      <c r="C1710" s="1" t="n">
        <v>45844</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39259-2024</t>
        </is>
      </c>
      <c r="B1711" s="1" t="n">
        <v>45551</v>
      </c>
      <c r="C1711" s="1" t="n">
        <v>45844</v>
      </c>
      <c r="D1711" t="inlineStr">
        <is>
          <t>KALMAR LÄN</t>
        </is>
      </c>
      <c r="E1711" t="inlineStr">
        <is>
          <t>VÄSTERVIK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39982-2024</t>
        </is>
      </c>
      <c r="B1712" s="1" t="n">
        <v>45553</v>
      </c>
      <c r="C1712" s="1" t="n">
        <v>45844</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39983-2024</t>
        </is>
      </c>
      <c r="B1713" s="1" t="n">
        <v>45553</v>
      </c>
      <c r="C1713" s="1" t="n">
        <v>45844</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39980-2024</t>
        </is>
      </c>
      <c r="B1714" s="1" t="n">
        <v>45553</v>
      </c>
      <c r="C1714" s="1" t="n">
        <v>45844</v>
      </c>
      <c r="D1714" t="inlineStr">
        <is>
          <t>KALMAR LÄN</t>
        </is>
      </c>
      <c r="E1714" t="inlineStr">
        <is>
          <t>VÄSTERVIK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40320-2024</t>
        </is>
      </c>
      <c r="B1715" s="1" t="n">
        <v>45554</v>
      </c>
      <c r="C1715" s="1" t="n">
        <v>45844</v>
      </c>
      <c r="D1715" t="inlineStr">
        <is>
          <t>KALMAR LÄN</t>
        </is>
      </c>
      <c r="E1715" t="inlineStr">
        <is>
          <t>VÄSTERVIK</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40648-2024</t>
        </is>
      </c>
      <c r="B1716" s="1" t="n">
        <v>45558</v>
      </c>
      <c r="C1716" s="1" t="n">
        <v>45844</v>
      </c>
      <c r="D1716" t="inlineStr">
        <is>
          <t>KALMAR LÄN</t>
        </is>
      </c>
      <c r="E1716" t="inlineStr">
        <is>
          <t>VÄSTERVIK</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40645-2024</t>
        </is>
      </c>
      <c r="B1717" s="1" t="n">
        <v>45558</v>
      </c>
      <c r="C1717" s="1" t="n">
        <v>45844</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40770-2024</t>
        </is>
      </c>
      <c r="B1718" s="1" t="n">
        <v>45558</v>
      </c>
      <c r="C1718" s="1" t="n">
        <v>45844</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41248-2024</t>
        </is>
      </c>
      <c r="B1719" s="1" t="n">
        <v>45559</v>
      </c>
      <c r="C1719" s="1" t="n">
        <v>45844</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41237-2024</t>
        </is>
      </c>
      <c r="B1720" s="1" t="n">
        <v>45559</v>
      </c>
      <c r="C1720" s="1" t="n">
        <v>45844</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41926-2024</t>
        </is>
      </c>
      <c r="B1721" s="1" t="n">
        <v>45561</v>
      </c>
      <c r="C1721" s="1" t="n">
        <v>45844</v>
      </c>
      <c r="D1721" t="inlineStr">
        <is>
          <t>KALMAR LÄN</t>
        </is>
      </c>
      <c r="E1721" t="inlineStr">
        <is>
          <t>VÄSTERVIK</t>
        </is>
      </c>
      <c r="F1721" t="inlineStr">
        <is>
          <t>Kyrkan</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42218-2024</t>
        </is>
      </c>
      <c r="B1722" s="1" t="n">
        <v>45562</v>
      </c>
      <c r="C1722" s="1" t="n">
        <v>45844</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42816-2024</t>
        </is>
      </c>
      <c r="B1723" s="1" t="n">
        <v>45566</v>
      </c>
      <c r="C1723" s="1" t="n">
        <v>45844</v>
      </c>
      <c r="D1723" t="inlineStr">
        <is>
          <t>KALMAR LÄN</t>
        </is>
      </c>
      <c r="E1723" t="inlineStr">
        <is>
          <t>VÄSTERVIK</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42746-2024</t>
        </is>
      </c>
      <c r="B1724" s="1" t="n">
        <v>45566</v>
      </c>
      <c r="C1724" s="1" t="n">
        <v>45844</v>
      </c>
      <c r="D1724" t="inlineStr">
        <is>
          <t>KALMAR LÄN</t>
        </is>
      </c>
      <c r="E1724" t="inlineStr">
        <is>
          <t>VÄSTERVIK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42742-2024</t>
        </is>
      </c>
      <c r="B1725" s="1" t="n">
        <v>45566</v>
      </c>
      <c r="C1725" s="1" t="n">
        <v>45844</v>
      </c>
      <c r="D1725" t="inlineStr">
        <is>
          <t>KALMAR LÄN</t>
        </is>
      </c>
      <c r="E1725" t="inlineStr">
        <is>
          <t>VÄSTERVIK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43199-2024</t>
        </is>
      </c>
      <c r="B1726" s="1" t="n">
        <v>45567</v>
      </c>
      <c r="C1726" s="1" t="n">
        <v>45844</v>
      </c>
      <c r="D1726" t="inlineStr">
        <is>
          <t>KALMAR LÄN</t>
        </is>
      </c>
      <c r="E1726" t="inlineStr">
        <is>
          <t>VÄSTERVIK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43208-2024</t>
        </is>
      </c>
      <c r="B1727" s="1" t="n">
        <v>45567</v>
      </c>
      <c r="C1727" s="1" t="n">
        <v>45844</v>
      </c>
      <c r="D1727" t="inlineStr">
        <is>
          <t>KALMAR LÄN</t>
        </is>
      </c>
      <c r="E1727" t="inlineStr">
        <is>
          <t>VÄSTERVIK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43274-2024</t>
        </is>
      </c>
      <c r="B1728" s="1" t="n">
        <v>45568</v>
      </c>
      <c r="C1728" s="1" t="n">
        <v>45844</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44198-2024</t>
        </is>
      </c>
      <c r="B1729" s="1" t="n">
        <v>45573</v>
      </c>
      <c r="C1729" s="1" t="n">
        <v>45844</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44203-2024</t>
        </is>
      </c>
      <c r="B1730" s="1" t="n">
        <v>45573</v>
      </c>
      <c r="C1730" s="1" t="n">
        <v>45844</v>
      </c>
      <c r="D1730" t="inlineStr">
        <is>
          <t>KALMAR LÄN</t>
        </is>
      </c>
      <c r="E1730" t="inlineStr">
        <is>
          <t>VÄSTERVIK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44223-2024</t>
        </is>
      </c>
      <c r="B1731" s="1" t="n">
        <v>45573</v>
      </c>
      <c r="C1731" s="1" t="n">
        <v>45844</v>
      </c>
      <c r="D1731" t="inlineStr">
        <is>
          <t>KALMAR LÄN</t>
        </is>
      </c>
      <c r="E1731" t="inlineStr">
        <is>
          <t>VÄSTERVIK</t>
        </is>
      </c>
      <c r="F1731" t="inlineStr">
        <is>
          <t>Holmen skog AB</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45465-2024</t>
        </is>
      </c>
      <c r="B1732" s="1" t="n">
        <v>45576</v>
      </c>
      <c r="C1732" s="1" t="n">
        <v>45844</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45463-2024</t>
        </is>
      </c>
      <c r="B1733" s="1" t="n">
        <v>45576</v>
      </c>
      <c r="C1733" s="1" t="n">
        <v>45844</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45656-2024</t>
        </is>
      </c>
      <c r="B1734" s="1" t="n">
        <v>45579</v>
      </c>
      <c r="C1734" s="1" t="n">
        <v>45844</v>
      </c>
      <c r="D1734" t="inlineStr">
        <is>
          <t>KALMAR LÄN</t>
        </is>
      </c>
      <c r="E1734" t="inlineStr">
        <is>
          <t>VÄSTERVIK</t>
        </is>
      </c>
      <c r="F1734" t="inlineStr">
        <is>
          <t>Kyrkan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45652-2024</t>
        </is>
      </c>
      <c r="B1735" s="1" t="n">
        <v>45579</v>
      </c>
      <c r="C1735" s="1" t="n">
        <v>45844</v>
      </c>
      <c r="D1735" t="inlineStr">
        <is>
          <t>KALMAR LÄN</t>
        </is>
      </c>
      <c r="E1735" t="inlineStr">
        <is>
          <t>VÄSTERVIK</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45678-2024</t>
        </is>
      </c>
      <c r="B1736" s="1" t="n">
        <v>45579</v>
      </c>
      <c r="C1736" s="1" t="n">
        <v>45844</v>
      </c>
      <c r="D1736" t="inlineStr">
        <is>
          <t>KALMAR LÄN</t>
        </is>
      </c>
      <c r="E1736" t="inlineStr">
        <is>
          <t>VÄSTERVIK</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46967-2024</t>
        </is>
      </c>
      <c r="B1737" s="1" t="n">
        <v>45586</v>
      </c>
      <c r="C1737" s="1" t="n">
        <v>45844</v>
      </c>
      <c r="D1737" t="inlineStr">
        <is>
          <t>KALMAR LÄN</t>
        </is>
      </c>
      <c r="E1737" t="inlineStr">
        <is>
          <t>VÄSTERVIK</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47053-2024</t>
        </is>
      </c>
      <c r="B1738" s="1" t="n">
        <v>45586</v>
      </c>
      <c r="C1738" s="1" t="n">
        <v>45844</v>
      </c>
      <c r="D1738" t="inlineStr">
        <is>
          <t>KALMAR LÄN</t>
        </is>
      </c>
      <c r="E1738" t="inlineStr">
        <is>
          <t>VÄSTERVIK</t>
        </is>
      </c>
      <c r="F1738" t="inlineStr">
        <is>
          <t>Holmen skog AB</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48035-2024</t>
        </is>
      </c>
      <c r="B1739" s="1" t="n">
        <v>45589</v>
      </c>
      <c r="C1739" s="1" t="n">
        <v>45844</v>
      </c>
      <c r="D1739" t="inlineStr">
        <is>
          <t>KALMAR LÄN</t>
        </is>
      </c>
      <c r="E1739" t="inlineStr">
        <is>
          <t>VÄSTERVIK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48446-2024</t>
        </is>
      </c>
      <c r="B1740" s="1" t="n">
        <v>45590</v>
      </c>
      <c r="C1740" s="1" t="n">
        <v>45844</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48445-2024</t>
        </is>
      </c>
      <c r="B1741" s="1" t="n">
        <v>45590</v>
      </c>
      <c r="C1741" s="1" t="n">
        <v>45844</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48735-2024</t>
        </is>
      </c>
      <c r="B1742" s="1" t="n">
        <v>45593</v>
      </c>
      <c r="C1742" s="1" t="n">
        <v>45844</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49378-2024</t>
        </is>
      </c>
      <c r="B1743" s="1" t="n">
        <v>45595</v>
      </c>
      <c r="C1743" s="1" t="n">
        <v>45844</v>
      </c>
      <c r="D1743" t="inlineStr">
        <is>
          <t>KALMAR LÄN</t>
        </is>
      </c>
      <c r="E1743" t="inlineStr">
        <is>
          <t>VÄSTERVIK</t>
        </is>
      </c>
      <c r="G1743" t="n">
        <v>4.1</v>
      </c>
      <c r="H1743" t="n">
        <v>0</v>
      </c>
      <c r="I1743" t="n">
        <v>0</v>
      </c>
      <c r="J1743" t="n">
        <v>0</v>
      </c>
      <c r="K1743" t="n">
        <v>0</v>
      </c>
      <c r="L1743" t="n">
        <v>0</v>
      </c>
      <c r="M1743" t="n">
        <v>0</v>
      </c>
      <c r="N1743" t="n">
        <v>0</v>
      </c>
      <c r="O1743" t="n">
        <v>0</v>
      </c>
      <c r="P1743" t="n">
        <v>0</v>
      </c>
      <c r="Q1743" t="n">
        <v>0</v>
      </c>
      <c r="R1743" s="2" t="inlineStr"/>
      <c r="U1743">
        <f>HYPERLINK("https://klasma.github.io/Logging_0883/knärot/A 49378-2024 karta knärot.png", "A 49378-2024")</f>
        <v/>
      </c>
      <c r="V1743">
        <f>HYPERLINK("https://klasma.github.io/Logging_0883/klagomål/A 49378-2024 FSC-klagomål.docx", "A 49378-2024")</f>
        <v/>
      </c>
      <c r="W1743">
        <f>HYPERLINK("https://klasma.github.io/Logging_0883/klagomålsmail/A 49378-2024 FSC-klagomål mail.docx", "A 49378-2024")</f>
        <v/>
      </c>
      <c r="X1743">
        <f>HYPERLINK("https://klasma.github.io/Logging_0883/tillsyn/A 49378-2024 tillsynsbegäran.docx", "A 49378-2024")</f>
        <v/>
      </c>
      <c r="Y1743">
        <f>HYPERLINK("https://klasma.github.io/Logging_0883/tillsynsmail/A 49378-2024 tillsynsbegäran mail.docx", "A 49378-2024")</f>
        <v/>
      </c>
    </row>
    <row r="1744" ht="15" customHeight="1">
      <c r="A1744" t="inlineStr">
        <is>
          <t>A 49700-2024</t>
        </is>
      </c>
      <c r="B1744" s="1" t="n">
        <v>45596</v>
      </c>
      <c r="C1744" s="1" t="n">
        <v>45844</v>
      </c>
      <c r="D1744" t="inlineStr">
        <is>
          <t>KALMAR LÄN</t>
        </is>
      </c>
      <c r="E1744" t="inlineStr">
        <is>
          <t>VÄSTERVIK</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49708-2024</t>
        </is>
      </c>
      <c r="B1745" s="1" t="n">
        <v>45596</v>
      </c>
      <c r="C1745" s="1" t="n">
        <v>45844</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49706-2024</t>
        </is>
      </c>
      <c r="B1746" s="1" t="n">
        <v>45596</v>
      </c>
      <c r="C1746" s="1" t="n">
        <v>45844</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49703-2024</t>
        </is>
      </c>
      <c r="B1747" s="1" t="n">
        <v>45596</v>
      </c>
      <c r="C1747" s="1" t="n">
        <v>45844</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50452-2024</t>
        </is>
      </c>
      <c r="B1748" s="1" t="n">
        <v>45601</v>
      </c>
      <c r="C1748" s="1" t="n">
        <v>45844</v>
      </c>
      <c r="D1748" t="inlineStr">
        <is>
          <t>KALMAR LÄN</t>
        </is>
      </c>
      <c r="E1748" t="inlineStr">
        <is>
          <t>VÄSTERVIK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50495-2024</t>
        </is>
      </c>
      <c r="B1749" s="1" t="n">
        <v>45601</v>
      </c>
      <c r="C1749" s="1" t="n">
        <v>45844</v>
      </c>
      <c r="D1749" t="inlineStr">
        <is>
          <t>KALMAR LÄN</t>
        </is>
      </c>
      <c r="E1749" t="inlineStr">
        <is>
          <t>VÄSTERVIK</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50454-2024</t>
        </is>
      </c>
      <c r="B1750" s="1" t="n">
        <v>45601</v>
      </c>
      <c r="C1750" s="1" t="n">
        <v>45844</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51510-2024</t>
        </is>
      </c>
      <c r="B1751" s="1" t="n">
        <v>45604</v>
      </c>
      <c r="C1751" s="1" t="n">
        <v>45844</v>
      </c>
      <c r="D1751" t="inlineStr">
        <is>
          <t>KALMAR LÄN</t>
        </is>
      </c>
      <c r="E1751" t="inlineStr">
        <is>
          <t>VÄSTERVIK</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51496-2024</t>
        </is>
      </c>
      <c r="B1752" s="1" t="n">
        <v>45604</v>
      </c>
      <c r="C1752" s="1" t="n">
        <v>45844</v>
      </c>
      <c r="D1752" t="inlineStr">
        <is>
          <t>KALMAR LÄN</t>
        </is>
      </c>
      <c r="E1752" t="inlineStr">
        <is>
          <t>VÄSTERVIK</t>
        </is>
      </c>
      <c r="F1752" t="inlineStr">
        <is>
          <t>Övriga Aktiebolag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52811-2024</t>
        </is>
      </c>
      <c r="B1753" s="1" t="n">
        <v>45610</v>
      </c>
      <c r="C1753" s="1" t="n">
        <v>45844</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52734-2024</t>
        </is>
      </c>
      <c r="B1754" s="1" t="n">
        <v>45610</v>
      </c>
      <c r="C1754" s="1" t="n">
        <v>45844</v>
      </c>
      <c r="D1754" t="inlineStr">
        <is>
          <t>KALMAR LÄN</t>
        </is>
      </c>
      <c r="E1754" t="inlineStr">
        <is>
          <t>VÄSTERVIK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52774-2024</t>
        </is>
      </c>
      <c r="B1755" s="1" t="n">
        <v>45610</v>
      </c>
      <c r="C1755" s="1" t="n">
        <v>45844</v>
      </c>
      <c r="D1755" t="inlineStr">
        <is>
          <t>KALMAR LÄN</t>
        </is>
      </c>
      <c r="E1755" t="inlineStr">
        <is>
          <t>VÄSTERVIK</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52818-2024</t>
        </is>
      </c>
      <c r="B1756" s="1" t="n">
        <v>45610</v>
      </c>
      <c r="C1756" s="1" t="n">
        <v>45844</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53077-2024</t>
        </is>
      </c>
      <c r="B1757" s="1" t="n">
        <v>45611</v>
      </c>
      <c r="C1757" s="1" t="n">
        <v>45844</v>
      </c>
      <c r="D1757" t="inlineStr">
        <is>
          <t>KALMAR LÄN</t>
        </is>
      </c>
      <c r="E1757" t="inlineStr">
        <is>
          <t>VÄSTERVIK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54342-2024</t>
        </is>
      </c>
      <c r="B1758" s="1" t="n">
        <v>45617</v>
      </c>
      <c r="C1758" s="1" t="n">
        <v>45844</v>
      </c>
      <c r="D1758" t="inlineStr">
        <is>
          <t>KALMAR LÄN</t>
        </is>
      </c>
      <c r="E1758" t="inlineStr">
        <is>
          <t>VÄSTERVIK</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54631-2024</t>
        </is>
      </c>
      <c r="B1759" s="1" t="n">
        <v>45617</v>
      </c>
      <c r="C1759" s="1" t="n">
        <v>45844</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54630-2024</t>
        </is>
      </c>
      <c r="B1760" s="1" t="n">
        <v>45617</v>
      </c>
      <c r="C1760" s="1" t="n">
        <v>45844</v>
      </c>
      <c r="D1760" t="inlineStr">
        <is>
          <t>KALMAR LÄN</t>
        </is>
      </c>
      <c r="E1760" t="inlineStr">
        <is>
          <t>VÄSTERVIK</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54638-2024</t>
        </is>
      </c>
      <c r="B1761" s="1" t="n">
        <v>45617</v>
      </c>
      <c r="C1761" s="1" t="n">
        <v>45844</v>
      </c>
      <c r="D1761" t="inlineStr">
        <is>
          <t>KALMAR LÄN</t>
        </is>
      </c>
      <c r="E1761" t="inlineStr">
        <is>
          <t>VÄSTERVIK</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54632-2024</t>
        </is>
      </c>
      <c r="B1762" s="1" t="n">
        <v>45617</v>
      </c>
      <c r="C1762" s="1" t="n">
        <v>45844</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54629-2024</t>
        </is>
      </c>
      <c r="B1763" s="1" t="n">
        <v>45617</v>
      </c>
      <c r="C1763" s="1" t="n">
        <v>45844</v>
      </c>
      <c r="D1763" t="inlineStr">
        <is>
          <t>KALMAR LÄN</t>
        </is>
      </c>
      <c r="E1763" t="inlineStr">
        <is>
          <t>VÄSTERVIK</t>
        </is>
      </c>
      <c r="F1763" t="inlineStr">
        <is>
          <t>Sveaskog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54637-2024</t>
        </is>
      </c>
      <c r="B1764" s="1" t="n">
        <v>45617</v>
      </c>
      <c r="C1764" s="1" t="n">
        <v>45844</v>
      </c>
      <c r="D1764" t="inlineStr">
        <is>
          <t>KALMAR LÄN</t>
        </is>
      </c>
      <c r="E1764" t="inlineStr">
        <is>
          <t>VÄSTERVIK</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55023-2024</t>
        </is>
      </c>
      <c r="B1765" s="1" t="n">
        <v>45621</v>
      </c>
      <c r="C1765" s="1" t="n">
        <v>45844</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55047-2024</t>
        </is>
      </c>
      <c r="B1766" s="1" t="n">
        <v>45621</v>
      </c>
      <c r="C1766" s="1" t="n">
        <v>45844</v>
      </c>
      <c r="D1766" t="inlineStr">
        <is>
          <t>KALMAR LÄN</t>
        </is>
      </c>
      <c r="E1766" t="inlineStr">
        <is>
          <t>VÄSTERVIK</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55042-2024</t>
        </is>
      </c>
      <c r="B1767" s="1" t="n">
        <v>45621</v>
      </c>
      <c r="C1767" s="1" t="n">
        <v>45844</v>
      </c>
      <c r="D1767" t="inlineStr">
        <is>
          <t>KALMAR LÄN</t>
        </is>
      </c>
      <c r="E1767" t="inlineStr">
        <is>
          <t>VÄSTERVIK</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55358-2024</t>
        </is>
      </c>
      <c r="B1768" s="1" t="n">
        <v>45621</v>
      </c>
      <c r="C1768" s="1" t="n">
        <v>45844</v>
      </c>
      <c r="D1768" t="inlineStr">
        <is>
          <t>KALMAR LÄN</t>
        </is>
      </c>
      <c r="E1768" t="inlineStr">
        <is>
          <t>VÄSTERVIK</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55359-2024</t>
        </is>
      </c>
      <c r="B1769" s="1" t="n">
        <v>45621</v>
      </c>
      <c r="C1769" s="1" t="n">
        <v>45844</v>
      </c>
      <c r="D1769" t="inlineStr">
        <is>
          <t>KALMAR LÄN</t>
        </is>
      </c>
      <c r="E1769" t="inlineStr">
        <is>
          <t>VÄSTERVIK</t>
        </is>
      </c>
      <c r="F1769" t="inlineStr">
        <is>
          <t>Sveaskog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55362-2024</t>
        </is>
      </c>
      <c r="B1770" s="1" t="n">
        <v>45621</v>
      </c>
      <c r="C1770" s="1" t="n">
        <v>45844</v>
      </c>
      <c r="D1770" t="inlineStr">
        <is>
          <t>KALMAR LÄN</t>
        </is>
      </c>
      <c r="E1770" t="inlineStr">
        <is>
          <t>VÄSTERVIK</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55032-2024</t>
        </is>
      </c>
      <c r="B1771" s="1" t="n">
        <v>45621</v>
      </c>
      <c r="C1771" s="1" t="n">
        <v>45844</v>
      </c>
      <c r="D1771" t="inlineStr">
        <is>
          <t>KALMAR LÄN</t>
        </is>
      </c>
      <c r="E1771" t="inlineStr">
        <is>
          <t>VÄSTERVIK</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55053-2024</t>
        </is>
      </c>
      <c r="B1772" s="1" t="n">
        <v>45621</v>
      </c>
      <c r="C1772" s="1" t="n">
        <v>45844</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55361-2024</t>
        </is>
      </c>
      <c r="B1773" s="1" t="n">
        <v>45621</v>
      </c>
      <c r="C1773" s="1" t="n">
        <v>45844</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55050-2024</t>
        </is>
      </c>
      <c r="B1774" s="1" t="n">
        <v>45621</v>
      </c>
      <c r="C1774" s="1" t="n">
        <v>45844</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55037-2024</t>
        </is>
      </c>
      <c r="B1775" s="1" t="n">
        <v>45621</v>
      </c>
      <c r="C1775" s="1" t="n">
        <v>45844</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55020-2024</t>
        </is>
      </c>
      <c r="B1776" s="1" t="n">
        <v>45621</v>
      </c>
      <c r="C1776" s="1" t="n">
        <v>45844</v>
      </c>
      <c r="D1776" t="inlineStr">
        <is>
          <t>KALMAR LÄN</t>
        </is>
      </c>
      <c r="E1776" t="inlineStr">
        <is>
          <t>VÄSTERVIK</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55016-2024</t>
        </is>
      </c>
      <c r="B1777" s="1" t="n">
        <v>45621</v>
      </c>
      <c r="C1777" s="1" t="n">
        <v>45844</v>
      </c>
      <c r="D1777" t="inlineStr">
        <is>
          <t>KALMAR LÄN</t>
        </is>
      </c>
      <c r="E1777" t="inlineStr">
        <is>
          <t>VÄSTERVIK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55609-2024</t>
        </is>
      </c>
      <c r="B1778" s="1" t="n">
        <v>45622</v>
      </c>
      <c r="C1778" s="1" t="n">
        <v>45844</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55647-2024</t>
        </is>
      </c>
      <c r="B1779" s="1" t="n">
        <v>45622</v>
      </c>
      <c r="C1779" s="1" t="n">
        <v>45844</v>
      </c>
      <c r="D1779" t="inlineStr">
        <is>
          <t>KALMAR LÄN</t>
        </is>
      </c>
      <c r="E1779" t="inlineStr">
        <is>
          <t>VÄSTERVIK</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55565-2024</t>
        </is>
      </c>
      <c r="B1780" s="1" t="n">
        <v>45622</v>
      </c>
      <c r="C1780" s="1" t="n">
        <v>45844</v>
      </c>
      <c r="D1780" t="inlineStr">
        <is>
          <t>KALMAR LÄN</t>
        </is>
      </c>
      <c r="E1780" t="inlineStr">
        <is>
          <t>VÄSTERVIK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56077-2024</t>
        </is>
      </c>
      <c r="B1781" s="1" t="n">
        <v>45624</v>
      </c>
      <c r="C1781" s="1" t="n">
        <v>45844</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56374-2024</t>
        </is>
      </c>
      <c r="B1782" s="1" t="n">
        <v>45625</v>
      </c>
      <c r="C1782" s="1" t="n">
        <v>45844</v>
      </c>
      <c r="D1782" t="inlineStr">
        <is>
          <t>KALMAR LÄN</t>
        </is>
      </c>
      <c r="E1782" t="inlineStr">
        <is>
          <t>VÄSTERVIK</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56379-2024</t>
        </is>
      </c>
      <c r="B1783" s="1" t="n">
        <v>45625</v>
      </c>
      <c r="C1783" s="1" t="n">
        <v>45844</v>
      </c>
      <c r="D1783" t="inlineStr">
        <is>
          <t>KALMAR LÄN</t>
        </is>
      </c>
      <c r="E1783" t="inlineStr">
        <is>
          <t>VÄSTERVIK</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56371-2024</t>
        </is>
      </c>
      <c r="B1784" s="1" t="n">
        <v>45625</v>
      </c>
      <c r="C1784" s="1" t="n">
        <v>45844</v>
      </c>
      <c r="D1784" t="inlineStr">
        <is>
          <t>KALMAR LÄN</t>
        </is>
      </c>
      <c r="E1784" t="inlineStr">
        <is>
          <t>VÄSTERVIK</t>
        </is>
      </c>
      <c r="F1784" t="inlineStr">
        <is>
          <t>Sveaskog</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56384-2024</t>
        </is>
      </c>
      <c r="B1785" s="1" t="n">
        <v>45625</v>
      </c>
      <c r="C1785" s="1" t="n">
        <v>45844</v>
      </c>
      <c r="D1785" t="inlineStr">
        <is>
          <t>KALMAR LÄN</t>
        </is>
      </c>
      <c r="E1785" t="inlineStr">
        <is>
          <t>VÄSTERVIK</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56377-2024</t>
        </is>
      </c>
      <c r="B1786" s="1" t="n">
        <v>45625</v>
      </c>
      <c r="C1786" s="1" t="n">
        <v>45844</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56378-2024</t>
        </is>
      </c>
      <c r="B1787" s="1" t="n">
        <v>45625</v>
      </c>
      <c r="C1787" s="1" t="n">
        <v>45844</v>
      </c>
      <c r="D1787" t="inlineStr">
        <is>
          <t>KALMAR LÄN</t>
        </is>
      </c>
      <c r="E1787" t="inlineStr">
        <is>
          <t>VÄSTERVIK</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56382-2024</t>
        </is>
      </c>
      <c r="B1788" s="1" t="n">
        <v>45625</v>
      </c>
      <c r="C1788" s="1" t="n">
        <v>45844</v>
      </c>
      <c r="D1788" t="inlineStr">
        <is>
          <t>KALMAR LÄN</t>
        </is>
      </c>
      <c r="E1788" t="inlineStr">
        <is>
          <t>VÄSTERVIK</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56440-2024</t>
        </is>
      </c>
      <c r="B1789" s="1" t="n">
        <v>45625</v>
      </c>
      <c r="C1789" s="1" t="n">
        <v>45844</v>
      </c>
      <c r="D1789" t="inlineStr">
        <is>
          <t>KALMAR LÄN</t>
        </is>
      </c>
      <c r="E1789" t="inlineStr">
        <is>
          <t>VÄSTERVIK</t>
        </is>
      </c>
      <c r="F1789" t="inlineStr">
        <is>
          <t>Övriga Aktiebolag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57178-2024</t>
        </is>
      </c>
      <c r="B1790" s="1" t="n">
        <v>45629</v>
      </c>
      <c r="C1790" s="1" t="n">
        <v>45844</v>
      </c>
      <c r="D1790" t="inlineStr">
        <is>
          <t>KALMAR LÄN</t>
        </is>
      </c>
      <c r="E1790" t="inlineStr">
        <is>
          <t>VÄSTERVIK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57688-2024</t>
        </is>
      </c>
      <c r="B1791" s="1" t="n">
        <v>45630</v>
      </c>
      <c r="C1791" s="1" t="n">
        <v>45844</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57793-2024</t>
        </is>
      </c>
      <c r="B1792" s="1" t="n">
        <v>45631</v>
      </c>
      <c r="C1792" s="1" t="n">
        <v>45844</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57792-2024</t>
        </is>
      </c>
      <c r="B1793" s="1" t="n">
        <v>45631</v>
      </c>
      <c r="C1793" s="1" t="n">
        <v>45844</v>
      </c>
      <c r="D1793" t="inlineStr">
        <is>
          <t>KALMAR LÄN</t>
        </is>
      </c>
      <c r="E1793" t="inlineStr">
        <is>
          <t>VÄSTERVIK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57802-2024</t>
        </is>
      </c>
      <c r="B1794" s="1" t="n">
        <v>45631</v>
      </c>
      <c r="C1794" s="1" t="n">
        <v>45844</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57795-2024</t>
        </is>
      </c>
      <c r="B1795" s="1" t="n">
        <v>45631</v>
      </c>
      <c r="C1795" s="1" t="n">
        <v>45844</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57924-2024</t>
        </is>
      </c>
      <c r="B1796" s="1" t="n">
        <v>45631</v>
      </c>
      <c r="C1796" s="1" t="n">
        <v>45844</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58429-2024</t>
        </is>
      </c>
      <c r="B1797" s="1" t="n">
        <v>45634</v>
      </c>
      <c r="C1797" s="1" t="n">
        <v>45844</v>
      </c>
      <c r="D1797" t="inlineStr">
        <is>
          <t>KALMAR LÄN</t>
        </is>
      </c>
      <c r="E1797" t="inlineStr">
        <is>
          <t>VÄSTERVIK</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58731-2024</t>
        </is>
      </c>
      <c r="B1798" s="1" t="n">
        <v>45635</v>
      </c>
      <c r="C1798" s="1" t="n">
        <v>45844</v>
      </c>
      <c r="D1798" t="inlineStr">
        <is>
          <t>KALMAR LÄN</t>
        </is>
      </c>
      <c r="E1798" t="inlineStr">
        <is>
          <t>VÄSTERVIK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58764-2024</t>
        </is>
      </c>
      <c r="B1799" s="1" t="n">
        <v>45635</v>
      </c>
      <c r="C1799" s="1" t="n">
        <v>45844</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59196-2024</t>
        </is>
      </c>
      <c r="B1800" s="1" t="n">
        <v>45637</v>
      </c>
      <c r="C1800" s="1" t="n">
        <v>45844</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59350-2024</t>
        </is>
      </c>
      <c r="B1801" s="1" t="n">
        <v>45638</v>
      </c>
      <c r="C1801" s="1" t="n">
        <v>45844</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59880-2024</t>
        </is>
      </c>
      <c r="B1802" s="1" t="n">
        <v>45640</v>
      </c>
      <c r="C1802" s="1" t="n">
        <v>45844</v>
      </c>
      <c r="D1802" t="inlineStr">
        <is>
          <t>KALMAR LÄN</t>
        </is>
      </c>
      <c r="E1802" t="inlineStr">
        <is>
          <t>VÄSTERVIK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60147-2024</t>
        </is>
      </c>
      <c r="B1803" s="1" t="n">
        <v>45642</v>
      </c>
      <c r="C1803" s="1" t="n">
        <v>45844</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60140-2024</t>
        </is>
      </c>
      <c r="B1804" s="1" t="n">
        <v>45642</v>
      </c>
      <c r="C1804" s="1" t="n">
        <v>45844</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60478-2024</t>
        </is>
      </c>
      <c r="B1805" s="1" t="n">
        <v>45643</v>
      </c>
      <c r="C1805" s="1" t="n">
        <v>45844</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60483-2024</t>
        </is>
      </c>
      <c r="B1806" s="1" t="n">
        <v>45643</v>
      </c>
      <c r="C1806" s="1" t="n">
        <v>45844</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60685-2024</t>
        </is>
      </c>
      <c r="B1807" s="1" t="n">
        <v>45644</v>
      </c>
      <c r="C1807" s="1" t="n">
        <v>45844</v>
      </c>
      <c r="D1807" t="inlineStr">
        <is>
          <t>KALMAR LÄN</t>
        </is>
      </c>
      <c r="E1807" t="inlineStr">
        <is>
          <t>VÄSTERVIK</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1108-2025</t>
        </is>
      </c>
      <c r="B1808" s="1" t="n">
        <v>45666</v>
      </c>
      <c r="C1808" s="1" t="n">
        <v>45844</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1115-2025</t>
        </is>
      </c>
      <c r="B1809" s="1" t="n">
        <v>45666</v>
      </c>
      <c r="C1809" s="1" t="n">
        <v>45844</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957-2025</t>
        </is>
      </c>
      <c r="B1810" s="1" t="n">
        <v>45666</v>
      </c>
      <c r="C1810" s="1" t="n">
        <v>45844</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1744-2025</t>
        </is>
      </c>
      <c r="B1811" s="1" t="n">
        <v>45671</v>
      </c>
      <c r="C1811" s="1" t="n">
        <v>45844</v>
      </c>
      <c r="D1811" t="inlineStr">
        <is>
          <t>KALMAR LÄN</t>
        </is>
      </c>
      <c r="E1811" t="inlineStr">
        <is>
          <t>VÄSTERVIK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1741-2025</t>
        </is>
      </c>
      <c r="B1812" s="1" t="n">
        <v>45671</v>
      </c>
      <c r="C1812" s="1" t="n">
        <v>45844</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1743-2025</t>
        </is>
      </c>
      <c r="B1813" s="1" t="n">
        <v>45671</v>
      </c>
      <c r="C1813" s="1" t="n">
        <v>45844</v>
      </c>
      <c r="D1813" t="inlineStr">
        <is>
          <t>KALMAR LÄN</t>
        </is>
      </c>
      <c r="E1813" t="inlineStr">
        <is>
          <t>VÄSTERVIK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1751-2025</t>
        </is>
      </c>
      <c r="B1814" s="1" t="n">
        <v>45671</v>
      </c>
      <c r="C1814" s="1" t="n">
        <v>45844</v>
      </c>
      <c r="D1814" t="inlineStr">
        <is>
          <t>KALMAR LÄN</t>
        </is>
      </c>
      <c r="E1814" t="inlineStr">
        <is>
          <t>VÄSTERVIK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1874-2025</t>
        </is>
      </c>
      <c r="B1815" s="1" t="n">
        <v>45671</v>
      </c>
      <c r="C1815" s="1" t="n">
        <v>45844</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1788-2025</t>
        </is>
      </c>
      <c r="B1816" s="1" t="n">
        <v>45671</v>
      </c>
      <c r="C1816" s="1" t="n">
        <v>45844</v>
      </c>
      <c r="D1816" t="inlineStr">
        <is>
          <t>KALMAR LÄN</t>
        </is>
      </c>
      <c r="E1816" t="inlineStr">
        <is>
          <t>VÄSTERVIK</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1787-2025</t>
        </is>
      </c>
      <c r="B1817" s="1" t="n">
        <v>45671</v>
      </c>
      <c r="C1817" s="1" t="n">
        <v>45844</v>
      </c>
      <c r="D1817" t="inlineStr">
        <is>
          <t>KALMAR LÄN</t>
        </is>
      </c>
      <c r="E1817" t="inlineStr">
        <is>
          <t>VÄSTERVIK</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1785-2025</t>
        </is>
      </c>
      <c r="B1818" s="1" t="n">
        <v>45671</v>
      </c>
      <c r="C1818" s="1" t="n">
        <v>45844</v>
      </c>
      <c r="D1818" t="inlineStr">
        <is>
          <t>KALMAR LÄN</t>
        </is>
      </c>
      <c r="E1818" t="inlineStr">
        <is>
          <t>VÄSTERVIK</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1877-2025</t>
        </is>
      </c>
      <c r="B1819" s="1" t="n">
        <v>45671</v>
      </c>
      <c r="C1819" s="1" t="n">
        <v>45844</v>
      </c>
      <c r="D1819" t="inlineStr">
        <is>
          <t>KALMAR LÄN</t>
        </is>
      </c>
      <c r="E1819" t="inlineStr">
        <is>
          <t>VÄSTERVIK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1867-2025</t>
        </is>
      </c>
      <c r="B1820" s="1" t="n">
        <v>45671</v>
      </c>
      <c r="C1820" s="1" t="n">
        <v>45844</v>
      </c>
      <c r="D1820" t="inlineStr">
        <is>
          <t>KALMAR LÄN</t>
        </is>
      </c>
      <c r="E1820" t="inlineStr">
        <is>
          <t>VÄSTERVIK</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2357-2025</t>
        </is>
      </c>
      <c r="B1821" s="1" t="n">
        <v>45673</v>
      </c>
      <c r="C1821" s="1" t="n">
        <v>45844</v>
      </c>
      <c r="D1821" t="inlineStr">
        <is>
          <t>KALMAR LÄN</t>
        </is>
      </c>
      <c r="E1821" t="inlineStr">
        <is>
          <t>VÄSTERVIK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2329-2025</t>
        </is>
      </c>
      <c r="B1822" s="1" t="n">
        <v>45673</v>
      </c>
      <c r="C1822" s="1" t="n">
        <v>45844</v>
      </c>
      <c r="D1822" t="inlineStr">
        <is>
          <t>KALMAR LÄN</t>
        </is>
      </c>
      <c r="E1822" t="inlineStr">
        <is>
          <t>VÄSTERVIK</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2360-2025</t>
        </is>
      </c>
      <c r="B1823" s="1" t="n">
        <v>45673</v>
      </c>
      <c r="C1823" s="1" t="n">
        <v>45844</v>
      </c>
      <c r="D1823" t="inlineStr">
        <is>
          <t>KALMAR LÄN</t>
        </is>
      </c>
      <c r="E1823" t="inlineStr">
        <is>
          <t>VÄSTERVIK</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2359-2025</t>
        </is>
      </c>
      <c r="B1824" s="1" t="n">
        <v>45673</v>
      </c>
      <c r="C1824" s="1" t="n">
        <v>45844</v>
      </c>
      <c r="D1824" t="inlineStr">
        <is>
          <t>KALMAR LÄN</t>
        </is>
      </c>
      <c r="E1824" t="inlineStr">
        <is>
          <t>VÄSTERVIK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2361-2025</t>
        </is>
      </c>
      <c r="B1825" s="1" t="n">
        <v>45673</v>
      </c>
      <c r="C1825" s="1" t="n">
        <v>45844</v>
      </c>
      <c r="D1825" t="inlineStr">
        <is>
          <t>KALMAR LÄN</t>
        </is>
      </c>
      <c r="E1825" t="inlineStr">
        <is>
          <t>VÄSTERVIK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2866-2025</t>
        </is>
      </c>
      <c r="B1826" s="1" t="n">
        <v>45677</v>
      </c>
      <c r="C1826" s="1" t="n">
        <v>45844</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2870-2025</t>
        </is>
      </c>
      <c r="B1827" s="1" t="n">
        <v>45677</v>
      </c>
      <c r="C1827" s="1" t="n">
        <v>45844</v>
      </c>
      <c r="D1827" t="inlineStr">
        <is>
          <t>KALMAR LÄN</t>
        </is>
      </c>
      <c r="E1827" t="inlineStr">
        <is>
          <t>VÄSTERVIK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2830-2025</t>
        </is>
      </c>
      <c r="B1828" s="1" t="n">
        <v>45677</v>
      </c>
      <c r="C1828" s="1" t="n">
        <v>45844</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2872-2025</t>
        </is>
      </c>
      <c r="B1829" s="1" t="n">
        <v>45677</v>
      </c>
      <c r="C1829" s="1" t="n">
        <v>45844</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2859-2025</t>
        </is>
      </c>
      <c r="B1830" s="1" t="n">
        <v>45677</v>
      </c>
      <c r="C1830" s="1" t="n">
        <v>45844</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3093-2025</t>
        </is>
      </c>
      <c r="B1831" s="1" t="n">
        <v>45678</v>
      </c>
      <c r="C1831" s="1" t="n">
        <v>45844</v>
      </c>
      <c r="D1831" t="inlineStr">
        <is>
          <t>KALMAR LÄN</t>
        </is>
      </c>
      <c r="E1831" t="inlineStr">
        <is>
          <t>VÄSTERVIK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3041-2025</t>
        </is>
      </c>
      <c r="B1832" s="1" t="n">
        <v>45678</v>
      </c>
      <c r="C1832" s="1" t="n">
        <v>45844</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c r="U1832">
        <f>HYPERLINK("https://klasma.github.io/Logging_0883/knärot/A 3041-2025 karta knärot.png", "A 3041-2025")</f>
        <v/>
      </c>
      <c r="V1832">
        <f>HYPERLINK("https://klasma.github.io/Logging_0883/klagomål/A 3041-2025 FSC-klagomål.docx", "A 3041-2025")</f>
        <v/>
      </c>
      <c r="W1832">
        <f>HYPERLINK("https://klasma.github.io/Logging_0883/klagomålsmail/A 3041-2025 FSC-klagomål mail.docx", "A 3041-2025")</f>
        <v/>
      </c>
      <c r="X1832">
        <f>HYPERLINK("https://klasma.github.io/Logging_0883/tillsyn/A 3041-2025 tillsynsbegäran.docx", "A 3041-2025")</f>
        <v/>
      </c>
      <c r="Y1832">
        <f>HYPERLINK("https://klasma.github.io/Logging_0883/tillsynsmail/A 3041-2025 tillsynsbegäran mail.docx", "A 3041-2025")</f>
        <v/>
      </c>
    </row>
    <row r="1833" ht="15" customHeight="1">
      <c r="A1833" t="inlineStr">
        <is>
          <t>A 2951-2025</t>
        </is>
      </c>
      <c r="B1833" s="1" t="n">
        <v>45678</v>
      </c>
      <c r="C1833" s="1" t="n">
        <v>45844</v>
      </c>
      <c r="D1833" t="inlineStr">
        <is>
          <t>KALMAR LÄN</t>
        </is>
      </c>
      <c r="E1833" t="inlineStr">
        <is>
          <t>VÄSTERVIK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3467-2025</t>
        </is>
      </c>
      <c r="B1834" s="1" t="n">
        <v>45680</v>
      </c>
      <c r="C1834" s="1" t="n">
        <v>45844</v>
      </c>
      <c r="D1834" t="inlineStr">
        <is>
          <t>KALMAR LÄN</t>
        </is>
      </c>
      <c r="E1834" t="inlineStr">
        <is>
          <t>VÄSTERVIK</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3453-2025</t>
        </is>
      </c>
      <c r="B1835" s="1" t="n">
        <v>45680</v>
      </c>
      <c r="C1835" s="1" t="n">
        <v>45844</v>
      </c>
      <c r="D1835" t="inlineStr">
        <is>
          <t>KALMAR LÄN</t>
        </is>
      </c>
      <c r="E1835" t="inlineStr">
        <is>
          <t>VÄSTERVIK</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3679-2025</t>
        </is>
      </c>
      <c r="B1836" s="1" t="n">
        <v>45681</v>
      </c>
      <c r="C1836" s="1" t="n">
        <v>45844</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3800-2025</t>
        </is>
      </c>
      <c r="B1837" s="1" t="n">
        <v>45681</v>
      </c>
      <c r="C1837" s="1" t="n">
        <v>45844</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4345-2025</t>
        </is>
      </c>
      <c r="B1838" s="1" t="n">
        <v>45685</v>
      </c>
      <c r="C1838" s="1" t="n">
        <v>45844</v>
      </c>
      <c r="D1838" t="inlineStr">
        <is>
          <t>KALMAR LÄN</t>
        </is>
      </c>
      <c r="E1838" t="inlineStr">
        <is>
          <t>VÄSTERVIK</t>
        </is>
      </c>
      <c r="F1838" t="inlineStr">
        <is>
          <t>Holmen skog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4490-2025</t>
        </is>
      </c>
      <c r="B1839" s="1" t="n">
        <v>45686</v>
      </c>
      <c r="C1839" s="1" t="n">
        <v>45844</v>
      </c>
      <c r="D1839" t="inlineStr">
        <is>
          <t>KALMAR LÄN</t>
        </is>
      </c>
      <c r="E1839" t="inlineStr">
        <is>
          <t>VÄSTERVIK</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4461-2025</t>
        </is>
      </c>
      <c r="B1840" s="1" t="n">
        <v>45686</v>
      </c>
      <c r="C1840" s="1" t="n">
        <v>45844</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c r="U1840">
        <f>HYPERLINK("https://klasma.github.io/Logging_0883/knärot/A 4461-2025 karta knärot.png", "A 4461-2025")</f>
        <v/>
      </c>
      <c r="V1840">
        <f>HYPERLINK("https://klasma.github.io/Logging_0883/klagomål/A 4461-2025 FSC-klagomål.docx", "A 4461-2025")</f>
        <v/>
      </c>
      <c r="W1840">
        <f>HYPERLINK("https://klasma.github.io/Logging_0883/klagomålsmail/A 4461-2025 FSC-klagomål mail.docx", "A 4461-2025")</f>
        <v/>
      </c>
      <c r="X1840">
        <f>HYPERLINK("https://klasma.github.io/Logging_0883/tillsyn/A 4461-2025 tillsynsbegäran.docx", "A 4461-2025")</f>
        <v/>
      </c>
      <c r="Y1840">
        <f>HYPERLINK("https://klasma.github.io/Logging_0883/tillsynsmail/A 4461-2025 tillsynsbegäran mail.docx", "A 4461-2025")</f>
        <v/>
      </c>
    </row>
    <row r="1841" ht="15" customHeight="1">
      <c r="A1841" t="inlineStr">
        <is>
          <t>A 5060-2025</t>
        </is>
      </c>
      <c r="B1841" s="1" t="n">
        <v>45691</v>
      </c>
      <c r="C1841" s="1" t="n">
        <v>45844</v>
      </c>
      <c r="D1841" t="inlineStr">
        <is>
          <t>KALMAR LÄN</t>
        </is>
      </c>
      <c r="E1841" t="inlineStr">
        <is>
          <t>VÄSTERVIK</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5079-2025</t>
        </is>
      </c>
      <c r="B1842" s="1" t="n">
        <v>45691</v>
      </c>
      <c r="C1842" s="1" t="n">
        <v>45844</v>
      </c>
      <c r="D1842" t="inlineStr">
        <is>
          <t>KALMAR LÄN</t>
        </is>
      </c>
      <c r="E1842" t="inlineStr">
        <is>
          <t>VÄSTERVIK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5118-2025</t>
        </is>
      </c>
      <c r="B1843" s="1" t="n">
        <v>45691</v>
      </c>
      <c r="C1843" s="1" t="n">
        <v>45844</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5691-2025</t>
        </is>
      </c>
      <c r="B1844" s="1" t="n">
        <v>45694</v>
      </c>
      <c r="C1844" s="1" t="n">
        <v>45844</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6182-2025</t>
        </is>
      </c>
      <c r="B1845" s="1" t="n">
        <v>45698</v>
      </c>
      <c r="C1845" s="1" t="n">
        <v>45844</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6393-2025</t>
        </is>
      </c>
      <c r="B1846" s="1" t="n">
        <v>45699</v>
      </c>
      <c r="C1846" s="1" t="n">
        <v>45844</v>
      </c>
      <c r="D1846" t="inlineStr">
        <is>
          <t>KALMAR LÄN</t>
        </is>
      </c>
      <c r="E1846" t="inlineStr">
        <is>
          <t>VÄSTERVIK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6469-2025</t>
        </is>
      </c>
      <c r="B1847" s="1" t="n">
        <v>45699</v>
      </c>
      <c r="C1847" s="1" t="n">
        <v>45844</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6846-2025</t>
        </is>
      </c>
      <c r="B1848" s="1" t="n">
        <v>45700</v>
      </c>
      <c r="C1848" s="1" t="n">
        <v>45844</v>
      </c>
      <c r="D1848" t="inlineStr">
        <is>
          <t>KALMAR LÄN</t>
        </is>
      </c>
      <c r="E1848" t="inlineStr">
        <is>
          <t>VÄSTERVIK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6847-2025</t>
        </is>
      </c>
      <c r="B1849" s="1" t="n">
        <v>45700</v>
      </c>
      <c r="C1849" s="1" t="n">
        <v>45844</v>
      </c>
      <c r="D1849" t="inlineStr">
        <is>
          <t>KALMAR LÄN</t>
        </is>
      </c>
      <c r="E1849" t="inlineStr">
        <is>
          <t>VÄSTERVIK</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6844-2025</t>
        </is>
      </c>
      <c r="B1850" s="1" t="n">
        <v>45700</v>
      </c>
      <c r="C1850" s="1" t="n">
        <v>45844</v>
      </c>
      <c r="D1850" t="inlineStr">
        <is>
          <t>KALMAR LÄN</t>
        </is>
      </c>
      <c r="E1850" t="inlineStr">
        <is>
          <t>VÄSTERVIK</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6848-2025</t>
        </is>
      </c>
      <c r="B1851" s="1" t="n">
        <v>45700</v>
      </c>
      <c r="C1851" s="1" t="n">
        <v>45844</v>
      </c>
      <c r="D1851" t="inlineStr">
        <is>
          <t>KALMAR LÄN</t>
        </is>
      </c>
      <c r="E1851" t="inlineStr">
        <is>
          <t>VÄSTERVIK</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6940-2025</t>
        </is>
      </c>
      <c r="B1852" s="1" t="n">
        <v>45701</v>
      </c>
      <c r="C1852" s="1" t="n">
        <v>45844</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6938-2025</t>
        </is>
      </c>
      <c r="B1853" s="1" t="n">
        <v>45701</v>
      </c>
      <c r="C1853" s="1" t="n">
        <v>45844</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6941-2025</t>
        </is>
      </c>
      <c r="B1854" s="1" t="n">
        <v>45701</v>
      </c>
      <c r="C1854" s="1" t="n">
        <v>45844</v>
      </c>
      <c r="D1854" t="inlineStr">
        <is>
          <t>KALMAR LÄN</t>
        </is>
      </c>
      <c r="E1854" t="inlineStr">
        <is>
          <t>VÄSTERVIK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7164-2025</t>
        </is>
      </c>
      <c r="B1855" s="1" t="n">
        <v>45702</v>
      </c>
      <c r="C1855" s="1" t="n">
        <v>45844</v>
      </c>
      <c r="D1855" t="inlineStr">
        <is>
          <t>KALMAR LÄN</t>
        </is>
      </c>
      <c r="E1855" t="inlineStr">
        <is>
          <t>VÄSTERVIK</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7165-2025</t>
        </is>
      </c>
      <c r="B1856" s="1" t="n">
        <v>45702</v>
      </c>
      <c r="C1856" s="1" t="n">
        <v>45844</v>
      </c>
      <c r="D1856" t="inlineStr">
        <is>
          <t>KALMAR LÄN</t>
        </is>
      </c>
      <c r="E1856" t="inlineStr">
        <is>
          <t>VÄSTERVIK</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7163-2025</t>
        </is>
      </c>
      <c r="B1857" s="1" t="n">
        <v>45702</v>
      </c>
      <c r="C1857" s="1" t="n">
        <v>45844</v>
      </c>
      <c r="D1857" t="inlineStr">
        <is>
          <t>KALMAR LÄN</t>
        </is>
      </c>
      <c r="E1857" t="inlineStr">
        <is>
          <t>VÄSTERVIK</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7381-2025</t>
        </is>
      </c>
      <c r="B1858" s="1" t="n">
        <v>45705</v>
      </c>
      <c r="C1858" s="1" t="n">
        <v>45844</v>
      </c>
      <c r="D1858" t="inlineStr">
        <is>
          <t>KALMAR LÄN</t>
        </is>
      </c>
      <c r="E1858" t="inlineStr">
        <is>
          <t>VÄSTERVIK</t>
        </is>
      </c>
      <c r="F1858" t="inlineStr">
        <is>
          <t>Kyrkan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7377-2025</t>
        </is>
      </c>
      <c r="B1859" s="1" t="n">
        <v>45705</v>
      </c>
      <c r="C1859" s="1" t="n">
        <v>45844</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7882-2025</t>
        </is>
      </c>
      <c r="B1860" s="1" t="n">
        <v>45706</v>
      </c>
      <c r="C1860" s="1" t="n">
        <v>45844</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7843-2025</t>
        </is>
      </c>
      <c r="B1861" s="1" t="n">
        <v>45706</v>
      </c>
      <c r="C1861" s="1" t="n">
        <v>45844</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7883-2025</t>
        </is>
      </c>
      <c r="B1862" s="1" t="n">
        <v>45706</v>
      </c>
      <c r="C1862" s="1" t="n">
        <v>45844</v>
      </c>
      <c r="D1862" t="inlineStr">
        <is>
          <t>KALMAR LÄN</t>
        </is>
      </c>
      <c r="E1862" t="inlineStr">
        <is>
          <t>VÄSTERVIK</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7885-2025</t>
        </is>
      </c>
      <c r="B1863" s="1" t="n">
        <v>45706</v>
      </c>
      <c r="C1863" s="1" t="n">
        <v>45844</v>
      </c>
      <c r="D1863" t="inlineStr">
        <is>
          <t>KALMAR LÄN</t>
        </is>
      </c>
      <c r="E1863" t="inlineStr">
        <is>
          <t>VÄSTERVIK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7840-2025</t>
        </is>
      </c>
      <c r="B1864" s="1" t="n">
        <v>45706</v>
      </c>
      <c r="C1864" s="1" t="n">
        <v>45844</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7884-2025</t>
        </is>
      </c>
      <c r="B1865" s="1" t="n">
        <v>45706</v>
      </c>
      <c r="C1865" s="1" t="n">
        <v>45844</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8281-2025</t>
        </is>
      </c>
      <c r="B1866" s="1" t="n">
        <v>45708</v>
      </c>
      <c r="C1866" s="1" t="n">
        <v>45844</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8402-2025</t>
        </is>
      </c>
      <c r="B1867" s="1" t="n">
        <v>45709</v>
      </c>
      <c r="C1867" s="1" t="n">
        <v>45844</v>
      </c>
      <c r="D1867" t="inlineStr">
        <is>
          <t>KALMAR LÄN</t>
        </is>
      </c>
      <c r="E1867" t="inlineStr">
        <is>
          <t>VÄSTERVIK</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8995-2025</t>
        </is>
      </c>
      <c r="B1868" s="1" t="n">
        <v>45713</v>
      </c>
      <c r="C1868" s="1" t="n">
        <v>45844</v>
      </c>
      <c r="D1868" t="inlineStr">
        <is>
          <t>KALMAR LÄN</t>
        </is>
      </c>
      <c r="E1868" t="inlineStr">
        <is>
          <t>VÄSTERVIK</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9263-2025</t>
        </is>
      </c>
      <c r="B1869" s="1" t="n">
        <v>45714</v>
      </c>
      <c r="C1869" s="1" t="n">
        <v>45844</v>
      </c>
      <c r="D1869" t="inlineStr">
        <is>
          <t>KALMAR LÄN</t>
        </is>
      </c>
      <c r="E1869" t="inlineStr">
        <is>
          <t>VÄSTERVIK</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9267-2025</t>
        </is>
      </c>
      <c r="B1870" s="1" t="n">
        <v>45714</v>
      </c>
      <c r="C1870" s="1" t="n">
        <v>45844</v>
      </c>
      <c r="D1870" t="inlineStr">
        <is>
          <t>KALMAR LÄN</t>
        </is>
      </c>
      <c r="E1870" t="inlineStr">
        <is>
          <t>VÄSTERVIK</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9269-2025</t>
        </is>
      </c>
      <c r="B1871" s="1" t="n">
        <v>45714</v>
      </c>
      <c r="C1871" s="1" t="n">
        <v>45844</v>
      </c>
      <c r="D1871" t="inlineStr">
        <is>
          <t>KALMAR LÄN</t>
        </is>
      </c>
      <c r="E1871" t="inlineStr">
        <is>
          <t>VÄSTERVIK</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9451-2025</t>
        </is>
      </c>
      <c r="B1872" s="1" t="n">
        <v>45715</v>
      </c>
      <c r="C1872" s="1" t="n">
        <v>45844</v>
      </c>
      <c r="D1872" t="inlineStr">
        <is>
          <t>KALMAR LÄN</t>
        </is>
      </c>
      <c r="E1872" t="inlineStr">
        <is>
          <t>VÄSTERVIK</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9545-2025</t>
        </is>
      </c>
      <c r="B1873" s="1" t="n">
        <v>45715</v>
      </c>
      <c r="C1873" s="1" t="n">
        <v>45844</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9973-2025</t>
        </is>
      </c>
      <c r="B1874" s="1" t="n">
        <v>45719</v>
      </c>
      <c r="C1874" s="1" t="n">
        <v>45844</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10012-2025</t>
        </is>
      </c>
      <c r="B1875" s="1" t="n">
        <v>45719</v>
      </c>
      <c r="C1875" s="1" t="n">
        <v>45844</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10412-2025</t>
        </is>
      </c>
      <c r="B1876" s="1" t="n">
        <v>45720</v>
      </c>
      <c r="C1876" s="1" t="n">
        <v>45844</v>
      </c>
      <c r="D1876" t="inlineStr">
        <is>
          <t>KALMAR LÄN</t>
        </is>
      </c>
      <c r="E1876" t="inlineStr">
        <is>
          <t>VÄSTERVIK</t>
        </is>
      </c>
      <c r="F1876" t="inlineStr">
        <is>
          <t>Övriga Aktiebolag</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10420-2025</t>
        </is>
      </c>
      <c r="B1877" s="1" t="n">
        <v>45720</v>
      </c>
      <c r="C1877" s="1" t="n">
        <v>45844</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10433-2025</t>
        </is>
      </c>
      <c r="B1878" s="1" t="n">
        <v>45720</v>
      </c>
      <c r="C1878" s="1" t="n">
        <v>45844</v>
      </c>
      <c r="D1878" t="inlineStr">
        <is>
          <t>KALMAR LÄN</t>
        </is>
      </c>
      <c r="E1878" t="inlineStr">
        <is>
          <t>VÄSTERVIK</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10390-2025</t>
        </is>
      </c>
      <c r="B1879" s="1" t="n">
        <v>45720</v>
      </c>
      <c r="C1879" s="1" t="n">
        <v>45844</v>
      </c>
      <c r="D1879" t="inlineStr">
        <is>
          <t>KALMAR LÄN</t>
        </is>
      </c>
      <c r="E1879" t="inlineStr">
        <is>
          <t>VÄSTERVIK</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10399-2025</t>
        </is>
      </c>
      <c r="B1880" s="1" t="n">
        <v>45720</v>
      </c>
      <c r="C1880" s="1" t="n">
        <v>45844</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10774-2025</t>
        </is>
      </c>
      <c r="B1881" s="1" t="n">
        <v>45722</v>
      </c>
      <c r="C1881" s="1" t="n">
        <v>45844</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10803-2025</t>
        </is>
      </c>
      <c r="B1882" s="1" t="n">
        <v>45722</v>
      </c>
      <c r="C1882" s="1" t="n">
        <v>45844</v>
      </c>
      <c r="D1882" t="inlineStr">
        <is>
          <t>KALMAR LÄN</t>
        </is>
      </c>
      <c r="E1882" t="inlineStr">
        <is>
          <t>VÄSTERVIK</t>
        </is>
      </c>
      <c r="F1882" t="inlineStr">
        <is>
          <t>Övriga Aktiebolag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10800-2025</t>
        </is>
      </c>
      <c r="B1883" s="1" t="n">
        <v>45722</v>
      </c>
      <c r="C1883" s="1" t="n">
        <v>45844</v>
      </c>
      <c r="D1883" t="inlineStr">
        <is>
          <t>KALMAR LÄN</t>
        </is>
      </c>
      <c r="E1883" t="inlineStr">
        <is>
          <t>VÄSTERVIK</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10771-2025</t>
        </is>
      </c>
      <c r="B1884" s="1" t="n">
        <v>45722</v>
      </c>
      <c r="C1884" s="1" t="n">
        <v>45844</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10806-2025</t>
        </is>
      </c>
      <c r="B1885" s="1" t="n">
        <v>45722</v>
      </c>
      <c r="C1885" s="1" t="n">
        <v>45844</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10808-2025</t>
        </is>
      </c>
      <c r="B1886" s="1" t="n">
        <v>45722</v>
      </c>
      <c r="C1886" s="1" t="n">
        <v>45844</v>
      </c>
      <c r="D1886" t="inlineStr">
        <is>
          <t>KALMAR LÄN</t>
        </is>
      </c>
      <c r="E1886" t="inlineStr">
        <is>
          <t>VÄSTERVIK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10766-2025</t>
        </is>
      </c>
      <c r="B1887" s="1" t="n">
        <v>45722</v>
      </c>
      <c r="C1887" s="1" t="n">
        <v>45844</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10778-2025</t>
        </is>
      </c>
      <c r="B1888" s="1" t="n">
        <v>45722</v>
      </c>
      <c r="C1888" s="1" t="n">
        <v>45844</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11120-2025</t>
        </is>
      </c>
      <c r="B1889" s="1" t="n">
        <v>45723</v>
      </c>
      <c r="C1889" s="1" t="n">
        <v>45844</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11122-2025</t>
        </is>
      </c>
      <c r="B1890" s="1" t="n">
        <v>45723</v>
      </c>
      <c r="C1890" s="1" t="n">
        <v>45844</v>
      </c>
      <c r="D1890" t="inlineStr">
        <is>
          <t>KALMAR LÄN</t>
        </is>
      </c>
      <c r="E1890" t="inlineStr">
        <is>
          <t>VÄSTERVIK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11296-2025</t>
        </is>
      </c>
      <c r="B1891" s="1" t="n">
        <v>45726</v>
      </c>
      <c r="C1891" s="1" t="n">
        <v>45844</v>
      </c>
      <c r="D1891" t="inlineStr">
        <is>
          <t>KALMAR LÄN</t>
        </is>
      </c>
      <c r="E1891" t="inlineStr">
        <is>
          <t>VÄSTERVIK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11316-2025</t>
        </is>
      </c>
      <c r="B1892" s="1" t="n">
        <v>45726</v>
      </c>
      <c r="C1892" s="1" t="n">
        <v>45844</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11852-2025</t>
        </is>
      </c>
      <c r="B1893" s="1" t="n">
        <v>45728</v>
      </c>
      <c r="C1893" s="1" t="n">
        <v>45844</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12333-2025</t>
        </is>
      </c>
      <c r="B1894" s="1" t="n">
        <v>45730</v>
      </c>
      <c r="C1894" s="1" t="n">
        <v>45844</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12386-2025</t>
        </is>
      </c>
      <c r="B1895" s="1" t="n">
        <v>45730</v>
      </c>
      <c r="C1895" s="1" t="n">
        <v>45844</v>
      </c>
      <c r="D1895" t="inlineStr">
        <is>
          <t>KALMAR LÄN</t>
        </is>
      </c>
      <c r="E1895" t="inlineStr">
        <is>
          <t>VÄSTERVIK</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12455-2025</t>
        </is>
      </c>
      <c r="B1896" s="1" t="n">
        <v>45730</v>
      </c>
      <c r="C1896" s="1" t="n">
        <v>45844</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13103-2025</t>
        </is>
      </c>
      <c r="B1897" s="1" t="n">
        <v>45734</v>
      </c>
      <c r="C1897" s="1" t="n">
        <v>45844</v>
      </c>
      <c r="D1897" t="inlineStr">
        <is>
          <t>KALMAR LÄN</t>
        </is>
      </c>
      <c r="E1897" t="inlineStr">
        <is>
          <t>VÄSTERVIK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13105-2025</t>
        </is>
      </c>
      <c r="B1898" s="1" t="n">
        <v>45734</v>
      </c>
      <c r="C1898" s="1" t="n">
        <v>45844</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13349-2025</t>
        </is>
      </c>
      <c r="B1899" s="1" t="n">
        <v>45735</v>
      </c>
      <c r="C1899" s="1" t="n">
        <v>45844</v>
      </c>
      <c r="D1899" t="inlineStr">
        <is>
          <t>KALMAR LÄN</t>
        </is>
      </c>
      <c r="E1899" t="inlineStr">
        <is>
          <t>VÄSTERVIK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13498-2025</t>
        </is>
      </c>
      <c r="B1900" s="1" t="n">
        <v>45736</v>
      </c>
      <c r="C1900" s="1" t="n">
        <v>45844</v>
      </c>
      <c r="D1900" t="inlineStr">
        <is>
          <t>KALMAR LÄN</t>
        </is>
      </c>
      <c r="E1900" t="inlineStr">
        <is>
          <t>VÄSTERVIK</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13618-2025</t>
        </is>
      </c>
      <c r="B1901" s="1" t="n">
        <v>45736</v>
      </c>
      <c r="C1901" s="1" t="n">
        <v>45844</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13957-2025</t>
        </is>
      </c>
      <c r="B1902" s="1" t="n">
        <v>45737</v>
      </c>
      <c r="C1902" s="1" t="n">
        <v>45844</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13958-2025</t>
        </is>
      </c>
      <c r="B1903" s="1" t="n">
        <v>45737</v>
      </c>
      <c r="C1903" s="1" t="n">
        <v>45844</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14071-2025</t>
        </is>
      </c>
      <c r="B1904" s="1" t="n">
        <v>45740</v>
      </c>
      <c r="C1904" s="1" t="n">
        <v>45844</v>
      </c>
      <c r="D1904" t="inlineStr">
        <is>
          <t>KALMAR LÄN</t>
        </is>
      </c>
      <c r="E1904" t="inlineStr">
        <is>
          <t>VÄSTERVIK</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14080-2025</t>
        </is>
      </c>
      <c r="B1905" s="1" t="n">
        <v>45740</v>
      </c>
      <c r="C1905" s="1" t="n">
        <v>45844</v>
      </c>
      <c r="D1905" t="inlineStr">
        <is>
          <t>KALMAR LÄN</t>
        </is>
      </c>
      <c r="E1905" t="inlineStr">
        <is>
          <t>VÄSTERVIK</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14092-2025</t>
        </is>
      </c>
      <c r="B1906" s="1" t="n">
        <v>45740</v>
      </c>
      <c r="C1906" s="1" t="n">
        <v>45844</v>
      </c>
      <c r="D1906" t="inlineStr">
        <is>
          <t>KALMAR LÄN</t>
        </is>
      </c>
      <c r="E1906" t="inlineStr">
        <is>
          <t>VÄSTERVIK</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14072-2025</t>
        </is>
      </c>
      <c r="B1907" s="1" t="n">
        <v>45740</v>
      </c>
      <c r="C1907" s="1" t="n">
        <v>45844</v>
      </c>
      <c r="D1907" t="inlineStr">
        <is>
          <t>KALMAR LÄN</t>
        </is>
      </c>
      <c r="E1907" t="inlineStr">
        <is>
          <t>VÄSTERVIK</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14105-2025</t>
        </is>
      </c>
      <c r="B1908" s="1" t="n">
        <v>45740</v>
      </c>
      <c r="C1908" s="1" t="n">
        <v>45844</v>
      </c>
      <c r="D1908" t="inlineStr">
        <is>
          <t>KALMAR LÄN</t>
        </is>
      </c>
      <c r="E1908" t="inlineStr">
        <is>
          <t>VÄSTERVIK</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14109-2025</t>
        </is>
      </c>
      <c r="B1909" s="1" t="n">
        <v>45740</v>
      </c>
      <c r="C1909" s="1" t="n">
        <v>45844</v>
      </c>
      <c r="D1909" t="inlineStr">
        <is>
          <t>KALMAR LÄN</t>
        </is>
      </c>
      <c r="E1909" t="inlineStr">
        <is>
          <t>VÄSTERVIK</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14055-2025</t>
        </is>
      </c>
      <c r="B1910" s="1" t="n">
        <v>45740</v>
      </c>
      <c r="C1910" s="1" t="n">
        <v>45844</v>
      </c>
      <c r="D1910" t="inlineStr">
        <is>
          <t>KALMAR LÄN</t>
        </is>
      </c>
      <c r="E1910" t="inlineStr">
        <is>
          <t>VÄSTERVIK</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14114-2025</t>
        </is>
      </c>
      <c r="B1911" s="1" t="n">
        <v>45740</v>
      </c>
      <c r="C1911" s="1" t="n">
        <v>45844</v>
      </c>
      <c r="D1911" t="inlineStr">
        <is>
          <t>KALMAR LÄN</t>
        </is>
      </c>
      <c r="E1911" t="inlineStr">
        <is>
          <t>VÄSTERVIK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14068-2025</t>
        </is>
      </c>
      <c r="B1912" s="1" t="n">
        <v>45740</v>
      </c>
      <c r="C1912" s="1" t="n">
        <v>45844</v>
      </c>
      <c r="D1912" t="inlineStr">
        <is>
          <t>KALMAR LÄN</t>
        </is>
      </c>
      <c r="E1912" t="inlineStr">
        <is>
          <t>VÄSTERVIK</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14075-2025</t>
        </is>
      </c>
      <c r="B1913" s="1" t="n">
        <v>45740</v>
      </c>
      <c r="C1913" s="1" t="n">
        <v>45844</v>
      </c>
      <c r="D1913" t="inlineStr">
        <is>
          <t>KALMAR LÄN</t>
        </is>
      </c>
      <c r="E1913" t="inlineStr">
        <is>
          <t>VÄSTERVIK</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14685-2025</t>
        </is>
      </c>
      <c r="B1914" s="1" t="n">
        <v>45742</v>
      </c>
      <c r="C1914" s="1" t="n">
        <v>45844</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14811-2025</t>
        </is>
      </c>
      <c r="B1915" s="1" t="n">
        <v>45743</v>
      </c>
      <c r="C1915" s="1" t="n">
        <v>45844</v>
      </c>
      <c r="D1915" t="inlineStr">
        <is>
          <t>KALMAR LÄN</t>
        </is>
      </c>
      <c r="E1915" t="inlineStr">
        <is>
          <t>VÄSTERVIK</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15021-2025</t>
        </is>
      </c>
      <c r="B1916" s="1" t="n">
        <v>45743</v>
      </c>
      <c r="C1916" s="1" t="n">
        <v>45844</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15451-2025</t>
        </is>
      </c>
      <c r="B1917" s="1" t="n">
        <v>45747</v>
      </c>
      <c r="C1917" s="1" t="n">
        <v>45844</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15444-2025</t>
        </is>
      </c>
      <c r="B1918" s="1" t="n">
        <v>45747</v>
      </c>
      <c r="C1918" s="1" t="n">
        <v>45844</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15440-2025</t>
        </is>
      </c>
      <c r="B1919" s="1" t="n">
        <v>45747</v>
      </c>
      <c r="C1919" s="1" t="n">
        <v>45844</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15379-2025</t>
        </is>
      </c>
      <c r="B1920" s="1" t="n">
        <v>45747</v>
      </c>
      <c r="C1920" s="1" t="n">
        <v>45844</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15524-2025</t>
        </is>
      </c>
      <c r="B1921" s="1" t="n">
        <v>45747</v>
      </c>
      <c r="C1921" s="1" t="n">
        <v>45844</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15851-2025</t>
        </is>
      </c>
      <c r="B1922" s="1" t="n">
        <v>45748</v>
      </c>
      <c r="C1922" s="1" t="n">
        <v>45844</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16080-2025</t>
        </is>
      </c>
      <c r="B1923" s="1" t="n">
        <v>45749</v>
      </c>
      <c r="C1923" s="1" t="n">
        <v>45844</v>
      </c>
      <c r="D1923" t="inlineStr">
        <is>
          <t>KALMAR LÄN</t>
        </is>
      </c>
      <c r="E1923" t="inlineStr">
        <is>
          <t>VÄSTERVIK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16841-2025</t>
        </is>
      </c>
      <c r="B1924" s="1" t="n">
        <v>45754</v>
      </c>
      <c r="C1924" s="1" t="n">
        <v>45844</v>
      </c>
      <c r="D1924" t="inlineStr">
        <is>
          <t>KALMAR LÄN</t>
        </is>
      </c>
      <c r="E1924" t="inlineStr">
        <is>
          <t>VÄSTERVIK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16790-2025</t>
        </is>
      </c>
      <c r="B1925" s="1" t="n">
        <v>45754</v>
      </c>
      <c r="C1925" s="1" t="n">
        <v>45844</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16848-2025</t>
        </is>
      </c>
      <c r="B1926" s="1" t="n">
        <v>45754</v>
      </c>
      <c r="C1926" s="1" t="n">
        <v>45844</v>
      </c>
      <c r="D1926" t="inlineStr">
        <is>
          <t>KALMAR LÄN</t>
        </is>
      </c>
      <c r="E1926" t="inlineStr">
        <is>
          <t>VÄSTERVIK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16686-2025</t>
        </is>
      </c>
      <c r="B1927" s="1" t="n">
        <v>45754</v>
      </c>
      <c r="C1927" s="1" t="n">
        <v>45844</v>
      </c>
      <c r="D1927" t="inlineStr">
        <is>
          <t>KALMAR LÄN</t>
        </is>
      </c>
      <c r="E1927" t="inlineStr">
        <is>
          <t>VÄSTERVIK</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16847-2025</t>
        </is>
      </c>
      <c r="B1928" s="1" t="n">
        <v>45754</v>
      </c>
      <c r="C1928" s="1" t="n">
        <v>45844</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16680-2025</t>
        </is>
      </c>
      <c r="B1929" s="1" t="n">
        <v>45754</v>
      </c>
      <c r="C1929" s="1" t="n">
        <v>45844</v>
      </c>
      <c r="D1929" t="inlineStr">
        <is>
          <t>KALMAR LÄN</t>
        </is>
      </c>
      <c r="E1929" t="inlineStr">
        <is>
          <t>VÄSTERVIK</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16683-2025</t>
        </is>
      </c>
      <c r="B1930" s="1" t="n">
        <v>45754</v>
      </c>
      <c r="C1930" s="1" t="n">
        <v>45844</v>
      </c>
      <c r="D1930" t="inlineStr">
        <is>
          <t>KALMAR LÄN</t>
        </is>
      </c>
      <c r="E1930" t="inlineStr">
        <is>
          <t>VÄSTERVIK</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16846-2025</t>
        </is>
      </c>
      <c r="B1931" s="1" t="n">
        <v>45754</v>
      </c>
      <c r="C1931" s="1" t="n">
        <v>45844</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16689-2025</t>
        </is>
      </c>
      <c r="B1932" s="1" t="n">
        <v>45754</v>
      </c>
      <c r="C1932" s="1" t="n">
        <v>45844</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16693-2025</t>
        </is>
      </c>
      <c r="B1933" s="1" t="n">
        <v>45754</v>
      </c>
      <c r="C1933" s="1" t="n">
        <v>45844</v>
      </c>
      <c r="D1933" t="inlineStr">
        <is>
          <t>KALMAR LÄN</t>
        </is>
      </c>
      <c r="E1933" t="inlineStr">
        <is>
          <t>VÄSTERVIK</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16691-2025</t>
        </is>
      </c>
      <c r="B1934" s="1" t="n">
        <v>45754</v>
      </c>
      <c r="C1934" s="1" t="n">
        <v>45844</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16692-2025</t>
        </is>
      </c>
      <c r="B1935" s="1" t="n">
        <v>45754</v>
      </c>
      <c r="C1935" s="1" t="n">
        <v>45844</v>
      </c>
      <c r="D1935" t="inlineStr">
        <is>
          <t>KALMAR LÄN</t>
        </is>
      </c>
      <c r="E1935" t="inlineStr">
        <is>
          <t>VÄSTERVIK</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16839-2025</t>
        </is>
      </c>
      <c r="B1936" s="1" t="n">
        <v>45754</v>
      </c>
      <c r="C1936" s="1" t="n">
        <v>45844</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17054-2025</t>
        </is>
      </c>
      <c r="B1937" s="1" t="n">
        <v>45755</v>
      </c>
      <c r="C1937" s="1" t="n">
        <v>45844</v>
      </c>
      <c r="D1937" t="inlineStr">
        <is>
          <t>KALMAR LÄN</t>
        </is>
      </c>
      <c r="E1937" t="inlineStr">
        <is>
          <t>VÄSTERVIK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17052-2025</t>
        </is>
      </c>
      <c r="B1938" s="1" t="n">
        <v>45755</v>
      </c>
      <c r="C1938" s="1" t="n">
        <v>45844</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18728-2025</t>
        </is>
      </c>
      <c r="B1939" s="1" t="n">
        <v>45763</v>
      </c>
      <c r="C1939" s="1" t="n">
        <v>45844</v>
      </c>
      <c r="D1939" t="inlineStr">
        <is>
          <t>KALMAR LÄN</t>
        </is>
      </c>
      <c r="E1939" t="inlineStr">
        <is>
          <t>VÄSTERVIK</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18880-2025</t>
        </is>
      </c>
      <c r="B1940" s="1" t="n">
        <v>45764</v>
      </c>
      <c r="C1940" s="1" t="n">
        <v>45844</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18884-2025</t>
        </is>
      </c>
      <c r="B1941" s="1" t="n">
        <v>45764</v>
      </c>
      <c r="C1941" s="1" t="n">
        <v>45844</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19608-2025</t>
        </is>
      </c>
      <c r="B1942" s="1" t="n">
        <v>45770</v>
      </c>
      <c r="C1942" s="1" t="n">
        <v>45844</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19950-2025</t>
        </is>
      </c>
      <c r="B1943" s="1" t="n">
        <v>45771</v>
      </c>
      <c r="C1943" s="1" t="n">
        <v>45844</v>
      </c>
      <c r="D1943" t="inlineStr">
        <is>
          <t>KALMAR LÄN</t>
        </is>
      </c>
      <c r="E1943" t="inlineStr">
        <is>
          <t>VÄSTERVIK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19694-2025</t>
        </is>
      </c>
      <c r="B1944" s="1" t="n">
        <v>45771</v>
      </c>
      <c r="C1944" s="1" t="n">
        <v>45844</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v>
      </c>
      <c r="C1945" s="1" t="n">
        <v>45844</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21015-2025</t>
        </is>
      </c>
      <c r="B1946" s="1" t="n">
        <v>45777</v>
      </c>
      <c r="C1946" s="1" t="n">
        <v>45844</v>
      </c>
      <c r="D1946" t="inlineStr">
        <is>
          <t>KALMAR LÄN</t>
        </is>
      </c>
      <c r="E1946" t="inlineStr">
        <is>
          <t>VÄSTERVIK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21503-2025</t>
        </is>
      </c>
      <c r="B1947" s="1" t="n">
        <v>45782</v>
      </c>
      <c r="C1947" s="1" t="n">
        <v>45844</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21657-2025</t>
        </is>
      </c>
      <c r="B1948" s="1" t="n">
        <v>45783</v>
      </c>
      <c r="C1948" s="1" t="n">
        <v>45844</v>
      </c>
      <c r="D1948" t="inlineStr">
        <is>
          <t>KALMAR LÄN</t>
        </is>
      </c>
      <c r="E1948" t="inlineStr">
        <is>
          <t>VÄSTERVIK</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21660-2025</t>
        </is>
      </c>
      <c r="B1949" s="1" t="n">
        <v>45783</v>
      </c>
      <c r="C1949" s="1" t="n">
        <v>45844</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21661-2025</t>
        </is>
      </c>
      <c r="B1950" s="1" t="n">
        <v>45783</v>
      </c>
      <c r="C1950" s="1" t="n">
        <v>45844</v>
      </c>
      <c r="D1950" t="inlineStr">
        <is>
          <t>KALMAR LÄN</t>
        </is>
      </c>
      <c r="E1950" t="inlineStr">
        <is>
          <t>VÄSTERVIK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21658-2025</t>
        </is>
      </c>
      <c r="B1951" s="1" t="n">
        <v>45783</v>
      </c>
      <c r="C1951" s="1" t="n">
        <v>45844</v>
      </c>
      <c r="D1951" t="inlineStr">
        <is>
          <t>KALMAR LÄN</t>
        </is>
      </c>
      <c r="E1951" t="inlineStr">
        <is>
          <t>VÄSTERVIK</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21991-2025</t>
        </is>
      </c>
      <c r="B1952" s="1" t="n">
        <v>45784</v>
      </c>
      <c r="C1952" s="1" t="n">
        <v>45844</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45844</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23042-2025</t>
        </is>
      </c>
      <c r="B1954" s="1" t="n">
        <v>45790</v>
      </c>
      <c r="C1954" s="1" t="n">
        <v>45844</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22891-2025</t>
        </is>
      </c>
      <c r="B1955" s="1" t="n">
        <v>45790</v>
      </c>
      <c r="C1955" s="1" t="n">
        <v>45844</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23022-2025</t>
        </is>
      </c>
      <c r="B1956" s="1" t="n">
        <v>45790</v>
      </c>
      <c r="C1956" s="1" t="n">
        <v>45844</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23024-2025</t>
        </is>
      </c>
      <c r="B1957" s="1" t="n">
        <v>45790</v>
      </c>
      <c r="C1957" s="1" t="n">
        <v>45844</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23033-2025</t>
        </is>
      </c>
      <c r="B1958" s="1" t="n">
        <v>45790</v>
      </c>
      <c r="C1958" s="1" t="n">
        <v>45844</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23148-2025</t>
        </is>
      </c>
      <c r="B1959" s="1" t="n">
        <v>45791</v>
      </c>
      <c r="C1959" s="1" t="n">
        <v>45844</v>
      </c>
      <c r="D1959" t="inlineStr">
        <is>
          <t>KALMAR LÄN</t>
        </is>
      </c>
      <c r="E1959" t="inlineStr">
        <is>
          <t>VÄSTERVIK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23706-2025</t>
        </is>
      </c>
      <c r="B1960" s="1" t="n">
        <v>45793</v>
      </c>
      <c r="C1960" s="1" t="n">
        <v>45844</v>
      </c>
      <c r="D1960" t="inlineStr">
        <is>
          <t>KALMAR LÄN</t>
        </is>
      </c>
      <c r="E1960" t="inlineStr">
        <is>
          <t>VÄSTERVIK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45844</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23739-2025</t>
        </is>
      </c>
      <c r="B1962" s="1" t="n">
        <v>45793</v>
      </c>
      <c r="C1962" s="1" t="n">
        <v>45844</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23745-2025</t>
        </is>
      </c>
      <c r="B1963" s="1" t="n">
        <v>45793</v>
      </c>
      <c r="C1963" s="1" t="n">
        <v>45844</v>
      </c>
      <c r="D1963" t="inlineStr">
        <is>
          <t>KALMAR LÄN</t>
        </is>
      </c>
      <c r="E1963" t="inlineStr">
        <is>
          <t>VÄSTERVIK</t>
        </is>
      </c>
      <c r="F1963" t="inlineStr">
        <is>
          <t>Holmen skog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24212-2025</t>
        </is>
      </c>
      <c r="B1964" s="1" t="n">
        <v>45797</v>
      </c>
      <c r="C1964" s="1" t="n">
        <v>45844</v>
      </c>
      <c r="D1964" t="inlineStr">
        <is>
          <t>KALMAR LÄN</t>
        </is>
      </c>
      <c r="E1964" t="inlineStr">
        <is>
          <t>VÄSTERVIK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24819-2025</t>
        </is>
      </c>
      <c r="B1965" s="1" t="n">
        <v>45799</v>
      </c>
      <c r="C1965" s="1" t="n">
        <v>45844</v>
      </c>
      <c r="D1965" t="inlineStr">
        <is>
          <t>KALMAR LÄN</t>
        </is>
      </c>
      <c r="E1965" t="inlineStr">
        <is>
          <t>VÄSTERVIK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45844</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25819-2025</t>
        </is>
      </c>
      <c r="B1967" s="1" t="n">
        <v>45804</v>
      </c>
      <c r="C1967" s="1" t="n">
        <v>45844</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45844</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45844</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45844</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26571-2025</t>
        </is>
      </c>
      <c r="B1971" s="1" t="n">
        <v>45807</v>
      </c>
      <c r="C1971" s="1" t="n">
        <v>45844</v>
      </c>
      <c r="D1971" t="inlineStr">
        <is>
          <t>KALMAR LÄN</t>
        </is>
      </c>
      <c r="E1971" t="inlineStr">
        <is>
          <t>VÄSTERVIK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26568-2025</t>
        </is>
      </c>
      <c r="B1972" s="1" t="n">
        <v>45807</v>
      </c>
      <c r="C1972" s="1" t="n">
        <v>45844</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26633-2025</t>
        </is>
      </c>
      <c r="B1973" s="1" t="n">
        <v>45810</v>
      </c>
      <c r="C1973" s="1" t="n">
        <v>45844</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27446-2025</t>
        </is>
      </c>
      <c r="B1974" s="1" t="n">
        <v>45813</v>
      </c>
      <c r="C1974" s="1" t="n">
        <v>45844</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27991-2025</t>
        </is>
      </c>
      <c r="B1975" s="1" t="n">
        <v>45817</v>
      </c>
      <c r="C1975" s="1" t="n">
        <v>45844</v>
      </c>
      <c r="D1975" t="inlineStr">
        <is>
          <t>KALMAR LÄN</t>
        </is>
      </c>
      <c r="E1975" t="inlineStr">
        <is>
          <t>VÄSTERVIK</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27974-2025</t>
        </is>
      </c>
      <c r="B1976" s="1" t="n">
        <v>45817</v>
      </c>
      <c r="C1976" s="1" t="n">
        <v>45844</v>
      </c>
      <c r="D1976" t="inlineStr">
        <is>
          <t>KALMAR LÄN</t>
        </is>
      </c>
      <c r="E1976" t="inlineStr">
        <is>
          <t>VÄSTERVIK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27978-2025</t>
        </is>
      </c>
      <c r="B1977" s="1" t="n">
        <v>45817</v>
      </c>
      <c r="C1977" s="1" t="n">
        <v>45844</v>
      </c>
      <c r="D1977" t="inlineStr">
        <is>
          <t>KALMAR LÄN</t>
        </is>
      </c>
      <c r="E1977" t="inlineStr">
        <is>
          <t>VÄSTERVIK</t>
        </is>
      </c>
      <c r="F1977" t="inlineStr">
        <is>
          <t>Sveaskog</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27980-2025</t>
        </is>
      </c>
      <c r="B1978" s="1" t="n">
        <v>45817</v>
      </c>
      <c r="C1978" s="1" t="n">
        <v>45844</v>
      </c>
      <c r="D1978" t="inlineStr">
        <is>
          <t>KALMAR LÄN</t>
        </is>
      </c>
      <c r="E1978" t="inlineStr">
        <is>
          <t>VÄSTERVIK</t>
        </is>
      </c>
      <c r="F1978" t="inlineStr">
        <is>
          <t>Sveaskog</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28096-2025</t>
        </is>
      </c>
      <c r="B1979" s="1" t="n">
        <v>45817</v>
      </c>
      <c r="C1979" s="1" t="n">
        <v>45844</v>
      </c>
      <c r="D1979" t="inlineStr">
        <is>
          <t>KALMAR LÄN</t>
        </is>
      </c>
      <c r="E1979" t="inlineStr">
        <is>
          <t>VÄSTERVIK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27982-2025</t>
        </is>
      </c>
      <c r="B1980" s="1" t="n">
        <v>45817</v>
      </c>
      <c r="C1980" s="1" t="n">
        <v>45844</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28098-2025</t>
        </is>
      </c>
      <c r="B1981" s="1" t="n">
        <v>45817</v>
      </c>
      <c r="C1981" s="1" t="n">
        <v>45844</v>
      </c>
      <c r="D1981" t="inlineStr">
        <is>
          <t>KALMAR LÄN</t>
        </is>
      </c>
      <c r="E1981" t="inlineStr">
        <is>
          <t>VÄSTERVIK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45844</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28203-2025</t>
        </is>
      </c>
      <c r="B1983" s="1" t="n">
        <v>45818</v>
      </c>
      <c r="C1983" s="1" t="n">
        <v>45844</v>
      </c>
      <c r="D1983" t="inlineStr">
        <is>
          <t>KALMAR LÄN</t>
        </is>
      </c>
      <c r="E1983" t="inlineStr">
        <is>
          <t>VÄSTERVIK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28696-2025</t>
        </is>
      </c>
      <c r="B1984" s="1" t="n">
        <v>45819</v>
      </c>
      <c r="C1984" s="1" t="n">
        <v>45844</v>
      </c>
      <c r="D1984" t="inlineStr">
        <is>
          <t>KALMAR LÄN</t>
        </is>
      </c>
      <c r="E1984" t="inlineStr">
        <is>
          <t>VÄSTERVIK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29678-2025</t>
        </is>
      </c>
      <c r="B1985" s="1" t="n">
        <v>45825</v>
      </c>
      <c r="C1985" s="1" t="n">
        <v>45844</v>
      </c>
      <c r="D1985" t="inlineStr">
        <is>
          <t>KALMAR LÄN</t>
        </is>
      </c>
      <c r="E1985" t="inlineStr">
        <is>
          <t>VÄSTERVIK</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29719-2025</t>
        </is>
      </c>
      <c r="B1986" s="1" t="n">
        <v>45825</v>
      </c>
      <c r="C1986" s="1" t="n">
        <v>45844</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29722-2025</t>
        </is>
      </c>
      <c r="B1987" s="1" t="n">
        <v>45825</v>
      </c>
      <c r="C1987" s="1" t="n">
        <v>45844</v>
      </c>
      <c r="D1987" t="inlineStr">
        <is>
          <t>KALMAR LÄN</t>
        </is>
      </c>
      <c r="E1987" t="inlineStr">
        <is>
          <t>VÄSTERVIK</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30644-2025</t>
        </is>
      </c>
      <c r="B1988" s="1" t="n">
        <v>45831</v>
      </c>
      <c r="C1988" s="1" t="n">
        <v>45844</v>
      </c>
      <c r="D1988" t="inlineStr">
        <is>
          <t>KALMAR LÄN</t>
        </is>
      </c>
      <c r="E1988" t="inlineStr">
        <is>
          <t>VÄSTERVIK</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30690-2025</t>
        </is>
      </c>
      <c r="B1989" s="1" t="n">
        <v>45831</v>
      </c>
      <c r="C1989" s="1" t="n">
        <v>45844</v>
      </c>
      <c r="D1989" t="inlineStr">
        <is>
          <t>KALMAR LÄN</t>
        </is>
      </c>
      <c r="E1989" t="inlineStr">
        <is>
          <t>VÄSTERVIK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30789-2025</t>
        </is>
      </c>
      <c r="B1990" s="1" t="n">
        <v>45831</v>
      </c>
      <c r="C1990" s="1" t="n">
        <v>45844</v>
      </c>
      <c r="D1990" t="inlineStr">
        <is>
          <t>KALMAR LÄN</t>
        </is>
      </c>
      <c r="E1990" t="inlineStr">
        <is>
          <t>VÄSTERVIK</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30811-2025</t>
        </is>
      </c>
      <c r="B1991" s="1" t="n">
        <v>45831</v>
      </c>
      <c r="C1991" s="1" t="n">
        <v>45844</v>
      </c>
      <c r="D1991" t="inlineStr">
        <is>
          <t>KALMAR LÄN</t>
        </is>
      </c>
      <c r="E1991" t="inlineStr">
        <is>
          <t>VÄSTERVIK</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30794-2025</t>
        </is>
      </c>
      <c r="B1992" s="1" t="n">
        <v>45831</v>
      </c>
      <c r="C1992" s="1" t="n">
        <v>45844</v>
      </c>
      <c r="D1992" t="inlineStr">
        <is>
          <t>KALMAR LÄN</t>
        </is>
      </c>
      <c r="E1992" t="inlineStr">
        <is>
          <t>VÄSTERVIK</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30800-2025</t>
        </is>
      </c>
      <c r="B1993" s="1" t="n">
        <v>45831</v>
      </c>
      <c r="C1993" s="1" t="n">
        <v>45844</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30648-2025</t>
        </is>
      </c>
      <c r="B1994" s="1" t="n">
        <v>45831</v>
      </c>
      <c r="C1994" s="1" t="n">
        <v>45844</v>
      </c>
      <c r="D1994" t="inlineStr">
        <is>
          <t>KALMAR LÄN</t>
        </is>
      </c>
      <c r="E1994" t="inlineStr">
        <is>
          <t>VÄSTERVIK</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31248-2025</t>
        </is>
      </c>
      <c r="B1995" s="1" t="n">
        <v>45832</v>
      </c>
      <c r="C1995" s="1" t="n">
        <v>45844</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31576-2025</t>
        </is>
      </c>
      <c r="B1996" s="1" t="n">
        <v>45833</v>
      </c>
      <c r="C1996" s="1" t="n">
        <v>45844</v>
      </c>
      <c r="D1996" t="inlineStr">
        <is>
          <t>KALMAR LÄN</t>
        </is>
      </c>
      <c r="E1996" t="inlineStr">
        <is>
          <t>VÄSTERVIK</t>
        </is>
      </c>
      <c r="F1996" t="inlineStr">
        <is>
          <t>Holmen skog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31600-2025</t>
        </is>
      </c>
      <c r="B1997" s="1" t="n">
        <v>45833</v>
      </c>
      <c r="C1997" s="1" t="n">
        <v>45844</v>
      </c>
      <c r="D1997" t="inlineStr">
        <is>
          <t>KALMAR LÄN</t>
        </is>
      </c>
      <c r="E1997" t="inlineStr">
        <is>
          <t>VÄSTERVIK</t>
        </is>
      </c>
      <c r="F1997" t="inlineStr">
        <is>
          <t>Holmen skog AB</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31419-2025</t>
        </is>
      </c>
      <c r="B1998" s="1" t="n">
        <v>45833</v>
      </c>
      <c r="C1998" s="1" t="n">
        <v>45844</v>
      </c>
      <c r="D1998" t="inlineStr">
        <is>
          <t>KALMAR LÄN</t>
        </is>
      </c>
      <c r="E1998" t="inlineStr">
        <is>
          <t>VÄSTERVIK</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31886-2025</t>
        </is>
      </c>
      <c r="B1999" s="1" t="n">
        <v>45834</v>
      </c>
      <c r="C1999" s="1" t="n">
        <v>45844</v>
      </c>
      <c r="D1999" t="inlineStr">
        <is>
          <t>KALMAR LÄN</t>
        </is>
      </c>
      <c r="E1999" t="inlineStr">
        <is>
          <t>VÄSTERVIK</t>
        </is>
      </c>
      <c r="F1999" t="inlineStr">
        <is>
          <t>Holmen skog AB</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31854-2025</t>
        </is>
      </c>
      <c r="B2000" s="1" t="n">
        <v>45834</v>
      </c>
      <c r="C2000" s="1" t="n">
        <v>45844</v>
      </c>
      <c r="D2000" t="inlineStr">
        <is>
          <t>KALMAR LÄN</t>
        </is>
      </c>
      <c r="E2000" t="inlineStr">
        <is>
          <t>VÄSTERVIK</t>
        </is>
      </c>
      <c r="F2000" t="inlineStr">
        <is>
          <t>Holmen skog AB</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31857-2025</t>
        </is>
      </c>
      <c r="B2001" s="1" t="n">
        <v>45834</v>
      </c>
      <c r="C2001" s="1" t="n">
        <v>45844</v>
      </c>
      <c r="D2001" t="inlineStr">
        <is>
          <t>KALMAR LÄN</t>
        </is>
      </c>
      <c r="E2001" t="inlineStr">
        <is>
          <t>VÄSTERVIK</t>
        </is>
      </c>
      <c r="F2001" t="inlineStr">
        <is>
          <t>Holmen skog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31826-2025</t>
        </is>
      </c>
      <c r="B2002" s="1" t="n">
        <v>45834</v>
      </c>
      <c r="C2002" s="1" t="n">
        <v>45844</v>
      </c>
      <c r="D2002" t="inlineStr">
        <is>
          <t>KALMAR LÄN</t>
        </is>
      </c>
      <c r="E2002" t="inlineStr">
        <is>
          <t>VÄSTERVIK</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31843-2025</t>
        </is>
      </c>
      <c r="B2003" s="1" t="n">
        <v>45834</v>
      </c>
      <c r="C2003" s="1" t="n">
        <v>45844</v>
      </c>
      <c r="D2003" t="inlineStr">
        <is>
          <t>KALMAR LÄN</t>
        </is>
      </c>
      <c r="E2003" t="inlineStr">
        <is>
          <t>VÄSTERVIK</t>
        </is>
      </c>
      <c r="F2003" t="inlineStr">
        <is>
          <t>Holmen skog AB</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32018-2025</t>
        </is>
      </c>
      <c r="B2004" s="1" t="n">
        <v>45835</v>
      </c>
      <c r="C2004" s="1" t="n">
        <v>45844</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32495-2025</t>
        </is>
      </c>
      <c r="B2005" s="1" t="n">
        <v>45838</v>
      </c>
      <c r="C2005" s="1" t="n">
        <v>45844</v>
      </c>
      <c r="D2005" t="inlineStr">
        <is>
          <t>KALMAR LÄN</t>
        </is>
      </c>
      <c r="E2005" t="inlineStr">
        <is>
          <t>VÄSTERVIK</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32400-2025</t>
        </is>
      </c>
      <c r="B2006" s="1" t="n">
        <v>45838</v>
      </c>
      <c r="C2006" s="1" t="n">
        <v>45844</v>
      </c>
      <c r="D2006" t="inlineStr">
        <is>
          <t>KALMAR LÄN</t>
        </is>
      </c>
      <c r="E2006" t="inlineStr">
        <is>
          <t>VÄSTERVIK</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32778-2025</t>
        </is>
      </c>
      <c r="B2007" s="1" t="n">
        <v>45839</v>
      </c>
      <c r="C2007" s="1" t="n">
        <v>45844</v>
      </c>
      <c r="D2007" t="inlineStr">
        <is>
          <t>KALMAR LÄN</t>
        </is>
      </c>
      <c r="E2007" t="inlineStr">
        <is>
          <t>VÄSTERVIK</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33184-2025</t>
        </is>
      </c>
      <c r="B2008" s="1" t="n">
        <v>45840</v>
      </c>
      <c r="C2008" s="1" t="n">
        <v>45844</v>
      </c>
      <c r="D2008" t="inlineStr">
        <is>
          <t>KALMAR LÄN</t>
        </is>
      </c>
      <c r="E2008" t="inlineStr">
        <is>
          <t>VÄSTERVIK</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33691-2025</t>
        </is>
      </c>
      <c r="B2009" s="1" t="n">
        <v>45841</v>
      </c>
      <c r="C2009" s="1" t="n">
        <v>45844</v>
      </c>
      <c r="D2009" t="inlineStr">
        <is>
          <t>KALMAR LÄN</t>
        </is>
      </c>
      <c r="E2009" t="inlineStr">
        <is>
          <t>VÄSTERVIK</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33687-2025</t>
        </is>
      </c>
      <c r="B2010" s="1" t="n">
        <v>45841</v>
      </c>
      <c r="C2010" s="1" t="n">
        <v>45844</v>
      </c>
      <c r="D2010" t="inlineStr">
        <is>
          <t>KALMAR LÄN</t>
        </is>
      </c>
      <c r="E2010" t="inlineStr">
        <is>
          <t>VÄSTERVIK</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33903-2025</t>
        </is>
      </c>
      <c r="B2011" s="1" t="n">
        <v>45842</v>
      </c>
      <c r="C2011" s="1" t="n">
        <v>45844</v>
      </c>
      <c r="D2011" t="inlineStr">
        <is>
          <t>KALMAR LÄN</t>
        </is>
      </c>
      <c r="E2011" t="inlineStr">
        <is>
          <t>VÄSTERVIK</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33907-2025</t>
        </is>
      </c>
      <c r="B2012" s="1" t="n">
        <v>45842</v>
      </c>
      <c r="C2012" s="1" t="n">
        <v>45844</v>
      </c>
      <c r="D2012" t="inlineStr">
        <is>
          <t>KALMAR LÄN</t>
        </is>
      </c>
      <c r="E2012" t="inlineStr">
        <is>
          <t>VÄSTERVIK</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33924-2025</t>
        </is>
      </c>
      <c r="B2013" s="1" t="n">
        <v>45842</v>
      </c>
      <c r="C2013" s="1" t="n">
        <v>45844</v>
      </c>
      <c r="D2013" t="inlineStr">
        <is>
          <t>KALMAR LÄN</t>
        </is>
      </c>
      <c r="E2013" t="inlineStr">
        <is>
          <t>VÄSTERVIK</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33916-2025</t>
        </is>
      </c>
      <c r="B2014" s="1" t="n">
        <v>45842</v>
      </c>
      <c r="C2014" s="1" t="n">
        <v>45844</v>
      </c>
      <c r="D2014" t="inlineStr">
        <is>
          <t>KALMAR LÄN</t>
        </is>
      </c>
      <c r="E2014" t="inlineStr">
        <is>
          <t>VÄSTERVIK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33836-2025</t>
        </is>
      </c>
      <c r="B2015" s="1" t="n">
        <v>45842</v>
      </c>
      <c r="C2015" s="1" t="n">
        <v>45844</v>
      </c>
      <c r="D2015" t="inlineStr">
        <is>
          <t>KALMAR LÄN</t>
        </is>
      </c>
      <c r="E2015" t="inlineStr">
        <is>
          <t>VÄSTERVIK</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33922-2025</t>
        </is>
      </c>
      <c r="B2016" s="1" t="n">
        <v>45842</v>
      </c>
      <c r="C2016" s="1" t="n">
        <v>45844</v>
      </c>
      <c r="D2016" t="inlineStr">
        <is>
          <t>KALMAR LÄN</t>
        </is>
      </c>
      <c r="E2016" t="inlineStr">
        <is>
          <t>VÄSTERVIK</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33928-2025</t>
        </is>
      </c>
      <c r="B2017" s="1" t="n">
        <v>45842</v>
      </c>
      <c r="C2017" s="1" t="n">
        <v>45844</v>
      </c>
      <c r="D2017" t="inlineStr">
        <is>
          <t>KALMAR LÄN</t>
        </is>
      </c>
      <c r="E2017" t="inlineStr">
        <is>
          <t>VÄSTERVIK</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33842-2025</t>
        </is>
      </c>
      <c r="B2018" s="1" t="n">
        <v>45842</v>
      </c>
      <c r="C2018" s="1" t="n">
        <v>45844</v>
      </c>
      <c r="D2018" t="inlineStr">
        <is>
          <t>KALMAR LÄN</t>
        </is>
      </c>
      <c r="E2018" t="inlineStr">
        <is>
          <t>VÄSTERVIK</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33931-2025</t>
        </is>
      </c>
      <c r="B2019" s="1" t="n">
        <v>45842</v>
      </c>
      <c r="C2019" s="1" t="n">
        <v>45844</v>
      </c>
      <c r="D2019" t="inlineStr">
        <is>
          <t>KALMAR LÄN</t>
        </is>
      </c>
      <c r="E2019" t="inlineStr">
        <is>
          <t>VÄSTERVIK</t>
        </is>
      </c>
      <c r="G2019" t="n">
        <v>1.6</v>
      </c>
      <c r="H2019" t="n">
        <v>0</v>
      </c>
      <c r="I2019" t="n">
        <v>0</v>
      </c>
      <c r="J2019" t="n">
        <v>0</v>
      </c>
      <c r="K2019" t="n">
        <v>0</v>
      </c>
      <c r="L2019" t="n">
        <v>0</v>
      </c>
      <c r="M2019" t="n">
        <v>0</v>
      </c>
      <c r="N2019" t="n">
        <v>0</v>
      </c>
      <c r="O2019" t="n">
        <v>0</v>
      </c>
      <c r="P2019" t="n">
        <v>0</v>
      </c>
      <c r="Q2019" t="n">
        <v>0</v>
      </c>
      <c r="R2019" s="2" t="inlineStr"/>
    </row>
    <row r="2020">
      <c r="A2020" t="inlineStr">
        <is>
          <t>A 33921-2025</t>
        </is>
      </c>
      <c r="B2020" s="1" t="n">
        <v>45842</v>
      </c>
      <c r="C2020" s="1" t="n">
        <v>45844</v>
      </c>
      <c r="D2020" t="inlineStr">
        <is>
          <t>KALMAR LÄN</t>
        </is>
      </c>
      <c r="E2020" t="inlineStr">
        <is>
          <t>VÄSTERVIK</t>
        </is>
      </c>
      <c r="G2020" t="n">
        <v>0.8</v>
      </c>
      <c r="H2020" t="n">
        <v>0</v>
      </c>
      <c r="I2020" t="n">
        <v>0</v>
      </c>
      <c r="J2020" t="n">
        <v>0</v>
      </c>
      <c r="K2020" t="n">
        <v>0</v>
      </c>
      <c r="L2020" t="n">
        <v>0</v>
      </c>
      <c r="M2020" t="n">
        <v>0</v>
      </c>
      <c r="N2020" t="n">
        <v>0</v>
      </c>
      <c r="O2020" t="n">
        <v>0</v>
      </c>
      <c r="P2020" t="n">
        <v>0</v>
      </c>
      <c r="Q2020" t="n">
        <v>0</v>
      </c>
      <c r="R2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2025-07-06T19:30:10Z</dcterms:created>
  <dcterms:modified xmlns:dcterms="http://purl.org/dc/terms/" xmlns:xsi="http://www.w3.org/2001/XMLSchema-instance" xsi:type="dcterms:W3CDTF">2025-07-06T19:30:12Z</dcterms:modified>
</cp:coreProperties>
</file>