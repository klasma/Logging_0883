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45971</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45971</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45971</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45971</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45971</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45971</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45971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45971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45971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45971</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45971</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45971</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35134-2024</t>
        </is>
      </c>
      <c r="B17" s="1" t="n">
        <v>45530</v>
      </c>
      <c r="C17" s="1" t="n">
        <v>45971</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56737-2023</t>
        </is>
      </c>
      <c r="B18" s="1" t="n">
        <v>45244</v>
      </c>
      <c r="C18" s="1" t="n">
        <v>45971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20094-2024</t>
        </is>
      </c>
      <c r="B19" s="1" t="n">
        <v>45434</v>
      </c>
      <c r="C19" s="1" t="n">
        <v>45971</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45971</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45971</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45971</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42888-2025</t>
        </is>
      </c>
      <c r="B23" s="1" t="n">
        <v>45908.65443287037</v>
      </c>
      <c r="C23" s="1" t="n">
        <v>45971</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26281-2024</t>
        </is>
      </c>
      <c r="B24" s="1" t="n">
        <v>45468</v>
      </c>
      <c r="C24" s="1" t="n">
        <v>45971</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1773-2025</t>
        </is>
      </c>
      <c r="B25" s="1" t="n">
        <v>45671</v>
      </c>
      <c r="C25" s="1" t="n">
        <v>45971</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51597-2024</t>
        </is>
      </c>
      <c r="B26" s="1" t="n">
        <v>45604</v>
      </c>
      <c r="C26" s="1" t="n">
        <v>45971</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48739-2025</t>
        </is>
      </c>
      <c r="B27" s="1" t="n">
        <v>45936.67719907407</v>
      </c>
      <c r="C27" s="1" t="n">
        <v>45971</v>
      </c>
      <c r="D27" t="inlineStr">
        <is>
          <t>KALMAR LÄN</t>
        </is>
      </c>
      <c r="E27" t="inlineStr">
        <is>
          <t>VÄSTERVIK</t>
        </is>
      </c>
      <c r="G27" t="n">
        <v>5.6</v>
      </c>
      <c r="H27" t="n">
        <v>4</v>
      </c>
      <c r="I27" t="n">
        <v>2</v>
      </c>
      <c r="J27" t="n">
        <v>2</v>
      </c>
      <c r="K27" t="n">
        <v>1</v>
      </c>
      <c r="L27" t="n">
        <v>0</v>
      </c>
      <c r="M27" t="n">
        <v>0</v>
      </c>
      <c r="N27" t="n">
        <v>0</v>
      </c>
      <c r="O27" t="n">
        <v>3</v>
      </c>
      <c r="P27" t="n">
        <v>1</v>
      </c>
      <c r="Q27" t="n">
        <v>7</v>
      </c>
      <c r="R27" s="2" t="inlineStr">
        <is>
          <t>Knärot
Motaggsvamp
Spillkråka
Blomkålssvamp
Dropptaggsvamp
Kungsfågel
Mattlummer</t>
        </is>
      </c>
      <c r="S27">
        <f>HYPERLINK("https://klasma.github.io/Logging_0883/artfynd/A 48739-2025 artfynd.xlsx", "A 48739-2025")</f>
        <v/>
      </c>
      <c r="T27">
        <f>HYPERLINK("https://klasma.github.io/Logging_0883/kartor/A 48739-2025 karta.png", "A 48739-2025")</f>
        <v/>
      </c>
      <c r="U27">
        <f>HYPERLINK("https://klasma.github.io/Logging_0883/knärot/A 48739-2025 karta knärot.png", "A 48739-2025")</f>
        <v/>
      </c>
      <c r="V27">
        <f>HYPERLINK("https://klasma.github.io/Logging_0883/klagomål/A 48739-2025 FSC-klagomål.docx", "A 48739-2025")</f>
        <v/>
      </c>
      <c r="W27">
        <f>HYPERLINK("https://klasma.github.io/Logging_0883/klagomålsmail/A 48739-2025 FSC-klagomål mail.docx", "A 48739-2025")</f>
        <v/>
      </c>
      <c r="X27">
        <f>HYPERLINK("https://klasma.github.io/Logging_0883/tillsyn/A 48739-2025 tillsynsbegäran.docx", "A 48739-2025")</f>
        <v/>
      </c>
      <c r="Y27">
        <f>HYPERLINK("https://klasma.github.io/Logging_0883/tillsynsmail/A 48739-2025 tillsynsbegäran mail.docx", "A 48739-2025")</f>
        <v/>
      </c>
      <c r="Z27">
        <f>HYPERLINK("https://klasma.github.io/Logging_0883/fåglar/A 48739-2025 prioriterade fågelarter.docx", "A 48739-2025")</f>
        <v/>
      </c>
    </row>
    <row r="28" ht="15" customHeight="1">
      <c r="A28" t="inlineStr">
        <is>
          <t>A 63850-2021</t>
        </is>
      </c>
      <c r="B28" s="1" t="n">
        <v>44505</v>
      </c>
      <c r="C28" s="1" t="n">
        <v>45971</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45971</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45971</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26574-2025</t>
        </is>
      </c>
      <c r="B31" s="1" t="n">
        <v>45807.68491898148</v>
      </c>
      <c r="C31" s="1" t="n">
        <v>45971</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4397-2025</t>
        </is>
      </c>
      <c r="B32" s="1" t="n">
        <v>45686</v>
      </c>
      <c r="C32" s="1" t="n">
        <v>45971</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45971</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45971</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34624-2022</t>
        </is>
      </c>
      <c r="B35" s="1" t="n">
        <v>44795</v>
      </c>
      <c r="C35" s="1" t="n">
        <v>45971</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34638-2025</t>
        </is>
      </c>
      <c r="B36" s="1" t="n">
        <v>45848.30584490741</v>
      </c>
      <c r="C36" s="1" t="n">
        <v>45971</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45971</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45971</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45971</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27379-2024</t>
        </is>
      </c>
      <c r="B40" s="1" t="n">
        <v>45473</v>
      </c>
      <c r="C40" s="1" t="n">
        <v>45971</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5922-2024</t>
        </is>
      </c>
      <c r="B41" s="1" t="n">
        <v>45335</v>
      </c>
      <c r="C41" s="1" t="n">
        <v>45971</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11740-2023</t>
        </is>
      </c>
      <c r="B42" s="1" t="n">
        <v>44994</v>
      </c>
      <c r="C42" s="1" t="n">
        <v>45971</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45971</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47774-2025</t>
        </is>
      </c>
      <c r="B44" s="1" t="n">
        <v>45931.72415509259</v>
      </c>
      <c r="C44" s="1" t="n">
        <v>45971</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55286-2023</t>
        </is>
      </c>
      <c r="B45" s="1" t="n">
        <v>45237</v>
      </c>
      <c r="C45" s="1" t="n">
        <v>45971</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974-2023</t>
        </is>
      </c>
      <c r="B46" s="1" t="n">
        <v>44935</v>
      </c>
      <c r="C46" s="1" t="n">
        <v>45971</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50650-2025</t>
        </is>
      </c>
      <c r="B47" s="1" t="n">
        <v>45945.66226851852</v>
      </c>
      <c r="C47" s="1" t="n">
        <v>45971</v>
      </c>
      <c r="D47" t="inlineStr">
        <is>
          <t>KALMAR LÄN</t>
        </is>
      </c>
      <c r="E47" t="inlineStr">
        <is>
          <t>VÄSTERVIK</t>
        </is>
      </c>
      <c r="G47" t="n">
        <v>2.4</v>
      </c>
      <c r="H47" t="n">
        <v>2</v>
      </c>
      <c r="I47" t="n">
        <v>2</v>
      </c>
      <c r="J47" t="n">
        <v>3</v>
      </c>
      <c r="K47" t="n">
        <v>1</v>
      </c>
      <c r="L47" t="n">
        <v>0</v>
      </c>
      <c r="M47" t="n">
        <v>0</v>
      </c>
      <c r="N47" t="n">
        <v>0</v>
      </c>
      <c r="O47" t="n">
        <v>4</v>
      </c>
      <c r="P47" t="n">
        <v>1</v>
      </c>
      <c r="Q47" t="n">
        <v>6</v>
      </c>
      <c r="R47" s="2" t="inlineStr">
        <is>
          <t>Knärot
Ekticka
Tallticka
Talltita
Blåmossa
Grönpyrola</t>
        </is>
      </c>
      <c r="S47">
        <f>HYPERLINK("https://klasma.github.io/Logging_0883/artfynd/A 50650-2025 artfynd.xlsx", "A 50650-2025")</f>
        <v/>
      </c>
      <c r="T47">
        <f>HYPERLINK("https://klasma.github.io/Logging_0883/kartor/A 50650-2025 karta.png", "A 50650-2025")</f>
        <v/>
      </c>
      <c r="U47">
        <f>HYPERLINK("https://klasma.github.io/Logging_0883/knärot/A 50650-2025 karta knärot.png", "A 50650-2025")</f>
        <v/>
      </c>
      <c r="V47">
        <f>HYPERLINK("https://klasma.github.io/Logging_0883/klagomål/A 50650-2025 FSC-klagomål.docx", "A 50650-2025")</f>
        <v/>
      </c>
      <c r="W47">
        <f>HYPERLINK("https://klasma.github.io/Logging_0883/klagomålsmail/A 50650-2025 FSC-klagomål mail.docx", "A 50650-2025")</f>
        <v/>
      </c>
      <c r="X47">
        <f>HYPERLINK("https://klasma.github.io/Logging_0883/tillsyn/A 50650-2025 tillsynsbegäran.docx", "A 50650-2025")</f>
        <v/>
      </c>
      <c r="Y47">
        <f>HYPERLINK("https://klasma.github.io/Logging_0883/tillsynsmail/A 50650-2025 tillsynsbegäran mail.docx", "A 50650-2025")</f>
        <v/>
      </c>
      <c r="Z47">
        <f>HYPERLINK("https://klasma.github.io/Logging_0883/fåglar/A 50650-2025 prioriterade fågelarter.docx", "A 50650-2025")</f>
        <v/>
      </c>
    </row>
    <row r="48" ht="15" customHeight="1">
      <c r="A48" t="inlineStr">
        <is>
          <t>A 51234-2025</t>
        </is>
      </c>
      <c r="B48" s="1" t="n">
        <v>45947.6834837963</v>
      </c>
      <c r="C48" s="1" t="n">
        <v>45971</v>
      </c>
      <c r="D48" t="inlineStr">
        <is>
          <t>KALMAR LÄN</t>
        </is>
      </c>
      <c r="E48" t="inlineStr">
        <is>
          <t>VÄSTERVIK</t>
        </is>
      </c>
      <c r="G48" t="n">
        <v>11.7</v>
      </c>
      <c r="H48" t="n">
        <v>5</v>
      </c>
      <c r="I48" t="n">
        <v>1</v>
      </c>
      <c r="J48" t="n">
        <v>2</v>
      </c>
      <c r="K48" t="n">
        <v>1</v>
      </c>
      <c r="L48" t="n">
        <v>0</v>
      </c>
      <c r="M48" t="n">
        <v>0</v>
      </c>
      <c r="N48" t="n">
        <v>0</v>
      </c>
      <c r="O48" t="n">
        <v>3</v>
      </c>
      <c r="P48" t="n">
        <v>1</v>
      </c>
      <c r="Q48" t="n">
        <v>6</v>
      </c>
      <c r="R48" s="2" t="inlineStr">
        <is>
          <t>Knärot
Spillkråka
Talltita
Murgröna
Kungsfågel
Blåsippa</t>
        </is>
      </c>
      <c r="S48">
        <f>HYPERLINK("https://klasma.github.io/Logging_0883/artfynd/A 51234-2025 artfynd.xlsx", "A 51234-2025")</f>
        <v/>
      </c>
      <c r="T48">
        <f>HYPERLINK("https://klasma.github.io/Logging_0883/kartor/A 51234-2025 karta.png", "A 51234-2025")</f>
        <v/>
      </c>
      <c r="U48">
        <f>HYPERLINK("https://klasma.github.io/Logging_0883/knärot/A 51234-2025 karta knärot.png", "A 51234-2025")</f>
        <v/>
      </c>
      <c r="V48">
        <f>HYPERLINK("https://klasma.github.io/Logging_0883/klagomål/A 51234-2025 FSC-klagomål.docx", "A 51234-2025")</f>
        <v/>
      </c>
      <c r="W48">
        <f>HYPERLINK("https://klasma.github.io/Logging_0883/klagomålsmail/A 51234-2025 FSC-klagomål mail.docx", "A 51234-2025")</f>
        <v/>
      </c>
      <c r="X48">
        <f>HYPERLINK("https://klasma.github.io/Logging_0883/tillsyn/A 51234-2025 tillsynsbegäran.docx", "A 51234-2025")</f>
        <v/>
      </c>
      <c r="Y48">
        <f>HYPERLINK("https://klasma.github.io/Logging_0883/tillsynsmail/A 51234-2025 tillsynsbegäran mail.docx", "A 51234-2025")</f>
        <v/>
      </c>
      <c r="Z48">
        <f>HYPERLINK("https://klasma.github.io/Logging_0883/fåglar/A 51234-2025 prioriterade fågelarter.docx", "A 51234-2025")</f>
        <v/>
      </c>
    </row>
    <row r="49" ht="15" customHeight="1">
      <c r="A49" t="inlineStr">
        <is>
          <t>A 5067-2025</t>
        </is>
      </c>
      <c r="B49" s="1" t="n">
        <v>45691</v>
      </c>
      <c r="C49" s="1" t="n">
        <v>45971</v>
      </c>
      <c r="D49" t="inlineStr">
        <is>
          <t>KALMAR LÄN</t>
        </is>
      </c>
      <c r="E49" t="inlineStr">
        <is>
          <t>VÄSTERVIK</t>
        </is>
      </c>
      <c r="F49" t="inlineStr">
        <is>
          <t>Holmen skog AB</t>
        </is>
      </c>
      <c r="G49" t="n">
        <v>3.1</v>
      </c>
      <c r="H49" t="n">
        <v>4</v>
      </c>
      <c r="I49" t="n">
        <v>1</v>
      </c>
      <c r="J49" t="n">
        <v>3</v>
      </c>
      <c r="K49" t="n">
        <v>0</v>
      </c>
      <c r="L49" t="n">
        <v>0</v>
      </c>
      <c r="M49" t="n">
        <v>0</v>
      </c>
      <c r="N49" t="n">
        <v>0</v>
      </c>
      <c r="O49" t="n">
        <v>3</v>
      </c>
      <c r="P49" t="n">
        <v>0</v>
      </c>
      <c r="Q49" t="n">
        <v>6</v>
      </c>
      <c r="R49" s="2" t="inlineStr">
        <is>
          <t>Orange taggsvamp
Spillkråka
Talltita
Dropptaggsvamp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4456-2025</t>
        </is>
      </c>
      <c r="B50" s="1" t="n">
        <v>45686</v>
      </c>
      <c r="C50" s="1" t="n">
        <v>45971</v>
      </c>
      <c r="D50" t="inlineStr">
        <is>
          <t>KALMAR LÄN</t>
        </is>
      </c>
      <c r="E50" t="inlineStr">
        <is>
          <t>VÄSTERVIK</t>
        </is>
      </c>
      <c r="G50" t="n">
        <v>1.3</v>
      </c>
      <c r="H50" t="n">
        <v>2</v>
      </c>
      <c r="I50" t="n">
        <v>2</v>
      </c>
      <c r="J50" t="n">
        <v>3</v>
      </c>
      <c r="K50" t="n">
        <v>1</v>
      </c>
      <c r="L50" t="n">
        <v>0</v>
      </c>
      <c r="M50" t="n">
        <v>0</v>
      </c>
      <c r="N50" t="n">
        <v>0</v>
      </c>
      <c r="O50" t="n">
        <v>4</v>
      </c>
      <c r="P50" t="n">
        <v>1</v>
      </c>
      <c r="Q50" t="n">
        <v>6</v>
      </c>
      <c r="R50" s="2" t="inlineStr">
        <is>
          <t>Knärot
Spillkråka
Tallticka
Ullticka
Grovticka
Grönpyrola</t>
        </is>
      </c>
      <c r="S50">
        <f>HYPERLINK("https://klasma.github.io/Logging_0883/artfynd/A 4456-2025 artfynd.xlsx", "A 4456-2025")</f>
        <v/>
      </c>
      <c r="T50">
        <f>HYPERLINK("https://klasma.github.io/Logging_0883/kartor/A 4456-2025 karta.png", "A 4456-2025")</f>
        <v/>
      </c>
      <c r="U50">
        <f>HYPERLINK("https://klasma.github.io/Logging_0883/knärot/A 4456-2025 karta knärot.png", "A 4456-2025")</f>
        <v/>
      </c>
      <c r="V50">
        <f>HYPERLINK("https://klasma.github.io/Logging_0883/klagomål/A 4456-2025 FSC-klagomål.docx", "A 4456-2025")</f>
        <v/>
      </c>
      <c r="W50">
        <f>HYPERLINK("https://klasma.github.io/Logging_0883/klagomålsmail/A 4456-2025 FSC-klagomål mail.docx", "A 4456-2025")</f>
        <v/>
      </c>
      <c r="X50">
        <f>HYPERLINK("https://klasma.github.io/Logging_0883/tillsyn/A 4456-2025 tillsynsbegäran.docx", "A 4456-2025")</f>
        <v/>
      </c>
      <c r="Y50">
        <f>HYPERLINK("https://klasma.github.io/Logging_0883/tillsynsmail/A 4456-2025 tillsynsbegäran mail.docx", "A 4456-2025")</f>
        <v/>
      </c>
      <c r="Z50">
        <f>HYPERLINK("https://klasma.github.io/Logging_0883/fåglar/A 4456-2025 prioriterade fågelarter.docx", "A 4456-2025")</f>
        <v/>
      </c>
    </row>
    <row r="51" ht="15" customHeight="1">
      <c r="A51" t="inlineStr">
        <is>
          <t>A 34642-2025</t>
        </is>
      </c>
      <c r="B51" s="1" t="n">
        <v>45848.32703703704</v>
      </c>
      <c r="C51" s="1" t="n">
        <v>45971</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45971</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2806-2025</t>
        </is>
      </c>
      <c r="B53" s="1" t="n">
        <v>45677</v>
      </c>
      <c r="C53" s="1" t="n">
        <v>45971</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27380-2024</t>
        </is>
      </c>
      <c r="B54" s="1" t="n">
        <v>45473</v>
      </c>
      <c r="C54" s="1" t="n">
        <v>45971</v>
      </c>
      <c r="D54" t="inlineStr">
        <is>
          <t>KALMAR LÄN</t>
        </is>
      </c>
      <c r="E54" t="inlineStr">
        <is>
          <t>VÄSTERVIK</t>
        </is>
      </c>
      <c r="G54" t="n">
        <v>1.4</v>
      </c>
      <c r="H54" t="n">
        <v>2</v>
      </c>
      <c r="I54" t="n">
        <v>2</v>
      </c>
      <c r="J54" t="n">
        <v>2</v>
      </c>
      <c r="K54" t="n">
        <v>1</v>
      </c>
      <c r="L54" t="n">
        <v>0</v>
      </c>
      <c r="M54" t="n">
        <v>0</v>
      </c>
      <c r="N54" t="n">
        <v>0</v>
      </c>
      <c r="O54" t="n">
        <v>3</v>
      </c>
      <c r="P54" t="n">
        <v>1</v>
      </c>
      <c r="Q54" t="n">
        <v>5</v>
      </c>
      <c r="R54" s="2" t="inlineStr">
        <is>
          <t>Knärot
Tallticka
Talltita
Dropptaggsvamp
Zontaggsvamp</t>
        </is>
      </c>
      <c r="S54">
        <f>HYPERLINK("https://klasma.github.io/Logging_0883/artfynd/A 27380-2024 artfynd.xlsx", "A 27380-2024")</f>
        <v/>
      </c>
      <c r="T54">
        <f>HYPERLINK("https://klasma.github.io/Logging_0883/kartor/A 27380-2024 karta.png", "A 27380-2024")</f>
        <v/>
      </c>
      <c r="U54">
        <f>HYPERLINK("https://klasma.github.io/Logging_0883/knärot/A 27380-2024 karta knärot.png", "A 27380-2024")</f>
        <v/>
      </c>
      <c r="V54">
        <f>HYPERLINK("https://klasma.github.io/Logging_0883/klagomål/A 27380-2024 FSC-klagomål.docx", "A 27380-2024")</f>
        <v/>
      </c>
      <c r="W54">
        <f>HYPERLINK("https://klasma.github.io/Logging_0883/klagomålsmail/A 27380-2024 FSC-klagomål mail.docx", "A 27380-2024")</f>
        <v/>
      </c>
      <c r="X54">
        <f>HYPERLINK("https://klasma.github.io/Logging_0883/tillsyn/A 27380-2024 tillsynsbegäran.docx", "A 27380-2024")</f>
        <v/>
      </c>
      <c r="Y54">
        <f>HYPERLINK("https://klasma.github.io/Logging_0883/tillsynsmail/A 27380-2024 tillsynsbegäran mail.docx", "A 27380-2024")</f>
        <v/>
      </c>
      <c r="Z54">
        <f>HYPERLINK("https://klasma.github.io/Logging_0883/fåglar/A 27380-2024 prioriterade fågelarter.docx", "A 27380-2024")</f>
        <v/>
      </c>
    </row>
    <row r="55" ht="15" customHeight="1">
      <c r="A55" t="inlineStr">
        <is>
          <t>A 58727-2024</t>
        </is>
      </c>
      <c r="B55" s="1" t="n">
        <v>45635</v>
      </c>
      <c r="C55" s="1" t="n">
        <v>45971</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51923-2022</t>
        </is>
      </c>
      <c r="B56" s="1" t="n">
        <v>44868</v>
      </c>
      <c r="C56" s="1" t="n">
        <v>45971</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12335-2025</t>
        </is>
      </c>
      <c r="B57" s="1" t="n">
        <v>45730</v>
      </c>
      <c r="C57" s="1" t="n">
        <v>45971</v>
      </c>
      <c r="D57" t="inlineStr">
        <is>
          <t>KALMAR LÄN</t>
        </is>
      </c>
      <c r="E57" t="inlineStr">
        <is>
          <t>VÄSTERVIK</t>
        </is>
      </c>
      <c r="G57" t="n">
        <v>3.1</v>
      </c>
      <c r="H57" t="n">
        <v>4</v>
      </c>
      <c r="I57" t="n">
        <v>1</v>
      </c>
      <c r="J57" t="n">
        <v>3</v>
      </c>
      <c r="K57" t="n">
        <v>0</v>
      </c>
      <c r="L57" t="n">
        <v>0</v>
      </c>
      <c r="M57" t="n">
        <v>0</v>
      </c>
      <c r="N57" t="n">
        <v>0</v>
      </c>
      <c r="O57" t="n">
        <v>3</v>
      </c>
      <c r="P57" t="n">
        <v>0</v>
      </c>
      <c r="Q57" t="n">
        <v>5</v>
      </c>
      <c r="R57" s="2" t="inlineStr">
        <is>
          <t>Mindre hackspett
Spillkråka
Talltita
Blåmossa
Grönsiska</t>
        </is>
      </c>
      <c r="S57">
        <f>HYPERLINK("https://klasma.github.io/Logging_0883/artfynd/A 12335-2025 artfynd.xlsx", "A 12335-2025")</f>
        <v/>
      </c>
      <c r="T57">
        <f>HYPERLINK("https://klasma.github.io/Logging_0883/kartor/A 12335-2025 karta.png", "A 12335-2025")</f>
        <v/>
      </c>
      <c r="V57">
        <f>HYPERLINK("https://klasma.github.io/Logging_0883/klagomål/A 12335-2025 FSC-klagomål.docx", "A 12335-2025")</f>
        <v/>
      </c>
      <c r="W57">
        <f>HYPERLINK("https://klasma.github.io/Logging_0883/klagomålsmail/A 12335-2025 FSC-klagomål mail.docx", "A 12335-2025")</f>
        <v/>
      </c>
      <c r="X57">
        <f>HYPERLINK("https://klasma.github.io/Logging_0883/tillsyn/A 12335-2025 tillsynsbegäran.docx", "A 12335-2025")</f>
        <v/>
      </c>
      <c r="Y57">
        <f>HYPERLINK("https://klasma.github.io/Logging_0883/tillsynsmail/A 12335-2025 tillsynsbegäran mail.docx", "A 12335-2025")</f>
        <v/>
      </c>
      <c r="Z57">
        <f>HYPERLINK("https://klasma.github.io/Logging_0883/fåglar/A 12335-2025 prioriterade fågelarter.docx", "A 12335-2025")</f>
        <v/>
      </c>
    </row>
    <row r="58" ht="15" customHeight="1">
      <c r="A58" t="inlineStr">
        <is>
          <t>A 49412-2025</t>
        </is>
      </c>
      <c r="B58" s="1" t="n">
        <v>45938.68405092593</v>
      </c>
      <c r="C58" s="1" t="n">
        <v>45971</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45971</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45971</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31431-2024</t>
        </is>
      </c>
      <c r="B61" s="1" t="n">
        <v>45505</v>
      </c>
      <c r="C61" s="1" t="n">
        <v>45971</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27737-2024</t>
        </is>
      </c>
      <c r="B62" s="1" t="n">
        <v>45475</v>
      </c>
      <c r="C62" s="1" t="n">
        <v>45971</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27727-2024</t>
        </is>
      </c>
      <c r="B63" s="1" t="n">
        <v>45475</v>
      </c>
      <c r="C63" s="1" t="n">
        <v>45971</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48724-2024</t>
        </is>
      </c>
      <c r="B64" s="1" t="n">
        <v>45593.55731481482</v>
      </c>
      <c r="C64" s="1" t="n">
        <v>45971</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31060-2024</t>
        </is>
      </c>
      <c r="B65" s="1" t="n">
        <v>45502</v>
      </c>
      <c r="C65" s="1" t="n">
        <v>45971</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1779-2025</t>
        </is>
      </c>
      <c r="B66" s="1" t="n">
        <v>45671</v>
      </c>
      <c r="C66" s="1" t="n">
        <v>45971</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25280-2021</t>
        </is>
      </c>
      <c r="B67" s="1" t="n">
        <v>44342</v>
      </c>
      <c r="C67" s="1" t="n">
        <v>45971</v>
      </c>
      <c r="D67" t="inlineStr">
        <is>
          <t>KALMAR LÄN</t>
        </is>
      </c>
      <c r="E67" t="inlineStr">
        <is>
          <t>VÄSTERVIK</t>
        </is>
      </c>
      <c r="G67" t="n">
        <v>6.5</v>
      </c>
      <c r="H67" t="n">
        <v>3</v>
      </c>
      <c r="I67" t="n">
        <v>0</v>
      </c>
      <c r="J67" t="n">
        <v>3</v>
      </c>
      <c r="K67" t="n">
        <v>1</v>
      </c>
      <c r="L67" t="n">
        <v>0</v>
      </c>
      <c r="M67" t="n">
        <v>0</v>
      </c>
      <c r="N67" t="n">
        <v>0</v>
      </c>
      <c r="O67" t="n">
        <v>4</v>
      </c>
      <c r="P67" t="n">
        <v>1</v>
      </c>
      <c r="Q67" t="n">
        <v>4</v>
      </c>
      <c r="R67" s="2" t="inlineStr">
        <is>
          <t>Knärot
Smalsprötad bastardsvärmare
Spillkråka
Talltita</t>
        </is>
      </c>
      <c r="S67">
        <f>HYPERLINK("https://klasma.github.io/Logging_0883/artfynd/A 25280-2021 artfynd.xlsx", "A 25280-2021")</f>
        <v/>
      </c>
      <c r="T67">
        <f>HYPERLINK("https://klasma.github.io/Logging_0883/kartor/A 25280-2021 karta.png", "A 25280-2021")</f>
        <v/>
      </c>
      <c r="U67">
        <f>HYPERLINK("https://klasma.github.io/Logging_0883/knärot/A 25280-2021 karta knärot.png", "A 25280-2021")</f>
        <v/>
      </c>
      <c r="V67">
        <f>HYPERLINK("https://klasma.github.io/Logging_0883/klagomål/A 25280-2021 FSC-klagomål.docx", "A 25280-2021")</f>
        <v/>
      </c>
      <c r="W67">
        <f>HYPERLINK("https://klasma.github.io/Logging_0883/klagomålsmail/A 25280-2021 FSC-klagomål mail.docx", "A 25280-2021")</f>
        <v/>
      </c>
      <c r="X67">
        <f>HYPERLINK("https://klasma.github.io/Logging_0883/tillsyn/A 25280-2021 tillsynsbegäran.docx", "A 25280-2021")</f>
        <v/>
      </c>
      <c r="Y67">
        <f>HYPERLINK("https://klasma.github.io/Logging_0883/tillsynsmail/A 25280-2021 tillsynsbegäran mail.docx", "A 25280-2021")</f>
        <v/>
      </c>
      <c r="Z67">
        <f>HYPERLINK("https://klasma.github.io/Logging_0883/fåglar/A 25280-2021 prioriterade fågelarter.docx", "A 25280-2021")</f>
        <v/>
      </c>
    </row>
    <row r="68" ht="15" customHeight="1">
      <c r="A68" t="inlineStr">
        <is>
          <t>A 3781-2025</t>
        </is>
      </c>
      <c r="B68" s="1" t="n">
        <v>45681.62086805556</v>
      </c>
      <c r="C68" s="1" t="n">
        <v>45971</v>
      </c>
      <c r="D68" t="inlineStr">
        <is>
          <t>KALMAR LÄN</t>
        </is>
      </c>
      <c r="E68" t="inlineStr">
        <is>
          <t>VÄSTERVIK</t>
        </is>
      </c>
      <c r="G68" t="n">
        <v>1.4</v>
      </c>
      <c r="H68" t="n">
        <v>4</v>
      </c>
      <c r="I68" t="n">
        <v>0</v>
      </c>
      <c r="J68" t="n">
        <v>2</v>
      </c>
      <c r="K68" t="n">
        <v>0</v>
      </c>
      <c r="L68" t="n">
        <v>0</v>
      </c>
      <c r="M68" t="n">
        <v>0</v>
      </c>
      <c r="N68" t="n">
        <v>0</v>
      </c>
      <c r="O68" t="n">
        <v>2</v>
      </c>
      <c r="P68" t="n">
        <v>0</v>
      </c>
      <c r="Q68" t="n">
        <v>4</v>
      </c>
      <c r="R68" s="2" t="inlineStr">
        <is>
          <t>Spillkråka
Talltita
Kungsfågel
Revlummer</t>
        </is>
      </c>
      <c r="S68">
        <f>HYPERLINK("https://klasma.github.io/Logging_0883/artfynd/A 3781-2025 artfynd.xlsx", "A 3781-2025")</f>
        <v/>
      </c>
      <c r="T68">
        <f>HYPERLINK("https://klasma.github.io/Logging_0883/kartor/A 3781-2025 karta.png", "A 3781-2025")</f>
        <v/>
      </c>
      <c r="V68">
        <f>HYPERLINK("https://klasma.github.io/Logging_0883/klagomål/A 3781-2025 FSC-klagomål.docx", "A 3781-2025")</f>
        <v/>
      </c>
      <c r="W68">
        <f>HYPERLINK("https://klasma.github.io/Logging_0883/klagomålsmail/A 3781-2025 FSC-klagomål mail.docx", "A 3781-2025")</f>
        <v/>
      </c>
      <c r="X68">
        <f>HYPERLINK("https://klasma.github.io/Logging_0883/tillsyn/A 3781-2025 tillsynsbegäran.docx", "A 3781-2025")</f>
        <v/>
      </c>
      <c r="Y68">
        <f>HYPERLINK("https://klasma.github.io/Logging_0883/tillsynsmail/A 3781-2025 tillsynsbegäran mail.docx", "A 3781-2025")</f>
        <v/>
      </c>
      <c r="Z68">
        <f>HYPERLINK("https://klasma.github.io/Logging_0883/fåglar/A 3781-2025 prioriterade fågelarter.docx", "A 3781-2025")</f>
        <v/>
      </c>
    </row>
    <row r="69" ht="15" customHeight="1">
      <c r="A69" t="inlineStr">
        <is>
          <t>A 37438-2021</t>
        </is>
      </c>
      <c r="B69" s="1" t="n">
        <v>44398</v>
      </c>
      <c r="C69" s="1" t="n">
        <v>45971</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59319-2023</t>
        </is>
      </c>
      <c r="B70" s="1" t="n">
        <v>45253</v>
      </c>
      <c r="C70" s="1" t="n">
        <v>45971</v>
      </c>
      <c r="D70" t="inlineStr">
        <is>
          <t>KALMAR LÄN</t>
        </is>
      </c>
      <c r="E70" t="inlineStr">
        <is>
          <t>VÄSTERVIK</t>
        </is>
      </c>
      <c r="G70" t="n">
        <v>1</v>
      </c>
      <c r="H70" t="n">
        <v>1</v>
      </c>
      <c r="I70" t="n">
        <v>2</v>
      </c>
      <c r="J70" t="n">
        <v>0</v>
      </c>
      <c r="K70" t="n">
        <v>1</v>
      </c>
      <c r="L70" t="n">
        <v>1</v>
      </c>
      <c r="M70" t="n">
        <v>0</v>
      </c>
      <c r="N70" t="n">
        <v>0</v>
      </c>
      <c r="O70" t="n">
        <v>2</v>
      </c>
      <c r="P70" t="n">
        <v>2</v>
      </c>
      <c r="Q70" t="n">
        <v>4</v>
      </c>
      <c r="R70" s="2" t="inlineStr">
        <is>
          <t>Tallharticka
Knärot
Blomkålssvamp
Grönpyrola</t>
        </is>
      </c>
      <c r="S70">
        <f>HYPERLINK("https://klasma.github.io/Logging_0883/artfynd/A 59319-2023 artfynd.xlsx", "A 59319-2023")</f>
        <v/>
      </c>
      <c r="T70">
        <f>HYPERLINK("https://klasma.github.io/Logging_0883/kartor/A 59319-2023 karta.png", "A 59319-2023")</f>
        <v/>
      </c>
      <c r="U70">
        <f>HYPERLINK("https://klasma.github.io/Logging_0883/knärot/A 59319-2023 karta knärot.png", "A 59319-2023")</f>
        <v/>
      </c>
      <c r="V70">
        <f>HYPERLINK("https://klasma.github.io/Logging_0883/klagomål/A 59319-2023 FSC-klagomål.docx", "A 59319-2023")</f>
        <v/>
      </c>
      <c r="W70">
        <f>HYPERLINK("https://klasma.github.io/Logging_0883/klagomålsmail/A 59319-2023 FSC-klagomål mail.docx", "A 59319-2023")</f>
        <v/>
      </c>
      <c r="X70">
        <f>HYPERLINK("https://klasma.github.io/Logging_0883/tillsyn/A 59319-2023 tillsynsbegäran.docx", "A 59319-2023")</f>
        <v/>
      </c>
      <c r="Y70">
        <f>HYPERLINK("https://klasma.github.io/Logging_0883/tillsynsmail/A 59319-2023 tillsynsbegäran mail.docx", "A 59319-2023")</f>
        <v/>
      </c>
    </row>
    <row r="71" ht="15" customHeight="1">
      <c r="A71" t="inlineStr">
        <is>
          <t>A 35939-2024</t>
        </is>
      </c>
      <c r="B71" s="1" t="n">
        <v>45533.45459490741</v>
      </c>
      <c r="C71" s="1" t="n">
        <v>45971</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31914-2025</t>
        </is>
      </c>
      <c r="B72" s="1" t="n">
        <v>45834</v>
      </c>
      <c r="C72" s="1" t="n">
        <v>45971</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44635-2021</t>
        </is>
      </c>
      <c r="B73" s="1" t="n">
        <v>44437</v>
      </c>
      <c r="C73" s="1" t="n">
        <v>45971</v>
      </c>
      <c r="D73" t="inlineStr">
        <is>
          <t>KALMAR LÄN</t>
        </is>
      </c>
      <c r="E73" t="inlineStr">
        <is>
          <t>VÄSTERVIK</t>
        </is>
      </c>
      <c r="G73" t="n">
        <v>0.9</v>
      </c>
      <c r="H73" t="n">
        <v>1</v>
      </c>
      <c r="I73" t="n">
        <v>2</v>
      </c>
      <c r="J73" t="n">
        <v>1</v>
      </c>
      <c r="K73" t="n">
        <v>1</v>
      </c>
      <c r="L73" t="n">
        <v>0</v>
      </c>
      <c r="M73" t="n">
        <v>0</v>
      </c>
      <c r="N73" t="n">
        <v>0</v>
      </c>
      <c r="O73" t="n">
        <v>2</v>
      </c>
      <c r="P73" t="n">
        <v>1</v>
      </c>
      <c r="Q73" t="n">
        <v>4</v>
      </c>
      <c r="R73" s="2" t="inlineStr">
        <is>
          <t>Gräddporing
Spillkråka
Blodticka
Brandticka</t>
        </is>
      </c>
      <c r="S73">
        <f>HYPERLINK("https://klasma.github.io/Logging_0883/artfynd/A 44635-2021 artfynd.xlsx", "A 44635-2021")</f>
        <v/>
      </c>
      <c r="T73">
        <f>HYPERLINK("https://klasma.github.io/Logging_0883/kartor/A 44635-2021 karta.png", "A 44635-2021")</f>
        <v/>
      </c>
      <c r="V73">
        <f>HYPERLINK("https://klasma.github.io/Logging_0883/klagomål/A 44635-2021 FSC-klagomål.docx", "A 44635-2021")</f>
        <v/>
      </c>
      <c r="W73">
        <f>HYPERLINK("https://klasma.github.io/Logging_0883/klagomålsmail/A 44635-2021 FSC-klagomål mail.docx", "A 44635-2021")</f>
        <v/>
      </c>
      <c r="X73">
        <f>HYPERLINK("https://klasma.github.io/Logging_0883/tillsyn/A 44635-2021 tillsynsbegäran.docx", "A 44635-2021")</f>
        <v/>
      </c>
      <c r="Y73">
        <f>HYPERLINK("https://klasma.github.io/Logging_0883/tillsynsmail/A 44635-2021 tillsynsbegäran mail.docx", "A 44635-2021")</f>
        <v/>
      </c>
      <c r="Z73">
        <f>HYPERLINK("https://klasma.github.io/Logging_0883/fåglar/A 44635-2021 prioriterade fågelarter.docx", "A 44635-2021")</f>
        <v/>
      </c>
    </row>
    <row r="74" ht="15" customHeight="1">
      <c r="A74" t="inlineStr">
        <is>
          <t>A 35214-2025</t>
        </is>
      </c>
      <c r="B74" s="1" t="n">
        <v>45853.47163194444</v>
      </c>
      <c r="C74" s="1" t="n">
        <v>45971</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29455-2021</t>
        </is>
      </c>
      <c r="B75" s="1" t="n">
        <v>44361</v>
      </c>
      <c r="C75" s="1" t="n">
        <v>45971</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9975-2024</t>
        </is>
      </c>
      <c r="B76" s="1" t="n">
        <v>45363</v>
      </c>
      <c r="C76" s="1" t="n">
        <v>45971</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20366-2024</t>
        </is>
      </c>
      <c r="B77" s="1" t="n">
        <v>45435</v>
      </c>
      <c r="C77" s="1" t="n">
        <v>45971</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51590-2024</t>
        </is>
      </c>
      <c r="B78" s="1" t="n">
        <v>45604</v>
      </c>
      <c r="C78" s="1" t="n">
        <v>45971</v>
      </c>
      <c r="D78" t="inlineStr">
        <is>
          <t>KALMAR LÄN</t>
        </is>
      </c>
      <c r="E78" t="inlineStr">
        <is>
          <t>VÄSTERVIK</t>
        </is>
      </c>
      <c r="F78" t="inlineStr">
        <is>
          <t>Övriga Aktiebolag</t>
        </is>
      </c>
      <c r="G78" t="n">
        <v>2.3</v>
      </c>
      <c r="H78" t="n">
        <v>3</v>
      </c>
      <c r="I78" t="n">
        <v>1</v>
      </c>
      <c r="J78" t="n">
        <v>2</v>
      </c>
      <c r="K78" t="n">
        <v>1</v>
      </c>
      <c r="L78" t="n">
        <v>0</v>
      </c>
      <c r="M78" t="n">
        <v>0</v>
      </c>
      <c r="N78" t="n">
        <v>0</v>
      </c>
      <c r="O78" t="n">
        <v>3</v>
      </c>
      <c r="P78" t="n">
        <v>1</v>
      </c>
      <c r="Q78" t="n">
        <v>4</v>
      </c>
      <c r="R78" s="2" t="inlineStr">
        <is>
          <t>Knärot
Spillkråka
Talltita
Blomkålssvamp</t>
        </is>
      </c>
      <c r="S78">
        <f>HYPERLINK("https://klasma.github.io/Logging_0883/artfynd/A 51590-2024 artfynd.xlsx", "A 51590-2024")</f>
        <v/>
      </c>
      <c r="T78">
        <f>HYPERLINK("https://klasma.github.io/Logging_0883/kartor/A 51590-2024 karta.png", "A 51590-2024")</f>
        <v/>
      </c>
      <c r="U78">
        <f>HYPERLINK("https://klasma.github.io/Logging_0883/knärot/A 51590-2024 karta knärot.png", "A 51590-2024")</f>
        <v/>
      </c>
      <c r="V78">
        <f>HYPERLINK("https://klasma.github.io/Logging_0883/klagomål/A 51590-2024 FSC-klagomål.docx", "A 51590-2024")</f>
        <v/>
      </c>
      <c r="W78">
        <f>HYPERLINK("https://klasma.github.io/Logging_0883/klagomålsmail/A 51590-2024 FSC-klagomål mail.docx", "A 51590-2024")</f>
        <v/>
      </c>
      <c r="X78">
        <f>HYPERLINK("https://klasma.github.io/Logging_0883/tillsyn/A 51590-2024 tillsynsbegäran.docx", "A 51590-2024")</f>
        <v/>
      </c>
      <c r="Y78">
        <f>HYPERLINK("https://klasma.github.io/Logging_0883/tillsynsmail/A 51590-2024 tillsynsbegäran mail.docx", "A 51590-2024")</f>
        <v/>
      </c>
      <c r="Z78">
        <f>HYPERLINK("https://klasma.github.io/Logging_0883/fåglar/A 51590-2024 prioriterade fågelarter.docx", "A 51590-2024")</f>
        <v/>
      </c>
    </row>
    <row r="79" ht="15" customHeight="1">
      <c r="A79" t="inlineStr">
        <is>
          <t>A 54233-2023</t>
        </is>
      </c>
      <c r="B79" s="1" t="n">
        <v>45232</v>
      </c>
      <c r="C79" s="1" t="n">
        <v>45971</v>
      </c>
      <c r="D79" t="inlineStr">
        <is>
          <t>KALMAR LÄN</t>
        </is>
      </c>
      <c r="E79" t="inlineStr">
        <is>
          <t>VÄSTERVIK</t>
        </is>
      </c>
      <c r="G79" t="n">
        <v>1.9</v>
      </c>
      <c r="H79" t="n">
        <v>2</v>
      </c>
      <c r="I79" t="n">
        <v>1</v>
      </c>
      <c r="J79" t="n">
        <v>2</v>
      </c>
      <c r="K79" t="n">
        <v>1</v>
      </c>
      <c r="L79" t="n">
        <v>0</v>
      </c>
      <c r="M79" t="n">
        <v>0</v>
      </c>
      <c r="N79" t="n">
        <v>0</v>
      </c>
      <c r="O79" t="n">
        <v>3</v>
      </c>
      <c r="P79" t="n">
        <v>1</v>
      </c>
      <c r="Q79" t="n">
        <v>4</v>
      </c>
      <c r="R79" s="2" t="inlineStr">
        <is>
          <t>Knärot
Tallticka
Talltita
Blåmossa</t>
        </is>
      </c>
      <c r="S79">
        <f>HYPERLINK("https://klasma.github.io/Logging_0883/artfynd/A 54233-2023 artfynd.xlsx", "A 54233-2023")</f>
        <v/>
      </c>
      <c r="T79">
        <f>HYPERLINK("https://klasma.github.io/Logging_0883/kartor/A 54233-2023 karta.png", "A 54233-2023")</f>
        <v/>
      </c>
      <c r="U79">
        <f>HYPERLINK("https://klasma.github.io/Logging_0883/knärot/A 54233-2023 karta knärot.png", "A 54233-2023")</f>
        <v/>
      </c>
      <c r="V79">
        <f>HYPERLINK("https://klasma.github.io/Logging_0883/klagomål/A 54233-2023 FSC-klagomål.docx", "A 54233-2023")</f>
        <v/>
      </c>
      <c r="W79">
        <f>HYPERLINK("https://klasma.github.io/Logging_0883/klagomålsmail/A 54233-2023 FSC-klagomål mail.docx", "A 54233-2023")</f>
        <v/>
      </c>
      <c r="X79">
        <f>HYPERLINK("https://klasma.github.io/Logging_0883/tillsyn/A 54233-2023 tillsynsbegäran.docx", "A 54233-2023")</f>
        <v/>
      </c>
      <c r="Y79">
        <f>HYPERLINK("https://klasma.github.io/Logging_0883/tillsynsmail/A 54233-2023 tillsynsbegäran mail.docx", "A 54233-2023")</f>
        <v/>
      </c>
      <c r="Z79">
        <f>HYPERLINK("https://klasma.github.io/Logging_0883/fåglar/A 54233-2023 prioriterade fågelarter.docx", "A 54233-2023")</f>
        <v/>
      </c>
    </row>
    <row r="80" ht="15" customHeight="1">
      <c r="A80" t="inlineStr">
        <is>
          <t>A 26985-2025</t>
        </is>
      </c>
      <c r="B80" s="1" t="n">
        <v>45811</v>
      </c>
      <c r="C80" s="1" t="n">
        <v>45971</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18397-2024</t>
        </is>
      </c>
      <c r="B81" s="1" t="n">
        <v>45425</v>
      </c>
      <c r="C81" s="1" t="n">
        <v>45971</v>
      </c>
      <c r="D81" t="inlineStr">
        <is>
          <t>KALMAR LÄN</t>
        </is>
      </c>
      <c r="E81" t="inlineStr">
        <is>
          <t>VÄSTERVIK</t>
        </is>
      </c>
      <c r="F81" t="inlineStr">
        <is>
          <t>Holmen skog AB</t>
        </is>
      </c>
      <c r="G81" t="n">
        <v>3.5</v>
      </c>
      <c r="H81" t="n">
        <v>3</v>
      </c>
      <c r="I81" t="n">
        <v>1</v>
      </c>
      <c r="J81" t="n">
        <v>2</v>
      </c>
      <c r="K81" t="n">
        <v>1</v>
      </c>
      <c r="L81" t="n">
        <v>0</v>
      </c>
      <c r="M81" t="n">
        <v>0</v>
      </c>
      <c r="N81" t="n">
        <v>0</v>
      </c>
      <c r="O81" t="n">
        <v>3</v>
      </c>
      <c r="P81" t="n">
        <v>1</v>
      </c>
      <c r="Q81" t="n">
        <v>4</v>
      </c>
      <c r="R81" s="2" t="inlineStr">
        <is>
          <t>Knärot
Spillkråka
Talltita
Grönpyrola</t>
        </is>
      </c>
      <c r="S81">
        <f>HYPERLINK("https://klasma.github.io/Logging_0883/artfynd/A 18397-2024 artfynd.xlsx", "A 18397-2024")</f>
        <v/>
      </c>
      <c r="T81">
        <f>HYPERLINK("https://klasma.github.io/Logging_0883/kartor/A 18397-2024 karta.png", "A 18397-2024")</f>
        <v/>
      </c>
      <c r="U81">
        <f>HYPERLINK("https://klasma.github.io/Logging_0883/knärot/A 18397-2024 karta knärot.png", "A 18397-2024")</f>
        <v/>
      </c>
      <c r="V81">
        <f>HYPERLINK("https://klasma.github.io/Logging_0883/klagomål/A 18397-2024 FSC-klagomål.docx", "A 18397-2024")</f>
        <v/>
      </c>
      <c r="W81">
        <f>HYPERLINK("https://klasma.github.io/Logging_0883/klagomålsmail/A 18397-2024 FSC-klagomål mail.docx", "A 18397-2024")</f>
        <v/>
      </c>
      <c r="X81">
        <f>HYPERLINK("https://klasma.github.io/Logging_0883/tillsyn/A 18397-2024 tillsynsbegäran.docx", "A 18397-2024")</f>
        <v/>
      </c>
      <c r="Y81">
        <f>HYPERLINK("https://klasma.github.io/Logging_0883/tillsynsmail/A 18397-2024 tillsynsbegäran mail.docx", "A 18397-2024")</f>
        <v/>
      </c>
      <c r="Z81">
        <f>HYPERLINK("https://klasma.github.io/Logging_0883/fåglar/A 18397-2024 prioriterade fågelarter.docx", "A 18397-2024")</f>
        <v/>
      </c>
    </row>
    <row r="82" ht="15" customHeight="1">
      <c r="A82" t="inlineStr">
        <is>
          <t>A 63366-2023</t>
        </is>
      </c>
      <c r="B82" s="1" t="n">
        <v>45274</v>
      </c>
      <c r="C82" s="1" t="n">
        <v>45971</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37524-2025</t>
        </is>
      </c>
      <c r="B83" s="1" t="n">
        <v>45877</v>
      </c>
      <c r="C83" s="1" t="n">
        <v>45971</v>
      </c>
      <c r="D83" t="inlineStr">
        <is>
          <t>KALMAR LÄN</t>
        </is>
      </c>
      <c r="E83" t="inlineStr">
        <is>
          <t>VÄSTERVIK</t>
        </is>
      </c>
      <c r="G83" t="n">
        <v>3.3</v>
      </c>
      <c r="H83" t="n">
        <v>2</v>
      </c>
      <c r="I83" t="n">
        <v>1</v>
      </c>
      <c r="J83" t="n">
        <v>2</v>
      </c>
      <c r="K83" t="n">
        <v>1</v>
      </c>
      <c r="L83" t="n">
        <v>0</v>
      </c>
      <c r="M83" t="n">
        <v>0</v>
      </c>
      <c r="N83" t="n">
        <v>0</v>
      </c>
      <c r="O83" t="n">
        <v>3</v>
      </c>
      <c r="P83" t="n">
        <v>1</v>
      </c>
      <c r="Q83" t="n">
        <v>4</v>
      </c>
      <c r="R83" s="2" t="inlineStr">
        <is>
          <t>Knärot
Svart taggsvamp
Talltita
Blomkålssvamp</t>
        </is>
      </c>
      <c r="S83">
        <f>HYPERLINK("https://klasma.github.io/Logging_0883/artfynd/A 37524-2025 artfynd.xlsx", "A 37524-2025")</f>
        <v/>
      </c>
      <c r="T83">
        <f>HYPERLINK("https://klasma.github.io/Logging_0883/kartor/A 37524-2025 karta.png", "A 37524-2025")</f>
        <v/>
      </c>
      <c r="U83">
        <f>HYPERLINK("https://klasma.github.io/Logging_0883/knärot/A 37524-2025 karta knärot.png", "A 37524-2025")</f>
        <v/>
      </c>
      <c r="V83">
        <f>HYPERLINK("https://klasma.github.io/Logging_0883/klagomål/A 37524-2025 FSC-klagomål.docx", "A 37524-2025")</f>
        <v/>
      </c>
      <c r="W83">
        <f>HYPERLINK("https://klasma.github.io/Logging_0883/klagomålsmail/A 37524-2025 FSC-klagomål mail.docx", "A 37524-2025")</f>
        <v/>
      </c>
      <c r="X83">
        <f>HYPERLINK("https://klasma.github.io/Logging_0883/tillsyn/A 37524-2025 tillsynsbegäran.docx", "A 37524-2025")</f>
        <v/>
      </c>
      <c r="Y83">
        <f>HYPERLINK("https://klasma.github.io/Logging_0883/tillsynsmail/A 37524-2025 tillsynsbegäran mail.docx", "A 37524-2025")</f>
        <v/>
      </c>
      <c r="Z83">
        <f>HYPERLINK("https://klasma.github.io/Logging_0883/fåglar/A 37524-2025 prioriterade fågelarter.docx", "A 37524-2025")</f>
        <v/>
      </c>
    </row>
    <row r="84" ht="15" customHeight="1">
      <c r="A84" t="inlineStr">
        <is>
          <t>A 58955-2022</t>
        </is>
      </c>
      <c r="B84" s="1" t="n">
        <v>44896</v>
      </c>
      <c r="C84" s="1" t="n">
        <v>45971</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41571-2024</t>
        </is>
      </c>
      <c r="B85" s="1" t="n">
        <v>45560</v>
      </c>
      <c r="C85" s="1" t="n">
        <v>45971</v>
      </c>
      <c r="D85" t="inlineStr">
        <is>
          <t>KALMAR LÄN</t>
        </is>
      </c>
      <c r="E85" t="inlineStr">
        <is>
          <t>VÄSTERVIK</t>
        </is>
      </c>
      <c r="G85" t="n">
        <v>5.2</v>
      </c>
      <c r="H85" t="n">
        <v>1</v>
      </c>
      <c r="I85" t="n">
        <v>2</v>
      </c>
      <c r="J85" t="n">
        <v>2</v>
      </c>
      <c r="K85" t="n">
        <v>0</v>
      </c>
      <c r="L85" t="n">
        <v>0</v>
      </c>
      <c r="M85" t="n">
        <v>0</v>
      </c>
      <c r="N85" t="n">
        <v>0</v>
      </c>
      <c r="O85" t="n">
        <v>2</v>
      </c>
      <c r="P85" t="n">
        <v>0</v>
      </c>
      <c r="Q85" t="n">
        <v>4</v>
      </c>
      <c r="R85" s="2" t="inlineStr">
        <is>
          <t>Tallticka
Talltita
Blåmossa
Dropptaggsvamp</t>
        </is>
      </c>
      <c r="S85">
        <f>HYPERLINK("https://klasma.github.io/Logging_0883/artfynd/A 41571-2024 artfynd.xlsx", "A 41571-2024")</f>
        <v/>
      </c>
      <c r="T85">
        <f>HYPERLINK("https://klasma.github.io/Logging_0883/kartor/A 41571-2024 karta.png", "A 41571-2024")</f>
        <v/>
      </c>
      <c r="U85">
        <f>HYPERLINK("https://klasma.github.io/Logging_0883/knärot/A 41571-2024 karta knärot.png", "A 41571-2024")</f>
        <v/>
      </c>
      <c r="V85">
        <f>HYPERLINK("https://klasma.github.io/Logging_0883/klagomål/A 41571-2024 FSC-klagomål.docx", "A 41571-2024")</f>
        <v/>
      </c>
      <c r="W85">
        <f>HYPERLINK("https://klasma.github.io/Logging_0883/klagomålsmail/A 41571-2024 FSC-klagomål mail.docx", "A 41571-2024")</f>
        <v/>
      </c>
      <c r="X85">
        <f>HYPERLINK("https://klasma.github.io/Logging_0883/tillsyn/A 41571-2024 tillsynsbegäran.docx", "A 41571-2024")</f>
        <v/>
      </c>
      <c r="Y85">
        <f>HYPERLINK("https://klasma.github.io/Logging_0883/tillsynsmail/A 41571-2024 tillsynsbegäran mail.docx", "A 41571-2024")</f>
        <v/>
      </c>
      <c r="Z85">
        <f>HYPERLINK("https://klasma.github.io/Logging_0883/fåglar/A 41571-2024 prioriterade fågelarter.docx", "A 41571-2024")</f>
        <v/>
      </c>
    </row>
    <row r="86" ht="15" customHeight="1">
      <c r="A86" t="inlineStr">
        <is>
          <t>A 53842-2025</t>
        </is>
      </c>
      <c r="B86" s="1" t="n">
        <v>45961.36251157407</v>
      </c>
      <c r="C86" s="1" t="n">
        <v>45971</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34644-2025</t>
        </is>
      </c>
      <c r="B87" s="1" t="n">
        <v>45848.33202546297</v>
      </c>
      <c r="C87" s="1" t="n">
        <v>45971</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25534-2024</t>
        </is>
      </c>
      <c r="B88" s="1" t="n">
        <v>45463</v>
      </c>
      <c r="C88" s="1" t="n">
        <v>45971</v>
      </c>
      <c r="D88" t="inlineStr">
        <is>
          <t>KALMAR LÄN</t>
        </is>
      </c>
      <c r="E88" t="inlineStr">
        <is>
          <t>VÄSTERVIK</t>
        </is>
      </c>
      <c r="F88" t="inlineStr">
        <is>
          <t>Holmen skog AB</t>
        </is>
      </c>
      <c r="G88" t="n">
        <v>9.5</v>
      </c>
      <c r="H88" t="n">
        <v>1</v>
      </c>
      <c r="I88" t="n">
        <v>2</v>
      </c>
      <c r="J88" t="n">
        <v>1</v>
      </c>
      <c r="K88" t="n">
        <v>1</v>
      </c>
      <c r="L88" t="n">
        <v>0</v>
      </c>
      <c r="M88" t="n">
        <v>0</v>
      </c>
      <c r="N88" t="n">
        <v>0</v>
      </c>
      <c r="O88" t="n">
        <v>2</v>
      </c>
      <c r="P88" t="n">
        <v>1</v>
      </c>
      <c r="Q88" t="n">
        <v>4</v>
      </c>
      <c r="R88" s="2" t="inlineStr">
        <is>
          <t>Knärot
Tallticka
Brandticka
Bronshjon</t>
        </is>
      </c>
      <c r="S88">
        <f>HYPERLINK("https://klasma.github.io/Logging_0883/artfynd/A 25534-2024 artfynd.xlsx", "A 25534-2024")</f>
        <v/>
      </c>
      <c r="T88">
        <f>HYPERLINK("https://klasma.github.io/Logging_0883/kartor/A 25534-2024 karta.png", "A 25534-2024")</f>
        <v/>
      </c>
      <c r="U88">
        <f>HYPERLINK("https://klasma.github.io/Logging_0883/knärot/A 25534-2024 karta knärot.png", "A 25534-2024")</f>
        <v/>
      </c>
      <c r="V88">
        <f>HYPERLINK("https://klasma.github.io/Logging_0883/klagomål/A 25534-2024 FSC-klagomål.docx", "A 25534-2024")</f>
        <v/>
      </c>
      <c r="W88">
        <f>HYPERLINK("https://klasma.github.io/Logging_0883/klagomålsmail/A 25534-2024 FSC-klagomål mail.docx", "A 25534-2024")</f>
        <v/>
      </c>
      <c r="X88">
        <f>HYPERLINK("https://klasma.github.io/Logging_0883/tillsyn/A 25534-2024 tillsynsbegäran.docx", "A 25534-2024")</f>
        <v/>
      </c>
      <c r="Y88">
        <f>HYPERLINK("https://klasma.github.io/Logging_0883/tillsynsmail/A 25534-2024 tillsynsbegäran mail.docx", "A 25534-2024")</f>
        <v/>
      </c>
    </row>
    <row r="89" ht="15" customHeight="1">
      <c r="A89" t="inlineStr">
        <is>
          <t>A 53846-2025</t>
        </is>
      </c>
      <c r="B89" s="1" t="n">
        <v>45961.36716435185</v>
      </c>
      <c r="C89" s="1" t="n">
        <v>45971</v>
      </c>
      <c r="D89" t="inlineStr">
        <is>
          <t>KALMAR LÄN</t>
        </is>
      </c>
      <c r="E89" t="inlineStr">
        <is>
          <t>VÄSTERVIK</t>
        </is>
      </c>
      <c r="F89" t="inlineStr">
        <is>
          <t>Sveaskog</t>
        </is>
      </c>
      <c r="G89" t="n">
        <v>2.1</v>
      </c>
      <c r="H89" t="n">
        <v>1</v>
      </c>
      <c r="I89" t="n">
        <v>2</v>
      </c>
      <c r="J89" t="n">
        <v>1</v>
      </c>
      <c r="K89" t="n">
        <v>0</v>
      </c>
      <c r="L89" t="n">
        <v>0</v>
      </c>
      <c r="M89" t="n">
        <v>0</v>
      </c>
      <c r="N89" t="n">
        <v>0</v>
      </c>
      <c r="O89" t="n">
        <v>1</v>
      </c>
      <c r="P89" t="n">
        <v>0</v>
      </c>
      <c r="Q89" t="n">
        <v>4</v>
      </c>
      <c r="R89" s="2" t="inlineStr">
        <is>
          <t>Tallticka
Flagellkvastmossa
Fällmossa
Blåsippa</t>
        </is>
      </c>
      <c r="S89">
        <f>HYPERLINK("https://klasma.github.io/Logging_0883/artfynd/A 53846-2025 artfynd.xlsx", "A 53846-2025")</f>
        <v/>
      </c>
      <c r="T89">
        <f>HYPERLINK("https://klasma.github.io/Logging_0883/kartor/A 53846-2025 karta.png", "A 53846-2025")</f>
        <v/>
      </c>
      <c r="V89">
        <f>HYPERLINK("https://klasma.github.io/Logging_0883/klagomål/A 53846-2025 FSC-klagomål.docx", "A 53846-2025")</f>
        <v/>
      </c>
      <c r="W89">
        <f>HYPERLINK("https://klasma.github.io/Logging_0883/klagomålsmail/A 53846-2025 FSC-klagomål mail.docx", "A 53846-2025")</f>
        <v/>
      </c>
      <c r="X89">
        <f>HYPERLINK("https://klasma.github.io/Logging_0883/tillsyn/A 53846-2025 tillsynsbegäran.docx", "A 53846-2025")</f>
        <v/>
      </c>
      <c r="Y89">
        <f>HYPERLINK("https://klasma.github.io/Logging_0883/tillsynsmail/A 53846-2025 tillsynsbegäran mail.docx", "A 53846-2025")</f>
        <v/>
      </c>
    </row>
    <row r="90" ht="15" customHeight="1">
      <c r="A90" t="inlineStr">
        <is>
          <t>A 6472-2025</t>
        </is>
      </c>
      <c r="B90" s="1" t="n">
        <v>45699</v>
      </c>
      <c r="C90" s="1" t="n">
        <v>45971</v>
      </c>
      <c r="D90" t="inlineStr">
        <is>
          <t>KALMAR LÄN</t>
        </is>
      </c>
      <c r="E90" t="inlineStr">
        <is>
          <t>VÄSTERVIK</t>
        </is>
      </c>
      <c r="F90" t="inlineStr">
        <is>
          <t>Holmen skog AB</t>
        </is>
      </c>
      <c r="G90" t="n">
        <v>4.3</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6472-2025 artfynd.xlsx", "A 6472-2025")</f>
        <v/>
      </c>
      <c r="T90">
        <f>HYPERLINK("https://klasma.github.io/Logging_0883/kartor/A 6472-2025 karta.png", "A 6472-2025")</f>
        <v/>
      </c>
      <c r="V90">
        <f>HYPERLINK("https://klasma.github.io/Logging_0883/klagomål/A 6472-2025 FSC-klagomål.docx", "A 6472-2025")</f>
        <v/>
      </c>
      <c r="W90">
        <f>HYPERLINK("https://klasma.github.io/Logging_0883/klagomålsmail/A 6472-2025 FSC-klagomål mail.docx", "A 6472-2025")</f>
        <v/>
      </c>
      <c r="X90">
        <f>HYPERLINK("https://klasma.github.io/Logging_0883/tillsyn/A 6472-2025 tillsynsbegäran.docx", "A 6472-2025")</f>
        <v/>
      </c>
      <c r="Y90">
        <f>HYPERLINK("https://klasma.github.io/Logging_0883/tillsynsmail/A 6472-2025 tillsynsbegäran mail.docx", "A 6472-2025")</f>
        <v/>
      </c>
      <c r="Z90">
        <f>HYPERLINK("https://klasma.github.io/Logging_0883/fåglar/A 6472-2025 prioriterade fågelarter.docx", "A 6472-2025")</f>
        <v/>
      </c>
    </row>
    <row r="91" ht="15" customHeight="1">
      <c r="A91" t="inlineStr">
        <is>
          <t>A 36109-2025</t>
        </is>
      </c>
      <c r="B91" s="1" t="n">
        <v>45866.56780092593</v>
      </c>
      <c r="C91" s="1" t="n">
        <v>45971</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938-2024</t>
        </is>
      </c>
      <c r="B92" s="1" t="n">
        <v>45301</v>
      </c>
      <c r="C92" s="1" t="n">
        <v>45971</v>
      </c>
      <c r="D92" t="inlineStr">
        <is>
          <t>KALMAR LÄN</t>
        </is>
      </c>
      <c r="E92" t="inlineStr">
        <is>
          <t>VÄSTERVIK</t>
        </is>
      </c>
      <c r="G92" t="n">
        <v>10</v>
      </c>
      <c r="H92" t="n">
        <v>1</v>
      </c>
      <c r="I92" t="n">
        <v>0</v>
      </c>
      <c r="J92" t="n">
        <v>3</v>
      </c>
      <c r="K92" t="n">
        <v>0</v>
      </c>
      <c r="L92" t="n">
        <v>0</v>
      </c>
      <c r="M92" t="n">
        <v>0</v>
      </c>
      <c r="N92" t="n">
        <v>0</v>
      </c>
      <c r="O92" t="n">
        <v>3</v>
      </c>
      <c r="P92" t="n">
        <v>0</v>
      </c>
      <c r="Q92" t="n">
        <v>4</v>
      </c>
      <c r="R92" s="2" t="inlineStr">
        <is>
          <t>Reliktbock
Tallticka
Vintertagging
Tjäder</t>
        </is>
      </c>
      <c r="S92">
        <f>HYPERLINK("https://klasma.github.io/Logging_0883/artfynd/A 938-2024 artfynd.xlsx", "A 938-2024")</f>
        <v/>
      </c>
      <c r="T92">
        <f>HYPERLINK("https://klasma.github.io/Logging_0883/kartor/A 938-2024 karta.png", "A 938-2024")</f>
        <v/>
      </c>
      <c r="V92">
        <f>HYPERLINK("https://klasma.github.io/Logging_0883/klagomål/A 938-2024 FSC-klagomål.docx", "A 938-2024")</f>
        <v/>
      </c>
      <c r="W92">
        <f>HYPERLINK("https://klasma.github.io/Logging_0883/klagomålsmail/A 938-2024 FSC-klagomål mail.docx", "A 938-2024")</f>
        <v/>
      </c>
      <c r="X92">
        <f>HYPERLINK("https://klasma.github.io/Logging_0883/tillsyn/A 938-2024 tillsynsbegäran.docx", "A 938-2024")</f>
        <v/>
      </c>
      <c r="Y92">
        <f>HYPERLINK("https://klasma.github.io/Logging_0883/tillsynsmail/A 938-2024 tillsynsbegäran mail.docx", "A 938-2024")</f>
        <v/>
      </c>
      <c r="Z92">
        <f>HYPERLINK("https://klasma.github.io/Logging_0883/fåglar/A 938-2024 prioriterade fågelarter.docx", "A 938-2024")</f>
        <v/>
      </c>
    </row>
    <row r="93" ht="15" customHeight="1">
      <c r="A93" t="inlineStr">
        <is>
          <t>A 10781-2025</t>
        </is>
      </c>
      <c r="B93" s="1" t="n">
        <v>45722</v>
      </c>
      <c r="C93" s="1" t="n">
        <v>45971</v>
      </c>
      <c r="D93" t="inlineStr">
        <is>
          <t>KALMAR LÄN</t>
        </is>
      </c>
      <c r="E93" t="inlineStr">
        <is>
          <t>VÄSTERVIK</t>
        </is>
      </c>
      <c r="G93" t="n">
        <v>2.8</v>
      </c>
      <c r="H93" t="n">
        <v>3</v>
      </c>
      <c r="I93" t="n">
        <v>1</v>
      </c>
      <c r="J93" t="n">
        <v>2</v>
      </c>
      <c r="K93" t="n">
        <v>0</v>
      </c>
      <c r="L93" t="n">
        <v>0</v>
      </c>
      <c r="M93" t="n">
        <v>0</v>
      </c>
      <c r="N93" t="n">
        <v>0</v>
      </c>
      <c r="O93" t="n">
        <v>2</v>
      </c>
      <c r="P93" t="n">
        <v>0</v>
      </c>
      <c r="Q93" t="n">
        <v>4</v>
      </c>
      <c r="R93" s="2" t="inlineStr">
        <is>
          <t>Spillkråka
Talltita
Grovticka
Kungsfågel</t>
        </is>
      </c>
      <c r="S93">
        <f>HYPERLINK("https://klasma.github.io/Logging_0883/artfynd/A 10781-2025 artfynd.xlsx", "A 10781-2025")</f>
        <v/>
      </c>
      <c r="T93">
        <f>HYPERLINK("https://klasma.github.io/Logging_0883/kartor/A 10781-2025 karta.png", "A 10781-2025")</f>
        <v/>
      </c>
      <c r="V93">
        <f>HYPERLINK("https://klasma.github.io/Logging_0883/klagomål/A 10781-2025 FSC-klagomål.docx", "A 10781-2025")</f>
        <v/>
      </c>
      <c r="W93">
        <f>HYPERLINK("https://klasma.github.io/Logging_0883/klagomålsmail/A 10781-2025 FSC-klagomål mail.docx", "A 10781-2025")</f>
        <v/>
      </c>
      <c r="X93">
        <f>HYPERLINK("https://klasma.github.io/Logging_0883/tillsyn/A 10781-2025 tillsynsbegäran.docx", "A 10781-2025")</f>
        <v/>
      </c>
      <c r="Y93">
        <f>HYPERLINK("https://klasma.github.io/Logging_0883/tillsynsmail/A 10781-2025 tillsynsbegäran mail.docx", "A 10781-2025")</f>
        <v/>
      </c>
      <c r="Z93">
        <f>HYPERLINK("https://klasma.github.io/Logging_0883/fåglar/A 10781-2025 prioriterade fågelarter.docx", "A 10781-2025")</f>
        <v/>
      </c>
    </row>
    <row r="94" ht="15" customHeight="1">
      <c r="A94" t="inlineStr">
        <is>
          <t>A 9097-2021</t>
        </is>
      </c>
      <c r="B94" s="1" t="n">
        <v>44249</v>
      </c>
      <c r="C94" s="1" t="n">
        <v>45971</v>
      </c>
      <c r="D94" t="inlineStr">
        <is>
          <t>KALMAR LÄN</t>
        </is>
      </c>
      <c r="E94" t="inlineStr">
        <is>
          <t>VÄSTERVIK</t>
        </is>
      </c>
      <c r="F94" t="inlineStr">
        <is>
          <t>Sveaskog</t>
        </is>
      </c>
      <c r="G94" t="n">
        <v>1.9</v>
      </c>
      <c r="H94" t="n">
        <v>0</v>
      </c>
      <c r="I94" t="n">
        <v>1</v>
      </c>
      <c r="J94" t="n">
        <v>2</v>
      </c>
      <c r="K94" t="n">
        <v>0</v>
      </c>
      <c r="L94" t="n">
        <v>0</v>
      </c>
      <c r="M94" t="n">
        <v>0</v>
      </c>
      <c r="N94" t="n">
        <v>0</v>
      </c>
      <c r="O94" t="n">
        <v>2</v>
      </c>
      <c r="P94" t="n">
        <v>0</v>
      </c>
      <c r="Q94" t="n">
        <v>3</v>
      </c>
      <c r="R94" s="2" t="inlineStr">
        <is>
          <t>Tallticka
Vedskivlav
Vätteros</t>
        </is>
      </c>
      <c r="S94">
        <f>HYPERLINK("https://klasma.github.io/Logging_0883/artfynd/A 9097-2021 artfynd.xlsx", "A 9097-2021")</f>
        <v/>
      </c>
      <c r="T94">
        <f>HYPERLINK("https://klasma.github.io/Logging_0883/kartor/A 9097-2021 karta.png", "A 9097-2021")</f>
        <v/>
      </c>
      <c r="V94">
        <f>HYPERLINK("https://klasma.github.io/Logging_0883/klagomål/A 9097-2021 FSC-klagomål.docx", "A 9097-2021")</f>
        <v/>
      </c>
      <c r="W94">
        <f>HYPERLINK("https://klasma.github.io/Logging_0883/klagomålsmail/A 9097-2021 FSC-klagomål mail.docx", "A 9097-2021")</f>
        <v/>
      </c>
      <c r="X94">
        <f>HYPERLINK("https://klasma.github.io/Logging_0883/tillsyn/A 9097-2021 tillsynsbegäran.docx", "A 9097-2021")</f>
        <v/>
      </c>
      <c r="Y94">
        <f>HYPERLINK("https://klasma.github.io/Logging_0883/tillsynsmail/A 9097-2021 tillsynsbegäran mail.docx", "A 9097-2021")</f>
        <v/>
      </c>
    </row>
    <row r="95" ht="15" customHeight="1">
      <c r="A95" t="inlineStr">
        <is>
          <t>A 12708-2023</t>
        </is>
      </c>
      <c r="B95" s="1" t="n">
        <v>45000</v>
      </c>
      <c r="C95" s="1" t="n">
        <v>45971</v>
      </c>
      <c r="D95" t="inlineStr">
        <is>
          <t>KALMAR LÄN</t>
        </is>
      </c>
      <c r="E95" t="inlineStr">
        <is>
          <t>VÄSTERVIK</t>
        </is>
      </c>
      <c r="G95" t="n">
        <v>8.6</v>
      </c>
      <c r="H95" t="n">
        <v>2</v>
      </c>
      <c r="I95" t="n">
        <v>0</v>
      </c>
      <c r="J95" t="n">
        <v>2</v>
      </c>
      <c r="K95" t="n">
        <v>1</v>
      </c>
      <c r="L95" t="n">
        <v>0</v>
      </c>
      <c r="M95" t="n">
        <v>0</v>
      </c>
      <c r="N95" t="n">
        <v>0</v>
      </c>
      <c r="O95" t="n">
        <v>3</v>
      </c>
      <c r="P95" t="n">
        <v>1</v>
      </c>
      <c r="Q95" t="n">
        <v>3</v>
      </c>
      <c r="R95" s="2" t="inlineStr">
        <is>
          <t>Knärot
Tallticka
Talltita</t>
        </is>
      </c>
      <c r="S95">
        <f>HYPERLINK("https://klasma.github.io/Logging_0883/artfynd/A 12708-2023 artfynd.xlsx", "A 12708-2023")</f>
        <v/>
      </c>
      <c r="T95">
        <f>HYPERLINK("https://klasma.github.io/Logging_0883/kartor/A 12708-2023 karta.png", "A 12708-2023")</f>
        <v/>
      </c>
      <c r="U95">
        <f>HYPERLINK("https://klasma.github.io/Logging_0883/knärot/A 12708-2023 karta knärot.png", "A 12708-2023")</f>
        <v/>
      </c>
      <c r="V95">
        <f>HYPERLINK("https://klasma.github.io/Logging_0883/klagomål/A 12708-2023 FSC-klagomål.docx", "A 12708-2023")</f>
        <v/>
      </c>
      <c r="W95">
        <f>HYPERLINK("https://klasma.github.io/Logging_0883/klagomålsmail/A 12708-2023 FSC-klagomål mail.docx", "A 12708-2023")</f>
        <v/>
      </c>
      <c r="X95">
        <f>HYPERLINK("https://klasma.github.io/Logging_0883/tillsyn/A 12708-2023 tillsynsbegäran.docx", "A 12708-2023")</f>
        <v/>
      </c>
      <c r="Y95">
        <f>HYPERLINK("https://klasma.github.io/Logging_0883/tillsynsmail/A 12708-2023 tillsynsbegäran mail.docx", "A 12708-2023")</f>
        <v/>
      </c>
      <c r="Z95">
        <f>HYPERLINK("https://klasma.github.io/Logging_0883/fåglar/A 12708-2023 prioriterade fågelarter.docx", "A 12708-2023")</f>
        <v/>
      </c>
    </row>
    <row r="96" ht="15" customHeight="1">
      <c r="A96" t="inlineStr">
        <is>
          <t>A 8620-2024</t>
        </is>
      </c>
      <c r="B96" s="1" t="n">
        <v>45355.74270833333</v>
      </c>
      <c r="C96" s="1" t="n">
        <v>45971</v>
      </c>
      <c r="D96" t="inlineStr">
        <is>
          <t>KALMAR LÄN</t>
        </is>
      </c>
      <c r="E96" t="inlineStr">
        <is>
          <t>VÄSTERVIK</t>
        </is>
      </c>
      <c r="G96" t="n">
        <v>0.9</v>
      </c>
      <c r="H96" t="n">
        <v>2</v>
      </c>
      <c r="I96" t="n">
        <v>1</v>
      </c>
      <c r="J96" t="n">
        <v>1</v>
      </c>
      <c r="K96" t="n">
        <v>1</v>
      </c>
      <c r="L96" t="n">
        <v>0</v>
      </c>
      <c r="M96" t="n">
        <v>0</v>
      </c>
      <c r="N96" t="n">
        <v>0</v>
      </c>
      <c r="O96" t="n">
        <v>2</v>
      </c>
      <c r="P96" t="n">
        <v>1</v>
      </c>
      <c r="Q96" t="n">
        <v>3</v>
      </c>
      <c r="R96" s="2" t="inlineStr">
        <is>
          <t>Knärot
Talltita
Blodticka</t>
        </is>
      </c>
      <c r="S96">
        <f>HYPERLINK("https://klasma.github.io/Logging_0883/artfynd/A 8620-2024 artfynd.xlsx", "A 8620-2024")</f>
        <v/>
      </c>
      <c r="T96">
        <f>HYPERLINK("https://klasma.github.io/Logging_0883/kartor/A 8620-2024 karta.png", "A 8620-2024")</f>
        <v/>
      </c>
      <c r="U96">
        <f>HYPERLINK("https://klasma.github.io/Logging_0883/knärot/A 8620-2024 karta knärot.png", "A 8620-2024")</f>
        <v/>
      </c>
      <c r="V96">
        <f>HYPERLINK("https://klasma.github.io/Logging_0883/klagomål/A 8620-2024 FSC-klagomål.docx", "A 8620-2024")</f>
        <v/>
      </c>
      <c r="W96">
        <f>HYPERLINK("https://klasma.github.io/Logging_0883/klagomålsmail/A 8620-2024 FSC-klagomål mail.docx", "A 8620-2024")</f>
        <v/>
      </c>
      <c r="X96">
        <f>HYPERLINK("https://klasma.github.io/Logging_0883/tillsyn/A 8620-2024 tillsynsbegäran.docx", "A 8620-2024")</f>
        <v/>
      </c>
      <c r="Y96">
        <f>HYPERLINK("https://klasma.github.io/Logging_0883/tillsynsmail/A 8620-2024 tillsynsbegäran mail.docx", "A 8620-2024")</f>
        <v/>
      </c>
      <c r="Z96">
        <f>HYPERLINK("https://klasma.github.io/Logging_0883/fåglar/A 8620-2024 prioriterade fågelarter.docx", "A 8620-2024")</f>
        <v/>
      </c>
    </row>
    <row r="97" ht="15" customHeight="1">
      <c r="A97" t="inlineStr">
        <is>
          <t>A 2340-2025</t>
        </is>
      </c>
      <c r="B97" s="1" t="n">
        <v>45673</v>
      </c>
      <c r="C97" s="1" t="n">
        <v>45971</v>
      </c>
      <c r="D97" t="inlineStr">
        <is>
          <t>KALMAR LÄN</t>
        </is>
      </c>
      <c r="E97" t="inlineStr">
        <is>
          <t>VÄSTERVIK</t>
        </is>
      </c>
      <c r="G97" t="n">
        <v>3.5</v>
      </c>
      <c r="H97" t="n">
        <v>3</v>
      </c>
      <c r="I97" t="n">
        <v>0</v>
      </c>
      <c r="J97" t="n">
        <v>2</v>
      </c>
      <c r="K97" t="n">
        <v>0</v>
      </c>
      <c r="L97" t="n">
        <v>0</v>
      </c>
      <c r="M97" t="n">
        <v>0</v>
      </c>
      <c r="N97" t="n">
        <v>0</v>
      </c>
      <c r="O97" t="n">
        <v>2</v>
      </c>
      <c r="P97" t="n">
        <v>0</v>
      </c>
      <c r="Q97" t="n">
        <v>3</v>
      </c>
      <c r="R97" s="2" t="inlineStr">
        <is>
          <t>Spillkråka
Talltita
Kungsfågel</t>
        </is>
      </c>
      <c r="S97">
        <f>HYPERLINK("https://klasma.github.io/Logging_0883/artfynd/A 2340-2025 artfynd.xlsx", "A 2340-2025")</f>
        <v/>
      </c>
      <c r="T97">
        <f>HYPERLINK("https://klasma.github.io/Logging_0883/kartor/A 2340-2025 karta.png", "A 2340-2025")</f>
        <v/>
      </c>
      <c r="U97">
        <f>HYPERLINK("https://klasma.github.io/Logging_0883/knärot/A 2340-2025 karta knärot.png", "A 2340-2025")</f>
        <v/>
      </c>
      <c r="V97">
        <f>HYPERLINK("https://klasma.github.io/Logging_0883/klagomål/A 2340-2025 FSC-klagomål.docx", "A 2340-2025")</f>
        <v/>
      </c>
      <c r="W97">
        <f>HYPERLINK("https://klasma.github.io/Logging_0883/klagomålsmail/A 2340-2025 FSC-klagomål mail.docx", "A 2340-2025")</f>
        <v/>
      </c>
      <c r="X97">
        <f>HYPERLINK("https://klasma.github.io/Logging_0883/tillsyn/A 2340-2025 tillsynsbegäran.docx", "A 2340-2025")</f>
        <v/>
      </c>
      <c r="Y97">
        <f>HYPERLINK("https://klasma.github.io/Logging_0883/tillsynsmail/A 2340-2025 tillsynsbegäran mail.docx", "A 2340-2025")</f>
        <v/>
      </c>
      <c r="Z97">
        <f>HYPERLINK("https://klasma.github.io/Logging_0883/fåglar/A 2340-2025 prioriterade fågelarter.docx", "A 2340-2025")</f>
        <v/>
      </c>
    </row>
    <row r="98" ht="15" customHeight="1">
      <c r="A98" t="inlineStr">
        <is>
          <t>A 48318-2024</t>
        </is>
      </c>
      <c r="B98" s="1" t="n">
        <v>45590.49690972222</v>
      </c>
      <c r="C98" s="1" t="n">
        <v>45971</v>
      </c>
      <c r="D98" t="inlineStr">
        <is>
          <t>KALMAR LÄN</t>
        </is>
      </c>
      <c r="E98" t="inlineStr">
        <is>
          <t>VÄSTERVIK</t>
        </is>
      </c>
      <c r="F98" t="inlineStr">
        <is>
          <t>Holmen skog AB</t>
        </is>
      </c>
      <c r="G98" t="n">
        <v>4</v>
      </c>
      <c r="H98" t="n">
        <v>3</v>
      </c>
      <c r="I98" t="n">
        <v>0</v>
      </c>
      <c r="J98" t="n">
        <v>3</v>
      </c>
      <c r="K98" t="n">
        <v>0</v>
      </c>
      <c r="L98" t="n">
        <v>0</v>
      </c>
      <c r="M98" t="n">
        <v>0</v>
      </c>
      <c r="N98" t="n">
        <v>0</v>
      </c>
      <c r="O98" t="n">
        <v>3</v>
      </c>
      <c r="P98" t="n">
        <v>0</v>
      </c>
      <c r="Q98" t="n">
        <v>3</v>
      </c>
      <c r="R98" s="2" t="inlineStr">
        <is>
          <t>Entita
Spillkråka
Talltita</t>
        </is>
      </c>
      <c r="S98">
        <f>HYPERLINK("https://klasma.github.io/Logging_0883/artfynd/A 48318-2024 artfynd.xlsx", "A 48318-2024")</f>
        <v/>
      </c>
      <c r="T98">
        <f>HYPERLINK("https://klasma.github.io/Logging_0883/kartor/A 48318-2024 karta.png", "A 48318-2024")</f>
        <v/>
      </c>
      <c r="U98">
        <f>HYPERLINK("https://klasma.github.io/Logging_0883/knärot/A 48318-2024 karta knärot.png", "A 48318-2024")</f>
        <v/>
      </c>
      <c r="V98">
        <f>HYPERLINK("https://klasma.github.io/Logging_0883/klagomål/A 48318-2024 FSC-klagomål.docx", "A 48318-2024")</f>
        <v/>
      </c>
      <c r="W98">
        <f>HYPERLINK("https://klasma.github.io/Logging_0883/klagomålsmail/A 48318-2024 FSC-klagomål mail.docx", "A 48318-2024")</f>
        <v/>
      </c>
      <c r="X98">
        <f>HYPERLINK("https://klasma.github.io/Logging_0883/tillsyn/A 48318-2024 tillsynsbegäran.docx", "A 48318-2024")</f>
        <v/>
      </c>
      <c r="Y98">
        <f>HYPERLINK("https://klasma.github.io/Logging_0883/tillsynsmail/A 48318-2024 tillsynsbegäran mail.docx", "A 48318-2024")</f>
        <v/>
      </c>
      <c r="Z98">
        <f>HYPERLINK("https://klasma.github.io/Logging_0883/fåglar/A 48318-2024 prioriterade fågelarter.docx", "A 48318-2024")</f>
        <v/>
      </c>
    </row>
    <row r="99" ht="15" customHeight="1">
      <c r="A99" t="inlineStr">
        <is>
          <t>A 27700-2024</t>
        </is>
      </c>
      <c r="B99" s="1" t="n">
        <v>45475.35597222222</v>
      </c>
      <c r="C99" s="1" t="n">
        <v>45971</v>
      </c>
      <c r="D99" t="inlineStr">
        <is>
          <t>KALMAR LÄN</t>
        </is>
      </c>
      <c r="E99" t="inlineStr">
        <is>
          <t>VÄSTERVIK</t>
        </is>
      </c>
      <c r="F99" t="inlineStr">
        <is>
          <t>Holmen skog AB</t>
        </is>
      </c>
      <c r="G99" t="n">
        <v>1.1</v>
      </c>
      <c r="H99" t="n">
        <v>1</v>
      </c>
      <c r="I99" t="n">
        <v>2</v>
      </c>
      <c r="J99" t="n">
        <v>1</v>
      </c>
      <c r="K99" t="n">
        <v>0</v>
      </c>
      <c r="L99" t="n">
        <v>0</v>
      </c>
      <c r="M99" t="n">
        <v>0</v>
      </c>
      <c r="N99" t="n">
        <v>0</v>
      </c>
      <c r="O99" t="n">
        <v>1</v>
      </c>
      <c r="P99" t="n">
        <v>0</v>
      </c>
      <c r="Q99" t="n">
        <v>3</v>
      </c>
      <c r="R99" s="2" t="inlineStr">
        <is>
          <t>Spillkråka
Blåmossa
Zontaggsvamp</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804-2023</t>
        </is>
      </c>
      <c r="B100" s="1" t="n">
        <v>44931</v>
      </c>
      <c r="C100" s="1" t="n">
        <v>45971</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52992-2024</t>
        </is>
      </c>
      <c r="B101" s="1" t="n">
        <v>45611</v>
      </c>
      <c r="C101" s="1" t="n">
        <v>45971</v>
      </c>
      <c r="D101" t="inlineStr">
        <is>
          <t>KALMAR LÄN</t>
        </is>
      </c>
      <c r="E101" t="inlineStr">
        <is>
          <t>VÄSTERVIK</t>
        </is>
      </c>
      <c r="F101" t="inlineStr">
        <is>
          <t>Holmen skog AB</t>
        </is>
      </c>
      <c r="G101" t="n">
        <v>5.5</v>
      </c>
      <c r="H101" t="n">
        <v>2</v>
      </c>
      <c r="I101" t="n">
        <v>1</v>
      </c>
      <c r="J101" t="n">
        <v>2</v>
      </c>
      <c r="K101" t="n">
        <v>0</v>
      </c>
      <c r="L101" t="n">
        <v>0</v>
      </c>
      <c r="M101" t="n">
        <v>0</v>
      </c>
      <c r="N101" t="n">
        <v>0</v>
      </c>
      <c r="O101" t="n">
        <v>2</v>
      </c>
      <c r="P101" t="n">
        <v>0</v>
      </c>
      <c r="Q101" t="n">
        <v>3</v>
      </c>
      <c r="R101" s="2" t="inlineStr">
        <is>
          <t>Spillkråka
Talltita
Brandticka</t>
        </is>
      </c>
      <c r="S101">
        <f>HYPERLINK("https://klasma.github.io/Logging_0883/artfynd/A 52992-2024 artfynd.xlsx", "A 52992-2024")</f>
        <v/>
      </c>
      <c r="T101">
        <f>HYPERLINK("https://klasma.github.io/Logging_0883/kartor/A 52992-2024 karta.png", "A 52992-2024")</f>
        <v/>
      </c>
      <c r="V101">
        <f>HYPERLINK("https://klasma.github.io/Logging_0883/klagomål/A 52992-2024 FSC-klagomål.docx", "A 52992-2024")</f>
        <v/>
      </c>
      <c r="W101">
        <f>HYPERLINK("https://klasma.github.io/Logging_0883/klagomålsmail/A 52992-2024 FSC-klagomål mail.docx", "A 52992-2024")</f>
        <v/>
      </c>
      <c r="X101">
        <f>HYPERLINK("https://klasma.github.io/Logging_0883/tillsyn/A 52992-2024 tillsynsbegäran.docx", "A 52992-2024")</f>
        <v/>
      </c>
      <c r="Y101">
        <f>HYPERLINK("https://klasma.github.io/Logging_0883/tillsynsmail/A 52992-2024 tillsynsbegäran mail.docx", "A 52992-2024")</f>
        <v/>
      </c>
      <c r="Z101">
        <f>HYPERLINK("https://klasma.github.io/Logging_0883/fåglar/A 52992-2024 prioriterade fågelarter.docx", "A 52992-2024")</f>
        <v/>
      </c>
    </row>
    <row r="102" ht="15" customHeight="1">
      <c r="A102" t="inlineStr">
        <is>
          <t>A 42353-2023</t>
        </is>
      </c>
      <c r="B102" s="1" t="n">
        <v>45180</v>
      </c>
      <c r="C102" s="1" t="n">
        <v>45971</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55506-2022</t>
        </is>
      </c>
      <c r="B103" s="1" t="n">
        <v>44887</v>
      </c>
      <c r="C103" s="1" t="n">
        <v>45971</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16948-2024</t>
        </is>
      </c>
      <c r="B104" s="1" t="n">
        <v>45411</v>
      </c>
      <c r="C104" s="1" t="n">
        <v>45971</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21084-2025</t>
        </is>
      </c>
      <c r="B105" s="1" t="n">
        <v>45777.6084837963</v>
      </c>
      <c r="C105" s="1" t="n">
        <v>45971</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58750-2024</t>
        </is>
      </c>
      <c r="B106" s="1" t="n">
        <v>45635.71747685185</v>
      </c>
      <c r="C106" s="1" t="n">
        <v>45971</v>
      </c>
      <c r="D106" t="inlineStr">
        <is>
          <t>KALMAR LÄN</t>
        </is>
      </c>
      <c r="E106" t="inlineStr">
        <is>
          <t>VÄSTERVIK</t>
        </is>
      </c>
      <c r="G106" t="n">
        <v>6.7</v>
      </c>
      <c r="H106" t="n">
        <v>1</v>
      </c>
      <c r="I106" t="n">
        <v>1</v>
      </c>
      <c r="J106" t="n">
        <v>1</v>
      </c>
      <c r="K106" t="n">
        <v>1</v>
      </c>
      <c r="L106" t="n">
        <v>0</v>
      </c>
      <c r="M106" t="n">
        <v>0</v>
      </c>
      <c r="N106" t="n">
        <v>0</v>
      </c>
      <c r="O106" t="n">
        <v>2</v>
      </c>
      <c r="P106" t="n">
        <v>1</v>
      </c>
      <c r="Q106" t="n">
        <v>3</v>
      </c>
      <c r="R106" s="2" t="inlineStr">
        <is>
          <t>Knärot
Tallticka
Blåmossa</t>
        </is>
      </c>
      <c r="S106">
        <f>HYPERLINK("https://klasma.github.io/Logging_0883/artfynd/A 58750-2024 artfynd.xlsx", "A 58750-2024")</f>
        <v/>
      </c>
      <c r="T106">
        <f>HYPERLINK("https://klasma.github.io/Logging_0883/kartor/A 58750-2024 karta.png", "A 58750-2024")</f>
        <v/>
      </c>
      <c r="U106">
        <f>HYPERLINK("https://klasma.github.io/Logging_0883/knärot/A 58750-2024 karta knärot.png", "A 58750-2024")</f>
        <v/>
      </c>
      <c r="V106">
        <f>HYPERLINK("https://klasma.github.io/Logging_0883/klagomål/A 58750-2024 FSC-klagomål.docx", "A 58750-2024")</f>
        <v/>
      </c>
      <c r="W106">
        <f>HYPERLINK("https://klasma.github.io/Logging_0883/klagomålsmail/A 58750-2024 FSC-klagomål mail.docx", "A 58750-2024")</f>
        <v/>
      </c>
      <c r="X106">
        <f>HYPERLINK("https://klasma.github.io/Logging_0883/tillsyn/A 58750-2024 tillsynsbegäran.docx", "A 58750-2024")</f>
        <v/>
      </c>
      <c r="Y106">
        <f>HYPERLINK("https://klasma.github.io/Logging_0883/tillsynsmail/A 58750-2024 tillsynsbegäran mail.docx", "A 58750-2024")</f>
        <v/>
      </c>
    </row>
    <row r="107" ht="15" customHeight="1">
      <c r="A107" t="inlineStr">
        <is>
          <t>A 27067-2024</t>
        </is>
      </c>
      <c r="B107" s="1" t="n">
        <v>45471</v>
      </c>
      <c r="C107" s="1" t="n">
        <v>45971</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49560-2025</t>
        </is>
      </c>
      <c r="B108" s="1" t="n">
        <v>45939.46140046296</v>
      </c>
      <c r="C108" s="1" t="n">
        <v>45971</v>
      </c>
      <c r="D108" t="inlineStr">
        <is>
          <t>KALMAR LÄN</t>
        </is>
      </c>
      <c r="E108" t="inlineStr">
        <is>
          <t>VÄSTERVIK</t>
        </is>
      </c>
      <c r="F108" t="inlineStr">
        <is>
          <t>Holmen skog AB</t>
        </is>
      </c>
      <c r="G108" t="n">
        <v>1.9</v>
      </c>
      <c r="H108" t="n">
        <v>2</v>
      </c>
      <c r="I108" t="n">
        <v>1</v>
      </c>
      <c r="J108" t="n">
        <v>1</v>
      </c>
      <c r="K108" t="n">
        <v>1</v>
      </c>
      <c r="L108" t="n">
        <v>0</v>
      </c>
      <c r="M108" t="n">
        <v>0</v>
      </c>
      <c r="N108" t="n">
        <v>0</v>
      </c>
      <c r="O108" t="n">
        <v>2</v>
      </c>
      <c r="P108" t="n">
        <v>1</v>
      </c>
      <c r="Q108" t="n">
        <v>3</v>
      </c>
      <c r="R108" s="2" t="inlineStr">
        <is>
          <t>Knärot
Spillkråka
Dropptaggsvamp</t>
        </is>
      </c>
      <c r="S108">
        <f>HYPERLINK("https://klasma.github.io/Logging_0883/artfynd/A 49560-2025 artfynd.xlsx", "A 49560-2025")</f>
        <v/>
      </c>
      <c r="T108">
        <f>HYPERLINK("https://klasma.github.io/Logging_0883/kartor/A 49560-2025 karta.png", "A 49560-2025")</f>
        <v/>
      </c>
      <c r="U108">
        <f>HYPERLINK("https://klasma.github.io/Logging_0883/knärot/A 49560-2025 karta knärot.png", "A 49560-2025")</f>
        <v/>
      </c>
      <c r="V108">
        <f>HYPERLINK("https://klasma.github.io/Logging_0883/klagomål/A 49560-2025 FSC-klagomål.docx", "A 49560-2025")</f>
        <v/>
      </c>
      <c r="W108">
        <f>HYPERLINK("https://klasma.github.io/Logging_0883/klagomålsmail/A 49560-2025 FSC-klagomål mail.docx", "A 49560-2025")</f>
        <v/>
      </c>
      <c r="X108">
        <f>HYPERLINK("https://klasma.github.io/Logging_0883/tillsyn/A 49560-2025 tillsynsbegäran.docx", "A 49560-2025")</f>
        <v/>
      </c>
      <c r="Y108">
        <f>HYPERLINK("https://klasma.github.io/Logging_0883/tillsynsmail/A 49560-2025 tillsynsbegäran mail.docx", "A 49560-2025")</f>
        <v/>
      </c>
      <c r="Z108">
        <f>HYPERLINK("https://klasma.github.io/Logging_0883/fåglar/A 49560-2025 prioriterade fågelarter.docx", "A 49560-2025")</f>
        <v/>
      </c>
    </row>
    <row r="109" ht="15" customHeight="1">
      <c r="A109" t="inlineStr">
        <is>
          <t>A 41312-2025</t>
        </is>
      </c>
      <c r="B109" s="1" t="n">
        <v>45898.80314814814</v>
      </c>
      <c r="C109" s="1" t="n">
        <v>45971</v>
      </c>
      <c r="D109" t="inlineStr">
        <is>
          <t>KALMAR LÄN</t>
        </is>
      </c>
      <c r="E109" t="inlineStr">
        <is>
          <t>VÄSTERVIK</t>
        </is>
      </c>
      <c r="G109" t="n">
        <v>0.8</v>
      </c>
      <c r="H109" t="n">
        <v>2</v>
      </c>
      <c r="I109" t="n">
        <v>1</v>
      </c>
      <c r="J109" t="n">
        <v>2</v>
      </c>
      <c r="K109" t="n">
        <v>0</v>
      </c>
      <c r="L109" t="n">
        <v>0</v>
      </c>
      <c r="M109" t="n">
        <v>0</v>
      </c>
      <c r="N109" t="n">
        <v>0</v>
      </c>
      <c r="O109" t="n">
        <v>2</v>
      </c>
      <c r="P109" t="n">
        <v>0</v>
      </c>
      <c r="Q109" t="n">
        <v>3</v>
      </c>
      <c r="R109" s="2" t="inlineStr">
        <is>
          <t>Spillkråka
Talltita
Svart trolldruva</t>
        </is>
      </c>
      <c r="S109">
        <f>HYPERLINK("https://klasma.github.io/Logging_0883/artfynd/A 41312-2025 artfynd.xlsx", "A 41312-2025")</f>
        <v/>
      </c>
      <c r="T109">
        <f>HYPERLINK("https://klasma.github.io/Logging_0883/kartor/A 41312-2025 karta.png", "A 41312-2025")</f>
        <v/>
      </c>
      <c r="V109">
        <f>HYPERLINK("https://klasma.github.io/Logging_0883/klagomål/A 41312-2025 FSC-klagomål.docx", "A 41312-2025")</f>
        <v/>
      </c>
      <c r="W109">
        <f>HYPERLINK("https://klasma.github.io/Logging_0883/klagomålsmail/A 41312-2025 FSC-klagomål mail.docx", "A 41312-2025")</f>
        <v/>
      </c>
      <c r="X109">
        <f>HYPERLINK("https://klasma.github.io/Logging_0883/tillsyn/A 41312-2025 tillsynsbegäran.docx", "A 41312-2025")</f>
        <v/>
      </c>
      <c r="Y109">
        <f>HYPERLINK("https://klasma.github.io/Logging_0883/tillsynsmail/A 41312-2025 tillsynsbegäran mail.docx", "A 41312-2025")</f>
        <v/>
      </c>
      <c r="Z109">
        <f>HYPERLINK("https://klasma.github.io/Logging_0883/fåglar/A 41312-2025 prioriterade fågelarter.docx", "A 41312-2025")</f>
        <v/>
      </c>
    </row>
    <row r="110" ht="15" customHeight="1">
      <c r="A110" t="inlineStr">
        <is>
          <t>A 39190-2024</t>
        </is>
      </c>
      <c r="B110" s="1" t="n">
        <v>45548</v>
      </c>
      <c r="C110" s="1" t="n">
        <v>45971</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2657-2024</t>
        </is>
      </c>
      <c r="B111" s="1" t="n">
        <v>45314</v>
      </c>
      <c r="C111" s="1" t="n">
        <v>45971</v>
      </c>
      <c r="D111" t="inlineStr">
        <is>
          <t>KALMAR LÄN</t>
        </is>
      </c>
      <c r="E111" t="inlineStr">
        <is>
          <t>VÄSTERVIK</t>
        </is>
      </c>
      <c r="G111" t="n">
        <v>5.9</v>
      </c>
      <c r="H111" t="n">
        <v>2</v>
      </c>
      <c r="I111" t="n">
        <v>1</v>
      </c>
      <c r="J111" t="n">
        <v>1</v>
      </c>
      <c r="K111" t="n">
        <v>1</v>
      </c>
      <c r="L111" t="n">
        <v>0</v>
      </c>
      <c r="M111" t="n">
        <v>0</v>
      </c>
      <c r="N111" t="n">
        <v>0</v>
      </c>
      <c r="O111" t="n">
        <v>2</v>
      </c>
      <c r="P111" t="n">
        <v>1</v>
      </c>
      <c r="Q111" t="n">
        <v>3</v>
      </c>
      <c r="R111" s="2" t="inlineStr">
        <is>
          <t>Knärot
Spillkråka
Grönpyrola</t>
        </is>
      </c>
      <c r="S111">
        <f>HYPERLINK("https://klasma.github.io/Logging_0883/artfynd/A 2657-2024 artfynd.xlsx", "A 2657-2024")</f>
        <v/>
      </c>
      <c r="T111">
        <f>HYPERLINK("https://klasma.github.io/Logging_0883/kartor/A 2657-2024 karta.png", "A 2657-2024")</f>
        <v/>
      </c>
      <c r="U111">
        <f>HYPERLINK("https://klasma.github.io/Logging_0883/knärot/A 2657-2024 karta knärot.png", "A 2657-2024")</f>
        <v/>
      </c>
      <c r="V111">
        <f>HYPERLINK("https://klasma.github.io/Logging_0883/klagomål/A 2657-2024 FSC-klagomål.docx", "A 2657-2024")</f>
        <v/>
      </c>
      <c r="W111">
        <f>HYPERLINK("https://klasma.github.io/Logging_0883/klagomålsmail/A 2657-2024 FSC-klagomål mail.docx", "A 2657-2024")</f>
        <v/>
      </c>
      <c r="X111">
        <f>HYPERLINK("https://klasma.github.io/Logging_0883/tillsyn/A 2657-2024 tillsynsbegäran.docx", "A 2657-2024")</f>
        <v/>
      </c>
      <c r="Y111">
        <f>HYPERLINK("https://klasma.github.io/Logging_0883/tillsynsmail/A 2657-2024 tillsynsbegäran mail.docx", "A 2657-2024")</f>
        <v/>
      </c>
      <c r="Z111">
        <f>HYPERLINK("https://klasma.github.io/Logging_0883/fåglar/A 2657-2024 prioriterade fågelarter.docx", "A 2657-2024")</f>
        <v/>
      </c>
    </row>
    <row r="112" ht="15" customHeight="1">
      <c r="A112" t="inlineStr">
        <is>
          <t>A 21658-2025</t>
        </is>
      </c>
      <c r="B112" s="1" t="n">
        <v>45783.45474537037</v>
      </c>
      <c r="C112" s="1" t="n">
        <v>45971</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4454-2025</t>
        </is>
      </c>
      <c r="B113" s="1" t="n">
        <v>45686</v>
      </c>
      <c r="C113" s="1" t="n">
        <v>45971</v>
      </c>
      <c r="D113" t="inlineStr">
        <is>
          <t>KALMAR LÄN</t>
        </is>
      </c>
      <c r="E113" t="inlineStr">
        <is>
          <t>VÄSTERVIK</t>
        </is>
      </c>
      <c r="G113" t="n">
        <v>1</v>
      </c>
      <c r="H113" t="n">
        <v>2</v>
      </c>
      <c r="I113" t="n">
        <v>1</v>
      </c>
      <c r="J113" t="n">
        <v>0</v>
      </c>
      <c r="K113" t="n">
        <v>1</v>
      </c>
      <c r="L113" t="n">
        <v>0</v>
      </c>
      <c r="M113" t="n">
        <v>0</v>
      </c>
      <c r="N113" t="n">
        <v>0</v>
      </c>
      <c r="O113" t="n">
        <v>1</v>
      </c>
      <c r="P113" t="n">
        <v>1</v>
      </c>
      <c r="Q113" t="n">
        <v>3</v>
      </c>
      <c r="R113" s="2" t="inlineStr">
        <is>
          <t>Knärot
Grönpyrola
Kungsfågel</t>
        </is>
      </c>
      <c r="S113">
        <f>HYPERLINK("https://klasma.github.io/Logging_0883/artfynd/A 4454-2025 artfynd.xlsx", "A 4454-2025")</f>
        <v/>
      </c>
      <c r="T113">
        <f>HYPERLINK("https://klasma.github.io/Logging_0883/kartor/A 4454-2025 karta.png", "A 4454-2025")</f>
        <v/>
      </c>
      <c r="U113">
        <f>HYPERLINK("https://klasma.github.io/Logging_0883/knärot/A 4454-2025 karta knärot.png", "A 4454-2025")</f>
        <v/>
      </c>
      <c r="V113">
        <f>HYPERLINK("https://klasma.github.io/Logging_0883/klagomål/A 4454-2025 FSC-klagomål.docx", "A 4454-2025")</f>
        <v/>
      </c>
      <c r="W113">
        <f>HYPERLINK("https://klasma.github.io/Logging_0883/klagomålsmail/A 4454-2025 FSC-klagomål mail.docx", "A 4454-2025")</f>
        <v/>
      </c>
      <c r="X113">
        <f>HYPERLINK("https://klasma.github.io/Logging_0883/tillsyn/A 4454-2025 tillsynsbegäran.docx", "A 4454-2025")</f>
        <v/>
      </c>
      <c r="Y113">
        <f>HYPERLINK("https://klasma.github.io/Logging_0883/tillsynsmail/A 4454-2025 tillsynsbegäran mail.docx", "A 4454-2025")</f>
        <v/>
      </c>
      <c r="Z113">
        <f>HYPERLINK("https://klasma.github.io/Logging_0883/fåglar/A 4454-2025 prioriterade fågelarter.docx", "A 4454-2025")</f>
        <v/>
      </c>
    </row>
    <row r="114" ht="15" customHeight="1">
      <c r="A114" t="inlineStr">
        <is>
          <t>A 53849-2025</t>
        </is>
      </c>
      <c r="B114" s="1" t="n">
        <v>45961.36885416666</v>
      </c>
      <c r="C114" s="1" t="n">
        <v>45971</v>
      </c>
      <c r="D114" t="inlineStr">
        <is>
          <t>KALMAR LÄN</t>
        </is>
      </c>
      <c r="E114" t="inlineStr">
        <is>
          <t>VÄSTERVIK</t>
        </is>
      </c>
      <c r="F114" t="inlineStr">
        <is>
          <t>Sveaskog</t>
        </is>
      </c>
      <c r="G114" t="n">
        <v>3.4</v>
      </c>
      <c r="H114" t="n">
        <v>1</v>
      </c>
      <c r="I114" t="n">
        <v>2</v>
      </c>
      <c r="J114" t="n">
        <v>0</v>
      </c>
      <c r="K114" t="n">
        <v>0</v>
      </c>
      <c r="L114" t="n">
        <v>0</v>
      </c>
      <c r="M114" t="n">
        <v>0</v>
      </c>
      <c r="N114" t="n">
        <v>0</v>
      </c>
      <c r="O114" t="n">
        <v>0</v>
      </c>
      <c r="P114" t="n">
        <v>0</v>
      </c>
      <c r="Q114" t="n">
        <v>3</v>
      </c>
      <c r="R114" s="2" t="inlineStr">
        <is>
          <t>Fällmossa
Murgröna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row>
    <row r="115" ht="15" customHeight="1">
      <c r="A115" t="inlineStr">
        <is>
          <t>A 35705-2025</t>
        </is>
      </c>
      <c r="B115" s="1" t="n">
        <v>45860.36769675926</v>
      </c>
      <c r="C115" s="1" t="n">
        <v>45971</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31854-2025</t>
        </is>
      </c>
      <c r="B116" s="1" t="n">
        <v>45834</v>
      </c>
      <c r="C116" s="1" t="n">
        <v>45971</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1763-2025</t>
        </is>
      </c>
      <c r="B117" s="1" t="n">
        <v>45671</v>
      </c>
      <c r="C117" s="1" t="n">
        <v>45971</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13956-2025</t>
        </is>
      </c>
      <c r="B118" s="1" t="n">
        <v>45737</v>
      </c>
      <c r="C118" s="1" t="n">
        <v>45971</v>
      </c>
      <c r="D118" t="inlineStr">
        <is>
          <t>KALMAR LÄN</t>
        </is>
      </c>
      <c r="E118" t="inlineStr">
        <is>
          <t>VÄSTERVIK</t>
        </is>
      </c>
      <c r="G118" t="n">
        <v>2.5</v>
      </c>
      <c r="H118" t="n">
        <v>2</v>
      </c>
      <c r="I118" t="n">
        <v>1</v>
      </c>
      <c r="J118" t="n">
        <v>1</v>
      </c>
      <c r="K118" t="n">
        <v>1</v>
      </c>
      <c r="L118" t="n">
        <v>0</v>
      </c>
      <c r="M118" t="n">
        <v>0</v>
      </c>
      <c r="N118" t="n">
        <v>0</v>
      </c>
      <c r="O118" t="n">
        <v>2</v>
      </c>
      <c r="P118" t="n">
        <v>1</v>
      </c>
      <c r="Q118" t="n">
        <v>3</v>
      </c>
      <c r="R118" s="2" t="inlineStr">
        <is>
          <t>Knärot
Mindre hackspett
Grönpyrola</t>
        </is>
      </c>
      <c r="S118">
        <f>HYPERLINK("https://klasma.github.io/Logging_0883/artfynd/A 13956-2025 artfynd.xlsx", "A 13956-2025")</f>
        <v/>
      </c>
      <c r="T118">
        <f>HYPERLINK("https://klasma.github.io/Logging_0883/kartor/A 13956-2025 karta.png", "A 13956-2025")</f>
        <v/>
      </c>
      <c r="U118">
        <f>HYPERLINK("https://klasma.github.io/Logging_0883/knärot/A 13956-2025 karta knärot.png", "A 13956-2025")</f>
        <v/>
      </c>
      <c r="V118">
        <f>HYPERLINK("https://klasma.github.io/Logging_0883/klagomål/A 13956-2025 FSC-klagomål.docx", "A 13956-2025")</f>
        <v/>
      </c>
      <c r="W118">
        <f>HYPERLINK("https://klasma.github.io/Logging_0883/klagomålsmail/A 13956-2025 FSC-klagomål mail.docx", "A 13956-2025")</f>
        <v/>
      </c>
      <c r="X118">
        <f>HYPERLINK("https://klasma.github.io/Logging_0883/tillsyn/A 13956-2025 tillsynsbegäran.docx", "A 13956-2025")</f>
        <v/>
      </c>
      <c r="Y118">
        <f>HYPERLINK("https://klasma.github.io/Logging_0883/tillsynsmail/A 13956-2025 tillsynsbegäran mail.docx", "A 13956-2025")</f>
        <v/>
      </c>
      <c r="Z118">
        <f>HYPERLINK("https://klasma.github.io/Logging_0883/fåglar/A 13956-2025 prioriterade fågelarter.docx", "A 13956-2025")</f>
        <v/>
      </c>
    </row>
    <row r="119" ht="15" customHeight="1">
      <c r="A119" t="inlineStr">
        <is>
          <t>A 1764-2025</t>
        </is>
      </c>
      <c r="B119" s="1" t="n">
        <v>45671</v>
      </c>
      <c r="C119" s="1" t="n">
        <v>45971</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15595-2021</t>
        </is>
      </c>
      <c r="B120" s="1" t="n">
        <v>44285.66680555556</v>
      </c>
      <c r="C120" s="1" t="n">
        <v>45971</v>
      </c>
      <c r="D120" t="inlineStr">
        <is>
          <t>KALMAR LÄN</t>
        </is>
      </c>
      <c r="E120" t="inlineStr">
        <is>
          <t>VÄSTERVIK</t>
        </is>
      </c>
      <c r="G120" t="n">
        <v>0.6</v>
      </c>
      <c r="H120" t="n">
        <v>1</v>
      </c>
      <c r="I120" t="n">
        <v>0</v>
      </c>
      <c r="J120" t="n">
        <v>2</v>
      </c>
      <c r="K120" t="n">
        <v>0</v>
      </c>
      <c r="L120" t="n">
        <v>0</v>
      </c>
      <c r="M120" t="n">
        <v>0</v>
      </c>
      <c r="N120" t="n">
        <v>0</v>
      </c>
      <c r="O120" t="n">
        <v>2</v>
      </c>
      <c r="P120" t="n">
        <v>0</v>
      </c>
      <c r="Q120" t="n">
        <v>2</v>
      </c>
      <c r="R120" s="2" t="inlineStr">
        <is>
          <t>Spillkråka
Spindelört</t>
        </is>
      </c>
      <c r="S120">
        <f>HYPERLINK("https://klasma.github.io/Logging_0883/artfynd/A 15595-2021 artfynd.xlsx", "A 15595-2021")</f>
        <v/>
      </c>
      <c r="T120">
        <f>HYPERLINK("https://klasma.github.io/Logging_0883/kartor/A 15595-2021 karta.png", "A 15595-2021")</f>
        <v/>
      </c>
      <c r="V120">
        <f>HYPERLINK("https://klasma.github.io/Logging_0883/klagomål/A 15595-2021 FSC-klagomål.docx", "A 15595-2021")</f>
        <v/>
      </c>
      <c r="W120">
        <f>HYPERLINK("https://klasma.github.io/Logging_0883/klagomålsmail/A 15595-2021 FSC-klagomål mail.docx", "A 15595-2021")</f>
        <v/>
      </c>
      <c r="X120">
        <f>HYPERLINK("https://klasma.github.io/Logging_0883/tillsyn/A 15595-2021 tillsynsbegäran.docx", "A 15595-2021")</f>
        <v/>
      </c>
      <c r="Y120">
        <f>HYPERLINK("https://klasma.github.io/Logging_0883/tillsynsmail/A 15595-2021 tillsynsbegäran mail.docx", "A 15595-2021")</f>
        <v/>
      </c>
      <c r="Z120">
        <f>HYPERLINK("https://klasma.github.io/Logging_0883/fåglar/A 15595-2021 prioriterade fågelarter.docx", "A 15595-2021")</f>
        <v/>
      </c>
    </row>
    <row r="121" ht="15" customHeight="1">
      <c r="A121" t="inlineStr">
        <is>
          <t>A 3658-2024</t>
        </is>
      </c>
      <c r="B121" s="1" t="n">
        <v>45321</v>
      </c>
      <c r="C121" s="1" t="n">
        <v>45971</v>
      </c>
      <c r="D121" t="inlineStr">
        <is>
          <t>KALMAR LÄN</t>
        </is>
      </c>
      <c r="E121" t="inlineStr">
        <is>
          <t>VÄSTERVIK</t>
        </is>
      </c>
      <c r="G121" t="n">
        <v>2.6</v>
      </c>
      <c r="H121" t="n">
        <v>1</v>
      </c>
      <c r="I121" t="n">
        <v>0</v>
      </c>
      <c r="J121" t="n">
        <v>1</v>
      </c>
      <c r="K121" t="n">
        <v>1</v>
      </c>
      <c r="L121" t="n">
        <v>0</v>
      </c>
      <c r="M121" t="n">
        <v>0</v>
      </c>
      <c r="N121" t="n">
        <v>0</v>
      </c>
      <c r="O121" t="n">
        <v>2</v>
      </c>
      <c r="P121" t="n">
        <v>1</v>
      </c>
      <c r="Q121" t="n">
        <v>2</v>
      </c>
      <c r="R121" s="2" t="inlineStr">
        <is>
          <t>Knärot
Tallticka</t>
        </is>
      </c>
      <c r="S121">
        <f>HYPERLINK("https://klasma.github.io/Logging_0883/artfynd/A 3658-2024 artfynd.xlsx", "A 3658-2024")</f>
        <v/>
      </c>
      <c r="T121">
        <f>HYPERLINK("https://klasma.github.io/Logging_0883/kartor/A 3658-2024 karta.png", "A 3658-2024")</f>
        <v/>
      </c>
      <c r="U121">
        <f>HYPERLINK("https://klasma.github.io/Logging_0883/knärot/A 3658-2024 karta knärot.png", "A 3658-2024")</f>
        <v/>
      </c>
      <c r="V121">
        <f>HYPERLINK("https://klasma.github.io/Logging_0883/klagomål/A 3658-2024 FSC-klagomål.docx", "A 3658-2024")</f>
        <v/>
      </c>
      <c r="W121">
        <f>HYPERLINK("https://klasma.github.io/Logging_0883/klagomålsmail/A 3658-2024 FSC-klagomål mail.docx", "A 3658-2024")</f>
        <v/>
      </c>
      <c r="X121">
        <f>HYPERLINK("https://klasma.github.io/Logging_0883/tillsyn/A 3658-2024 tillsynsbegäran.docx", "A 3658-2024")</f>
        <v/>
      </c>
      <c r="Y121">
        <f>HYPERLINK("https://klasma.github.io/Logging_0883/tillsynsmail/A 3658-2024 tillsynsbegäran mail.docx", "A 3658-2024")</f>
        <v/>
      </c>
    </row>
    <row r="122" ht="15" customHeight="1">
      <c r="A122" t="inlineStr">
        <is>
          <t>A 11849-2024</t>
        </is>
      </c>
      <c r="B122" s="1" t="n">
        <v>45376.41797453703</v>
      </c>
      <c r="C122" s="1" t="n">
        <v>45971</v>
      </c>
      <c r="D122" t="inlineStr">
        <is>
          <t>KALMAR LÄN</t>
        </is>
      </c>
      <c r="E122" t="inlineStr">
        <is>
          <t>VÄSTERVIK</t>
        </is>
      </c>
      <c r="F122" t="inlineStr">
        <is>
          <t>Sveaskog</t>
        </is>
      </c>
      <c r="G122" t="n">
        <v>5.3</v>
      </c>
      <c r="H122" t="n">
        <v>2</v>
      </c>
      <c r="I122" t="n">
        <v>0</v>
      </c>
      <c r="J122" t="n">
        <v>0</v>
      </c>
      <c r="K122" t="n">
        <v>0</v>
      </c>
      <c r="L122" t="n">
        <v>0</v>
      </c>
      <c r="M122" t="n">
        <v>0</v>
      </c>
      <c r="N122" t="n">
        <v>0</v>
      </c>
      <c r="O122" t="n">
        <v>0</v>
      </c>
      <c r="P122" t="n">
        <v>0</v>
      </c>
      <c r="Q122" t="n">
        <v>2</v>
      </c>
      <c r="R122" s="2" t="inlineStr">
        <is>
          <t>Mattlummer
Revlummer</t>
        </is>
      </c>
      <c r="S122">
        <f>HYPERLINK("https://klasma.github.io/Logging_0883/artfynd/A 11849-2024 artfynd.xlsx", "A 11849-2024")</f>
        <v/>
      </c>
      <c r="T122">
        <f>HYPERLINK("https://klasma.github.io/Logging_0883/kartor/A 11849-2024 karta.png", "A 11849-2024")</f>
        <v/>
      </c>
      <c r="V122">
        <f>HYPERLINK("https://klasma.github.io/Logging_0883/klagomål/A 11849-2024 FSC-klagomål.docx", "A 11849-2024")</f>
        <v/>
      </c>
      <c r="W122">
        <f>HYPERLINK("https://klasma.github.io/Logging_0883/klagomålsmail/A 11849-2024 FSC-klagomål mail.docx", "A 11849-2024")</f>
        <v/>
      </c>
      <c r="X122">
        <f>HYPERLINK("https://klasma.github.io/Logging_0883/tillsyn/A 11849-2024 tillsynsbegäran.docx", "A 11849-2024")</f>
        <v/>
      </c>
      <c r="Y122">
        <f>HYPERLINK("https://klasma.github.io/Logging_0883/tillsynsmail/A 11849-2024 tillsynsbegäran mail.docx", "A 11849-2024")</f>
        <v/>
      </c>
    </row>
    <row r="123" ht="15" customHeight="1">
      <c r="A123" t="inlineStr">
        <is>
          <t>A 12212-2024</t>
        </is>
      </c>
      <c r="B123" s="1" t="n">
        <v>45378.31111111111</v>
      </c>
      <c r="C123" s="1" t="n">
        <v>45971</v>
      </c>
      <c r="D123" t="inlineStr">
        <is>
          <t>KALMAR LÄN</t>
        </is>
      </c>
      <c r="E123" t="inlineStr">
        <is>
          <t>VÄSTERVIK</t>
        </is>
      </c>
      <c r="G123" t="n">
        <v>0.8</v>
      </c>
      <c r="H123" t="n">
        <v>2</v>
      </c>
      <c r="I123" t="n">
        <v>0</v>
      </c>
      <c r="J123" t="n">
        <v>2</v>
      </c>
      <c r="K123" t="n">
        <v>0</v>
      </c>
      <c r="L123" t="n">
        <v>0</v>
      </c>
      <c r="M123" t="n">
        <v>0</v>
      </c>
      <c r="N123" t="n">
        <v>0</v>
      </c>
      <c r="O123" t="n">
        <v>2</v>
      </c>
      <c r="P123" t="n">
        <v>0</v>
      </c>
      <c r="Q123" t="n">
        <v>2</v>
      </c>
      <c r="R123" s="2" t="inlineStr">
        <is>
          <t>Spillkråka
Talltita</t>
        </is>
      </c>
      <c r="S123">
        <f>HYPERLINK("https://klasma.github.io/Logging_0883/artfynd/A 12212-2024 artfynd.xlsx", "A 12212-2024")</f>
        <v/>
      </c>
      <c r="T123">
        <f>HYPERLINK("https://klasma.github.io/Logging_0883/kartor/A 12212-2024 karta.png", "A 12212-2024")</f>
        <v/>
      </c>
      <c r="V123">
        <f>HYPERLINK("https://klasma.github.io/Logging_0883/klagomål/A 12212-2024 FSC-klagomål.docx", "A 12212-2024")</f>
        <v/>
      </c>
      <c r="W123">
        <f>HYPERLINK("https://klasma.github.io/Logging_0883/klagomålsmail/A 12212-2024 FSC-klagomål mail.docx", "A 12212-2024")</f>
        <v/>
      </c>
      <c r="X123">
        <f>HYPERLINK("https://klasma.github.io/Logging_0883/tillsyn/A 12212-2024 tillsynsbegäran.docx", "A 12212-2024")</f>
        <v/>
      </c>
      <c r="Y123">
        <f>HYPERLINK("https://klasma.github.io/Logging_0883/tillsynsmail/A 12212-2024 tillsynsbegäran mail.docx", "A 12212-2024")</f>
        <v/>
      </c>
      <c r="Z123">
        <f>HYPERLINK("https://klasma.github.io/Logging_0883/fåglar/A 12212-2024 prioriterade fågelarter.docx", "A 12212-2024")</f>
        <v/>
      </c>
    </row>
    <row r="124" ht="15" customHeight="1">
      <c r="A124" t="inlineStr">
        <is>
          <t>A 948-2024</t>
        </is>
      </c>
      <c r="B124" s="1" t="n">
        <v>45301</v>
      </c>
      <c r="C124" s="1" t="n">
        <v>45971</v>
      </c>
      <c r="D124" t="inlineStr">
        <is>
          <t>KALMAR LÄN</t>
        </is>
      </c>
      <c r="E124" t="inlineStr">
        <is>
          <t>VÄSTERVIK</t>
        </is>
      </c>
      <c r="G124" t="n">
        <v>4.5</v>
      </c>
      <c r="H124" t="n">
        <v>1</v>
      </c>
      <c r="I124" t="n">
        <v>1</v>
      </c>
      <c r="J124" t="n">
        <v>0</v>
      </c>
      <c r="K124" t="n">
        <v>0</v>
      </c>
      <c r="L124" t="n">
        <v>0</v>
      </c>
      <c r="M124" t="n">
        <v>0</v>
      </c>
      <c r="N124" t="n">
        <v>0</v>
      </c>
      <c r="O124" t="n">
        <v>0</v>
      </c>
      <c r="P124" t="n">
        <v>0</v>
      </c>
      <c r="Q124" t="n">
        <v>2</v>
      </c>
      <c r="R124" s="2" t="inlineStr">
        <is>
          <t>Dropptaggsvamp
Tjäder</t>
        </is>
      </c>
      <c r="S124">
        <f>HYPERLINK("https://klasma.github.io/Logging_0883/artfynd/A 948-2024 artfynd.xlsx", "A 948-2024")</f>
        <v/>
      </c>
      <c r="T124">
        <f>HYPERLINK("https://klasma.github.io/Logging_0883/kartor/A 948-2024 karta.png", "A 948-2024")</f>
        <v/>
      </c>
      <c r="V124">
        <f>HYPERLINK("https://klasma.github.io/Logging_0883/klagomål/A 948-2024 FSC-klagomål.docx", "A 948-2024")</f>
        <v/>
      </c>
      <c r="W124">
        <f>HYPERLINK("https://klasma.github.io/Logging_0883/klagomålsmail/A 948-2024 FSC-klagomål mail.docx", "A 948-2024")</f>
        <v/>
      </c>
      <c r="X124">
        <f>HYPERLINK("https://klasma.github.io/Logging_0883/tillsyn/A 948-2024 tillsynsbegäran.docx", "A 948-2024")</f>
        <v/>
      </c>
      <c r="Y124">
        <f>HYPERLINK("https://klasma.github.io/Logging_0883/tillsynsmail/A 948-2024 tillsynsbegäran mail.docx", "A 948-2024")</f>
        <v/>
      </c>
      <c r="Z124">
        <f>HYPERLINK("https://klasma.github.io/Logging_0883/fåglar/A 948-2024 prioriterade fågelarter.docx", "A 948-2024")</f>
        <v/>
      </c>
    </row>
    <row r="125" ht="15" customHeight="1">
      <c r="A125" t="inlineStr">
        <is>
          <t>A 1955-2021</t>
        </is>
      </c>
      <c r="B125" s="1" t="n">
        <v>44210</v>
      </c>
      <c r="C125" s="1" t="n">
        <v>45971</v>
      </c>
      <c r="D125" t="inlineStr">
        <is>
          <t>KALMAR LÄN</t>
        </is>
      </c>
      <c r="E125" t="inlineStr">
        <is>
          <t>VÄSTERVIK</t>
        </is>
      </c>
      <c r="G125" t="n">
        <v>5.3</v>
      </c>
      <c r="H125" t="n">
        <v>2</v>
      </c>
      <c r="I125" t="n">
        <v>0</v>
      </c>
      <c r="J125" t="n">
        <v>2</v>
      </c>
      <c r="K125" t="n">
        <v>0</v>
      </c>
      <c r="L125" t="n">
        <v>0</v>
      </c>
      <c r="M125" t="n">
        <v>0</v>
      </c>
      <c r="N125" t="n">
        <v>0</v>
      </c>
      <c r="O125" t="n">
        <v>2</v>
      </c>
      <c r="P125" t="n">
        <v>0</v>
      </c>
      <c r="Q125" t="n">
        <v>2</v>
      </c>
      <c r="R125" s="2" t="inlineStr">
        <is>
          <t>Spillkråka
Talltita</t>
        </is>
      </c>
      <c r="S125">
        <f>HYPERLINK("https://klasma.github.io/Logging_0883/artfynd/A 1955-2021 artfynd.xlsx", "A 1955-2021")</f>
        <v/>
      </c>
      <c r="T125">
        <f>HYPERLINK("https://klasma.github.io/Logging_0883/kartor/A 1955-2021 karta.png", "A 1955-2021")</f>
        <v/>
      </c>
      <c r="V125">
        <f>HYPERLINK("https://klasma.github.io/Logging_0883/klagomål/A 1955-2021 FSC-klagomål.docx", "A 1955-2021")</f>
        <v/>
      </c>
      <c r="W125">
        <f>HYPERLINK("https://klasma.github.io/Logging_0883/klagomålsmail/A 1955-2021 FSC-klagomål mail.docx", "A 1955-2021")</f>
        <v/>
      </c>
      <c r="X125">
        <f>HYPERLINK("https://klasma.github.io/Logging_0883/tillsyn/A 1955-2021 tillsynsbegäran.docx", "A 1955-2021")</f>
        <v/>
      </c>
      <c r="Y125">
        <f>HYPERLINK("https://klasma.github.io/Logging_0883/tillsynsmail/A 1955-2021 tillsynsbegäran mail.docx", "A 1955-2021")</f>
        <v/>
      </c>
      <c r="Z125">
        <f>HYPERLINK("https://klasma.github.io/Logging_0883/fåglar/A 1955-2021 prioriterade fågelarter.docx", "A 1955-2021")</f>
        <v/>
      </c>
    </row>
    <row r="126" ht="15" customHeight="1">
      <c r="A126" t="inlineStr">
        <is>
          <t>A 46552-2022</t>
        </is>
      </c>
      <c r="B126" s="1" t="n">
        <v>44848</v>
      </c>
      <c r="C126" s="1" t="n">
        <v>45971</v>
      </c>
      <c r="D126" t="inlineStr">
        <is>
          <t>KALMAR LÄN</t>
        </is>
      </c>
      <c r="E126" t="inlineStr">
        <is>
          <t>VÄSTERVIK</t>
        </is>
      </c>
      <c r="F126" t="inlineStr">
        <is>
          <t>Sveaskog</t>
        </is>
      </c>
      <c r="G126" t="n">
        <v>1.7</v>
      </c>
      <c r="H126" t="n">
        <v>0</v>
      </c>
      <c r="I126" t="n">
        <v>1</v>
      </c>
      <c r="J126" t="n">
        <v>1</v>
      </c>
      <c r="K126" t="n">
        <v>0</v>
      </c>
      <c r="L126" t="n">
        <v>0</v>
      </c>
      <c r="M126" t="n">
        <v>0</v>
      </c>
      <c r="N126" t="n">
        <v>0</v>
      </c>
      <c r="O126" t="n">
        <v>1</v>
      </c>
      <c r="P126" t="n">
        <v>0</v>
      </c>
      <c r="Q126" t="n">
        <v>2</v>
      </c>
      <c r="R126" s="2" t="inlineStr">
        <is>
          <t>Motaggsvamp
Sårläka</t>
        </is>
      </c>
      <c r="S126">
        <f>HYPERLINK("https://klasma.github.io/Logging_0883/artfynd/A 46552-2022 artfynd.xlsx", "A 46552-2022")</f>
        <v/>
      </c>
      <c r="T126">
        <f>HYPERLINK("https://klasma.github.io/Logging_0883/kartor/A 46552-2022 karta.png", "A 46552-2022")</f>
        <v/>
      </c>
      <c r="V126">
        <f>HYPERLINK("https://klasma.github.io/Logging_0883/klagomål/A 46552-2022 FSC-klagomål.docx", "A 46552-2022")</f>
        <v/>
      </c>
      <c r="W126">
        <f>HYPERLINK("https://klasma.github.io/Logging_0883/klagomålsmail/A 46552-2022 FSC-klagomål mail.docx", "A 46552-2022")</f>
        <v/>
      </c>
      <c r="X126">
        <f>HYPERLINK("https://klasma.github.io/Logging_0883/tillsyn/A 46552-2022 tillsynsbegäran.docx", "A 46552-2022")</f>
        <v/>
      </c>
      <c r="Y126">
        <f>HYPERLINK("https://klasma.github.io/Logging_0883/tillsynsmail/A 46552-2022 tillsynsbegäran mail.docx", "A 46552-2022")</f>
        <v/>
      </c>
    </row>
    <row r="127" ht="15" customHeight="1">
      <c r="A127" t="inlineStr">
        <is>
          <t>A 14086-2025</t>
        </is>
      </c>
      <c r="B127" s="1" t="n">
        <v>45740.44130787037</v>
      </c>
      <c r="C127" s="1" t="n">
        <v>45971</v>
      </c>
      <c r="D127" t="inlineStr">
        <is>
          <t>KALMAR LÄN</t>
        </is>
      </c>
      <c r="E127" t="inlineStr">
        <is>
          <t>VÄSTERVIK</t>
        </is>
      </c>
      <c r="F127" t="inlineStr">
        <is>
          <t>Sveaskog</t>
        </is>
      </c>
      <c r="G127" t="n">
        <v>3.2</v>
      </c>
      <c r="H127" t="n">
        <v>1</v>
      </c>
      <c r="I127" t="n">
        <v>1</v>
      </c>
      <c r="J127" t="n">
        <v>0</v>
      </c>
      <c r="K127" t="n">
        <v>0</v>
      </c>
      <c r="L127" t="n">
        <v>0</v>
      </c>
      <c r="M127" t="n">
        <v>0</v>
      </c>
      <c r="N127" t="n">
        <v>0</v>
      </c>
      <c r="O127" t="n">
        <v>0</v>
      </c>
      <c r="P127" t="n">
        <v>0</v>
      </c>
      <c r="Q127" t="n">
        <v>2</v>
      </c>
      <c r="R127" s="2" t="inlineStr">
        <is>
          <t>Skogsbräsma
Åkergroda</t>
        </is>
      </c>
      <c r="S127">
        <f>HYPERLINK("https://klasma.github.io/Logging_0883/artfynd/A 14086-2025 artfynd.xlsx", "A 14086-2025")</f>
        <v/>
      </c>
      <c r="T127">
        <f>HYPERLINK("https://klasma.github.io/Logging_0883/kartor/A 14086-2025 karta.png", "A 14086-2025")</f>
        <v/>
      </c>
      <c r="V127">
        <f>HYPERLINK("https://klasma.github.io/Logging_0883/klagomål/A 14086-2025 FSC-klagomål.docx", "A 14086-2025")</f>
        <v/>
      </c>
      <c r="W127">
        <f>HYPERLINK("https://klasma.github.io/Logging_0883/klagomålsmail/A 14086-2025 FSC-klagomål mail.docx", "A 14086-2025")</f>
        <v/>
      </c>
      <c r="X127">
        <f>HYPERLINK("https://klasma.github.io/Logging_0883/tillsyn/A 14086-2025 tillsynsbegäran.docx", "A 14086-2025")</f>
        <v/>
      </c>
      <c r="Y127">
        <f>HYPERLINK("https://klasma.github.io/Logging_0883/tillsynsmail/A 14086-2025 tillsynsbegäran mail.docx", "A 14086-2025")</f>
        <v/>
      </c>
    </row>
    <row r="128" ht="15" customHeight="1">
      <c r="A128" t="inlineStr">
        <is>
          <t>A 14089-2025</t>
        </is>
      </c>
      <c r="B128" s="1" t="n">
        <v>45740.44363425926</v>
      </c>
      <c r="C128" s="1" t="n">
        <v>45971</v>
      </c>
      <c r="D128" t="inlineStr">
        <is>
          <t>KALMAR LÄN</t>
        </is>
      </c>
      <c r="E128" t="inlineStr">
        <is>
          <t>VÄSTERVIK</t>
        </is>
      </c>
      <c r="F128" t="inlineStr">
        <is>
          <t>Sveaskog</t>
        </is>
      </c>
      <c r="G128" t="n">
        <v>1.3</v>
      </c>
      <c r="H128" t="n">
        <v>2</v>
      </c>
      <c r="I128" t="n">
        <v>0</v>
      </c>
      <c r="J128" t="n">
        <v>2</v>
      </c>
      <c r="K128" t="n">
        <v>0</v>
      </c>
      <c r="L128" t="n">
        <v>0</v>
      </c>
      <c r="M128" t="n">
        <v>0</v>
      </c>
      <c r="N128" t="n">
        <v>0</v>
      </c>
      <c r="O128" t="n">
        <v>2</v>
      </c>
      <c r="P128" t="n">
        <v>0</v>
      </c>
      <c r="Q128" t="n">
        <v>2</v>
      </c>
      <c r="R128" s="2" t="inlineStr">
        <is>
          <t>Mindre hackspett
Spillkråka</t>
        </is>
      </c>
      <c r="S128">
        <f>HYPERLINK("https://klasma.github.io/Logging_0883/artfynd/A 14089-2025 artfynd.xlsx", "A 14089-2025")</f>
        <v/>
      </c>
      <c r="T128">
        <f>HYPERLINK("https://klasma.github.io/Logging_0883/kartor/A 14089-2025 karta.png", "A 14089-2025")</f>
        <v/>
      </c>
      <c r="V128">
        <f>HYPERLINK("https://klasma.github.io/Logging_0883/klagomål/A 14089-2025 FSC-klagomål.docx", "A 14089-2025")</f>
        <v/>
      </c>
      <c r="W128">
        <f>HYPERLINK("https://klasma.github.io/Logging_0883/klagomålsmail/A 14089-2025 FSC-klagomål mail.docx", "A 14089-2025")</f>
        <v/>
      </c>
      <c r="X128">
        <f>HYPERLINK("https://klasma.github.io/Logging_0883/tillsyn/A 14089-2025 tillsynsbegäran.docx", "A 14089-2025")</f>
        <v/>
      </c>
      <c r="Y128">
        <f>HYPERLINK("https://klasma.github.io/Logging_0883/tillsynsmail/A 14089-2025 tillsynsbegäran mail.docx", "A 14089-2025")</f>
        <v/>
      </c>
      <c r="Z128">
        <f>HYPERLINK("https://klasma.github.io/Logging_0883/fåglar/A 14089-2025 prioriterade fågelarter.docx", "A 14089-2025")</f>
        <v/>
      </c>
    </row>
    <row r="129" ht="15" customHeight="1">
      <c r="A129" t="inlineStr">
        <is>
          <t>A 46787-2022</t>
        </is>
      </c>
      <c r="B129" s="1" t="n">
        <v>44851</v>
      </c>
      <c r="C129" s="1" t="n">
        <v>45971</v>
      </c>
      <c r="D129" t="inlineStr">
        <is>
          <t>KALMAR LÄN</t>
        </is>
      </c>
      <c r="E129" t="inlineStr">
        <is>
          <t>VÄSTERVIK</t>
        </is>
      </c>
      <c r="G129" t="n">
        <v>4.4</v>
      </c>
      <c r="H129" t="n">
        <v>0</v>
      </c>
      <c r="I129" t="n">
        <v>0</v>
      </c>
      <c r="J129" t="n">
        <v>2</v>
      </c>
      <c r="K129" t="n">
        <v>0</v>
      </c>
      <c r="L129" t="n">
        <v>0</v>
      </c>
      <c r="M129" t="n">
        <v>0</v>
      </c>
      <c r="N129" t="n">
        <v>0</v>
      </c>
      <c r="O129" t="n">
        <v>2</v>
      </c>
      <c r="P129" t="n">
        <v>0</v>
      </c>
      <c r="Q129" t="n">
        <v>2</v>
      </c>
      <c r="R129" s="2" t="inlineStr">
        <is>
          <t>Motaggsvamp
Tallticka</t>
        </is>
      </c>
      <c r="S129">
        <f>HYPERLINK("https://klasma.github.io/Logging_0883/artfynd/A 46787-2022 artfynd.xlsx", "A 46787-2022")</f>
        <v/>
      </c>
      <c r="T129">
        <f>HYPERLINK("https://klasma.github.io/Logging_0883/kartor/A 46787-2022 karta.png", "A 46787-2022")</f>
        <v/>
      </c>
      <c r="V129">
        <f>HYPERLINK("https://klasma.github.io/Logging_0883/klagomål/A 46787-2022 FSC-klagomål.docx", "A 46787-2022")</f>
        <v/>
      </c>
      <c r="W129">
        <f>HYPERLINK("https://klasma.github.io/Logging_0883/klagomålsmail/A 46787-2022 FSC-klagomål mail.docx", "A 46787-2022")</f>
        <v/>
      </c>
      <c r="X129">
        <f>HYPERLINK("https://klasma.github.io/Logging_0883/tillsyn/A 46787-2022 tillsynsbegäran.docx", "A 46787-2022")</f>
        <v/>
      </c>
      <c r="Y129">
        <f>HYPERLINK("https://klasma.github.io/Logging_0883/tillsynsmail/A 46787-2022 tillsynsbegäran mail.docx", "A 46787-2022")</f>
        <v/>
      </c>
    </row>
    <row r="130" ht="15" customHeight="1">
      <c r="A130" t="inlineStr">
        <is>
          <t>A 61804-2023</t>
        </is>
      </c>
      <c r="B130" s="1" t="n">
        <v>45266</v>
      </c>
      <c r="C130" s="1" t="n">
        <v>45971</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45971</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3173-2023</t>
        </is>
      </c>
      <c r="B132" s="1" t="n">
        <v>44946</v>
      </c>
      <c r="C132" s="1" t="n">
        <v>45971</v>
      </c>
      <c r="D132" t="inlineStr">
        <is>
          <t>KALMAR LÄN</t>
        </is>
      </c>
      <c r="E132" t="inlineStr">
        <is>
          <t>VÄSTERVIK</t>
        </is>
      </c>
      <c r="G132" t="n">
        <v>4</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3173-2023 artfynd.xlsx", "A 3173-2023")</f>
        <v/>
      </c>
      <c r="T132">
        <f>HYPERLINK("https://klasma.github.io/Logging_0883/kartor/A 3173-2023 karta.png", "A 3173-2023")</f>
        <v/>
      </c>
      <c r="U132">
        <f>HYPERLINK("https://klasma.github.io/Logging_0883/knärot/A 3173-2023 karta knärot.png", "A 3173-2023")</f>
        <v/>
      </c>
      <c r="V132">
        <f>HYPERLINK("https://klasma.github.io/Logging_0883/klagomål/A 3173-2023 FSC-klagomål.docx", "A 3173-2023")</f>
        <v/>
      </c>
      <c r="W132">
        <f>HYPERLINK("https://klasma.github.io/Logging_0883/klagomålsmail/A 3173-2023 FSC-klagomål mail.docx", "A 3173-2023")</f>
        <v/>
      </c>
      <c r="X132">
        <f>HYPERLINK("https://klasma.github.io/Logging_0883/tillsyn/A 3173-2023 tillsynsbegäran.docx", "A 3173-2023")</f>
        <v/>
      </c>
      <c r="Y132">
        <f>HYPERLINK("https://klasma.github.io/Logging_0883/tillsynsmail/A 3173-2023 tillsynsbegäran mail.docx", "A 3173-2023")</f>
        <v/>
      </c>
    </row>
    <row r="133" ht="15" customHeight="1">
      <c r="A133" t="inlineStr">
        <is>
          <t>A 55408-2023</t>
        </is>
      </c>
      <c r="B133" s="1" t="n">
        <v>45238</v>
      </c>
      <c r="C133" s="1" t="n">
        <v>45971</v>
      </c>
      <c r="D133" t="inlineStr">
        <is>
          <t>KALMAR LÄN</t>
        </is>
      </c>
      <c r="E133" t="inlineStr">
        <is>
          <t>VÄSTERVIK</t>
        </is>
      </c>
      <c r="G133" t="n">
        <v>2.8</v>
      </c>
      <c r="H133" t="n">
        <v>0</v>
      </c>
      <c r="I133" t="n">
        <v>0</v>
      </c>
      <c r="J133" t="n">
        <v>2</v>
      </c>
      <c r="K133" t="n">
        <v>0</v>
      </c>
      <c r="L133" t="n">
        <v>0</v>
      </c>
      <c r="M133" t="n">
        <v>0</v>
      </c>
      <c r="N133" t="n">
        <v>0</v>
      </c>
      <c r="O133" t="n">
        <v>2</v>
      </c>
      <c r="P133" t="n">
        <v>0</v>
      </c>
      <c r="Q133" t="n">
        <v>2</v>
      </c>
      <c r="R133" s="2" t="inlineStr">
        <is>
          <t>Ekticka
Tallticka</t>
        </is>
      </c>
      <c r="S133">
        <f>HYPERLINK("https://klasma.github.io/Logging_0883/artfynd/A 55408-2023 artfynd.xlsx", "A 55408-2023")</f>
        <v/>
      </c>
      <c r="T133">
        <f>HYPERLINK("https://klasma.github.io/Logging_0883/kartor/A 55408-2023 karta.png", "A 55408-2023")</f>
        <v/>
      </c>
      <c r="V133">
        <f>HYPERLINK("https://klasma.github.io/Logging_0883/klagomål/A 55408-2023 FSC-klagomål.docx", "A 55408-2023")</f>
        <v/>
      </c>
      <c r="W133">
        <f>HYPERLINK("https://klasma.github.io/Logging_0883/klagomålsmail/A 55408-2023 FSC-klagomål mail.docx", "A 55408-2023")</f>
        <v/>
      </c>
      <c r="X133">
        <f>HYPERLINK("https://klasma.github.io/Logging_0883/tillsyn/A 55408-2023 tillsynsbegäran.docx", "A 55408-2023")</f>
        <v/>
      </c>
      <c r="Y133">
        <f>HYPERLINK("https://klasma.github.io/Logging_0883/tillsynsmail/A 55408-2023 tillsynsbegäran mail.docx", "A 55408-2023")</f>
        <v/>
      </c>
    </row>
    <row r="134" ht="15" customHeight="1">
      <c r="A134" t="inlineStr">
        <is>
          <t>A 9040-2023</t>
        </is>
      </c>
      <c r="B134" s="1" t="n">
        <v>44979</v>
      </c>
      <c r="C134" s="1" t="n">
        <v>45971</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34119-2023</t>
        </is>
      </c>
      <c r="B135" s="1" t="n">
        <v>45135</v>
      </c>
      <c r="C135" s="1" t="n">
        <v>45971</v>
      </c>
      <c r="D135" t="inlineStr">
        <is>
          <t>KALMAR LÄN</t>
        </is>
      </c>
      <c r="E135" t="inlineStr">
        <is>
          <t>VÄSTERVIK</t>
        </is>
      </c>
      <c r="G135" t="n">
        <v>3.1</v>
      </c>
      <c r="H135" t="n">
        <v>1</v>
      </c>
      <c r="I135" t="n">
        <v>1</v>
      </c>
      <c r="J135" t="n">
        <v>0</v>
      </c>
      <c r="K135" t="n">
        <v>1</v>
      </c>
      <c r="L135" t="n">
        <v>0</v>
      </c>
      <c r="M135" t="n">
        <v>0</v>
      </c>
      <c r="N135" t="n">
        <v>0</v>
      </c>
      <c r="O135" t="n">
        <v>1</v>
      </c>
      <c r="P135" t="n">
        <v>1</v>
      </c>
      <c r="Q135" t="n">
        <v>2</v>
      </c>
      <c r="R135" s="2" t="inlineStr">
        <is>
          <t>Knärot
Blomkålssvamp</t>
        </is>
      </c>
      <c r="S135">
        <f>HYPERLINK("https://klasma.github.io/Logging_0883/artfynd/A 34119-2023 artfynd.xlsx", "A 34119-2023")</f>
        <v/>
      </c>
      <c r="T135">
        <f>HYPERLINK("https://klasma.github.io/Logging_0883/kartor/A 34119-2023 karta.png", "A 34119-2023")</f>
        <v/>
      </c>
      <c r="U135">
        <f>HYPERLINK("https://klasma.github.io/Logging_0883/knärot/A 34119-2023 karta knärot.png", "A 34119-2023")</f>
        <v/>
      </c>
      <c r="V135">
        <f>HYPERLINK("https://klasma.github.io/Logging_0883/klagomål/A 34119-2023 FSC-klagomål.docx", "A 34119-2023")</f>
        <v/>
      </c>
      <c r="W135">
        <f>HYPERLINK("https://klasma.github.io/Logging_0883/klagomålsmail/A 34119-2023 FSC-klagomål mail.docx", "A 34119-2023")</f>
        <v/>
      </c>
      <c r="X135">
        <f>HYPERLINK("https://klasma.github.io/Logging_0883/tillsyn/A 34119-2023 tillsynsbegäran.docx", "A 34119-2023")</f>
        <v/>
      </c>
      <c r="Y135">
        <f>HYPERLINK("https://klasma.github.io/Logging_0883/tillsynsmail/A 34119-2023 tillsynsbegäran mail.docx", "A 34119-2023")</f>
        <v/>
      </c>
    </row>
    <row r="136" ht="15" customHeight="1">
      <c r="A136" t="inlineStr">
        <is>
          <t>A 33687-2025</t>
        </is>
      </c>
      <c r="B136" s="1" t="n">
        <v>45841.69072916666</v>
      </c>
      <c r="C136" s="1" t="n">
        <v>45971</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9770-2024</t>
        </is>
      </c>
      <c r="B137" s="1" t="n">
        <v>45362.63960648148</v>
      </c>
      <c r="C137" s="1" t="n">
        <v>45971</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14126-2025</t>
        </is>
      </c>
      <c r="B138" s="1" t="n">
        <v>45740.47012731482</v>
      </c>
      <c r="C138" s="1" t="n">
        <v>45971</v>
      </c>
      <c r="D138" t="inlineStr">
        <is>
          <t>KALMAR LÄN</t>
        </is>
      </c>
      <c r="E138" t="inlineStr">
        <is>
          <t>VÄSTERVIK</t>
        </is>
      </c>
      <c r="F138" t="inlineStr">
        <is>
          <t>Sveaskog</t>
        </is>
      </c>
      <c r="G138" t="n">
        <v>1.3</v>
      </c>
      <c r="H138" t="n">
        <v>2</v>
      </c>
      <c r="I138" t="n">
        <v>0</v>
      </c>
      <c r="J138" t="n">
        <v>1</v>
      </c>
      <c r="K138" t="n">
        <v>0</v>
      </c>
      <c r="L138" t="n">
        <v>0</v>
      </c>
      <c r="M138" t="n">
        <v>0</v>
      </c>
      <c r="N138" t="n">
        <v>0</v>
      </c>
      <c r="O138" t="n">
        <v>1</v>
      </c>
      <c r="P138" t="n">
        <v>0</v>
      </c>
      <c r="Q138" t="n">
        <v>2</v>
      </c>
      <c r="R138" s="2" t="inlineStr">
        <is>
          <t>Grönsångare
Blåsippa</t>
        </is>
      </c>
      <c r="S138">
        <f>HYPERLINK("https://klasma.github.io/Logging_0883/artfynd/A 14126-2025 artfynd.xlsx", "A 14126-2025")</f>
        <v/>
      </c>
      <c r="T138">
        <f>HYPERLINK("https://klasma.github.io/Logging_0883/kartor/A 14126-2025 karta.png", "A 14126-2025")</f>
        <v/>
      </c>
      <c r="V138">
        <f>HYPERLINK("https://klasma.github.io/Logging_0883/klagomål/A 14126-2025 FSC-klagomål.docx", "A 14126-2025")</f>
        <v/>
      </c>
      <c r="W138">
        <f>HYPERLINK("https://klasma.github.io/Logging_0883/klagomålsmail/A 14126-2025 FSC-klagomål mail.docx", "A 14126-2025")</f>
        <v/>
      </c>
      <c r="X138">
        <f>HYPERLINK("https://klasma.github.io/Logging_0883/tillsyn/A 14126-2025 tillsynsbegäran.docx", "A 14126-2025")</f>
        <v/>
      </c>
      <c r="Y138">
        <f>HYPERLINK("https://klasma.github.io/Logging_0883/tillsynsmail/A 14126-2025 tillsynsbegäran mail.docx", "A 14126-2025")</f>
        <v/>
      </c>
      <c r="Z138">
        <f>HYPERLINK("https://klasma.github.io/Logging_0883/fåglar/A 14126-2025 prioriterade fågelarter.docx", "A 14126-2025")</f>
        <v/>
      </c>
    </row>
    <row r="139" ht="15" customHeight="1">
      <c r="A139" t="inlineStr">
        <is>
          <t>A 14301-2023</t>
        </is>
      </c>
      <c r="B139" s="1" t="n">
        <v>45011</v>
      </c>
      <c r="C139" s="1" t="n">
        <v>45971</v>
      </c>
      <c r="D139" t="inlineStr">
        <is>
          <t>KALMAR LÄN</t>
        </is>
      </c>
      <c r="E139" t="inlineStr">
        <is>
          <t>VÄSTERVIK</t>
        </is>
      </c>
      <c r="G139" t="n">
        <v>4.4</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14301-2023 artfynd.xlsx", "A 14301-2023")</f>
        <v/>
      </c>
      <c r="T139">
        <f>HYPERLINK("https://klasma.github.io/Logging_0883/kartor/A 14301-2023 karta.png", "A 14301-2023")</f>
        <v/>
      </c>
      <c r="U139">
        <f>HYPERLINK("https://klasma.github.io/Logging_0883/knärot/A 14301-2023 karta knärot.png", "A 14301-2023")</f>
        <v/>
      </c>
      <c r="V139">
        <f>HYPERLINK("https://klasma.github.io/Logging_0883/klagomål/A 14301-2023 FSC-klagomål.docx", "A 14301-2023")</f>
        <v/>
      </c>
      <c r="W139">
        <f>HYPERLINK("https://klasma.github.io/Logging_0883/klagomålsmail/A 14301-2023 FSC-klagomål mail.docx", "A 14301-2023")</f>
        <v/>
      </c>
      <c r="X139">
        <f>HYPERLINK("https://klasma.github.io/Logging_0883/tillsyn/A 14301-2023 tillsynsbegäran.docx", "A 14301-2023")</f>
        <v/>
      </c>
      <c r="Y139">
        <f>HYPERLINK("https://klasma.github.io/Logging_0883/tillsynsmail/A 14301-2023 tillsynsbegäran mail.docx", "A 14301-2023")</f>
        <v/>
      </c>
    </row>
    <row r="140" ht="15" customHeight="1">
      <c r="A140" t="inlineStr">
        <is>
          <t>A 2515-2023</t>
        </is>
      </c>
      <c r="B140" s="1" t="n">
        <v>44943</v>
      </c>
      <c r="C140" s="1" t="n">
        <v>45971</v>
      </c>
      <c r="D140" t="inlineStr">
        <is>
          <t>KALMAR LÄN</t>
        </is>
      </c>
      <c r="E140" t="inlineStr">
        <is>
          <t>VÄSTERVIK</t>
        </is>
      </c>
      <c r="G140" t="n">
        <v>1.3</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2515-2023 artfynd.xlsx", "A 2515-2023")</f>
        <v/>
      </c>
      <c r="T140">
        <f>HYPERLINK("https://klasma.github.io/Logging_0883/kartor/A 2515-2023 karta.png", "A 2515-2023")</f>
        <v/>
      </c>
      <c r="U140">
        <f>HYPERLINK("https://klasma.github.io/Logging_0883/knärot/A 2515-2023 karta knärot.png", "A 2515-2023")</f>
        <v/>
      </c>
      <c r="V140">
        <f>HYPERLINK("https://klasma.github.io/Logging_0883/klagomål/A 2515-2023 FSC-klagomål.docx", "A 2515-2023")</f>
        <v/>
      </c>
      <c r="W140">
        <f>HYPERLINK("https://klasma.github.io/Logging_0883/klagomålsmail/A 2515-2023 FSC-klagomål mail.docx", "A 2515-2023")</f>
        <v/>
      </c>
      <c r="X140">
        <f>HYPERLINK("https://klasma.github.io/Logging_0883/tillsyn/A 2515-2023 tillsynsbegäran.docx", "A 2515-2023")</f>
        <v/>
      </c>
      <c r="Y140">
        <f>HYPERLINK("https://klasma.github.io/Logging_0883/tillsynsmail/A 2515-2023 tillsynsbegäran mail.docx", "A 2515-2023")</f>
        <v/>
      </c>
    </row>
    <row r="141" ht="15" customHeight="1">
      <c r="A141" t="inlineStr">
        <is>
          <t>A 8618-2024</t>
        </is>
      </c>
      <c r="B141" s="1" t="n">
        <v>45355.73453703704</v>
      </c>
      <c r="C141" s="1" t="n">
        <v>45971</v>
      </c>
      <c r="D141" t="inlineStr">
        <is>
          <t>KALMAR LÄN</t>
        </is>
      </c>
      <c r="E141" t="inlineStr">
        <is>
          <t>VÄSTERVIK</t>
        </is>
      </c>
      <c r="G141" t="n">
        <v>4.3</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8618-2024 artfynd.xlsx", "A 8618-2024")</f>
        <v/>
      </c>
      <c r="T141">
        <f>HYPERLINK("https://klasma.github.io/Logging_0883/kartor/A 8618-2024 karta.png", "A 8618-2024")</f>
        <v/>
      </c>
      <c r="U141">
        <f>HYPERLINK("https://klasma.github.io/Logging_0883/knärot/A 8618-2024 karta knärot.png", "A 8618-2024")</f>
        <v/>
      </c>
      <c r="V141">
        <f>HYPERLINK("https://klasma.github.io/Logging_0883/klagomål/A 8618-2024 FSC-klagomål.docx", "A 8618-2024")</f>
        <v/>
      </c>
      <c r="W141">
        <f>HYPERLINK("https://klasma.github.io/Logging_0883/klagomålsmail/A 8618-2024 FSC-klagomål mail.docx", "A 8618-2024")</f>
        <v/>
      </c>
      <c r="X141">
        <f>HYPERLINK("https://klasma.github.io/Logging_0883/tillsyn/A 8618-2024 tillsynsbegäran.docx", "A 8618-2024")</f>
        <v/>
      </c>
      <c r="Y141">
        <f>HYPERLINK("https://klasma.github.io/Logging_0883/tillsynsmail/A 8618-2024 tillsynsbegäran mail.docx", "A 8618-2024")</f>
        <v/>
      </c>
    </row>
    <row r="142" ht="15" customHeight="1">
      <c r="A142" t="inlineStr">
        <is>
          <t>A 32649-2023</t>
        </is>
      </c>
      <c r="B142" s="1" t="n">
        <v>45121</v>
      </c>
      <c r="C142" s="1" t="n">
        <v>45971</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32649-2023 artfynd.xlsx", "A 32649-2023")</f>
        <v/>
      </c>
      <c r="T142">
        <f>HYPERLINK("https://klasma.github.io/Logging_0883/kartor/A 32649-2023 karta.png", "A 32649-2023")</f>
        <v/>
      </c>
      <c r="U142">
        <f>HYPERLINK("https://klasma.github.io/Logging_0883/knärot/A 32649-2023 karta knärot.png", "A 32649-2023")</f>
        <v/>
      </c>
      <c r="V142">
        <f>HYPERLINK("https://klasma.github.io/Logging_0883/klagomål/A 32649-2023 FSC-klagomål.docx", "A 32649-2023")</f>
        <v/>
      </c>
      <c r="W142">
        <f>HYPERLINK("https://klasma.github.io/Logging_0883/klagomålsmail/A 32649-2023 FSC-klagomål mail.docx", "A 32649-2023")</f>
        <v/>
      </c>
      <c r="X142">
        <f>HYPERLINK("https://klasma.github.io/Logging_0883/tillsyn/A 32649-2023 tillsynsbegäran.docx", "A 32649-2023")</f>
        <v/>
      </c>
      <c r="Y142">
        <f>HYPERLINK("https://klasma.github.io/Logging_0883/tillsynsmail/A 32649-2023 tillsynsbegäran mail.docx", "A 32649-2023")</f>
        <v/>
      </c>
    </row>
    <row r="143" ht="15" customHeight="1">
      <c r="A143" t="inlineStr">
        <is>
          <t>A 56857-2023</t>
        </is>
      </c>
      <c r="B143" s="1" t="n">
        <v>45244</v>
      </c>
      <c r="C143" s="1" t="n">
        <v>45971</v>
      </c>
      <c r="D143" t="inlineStr">
        <is>
          <t>KALMAR LÄN</t>
        </is>
      </c>
      <c r="E143" t="inlineStr">
        <is>
          <t>VÄSTERVIK</t>
        </is>
      </c>
      <c r="F143" t="inlineStr">
        <is>
          <t>Kyrkan</t>
        </is>
      </c>
      <c r="G143" t="n">
        <v>7.5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56857-2023 artfynd.xlsx", "A 56857-2023")</f>
        <v/>
      </c>
      <c r="T143">
        <f>HYPERLINK("https://klasma.github.io/Logging_0883/kartor/A 56857-2023 karta.png", "A 56857-2023")</f>
        <v/>
      </c>
      <c r="U143">
        <f>HYPERLINK("https://klasma.github.io/Logging_0883/knärot/A 56857-2023 karta knärot.png", "A 56857-2023")</f>
        <v/>
      </c>
      <c r="V143">
        <f>HYPERLINK("https://klasma.github.io/Logging_0883/klagomål/A 56857-2023 FSC-klagomål.docx", "A 56857-2023")</f>
        <v/>
      </c>
      <c r="W143">
        <f>HYPERLINK("https://klasma.github.io/Logging_0883/klagomålsmail/A 56857-2023 FSC-klagomål mail.docx", "A 56857-2023")</f>
        <v/>
      </c>
      <c r="X143">
        <f>HYPERLINK("https://klasma.github.io/Logging_0883/tillsyn/A 56857-2023 tillsynsbegäran.docx", "A 56857-2023")</f>
        <v/>
      </c>
      <c r="Y143">
        <f>HYPERLINK("https://klasma.github.io/Logging_0883/tillsynsmail/A 56857-2023 tillsynsbegäran mail.docx", "A 56857-2023")</f>
        <v/>
      </c>
    </row>
    <row r="144" ht="15" customHeight="1">
      <c r="A144" t="inlineStr">
        <is>
          <t>A 51833-2021</t>
        </is>
      </c>
      <c r="B144" s="1" t="n">
        <v>44462</v>
      </c>
      <c r="C144" s="1" t="n">
        <v>45971</v>
      </c>
      <c r="D144" t="inlineStr">
        <is>
          <t>KALMAR LÄN</t>
        </is>
      </c>
      <c r="E144" t="inlineStr">
        <is>
          <t>VÄSTERVIK</t>
        </is>
      </c>
      <c r="G144" t="n">
        <v>4</v>
      </c>
      <c r="H144" t="n">
        <v>1</v>
      </c>
      <c r="I144" t="n">
        <v>0</v>
      </c>
      <c r="J144" t="n">
        <v>1</v>
      </c>
      <c r="K144" t="n">
        <v>0</v>
      </c>
      <c r="L144" t="n">
        <v>0</v>
      </c>
      <c r="M144" t="n">
        <v>0</v>
      </c>
      <c r="N144" t="n">
        <v>0</v>
      </c>
      <c r="O144" t="n">
        <v>1</v>
      </c>
      <c r="P144" t="n">
        <v>0</v>
      </c>
      <c r="Q144" t="n">
        <v>2</v>
      </c>
      <c r="R144" s="2" t="inlineStr">
        <is>
          <t>Motaggsvamp
Fläcknycklar</t>
        </is>
      </c>
      <c r="S144">
        <f>HYPERLINK("https://klasma.github.io/Logging_0883/artfynd/A 51833-2021 artfynd.xlsx", "A 51833-2021")</f>
        <v/>
      </c>
      <c r="T144">
        <f>HYPERLINK("https://klasma.github.io/Logging_0883/kartor/A 51833-2021 karta.png", "A 51833-2021")</f>
        <v/>
      </c>
      <c r="V144">
        <f>HYPERLINK("https://klasma.github.io/Logging_0883/klagomål/A 51833-2021 FSC-klagomål.docx", "A 51833-2021")</f>
        <v/>
      </c>
      <c r="W144">
        <f>HYPERLINK("https://klasma.github.io/Logging_0883/klagomålsmail/A 51833-2021 FSC-klagomål mail.docx", "A 51833-2021")</f>
        <v/>
      </c>
      <c r="X144">
        <f>HYPERLINK("https://klasma.github.io/Logging_0883/tillsyn/A 51833-2021 tillsynsbegäran.docx", "A 51833-2021")</f>
        <v/>
      </c>
      <c r="Y144">
        <f>HYPERLINK("https://klasma.github.io/Logging_0883/tillsynsmail/A 51833-2021 tillsynsbegäran mail.docx", "A 51833-2021")</f>
        <v/>
      </c>
    </row>
    <row r="145" ht="15" customHeight="1">
      <c r="A145" t="inlineStr">
        <is>
          <t>A 35236-2024</t>
        </is>
      </c>
      <c r="B145" s="1" t="n">
        <v>45530.54184027778</v>
      </c>
      <c r="C145" s="1" t="n">
        <v>45971</v>
      </c>
      <c r="D145" t="inlineStr">
        <is>
          <t>KALMAR LÄN</t>
        </is>
      </c>
      <c r="E145" t="inlineStr">
        <is>
          <t>VÄSTERVIK</t>
        </is>
      </c>
      <c r="G145" t="n">
        <v>0.9</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35236-2024 artfynd.xlsx", "A 35236-2024")</f>
        <v/>
      </c>
      <c r="T145">
        <f>HYPERLINK("https://klasma.github.io/Logging_0883/kartor/A 35236-2024 karta.png", "A 35236-2024")</f>
        <v/>
      </c>
      <c r="U145">
        <f>HYPERLINK("https://klasma.github.io/Logging_0883/knärot/A 35236-2024 karta knärot.png", "A 35236-2024")</f>
        <v/>
      </c>
      <c r="V145">
        <f>HYPERLINK("https://klasma.github.io/Logging_0883/klagomål/A 35236-2024 FSC-klagomål.docx", "A 35236-2024")</f>
        <v/>
      </c>
      <c r="W145">
        <f>HYPERLINK("https://klasma.github.io/Logging_0883/klagomålsmail/A 35236-2024 FSC-klagomål mail.docx", "A 35236-2024")</f>
        <v/>
      </c>
      <c r="X145">
        <f>HYPERLINK("https://klasma.github.io/Logging_0883/tillsyn/A 35236-2024 tillsynsbegäran.docx", "A 35236-2024")</f>
        <v/>
      </c>
      <c r="Y145">
        <f>HYPERLINK("https://klasma.github.io/Logging_0883/tillsynsmail/A 35236-2024 tillsynsbegäran mail.docx", "A 35236-2024")</f>
        <v/>
      </c>
    </row>
    <row r="146" ht="15" customHeight="1">
      <c r="A146" t="inlineStr">
        <is>
          <t>A 49414-2025</t>
        </is>
      </c>
      <c r="B146" s="1" t="n">
        <v>45938.68725694445</v>
      </c>
      <c r="C146" s="1" t="n">
        <v>45971</v>
      </c>
      <c r="D146" t="inlineStr">
        <is>
          <t>KALMAR LÄN</t>
        </is>
      </c>
      <c r="E146" t="inlineStr">
        <is>
          <t>VÄSTERVIK</t>
        </is>
      </c>
      <c r="G146" t="n">
        <v>1.3</v>
      </c>
      <c r="H146" t="n">
        <v>2</v>
      </c>
      <c r="I146" t="n">
        <v>0</v>
      </c>
      <c r="J146" t="n">
        <v>1</v>
      </c>
      <c r="K146" t="n">
        <v>0</v>
      </c>
      <c r="L146" t="n">
        <v>0</v>
      </c>
      <c r="M146" t="n">
        <v>0</v>
      </c>
      <c r="N146" t="n">
        <v>0</v>
      </c>
      <c r="O146" t="n">
        <v>1</v>
      </c>
      <c r="P146" t="n">
        <v>0</v>
      </c>
      <c r="Q146" t="n">
        <v>2</v>
      </c>
      <c r="R146" s="2" t="inlineStr">
        <is>
          <t>Spillkråka
Revlummer</t>
        </is>
      </c>
      <c r="S146">
        <f>HYPERLINK("https://klasma.github.io/Logging_0883/artfynd/A 49414-2025 artfynd.xlsx", "A 49414-2025")</f>
        <v/>
      </c>
      <c r="T146">
        <f>HYPERLINK("https://klasma.github.io/Logging_0883/kartor/A 49414-2025 karta.png", "A 49414-2025")</f>
        <v/>
      </c>
      <c r="V146">
        <f>HYPERLINK("https://klasma.github.io/Logging_0883/klagomål/A 49414-2025 FSC-klagomål.docx", "A 49414-2025")</f>
        <v/>
      </c>
      <c r="W146">
        <f>HYPERLINK("https://klasma.github.io/Logging_0883/klagomålsmail/A 49414-2025 FSC-klagomål mail.docx", "A 49414-2025")</f>
        <v/>
      </c>
      <c r="X146">
        <f>HYPERLINK("https://klasma.github.io/Logging_0883/tillsyn/A 49414-2025 tillsynsbegäran.docx", "A 49414-2025")</f>
        <v/>
      </c>
      <c r="Y146">
        <f>HYPERLINK("https://klasma.github.io/Logging_0883/tillsynsmail/A 49414-2025 tillsynsbegäran mail.docx", "A 49414-2025")</f>
        <v/>
      </c>
      <c r="Z146">
        <f>HYPERLINK("https://klasma.github.io/Logging_0883/fåglar/A 49414-2025 prioriterade fågelarter.docx", "A 49414-2025")</f>
        <v/>
      </c>
    </row>
    <row r="147" ht="15" customHeight="1">
      <c r="A147" t="inlineStr">
        <is>
          <t>A 38373-2022</t>
        </is>
      </c>
      <c r="B147" s="1" t="n">
        <v>44812</v>
      </c>
      <c r="C147" s="1" t="n">
        <v>45971</v>
      </c>
      <c r="D147" t="inlineStr">
        <is>
          <t>KALMAR LÄN</t>
        </is>
      </c>
      <c r="E147" t="inlineStr">
        <is>
          <t>VÄSTERVIK</t>
        </is>
      </c>
      <c r="G147" t="n">
        <v>3.1</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38373-2022 artfynd.xlsx", "A 38373-2022")</f>
        <v/>
      </c>
      <c r="T147">
        <f>HYPERLINK("https://klasma.github.io/Logging_0883/kartor/A 38373-2022 karta.png", "A 38373-2022")</f>
        <v/>
      </c>
      <c r="U147">
        <f>HYPERLINK("https://klasma.github.io/Logging_0883/knärot/A 38373-2022 karta knärot.png", "A 38373-2022")</f>
        <v/>
      </c>
      <c r="V147">
        <f>HYPERLINK("https://klasma.github.io/Logging_0883/klagomål/A 38373-2022 FSC-klagomål.docx", "A 38373-2022")</f>
        <v/>
      </c>
      <c r="W147">
        <f>HYPERLINK("https://klasma.github.io/Logging_0883/klagomålsmail/A 38373-2022 FSC-klagomål mail.docx", "A 38373-2022")</f>
        <v/>
      </c>
      <c r="X147">
        <f>HYPERLINK("https://klasma.github.io/Logging_0883/tillsyn/A 38373-2022 tillsynsbegäran.docx", "A 38373-2022")</f>
        <v/>
      </c>
      <c r="Y147">
        <f>HYPERLINK("https://klasma.github.io/Logging_0883/tillsynsmail/A 38373-2022 tillsynsbegäran mail.docx", "A 38373-2022")</f>
        <v/>
      </c>
    </row>
    <row r="148" ht="15" customHeight="1">
      <c r="A148" t="inlineStr">
        <is>
          <t>A 48892-2025</t>
        </is>
      </c>
      <c r="B148" s="1" t="n">
        <v>45937.47267361111</v>
      </c>
      <c r="C148" s="1" t="n">
        <v>45971</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45971</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62008-2023</t>
        </is>
      </c>
      <c r="B150" s="1" t="n">
        <v>45266</v>
      </c>
      <c r="C150" s="1" t="n">
        <v>45971</v>
      </c>
      <c r="D150" t="inlineStr">
        <is>
          <t>KALMAR LÄN</t>
        </is>
      </c>
      <c r="E150" t="inlineStr">
        <is>
          <t>VÄSTERVIK</t>
        </is>
      </c>
      <c r="G150" t="n">
        <v>4</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62008-2023 artfynd.xlsx", "A 62008-2023")</f>
        <v/>
      </c>
      <c r="T150">
        <f>HYPERLINK("https://klasma.github.io/Logging_0883/kartor/A 62008-2023 karta.png", "A 62008-2023")</f>
        <v/>
      </c>
      <c r="U150">
        <f>HYPERLINK("https://klasma.github.io/Logging_0883/knärot/A 62008-2023 karta knärot.png", "A 62008-2023")</f>
        <v/>
      </c>
      <c r="V150">
        <f>HYPERLINK("https://klasma.github.io/Logging_0883/klagomål/A 62008-2023 FSC-klagomål.docx", "A 62008-2023")</f>
        <v/>
      </c>
      <c r="W150">
        <f>HYPERLINK("https://klasma.github.io/Logging_0883/klagomålsmail/A 62008-2023 FSC-klagomål mail.docx", "A 62008-2023")</f>
        <v/>
      </c>
      <c r="X150">
        <f>HYPERLINK("https://klasma.github.io/Logging_0883/tillsyn/A 62008-2023 tillsynsbegäran.docx", "A 62008-2023")</f>
        <v/>
      </c>
      <c r="Y150">
        <f>HYPERLINK("https://klasma.github.io/Logging_0883/tillsynsmail/A 62008-2023 tillsynsbegäran mail.docx", "A 62008-2023")</f>
        <v/>
      </c>
      <c r="Z150">
        <f>HYPERLINK("https://klasma.github.io/Logging_0883/fåglar/A 62008-2023 prioriterade fågelarter.docx", "A 62008-2023")</f>
        <v/>
      </c>
    </row>
    <row r="151" ht="15" customHeight="1">
      <c r="A151" t="inlineStr">
        <is>
          <t>A 25435-2023</t>
        </is>
      </c>
      <c r="B151" s="1" t="n">
        <v>45089</v>
      </c>
      <c r="C151" s="1" t="n">
        <v>45971</v>
      </c>
      <c r="D151" t="inlineStr">
        <is>
          <t>KALMAR LÄN</t>
        </is>
      </c>
      <c r="E151" t="inlineStr">
        <is>
          <t>VÄSTERVIK</t>
        </is>
      </c>
      <c r="G151" t="n">
        <v>1.6</v>
      </c>
      <c r="H151" t="n">
        <v>2</v>
      </c>
      <c r="I151" t="n">
        <v>0</v>
      </c>
      <c r="J151" t="n">
        <v>0</v>
      </c>
      <c r="K151" t="n">
        <v>1</v>
      </c>
      <c r="L151" t="n">
        <v>0</v>
      </c>
      <c r="M151" t="n">
        <v>0</v>
      </c>
      <c r="N151" t="n">
        <v>0</v>
      </c>
      <c r="O151" t="n">
        <v>1</v>
      </c>
      <c r="P151" t="n">
        <v>1</v>
      </c>
      <c r="Q151" t="n">
        <v>2</v>
      </c>
      <c r="R151" s="2" t="inlineStr">
        <is>
          <t>Knärot
Tjäder</t>
        </is>
      </c>
      <c r="S151">
        <f>HYPERLINK("https://klasma.github.io/Logging_0883/artfynd/A 25435-2023 artfynd.xlsx", "A 25435-2023")</f>
        <v/>
      </c>
      <c r="T151">
        <f>HYPERLINK("https://klasma.github.io/Logging_0883/kartor/A 25435-2023 karta.png", "A 25435-2023")</f>
        <v/>
      </c>
      <c r="U151">
        <f>HYPERLINK("https://klasma.github.io/Logging_0883/knärot/A 25435-2023 karta knärot.png", "A 25435-2023")</f>
        <v/>
      </c>
      <c r="V151">
        <f>HYPERLINK("https://klasma.github.io/Logging_0883/klagomål/A 25435-2023 FSC-klagomål.docx", "A 25435-2023")</f>
        <v/>
      </c>
      <c r="W151">
        <f>HYPERLINK("https://klasma.github.io/Logging_0883/klagomålsmail/A 25435-2023 FSC-klagomål mail.docx", "A 25435-2023")</f>
        <v/>
      </c>
      <c r="X151">
        <f>HYPERLINK("https://klasma.github.io/Logging_0883/tillsyn/A 25435-2023 tillsynsbegäran.docx", "A 25435-2023")</f>
        <v/>
      </c>
      <c r="Y151">
        <f>HYPERLINK("https://klasma.github.io/Logging_0883/tillsynsmail/A 25435-2023 tillsynsbegäran mail.docx", "A 25435-2023")</f>
        <v/>
      </c>
      <c r="Z151">
        <f>HYPERLINK("https://klasma.github.io/Logging_0883/fåglar/A 25435-2023 prioriterade fågelarter.docx", "A 25435-2023")</f>
        <v/>
      </c>
    </row>
    <row r="152" ht="15" customHeight="1">
      <c r="A152" t="inlineStr">
        <is>
          <t>A 28401-2024</t>
        </is>
      </c>
      <c r="B152" s="1" t="n">
        <v>45477</v>
      </c>
      <c r="C152" s="1" t="n">
        <v>45971</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26992-2024</t>
        </is>
      </c>
      <c r="B153" s="1" t="n">
        <v>45471</v>
      </c>
      <c r="C153" s="1" t="n">
        <v>45971</v>
      </c>
      <c r="D153" t="inlineStr">
        <is>
          <t>KALMAR LÄN</t>
        </is>
      </c>
      <c r="E153" t="inlineStr">
        <is>
          <t>VÄSTERVIK</t>
        </is>
      </c>
      <c r="F153" t="inlineStr">
        <is>
          <t>Holmen skog AB</t>
        </is>
      </c>
      <c r="G153" t="n">
        <v>4.6</v>
      </c>
      <c r="H153" t="n">
        <v>2</v>
      </c>
      <c r="I153" t="n">
        <v>0</v>
      </c>
      <c r="J153" t="n">
        <v>2</v>
      </c>
      <c r="K153" t="n">
        <v>0</v>
      </c>
      <c r="L153" t="n">
        <v>0</v>
      </c>
      <c r="M153" t="n">
        <v>0</v>
      </c>
      <c r="N153" t="n">
        <v>0</v>
      </c>
      <c r="O153" t="n">
        <v>2</v>
      </c>
      <c r="P153" t="n">
        <v>0</v>
      </c>
      <c r="Q153" t="n">
        <v>2</v>
      </c>
      <c r="R153" s="2" t="inlineStr">
        <is>
          <t>Mindre hackspett
Talltita</t>
        </is>
      </c>
      <c r="S153">
        <f>HYPERLINK("https://klasma.github.io/Logging_0883/artfynd/A 26992-2024 artfynd.xlsx", "A 26992-2024")</f>
        <v/>
      </c>
      <c r="T153">
        <f>HYPERLINK("https://klasma.github.io/Logging_0883/kartor/A 26992-2024 karta.png", "A 26992-2024")</f>
        <v/>
      </c>
      <c r="V153">
        <f>HYPERLINK("https://klasma.github.io/Logging_0883/klagomål/A 26992-2024 FSC-klagomål.docx", "A 26992-2024")</f>
        <v/>
      </c>
      <c r="W153">
        <f>HYPERLINK("https://klasma.github.io/Logging_0883/klagomålsmail/A 26992-2024 FSC-klagomål mail.docx", "A 26992-2024")</f>
        <v/>
      </c>
      <c r="X153">
        <f>HYPERLINK("https://klasma.github.io/Logging_0883/tillsyn/A 26992-2024 tillsynsbegäran.docx", "A 26992-2024")</f>
        <v/>
      </c>
      <c r="Y153">
        <f>HYPERLINK("https://klasma.github.io/Logging_0883/tillsynsmail/A 26992-2024 tillsynsbegäran mail.docx", "A 26992-2024")</f>
        <v/>
      </c>
      <c r="Z153">
        <f>HYPERLINK("https://klasma.github.io/Logging_0883/fåglar/A 26992-2024 prioriterade fågelarter.docx", "A 26992-2024")</f>
        <v/>
      </c>
    </row>
    <row r="154" ht="15" customHeight="1">
      <c r="A154" t="inlineStr">
        <is>
          <t>A 52723-2024</t>
        </is>
      </c>
      <c r="B154" s="1" t="n">
        <v>45610.44008101852</v>
      </c>
      <c r="C154" s="1" t="n">
        <v>45971</v>
      </c>
      <c r="D154" t="inlineStr">
        <is>
          <t>KALMAR LÄN</t>
        </is>
      </c>
      <c r="E154" t="inlineStr">
        <is>
          <t>VÄSTERVIK</t>
        </is>
      </c>
      <c r="F154" t="inlineStr">
        <is>
          <t>Holmen skog AB</t>
        </is>
      </c>
      <c r="G154" t="n">
        <v>6.5</v>
      </c>
      <c r="H154" t="n">
        <v>2</v>
      </c>
      <c r="I154" t="n">
        <v>1</v>
      </c>
      <c r="J154" t="n">
        <v>1</v>
      </c>
      <c r="K154" t="n">
        <v>0</v>
      </c>
      <c r="L154" t="n">
        <v>0</v>
      </c>
      <c r="M154" t="n">
        <v>0</v>
      </c>
      <c r="N154" t="n">
        <v>0</v>
      </c>
      <c r="O154" t="n">
        <v>1</v>
      </c>
      <c r="P154" t="n">
        <v>0</v>
      </c>
      <c r="Q154" t="n">
        <v>2</v>
      </c>
      <c r="R154" s="2" t="inlineStr">
        <is>
          <t>Talltita
Ekoxe</t>
        </is>
      </c>
      <c r="S154">
        <f>HYPERLINK("https://klasma.github.io/Logging_0883/artfynd/A 52723-2024 artfynd.xlsx", "A 52723-2024")</f>
        <v/>
      </c>
      <c r="T154">
        <f>HYPERLINK("https://klasma.github.io/Logging_0883/kartor/A 52723-2024 karta.png", "A 52723-2024")</f>
        <v/>
      </c>
      <c r="V154">
        <f>HYPERLINK("https://klasma.github.io/Logging_0883/klagomål/A 52723-2024 FSC-klagomål.docx", "A 52723-2024")</f>
        <v/>
      </c>
      <c r="W154">
        <f>HYPERLINK("https://klasma.github.io/Logging_0883/klagomålsmail/A 52723-2024 FSC-klagomål mail.docx", "A 52723-2024")</f>
        <v/>
      </c>
      <c r="X154">
        <f>HYPERLINK("https://klasma.github.io/Logging_0883/tillsyn/A 52723-2024 tillsynsbegäran.docx", "A 52723-2024")</f>
        <v/>
      </c>
      <c r="Y154">
        <f>HYPERLINK("https://klasma.github.io/Logging_0883/tillsynsmail/A 52723-2024 tillsynsbegäran mail.docx", "A 52723-2024")</f>
        <v/>
      </c>
      <c r="Z154">
        <f>HYPERLINK("https://klasma.github.io/Logging_0883/fåglar/A 52723-2024 prioriterade fågelarter.docx", "A 52723-2024")</f>
        <v/>
      </c>
    </row>
    <row r="155" ht="15" customHeight="1">
      <c r="A155" t="inlineStr">
        <is>
          <t>A 72945-2021</t>
        </is>
      </c>
      <c r="B155" s="1" t="n">
        <v>44547.90868055556</v>
      </c>
      <c r="C155" s="1" t="n">
        <v>45971</v>
      </c>
      <c r="D155" t="inlineStr">
        <is>
          <t>KALMAR LÄN</t>
        </is>
      </c>
      <c r="E155" t="inlineStr">
        <is>
          <t>VÄSTERVIK</t>
        </is>
      </c>
      <c r="G155" t="n">
        <v>1.6</v>
      </c>
      <c r="H155" t="n">
        <v>0</v>
      </c>
      <c r="I155" t="n">
        <v>1</v>
      </c>
      <c r="J155" t="n">
        <v>1</v>
      </c>
      <c r="K155" t="n">
        <v>0</v>
      </c>
      <c r="L155" t="n">
        <v>0</v>
      </c>
      <c r="M155" t="n">
        <v>0</v>
      </c>
      <c r="N155" t="n">
        <v>0</v>
      </c>
      <c r="O155" t="n">
        <v>1</v>
      </c>
      <c r="P155" t="n">
        <v>0</v>
      </c>
      <c r="Q155" t="n">
        <v>2</v>
      </c>
      <c r="R155" s="2" t="inlineStr">
        <is>
          <t>Veckticka
Rävticka</t>
        </is>
      </c>
      <c r="S155">
        <f>HYPERLINK("https://klasma.github.io/Logging_0883/artfynd/A 72945-2021 artfynd.xlsx", "A 72945-2021")</f>
        <v/>
      </c>
      <c r="T155">
        <f>HYPERLINK("https://klasma.github.io/Logging_0883/kartor/A 72945-2021 karta.png", "A 72945-2021")</f>
        <v/>
      </c>
      <c r="V155">
        <f>HYPERLINK("https://klasma.github.io/Logging_0883/klagomål/A 72945-2021 FSC-klagomål.docx", "A 72945-2021")</f>
        <v/>
      </c>
      <c r="W155">
        <f>HYPERLINK("https://klasma.github.io/Logging_0883/klagomålsmail/A 72945-2021 FSC-klagomål mail.docx", "A 72945-2021")</f>
        <v/>
      </c>
      <c r="X155">
        <f>HYPERLINK("https://klasma.github.io/Logging_0883/tillsyn/A 72945-2021 tillsynsbegäran.docx", "A 72945-2021")</f>
        <v/>
      </c>
      <c r="Y155">
        <f>HYPERLINK("https://klasma.github.io/Logging_0883/tillsynsmail/A 72945-2021 tillsynsbegäran mail.docx", "A 72945-2021")</f>
        <v/>
      </c>
    </row>
    <row r="156" ht="15" customHeight="1">
      <c r="A156" t="inlineStr">
        <is>
          <t>A 40331-2024</t>
        </is>
      </c>
      <c r="B156" s="1" t="n">
        <v>45555.31039351852</v>
      </c>
      <c r="C156" s="1" t="n">
        <v>45971</v>
      </c>
      <c r="D156" t="inlineStr">
        <is>
          <t>KALMAR LÄN</t>
        </is>
      </c>
      <c r="E156" t="inlineStr">
        <is>
          <t>VÄSTERVIK</t>
        </is>
      </c>
      <c r="G156" t="n">
        <v>1.5</v>
      </c>
      <c r="H156" t="n">
        <v>1</v>
      </c>
      <c r="I156" t="n">
        <v>1</v>
      </c>
      <c r="J156" t="n">
        <v>0</v>
      </c>
      <c r="K156" t="n">
        <v>0</v>
      </c>
      <c r="L156" t="n">
        <v>0</v>
      </c>
      <c r="M156" t="n">
        <v>0</v>
      </c>
      <c r="N156" t="n">
        <v>0</v>
      </c>
      <c r="O156" t="n">
        <v>0</v>
      </c>
      <c r="P156" t="n">
        <v>0</v>
      </c>
      <c r="Q156" t="n">
        <v>2</v>
      </c>
      <c r="R156" s="2" t="inlineStr">
        <is>
          <t>Murgröna
Blåsippa</t>
        </is>
      </c>
      <c r="S156">
        <f>HYPERLINK("https://klasma.github.io/Logging_0883/artfynd/A 40331-2024 artfynd.xlsx", "A 40331-2024")</f>
        <v/>
      </c>
      <c r="T156">
        <f>HYPERLINK("https://klasma.github.io/Logging_0883/kartor/A 40331-2024 karta.png", "A 40331-2024")</f>
        <v/>
      </c>
      <c r="V156">
        <f>HYPERLINK("https://klasma.github.io/Logging_0883/klagomål/A 40331-2024 FSC-klagomål.docx", "A 40331-2024")</f>
        <v/>
      </c>
      <c r="W156">
        <f>HYPERLINK("https://klasma.github.io/Logging_0883/klagomålsmail/A 40331-2024 FSC-klagomål mail.docx", "A 40331-2024")</f>
        <v/>
      </c>
      <c r="X156">
        <f>HYPERLINK("https://klasma.github.io/Logging_0883/tillsyn/A 40331-2024 tillsynsbegäran.docx", "A 40331-2024")</f>
        <v/>
      </c>
      <c r="Y156">
        <f>HYPERLINK("https://klasma.github.io/Logging_0883/tillsynsmail/A 40331-2024 tillsynsbegäran mail.docx", "A 40331-2024")</f>
        <v/>
      </c>
    </row>
    <row r="157" ht="15" customHeight="1">
      <c r="A157" t="inlineStr">
        <is>
          <t>A 25439-2021</t>
        </is>
      </c>
      <c r="B157" s="1" t="n">
        <v>44342</v>
      </c>
      <c r="C157" s="1" t="n">
        <v>45971</v>
      </c>
      <c r="D157" t="inlineStr">
        <is>
          <t>KALMAR LÄN</t>
        </is>
      </c>
      <c r="E157" t="inlineStr">
        <is>
          <t>VÄSTERVIK</t>
        </is>
      </c>
      <c r="F157" t="inlineStr">
        <is>
          <t>Holmen skog AB</t>
        </is>
      </c>
      <c r="G157" t="n">
        <v>2.4</v>
      </c>
      <c r="H157" t="n">
        <v>2</v>
      </c>
      <c r="I157" t="n">
        <v>1</v>
      </c>
      <c r="J157" t="n">
        <v>0</v>
      </c>
      <c r="K157" t="n">
        <v>0</v>
      </c>
      <c r="L157" t="n">
        <v>0</v>
      </c>
      <c r="M157" t="n">
        <v>0</v>
      </c>
      <c r="N157" t="n">
        <v>0</v>
      </c>
      <c r="O157" t="n">
        <v>0</v>
      </c>
      <c r="P157" t="n">
        <v>0</v>
      </c>
      <c r="Q157" t="n">
        <v>2</v>
      </c>
      <c r="R157" s="2" t="inlineStr">
        <is>
          <t>Grön sköldmossa
Röd glada</t>
        </is>
      </c>
      <c r="S157">
        <f>HYPERLINK("https://klasma.github.io/Logging_0883/artfynd/A 25439-2021 artfynd.xlsx", "A 25439-2021")</f>
        <v/>
      </c>
      <c r="T157">
        <f>HYPERLINK("https://klasma.github.io/Logging_0883/kartor/A 25439-2021 karta.png", "A 25439-2021")</f>
        <v/>
      </c>
      <c r="V157">
        <f>HYPERLINK("https://klasma.github.io/Logging_0883/klagomål/A 25439-2021 FSC-klagomål.docx", "A 25439-2021")</f>
        <v/>
      </c>
      <c r="W157">
        <f>HYPERLINK("https://klasma.github.io/Logging_0883/klagomålsmail/A 25439-2021 FSC-klagomål mail.docx", "A 25439-2021")</f>
        <v/>
      </c>
      <c r="X157">
        <f>HYPERLINK("https://klasma.github.io/Logging_0883/tillsyn/A 25439-2021 tillsynsbegäran.docx", "A 25439-2021")</f>
        <v/>
      </c>
      <c r="Y157">
        <f>HYPERLINK("https://klasma.github.io/Logging_0883/tillsynsmail/A 25439-2021 tillsynsbegäran mail.docx", "A 25439-2021")</f>
        <v/>
      </c>
      <c r="Z157">
        <f>HYPERLINK("https://klasma.github.io/Logging_0883/fåglar/A 25439-2021 prioriterade fågelarter.docx", "A 25439-2021")</f>
        <v/>
      </c>
    </row>
    <row r="158" ht="15" customHeight="1">
      <c r="A158" t="inlineStr">
        <is>
          <t>A 21081-2025</t>
        </is>
      </c>
      <c r="B158" s="1" t="n">
        <v>45777.60479166666</v>
      </c>
      <c r="C158" s="1" t="n">
        <v>45971</v>
      </c>
      <c r="D158" t="inlineStr">
        <is>
          <t>KALMAR LÄN</t>
        </is>
      </c>
      <c r="E158" t="inlineStr">
        <is>
          <t>VÄSTERVIK</t>
        </is>
      </c>
      <c r="G158" t="n">
        <v>1</v>
      </c>
      <c r="H158" t="n">
        <v>1</v>
      </c>
      <c r="I158" t="n">
        <v>0</v>
      </c>
      <c r="J158" t="n">
        <v>1</v>
      </c>
      <c r="K158" t="n">
        <v>1</v>
      </c>
      <c r="L158" t="n">
        <v>0</v>
      </c>
      <c r="M158" t="n">
        <v>0</v>
      </c>
      <c r="N158" t="n">
        <v>0</v>
      </c>
      <c r="O158" t="n">
        <v>2</v>
      </c>
      <c r="P158" t="n">
        <v>1</v>
      </c>
      <c r="Q158" t="n">
        <v>2</v>
      </c>
      <c r="R158" s="2" t="inlineStr">
        <is>
          <t>Knärot
Ullticka</t>
        </is>
      </c>
      <c r="S158">
        <f>HYPERLINK("https://klasma.github.io/Logging_0883/artfynd/A 21081-2025 artfynd.xlsx", "A 21081-2025")</f>
        <v/>
      </c>
      <c r="T158">
        <f>HYPERLINK("https://klasma.github.io/Logging_0883/kartor/A 21081-2025 karta.png", "A 21081-2025")</f>
        <v/>
      </c>
      <c r="U158">
        <f>HYPERLINK("https://klasma.github.io/Logging_0883/knärot/A 21081-2025 karta knärot.png", "A 21081-2025")</f>
        <v/>
      </c>
      <c r="V158">
        <f>HYPERLINK("https://klasma.github.io/Logging_0883/klagomål/A 21081-2025 FSC-klagomål.docx", "A 21081-2025")</f>
        <v/>
      </c>
      <c r="W158">
        <f>HYPERLINK("https://klasma.github.io/Logging_0883/klagomålsmail/A 21081-2025 FSC-klagomål mail.docx", "A 21081-2025")</f>
        <v/>
      </c>
      <c r="X158">
        <f>HYPERLINK("https://klasma.github.io/Logging_0883/tillsyn/A 21081-2025 tillsynsbegäran.docx", "A 21081-2025")</f>
        <v/>
      </c>
      <c r="Y158">
        <f>HYPERLINK("https://klasma.github.io/Logging_0883/tillsynsmail/A 21081-2025 tillsynsbegäran mail.docx", "A 21081-2025")</f>
        <v/>
      </c>
    </row>
    <row r="159" ht="15" customHeight="1">
      <c r="A159" t="inlineStr">
        <is>
          <t>A 50647-2025</t>
        </is>
      </c>
      <c r="B159" s="1" t="n">
        <v>45945.65792824074</v>
      </c>
      <c r="C159" s="1" t="n">
        <v>45971</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42900-2025</t>
        </is>
      </c>
      <c r="B160" s="1" t="n">
        <v>45908.67556712963</v>
      </c>
      <c r="C160" s="1" t="n">
        <v>45971</v>
      </c>
      <c r="D160" t="inlineStr">
        <is>
          <t>KALMAR LÄN</t>
        </is>
      </c>
      <c r="E160" t="inlineStr">
        <is>
          <t>VÄSTERVIK</t>
        </is>
      </c>
      <c r="F160" t="inlineStr">
        <is>
          <t>Holmen skog AB</t>
        </is>
      </c>
      <c r="G160" t="n">
        <v>2.6</v>
      </c>
      <c r="H160" t="n">
        <v>2</v>
      </c>
      <c r="I160" t="n">
        <v>0</v>
      </c>
      <c r="J160" t="n">
        <v>2</v>
      </c>
      <c r="K160" t="n">
        <v>0</v>
      </c>
      <c r="L160" t="n">
        <v>0</v>
      </c>
      <c r="M160" t="n">
        <v>0</v>
      </c>
      <c r="N160" t="n">
        <v>0</v>
      </c>
      <c r="O160" t="n">
        <v>2</v>
      </c>
      <c r="P160" t="n">
        <v>0</v>
      </c>
      <c r="Q160" t="n">
        <v>2</v>
      </c>
      <c r="R160" s="2" t="inlineStr">
        <is>
          <t>Havsörn
Spillkråka</t>
        </is>
      </c>
      <c r="S160">
        <f>HYPERLINK("https://klasma.github.io/Logging_0883/artfynd/A 42900-2025 artfynd.xlsx", "A 42900-2025")</f>
        <v/>
      </c>
      <c r="T160">
        <f>HYPERLINK("https://klasma.github.io/Logging_0883/kartor/A 42900-2025 karta.png", "A 42900-2025")</f>
        <v/>
      </c>
      <c r="V160">
        <f>HYPERLINK("https://klasma.github.io/Logging_0883/klagomål/A 42900-2025 FSC-klagomål.docx", "A 42900-2025")</f>
        <v/>
      </c>
      <c r="W160">
        <f>HYPERLINK("https://klasma.github.io/Logging_0883/klagomålsmail/A 42900-2025 FSC-klagomål mail.docx", "A 42900-2025")</f>
        <v/>
      </c>
      <c r="X160">
        <f>HYPERLINK("https://klasma.github.io/Logging_0883/tillsyn/A 42900-2025 tillsynsbegäran.docx", "A 42900-2025")</f>
        <v/>
      </c>
      <c r="Y160">
        <f>HYPERLINK("https://klasma.github.io/Logging_0883/tillsynsmail/A 42900-2025 tillsynsbegäran mail.docx", "A 42900-2025")</f>
        <v/>
      </c>
      <c r="Z160">
        <f>HYPERLINK("https://klasma.github.io/Logging_0883/fåglar/A 42900-2025 prioriterade fågelarter.docx", "A 42900-2025")</f>
        <v/>
      </c>
    </row>
    <row r="161" ht="15" customHeight="1">
      <c r="A161" t="inlineStr">
        <is>
          <t>A 4778-2025</t>
        </is>
      </c>
      <c r="B161" s="1" t="n">
        <v>45688</v>
      </c>
      <c r="C161" s="1" t="n">
        <v>45971</v>
      </c>
      <c r="D161" t="inlineStr">
        <is>
          <t>KALMAR LÄN</t>
        </is>
      </c>
      <c r="E161" t="inlineStr">
        <is>
          <t>VÄSTERVIK</t>
        </is>
      </c>
      <c r="F161" t="inlineStr">
        <is>
          <t>Holmen skog AB</t>
        </is>
      </c>
      <c r="G161" t="n">
        <v>3.8</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4778-2025 artfynd.xlsx", "A 4778-2025")</f>
        <v/>
      </c>
      <c r="T161">
        <f>HYPERLINK("https://klasma.github.io/Logging_0883/kartor/A 4778-2025 karta.png", "A 4778-2025")</f>
        <v/>
      </c>
      <c r="U161">
        <f>HYPERLINK("https://klasma.github.io/Logging_0883/knärot/A 4778-2025 karta knärot.png", "A 4778-2025")</f>
        <v/>
      </c>
      <c r="V161">
        <f>HYPERLINK("https://klasma.github.io/Logging_0883/klagomål/A 4778-2025 FSC-klagomål.docx", "A 4778-2025")</f>
        <v/>
      </c>
      <c r="W161">
        <f>HYPERLINK("https://klasma.github.io/Logging_0883/klagomålsmail/A 4778-2025 FSC-klagomål mail.docx", "A 4778-2025")</f>
        <v/>
      </c>
      <c r="X161">
        <f>HYPERLINK("https://klasma.github.io/Logging_0883/tillsyn/A 4778-2025 tillsynsbegäran.docx", "A 4778-2025")</f>
        <v/>
      </c>
      <c r="Y161">
        <f>HYPERLINK("https://klasma.github.io/Logging_0883/tillsynsmail/A 4778-2025 tillsynsbegäran mail.docx", "A 4778-2025")</f>
        <v/>
      </c>
      <c r="Z161">
        <f>HYPERLINK("https://klasma.github.io/Logging_0883/fåglar/A 4778-2025 prioriterade fågelarter.docx", "A 4778-2025")</f>
        <v/>
      </c>
    </row>
    <row r="162" ht="15" customHeight="1">
      <c r="A162" t="inlineStr">
        <is>
          <t>A 52030-2025</t>
        </is>
      </c>
      <c r="B162" s="1" t="n">
        <v>45952.60846064815</v>
      </c>
      <c r="C162" s="1" t="n">
        <v>45971</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958-2025</t>
        </is>
      </c>
      <c r="B163" s="1" t="n">
        <v>45666</v>
      </c>
      <c r="C163" s="1" t="n">
        <v>45971</v>
      </c>
      <c r="D163" t="inlineStr">
        <is>
          <t>KALMAR LÄN</t>
        </is>
      </c>
      <c r="E163" t="inlineStr">
        <is>
          <t>VÄSTERVIK</t>
        </is>
      </c>
      <c r="G163" t="n">
        <v>2.8</v>
      </c>
      <c r="H163" t="n">
        <v>1</v>
      </c>
      <c r="I163" t="n">
        <v>0</v>
      </c>
      <c r="J163" t="n">
        <v>2</v>
      </c>
      <c r="K163" t="n">
        <v>0</v>
      </c>
      <c r="L163" t="n">
        <v>0</v>
      </c>
      <c r="M163" t="n">
        <v>0</v>
      </c>
      <c r="N163" t="n">
        <v>0</v>
      </c>
      <c r="O163" t="n">
        <v>2</v>
      </c>
      <c r="P163" t="n">
        <v>0</v>
      </c>
      <c r="Q163" t="n">
        <v>2</v>
      </c>
      <c r="R163" s="2" t="inlineStr">
        <is>
          <t>Orange taggsvamp
Spillkråka</t>
        </is>
      </c>
      <c r="S163">
        <f>HYPERLINK("https://klasma.github.io/Logging_0883/artfynd/A 958-2025 artfynd.xlsx", "A 958-2025")</f>
        <v/>
      </c>
      <c r="T163">
        <f>HYPERLINK("https://klasma.github.io/Logging_0883/kartor/A 958-2025 karta.png", "A 958-2025")</f>
        <v/>
      </c>
      <c r="V163">
        <f>HYPERLINK("https://klasma.github.io/Logging_0883/klagomål/A 958-2025 FSC-klagomål.docx", "A 958-2025")</f>
        <v/>
      </c>
      <c r="W163">
        <f>HYPERLINK("https://klasma.github.io/Logging_0883/klagomålsmail/A 958-2025 FSC-klagomål mail.docx", "A 958-2025")</f>
        <v/>
      </c>
      <c r="X163">
        <f>HYPERLINK("https://klasma.github.io/Logging_0883/tillsyn/A 958-2025 tillsynsbegäran.docx", "A 958-2025")</f>
        <v/>
      </c>
      <c r="Y163">
        <f>HYPERLINK("https://klasma.github.io/Logging_0883/tillsynsmail/A 958-2025 tillsynsbegäran mail.docx", "A 958-2025")</f>
        <v/>
      </c>
      <c r="Z163">
        <f>HYPERLINK("https://klasma.github.io/Logging_0883/fåglar/A 958-2025 prioriterade fågelarter.docx", "A 958-2025")</f>
        <v/>
      </c>
    </row>
    <row r="164" ht="15" customHeight="1">
      <c r="A164" t="inlineStr">
        <is>
          <t>A 1373-2024</t>
        </is>
      </c>
      <c r="B164" s="1" t="n">
        <v>45303</v>
      </c>
      <c r="C164" s="1" t="n">
        <v>45971</v>
      </c>
      <c r="D164" t="inlineStr">
        <is>
          <t>KALMAR LÄN</t>
        </is>
      </c>
      <c r="E164" t="inlineStr">
        <is>
          <t>VÄSTERVIK</t>
        </is>
      </c>
      <c r="G164" t="n">
        <v>1.2</v>
      </c>
      <c r="H164" t="n">
        <v>1</v>
      </c>
      <c r="I164" t="n">
        <v>0</v>
      </c>
      <c r="J164" t="n">
        <v>2</v>
      </c>
      <c r="K164" t="n">
        <v>0</v>
      </c>
      <c r="L164" t="n">
        <v>0</v>
      </c>
      <c r="M164" t="n">
        <v>0</v>
      </c>
      <c r="N164" t="n">
        <v>0</v>
      </c>
      <c r="O164" t="n">
        <v>2</v>
      </c>
      <c r="P164" t="n">
        <v>0</v>
      </c>
      <c r="Q164" t="n">
        <v>2</v>
      </c>
      <c r="R164" s="2" t="inlineStr">
        <is>
          <t>Tallticka
Talltita</t>
        </is>
      </c>
      <c r="S164">
        <f>HYPERLINK("https://klasma.github.io/Logging_0883/artfynd/A 1373-2024 artfynd.xlsx", "A 1373-2024")</f>
        <v/>
      </c>
      <c r="T164">
        <f>HYPERLINK("https://klasma.github.io/Logging_0883/kartor/A 1373-2024 karta.png", "A 1373-2024")</f>
        <v/>
      </c>
      <c r="V164">
        <f>HYPERLINK("https://klasma.github.io/Logging_0883/klagomål/A 1373-2024 FSC-klagomål.docx", "A 1373-2024")</f>
        <v/>
      </c>
      <c r="W164">
        <f>HYPERLINK("https://klasma.github.io/Logging_0883/klagomålsmail/A 1373-2024 FSC-klagomål mail.docx", "A 1373-2024")</f>
        <v/>
      </c>
      <c r="X164">
        <f>HYPERLINK("https://klasma.github.io/Logging_0883/tillsyn/A 1373-2024 tillsynsbegäran.docx", "A 1373-2024")</f>
        <v/>
      </c>
      <c r="Y164">
        <f>HYPERLINK("https://klasma.github.io/Logging_0883/tillsynsmail/A 1373-2024 tillsynsbegäran mail.docx", "A 1373-2024")</f>
        <v/>
      </c>
      <c r="Z164">
        <f>HYPERLINK("https://klasma.github.io/Logging_0883/fåglar/A 1373-2024 prioriterade fågelarter.docx", "A 1373-2024")</f>
        <v/>
      </c>
    </row>
    <row r="165" ht="15" customHeight="1">
      <c r="A165" t="inlineStr">
        <is>
          <t>A 14090-2025</t>
        </is>
      </c>
      <c r="B165" s="1" t="n">
        <v>45740.44487268518</v>
      </c>
      <c r="C165" s="1" t="n">
        <v>45971</v>
      </c>
      <c r="D165" t="inlineStr">
        <is>
          <t>KALMAR LÄN</t>
        </is>
      </c>
      <c r="E165" t="inlineStr">
        <is>
          <t>VÄSTERVIK</t>
        </is>
      </c>
      <c r="F165" t="inlineStr">
        <is>
          <t>Sveaskog</t>
        </is>
      </c>
      <c r="G165" t="n">
        <v>1</v>
      </c>
      <c r="H165" t="n">
        <v>2</v>
      </c>
      <c r="I165" t="n">
        <v>0</v>
      </c>
      <c r="J165" t="n">
        <v>1</v>
      </c>
      <c r="K165" t="n">
        <v>0</v>
      </c>
      <c r="L165" t="n">
        <v>0</v>
      </c>
      <c r="M165" t="n">
        <v>0</v>
      </c>
      <c r="N165" t="n">
        <v>0</v>
      </c>
      <c r="O165" t="n">
        <v>1</v>
      </c>
      <c r="P165" t="n">
        <v>0</v>
      </c>
      <c r="Q165" t="n">
        <v>2</v>
      </c>
      <c r="R165" s="2" t="inlineStr">
        <is>
          <t>Grönsångare
Åkergroda</t>
        </is>
      </c>
      <c r="S165">
        <f>HYPERLINK("https://klasma.github.io/Logging_0883/artfynd/A 14090-2025 artfynd.xlsx", "A 14090-2025")</f>
        <v/>
      </c>
      <c r="T165">
        <f>HYPERLINK("https://klasma.github.io/Logging_0883/kartor/A 14090-2025 karta.png", "A 14090-2025")</f>
        <v/>
      </c>
      <c r="V165">
        <f>HYPERLINK("https://klasma.github.io/Logging_0883/klagomål/A 14090-2025 FSC-klagomål.docx", "A 14090-2025")</f>
        <v/>
      </c>
      <c r="W165">
        <f>HYPERLINK("https://klasma.github.io/Logging_0883/klagomålsmail/A 14090-2025 FSC-klagomål mail.docx", "A 14090-2025")</f>
        <v/>
      </c>
      <c r="X165">
        <f>HYPERLINK("https://klasma.github.io/Logging_0883/tillsyn/A 14090-2025 tillsynsbegäran.docx", "A 14090-2025")</f>
        <v/>
      </c>
      <c r="Y165">
        <f>HYPERLINK("https://klasma.github.io/Logging_0883/tillsynsmail/A 14090-2025 tillsynsbegäran mail.docx", "A 14090-2025")</f>
        <v/>
      </c>
      <c r="Z165">
        <f>HYPERLINK("https://klasma.github.io/Logging_0883/fåglar/A 14090-2025 prioriterade fågelarter.docx", "A 14090-2025")</f>
        <v/>
      </c>
    </row>
    <row r="166" ht="15" customHeight="1">
      <c r="A166" t="inlineStr">
        <is>
          <t>A 25145-2022</t>
        </is>
      </c>
      <c r="B166" s="1" t="n">
        <v>44729</v>
      </c>
      <c r="C166" s="1" t="n">
        <v>45971</v>
      </c>
      <c r="D166" t="inlineStr">
        <is>
          <t>KALMAR LÄN</t>
        </is>
      </c>
      <c r="E166" t="inlineStr">
        <is>
          <t>VÄSTERVIK</t>
        </is>
      </c>
      <c r="G166" t="n">
        <v>1.3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25145-2022 artfynd.xlsx", "A 25145-2022")</f>
        <v/>
      </c>
      <c r="T166">
        <f>HYPERLINK("https://klasma.github.io/Logging_0883/kartor/A 25145-2022 karta.png", "A 25145-2022")</f>
        <v/>
      </c>
      <c r="U166">
        <f>HYPERLINK("https://klasma.github.io/Logging_0883/knärot/A 25145-2022 karta knärot.png", "A 25145-2022")</f>
        <v/>
      </c>
      <c r="V166">
        <f>HYPERLINK("https://klasma.github.io/Logging_0883/klagomål/A 25145-2022 FSC-klagomål.docx", "A 25145-2022")</f>
        <v/>
      </c>
      <c r="W166">
        <f>HYPERLINK("https://klasma.github.io/Logging_0883/klagomålsmail/A 25145-2022 FSC-klagomål mail.docx", "A 25145-2022")</f>
        <v/>
      </c>
      <c r="X166">
        <f>HYPERLINK("https://klasma.github.io/Logging_0883/tillsyn/A 25145-2022 tillsynsbegäran.docx", "A 25145-2022")</f>
        <v/>
      </c>
      <c r="Y166">
        <f>HYPERLINK("https://klasma.github.io/Logging_0883/tillsynsmail/A 25145-2022 tillsynsbegäran mail.docx", "A 25145-2022")</f>
        <v/>
      </c>
    </row>
    <row r="167" ht="15" customHeight="1">
      <c r="A167" t="inlineStr">
        <is>
          <t>A 16700-2025</t>
        </is>
      </c>
      <c r="B167" s="1" t="n">
        <v>45754.46833333333</v>
      </c>
      <c r="C167" s="1" t="n">
        <v>45971</v>
      </c>
      <c r="D167" t="inlineStr">
        <is>
          <t>KALMAR LÄN</t>
        </is>
      </c>
      <c r="E167" t="inlineStr">
        <is>
          <t>VÄSTERVIK</t>
        </is>
      </c>
      <c r="F167" t="inlineStr">
        <is>
          <t>Sveaskog</t>
        </is>
      </c>
      <c r="G167" t="n">
        <v>1.7</v>
      </c>
      <c r="H167" t="n">
        <v>2</v>
      </c>
      <c r="I167" t="n">
        <v>0</v>
      </c>
      <c r="J167" t="n">
        <v>1</v>
      </c>
      <c r="K167" t="n">
        <v>0</v>
      </c>
      <c r="L167" t="n">
        <v>0</v>
      </c>
      <c r="M167" t="n">
        <v>0</v>
      </c>
      <c r="N167" t="n">
        <v>0</v>
      </c>
      <c r="O167" t="n">
        <v>1</v>
      </c>
      <c r="P167" t="n">
        <v>0</v>
      </c>
      <c r="Q167" t="n">
        <v>2</v>
      </c>
      <c r="R167" s="2" t="inlineStr">
        <is>
          <t>Spillkråka
Kungsfågel</t>
        </is>
      </c>
      <c r="S167">
        <f>HYPERLINK("https://klasma.github.io/Logging_0883/artfynd/A 16700-2025 artfynd.xlsx", "A 16700-2025")</f>
        <v/>
      </c>
      <c r="T167">
        <f>HYPERLINK("https://klasma.github.io/Logging_0883/kartor/A 16700-2025 karta.png", "A 16700-2025")</f>
        <v/>
      </c>
      <c r="V167">
        <f>HYPERLINK("https://klasma.github.io/Logging_0883/klagomål/A 16700-2025 FSC-klagomål.docx", "A 16700-2025")</f>
        <v/>
      </c>
      <c r="W167">
        <f>HYPERLINK("https://klasma.github.io/Logging_0883/klagomålsmail/A 16700-2025 FSC-klagomål mail.docx", "A 16700-2025")</f>
        <v/>
      </c>
      <c r="X167">
        <f>HYPERLINK("https://klasma.github.io/Logging_0883/tillsyn/A 16700-2025 tillsynsbegäran.docx", "A 16700-2025")</f>
        <v/>
      </c>
      <c r="Y167">
        <f>HYPERLINK("https://klasma.github.io/Logging_0883/tillsynsmail/A 16700-2025 tillsynsbegäran mail.docx", "A 16700-2025")</f>
        <v/>
      </c>
      <c r="Z167">
        <f>HYPERLINK("https://klasma.github.io/Logging_0883/fåglar/A 16700-2025 prioriterade fågelarter.docx", "A 16700-2025")</f>
        <v/>
      </c>
    </row>
    <row r="168" ht="15" customHeight="1">
      <c r="A168" t="inlineStr">
        <is>
          <t>A 47935-2023</t>
        </is>
      </c>
      <c r="B168" s="1" t="n">
        <v>45204</v>
      </c>
      <c r="C168" s="1" t="n">
        <v>45971</v>
      </c>
      <c r="D168" t="inlineStr">
        <is>
          <t>KALMAR LÄN</t>
        </is>
      </c>
      <c r="E168" t="inlineStr">
        <is>
          <t>VÄSTERVIK</t>
        </is>
      </c>
      <c r="G168" t="n">
        <v>4.3</v>
      </c>
      <c r="H168" t="n">
        <v>0</v>
      </c>
      <c r="I168" t="n">
        <v>1</v>
      </c>
      <c r="J168" t="n">
        <v>1</v>
      </c>
      <c r="K168" t="n">
        <v>0</v>
      </c>
      <c r="L168" t="n">
        <v>0</v>
      </c>
      <c r="M168" t="n">
        <v>0</v>
      </c>
      <c r="N168" t="n">
        <v>0</v>
      </c>
      <c r="O168" t="n">
        <v>1</v>
      </c>
      <c r="P168" t="n">
        <v>0</v>
      </c>
      <c r="Q168" t="n">
        <v>2</v>
      </c>
      <c r="R168" s="2" t="inlineStr">
        <is>
          <t>Tallticka
Blåmossa</t>
        </is>
      </c>
      <c r="S168">
        <f>HYPERLINK("https://klasma.github.io/Logging_0883/artfynd/A 47935-2023 artfynd.xlsx", "A 47935-2023")</f>
        <v/>
      </c>
      <c r="T168">
        <f>HYPERLINK("https://klasma.github.io/Logging_0883/kartor/A 47935-2023 karta.png", "A 47935-2023")</f>
        <v/>
      </c>
      <c r="V168">
        <f>HYPERLINK("https://klasma.github.io/Logging_0883/klagomål/A 47935-2023 FSC-klagomål.docx", "A 47935-2023")</f>
        <v/>
      </c>
      <c r="W168">
        <f>HYPERLINK("https://klasma.github.io/Logging_0883/klagomålsmail/A 47935-2023 FSC-klagomål mail.docx", "A 47935-2023")</f>
        <v/>
      </c>
      <c r="X168">
        <f>HYPERLINK("https://klasma.github.io/Logging_0883/tillsyn/A 47935-2023 tillsynsbegäran.docx", "A 47935-2023")</f>
        <v/>
      </c>
      <c r="Y168">
        <f>HYPERLINK("https://klasma.github.io/Logging_0883/tillsynsmail/A 47935-2023 tillsynsbegäran mail.docx", "A 47935-2023")</f>
        <v/>
      </c>
    </row>
    <row r="169" ht="15" customHeight="1">
      <c r="A169" t="inlineStr">
        <is>
          <t>A 3182-2025</t>
        </is>
      </c>
      <c r="B169" s="1" t="n">
        <v>45679</v>
      </c>
      <c r="C169" s="1" t="n">
        <v>45971</v>
      </c>
      <c r="D169" t="inlineStr">
        <is>
          <t>KALMAR LÄN</t>
        </is>
      </c>
      <c r="E169" t="inlineStr">
        <is>
          <t>VÄSTERVIK</t>
        </is>
      </c>
      <c r="G169" t="n">
        <v>1.2</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3182-2025 artfynd.xlsx", "A 3182-2025")</f>
        <v/>
      </c>
      <c r="T169">
        <f>HYPERLINK("https://klasma.github.io/Logging_0883/kartor/A 3182-2025 karta.png", "A 3182-2025")</f>
        <v/>
      </c>
      <c r="U169">
        <f>HYPERLINK("https://klasma.github.io/Logging_0883/knärot/A 3182-2025 karta knärot.png", "A 3182-2025")</f>
        <v/>
      </c>
      <c r="V169">
        <f>HYPERLINK("https://klasma.github.io/Logging_0883/klagomål/A 3182-2025 FSC-klagomål.docx", "A 3182-2025")</f>
        <v/>
      </c>
      <c r="W169">
        <f>HYPERLINK("https://klasma.github.io/Logging_0883/klagomålsmail/A 3182-2025 FSC-klagomål mail.docx", "A 3182-2025")</f>
        <v/>
      </c>
      <c r="X169">
        <f>HYPERLINK("https://klasma.github.io/Logging_0883/tillsyn/A 3182-2025 tillsynsbegäran.docx", "A 3182-2025")</f>
        <v/>
      </c>
      <c r="Y169">
        <f>HYPERLINK("https://klasma.github.io/Logging_0883/tillsynsmail/A 3182-2025 tillsynsbegäran mail.docx", "A 3182-2025")</f>
        <v/>
      </c>
      <c r="Z169">
        <f>HYPERLINK("https://klasma.github.io/Logging_0883/fåglar/A 3182-2025 prioriterade fågelarter.docx", "A 3182-2025")</f>
        <v/>
      </c>
    </row>
    <row r="170" ht="15" customHeight="1">
      <c r="A170" t="inlineStr">
        <is>
          <t>A 56036-2024</t>
        </is>
      </c>
      <c r="B170" s="1" t="n">
        <v>45624</v>
      </c>
      <c r="C170" s="1" t="n">
        <v>45971</v>
      </c>
      <c r="D170" t="inlineStr">
        <is>
          <t>KALMAR LÄN</t>
        </is>
      </c>
      <c r="E170" t="inlineStr">
        <is>
          <t>VÄSTERVIK</t>
        </is>
      </c>
      <c r="F170" t="inlineStr">
        <is>
          <t>Kyrkan</t>
        </is>
      </c>
      <c r="G170" t="n">
        <v>5.5</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56036-2024 artfynd.xlsx", "A 56036-2024")</f>
        <v/>
      </c>
      <c r="T170">
        <f>HYPERLINK("https://klasma.github.io/Logging_0883/kartor/A 56036-2024 karta.png", "A 56036-2024")</f>
        <v/>
      </c>
      <c r="U170">
        <f>HYPERLINK("https://klasma.github.io/Logging_0883/knärot/A 56036-2024 karta knärot.png", "A 56036-2024")</f>
        <v/>
      </c>
      <c r="V170">
        <f>HYPERLINK("https://klasma.github.io/Logging_0883/klagomål/A 56036-2024 FSC-klagomål.docx", "A 56036-2024")</f>
        <v/>
      </c>
      <c r="W170">
        <f>HYPERLINK("https://klasma.github.io/Logging_0883/klagomålsmail/A 56036-2024 FSC-klagomål mail.docx", "A 56036-2024")</f>
        <v/>
      </c>
      <c r="X170">
        <f>HYPERLINK("https://klasma.github.io/Logging_0883/tillsyn/A 56036-2024 tillsynsbegäran.docx", "A 56036-2024")</f>
        <v/>
      </c>
      <c r="Y170">
        <f>HYPERLINK("https://klasma.github.io/Logging_0883/tillsynsmail/A 56036-2024 tillsynsbegäran mail.docx", "A 56036-2024")</f>
        <v/>
      </c>
      <c r="Z170">
        <f>HYPERLINK("https://klasma.github.io/Logging_0883/fåglar/A 56036-2024 prioriterade fågelarter.docx", "A 56036-2024")</f>
        <v/>
      </c>
    </row>
    <row r="171" ht="15" customHeight="1">
      <c r="A171" t="inlineStr">
        <is>
          <t>A 17438-2024</t>
        </is>
      </c>
      <c r="B171" s="1" t="n">
        <v>45415</v>
      </c>
      <c r="C171" s="1" t="n">
        <v>45971</v>
      </c>
      <c r="D171" t="inlineStr">
        <is>
          <t>KALMAR LÄN</t>
        </is>
      </c>
      <c r="E171" t="inlineStr">
        <is>
          <t>VÄSTERVIK</t>
        </is>
      </c>
      <c r="G171" t="n">
        <v>3.8</v>
      </c>
      <c r="H171" t="n">
        <v>2</v>
      </c>
      <c r="I171" t="n">
        <v>0</v>
      </c>
      <c r="J171" t="n">
        <v>1</v>
      </c>
      <c r="K171" t="n">
        <v>1</v>
      </c>
      <c r="L171" t="n">
        <v>0</v>
      </c>
      <c r="M171" t="n">
        <v>0</v>
      </c>
      <c r="N171" t="n">
        <v>0</v>
      </c>
      <c r="O171" t="n">
        <v>2</v>
      </c>
      <c r="P171" t="n">
        <v>1</v>
      </c>
      <c r="Q171" t="n">
        <v>2</v>
      </c>
      <c r="R171" s="2" t="inlineStr">
        <is>
          <t>Knärot
Spillkråka</t>
        </is>
      </c>
      <c r="S171">
        <f>HYPERLINK("https://klasma.github.io/Logging_0883/artfynd/A 17438-2024 artfynd.xlsx", "A 17438-2024")</f>
        <v/>
      </c>
      <c r="T171">
        <f>HYPERLINK("https://klasma.github.io/Logging_0883/kartor/A 17438-2024 karta.png", "A 17438-2024")</f>
        <v/>
      </c>
      <c r="U171">
        <f>HYPERLINK("https://klasma.github.io/Logging_0883/knärot/A 17438-2024 karta knärot.png", "A 17438-2024")</f>
        <v/>
      </c>
      <c r="V171">
        <f>HYPERLINK("https://klasma.github.io/Logging_0883/klagomål/A 17438-2024 FSC-klagomål.docx", "A 17438-2024")</f>
        <v/>
      </c>
      <c r="W171">
        <f>HYPERLINK("https://klasma.github.io/Logging_0883/klagomålsmail/A 17438-2024 FSC-klagomål mail.docx", "A 17438-2024")</f>
        <v/>
      </c>
      <c r="X171">
        <f>HYPERLINK("https://klasma.github.io/Logging_0883/tillsyn/A 17438-2024 tillsynsbegäran.docx", "A 17438-2024")</f>
        <v/>
      </c>
      <c r="Y171">
        <f>HYPERLINK("https://klasma.github.io/Logging_0883/tillsynsmail/A 17438-2024 tillsynsbegäran mail.docx", "A 17438-2024")</f>
        <v/>
      </c>
      <c r="Z171">
        <f>HYPERLINK("https://klasma.github.io/Logging_0883/fåglar/A 17438-2024 prioriterade fågelarter.docx", "A 17438-2024")</f>
        <v/>
      </c>
    </row>
    <row r="172" ht="15" customHeight="1">
      <c r="A172" t="inlineStr">
        <is>
          <t>A 41573-2024</t>
        </is>
      </c>
      <c r="B172" s="1" t="n">
        <v>45560</v>
      </c>
      <c r="C172" s="1" t="n">
        <v>45971</v>
      </c>
      <c r="D172" t="inlineStr">
        <is>
          <t>KALMAR LÄN</t>
        </is>
      </c>
      <c r="E172" t="inlineStr">
        <is>
          <t>VÄSTERVIK</t>
        </is>
      </c>
      <c r="G172" t="n">
        <v>1.6</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41573-2024 artfynd.xlsx", "A 41573-2024")</f>
        <v/>
      </c>
      <c r="T172">
        <f>HYPERLINK("https://klasma.github.io/Logging_0883/kartor/A 41573-2024 karta.png", "A 41573-2024")</f>
        <v/>
      </c>
      <c r="U172">
        <f>HYPERLINK("https://klasma.github.io/Logging_0883/knärot/A 41573-2024 karta knärot.png", "A 41573-2024")</f>
        <v/>
      </c>
      <c r="V172">
        <f>HYPERLINK("https://klasma.github.io/Logging_0883/klagomål/A 41573-2024 FSC-klagomål.docx", "A 41573-2024")</f>
        <v/>
      </c>
      <c r="W172">
        <f>HYPERLINK("https://klasma.github.io/Logging_0883/klagomålsmail/A 41573-2024 FSC-klagomål mail.docx", "A 41573-2024")</f>
        <v/>
      </c>
      <c r="X172">
        <f>HYPERLINK("https://klasma.github.io/Logging_0883/tillsyn/A 41573-2024 tillsynsbegäran.docx", "A 41573-2024")</f>
        <v/>
      </c>
      <c r="Y172">
        <f>HYPERLINK("https://klasma.github.io/Logging_0883/tillsynsmail/A 41573-2024 tillsynsbegäran mail.docx", "A 41573-2024")</f>
        <v/>
      </c>
    </row>
    <row r="173" ht="15" customHeight="1">
      <c r="A173" t="inlineStr">
        <is>
          <t>A 34292-2025</t>
        </is>
      </c>
      <c r="B173" s="1" t="n">
        <v>45846.34083333334</v>
      </c>
      <c r="C173" s="1" t="n">
        <v>45971</v>
      </c>
      <c r="D173" t="inlineStr">
        <is>
          <t>KALMAR LÄN</t>
        </is>
      </c>
      <c r="E173" t="inlineStr">
        <is>
          <t>VÄSTERVIK</t>
        </is>
      </c>
      <c r="G173" t="n">
        <v>3.4</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34292-2025 artfynd.xlsx", "A 34292-2025")</f>
        <v/>
      </c>
      <c r="T173">
        <f>HYPERLINK("https://klasma.github.io/Logging_0883/kartor/A 34292-2025 karta.png", "A 34292-2025")</f>
        <v/>
      </c>
      <c r="V173">
        <f>HYPERLINK("https://klasma.github.io/Logging_0883/klagomål/A 34292-2025 FSC-klagomål.docx", "A 34292-2025")</f>
        <v/>
      </c>
      <c r="W173">
        <f>HYPERLINK("https://klasma.github.io/Logging_0883/klagomålsmail/A 34292-2025 FSC-klagomål mail.docx", "A 34292-2025")</f>
        <v/>
      </c>
      <c r="X173">
        <f>HYPERLINK("https://klasma.github.io/Logging_0883/tillsyn/A 34292-2025 tillsynsbegäran.docx", "A 34292-2025")</f>
        <v/>
      </c>
      <c r="Y173">
        <f>HYPERLINK("https://klasma.github.io/Logging_0883/tillsynsmail/A 34292-2025 tillsynsbegäran mail.docx", "A 34292-2025")</f>
        <v/>
      </c>
    </row>
    <row r="174" ht="15" customHeight="1">
      <c r="A174" t="inlineStr">
        <is>
          <t>A 932-2024</t>
        </is>
      </c>
      <c r="B174" s="1" t="n">
        <v>45301</v>
      </c>
      <c r="C174" s="1" t="n">
        <v>45971</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941-2024</t>
        </is>
      </c>
      <c r="B175" s="1" t="n">
        <v>45301</v>
      </c>
      <c r="C175" s="1" t="n">
        <v>45971</v>
      </c>
      <c r="D175" t="inlineStr">
        <is>
          <t>KALMAR LÄN</t>
        </is>
      </c>
      <c r="E175" t="inlineStr">
        <is>
          <t>VÄSTERVIK</t>
        </is>
      </c>
      <c r="G175" t="n">
        <v>2.7</v>
      </c>
      <c r="H175" t="n">
        <v>1</v>
      </c>
      <c r="I175" t="n">
        <v>0</v>
      </c>
      <c r="J175" t="n">
        <v>1</v>
      </c>
      <c r="K175" t="n">
        <v>1</v>
      </c>
      <c r="L175" t="n">
        <v>0</v>
      </c>
      <c r="M175" t="n">
        <v>0</v>
      </c>
      <c r="N175" t="n">
        <v>0</v>
      </c>
      <c r="O175" t="n">
        <v>2</v>
      </c>
      <c r="P175" t="n">
        <v>1</v>
      </c>
      <c r="Q175" t="n">
        <v>2</v>
      </c>
      <c r="R175" s="2" t="inlineStr">
        <is>
          <t>Knärot
Svinrot</t>
        </is>
      </c>
      <c r="S175">
        <f>HYPERLINK("https://klasma.github.io/Logging_0883/artfynd/A 941-2024 artfynd.xlsx", "A 941-2024")</f>
        <v/>
      </c>
      <c r="T175">
        <f>HYPERLINK("https://klasma.github.io/Logging_0883/kartor/A 941-2024 karta.png", "A 941-2024")</f>
        <v/>
      </c>
      <c r="U175">
        <f>HYPERLINK("https://klasma.github.io/Logging_0883/knärot/A 941-2024 karta knärot.png", "A 941-2024")</f>
        <v/>
      </c>
      <c r="V175">
        <f>HYPERLINK("https://klasma.github.io/Logging_0883/klagomål/A 941-2024 FSC-klagomål.docx", "A 941-2024")</f>
        <v/>
      </c>
      <c r="W175">
        <f>HYPERLINK("https://klasma.github.io/Logging_0883/klagomålsmail/A 941-2024 FSC-klagomål mail.docx", "A 941-2024")</f>
        <v/>
      </c>
      <c r="X175">
        <f>HYPERLINK("https://klasma.github.io/Logging_0883/tillsyn/A 941-2024 tillsynsbegäran.docx", "A 941-2024")</f>
        <v/>
      </c>
      <c r="Y175">
        <f>HYPERLINK("https://klasma.github.io/Logging_0883/tillsynsmail/A 941-2024 tillsynsbegäran mail.docx", "A 941-2024")</f>
        <v/>
      </c>
    </row>
    <row r="176" ht="15" customHeight="1">
      <c r="A176" t="inlineStr">
        <is>
          <t>A 53769-2021</t>
        </is>
      </c>
      <c r="B176" s="1" t="n">
        <v>44467</v>
      </c>
      <c r="C176" s="1" t="n">
        <v>45971</v>
      </c>
      <c r="D176" t="inlineStr">
        <is>
          <t>KALMAR LÄN</t>
        </is>
      </c>
      <c r="E176" t="inlineStr">
        <is>
          <t>VÄSTERVIK</t>
        </is>
      </c>
      <c r="G176" t="n">
        <v>2.2</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HYPERLINK("https://klasma.github.io/Logging_0883/artfynd/A 53769-2021 artfynd.xlsx", "A 53769-2021")</f>
        <v/>
      </c>
      <c r="T176">
        <f>HYPERLINK("https://klasma.github.io/Logging_0883/kartor/A 53769-2021 karta.png", "A 53769-2021")</f>
        <v/>
      </c>
      <c r="V176">
        <f>HYPERLINK("https://klasma.github.io/Logging_0883/klagomål/A 53769-2021 FSC-klagomål.docx", "A 53769-2021")</f>
        <v/>
      </c>
      <c r="W176">
        <f>HYPERLINK("https://klasma.github.io/Logging_0883/klagomålsmail/A 53769-2021 FSC-klagomål mail.docx", "A 53769-2021")</f>
        <v/>
      </c>
      <c r="X176">
        <f>HYPERLINK("https://klasma.github.io/Logging_0883/tillsyn/A 53769-2021 tillsynsbegäran.docx", "A 53769-2021")</f>
        <v/>
      </c>
      <c r="Y176">
        <f>HYPERLINK("https://klasma.github.io/Logging_0883/tillsynsmail/A 53769-2021 tillsynsbegäran mail.docx", "A 53769-2021")</f>
        <v/>
      </c>
    </row>
    <row r="177" ht="15" customHeight="1">
      <c r="A177" t="inlineStr">
        <is>
          <t>A 911-2024</t>
        </is>
      </c>
      <c r="B177" s="1" t="n">
        <v>45301</v>
      </c>
      <c r="C177" s="1" t="n">
        <v>45971</v>
      </c>
      <c r="D177" t="inlineStr">
        <is>
          <t>KALMAR LÄN</t>
        </is>
      </c>
      <c r="E177" t="inlineStr">
        <is>
          <t>VÄSTERVIK</t>
        </is>
      </c>
      <c r="G177" t="n">
        <v>5.6</v>
      </c>
      <c r="H177" t="n">
        <v>1</v>
      </c>
      <c r="I177" t="n">
        <v>1</v>
      </c>
      <c r="J177" t="n">
        <v>1</v>
      </c>
      <c r="K177" t="n">
        <v>0</v>
      </c>
      <c r="L177" t="n">
        <v>0</v>
      </c>
      <c r="M177" t="n">
        <v>0</v>
      </c>
      <c r="N177" t="n">
        <v>0</v>
      </c>
      <c r="O177" t="n">
        <v>1</v>
      </c>
      <c r="P177" t="n">
        <v>0</v>
      </c>
      <c r="Q177" t="n">
        <v>2</v>
      </c>
      <c r="R177" s="2" t="inlineStr">
        <is>
          <t>Talltita
Blodticka</t>
        </is>
      </c>
      <c r="S177">
        <f>HYPERLINK("https://klasma.github.io/Logging_0883/artfynd/A 911-2024 artfynd.xlsx", "A 911-2024")</f>
        <v/>
      </c>
      <c r="T177">
        <f>HYPERLINK("https://klasma.github.io/Logging_0883/kartor/A 911-2024 karta.png", "A 911-2024")</f>
        <v/>
      </c>
      <c r="V177">
        <f>HYPERLINK("https://klasma.github.io/Logging_0883/klagomål/A 911-2024 FSC-klagomål.docx", "A 911-2024")</f>
        <v/>
      </c>
      <c r="W177">
        <f>HYPERLINK("https://klasma.github.io/Logging_0883/klagomålsmail/A 911-2024 FSC-klagomål mail.docx", "A 911-2024")</f>
        <v/>
      </c>
      <c r="X177">
        <f>HYPERLINK("https://klasma.github.io/Logging_0883/tillsyn/A 911-2024 tillsynsbegäran.docx", "A 911-2024")</f>
        <v/>
      </c>
      <c r="Y177">
        <f>HYPERLINK("https://klasma.github.io/Logging_0883/tillsynsmail/A 911-2024 tillsynsbegäran mail.docx", "A 911-2024")</f>
        <v/>
      </c>
      <c r="Z177">
        <f>HYPERLINK("https://klasma.github.io/Logging_0883/fåglar/A 911-2024 prioriterade fågelarter.docx", "A 911-2024")</f>
        <v/>
      </c>
    </row>
    <row r="178" ht="15" customHeight="1">
      <c r="A178" t="inlineStr">
        <is>
          <t>A 12598-2024</t>
        </is>
      </c>
      <c r="B178" s="1" t="n">
        <v>45380</v>
      </c>
      <c r="C178" s="1" t="n">
        <v>45971</v>
      </c>
      <c r="D178" t="inlineStr">
        <is>
          <t>KALMAR LÄN</t>
        </is>
      </c>
      <c r="E178" t="inlineStr">
        <is>
          <t>VÄSTERVIK</t>
        </is>
      </c>
      <c r="F178" t="inlineStr">
        <is>
          <t>Holmen skog AB</t>
        </is>
      </c>
      <c r="G178" t="n">
        <v>5</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12598-2024 artfynd.xlsx", "A 12598-2024")</f>
        <v/>
      </c>
      <c r="T178">
        <f>HYPERLINK("https://klasma.github.io/Logging_0883/kartor/A 12598-2024 karta.png", "A 12598-2024")</f>
        <v/>
      </c>
      <c r="U178">
        <f>HYPERLINK("https://klasma.github.io/Logging_0883/knärot/A 12598-2024 karta knärot.png", "A 12598-2024")</f>
        <v/>
      </c>
      <c r="V178">
        <f>HYPERLINK("https://klasma.github.io/Logging_0883/klagomål/A 12598-2024 FSC-klagomål.docx", "A 12598-2024")</f>
        <v/>
      </c>
      <c r="W178">
        <f>HYPERLINK("https://klasma.github.io/Logging_0883/klagomålsmail/A 12598-2024 FSC-klagomål mail.docx", "A 12598-2024")</f>
        <v/>
      </c>
      <c r="X178">
        <f>HYPERLINK("https://klasma.github.io/Logging_0883/tillsyn/A 12598-2024 tillsynsbegäran.docx", "A 12598-2024")</f>
        <v/>
      </c>
      <c r="Y178">
        <f>HYPERLINK("https://klasma.github.io/Logging_0883/tillsynsmail/A 12598-2024 tillsynsbegäran mail.docx", "A 12598-2024")</f>
        <v/>
      </c>
    </row>
    <row r="179" ht="15" customHeight="1">
      <c r="A179" t="inlineStr">
        <is>
          <t>A 16419-2024</t>
        </is>
      </c>
      <c r="B179" s="1" t="n">
        <v>45407</v>
      </c>
      <c r="C179" s="1" t="n">
        <v>45971</v>
      </c>
      <c r="D179" t="inlineStr">
        <is>
          <t>KALMAR LÄN</t>
        </is>
      </c>
      <c r="E179" t="inlineStr">
        <is>
          <t>VÄSTERVIK</t>
        </is>
      </c>
      <c r="F179" t="inlineStr">
        <is>
          <t>Holmen skog AB</t>
        </is>
      </c>
      <c r="G179" t="n">
        <v>1.8</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16419-2024 artfynd.xlsx", "A 16419-2024")</f>
        <v/>
      </c>
      <c r="T179">
        <f>HYPERLINK("https://klasma.github.io/Logging_0883/kartor/A 16419-2024 karta.png", "A 16419-2024")</f>
        <v/>
      </c>
      <c r="U179">
        <f>HYPERLINK("https://klasma.github.io/Logging_0883/knärot/A 16419-2024 karta knärot.png", "A 16419-2024")</f>
        <v/>
      </c>
      <c r="V179">
        <f>HYPERLINK("https://klasma.github.io/Logging_0883/klagomål/A 16419-2024 FSC-klagomål.docx", "A 16419-2024")</f>
        <v/>
      </c>
      <c r="W179">
        <f>HYPERLINK("https://klasma.github.io/Logging_0883/klagomålsmail/A 16419-2024 FSC-klagomål mail.docx", "A 16419-2024")</f>
        <v/>
      </c>
      <c r="X179">
        <f>HYPERLINK("https://klasma.github.io/Logging_0883/tillsyn/A 16419-2024 tillsynsbegäran.docx", "A 16419-2024")</f>
        <v/>
      </c>
      <c r="Y179">
        <f>HYPERLINK("https://klasma.github.io/Logging_0883/tillsynsmail/A 16419-2024 tillsynsbegäran mail.docx", "A 16419-2024")</f>
        <v/>
      </c>
      <c r="Z179">
        <f>HYPERLINK("https://klasma.github.io/Logging_0883/fåglar/A 16419-2024 prioriterade fågelarter.docx", "A 16419-2024")</f>
        <v/>
      </c>
    </row>
    <row r="180" ht="15" customHeight="1">
      <c r="A180" t="inlineStr">
        <is>
          <t>A 59940-2021</t>
        </is>
      </c>
      <c r="B180" s="1" t="n">
        <v>44494</v>
      </c>
      <c r="C180" s="1" t="n">
        <v>45971</v>
      </c>
      <c r="D180" t="inlineStr">
        <is>
          <t>KALMAR LÄN</t>
        </is>
      </c>
      <c r="E180" t="inlineStr">
        <is>
          <t>VÄSTERVIK</t>
        </is>
      </c>
      <c r="G180" t="n">
        <v>4.3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59940-2021 artfynd.xlsx", "A 59940-2021")</f>
        <v/>
      </c>
      <c r="T180">
        <f>HYPERLINK("https://klasma.github.io/Logging_0883/kartor/A 59940-2021 karta.png", "A 59940-2021")</f>
        <v/>
      </c>
      <c r="U180">
        <f>HYPERLINK("https://klasma.github.io/Logging_0883/knärot/A 59940-2021 karta knärot.png", "A 59940-2021")</f>
        <v/>
      </c>
      <c r="V180">
        <f>HYPERLINK("https://klasma.github.io/Logging_0883/klagomål/A 59940-2021 FSC-klagomål.docx", "A 59940-2021")</f>
        <v/>
      </c>
      <c r="W180">
        <f>HYPERLINK("https://klasma.github.io/Logging_0883/klagomålsmail/A 59940-2021 FSC-klagomål mail.docx", "A 59940-2021")</f>
        <v/>
      </c>
      <c r="X180">
        <f>HYPERLINK("https://klasma.github.io/Logging_0883/tillsyn/A 59940-2021 tillsynsbegäran.docx", "A 59940-2021")</f>
        <v/>
      </c>
      <c r="Y180">
        <f>HYPERLINK("https://klasma.github.io/Logging_0883/tillsynsmail/A 59940-2021 tillsynsbegäran mail.docx", "A 59940-2021")</f>
        <v/>
      </c>
    </row>
    <row r="181" ht="15" customHeight="1">
      <c r="A181" t="inlineStr">
        <is>
          <t>A 41271-2025</t>
        </is>
      </c>
      <c r="B181" s="1" t="n">
        <v>45898.62226851852</v>
      </c>
      <c r="C181" s="1" t="n">
        <v>45971</v>
      </c>
      <c r="D181" t="inlineStr">
        <is>
          <t>KALMAR LÄN</t>
        </is>
      </c>
      <c r="E181" t="inlineStr">
        <is>
          <t>VÄSTERVIK</t>
        </is>
      </c>
      <c r="G181" t="n">
        <v>1.1</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41271-2025 artfynd.xlsx", "A 41271-2025")</f>
        <v/>
      </c>
      <c r="T181">
        <f>HYPERLINK("https://klasma.github.io/Logging_0883/kartor/A 41271-2025 karta.png", "A 41271-2025")</f>
        <v/>
      </c>
      <c r="U181">
        <f>HYPERLINK("https://klasma.github.io/Logging_0883/knärot/A 41271-2025 karta knärot.png", "A 41271-2025")</f>
        <v/>
      </c>
      <c r="V181">
        <f>HYPERLINK("https://klasma.github.io/Logging_0883/klagomål/A 41271-2025 FSC-klagomål.docx", "A 41271-2025")</f>
        <v/>
      </c>
      <c r="W181">
        <f>HYPERLINK("https://klasma.github.io/Logging_0883/klagomålsmail/A 41271-2025 FSC-klagomål mail.docx", "A 41271-2025")</f>
        <v/>
      </c>
      <c r="X181">
        <f>HYPERLINK("https://klasma.github.io/Logging_0883/tillsyn/A 41271-2025 tillsynsbegäran.docx", "A 41271-2025")</f>
        <v/>
      </c>
      <c r="Y181">
        <f>HYPERLINK("https://klasma.github.io/Logging_0883/tillsynsmail/A 41271-2025 tillsynsbegäran mail.docx", "A 41271-2025")</f>
        <v/>
      </c>
      <c r="Z181">
        <f>HYPERLINK("https://klasma.github.io/Logging_0883/fåglar/A 41271-2025 prioriterade fågelarter.docx", "A 41271-2025")</f>
        <v/>
      </c>
    </row>
    <row r="182" ht="15" customHeight="1">
      <c r="A182" t="inlineStr">
        <is>
          <t>A 10784-2025</t>
        </is>
      </c>
      <c r="B182" s="1" t="n">
        <v>45722</v>
      </c>
      <c r="C182" s="1" t="n">
        <v>45971</v>
      </c>
      <c r="D182" t="inlineStr">
        <is>
          <t>KALMAR LÄN</t>
        </is>
      </c>
      <c r="E182" t="inlineStr">
        <is>
          <t>VÄSTERVIK</t>
        </is>
      </c>
      <c r="G182" t="n">
        <v>2.1</v>
      </c>
      <c r="H182" t="n">
        <v>2</v>
      </c>
      <c r="I182" t="n">
        <v>0</v>
      </c>
      <c r="J182" t="n">
        <v>1</v>
      </c>
      <c r="K182" t="n">
        <v>0</v>
      </c>
      <c r="L182" t="n">
        <v>0</v>
      </c>
      <c r="M182" t="n">
        <v>0</v>
      </c>
      <c r="N182" t="n">
        <v>0</v>
      </c>
      <c r="O182" t="n">
        <v>1</v>
      </c>
      <c r="P182" t="n">
        <v>0</v>
      </c>
      <c r="Q182" t="n">
        <v>2</v>
      </c>
      <c r="R182" s="2" t="inlineStr">
        <is>
          <t>Talltita
Kungsfågel</t>
        </is>
      </c>
      <c r="S182">
        <f>HYPERLINK("https://klasma.github.io/Logging_0883/artfynd/A 10784-2025 artfynd.xlsx", "A 10784-2025")</f>
        <v/>
      </c>
      <c r="T182">
        <f>HYPERLINK("https://klasma.github.io/Logging_0883/kartor/A 10784-2025 karta.png", "A 10784-2025")</f>
        <v/>
      </c>
      <c r="V182">
        <f>HYPERLINK("https://klasma.github.io/Logging_0883/klagomål/A 10784-2025 FSC-klagomål.docx", "A 10784-2025")</f>
        <v/>
      </c>
      <c r="W182">
        <f>HYPERLINK("https://klasma.github.io/Logging_0883/klagomålsmail/A 10784-2025 FSC-klagomål mail.docx", "A 10784-2025")</f>
        <v/>
      </c>
      <c r="X182">
        <f>HYPERLINK("https://klasma.github.io/Logging_0883/tillsyn/A 10784-2025 tillsynsbegäran.docx", "A 10784-2025")</f>
        <v/>
      </c>
      <c r="Y182">
        <f>HYPERLINK("https://klasma.github.io/Logging_0883/tillsynsmail/A 10784-2025 tillsynsbegäran mail.docx", "A 10784-2025")</f>
        <v/>
      </c>
      <c r="Z182">
        <f>HYPERLINK("https://klasma.github.io/Logging_0883/fåglar/A 10784-2025 prioriterade fågelarter.docx", "A 10784-2025")</f>
        <v/>
      </c>
    </row>
    <row r="183" ht="15" customHeight="1">
      <c r="A183" t="inlineStr">
        <is>
          <t>A 15534-2024</t>
        </is>
      </c>
      <c r="B183" s="1" t="n">
        <v>45401</v>
      </c>
      <c r="C183" s="1" t="n">
        <v>45971</v>
      </c>
      <c r="D183" t="inlineStr">
        <is>
          <t>KALMAR LÄN</t>
        </is>
      </c>
      <c r="E183" t="inlineStr">
        <is>
          <t>VÄSTERVIK</t>
        </is>
      </c>
      <c r="F183" t="inlineStr">
        <is>
          <t>Holmen skog AB</t>
        </is>
      </c>
      <c r="G183" t="n">
        <v>5.1</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15534-2024 artfynd.xlsx", "A 15534-2024")</f>
        <v/>
      </c>
      <c r="T183">
        <f>HYPERLINK("https://klasma.github.io/Logging_0883/kartor/A 15534-2024 karta.png", "A 15534-2024")</f>
        <v/>
      </c>
      <c r="U183">
        <f>HYPERLINK("https://klasma.github.io/Logging_0883/knärot/A 15534-2024 karta knärot.png", "A 15534-2024")</f>
        <v/>
      </c>
      <c r="V183">
        <f>HYPERLINK("https://klasma.github.io/Logging_0883/klagomål/A 15534-2024 FSC-klagomål.docx", "A 15534-2024")</f>
        <v/>
      </c>
      <c r="W183">
        <f>HYPERLINK("https://klasma.github.io/Logging_0883/klagomålsmail/A 15534-2024 FSC-klagomål mail.docx", "A 15534-2024")</f>
        <v/>
      </c>
      <c r="X183">
        <f>HYPERLINK("https://klasma.github.io/Logging_0883/tillsyn/A 15534-2024 tillsynsbegäran.docx", "A 15534-2024")</f>
        <v/>
      </c>
      <c r="Y183">
        <f>HYPERLINK("https://klasma.github.io/Logging_0883/tillsynsmail/A 15534-2024 tillsynsbegäran mail.docx", "A 15534-2024")</f>
        <v/>
      </c>
    </row>
    <row r="184" ht="15" customHeight="1">
      <c r="A184" t="inlineStr">
        <is>
          <t>A 46157-2025</t>
        </is>
      </c>
      <c r="B184" s="1" t="n">
        <v>45924.63246527778</v>
      </c>
      <c r="C184" s="1" t="n">
        <v>45971</v>
      </c>
      <c r="D184" t="inlineStr">
        <is>
          <t>KALMAR LÄN</t>
        </is>
      </c>
      <c r="E184" t="inlineStr">
        <is>
          <t>VÄSTERVIK</t>
        </is>
      </c>
      <c r="G184" t="n">
        <v>3.1</v>
      </c>
      <c r="H184" t="n">
        <v>2</v>
      </c>
      <c r="I184" t="n">
        <v>0</v>
      </c>
      <c r="J184" t="n">
        <v>1</v>
      </c>
      <c r="K184" t="n">
        <v>0</v>
      </c>
      <c r="L184" t="n">
        <v>0</v>
      </c>
      <c r="M184" t="n">
        <v>0</v>
      </c>
      <c r="N184" t="n">
        <v>0</v>
      </c>
      <c r="O184" t="n">
        <v>1</v>
      </c>
      <c r="P184" t="n">
        <v>0</v>
      </c>
      <c r="Q184" t="n">
        <v>2</v>
      </c>
      <c r="R184" s="2" t="inlineStr">
        <is>
          <t>Spillkråka
Kungsfågel</t>
        </is>
      </c>
      <c r="S184">
        <f>HYPERLINK("https://klasma.github.io/Logging_0883/artfynd/A 46157-2025 artfynd.xlsx", "A 46157-2025")</f>
        <v/>
      </c>
      <c r="T184">
        <f>HYPERLINK("https://klasma.github.io/Logging_0883/kartor/A 46157-2025 karta.png", "A 46157-2025")</f>
        <v/>
      </c>
      <c r="V184">
        <f>HYPERLINK("https://klasma.github.io/Logging_0883/klagomål/A 46157-2025 FSC-klagomål.docx", "A 46157-2025")</f>
        <v/>
      </c>
      <c r="W184">
        <f>HYPERLINK("https://klasma.github.io/Logging_0883/klagomålsmail/A 46157-2025 FSC-klagomål mail.docx", "A 46157-2025")</f>
        <v/>
      </c>
      <c r="X184">
        <f>HYPERLINK("https://klasma.github.io/Logging_0883/tillsyn/A 46157-2025 tillsynsbegäran.docx", "A 46157-2025")</f>
        <v/>
      </c>
      <c r="Y184">
        <f>HYPERLINK("https://klasma.github.io/Logging_0883/tillsynsmail/A 46157-2025 tillsynsbegäran mail.docx", "A 46157-2025")</f>
        <v/>
      </c>
      <c r="Z184">
        <f>HYPERLINK("https://klasma.github.io/Logging_0883/fåglar/A 46157-2025 prioriterade fågelarter.docx", "A 46157-2025")</f>
        <v/>
      </c>
    </row>
    <row r="185" ht="15" customHeight="1">
      <c r="A185" t="inlineStr">
        <is>
          <t>A 59231-2022</t>
        </is>
      </c>
      <c r="B185" s="1" t="n">
        <v>44904.55646990741</v>
      </c>
      <c r="C185" s="1" t="n">
        <v>45971</v>
      </c>
      <c r="D185" t="inlineStr">
        <is>
          <t>KALMAR LÄN</t>
        </is>
      </c>
      <c r="E185" t="inlineStr">
        <is>
          <t>VÄSTERVIK</t>
        </is>
      </c>
      <c r="G185" t="n">
        <v>1.8</v>
      </c>
      <c r="H185" t="n">
        <v>0</v>
      </c>
      <c r="I185" t="n">
        <v>1</v>
      </c>
      <c r="J185" t="n">
        <v>1</v>
      </c>
      <c r="K185" t="n">
        <v>0</v>
      </c>
      <c r="L185" t="n">
        <v>0</v>
      </c>
      <c r="M185" t="n">
        <v>0</v>
      </c>
      <c r="N185" t="n">
        <v>0</v>
      </c>
      <c r="O185" t="n">
        <v>1</v>
      </c>
      <c r="P185" t="n">
        <v>0</v>
      </c>
      <c r="Q185" t="n">
        <v>2</v>
      </c>
      <c r="R185" s="2" t="inlineStr">
        <is>
          <t>Tallticka
Grönpyrola</t>
        </is>
      </c>
      <c r="S185">
        <f>HYPERLINK("https://klasma.github.io/Logging_0883/artfynd/A 59231-2022 artfynd.xlsx", "A 59231-2022")</f>
        <v/>
      </c>
      <c r="T185">
        <f>HYPERLINK("https://klasma.github.io/Logging_0883/kartor/A 59231-2022 karta.png", "A 59231-2022")</f>
        <v/>
      </c>
      <c r="V185">
        <f>HYPERLINK("https://klasma.github.io/Logging_0883/klagomål/A 59231-2022 FSC-klagomål.docx", "A 59231-2022")</f>
        <v/>
      </c>
      <c r="W185">
        <f>HYPERLINK("https://klasma.github.io/Logging_0883/klagomålsmail/A 59231-2022 FSC-klagomål mail.docx", "A 59231-2022")</f>
        <v/>
      </c>
      <c r="X185">
        <f>HYPERLINK("https://klasma.github.io/Logging_0883/tillsyn/A 59231-2022 tillsynsbegäran.docx", "A 59231-2022")</f>
        <v/>
      </c>
      <c r="Y185">
        <f>HYPERLINK("https://klasma.github.io/Logging_0883/tillsynsmail/A 59231-2022 tillsynsbegäran mail.docx", "A 59231-2022")</f>
        <v/>
      </c>
    </row>
    <row r="186" ht="15" customHeight="1">
      <c r="A186" t="inlineStr">
        <is>
          <t>A 1767-2025</t>
        </is>
      </c>
      <c r="B186" s="1" t="n">
        <v>45671</v>
      </c>
      <c r="C186" s="1" t="n">
        <v>45971</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50977-2021</t>
        </is>
      </c>
      <c r="B187" s="1" t="n">
        <v>44460.68069444445</v>
      </c>
      <c r="C187" s="1" t="n">
        <v>45971</v>
      </c>
      <c r="D187" t="inlineStr">
        <is>
          <t>KALMAR LÄN</t>
        </is>
      </c>
      <c r="E187" t="inlineStr">
        <is>
          <t>VÄSTERVIK</t>
        </is>
      </c>
      <c r="G187" t="n">
        <v>0.8</v>
      </c>
      <c r="H187" t="n">
        <v>1</v>
      </c>
      <c r="I187" t="n">
        <v>0</v>
      </c>
      <c r="J187" t="n">
        <v>1</v>
      </c>
      <c r="K187" t="n">
        <v>0</v>
      </c>
      <c r="L187" t="n">
        <v>0</v>
      </c>
      <c r="M187" t="n">
        <v>0</v>
      </c>
      <c r="N187" t="n">
        <v>0</v>
      </c>
      <c r="O187" t="n">
        <v>1</v>
      </c>
      <c r="P187" t="n">
        <v>0</v>
      </c>
      <c r="Q187" t="n">
        <v>1</v>
      </c>
      <c r="R187" s="2" t="inlineStr">
        <is>
          <t>Entita</t>
        </is>
      </c>
      <c r="S187">
        <f>HYPERLINK("https://klasma.github.io/Logging_0883/artfynd/A 50977-2021 artfynd.xlsx", "A 50977-2021")</f>
        <v/>
      </c>
      <c r="T187">
        <f>HYPERLINK("https://klasma.github.io/Logging_0883/kartor/A 50977-2021 karta.png", "A 50977-2021")</f>
        <v/>
      </c>
      <c r="V187">
        <f>HYPERLINK("https://klasma.github.io/Logging_0883/klagomål/A 50977-2021 FSC-klagomål.docx", "A 50977-2021")</f>
        <v/>
      </c>
      <c r="W187">
        <f>HYPERLINK("https://klasma.github.io/Logging_0883/klagomålsmail/A 50977-2021 FSC-klagomål mail.docx", "A 50977-2021")</f>
        <v/>
      </c>
      <c r="X187">
        <f>HYPERLINK("https://klasma.github.io/Logging_0883/tillsyn/A 50977-2021 tillsynsbegäran.docx", "A 50977-2021")</f>
        <v/>
      </c>
      <c r="Y187">
        <f>HYPERLINK("https://klasma.github.io/Logging_0883/tillsynsmail/A 50977-2021 tillsynsbegäran mail.docx", "A 50977-2021")</f>
        <v/>
      </c>
      <c r="Z187">
        <f>HYPERLINK("https://klasma.github.io/Logging_0883/fåglar/A 50977-2021 prioriterade fågelarter.docx", "A 50977-2021")</f>
        <v/>
      </c>
    </row>
    <row r="188" ht="15" customHeight="1">
      <c r="A188" t="inlineStr">
        <is>
          <t>A 69632-2020</t>
        </is>
      </c>
      <c r="B188" s="1" t="n">
        <v>44195</v>
      </c>
      <c r="C188" s="1" t="n">
        <v>45971</v>
      </c>
      <c r="D188" t="inlineStr">
        <is>
          <t>KALMAR LÄN</t>
        </is>
      </c>
      <c r="E188" t="inlineStr">
        <is>
          <t>VÄSTERVIK</t>
        </is>
      </c>
      <c r="G188" t="n">
        <v>2.5</v>
      </c>
      <c r="H188" t="n">
        <v>0</v>
      </c>
      <c r="I188" t="n">
        <v>0</v>
      </c>
      <c r="J188" t="n">
        <v>1</v>
      </c>
      <c r="K188" t="n">
        <v>0</v>
      </c>
      <c r="L188" t="n">
        <v>0</v>
      </c>
      <c r="M188" t="n">
        <v>0</v>
      </c>
      <c r="N188" t="n">
        <v>0</v>
      </c>
      <c r="O188" t="n">
        <v>1</v>
      </c>
      <c r="P188" t="n">
        <v>0</v>
      </c>
      <c r="Q188" t="n">
        <v>1</v>
      </c>
      <c r="R188" s="2" t="inlineStr">
        <is>
          <t>Tallticka</t>
        </is>
      </c>
      <c r="S188">
        <f>HYPERLINK("https://klasma.github.io/Logging_0883/artfynd/A 69632-2020 artfynd.xlsx", "A 69632-2020")</f>
        <v/>
      </c>
      <c r="T188">
        <f>HYPERLINK("https://klasma.github.io/Logging_0883/kartor/A 69632-2020 karta.png", "A 69632-2020")</f>
        <v/>
      </c>
      <c r="V188">
        <f>HYPERLINK("https://klasma.github.io/Logging_0883/klagomål/A 69632-2020 FSC-klagomål.docx", "A 69632-2020")</f>
        <v/>
      </c>
      <c r="W188">
        <f>HYPERLINK("https://klasma.github.io/Logging_0883/klagomålsmail/A 69632-2020 FSC-klagomål mail.docx", "A 69632-2020")</f>
        <v/>
      </c>
      <c r="X188">
        <f>HYPERLINK("https://klasma.github.io/Logging_0883/tillsyn/A 69632-2020 tillsynsbegäran.docx", "A 69632-2020")</f>
        <v/>
      </c>
      <c r="Y188">
        <f>HYPERLINK("https://klasma.github.io/Logging_0883/tillsynsmail/A 69632-2020 tillsynsbegäran mail.docx", "A 69632-2020")</f>
        <v/>
      </c>
    </row>
    <row r="189" ht="15" customHeight="1">
      <c r="A189" t="inlineStr">
        <is>
          <t>A 52831-2021</t>
        </is>
      </c>
      <c r="B189" s="1" t="n">
        <v>44467</v>
      </c>
      <c r="C189" s="1" t="n">
        <v>45971</v>
      </c>
      <c r="D189" t="inlineStr">
        <is>
          <t>KALMAR LÄN</t>
        </is>
      </c>
      <c r="E189" t="inlineStr">
        <is>
          <t>VÄSTERVIK</t>
        </is>
      </c>
      <c r="G189" t="n">
        <v>0.8</v>
      </c>
      <c r="H189" t="n">
        <v>0</v>
      </c>
      <c r="I189" t="n">
        <v>0</v>
      </c>
      <c r="J189" t="n">
        <v>1</v>
      </c>
      <c r="K189" t="n">
        <v>0</v>
      </c>
      <c r="L189" t="n">
        <v>0</v>
      </c>
      <c r="M189" t="n">
        <v>0</v>
      </c>
      <c r="N189" t="n">
        <v>0</v>
      </c>
      <c r="O189" t="n">
        <v>1</v>
      </c>
      <c r="P189" t="n">
        <v>0</v>
      </c>
      <c r="Q189" t="n">
        <v>1</v>
      </c>
      <c r="R189" s="2" t="inlineStr">
        <is>
          <t>Tallticka</t>
        </is>
      </c>
      <c r="S189">
        <f>HYPERLINK("https://klasma.github.io/Logging_0883/artfynd/A 52831-2021 artfynd.xlsx", "A 52831-2021")</f>
        <v/>
      </c>
      <c r="T189">
        <f>HYPERLINK("https://klasma.github.io/Logging_0883/kartor/A 52831-2021 karta.png", "A 52831-2021")</f>
        <v/>
      </c>
      <c r="V189">
        <f>HYPERLINK("https://klasma.github.io/Logging_0883/klagomål/A 52831-2021 FSC-klagomål.docx", "A 52831-2021")</f>
        <v/>
      </c>
      <c r="W189">
        <f>HYPERLINK("https://klasma.github.io/Logging_0883/klagomålsmail/A 52831-2021 FSC-klagomål mail.docx", "A 52831-2021")</f>
        <v/>
      </c>
      <c r="X189">
        <f>HYPERLINK("https://klasma.github.io/Logging_0883/tillsyn/A 52831-2021 tillsynsbegäran.docx", "A 52831-2021")</f>
        <v/>
      </c>
      <c r="Y189">
        <f>HYPERLINK("https://klasma.github.io/Logging_0883/tillsynsmail/A 52831-2021 tillsynsbegäran mail.docx", "A 52831-2021")</f>
        <v/>
      </c>
    </row>
    <row r="190" ht="15" customHeight="1">
      <c r="A190" t="inlineStr">
        <is>
          <t>A 11609-2022</t>
        </is>
      </c>
      <c r="B190" s="1" t="n">
        <v>44631</v>
      </c>
      <c r="C190" s="1" t="n">
        <v>45971</v>
      </c>
      <c r="D190" t="inlineStr">
        <is>
          <t>KALMAR LÄN</t>
        </is>
      </c>
      <c r="E190" t="inlineStr">
        <is>
          <t>VÄSTERVIK</t>
        </is>
      </c>
      <c r="F190" t="inlineStr">
        <is>
          <t>Holmen skog AB</t>
        </is>
      </c>
      <c r="G190" t="n">
        <v>3.2</v>
      </c>
      <c r="H190" t="n">
        <v>0</v>
      </c>
      <c r="I190" t="n">
        <v>0</v>
      </c>
      <c r="J190" t="n">
        <v>1</v>
      </c>
      <c r="K190" t="n">
        <v>0</v>
      </c>
      <c r="L190" t="n">
        <v>0</v>
      </c>
      <c r="M190" t="n">
        <v>0</v>
      </c>
      <c r="N190" t="n">
        <v>0</v>
      </c>
      <c r="O190" t="n">
        <v>1</v>
      </c>
      <c r="P190" t="n">
        <v>0</v>
      </c>
      <c r="Q190" t="n">
        <v>1</v>
      </c>
      <c r="R190" s="2" t="inlineStr">
        <is>
          <t>Tallticka</t>
        </is>
      </c>
      <c r="S190">
        <f>HYPERLINK("https://klasma.github.io/Logging_0883/artfynd/A 11609-2022 artfynd.xlsx", "A 11609-2022")</f>
        <v/>
      </c>
      <c r="T190">
        <f>HYPERLINK("https://klasma.github.io/Logging_0883/kartor/A 11609-2022 karta.png", "A 11609-2022")</f>
        <v/>
      </c>
      <c r="U190">
        <f>HYPERLINK("https://klasma.github.io/Logging_0883/knärot/A 11609-2022 karta knärot.png", "A 11609-2022")</f>
        <v/>
      </c>
      <c r="V190">
        <f>HYPERLINK("https://klasma.github.io/Logging_0883/klagomål/A 11609-2022 FSC-klagomål.docx", "A 11609-2022")</f>
        <v/>
      </c>
      <c r="W190">
        <f>HYPERLINK("https://klasma.github.io/Logging_0883/klagomålsmail/A 11609-2022 FSC-klagomål mail.docx", "A 11609-2022")</f>
        <v/>
      </c>
      <c r="X190">
        <f>HYPERLINK("https://klasma.github.io/Logging_0883/tillsyn/A 11609-2022 tillsynsbegäran.docx", "A 11609-2022")</f>
        <v/>
      </c>
      <c r="Y190">
        <f>HYPERLINK("https://klasma.github.io/Logging_0883/tillsynsmail/A 11609-2022 tillsynsbegäran mail.docx", "A 11609-2022")</f>
        <v/>
      </c>
    </row>
    <row r="191" ht="15" customHeight="1">
      <c r="A191" t="inlineStr">
        <is>
          <t>A 46556-2022</t>
        </is>
      </c>
      <c r="B191" s="1" t="n">
        <v>44848</v>
      </c>
      <c r="C191" s="1" t="n">
        <v>45971</v>
      </c>
      <c r="D191" t="inlineStr">
        <is>
          <t>KALMAR LÄN</t>
        </is>
      </c>
      <c r="E191" t="inlineStr">
        <is>
          <t>VÄSTERVIK</t>
        </is>
      </c>
      <c r="F191" t="inlineStr">
        <is>
          <t>Sveaskog</t>
        </is>
      </c>
      <c r="G191" t="n">
        <v>1.5</v>
      </c>
      <c r="H191" t="n">
        <v>0</v>
      </c>
      <c r="I191" t="n">
        <v>1</v>
      </c>
      <c r="J191" t="n">
        <v>0</v>
      </c>
      <c r="K191" t="n">
        <v>0</v>
      </c>
      <c r="L191" t="n">
        <v>0</v>
      </c>
      <c r="M191" t="n">
        <v>0</v>
      </c>
      <c r="N191" t="n">
        <v>0</v>
      </c>
      <c r="O191" t="n">
        <v>0</v>
      </c>
      <c r="P191" t="n">
        <v>0</v>
      </c>
      <c r="Q191" t="n">
        <v>1</v>
      </c>
      <c r="R191" s="2" t="inlineStr">
        <is>
          <t>Fjällig taggsvamp s.str.</t>
        </is>
      </c>
      <c r="S191">
        <f>HYPERLINK("https://klasma.github.io/Logging_0883/artfynd/A 46556-2022 artfynd.xlsx", "A 46556-2022")</f>
        <v/>
      </c>
      <c r="T191">
        <f>HYPERLINK("https://klasma.github.io/Logging_0883/kartor/A 46556-2022 karta.png", "A 46556-2022")</f>
        <v/>
      </c>
      <c r="V191">
        <f>HYPERLINK("https://klasma.github.io/Logging_0883/klagomål/A 46556-2022 FSC-klagomål.docx", "A 46556-2022")</f>
        <v/>
      </c>
      <c r="W191">
        <f>HYPERLINK("https://klasma.github.io/Logging_0883/klagomålsmail/A 46556-2022 FSC-klagomål mail.docx", "A 46556-2022")</f>
        <v/>
      </c>
      <c r="X191">
        <f>HYPERLINK("https://klasma.github.io/Logging_0883/tillsyn/A 46556-2022 tillsynsbegäran.docx", "A 46556-2022")</f>
        <v/>
      </c>
      <c r="Y191">
        <f>HYPERLINK("https://klasma.github.io/Logging_0883/tillsynsmail/A 46556-2022 tillsynsbegäran mail.docx", "A 46556-2022")</f>
        <v/>
      </c>
    </row>
    <row r="192" ht="15" customHeight="1">
      <c r="A192" t="inlineStr">
        <is>
          <t>A 34563-2023</t>
        </is>
      </c>
      <c r="B192" s="1" t="n">
        <v>45140.52086805556</v>
      </c>
      <c r="C192" s="1" t="n">
        <v>45971</v>
      </c>
      <c r="D192" t="inlineStr">
        <is>
          <t>KALMAR LÄN</t>
        </is>
      </c>
      <c r="E192" t="inlineStr">
        <is>
          <t>VÄSTERVIK</t>
        </is>
      </c>
      <c r="G192" t="n">
        <v>1.4</v>
      </c>
      <c r="H192" t="n">
        <v>0</v>
      </c>
      <c r="I192" t="n">
        <v>1</v>
      </c>
      <c r="J192" t="n">
        <v>0</v>
      </c>
      <c r="K192" t="n">
        <v>0</v>
      </c>
      <c r="L192" t="n">
        <v>0</v>
      </c>
      <c r="M192" t="n">
        <v>0</v>
      </c>
      <c r="N192" t="n">
        <v>0</v>
      </c>
      <c r="O192" t="n">
        <v>0</v>
      </c>
      <c r="P192" t="n">
        <v>0</v>
      </c>
      <c r="Q192" t="n">
        <v>1</v>
      </c>
      <c r="R192" s="2" t="inlineStr">
        <is>
          <t>Fjällig taggsvamp s.str.</t>
        </is>
      </c>
      <c r="S192">
        <f>HYPERLINK("https://klasma.github.io/Logging_0883/artfynd/A 34563-2023 artfynd.xlsx", "A 34563-2023")</f>
        <v/>
      </c>
      <c r="T192">
        <f>HYPERLINK("https://klasma.github.io/Logging_0883/kartor/A 34563-2023 karta.png", "A 34563-2023")</f>
        <v/>
      </c>
      <c r="U192">
        <f>HYPERLINK("https://klasma.github.io/Logging_0883/knärot/A 34563-2023 karta knärot.png", "A 34563-2023")</f>
        <v/>
      </c>
      <c r="V192">
        <f>HYPERLINK("https://klasma.github.io/Logging_0883/klagomål/A 34563-2023 FSC-klagomål.docx", "A 34563-2023")</f>
        <v/>
      </c>
      <c r="W192">
        <f>HYPERLINK("https://klasma.github.io/Logging_0883/klagomålsmail/A 34563-2023 FSC-klagomål mail.docx", "A 34563-2023")</f>
        <v/>
      </c>
      <c r="X192">
        <f>HYPERLINK("https://klasma.github.io/Logging_0883/tillsyn/A 34563-2023 tillsynsbegäran.docx", "A 34563-2023")</f>
        <v/>
      </c>
      <c r="Y192">
        <f>HYPERLINK("https://klasma.github.io/Logging_0883/tillsynsmail/A 34563-2023 tillsynsbegäran mail.docx", "A 34563-2023")</f>
        <v/>
      </c>
    </row>
    <row r="193" ht="15" customHeight="1">
      <c r="A193" t="inlineStr">
        <is>
          <t>A 25447-2021</t>
        </is>
      </c>
      <c r="B193" s="1" t="n">
        <v>44342</v>
      </c>
      <c r="C193" s="1" t="n">
        <v>45971</v>
      </c>
      <c r="D193" t="inlineStr">
        <is>
          <t>KALMAR LÄN</t>
        </is>
      </c>
      <c r="E193" t="inlineStr">
        <is>
          <t>VÄSTERVIK</t>
        </is>
      </c>
      <c r="F193" t="inlineStr">
        <is>
          <t>Holmen skog AB</t>
        </is>
      </c>
      <c r="G193" t="n">
        <v>9</v>
      </c>
      <c r="H193" t="n">
        <v>1</v>
      </c>
      <c r="I193" t="n">
        <v>0</v>
      </c>
      <c r="J193" t="n">
        <v>0</v>
      </c>
      <c r="K193" t="n">
        <v>1</v>
      </c>
      <c r="L193" t="n">
        <v>0</v>
      </c>
      <c r="M193" t="n">
        <v>0</v>
      </c>
      <c r="N193" t="n">
        <v>0</v>
      </c>
      <c r="O193" t="n">
        <v>1</v>
      </c>
      <c r="P193" t="n">
        <v>1</v>
      </c>
      <c r="Q193" t="n">
        <v>1</v>
      </c>
      <c r="R193" s="2" t="inlineStr">
        <is>
          <t>Knärot</t>
        </is>
      </c>
      <c r="S193">
        <f>HYPERLINK("https://klasma.github.io/Logging_0883/artfynd/A 25447-2021 artfynd.xlsx", "A 25447-2021")</f>
        <v/>
      </c>
      <c r="T193">
        <f>HYPERLINK("https://klasma.github.io/Logging_0883/kartor/A 25447-2021 karta.png", "A 25447-2021")</f>
        <v/>
      </c>
      <c r="U193">
        <f>HYPERLINK("https://klasma.github.io/Logging_0883/knärot/A 25447-2021 karta knärot.png", "A 25447-2021")</f>
        <v/>
      </c>
      <c r="V193">
        <f>HYPERLINK("https://klasma.github.io/Logging_0883/klagomål/A 25447-2021 FSC-klagomål.docx", "A 25447-2021")</f>
        <v/>
      </c>
      <c r="W193">
        <f>HYPERLINK("https://klasma.github.io/Logging_0883/klagomålsmail/A 25447-2021 FSC-klagomål mail.docx", "A 25447-2021")</f>
        <v/>
      </c>
      <c r="X193">
        <f>HYPERLINK("https://klasma.github.io/Logging_0883/tillsyn/A 25447-2021 tillsynsbegäran.docx", "A 25447-2021")</f>
        <v/>
      </c>
      <c r="Y193">
        <f>HYPERLINK("https://klasma.github.io/Logging_0883/tillsynsmail/A 25447-2021 tillsynsbegäran mail.docx", "A 25447-2021")</f>
        <v/>
      </c>
    </row>
    <row r="194" ht="15" customHeight="1">
      <c r="A194" t="inlineStr">
        <is>
          <t>A 19900-2022</t>
        </is>
      </c>
      <c r="B194" s="1" t="n">
        <v>44697</v>
      </c>
      <c r="C194" s="1" t="n">
        <v>45971</v>
      </c>
      <c r="D194" t="inlineStr">
        <is>
          <t>KALMAR LÄN</t>
        </is>
      </c>
      <c r="E194" t="inlineStr">
        <is>
          <t>VÄSTERVIK</t>
        </is>
      </c>
      <c r="G194" t="n">
        <v>2.4</v>
      </c>
      <c r="H194" t="n">
        <v>1</v>
      </c>
      <c r="I194" t="n">
        <v>0</v>
      </c>
      <c r="J194" t="n">
        <v>0</v>
      </c>
      <c r="K194" t="n">
        <v>1</v>
      </c>
      <c r="L194" t="n">
        <v>0</v>
      </c>
      <c r="M194" t="n">
        <v>0</v>
      </c>
      <c r="N194" t="n">
        <v>0</v>
      </c>
      <c r="O194" t="n">
        <v>1</v>
      </c>
      <c r="P194" t="n">
        <v>1</v>
      </c>
      <c r="Q194" t="n">
        <v>1</v>
      </c>
      <c r="R194" s="2" t="inlineStr">
        <is>
          <t>Knärot</t>
        </is>
      </c>
      <c r="S194">
        <f>HYPERLINK("https://klasma.github.io/Logging_0883/artfynd/A 19900-2022 artfynd.xlsx", "A 19900-2022")</f>
        <v/>
      </c>
      <c r="T194">
        <f>HYPERLINK("https://klasma.github.io/Logging_0883/kartor/A 19900-2022 karta.png", "A 19900-2022")</f>
        <v/>
      </c>
      <c r="U194">
        <f>HYPERLINK("https://klasma.github.io/Logging_0883/knärot/A 19900-2022 karta knärot.png", "A 19900-2022")</f>
        <v/>
      </c>
      <c r="V194">
        <f>HYPERLINK("https://klasma.github.io/Logging_0883/klagomål/A 19900-2022 FSC-klagomål.docx", "A 19900-2022")</f>
        <v/>
      </c>
      <c r="W194">
        <f>HYPERLINK("https://klasma.github.io/Logging_0883/klagomålsmail/A 19900-2022 FSC-klagomål mail.docx", "A 19900-2022")</f>
        <v/>
      </c>
      <c r="X194">
        <f>HYPERLINK("https://klasma.github.io/Logging_0883/tillsyn/A 19900-2022 tillsynsbegäran.docx", "A 19900-2022")</f>
        <v/>
      </c>
      <c r="Y194">
        <f>HYPERLINK("https://klasma.github.io/Logging_0883/tillsynsmail/A 19900-2022 tillsynsbegäran mail.docx", "A 19900-2022")</f>
        <v/>
      </c>
    </row>
    <row r="195" ht="15" customHeight="1">
      <c r="A195" t="inlineStr">
        <is>
          <t>A 10768-2025</t>
        </is>
      </c>
      <c r="B195" s="1" t="n">
        <v>45722.46649305556</v>
      </c>
      <c r="C195" s="1" t="n">
        <v>45971</v>
      </c>
      <c r="D195" t="inlineStr">
        <is>
          <t>KALMAR LÄN</t>
        </is>
      </c>
      <c r="E195" t="inlineStr">
        <is>
          <t>VÄSTERVIK</t>
        </is>
      </c>
      <c r="G195" t="n">
        <v>0.9</v>
      </c>
      <c r="H195" t="n">
        <v>1</v>
      </c>
      <c r="I195" t="n">
        <v>0</v>
      </c>
      <c r="J195" t="n">
        <v>1</v>
      </c>
      <c r="K195" t="n">
        <v>0</v>
      </c>
      <c r="L195" t="n">
        <v>0</v>
      </c>
      <c r="M195" t="n">
        <v>0</v>
      </c>
      <c r="N195" t="n">
        <v>0</v>
      </c>
      <c r="O195" t="n">
        <v>1</v>
      </c>
      <c r="P195" t="n">
        <v>0</v>
      </c>
      <c r="Q195" t="n">
        <v>1</v>
      </c>
      <c r="R195" s="2" t="inlineStr">
        <is>
          <t>Talltita</t>
        </is>
      </c>
      <c r="S195">
        <f>HYPERLINK("https://klasma.github.io/Logging_0883/artfynd/A 10768-2025 artfynd.xlsx", "A 10768-2025")</f>
        <v/>
      </c>
      <c r="T195">
        <f>HYPERLINK("https://klasma.github.io/Logging_0883/kartor/A 10768-2025 karta.png", "A 10768-2025")</f>
        <v/>
      </c>
      <c r="V195">
        <f>HYPERLINK("https://klasma.github.io/Logging_0883/klagomål/A 10768-2025 FSC-klagomål.docx", "A 10768-2025")</f>
        <v/>
      </c>
      <c r="W195">
        <f>HYPERLINK("https://klasma.github.io/Logging_0883/klagomålsmail/A 10768-2025 FSC-klagomål mail.docx", "A 10768-2025")</f>
        <v/>
      </c>
      <c r="X195">
        <f>HYPERLINK("https://klasma.github.io/Logging_0883/tillsyn/A 10768-2025 tillsynsbegäran.docx", "A 10768-2025")</f>
        <v/>
      </c>
      <c r="Y195">
        <f>HYPERLINK("https://klasma.github.io/Logging_0883/tillsynsmail/A 10768-2025 tillsynsbegäran mail.docx", "A 10768-2025")</f>
        <v/>
      </c>
      <c r="Z195">
        <f>HYPERLINK("https://klasma.github.io/Logging_0883/fåglar/A 10768-2025 prioriterade fågelarter.docx", "A 10768-2025")</f>
        <v/>
      </c>
    </row>
    <row r="196" ht="15" customHeight="1">
      <c r="A196" t="inlineStr">
        <is>
          <t>A 24048-2021</t>
        </is>
      </c>
      <c r="B196" s="1" t="n">
        <v>44336</v>
      </c>
      <c r="C196" s="1" t="n">
        <v>45971</v>
      </c>
      <c r="D196" t="inlineStr">
        <is>
          <t>KALMAR LÄN</t>
        </is>
      </c>
      <c r="E196" t="inlineStr">
        <is>
          <t>VÄSTERVIK</t>
        </is>
      </c>
      <c r="G196" t="n">
        <v>3.5</v>
      </c>
      <c r="H196" t="n">
        <v>1</v>
      </c>
      <c r="I196" t="n">
        <v>0</v>
      </c>
      <c r="J196" t="n">
        <v>0</v>
      </c>
      <c r="K196" t="n">
        <v>1</v>
      </c>
      <c r="L196" t="n">
        <v>0</v>
      </c>
      <c r="M196" t="n">
        <v>0</v>
      </c>
      <c r="N196" t="n">
        <v>0</v>
      </c>
      <c r="O196" t="n">
        <v>1</v>
      </c>
      <c r="P196" t="n">
        <v>1</v>
      </c>
      <c r="Q196" t="n">
        <v>1</v>
      </c>
      <c r="R196" s="2" t="inlineStr">
        <is>
          <t>Knärot</t>
        </is>
      </c>
      <c r="S196">
        <f>HYPERLINK("https://klasma.github.io/Logging_0883/artfynd/A 24048-2021 artfynd.xlsx", "A 24048-2021")</f>
        <v/>
      </c>
      <c r="T196">
        <f>HYPERLINK("https://klasma.github.io/Logging_0883/kartor/A 24048-2021 karta.png", "A 24048-2021")</f>
        <v/>
      </c>
      <c r="U196">
        <f>HYPERLINK("https://klasma.github.io/Logging_0883/knärot/A 24048-2021 karta knärot.png", "A 24048-2021")</f>
        <v/>
      </c>
      <c r="V196">
        <f>HYPERLINK("https://klasma.github.io/Logging_0883/klagomål/A 24048-2021 FSC-klagomål.docx", "A 24048-2021")</f>
        <v/>
      </c>
      <c r="W196">
        <f>HYPERLINK("https://klasma.github.io/Logging_0883/klagomålsmail/A 24048-2021 FSC-klagomål mail.docx", "A 24048-2021")</f>
        <v/>
      </c>
      <c r="X196">
        <f>HYPERLINK("https://klasma.github.io/Logging_0883/tillsyn/A 24048-2021 tillsynsbegäran.docx", "A 24048-2021")</f>
        <v/>
      </c>
      <c r="Y196">
        <f>HYPERLINK("https://klasma.github.io/Logging_0883/tillsynsmail/A 24048-2021 tillsynsbegäran mail.docx", "A 24048-2021")</f>
        <v/>
      </c>
    </row>
    <row r="197" ht="15" customHeight="1">
      <c r="A197" t="inlineStr">
        <is>
          <t>A 1024-2023</t>
        </is>
      </c>
      <c r="B197" s="1" t="n">
        <v>44935</v>
      </c>
      <c r="C197" s="1" t="n">
        <v>45971</v>
      </c>
      <c r="D197" t="inlineStr">
        <is>
          <t>KALMAR LÄN</t>
        </is>
      </c>
      <c r="E197" t="inlineStr">
        <is>
          <t>VÄSTERVIK</t>
        </is>
      </c>
      <c r="F197" t="inlineStr">
        <is>
          <t>Holmen skog AB</t>
        </is>
      </c>
      <c r="G197" t="n">
        <v>1.9</v>
      </c>
      <c r="H197" t="n">
        <v>0</v>
      </c>
      <c r="I197" t="n">
        <v>0</v>
      </c>
      <c r="J197" t="n">
        <v>1</v>
      </c>
      <c r="K197" t="n">
        <v>0</v>
      </c>
      <c r="L197" t="n">
        <v>0</v>
      </c>
      <c r="M197" t="n">
        <v>0</v>
      </c>
      <c r="N197" t="n">
        <v>0</v>
      </c>
      <c r="O197" t="n">
        <v>1</v>
      </c>
      <c r="P197" t="n">
        <v>0</v>
      </c>
      <c r="Q197" t="n">
        <v>1</v>
      </c>
      <c r="R197" s="2" t="inlineStr">
        <is>
          <t>Ekticka</t>
        </is>
      </c>
      <c r="S197">
        <f>HYPERLINK("https://klasma.github.io/Logging_0883/artfynd/A 1024-2023 artfynd.xlsx", "A 1024-2023")</f>
        <v/>
      </c>
      <c r="T197">
        <f>HYPERLINK("https://klasma.github.io/Logging_0883/kartor/A 1024-2023 karta.png", "A 1024-2023")</f>
        <v/>
      </c>
      <c r="V197">
        <f>HYPERLINK("https://klasma.github.io/Logging_0883/klagomål/A 1024-2023 FSC-klagomål.docx", "A 1024-2023")</f>
        <v/>
      </c>
      <c r="W197">
        <f>HYPERLINK("https://klasma.github.io/Logging_0883/klagomålsmail/A 1024-2023 FSC-klagomål mail.docx", "A 1024-2023")</f>
        <v/>
      </c>
      <c r="X197">
        <f>HYPERLINK("https://klasma.github.io/Logging_0883/tillsyn/A 1024-2023 tillsynsbegäran.docx", "A 1024-2023")</f>
        <v/>
      </c>
      <c r="Y197">
        <f>HYPERLINK("https://klasma.github.io/Logging_0883/tillsynsmail/A 1024-2023 tillsynsbegäran mail.docx", "A 1024-2023")</f>
        <v/>
      </c>
    </row>
    <row r="198" ht="15" customHeight="1">
      <c r="A198" t="inlineStr">
        <is>
          <t>A 66752-2020</t>
        </is>
      </c>
      <c r="B198" s="1" t="n">
        <v>44175</v>
      </c>
      <c r="C198" s="1" t="n">
        <v>45971</v>
      </c>
      <c r="D198" t="inlineStr">
        <is>
          <t>KALMAR LÄN</t>
        </is>
      </c>
      <c r="E198" t="inlineStr">
        <is>
          <t>VÄSTERVIK</t>
        </is>
      </c>
      <c r="G198" t="n">
        <v>0.7</v>
      </c>
      <c r="H198" t="n">
        <v>0</v>
      </c>
      <c r="I198" t="n">
        <v>0</v>
      </c>
      <c r="J198" t="n">
        <v>1</v>
      </c>
      <c r="K198" t="n">
        <v>0</v>
      </c>
      <c r="L198" t="n">
        <v>0</v>
      </c>
      <c r="M198" t="n">
        <v>0</v>
      </c>
      <c r="N198" t="n">
        <v>0</v>
      </c>
      <c r="O198" t="n">
        <v>1</v>
      </c>
      <c r="P198" t="n">
        <v>0</v>
      </c>
      <c r="Q198" t="n">
        <v>1</v>
      </c>
      <c r="R198" s="2" t="inlineStr">
        <is>
          <t>Tallticka</t>
        </is>
      </c>
      <c r="S198">
        <f>HYPERLINK("https://klasma.github.io/Logging_0883/artfynd/A 66752-2020 artfynd.xlsx", "A 66752-2020")</f>
        <v/>
      </c>
      <c r="T198">
        <f>HYPERLINK("https://klasma.github.io/Logging_0883/kartor/A 66752-2020 karta.png", "A 66752-2020")</f>
        <v/>
      </c>
      <c r="V198">
        <f>HYPERLINK("https://klasma.github.io/Logging_0883/klagomål/A 66752-2020 FSC-klagomål.docx", "A 66752-2020")</f>
        <v/>
      </c>
      <c r="W198">
        <f>HYPERLINK("https://klasma.github.io/Logging_0883/klagomålsmail/A 66752-2020 FSC-klagomål mail.docx", "A 66752-2020")</f>
        <v/>
      </c>
      <c r="X198">
        <f>HYPERLINK("https://klasma.github.io/Logging_0883/tillsyn/A 66752-2020 tillsynsbegäran.docx", "A 66752-2020")</f>
        <v/>
      </c>
      <c r="Y198">
        <f>HYPERLINK("https://klasma.github.io/Logging_0883/tillsynsmail/A 66752-2020 tillsynsbegäran mail.docx", "A 66752-2020")</f>
        <v/>
      </c>
    </row>
    <row r="199" ht="15" customHeight="1">
      <c r="A199" t="inlineStr">
        <is>
          <t>A 54272-2023</t>
        </is>
      </c>
      <c r="B199" s="1" t="n">
        <v>45232</v>
      </c>
      <c r="C199" s="1" t="n">
        <v>45971</v>
      </c>
      <c r="D199" t="inlineStr">
        <is>
          <t>KALMAR LÄN</t>
        </is>
      </c>
      <c r="E199" t="inlineStr">
        <is>
          <t>VÄSTERVIK</t>
        </is>
      </c>
      <c r="G199" t="n">
        <v>1</v>
      </c>
      <c r="H199" t="n">
        <v>0</v>
      </c>
      <c r="I199" t="n">
        <v>1</v>
      </c>
      <c r="J199" t="n">
        <v>0</v>
      </c>
      <c r="K199" t="n">
        <v>0</v>
      </c>
      <c r="L199" t="n">
        <v>0</v>
      </c>
      <c r="M199" t="n">
        <v>0</v>
      </c>
      <c r="N199" t="n">
        <v>0</v>
      </c>
      <c r="O199" t="n">
        <v>0</v>
      </c>
      <c r="P199" t="n">
        <v>0</v>
      </c>
      <c r="Q199" t="n">
        <v>1</v>
      </c>
      <c r="R199" s="2" t="inlineStr">
        <is>
          <t>Aprikosfingersvamp</t>
        </is>
      </c>
      <c r="S199">
        <f>HYPERLINK("https://klasma.github.io/Logging_0883/artfynd/A 54272-2023 artfynd.xlsx", "A 54272-2023")</f>
        <v/>
      </c>
      <c r="T199">
        <f>HYPERLINK("https://klasma.github.io/Logging_0883/kartor/A 54272-2023 karta.png", "A 54272-2023")</f>
        <v/>
      </c>
      <c r="V199">
        <f>HYPERLINK("https://klasma.github.io/Logging_0883/klagomål/A 54272-2023 FSC-klagomål.docx", "A 54272-2023")</f>
        <v/>
      </c>
      <c r="W199">
        <f>HYPERLINK("https://klasma.github.io/Logging_0883/klagomålsmail/A 54272-2023 FSC-klagomål mail.docx", "A 54272-2023")</f>
        <v/>
      </c>
      <c r="X199">
        <f>HYPERLINK("https://klasma.github.io/Logging_0883/tillsyn/A 54272-2023 tillsynsbegäran.docx", "A 54272-2023")</f>
        <v/>
      </c>
      <c r="Y199">
        <f>HYPERLINK("https://klasma.github.io/Logging_0883/tillsynsmail/A 54272-2023 tillsynsbegäran mail.docx", "A 54272-2023")</f>
        <v/>
      </c>
    </row>
    <row r="200" ht="15" customHeight="1">
      <c r="A200" t="inlineStr">
        <is>
          <t>A 14131-2025</t>
        </is>
      </c>
      <c r="B200" s="1" t="n">
        <v>45740.47480324074</v>
      </c>
      <c r="C200" s="1" t="n">
        <v>45971</v>
      </c>
      <c r="D200" t="inlineStr">
        <is>
          <t>KALMAR LÄN</t>
        </is>
      </c>
      <c r="E200" t="inlineStr">
        <is>
          <t>VÄSTERVIK</t>
        </is>
      </c>
      <c r="F200" t="inlineStr">
        <is>
          <t>Sveaskog</t>
        </is>
      </c>
      <c r="G200" t="n">
        <v>0.7</v>
      </c>
      <c r="H200" t="n">
        <v>1</v>
      </c>
      <c r="I200" t="n">
        <v>0</v>
      </c>
      <c r="J200" t="n">
        <v>0</v>
      </c>
      <c r="K200" t="n">
        <v>0</v>
      </c>
      <c r="L200" t="n">
        <v>0</v>
      </c>
      <c r="M200" t="n">
        <v>0</v>
      </c>
      <c r="N200" t="n">
        <v>0</v>
      </c>
      <c r="O200" t="n">
        <v>0</v>
      </c>
      <c r="P200" t="n">
        <v>0</v>
      </c>
      <c r="Q200" t="n">
        <v>1</v>
      </c>
      <c r="R200" s="2" t="inlineStr">
        <is>
          <t>Blåsippa</t>
        </is>
      </c>
      <c r="S200">
        <f>HYPERLINK("https://klasma.github.io/Logging_0883/artfynd/A 14131-2025 artfynd.xlsx", "A 14131-2025")</f>
        <v/>
      </c>
      <c r="T200">
        <f>HYPERLINK("https://klasma.github.io/Logging_0883/kartor/A 14131-2025 karta.png", "A 14131-2025")</f>
        <v/>
      </c>
      <c r="V200">
        <f>HYPERLINK("https://klasma.github.io/Logging_0883/klagomål/A 14131-2025 FSC-klagomål.docx", "A 14131-2025")</f>
        <v/>
      </c>
      <c r="W200">
        <f>HYPERLINK("https://klasma.github.io/Logging_0883/klagomålsmail/A 14131-2025 FSC-klagomål mail.docx", "A 14131-2025")</f>
        <v/>
      </c>
      <c r="X200">
        <f>HYPERLINK("https://klasma.github.io/Logging_0883/tillsyn/A 14131-2025 tillsynsbegäran.docx", "A 14131-2025")</f>
        <v/>
      </c>
      <c r="Y200">
        <f>HYPERLINK("https://klasma.github.io/Logging_0883/tillsynsmail/A 14131-2025 tillsynsbegäran mail.docx", "A 14131-2025")</f>
        <v/>
      </c>
    </row>
    <row r="201" ht="15" customHeight="1">
      <c r="A201" t="inlineStr">
        <is>
          <t>A 46559-2022</t>
        </is>
      </c>
      <c r="B201" s="1" t="n">
        <v>44848</v>
      </c>
      <c r="C201" s="1" t="n">
        <v>45971</v>
      </c>
      <c r="D201" t="inlineStr">
        <is>
          <t>KALMAR LÄN</t>
        </is>
      </c>
      <c r="E201" t="inlineStr">
        <is>
          <t>VÄSTERVIK</t>
        </is>
      </c>
      <c r="F201" t="inlineStr">
        <is>
          <t>Sveaskog</t>
        </is>
      </c>
      <c r="G201" t="n">
        <v>2.2</v>
      </c>
      <c r="H201" t="n">
        <v>1</v>
      </c>
      <c r="I201" t="n">
        <v>0</v>
      </c>
      <c r="J201" t="n">
        <v>0</v>
      </c>
      <c r="K201" t="n">
        <v>0</v>
      </c>
      <c r="L201" t="n">
        <v>0</v>
      </c>
      <c r="M201" t="n">
        <v>0</v>
      </c>
      <c r="N201" t="n">
        <v>0</v>
      </c>
      <c r="O201" t="n">
        <v>0</v>
      </c>
      <c r="P201" t="n">
        <v>0</v>
      </c>
      <c r="Q201" t="n">
        <v>1</v>
      </c>
      <c r="R201" s="2" t="inlineStr">
        <is>
          <t>Blåsippa</t>
        </is>
      </c>
      <c r="S201">
        <f>HYPERLINK("https://klasma.github.io/Logging_0883/artfynd/A 46559-2022 artfynd.xlsx", "A 46559-2022")</f>
        <v/>
      </c>
      <c r="T201">
        <f>HYPERLINK("https://klasma.github.io/Logging_0883/kartor/A 46559-2022 karta.png", "A 46559-2022")</f>
        <v/>
      </c>
      <c r="V201">
        <f>HYPERLINK("https://klasma.github.io/Logging_0883/klagomål/A 46559-2022 FSC-klagomål.docx", "A 46559-2022")</f>
        <v/>
      </c>
      <c r="W201">
        <f>HYPERLINK("https://klasma.github.io/Logging_0883/klagomålsmail/A 46559-2022 FSC-klagomål mail.docx", "A 46559-2022")</f>
        <v/>
      </c>
      <c r="X201">
        <f>HYPERLINK("https://klasma.github.io/Logging_0883/tillsyn/A 46559-2022 tillsynsbegäran.docx", "A 46559-2022")</f>
        <v/>
      </c>
      <c r="Y201">
        <f>HYPERLINK("https://klasma.github.io/Logging_0883/tillsynsmail/A 46559-2022 tillsynsbegäran mail.docx", "A 46559-2022")</f>
        <v/>
      </c>
    </row>
    <row r="202" ht="15" customHeight="1">
      <c r="A202" t="inlineStr">
        <is>
          <t>A 25594-2021</t>
        </is>
      </c>
      <c r="B202" s="1" t="n">
        <v>44343</v>
      </c>
      <c r="C202" s="1" t="n">
        <v>45971</v>
      </c>
      <c r="D202" t="inlineStr">
        <is>
          <t>KALMAR LÄN</t>
        </is>
      </c>
      <c r="E202" t="inlineStr">
        <is>
          <t>VÄSTERVIK</t>
        </is>
      </c>
      <c r="F202" t="inlineStr">
        <is>
          <t>Holmen skog AB</t>
        </is>
      </c>
      <c r="G202" t="n">
        <v>3.2</v>
      </c>
      <c r="H202" t="n">
        <v>1</v>
      </c>
      <c r="I202" t="n">
        <v>0</v>
      </c>
      <c r="J202" t="n">
        <v>0</v>
      </c>
      <c r="K202" t="n">
        <v>1</v>
      </c>
      <c r="L202" t="n">
        <v>0</v>
      </c>
      <c r="M202" t="n">
        <v>0</v>
      </c>
      <c r="N202" t="n">
        <v>0</v>
      </c>
      <c r="O202" t="n">
        <v>1</v>
      </c>
      <c r="P202" t="n">
        <v>1</v>
      </c>
      <c r="Q202" t="n">
        <v>1</v>
      </c>
      <c r="R202" s="2" t="inlineStr">
        <is>
          <t>Knärot</t>
        </is>
      </c>
      <c r="S202">
        <f>HYPERLINK("https://klasma.github.io/Logging_0883/artfynd/A 25594-2021 artfynd.xlsx", "A 25594-2021")</f>
        <v/>
      </c>
      <c r="T202">
        <f>HYPERLINK("https://klasma.github.io/Logging_0883/kartor/A 25594-2021 karta.png", "A 25594-2021")</f>
        <v/>
      </c>
      <c r="U202">
        <f>HYPERLINK("https://klasma.github.io/Logging_0883/knärot/A 25594-2021 karta knärot.png", "A 25594-2021")</f>
        <v/>
      </c>
      <c r="V202">
        <f>HYPERLINK("https://klasma.github.io/Logging_0883/klagomål/A 25594-2021 FSC-klagomål.docx", "A 25594-2021")</f>
        <v/>
      </c>
      <c r="W202">
        <f>HYPERLINK("https://klasma.github.io/Logging_0883/klagomålsmail/A 25594-2021 FSC-klagomål mail.docx", "A 25594-2021")</f>
        <v/>
      </c>
      <c r="X202">
        <f>HYPERLINK("https://klasma.github.io/Logging_0883/tillsyn/A 25594-2021 tillsynsbegäran.docx", "A 25594-2021")</f>
        <v/>
      </c>
      <c r="Y202">
        <f>HYPERLINK("https://klasma.github.io/Logging_0883/tillsynsmail/A 25594-2021 tillsynsbegäran mail.docx", "A 25594-2021")</f>
        <v/>
      </c>
    </row>
    <row r="203" ht="15" customHeight="1">
      <c r="A203" t="inlineStr">
        <is>
          <t>A 59178-2022</t>
        </is>
      </c>
      <c r="B203" s="1" t="n">
        <v>44904</v>
      </c>
      <c r="C203" s="1" t="n">
        <v>45971</v>
      </c>
      <c r="D203" t="inlineStr">
        <is>
          <t>KALMAR LÄN</t>
        </is>
      </c>
      <c r="E203" t="inlineStr">
        <is>
          <t>VÄSTERVIK</t>
        </is>
      </c>
      <c r="G203" t="n">
        <v>3.3</v>
      </c>
      <c r="H203" t="n">
        <v>0</v>
      </c>
      <c r="I203" t="n">
        <v>0</v>
      </c>
      <c r="J203" t="n">
        <v>1</v>
      </c>
      <c r="K203" t="n">
        <v>0</v>
      </c>
      <c r="L203" t="n">
        <v>0</v>
      </c>
      <c r="M203" t="n">
        <v>0</v>
      </c>
      <c r="N203" t="n">
        <v>0</v>
      </c>
      <c r="O203" t="n">
        <v>1</v>
      </c>
      <c r="P203" t="n">
        <v>0</v>
      </c>
      <c r="Q203" t="n">
        <v>1</v>
      </c>
      <c r="R203" s="2" t="inlineStr">
        <is>
          <t>Tallticka</t>
        </is>
      </c>
      <c r="S203">
        <f>HYPERLINK("https://klasma.github.io/Logging_0883/artfynd/A 59178-2022 artfynd.xlsx", "A 59178-2022")</f>
        <v/>
      </c>
      <c r="T203">
        <f>HYPERLINK("https://klasma.github.io/Logging_0883/kartor/A 59178-2022 karta.png", "A 59178-2022")</f>
        <v/>
      </c>
      <c r="V203">
        <f>HYPERLINK("https://klasma.github.io/Logging_0883/klagomål/A 59178-2022 FSC-klagomål.docx", "A 59178-2022")</f>
        <v/>
      </c>
      <c r="W203">
        <f>HYPERLINK("https://klasma.github.io/Logging_0883/klagomålsmail/A 59178-2022 FSC-klagomål mail.docx", "A 59178-2022")</f>
        <v/>
      </c>
      <c r="X203">
        <f>HYPERLINK("https://klasma.github.io/Logging_0883/tillsyn/A 59178-2022 tillsynsbegäran.docx", "A 59178-2022")</f>
        <v/>
      </c>
      <c r="Y203">
        <f>HYPERLINK("https://klasma.github.io/Logging_0883/tillsynsmail/A 59178-2022 tillsynsbegäran mail.docx", "A 59178-2022")</f>
        <v/>
      </c>
    </row>
    <row r="204" ht="15" customHeight="1">
      <c r="A204" t="inlineStr">
        <is>
          <t>A 12662-2022</t>
        </is>
      </c>
      <c r="B204" s="1" t="n">
        <v>44641</v>
      </c>
      <c r="C204" s="1" t="n">
        <v>45971</v>
      </c>
      <c r="D204" t="inlineStr">
        <is>
          <t>KALMAR LÄN</t>
        </is>
      </c>
      <c r="E204" t="inlineStr">
        <is>
          <t>VÄSTERVIK</t>
        </is>
      </c>
      <c r="G204" t="n">
        <v>2.1</v>
      </c>
      <c r="H204" t="n">
        <v>0</v>
      </c>
      <c r="I204" t="n">
        <v>1</v>
      </c>
      <c r="J204" t="n">
        <v>0</v>
      </c>
      <c r="K204" t="n">
        <v>0</v>
      </c>
      <c r="L204" t="n">
        <v>0</v>
      </c>
      <c r="M204" t="n">
        <v>0</v>
      </c>
      <c r="N204" t="n">
        <v>0</v>
      </c>
      <c r="O204" t="n">
        <v>0</v>
      </c>
      <c r="P204" t="n">
        <v>0</v>
      </c>
      <c r="Q204" t="n">
        <v>1</v>
      </c>
      <c r="R204" s="2" t="inlineStr">
        <is>
          <t>Blåmossa</t>
        </is>
      </c>
      <c r="S204">
        <f>HYPERLINK("https://klasma.github.io/Logging_0883/artfynd/A 12662-2022 artfynd.xlsx", "A 12662-2022")</f>
        <v/>
      </c>
      <c r="T204">
        <f>HYPERLINK("https://klasma.github.io/Logging_0883/kartor/A 12662-2022 karta.png", "A 12662-2022")</f>
        <v/>
      </c>
      <c r="V204">
        <f>HYPERLINK("https://klasma.github.io/Logging_0883/klagomål/A 12662-2022 FSC-klagomål.docx", "A 12662-2022")</f>
        <v/>
      </c>
      <c r="W204">
        <f>HYPERLINK("https://klasma.github.io/Logging_0883/klagomålsmail/A 12662-2022 FSC-klagomål mail.docx", "A 12662-2022")</f>
        <v/>
      </c>
      <c r="X204">
        <f>HYPERLINK("https://klasma.github.io/Logging_0883/tillsyn/A 12662-2022 tillsynsbegäran.docx", "A 12662-2022")</f>
        <v/>
      </c>
      <c r="Y204">
        <f>HYPERLINK("https://klasma.github.io/Logging_0883/tillsynsmail/A 12662-2022 tillsynsbegäran mail.docx", "A 12662-2022")</f>
        <v/>
      </c>
    </row>
    <row r="205" ht="15" customHeight="1">
      <c r="A205" t="inlineStr">
        <is>
          <t>A 5575-2021</t>
        </is>
      </c>
      <c r="B205" s="1" t="n">
        <v>44230</v>
      </c>
      <c r="C205" s="1" t="n">
        <v>45971</v>
      </c>
      <c r="D205" t="inlineStr">
        <is>
          <t>KALMAR LÄN</t>
        </is>
      </c>
      <c r="E205" t="inlineStr">
        <is>
          <t>VÄSTERVIK</t>
        </is>
      </c>
      <c r="G205" t="n">
        <v>2.6</v>
      </c>
      <c r="H205" t="n">
        <v>1</v>
      </c>
      <c r="I205" t="n">
        <v>1</v>
      </c>
      <c r="J205" t="n">
        <v>0</v>
      </c>
      <c r="K205" t="n">
        <v>0</v>
      </c>
      <c r="L205" t="n">
        <v>0</v>
      </c>
      <c r="M205" t="n">
        <v>0</v>
      </c>
      <c r="N205" t="n">
        <v>0</v>
      </c>
      <c r="O205" t="n">
        <v>0</v>
      </c>
      <c r="P205" t="n">
        <v>0</v>
      </c>
      <c r="Q205" t="n">
        <v>1</v>
      </c>
      <c r="R205" s="2" t="inlineStr">
        <is>
          <t>Ekoxe</t>
        </is>
      </c>
      <c r="S205">
        <f>HYPERLINK("https://klasma.github.io/Logging_0883/artfynd/A 5575-2021 artfynd.xlsx", "A 5575-2021")</f>
        <v/>
      </c>
      <c r="T205">
        <f>HYPERLINK("https://klasma.github.io/Logging_0883/kartor/A 5575-2021 karta.png", "A 5575-2021")</f>
        <v/>
      </c>
      <c r="V205">
        <f>HYPERLINK("https://klasma.github.io/Logging_0883/klagomål/A 5575-2021 FSC-klagomål.docx", "A 5575-2021")</f>
        <v/>
      </c>
      <c r="W205">
        <f>HYPERLINK("https://klasma.github.io/Logging_0883/klagomålsmail/A 5575-2021 FSC-klagomål mail.docx", "A 5575-2021")</f>
        <v/>
      </c>
      <c r="X205">
        <f>HYPERLINK("https://klasma.github.io/Logging_0883/tillsyn/A 5575-2021 tillsynsbegäran.docx", "A 5575-2021")</f>
        <v/>
      </c>
      <c r="Y205">
        <f>HYPERLINK("https://klasma.github.io/Logging_0883/tillsynsmail/A 5575-2021 tillsynsbegäran mail.docx", "A 5575-2021")</f>
        <v/>
      </c>
    </row>
    <row r="206" ht="15" customHeight="1">
      <c r="A206" t="inlineStr">
        <is>
          <t>A 16695-2025</t>
        </is>
      </c>
      <c r="B206" s="1" t="n">
        <v>45754.46579861111</v>
      </c>
      <c r="C206" s="1" t="n">
        <v>45971</v>
      </c>
      <c r="D206" t="inlineStr">
        <is>
          <t>KALMAR LÄN</t>
        </is>
      </c>
      <c r="E206" t="inlineStr">
        <is>
          <t>VÄSTERVIK</t>
        </is>
      </c>
      <c r="F206" t="inlineStr">
        <is>
          <t>Sveaskog</t>
        </is>
      </c>
      <c r="G206" t="n">
        <v>1.8</v>
      </c>
      <c r="H206" t="n">
        <v>1</v>
      </c>
      <c r="I206" t="n">
        <v>0</v>
      </c>
      <c r="J206" t="n">
        <v>0</v>
      </c>
      <c r="K206" t="n">
        <v>0</v>
      </c>
      <c r="L206" t="n">
        <v>0</v>
      </c>
      <c r="M206" t="n">
        <v>0</v>
      </c>
      <c r="N206" t="n">
        <v>0</v>
      </c>
      <c r="O206" t="n">
        <v>0</v>
      </c>
      <c r="P206" t="n">
        <v>0</v>
      </c>
      <c r="Q206" t="n">
        <v>1</v>
      </c>
      <c r="R206" s="2" t="inlineStr">
        <is>
          <t>Kungsfågel</t>
        </is>
      </c>
      <c r="S206">
        <f>HYPERLINK("https://klasma.github.io/Logging_0883/artfynd/A 16695-2025 artfynd.xlsx", "A 16695-2025")</f>
        <v/>
      </c>
      <c r="T206">
        <f>HYPERLINK("https://klasma.github.io/Logging_0883/kartor/A 16695-2025 karta.png", "A 16695-2025")</f>
        <v/>
      </c>
      <c r="V206">
        <f>HYPERLINK("https://klasma.github.io/Logging_0883/klagomål/A 16695-2025 FSC-klagomål.docx", "A 16695-2025")</f>
        <v/>
      </c>
      <c r="W206">
        <f>HYPERLINK("https://klasma.github.io/Logging_0883/klagomålsmail/A 16695-2025 FSC-klagomål mail.docx", "A 16695-2025")</f>
        <v/>
      </c>
      <c r="X206">
        <f>HYPERLINK("https://klasma.github.io/Logging_0883/tillsyn/A 16695-2025 tillsynsbegäran.docx", "A 16695-2025")</f>
        <v/>
      </c>
      <c r="Y206">
        <f>HYPERLINK("https://klasma.github.io/Logging_0883/tillsynsmail/A 16695-2025 tillsynsbegäran mail.docx", "A 16695-2025")</f>
        <v/>
      </c>
      <c r="Z206">
        <f>HYPERLINK("https://klasma.github.io/Logging_0883/fåglar/A 16695-2025 prioriterade fågelarter.docx", "A 16695-2025")</f>
        <v/>
      </c>
    </row>
    <row r="207" ht="15" customHeight="1">
      <c r="A207" t="inlineStr">
        <is>
          <t>A 16697-2025</t>
        </is>
      </c>
      <c r="B207" s="1" t="n">
        <v>45754.46709490741</v>
      </c>
      <c r="C207" s="1" t="n">
        <v>45971</v>
      </c>
      <c r="D207" t="inlineStr">
        <is>
          <t>KALMAR LÄN</t>
        </is>
      </c>
      <c r="E207" t="inlineStr">
        <is>
          <t>VÄSTERVIK</t>
        </is>
      </c>
      <c r="F207" t="inlineStr">
        <is>
          <t>Sveaskog</t>
        </is>
      </c>
      <c r="G207" t="n">
        <v>1.3</v>
      </c>
      <c r="H207" t="n">
        <v>1</v>
      </c>
      <c r="I207" t="n">
        <v>0</v>
      </c>
      <c r="J207" t="n">
        <v>1</v>
      </c>
      <c r="K207" t="n">
        <v>0</v>
      </c>
      <c r="L207" t="n">
        <v>0</v>
      </c>
      <c r="M207" t="n">
        <v>0</v>
      </c>
      <c r="N207" t="n">
        <v>0</v>
      </c>
      <c r="O207" t="n">
        <v>1</v>
      </c>
      <c r="P207" t="n">
        <v>0</v>
      </c>
      <c r="Q207" t="n">
        <v>1</v>
      </c>
      <c r="R207" s="2" t="inlineStr">
        <is>
          <t>Spillkråka</t>
        </is>
      </c>
      <c r="S207">
        <f>HYPERLINK("https://klasma.github.io/Logging_0883/artfynd/A 16697-2025 artfynd.xlsx", "A 16697-2025")</f>
        <v/>
      </c>
      <c r="T207">
        <f>HYPERLINK("https://klasma.github.io/Logging_0883/kartor/A 16697-2025 karta.png", "A 16697-2025")</f>
        <v/>
      </c>
      <c r="V207">
        <f>HYPERLINK("https://klasma.github.io/Logging_0883/klagomål/A 16697-2025 FSC-klagomål.docx", "A 16697-2025")</f>
        <v/>
      </c>
      <c r="W207">
        <f>HYPERLINK("https://klasma.github.io/Logging_0883/klagomålsmail/A 16697-2025 FSC-klagomål mail.docx", "A 16697-2025")</f>
        <v/>
      </c>
      <c r="X207">
        <f>HYPERLINK("https://klasma.github.io/Logging_0883/tillsyn/A 16697-2025 tillsynsbegäran.docx", "A 16697-2025")</f>
        <v/>
      </c>
      <c r="Y207">
        <f>HYPERLINK("https://klasma.github.io/Logging_0883/tillsynsmail/A 16697-2025 tillsynsbegäran mail.docx", "A 16697-2025")</f>
        <v/>
      </c>
      <c r="Z207">
        <f>HYPERLINK("https://klasma.github.io/Logging_0883/fåglar/A 16697-2025 prioriterade fågelarter.docx", "A 16697-2025")</f>
        <v/>
      </c>
    </row>
    <row r="208" ht="15" customHeight="1">
      <c r="A208" t="inlineStr">
        <is>
          <t>A 17952-2025</t>
        </is>
      </c>
      <c r="B208" s="1" t="n">
        <v>45760.85842592592</v>
      </c>
      <c r="C208" s="1" t="n">
        <v>45971</v>
      </c>
      <c r="D208" t="inlineStr">
        <is>
          <t>KALMAR LÄN</t>
        </is>
      </c>
      <c r="E208" t="inlineStr">
        <is>
          <t>VÄSTERVIK</t>
        </is>
      </c>
      <c r="G208" t="n">
        <v>3.3</v>
      </c>
      <c r="H208" t="n">
        <v>1</v>
      </c>
      <c r="I208" t="n">
        <v>0</v>
      </c>
      <c r="J208" t="n">
        <v>0</v>
      </c>
      <c r="K208" t="n">
        <v>0</v>
      </c>
      <c r="L208" t="n">
        <v>0</v>
      </c>
      <c r="M208" t="n">
        <v>0</v>
      </c>
      <c r="N208" t="n">
        <v>0</v>
      </c>
      <c r="O208" t="n">
        <v>0</v>
      </c>
      <c r="P208" t="n">
        <v>0</v>
      </c>
      <c r="Q208" t="n">
        <v>1</v>
      </c>
      <c r="R208" s="2" t="inlineStr">
        <is>
          <t>Revlummer</t>
        </is>
      </c>
      <c r="S208">
        <f>HYPERLINK("https://klasma.github.io/Logging_0883/artfynd/A 17952-2025 artfynd.xlsx", "A 17952-2025")</f>
        <v/>
      </c>
      <c r="T208">
        <f>HYPERLINK("https://klasma.github.io/Logging_0883/kartor/A 17952-2025 karta.png", "A 17952-2025")</f>
        <v/>
      </c>
      <c r="V208">
        <f>HYPERLINK("https://klasma.github.io/Logging_0883/klagomål/A 17952-2025 FSC-klagomål.docx", "A 17952-2025")</f>
        <v/>
      </c>
      <c r="W208">
        <f>HYPERLINK("https://klasma.github.io/Logging_0883/klagomålsmail/A 17952-2025 FSC-klagomål mail.docx", "A 17952-2025")</f>
        <v/>
      </c>
      <c r="X208">
        <f>HYPERLINK("https://klasma.github.io/Logging_0883/tillsyn/A 17952-2025 tillsynsbegäran.docx", "A 17952-2025")</f>
        <v/>
      </c>
      <c r="Y208">
        <f>HYPERLINK("https://klasma.github.io/Logging_0883/tillsynsmail/A 17952-2025 tillsynsbegäran mail.docx", "A 17952-2025")</f>
        <v/>
      </c>
    </row>
    <row r="209" ht="15" customHeight="1">
      <c r="A209" t="inlineStr">
        <is>
          <t>A 51514-2024</t>
        </is>
      </c>
      <c r="B209" s="1" t="n">
        <v>45604.5640625</v>
      </c>
      <c r="C209" s="1" t="n">
        <v>45971</v>
      </c>
      <c r="D209" t="inlineStr">
        <is>
          <t>KALMAR LÄN</t>
        </is>
      </c>
      <c r="E209" t="inlineStr">
        <is>
          <t>VÄSTERVIK</t>
        </is>
      </c>
      <c r="F209" t="inlineStr">
        <is>
          <t>Övriga Aktiebolag</t>
        </is>
      </c>
      <c r="G209" t="n">
        <v>2.4</v>
      </c>
      <c r="H209" t="n">
        <v>1</v>
      </c>
      <c r="I209" t="n">
        <v>0</v>
      </c>
      <c r="J209" t="n">
        <v>1</v>
      </c>
      <c r="K209" t="n">
        <v>0</v>
      </c>
      <c r="L209" t="n">
        <v>0</v>
      </c>
      <c r="M209" t="n">
        <v>0</v>
      </c>
      <c r="N209" t="n">
        <v>0</v>
      </c>
      <c r="O209" t="n">
        <v>1</v>
      </c>
      <c r="P209" t="n">
        <v>0</v>
      </c>
      <c r="Q209" t="n">
        <v>1</v>
      </c>
      <c r="R209" s="2" t="inlineStr">
        <is>
          <t>Havsörn</t>
        </is>
      </c>
      <c r="S209">
        <f>HYPERLINK("https://klasma.github.io/Logging_0883/artfynd/A 51514-2024 artfynd.xlsx", "A 51514-2024")</f>
        <v/>
      </c>
      <c r="T209">
        <f>HYPERLINK("https://klasma.github.io/Logging_0883/kartor/A 51514-2024 karta.png", "A 51514-2024")</f>
        <v/>
      </c>
      <c r="V209">
        <f>HYPERLINK("https://klasma.github.io/Logging_0883/klagomål/A 51514-2024 FSC-klagomål.docx", "A 51514-2024")</f>
        <v/>
      </c>
      <c r="W209">
        <f>HYPERLINK("https://klasma.github.io/Logging_0883/klagomålsmail/A 51514-2024 FSC-klagomål mail.docx", "A 51514-2024")</f>
        <v/>
      </c>
      <c r="X209">
        <f>HYPERLINK("https://klasma.github.io/Logging_0883/tillsyn/A 51514-2024 tillsynsbegäran.docx", "A 51514-2024")</f>
        <v/>
      </c>
      <c r="Y209">
        <f>HYPERLINK("https://klasma.github.io/Logging_0883/tillsynsmail/A 51514-2024 tillsynsbegäran mail.docx", "A 51514-2024")</f>
        <v/>
      </c>
      <c r="Z209">
        <f>HYPERLINK("https://klasma.github.io/Logging_0883/fåglar/A 51514-2024 prioriterade fågelarter.docx", "A 51514-2024")</f>
        <v/>
      </c>
    </row>
    <row r="210" ht="15" customHeight="1">
      <c r="A210" t="inlineStr">
        <is>
          <t>A 975-2023</t>
        </is>
      </c>
      <c r="B210" s="1" t="n">
        <v>44935</v>
      </c>
      <c r="C210" s="1" t="n">
        <v>45971</v>
      </c>
      <c r="D210" t="inlineStr">
        <is>
          <t>KALMAR LÄN</t>
        </is>
      </c>
      <c r="E210" t="inlineStr">
        <is>
          <t>VÄSTERVIK</t>
        </is>
      </c>
      <c r="G210" t="n">
        <v>1.7</v>
      </c>
      <c r="H210" t="n">
        <v>1</v>
      </c>
      <c r="I210" t="n">
        <v>0</v>
      </c>
      <c r="J210" t="n">
        <v>0</v>
      </c>
      <c r="K210" t="n">
        <v>1</v>
      </c>
      <c r="L210" t="n">
        <v>0</v>
      </c>
      <c r="M210" t="n">
        <v>0</v>
      </c>
      <c r="N210" t="n">
        <v>0</v>
      </c>
      <c r="O210" t="n">
        <v>1</v>
      </c>
      <c r="P210" t="n">
        <v>1</v>
      </c>
      <c r="Q210" t="n">
        <v>1</v>
      </c>
      <c r="R210" s="2" t="inlineStr">
        <is>
          <t>Läderbagge</t>
        </is>
      </c>
      <c r="S210">
        <f>HYPERLINK("https://klasma.github.io/Logging_0883/artfynd/A 975-2023 artfynd.xlsx", "A 975-2023")</f>
        <v/>
      </c>
      <c r="T210">
        <f>HYPERLINK("https://klasma.github.io/Logging_0883/kartor/A 975-2023 karta.png", "A 975-2023")</f>
        <v/>
      </c>
      <c r="V210">
        <f>HYPERLINK("https://klasma.github.io/Logging_0883/klagomål/A 975-2023 FSC-klagomål.docx", "A 975-2023")</f>
        <v/>
      </c>
      <c r="W210">
        <f>HYPERLINK("https://klasma.github.io/Logging_0883/klagomålsmail/A 975-2023 FSC-klagomål mail.docx", "A 975-2023")</f>
        <v/>
      </c>
      <c r="X210">
        <f>HYPERLINK("https://klasma.github.io/Logging_0883/tillsyn/A 975-2023 tillsynsbegäran.docx", "A 975-2023")</f>
        <v/>
      </c>
      <c r="Y210">
        <f>HYPERLINK("https://klasma.github.io/Logging_0883/tillsynsmail/A 975-2023 tillsynsbegäran mail.docx", "A 975-2023")</f>
        <v/>
      </c>
    </row>
    <row r="211" ht="15" customHeight="1">
      <c r="A211" t="inlineStr">
        <is>
          <t>A 53075-2024</t>
        </is>
      </c>
      <c r="B211" s="1" t="n">
        <v>45611</v>
      </c>
      <c r="C211" s="1" t="n">
        <v>45971</v>
      </c>
      <c r="D211" t="inlineStr">
        <is>
          <t>KALMAR LÄN</t>
        </is>
      </c>
      <c r="E211" t="inlineStr">
        <is>
          <t>VÄSTERVIK</t>
        </is>
      </c>
      <c r="F211" t="inlineStr">
        <is>
          <t>Holmen skog AB</t>
        </is>
      </c>
      <c r="G211" t="n">
        <v>8.5</v>
      </c>
      <c r="H211" t="n">
        <v>1</v>
      </c>
      <c r="I211" t="n">
        <v>0</v>
      </c>
      <c r="J211" t="n">
        <v>1</v>
      </c>
      <c r="K211" t="n">
        <v>0</v>
      </c>
      <c r="L211" t="n">
        <v>0</v>
      </c>
      <c r="M211" t="n">
        <v>0</v>
      </c>
      <c r="N211" t="n">
        <v>0</v>
      </c>
      <c r="O211" t="n">
        <v>1</v>
      </c>
      <c r="P211" t="n">
        <v>0</v>
      </c>
      <c r="Q211" t="n">
        <v>1</v>
      </c>
      <c r="R211" s="2" t="inlineStr">
        <is>
          <t>Talltita</t>
        </is>
      </c>
      <c r="S211">
        <f>HYPERLINK("https://klasma.github.io/Logging_0883/artfynd/A 53075-2024 artfynd.xlsx", "A 53075-2024")</f>
        <v/>
      </c>
      <c r="T211">
        <f>HYPERLINK("https://klasma.github.io/Logging_0883/kartor/A 53075-2024 karta.png", "A 53075-2024")</f>
        <v/>
      </c>
      <c r="V211">
        <f>HYPERLINK("https://klasma.github.io/Logging_0883/klagomål/A 53075-2024 FSC-klagomål.docx", "A 53075-2024")</f>
        <v/>
      </c>
      <c r="W211">
        <f>HYPERLINK("https://klasma.github.io/Logging_0883/klagomålsmail/A 53075-2024 FSC-klagomål mail.docx", "A 53075-2024")</f>
        <v/>
      </c>
      <c r="X211">
        <f>HYPERLINK("https://klasma.github.io/Logging_0883/tillsyn/A 53075-2024 tillsynsbegäran.docx", "A 53075-2024")</f>
        <v/>
      </c>
      <c r="Y211">
        <f>HYPERLINK("https://klasma.github.io/Logging_0883/tillsynsmail/A 53075-2024 tillsynsbegäran mail.docx", "A 53075-2024")</f>
        <v/>
      </c>
      <c r="Z211">
        <f>HYPERLINK("https://klasma.github.io/Logging_0883/fåglar/A 53075-2024 prioriterade fågelarter.docx", "A 53075-2024")</f>
        <v/>
      </c>
    </row>
    <row r="212" ht="15" customHeight="1">
      <c r="A212" t="inlineStr">
        <is>
          <t>A 47112-2023</t>
        </is>
      </c>
      <c r="B212" s="1" t="n">
        <v>45201</v>
      </c>
      <c r="C212" s="1" t="n">
        <v>45971</v>
      </c>
      <c r="D212" t="inlineStr">
        <is>
          <t>KALMAR LÄN</t>
        </is>
      </c>
      <c r="E212" t="inlineStr">
        <is>
          <t>VÄSTERVIK</t>
        </is>
      </c>
      <c r="G212" t="n">
        <v>1</v>
      </c>
      <c r="H212" t="n">
        <v>0</v>
      </c>
      <c r="I212" t="n">
        <v>0</v>
      </c>
      <c r="J212" t="n">
        <v>1</v>
      </c>
      <c r="K212" t="n">
        <v>0</v>
      </c>
      <c r="L212" t="n">
        <v>0</v>
      </c>
      <c r="M212" t="n">
        <v>0</v>
      </c>
      <c r="N212" t="n">
        <v>0</v>
      </c>
      <c r="O212" t="n">
        <v>1</v>
      </c>
      <c r="P212" t="n">
        <v>0</v>
      </c>
      <c r="Q212" t="n">
        <v>1</v>
      </c>
      <c r="R212" s="2" t="inlineStr">
        <is>
          <t>Tallticka</t>
        </is>
      </c>
      <c r="S212">
        <f>HYPERLINK("https://klasma.github.io/Logging_0883/artfynd/A 47112-2023 artfynd.xlsx", "A 47112-2023")</f>
        <v/>
      </c>
      <c r="T212">
        <f>HYPERLINK("https://klasma.github.io/Logging_0883/kartor/A 47112-2023 karta.png", "A 47112-2023")</f>
        <v/>
      </c>
      <c r="V212">
        <f>HYPERLINK("https://klasma.github.io/Logging_0883/klagomål/A 47112-2023 FSC-klagomål.docx", "A 47112-2023")</f>
        <v/>
      </c>
      <c r="W212">
        <f>HYPERLINK("https://klasma.github.io/Logging_0883/klagomålsmail/A 47112-2023 FSC-klagomål mail.docx", "A 47112-2023")</f>
        <v/>
      </c>
      <c r="X212">
        <f>HYPERLINK("https://klasma.github.io/Logging_0883/tillsyn/A 47112-2023 tillsynsbegäran.docx", "A 47112-2023")</f>
        <v/>
      </c>
      <c r="Y212">
        <f>HYPERLINK("https://klasma.github.io/Logging_0883/tillsynsmail/A 47112-2023 tillsynsbegäran mail.docx", "A 47112-2023")</f>
        <v/>
      </c>
    </row>
    <row r="213" ht="15" customHeight="1">
      <c r="A213" t="inlineStr">
        <is>
          <t>A 61319-2021</t>
        </is>
      </c>
      <c r="B213" s="1" t="n">
        <v>44498</v>
      </c>
      <c r="C213" s="1" t="n">
        <v>45971</v>
      </c>
      <c r="D213" t="inlineStr">
        <is>
          <t>KALMAR LÄN</t>
        </is>
      </c>
      <c r="E213" t="inlineStr">
        <is>
          <t>VÄSTERVIK</t>
        </is>
      </c>
      <c r="G213" t="n">
        <v>2.2</v>
      </c>
      <c r="H213" t="n">
        <v>1</v>
      </c>
      <c r="I213" t="n">
        <v>1</v>
      </c>
      <c r="J213" t="n">
        <v>0</v>
      </c>
      <c r="K213" t="n">
        <v>0</v>
      </c>
      <c r="L213" t="n">
        <v>0</v>
      </c>
      <c r="M213" t="n">
        <v>0</v>
      </c>
      <c r="N213" t="n">
        <v>0</v>
      </c>
      <c r="O213" t="n">
        <v>0</v>
      </c>
      <c r="P213" t="n">
        <v>0</v>
      </c>
      <c r="Q213" t="n">
        <v>1</v>
      </c>
      <c r="R213" s="2" t="inlineStr">
        <is>
          <t>Ekoxe</t>
        </is>
      </c>
      <c r="S213">
        <f>HYPERLINK("https://klasma.github.io/Logging_0883/artfynd/A 61319-2021 artfynd.xlsx", "A 61319-2021")</f>
        <v/>
      </c>
      <c r="T213">
        <f>HYPERLINK("https://klasma.github.io/Logging_0883/kartor/A 61319-2021 karta.png", "A 61319-2021")</f>
        <v/>
      </c>
      <c r="V213">
        <f>HYPERLINK("https://klasma.github.io/Logging_0883/klagomål/A 61319-2021 FSC-klagomål.docx", "A 61319-2021")</f>
        <v/>
      </c>
      <c r="W213">
        <f>HYPERLINK("https://klasma.github.io/Logging_0883/klagomålsmail/A 61319-2021 FSC-klagomål mail.docx", "A 61319-2021")</f>
        <v/>
      </c>
      <c r="X213">
        <f>HYPERLINK("https://klasma.github.io/Logging_0883/tillsyn/A 61319-2021 tillsynsbegäran.docx", "A 61319-2021")</f>
        <v/>
      </c>
      <c r="Y213">
        <f>HYPERLINK("https://klasma.github.io/Logging_0883/tillsynsmail/A 61319-2021 tillsynsbegäran mail.docx", "A 61319-2021")</f>
        <v/>
      </c>
    </row>
    <row r="214" ht="15" customHeight="1">
      <c r="A214" t="inlineStr">
        <is>
          <t>A 6025-2024</t>
        </is>
      </c>
      <c r="B214" s="1" t="n">
        <v>45336</v>
      </c>
      <c r="C214" s="1" t="n">
        <v>45971</v>
      </c>
      <c r="D214" t="inlineStr">
        <is>
          <t>KALMAR LÄN</t>
        </is>
      </c>
      <c r="E214" t="inlineStr">
        <is>
          <t>VÄSTERVIK</t>
        </is>
      </c>
      <c r="G214" t="n">
        <v>2.8</v>
      </c>
      <c r="H214" t="n">
        <v>0</v>
      </c>
      <c r="I214" t="n">
        <v>0</v>
      </c>
      <c r="J214" t="n">
        <v>1</v>
      </c>
      <c r="K214" t="n">
        <v>0</v>
      </c>
      <c r="L214" t="n">
        <v>0</v>
      </c>
      <c r="M214" t="n">
        <v>0</v>
      </c>
      <c r="N214" t="n">
        <v>0</v>
      </c>
      <c r="O214" t="n">
        <v>1</v>
      </c>
      <c r="P214" t="n">
        <v>0</v>
      </c>
      <c r="Q214" t="n">
        <v>1</v>
      </c>
      <c r="R214" s="2" t="inlineStr">
        <is>
          <t>Tallticka</t>
        </is>
      </c>
      <c r="S214">
        <f>HYPERLINK("https://klasma.github.io/Logging_0883/artfynd/A 6025-2024 artfynd.xlsx", "A 6025-2024")</f>
        <v/>
      </c>
      <c r="T214">
        <f>HYPERLINK("https://klasma.github.io/Logging_0883/kartor/A 6025-2024 karta.png", "A 6025-2024")</f>
        <v/>
      </c>
      <c r="V214">
        <f>HYPERLINK("https://klasma.github.io/Logging_0883/klagomål/A 6025-2024 FSC-klagomål.docx", "A 6025-2024")</f>
        <v/>
      </c>
      <c r="W214">
        <f>HYPERLINK("https://klasma.github.io/Logging_0883/klagomålsmail/A 6025-2024 FSC-klagomål mail.docx", "A 6025-2024")</f>
        <v/>
      </c>
      <c r="X214">
        <f>HYPERLINK("https://klasma.github.io/Logging_0883/tillsyn/A 6025-2024 tillsynsbegäran.docx", "A 6025-2024")</f>
        <v/>
      </c>
      <c r="Y214">
        <f>HYPERLINK("https://klasma.github.io/Logging_0883/tillsynsmail/A 6025-2024 tillsynsbegäran mail.docx", "A 6025-2024")</f>
        <v/>
      </c>
    </row>
    <row r="215" ht="15" customHeight="1">
      <c r="A215" t="inlineStr">
        <is>
          <t>A 9265-2025</t>
        </is>
      </c>
      <c r="B215" s="1" t="n">
        <v>45714.61153935185</v>
      </c>
      <c r="C215" s="1" t="n">
        <v>45971</v>
      </c>
      <c r="D215" t="inlineStr">
        <is>
          <t>KALMAR LÄN</t>
        </is>
      </c>
      <c r="E215" t="inlineStr">
        <is>
          <t>VÄSTERVIK</t>
        </is>
      </c>
      <c r="F215" t="inlineStr">
        <is>
          <t>Sveaskog</t>
        </is>
      </c>
      <c r="G215" t="n">
        <v>2.2</v>
      </c>
      <c r="H215" t="n">
        <v>1</v>
      </c>
      <c r="I215" t="n">
        <v>0</v>
      </c>
      <c r="J215" t="n">
        <v>1</v>
      </c>
      <c r="K215" t="n">
        <v>0</v>
      </c>
      <c r="L215" t="n">
        <v>0</v>
      </c>
      <c r="M215" t="n">
        <v>0</v>
      </c>
      <c r="N215" t="n">
        <v>0</v>
      </c>
      <c r="O215" t="n">
        <v>1</v>
      </c>
      <c r="P215" t="n">
        <v>0</v>
      </c>
      <c r="Q215" t="n">
        <v>1</v>
      </c>
      <c r="R215" s="2" t="inlineStr">
        <is>
          <t>Havsörn</t>
        </is>
      </c>
      <c r="S215">
        <f>HYPERLINK("https://klasma.github.io/Logging_0883/artfynd/A 9265-2025 artfynd.xlsx", "A 9265-2025")</f>
        <v/>
      </c>
      <c r="T215">
        <f>HYPERLINK("https://klasma.github.io/Logging_0883/kartor/A 9265-2025 karta.png", "A 9265-2025")</f>
        <v/>
      </c>
      <c r="V215">
        <f>HYPERLINK("https://klasma.github.io/Logging_0883/klagomål/A 9265-2025 FSC-klagomål.docx", "A 9265-2025")</f>
        <v/>
      </c>
      <c r="W215">
        <f>HYPERLINK("https://klasma.github.io/Logging_0883/klagomålsmail/A 9265-2025 FSC-klagomål mail.docx", "A 9265-2025")</f>
        <v/>
      </c>
      <c r="X215">
        <f>HYPERLINK("https://klasma.github.io/Logging_0883/tillsyn/A 9265-2025 tillsynsbegäran.docx", "A 9265-2025")</f>
        <v/>
      </c>
      <c r="Y215">
        <f>HYPERLINK("https://klasma.github.io/Logging_0883/tillsynsmail/A 9265-2025 tillsynsbegäran mail.docx", "A 9265-2025")</f>
        <v/>
      </c>
      <c r="Z215">
        <f>HYPERLINK("https://klasma.github.io/Logging_0883/fåglar/A 9265-2025 prioriterade fågelarter.docx", "A 9265-2025")</f>
        <v/>
      </c>
    </row>
    <row r="216" ht="15" customHeight="1">
      <c r="A216" t="inlineStr">
        <is>
          <t>A 56439-2024</t>
        </is>
      </c>
      <c r="B216" s="1" t="n">
        <v>45625.4175</v>
      </c>
      <c r="C216" s="1" t="n">
        <v>45971</v>
      </c>
      <c r="D216" t="inlineStr">
        <is>
          <t>KALMAR LÄN</t>
        </is>
      </c>
      <c r="E216" t="inlineStr">
        <is>
          <t>VÄSTERVIK</t>
        </is>
      </c>
      <c r="F216" t="inlineStr">
        <is>
          <t>Övriga Aktiebolag</t>
        </is>
      </c>
      <c r="G216" t="n">
        <v>3.3</v>
      </c>
      <c r="H216" t="n">
        <v>0</v>
      </c>
      <c r="I216" t="n">
        <v>1</v>
      </c>
      <c r="J216" t="n">
        <v>0</v>
      </c>
      <c r="K216" t="n">
        <v>0</v>
      </c>
      <c r="L216" t="n">
        <v>0</v>
      </c>
      <c r="M216" t="n">
        <v>0</v>
      </c>
      <c r="N216" t="n">
        <v>0</v>
      </c>
      <c r="O216" t="n">
        <v>0</v>
      </c>
      <c r="P216" t="n">
        <v>0</v>
      </c>
      <c r="Q216" t="n">
        <v>1</v>
      </c>
      <c r="R216" s="2" t="inlineStr">
        <is>
          <t>Hasselticka</t>
        </is>
      </c>
      <c r="S216">
        <f>HYPERLINK("https://klasma.github.io/Logging_0883/artfynd/A 56439-2024 artfynd.xlsx", "A 56439-2024")</f>
        <v/>
      </c>
      <c r="T216">
        <f>HYPERLINK("https://klasma.github.io/Logging_0883/kartor/A 56439-2024 karta.png", "A 56439-2024")</f>
        <v/>
      </c>
      <c r="V216">
        <f>HYPERLINK("https://klasma.github.io/Logging_0883/klagomål/A 56439-2024 FSC-klagomål.docx", "A 56439-2024")</f>
        <v/>
      </c>
      <c r="W216">
        <f>HYPERLINK("https://klasma.github.io/Logging_0883/klagomålsmail/A 56439-2024 FSC-klagomål mail.docx", "A 56439-2024")</f>
        <v/>
      </c>
      <c r="X216">
        <f>HYPERLINK("https://klasma.github.io/Logging_0883/tillsyn/A 56439-2024 tillsynsbegäran.docx", "A 56439-2024")</f>
        <v/>
      </c>
      <c r="Y216">
        <f>HYPERLINK("https://klasma.github.io/Logging_0883/tillsynsmail/A 56439-2024 tillsynsbegäran mail.docx", "A 56439-2024")</f>
        <v/>
      </c>
    </row>
    <row r="217" ht="15" customHeight="1">
      <c r="A217" t="inlineStr">
        <is>
          <t>A 32653-2023</t>
        </is>
      </c>
      <c r="B217" s="1" t="n">
        <v>45121</v>
      </c>
      <c r="C217" s="1" t="n">
        <v>45971</v>
      </c>
      <c r="D217" t="inlineStr">
        <is>
          <t>KALMAR LÄN</t>
        </is>
      </c>
      <c r="E217" t="inlineStr">
        <is>
          <t>VÄSTERVIK</t>
        </is>
      </c>
      <c r="G217" t="n">
        <v>1.4</v>
      </c>
      <c r="H217" t="n">
        <v>1</v>
      </c>
      <c r="I217" t="n">
        <v>0</v>
      </c>
      <c r="J217" t="n">
        <v>0</v>
      </c>
      <c r="K217" t="n">
        <v>1</v>
      </c>
      <c r="L217" t="n">
        <v>0</v>
      </c>
      <c r="M217" t="n">
        <v>0</v>
      </c>
      <c r="N217" t="n">
        <v>0</v>
      </c>
      <c r="O217" t="n">
        <v>1</v>
      </c>
      <c r="P217" t="n">
        <v>1</v>
      </c>
      <c r="Q217" t="n">
        <v>1</v>
      </c>
      <c r="R217" s="2" t="inlineStr">
        <is>
          <t>Knärot</t>
        </is>
      </c>
      <c r="S217">
        <f>HYPERLINK("https://klasma.github.io/Logging_0883/artfynd/A 32653-2023 artfynd.xlsx", "A 32653-2023")</f>
        <v/>
      </c>
      <c r="T217">
        <f>HYPERLINK("https://klasma.github.io/Logging_0883/kartor/A 32653-2023 karta.png", "A 32653-2023")</f>
        <v/>
      </c>
      <c r="U217">
        <f>HYPERLINK("https://klasma.github.io/Logging_0883/knärot/A 32653-2023 karta knärot.png", "A 32653-2023")</f>
        <v/>
      </c>
      <c r="V217">
        <f>HYPERLINK("https://klasma.github.io/Logging_0883/klagomål/A 32653-2023 FSC-klagomål.docx", "A 32653-2023")</f>
        <v/>
      </c>
      <c r="W217">
        <f>HYPERLINK("https://klasma.github.io/Logging_0883/klagomålsmail/A 32653-2023 FSC-klagomål mail.docx", "A 32653-2023")</f>
        <v/>
      </c>
      <c r="X217">
        <f>HYPERLINK("https://klasma.github.io/Logging_0883/tillsyn/A 32653-2023 tillsynsbegäran.docx", "A 32653-2023")</f>
        <v/>
      </c>
      <c r="Y217">
        <f>HYPERLINK("https://klasma.github.io/Logging_0883/tillsynsmail/A 32653-2023 tillsynsbegäran mail.docx", "A 32653-2023")</f>
        <v/>
      </c>
    </row>
    <row r="218" ht="15" customHeight="1">
      <c r="A218" t="inlineStr">
        <is>
          <t>A 26056-2022</t>
        </is>
      </c>
      <c r="B218" s="1" t="n">
        <v>44734</v>
      </c>
      <c r="C218" s="1" t="n">
        <v>45971</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Slåtterfibbla</t>
        </is>
      </c>
      <c r="S218">
        <f>HYPERLINK("https://klasma.github.io/Logging_0883/artfynd/A 26056-2022 artfynd.xlsx", "A 26056-2022")</f>
        <v/>
      </c>
      <c r="T218">
        <f>HYPERLINK("https://klasma.github.io/Logging_0883/kartor/A 26056-2022 karta.png", "A 26056-2022")</f>
        <v/>
      </c>
      <c r="V218">
        <f>HYPERLINK("https://klasma.github.io/Logging_0883/klagomål/A 26056-2022 FSC-klagomål.docx", "A 26056-2022")</f>
        <v/>
      </c>
      <c r="W218">
        <f>HYPERLINK("https://klasma.github.io/Logging_0883/klagomålsmail/A 26056-2022 FSC-klagomål mail.docx", "A 26056-2022")</f>
        <v/>
      </c>
      <c r="X218">
        <f>HYPERLINK("https://klasma.github.io/Logging_0883/tillsyn/A 26056-2022 tillsynsbegäran.docx", "A 26056-2022")</f>
        <v/>
      </c>
      <c r="Y218">
        <f>HYPERLINK("https://klasma.github.io/Logging_0883/tillsynsmail/A 26056-2022 tillsynsbegäran mail.docx", "A 26056-2022")</f>
        <v/>
      </c>
    </row>
    <row r="219" ht="15" customHeight="1">
      <c r="A219" t="inlineStr">
        <is>
          <t>A 28495-2023</t>
        </is>
      </c>
      <c r="B219" s="1" t="n">
        <v>45103</v>
      </c>
      <c r="C219" s="1" t="n">
        <v>45971</v>
      </c>
      <c r="D219" t="inlineStr">
        <is>
          <t>KALMAR LÄN</t>
        </is>
      </c>
      <c r="E219" t="inlineStr">
        <is>
          <t>VÄSTERVIK</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HYPERLINK("https://klasma.github.io/Logging_0883/artfynd/A 28495-2023 artfynd.xlsx", "A 28495-2023")</f>
        <v/>
      </c>
      <c r="T219">
        <f>HYPERLINK("https://klasma.github.io/Logging_0883/kartor/A 28495-2023 karta.png", "A 28495-2023")</f>
        <v/>
      </c>
      <c r="U219">
        <f>HYPERLINK("https://klasma.github.io/Logging_0883/knärot/A 28495-2023 karta knärot.png", "A 28495-2023")</f>
        <v/>
      </c>
      <c r="V219">
        <f>HYPERLINK("https://klasma.github.io/Logging_0883/klagomål/A 28495-2023 FSC-klagomål.docx", "A 28495-2023")</f>
        <v/>
      </c>
      <c r="W219">
        <f>HYPERLINK("https://klasma.github.io/Logging_0883/klagomålsmail/A 28495-2023 FSC-klagomål mail.docx", "A 28495-2023")</f>
        <v/>
      </c>
      <c r="X219">
        <f>HYPERLINK("https://klasma.github.io/Logging_0883/tillsyn/A 28495-2023 tillsynsbegäran.docx", "A 28495-2023")</f>
        <v/>
      </c>
      <c r="Y219">
        <f>HYPERLINK("https://klasma.github.io/Logging_0883/tillsynsmail/A 28495-2023 tillsynsbegäran mail.docx", "A 28495-2023")</f>
        <v/>
      </c>
    </row>
    <row r="220" ht="15" customHeight="1">
      <c r="A220" t="inlineStr">
        <is>
          <t>A 14103-2025</t>
        </is>
      </c>
      <c r="B220" s="1" t="n">
        <v>45740.45232638889</v>
      </c>
      <c r="C220" s="1" t="n">
        <v>45971</v>
      </c>
      <c r="D220" t="inlineStr">
        <is>
          <t>KALMAR LÄN</t>
        </is>
      </c>
      <c r="E220" t="inlineStr">
        <is>
          <t>VÄSTERVIK</t>
        </is>
      </c>
      <c r="F220" t="inlineStr">
        <is>
          <t>Sveaskog</t>
        </is>
      </c>
      <c r="G220" t="n">
        <v>0.8</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14103-2025 artfynd.xlsx", "A 14103-2025")</f>
        <v/>
      </c>
      <c r="T220">
        <f>HYPERLINK("https://klasma.github.io/Logging_0883/kartor/A 14103-2025 karta.png", "A 14103-2025")</f>
        <v/>
      </c>
      <c r="V220">
        <f>HYPERLINK("https://klasma.github.io/Logging_0883/klagomål/A 14103-2025 FSC-klagomål.docx", "A 14103-2025")</f>
        <v/>
      </c>
      <c r="W220">
        <f>HYPERLINK("https://klasma.github.io/Logging_0883/klagomålsmail/A 14103-2025 FSC-klagomål mail.docx", "A 14103-2025")</f>
        <v/>
      </c>
      <c r="X220">
        <f>HYPERLINK("https://klasma.github.io/Logging_0883/tillsyn/A 14103-2025 tillsynsbegäran.docx", "A 14103-2025")</f>
        <v/>
      </c>
      <c r="Y220">
        <f>HYPERLINK("https://klasma.github.io/Logging_0883/tillsynsmail/A 14103-2025 tillsynsbegäran mail.docx", "A 14103-2025")</f>
        <v/>
      </c>
    </row>
    <row r="221" ht="15" customHeight="1">
      <c r="A221" t="inlineStr">
        <is>
          <t>A 59368-2023</t>
        </is>
      </c>
      <c r="B221" s="1" t="n">
        <v>45253</v>
      </c>
      <c r="C221" s="1" t="n">
        <v>45971</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59368-2023 artfynd.xlsx", "A 59368-2023")</f>
        <v/>
      </c>
      <c r="T221">
        <f>HYPERLINK("https://klasma.github.io/Logging_0883/kartor/A 59368-2023 karta.png", "A 59368-2023")</f>
        <v/>
      </c>
      <c r="U221">
        <f>HYPERLINK("https://klasma.github.io/Logging_0883/knärot/A 59368-2023 karta knärot.png", "A 59368-2023")</f>
        <v/>
      </c>
      <c r="V221">
        <f>HYPERLINK("https://klasma.github.io/Logging_0883/klagomål/A 59368-2023 FSC-klagomål.docx", "A 59368-2023")</f>
        <v/>
      </c>
      <c r="W221">
        <f>HYPERLINK("https://klasma.github.io/Logging_0883/klagomålsmail/A 59368-2023 FSC-klagomål mail.docx", "A 59368-2023")</f>
        <v/>
      </c>
      <c r="X221">
        <f>HYPERLINK("https://klasma.github.io/Logging_0883/tillsyn/A 59368-2023 tillsynsbegäran.docx", "A 59368-2023")</f>
        <v/>
      </c>
      <c r="Y221">
        <f>HYPERLINK("https://klasma.github.io/Logging_0883/tillsynsmail/A 59368-2023 tillsynsbegäran mail.docx", "A 59368-2023")</f>
        <v/>
      </c>
    </row>
    <row r="222" ht="15" customHeight="1">
      <c r="A222" t="inlineStr">
        <is>
          <t>A 48897-2025</t>
        </is>
      </c>
      <c r="B222" s="1" t="n">
        <v>45937.47533564815</v>
      </c>
      <c r="C222" s="1" t="n">
        <v>45971</v>
      </c>
      <c r="D222" t="inlineStr">
        <is>
          <t>KALMAR LÄN</t>
        </is>
      </c>
      <c r="E222" t="inlineStr">
        <is>
          <t>VÄSTERVIK</t>
        </is>
      </c>
      <c r="F222" t="inlineStr">
        <is>
          <t>Sveaskog</t>
        </is>
      </c>
      <c r="G222" t="n">
        <v>4.9</v>
      </c>
      <c r="H222" t="n">
        <v>1</v>
      </c>
      <c r="I222" t="n">
        <v>0</v>
      </c>
      <c r="J222" t="n">
        <v>0</v>
      </c>
      <c r="K222" t="n">
        <v>0</v>
      </c>
      <c r="L222" t="n">
        <v>0</v>
      </c>
      <c r="M222" t="n">
        <v>0</v>
      </c>
      <c r="N222" t="n">
        <v>0</v>
      </c>
      <c r="O222" t="n">
        <v>0</v>
      </c>
      <c r="P222" t="n">
        <v>0</v>
      </c>
      <c r="Q222" t="n">
        <v>1</v>
      </c>
      <c r="R222" s="2" t="inlineStr">
        <is>
          <t>Blåsippa</t>
        </is>
      </c>
      <c r="S222">
        <f>HYPERLINK("https://klasma.github.io/Logging_0883/artfynd/A 48897-2025 artfynd.xlsx", "A 48897-2025")</f>
        <v/>
      </c>
      <c r="T222">
        <f>HYPERLINK("https://klasma.github.io/Logging_0883/kartor/A 48897-2025 karta.png", "A 48897-2025")</f>
        <v/>
      </c>
      <c r="V222">
        <f>HYPERLINK("https://klasma.github.io/Logging_0883/klagomål/A 48897-2025 FSC-klagomål.docx", "A 48897-2025")</f>
        <v/>
      </c>
      <c r="W222">
        <f>HYPERLINK("https://klasma.github.io/Logging_0883/klagomålsmail/A 48897-2025 FSC-klagomål mail.docx", "A 48897-2025")</f>
        <v/>
      </c>
      <c r="X222">
        <f>HYPERLINK("https://klasma.github.io/Logging_0883/tillsyn/A 48897-2025 tillsynsbegäran.docx", "A 48897-2025")</f>
        <v/>
      </c>
      <c r="Y222">
        <f>HYPERLINK("https://klasma.github.io/Logging_0883/tillsynsmail/A 48897-2025 tillsynsbegäran mail.docx", "A 48897-2025")</f>
        <v/>
      </c>
    </row>
    <row r="223" ht="15" customHeight="1">
      <c r="A223" t="inlineStr">
        <is>
          <t>A 61806-2023</t>
        </is>
      </c>
      <c r="B223" s="1" t="n">
        <v>45266.27928240741</v>
      </c>
      <c r="C223" s="1" t="n">
        <v>45971</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Veckticka</t>
        </is>
      </c>
      <c r="S223">
        <f>HYPERLINK("https://klasma.github.io/Logging_0883/artfynd/A 61806-2023 artfynd.xlsx", "A 61806-2023")</f>
        <v/>
      </c>
      <c r="T223">
        <f>HYPERLINK("https://klasma.github.io/Logging_0883/kartor/A 61806-2023 karta.png", "A 61806-2023")</f>
        <v/>
      </c>
      <c r="V223">
        <f>HYPERLINK("https://klasma.github.io/Logging_0883/klagomål/A 61806-2023 FSC-klagomål.docx", "A 61806-2023")</f>
        <v/>
      </c>
      <c r="W223">
        <f>HYPERLINK("https://klasma.github.io/Logging_0883/klagomålsmail/A 61806-2023 FSC-klagomål mail.docx", "A 61806-2023")</f>
        <v/>
      </c>
      <c r="X223">
        <f>HYPERLINK("https://klasma.github.io/Logging_0883/tillsyn/A 61806-2023 tillsynsbegäran.docx", "A 61806-2023")</f>
        <v/>
      </c>
      <c r="Y223">
        <f>HYPERLINK("https://klasma.github.io/Logging_0883/tillsynsmail/A 61806-2023 tillsynsbegäran mail.docx", "A 61806-2023")</f>
        <v/>
      </c>
    </row>
    <row r="224" ht="15" customHeight="1">
      <c r="A224" t="inlineStr">
        <is>
          <t>A 9261-2025</t>
        </is>
      </c>
      <c r="B224" s="1" t="n">
        <v>45714.60472222222</v>
      </c>
      <c r="C224" s="1" t="n">
        <v>45971</v>
      </c>
      <c r="D224" t="inlineStr">
        <is>
          <t>KALMAR LÄN</t>
        </is>
      </c>
      <c r="E224" t="inlineStr">
        <is>
          <t>VÄSTERVIK</t>
        </is>
      </c>
      <c r="F224" t="inlineStr">
        <is>
          <t>Sveaskog</t>
        </is>
      </c>
      <c r="G224" t="n">
        <v>4.9</v>
      </c>
      <c r="H224" t="n">
        <v>1</v>
      </c>
      <c r="I224" t="n">
        <v>0</v>
      </c>
      <c r="J224" t="n">
        <v>1</v>
      </c>
      <c r="K224" t="n">
        <v>0</v>
      </c>
      <c r="L224" t="n">
        <v>0</v>
      </c>
      <c r="M224" t="n">
        <v>0</v>
      </c>
      <c r="N224" t="n">
        <v>0</v>
      </c>
      <c r="O224" t="n">
        <v>1</v>
      </c>
      <c r="P224" t="n">
        <v>0</v>
      </c>
      <c r="Q224" t="n">
        <v>1</v>
      </c>
      <c r="R224" s="2" t="inlineStr">
        <is>
          <t>Havsörn</t>
        </is>
      </c>
      <c r="S224">
        <f>HYPERLINK("https://klasma.github.io/Logging_0883/artfynd/A 9261-2025 artfynd.xlsx", "A 9261-2025")</f>
        <v/>
      </c>
      <c r="T224">
        <f>HYPERLINK("https://klasma.github.io/Logging_0883/kartor/A 9261-2025 karta.png", "A 9261-2025")</f>
        <v/>
      </c>
      <c r="V224">
        <f>HYPERLINK("https://klasma.github.io/Logging_0883/klagomål/A 9261-2025 FSC-klagomål.docx", "A 9261-2025")</f>
        <v/>
      </c>
      <c r="W224">
        <f>HYPERLINK("https://klasma.github.io/Logging_0883/klagomålsmail/A 9261-2025 FSC-klagomål mail.docx", "A 9261-2025")</f>
        <v/>
      </c>
      <c r="X224">
        <f>HYPERLINK("https://klasma.github.io/Logging_0883/tillsyn/A 9261-2025 tillsynsbegäran.docx", "A 9261-2025")</f>
        <v/>
      </c>
      <c r="Y224">
        <f>HYPERLINK("https://klasma.github.io/Logging_0883/tillsynsmail/A 9261-2025 tillsynsbegäran mail.docx", "A 9261-2025")</f>
        <v/>
      </c>
      <c r="Z224">
        <f>HYPERLINK("https://klasma.github.io/Logging_0883/fåglar/A 9261-2025 prioriterade fågelarter.docx", "A 9261-2025")</f>
        <v/>
      </c>
    </row>
    <row r="225" ht="15" customHeight="1">
      <c r="A225" t="inlineStr">
        <is>
          <t>A 55616-2024</t>
        </is>
      </c>
      <c r="B225" s="1" t="n">
        <v>45622.5916087963</v>
      </c>
      <c r="C225" s="1" t="n">
        <v>45971</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21409-2025</t>
        </is>
      </c>
      <c r="B226" s="1" t="n">
        <v>45782</v>
      </c>
      <c r="C226" s="1" t="n">
        <v>45971</v>
      </c>
      <c r="D226" t="inlineStr">
        <is>
          <t>KALMAR LÄN</t>
        </is>
      </c>
      <c r="E226" t="inlineStr">
        <is>
          <t>VÄSTERVIK</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HYPERLINK("https://klasma.github.io/Logging_0883/artfynd/A 21409-2025 artfynd.xlsx", "A 21409-2025")</f>
        <v/>
      </c>
      <c r="T226">
        <f>HYPERLINK("https://klasma.github.io/Logging_0883/kartor/A 21409-2025 karta.png", "A 21409-2025")</f>
        <v/>
      </c>
      <c r="V226">
        <f>HYPERLINK("https://klasma.github.io/Logging_0883/klagomål/A 21409-2025 FSC-klagomål.docx", "A 21409-2025")</f>
        <v/>
      </c>
      <c r="W226">
        <f>HYPERLINK("https://klasma.github.io/Logging_0883/klagomålsmail/A 21409-2025 FSC-klagomål mail.docx", "A 21409-2025")</f>
        <v/>
      </c>
      <c r="X226">
        <f>HYPERLINK("https://klasma.github.io/Logging_0883/tillsyn/A 21409-2025 tillsynsbegäran.docx", "A 21409-2025")</f>
        <v/>
      </c>
      <c r="Y226">
        <f>HYPERLINK("https://klasma.github.io/Logging_0883/tillsynsmail/A 21409-2025 tillsynsbegäran mail.docx", "A 21409-2025")</f>
        <v/>
      </c>
    </row>
    <row r="227" ht="15" customHeight="1">
      <c r="A227" t="inlineStr">
        <is>
          <t>A 25436-2023</t>
        </is>
      </c>
      <c r="B227" s="1" t="n">
        <v>45089</v>
      </c>
      <c r="C227" s="1" t="n">
        <v>45971</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27708-2024</t>
        </is>
      </c>
      <c r="B228" s="1" t="n">
        <v>45475</v>
      </c>
      <c r="C228" s="1" t="n">
        <v>45971</v>
      </c>
      <c r="D228" t="inlineStr">
        <is>
          <t>KALMAR LÄN</t>
        </is>
      </c>
      <c r="E228" t="inlineStr">
        <is>
          <t>VÄSTERVIK</t>
        </is>
      </c>
      <c r="F228" t="inlineStr">
        <is>
          <t>Holmen skog AB</t>
        </is>
      </c>
      <c r="G228" t="n">
        <v>1.7</v>
      </c>
      <c r="H228" t="n">
        <v>1</v>
      </c>
      <c r="I228" t="n">
        <v>0</v>
      </c>
      <c r="J228" t="n">
        <v>1</v>
      </c>
      <c r="K228" t="n">
        <v>0</v>
      </c>
      <c r="L228" t="n">
        <v>0</v>
      </c>
      <c r="M228" t="n">
        <v>0</v>
      </c>
      <c r="N228" t="n">
        <v>0</v>
      </c>
      <c r="O228" t="n">
        <v>1</v>
      </c>
      <c r="P228" t="n">
        <v>0</v>
      </c>
      <c r="Q228" t="n">
        <v>1</v>
      </c>
      <c r="R228" s="2" t="inlineStr">
        <is>
          <t>Spillkråka</t>
        </is>
      </c>
      <c r="S228">
        <f>HYPERLINK("https://klasma.github.io/Logging_0883/artfynd/A 27708-2024 artfynd.xlsx", "A 27708-2024")</f>
        <v/>
      </c>
      <c r="T228">
        <f>HYPERLINK("https://klasma.github.io/Logging_0883/kartor/A 27708-2024 karta.png", "A 27708-2024")</f>
        <v/>
      </c>
      <c r="V228">
        <f>HYPERLINK("https://klasma.github.io/Logging_0883/klagomål/A 27708-2024 FSC-klagomål.docx", "A 27708-2024")</f>
        <v/>
      </c>
      <c r="W228">
        <f>HYPERLINK("https://klasma.github.io/Logging_0883/klagomålsmail/A 27708-2024 FSC-klagomål mail.docx", "A 27708-2024")</f>
        <v/>
      </c>
      <c r="X228">
        <f>HYPERLINK("https://klasma.github.io/Logging_0883/tillsyn/A 27708-2024 tillsynsbegäran.docx", "A 27708-2024")</f>
        <v/>
      </c>
      <c r="Y228">
        <f>HYPERLINK("https://klasma.github.io/Logging_0883/tillsynsmail/A 27708-2024 tillsynsbegäran mail.docx", "A 27708-2024")</f>
        <v/>
      </c>
      <c r="Z228">
        <f>HYPERLINK("https://klasma.github.io/Logging_0883/fåglar/A 27708-2024 prioriterade fågelarter.docx", "A 27708-2024")</f>
        <v/>
      </c>
    </row>
    <row r="229" ht="15" customHeight="1">
      <c r="A229" t="inlineStr">
        <is>
          <t>A 21653-2025</t>
        </is>
      </c>
      <c r="B229" s="1" t="n">
        <v>45783.45039351852</v>
      </c>
      <c r="C229" s="1" t="n">
        <v>45971</v>
      </c>
      <c r="D229" t="inlineStr">
        <is>
          <t>KALMAR LÄN</t>
        </is>
      </c>
      <c r="E229" t="inlineStr">
        <is>
          <t>VÄSTERVIK</t>
        </is>
      </c>
      <c r="F229" t="inlineStr">
        <is>
          <t>Sveaskog</t>
        </is>
      </c>
      <c r="G229" t="n">
        <v>2.8</v>
      </c>
      <c r="H229" t="n">
        <v>1</v>
      </c>
      <c r="I229" t="n">
        <v>0</v>
      </c>
      <c r="J229" t="n">
        <v>1</v>
      </c>
      <c r="K229" t="n">
        <v>0</v>
      </c>
      <c r="L229" t="n">
        <v>0</v>
      </c>
      <c r="M229" t="n">
        <v>0</v>
      </c>
      <c r="N229" t="n">
        <v>0</v>
      </c>
      <c r="O229" t="n">
        <v>1</v>
      </c>
      <c r="P229" t="n">
        <v>0</v>
      </c>
      <c r="Q229" t="n">
        <v>1</v>
      </c>
      <c r="R229" s="2" t="inlineStr">
        <is>
          <t>Entita</t>
        </is>
      </c>
      <c r="S229">
        <f>HYPERLINK("https://klasma.github.io/Logging_0883/artfynd/A 21653-2025 artfynd.xlsx", "A 21653-2025")</f>
        <v/>
      </c>
      <c r="T229">
        <f>HYPERLINK("https://klasma.github.io/Logging_0883/kartor/A 21653-2025 karta.png", "A 21653-2025")</f>
        <v/>
      </c>
      <c r="V229">
        <f>HYPERLINK("https://klasma.github.io/Logging_0883/klagomål/A 21653-2025 FSC-klagomål.docx", "A 21653-2025")</f>
        <v/>
      </c>
      <c r="W229">
        <f>HYPERLINK("https://klasma.github.io/Logging_0883/klagomålsmail/A 21653-2025 FSC-klagomål mail.docx", "A 21653-2025")</f>
        <v/>
      </c>
      <c r="X229">
        <f>HYPERLINK("https://klasma.github.io/Logging_0883/tillsyn/A 21653-2025 tillsynsbegäran.docx", "A 21653-2025")</f>
        <v/>
      </c>
      <c r="Y229">
        <f>HYPERLINK("https://klasma.github.io/Logging_0883/tillsynsmail/A 21653-2025 tillsynsbegäran mail.docx", "A 21653-2025")</f>
        <v/>
      </c>
      <c r="Z229">
        <f>HYPERLINK("https://klasma.github.io/Logging_0883/fåglar/A 21653-2025 prioriterade fågelarter.docx", "A 21653-2025")</f>
        <v/>
      </c>
    </row>
    <row r="230" ht="15" customHeight="1">
      <c r="A230" t="inlineStr">
        <is>
          <t>A 33815-2023</t>
        </is>
      </c>
      <c r="B230" s="1" t="n">
        <v>45133.59306712963</v>
      </c>
      <c r="C230" s="1" t="n">
        <v>45971</v>
      </c>
      <c r="D230" t="inlineStr">
        <is>
          <t>KALMAR LÄN</t>
        </is>
      </c>
      <c r="E230" t="inlineStr">
        <is>
          <t>VÄSTERVIK</t>
        </is>
      </c>
      <c r="G230" t="n">
        <v>3.4</v>
      </c>
      <c r="H230" t="n">
        <v>0</v>
      </c>
      <c r="I230" t="n">
        <v>1</v>
      </c>
      <c r="J230" t="n">
        <v>0</v>
      </c>
      <c r="K230" t="n">
        <v>0</v>
      </c>
      <c r="L230" t="n">
        <v>0</v>
      </c>
      <c r="M230" t="n">
        <v>0</v>
      </c>
      <c r="N230" t="n">
        <v>0</v>
      </c>
      <c r="O230" t="n">
        <v>0</v>
      </c>
      <c r="P230" t="n">
        <v>0</v>
      </c>
      <c r="Q230" t="n">
        <v>1</v>
      </c>
      <c r="R230" s="2" t="inlineStr">
        <is>
          <t>Grönpyrola</t>
        </is>
      </c>
      <c r="S230">
        <f>HYPERLINK("https://klasma.github.io/Logging_0883/artfynd/A 33815-2023 artfynd.xlsx", "A 33815-2023")</f>
        <v/>
      </c>
      <c r="T230">
        <f>HYPERLINK("https://klasma.github.io/Logging_0883/kartor/A 33815-2023 karta.png", "A 33815-2023")</f>
        <v/>
      </c>
      <c r="V230">
        <f>HYPERLINK("https://klasma.github.io/Logging_0883/klagomål/A 33815-2023 FSC-klagomål.docx", "A 33815-2023")</f>
        <v/>
      </c>
      <c r="W230">
        <f>HYPERLINK("https://klasma.github.io/Logging_0883/klagomålsmail/A 33815-2023 FSC-klagomål mail.docx", "A 33815-2023")</f>
        <v/>
      </c>
      <c r="X230">
        <f>HYPERLINK("https://klasma.github.io/Logging_0883/tillsyn/A 33815-2023 tillsynsbegäran.docx", "A 33815-2023")</f>
        <v/>
      </c>
      <c r="Y230">
        <f>HYPERLINK("https://klasma.github.io/Logging_0883/tillsynsmail/A 33815-2023 tillsynsbegäran mail.docx", "A 33815-2023")</f>
        <v/>
      </c>
    </row>
    <row r="231" ht="15" customHeight="1">
      <c r="A231" t="inlineStr">
        <is>
          <t>A 33816-2023</t>
        </is>
      </c>
      <c r="B231" s="1" t="n">
        <v>45133.59490740741</v>
      </c>
      <c r="C231" s="1" t="n">
        <v>45971</v>
      </c>
      <c r="D231" t="inlineStr">
        <is>
          <t>KALMAR LÄN</t>
        </is>
      </c>
      <c r="E231" t="inlineStr">
        <is>
          <t>VÄSTERVIK</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HYPERLINK("https://klasma.github.io/Logging_0883/artfynd/A 33816-2023 artfynd.xlsx", "A 33816-2023")</f>
        <v/>
      </c>
      <c r="T231">
        <f>HYPERLINK("https://klasma.github.io/Logging_0883/kartor/A 33816-2023 karta.png", "A 33816-2023")</f>
        <v/>
      </c>
      <c r="V231">
        <f>HYPERLINK("https://klasma.github.io/Logging_0883/klagomål/A 33816-2023 FSC-klagomål.docx", "A 33816-2023")</f>
        <v/>
      </c>
      <c r="W231">
        <f>HYPERLINK("https://klasma.github.io/Logging_0883/klagomålsmail/A 33816-2023 FSC-klagomål mail.docx", "A 33816-2023")</f>
        <v/>
      </c>
      <c r="X231">
        <f>HYPERLINK("https://klasma.github.io/Logging_0883/tillsyn/A 33816-2023 tillsynsbegäran.docx", "A 33816-2023")</f>
        <v/>
      </c>
      <c r="Y231">
        <f>HYPERLINK("https://klasma.github.io/Logging_0883/tillsynsmail/A 33816-2023 tillsynsbegäran mail.docx", "A 33816-2023")</f>
        <v/>
      </c>
    </row>
    <row r="232" ht="15" customHeight="1">
      <c r="A232" t="inlineStr">
        <is>
          <t>A 1775-2025</t>
        </is>
      </c>
      <c r="B232" s="1" t="n">
        <v>45671.44059027778</v>
      </c>
      <c r="C232" s="1" t="n">
        <v>45971</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43788-2023</t>
        </is>
      </c>
      <c r="B233" s="1" t="n">
        <v>45187.53707175926</v>
      </c>
      <c r="C233" s="1" t="n">
        <v>45971</v>
      </c>
      <c r="D233" t="inlineStr">
        <is>
          <t>KALMAR LÄN</t>
        </is>
      </c>
      <c r="E233" t="inlineStr">
        <is>
          <t>VÄSTERVIK</t>
        </is>
      </c>
      <c r="G233" t="n">
        <v>4.5</v>
      </c>
      <c r="H233" t="n">
        <v>0</v>
      </c>
      <c r="I233" t="n">
        <v>0</v>
      </c>
      <c r="J233" t="n">
        <v>1</v>
      </c>
      <c r="K233" t="n">
        <v>0</v>
      </c>
      <c r="L233" t="n">
        <v>0</v>
      </c>
      <c r="M233" t="n">
        <v>0</v>
      </c>
      <c r="N233" t="n">
        <v>0</v>
      </c>
      <c r="O233" t="n">
        <v>1</v>
      </c>
      <c r="P233" t="n">
        <v>0</v>
      </c>
      <c r="Q233" t="n">
        <v>1</v>
      </c>
      <c r="R233" s="2" t="inlineStr">
        <is>
          <t>Motaggsvamp</t>
        </is>
      </c>
      <c r="S233">
        <f>HYPERLINK("https://klasma.github.io/Logging_0883/artfynd/A 43788-2023 artfynd.xlsx", "A 43788-2023")</f>
        <v/>
      </c>
      <c r="T233">
        <f>HYPERLINK("https://klasma.github.io/Logging_0883/kartor/A 43788-2023 karta.png", "A 43788-2023")</f>
        <v/>
      </c>
      <c r="V233">
        <f>HYPERLINK("https://klasma.github.io/Logging_0883/klagomål/A 43788-2023 FSC-klagomål.docx", "A 43788-2023")</f>
        <v/>
      </c>
      <c r="W233">
        <f>HYPERLINK("https://klasma.github.io/Logging_0883/klagomålsmail/A 43788-2023 FSC-klagomål mail.docx", "A 43788-2023")</f>
        <v/>
      </c>
      <c r="X233">
        <f>HYPERLINK("https://klasma.github.io/Logging_0883/tillsyn/A 43788-2023 tillsynsbegäran.docx", "A 43788-2023")</f>
        <v/>
      </c>
      <c r="Y233">
        <f>HYPERLINK("https://klasma.github.io/Logging_0883/tillsynsmail/A 43788-2023 tillsynsbegäran mail.docx", "A 43788-2023")</f>
        <v/>
      </c>
    </row>
    <row r="234" ht="15" customHeight="1">
      <c r="A234" t="inlineStr">
        <is>
          <t>A 11729-2023</t>
        </is>
      </c>
      <c r="B234" s="1" t="n">
        <v>44994</v>
      </c>
      <c r="C234" s="1" t="n">
        <v>45971</v>
      </c>
      <c r="D234" t="inlineStr">
        <is>
          <t>KALMAR LÄN</t>
        </is>
      </c>
      <c r="E234" t="inlineStr">
        <is>
          <t>VÄSTERVIK</t>
        </is>
      </c>
      <c r="F234" t="inlineStr">
        <is>
          <t>Sveaskog</t>
        </is>
      </c>
      <c r="G234" t="n">
        <v>4.1</v>
      </c>
      <c r="H234" t="n">
        <v>0</v>
      </c>
      <c r="I234" t="n">
        <v>0</v>
      </c>
      <c r="J234" t="n">
        <v>1</v>
      </c>
      <c r="K234" t="n">
        <v>0</v>
      </c>
      <c r="L234" t="n">
        <v>0</v>
      </c>
      <c r="M234" t="n">
        <v>0</v>
      </c>
      <c r="N234" t="n">
        <v>0</v>
      </c>
      <c r="O234" t="n">
        <v>1</v>
      </c>
      <c r="P234" t="n">
        <v>0</v>
      </c>
      <c r="Q234" t="n">
        <v>1</v>
      </c>
      <c r="R234" s="2" t="inlineStr">
        <is>
          <t>Bredbrämad bastardsvärmare</t>
        </is>
      </c>
      <c r="S234">
        <f>HYPERLINK("https://klasma.github.io/Logging_0883/artfynd/A 11729-2023 artfynd.xlsx", "A 11729-2023")</f>
        <v/>
      </c>
      <c r="T234">
        <f>HYPERLINK("https://klasma.github.io/Logging_0883/kartor/A 11729-2023 karta.png", "A 11729-2023")</f>
        <v/>
      </c>
      <c r="V234">
        <f>HYPERLINK("https://klasma.github.io/Logging_0883/klagomål/A 11729-2023 FSC-klagomål.docx", "A 11729-2023")</f>
        <v/>
      </c>
      <c r="W234">
        <f>HYPERLINK("https://klasma.github.io/Logging_0883/klagomålsmail/A 11729-2023 FSC-klagomål mail.docx", "A 11729-2023")</f>
        <v/>
      </c>
      <c r="X234">
        <f>HYPERLINK("https://klasma.github.io/Logging_0883/tillsyn/A 11729-2023 tillsynsbegäran.docx", "A 11729-2023")</f>
        <v/>
      </c>
      <c r="Y234">
        <f>HYPERLINK("https://klasma.github.io/Logging_0883/tillsynsmail/A 11729-2023 tillsynsbegäran mail.docx", "A 11729-2023")</f>
        <v/>
      </c>
    </row>
    <row r="235" ht="15" customHeight="1">
      <c r="A235" t="inlineStr">
        <is>
          <t>A 23186-2025</t>
        </is>
      </c>
      <c r="B235" s="1" t="n">
        <v>45791.44415509259</v>
      </c>
      <c r="C235" s="1" t="n">
        <v>45971</v>
      </c>
      <c r="D235" t="inlineStr">
        <is>
          <t>KALMAR LÄN</t>
        </is>
      </c>
      <c r="E235" t="inlineStr">
        <is>
          <t>VÄSTERVIK</t>
        </is>
      </c>
      <c r="G235" t="n">
        <v>1.4</v>
      </c>
      <c r="H235" t="n">
        <v>0</v>
      </c>
      <c r="I235" t="n">
        <v>0</v>
      </c>
      <c r="J235" t="n">
        <v>1</v>
      </c>
      <c r="K235" t="n">
        <v>0</v>
      </c>
      <c r="L235" t="n">
        <v>0</v>
      </c>
      <c r="M235" t="n">
        <v>0</v>
      </c>
      <c r="N235" t="n">
        <v>0</v>
      </c>
      <c r="O235" t="n">
        <v>1</v>
      </c>
      <c r="P235" t="n">
        <v>0</v>
      </c>
      <c r="Q235" t="n">
        <v>1</v>
      </c>
      <c r="R235" s="2" t="inlineStr">
        <is>
          <t>Krusfrö</t>
        </is>
      </c>
      <c r="S235">
        <f>HYPERLINK("https://klasma.github.io/Logging_0883/artfynd/A 23186-2025 artfynd.xlsx", "A 23186-2025")</f>
        <v/>
      </c>
      <c r="T235">
        <f>HYPERLINK("https://klasma.github.io/Logging_0883/kartor/A 23186-2025 karta.png", "A 23186-2025")</f>
        <v/>
      </c>
      <c r="V235">
        <f>HYPERLINK("https://klasma.github.io/Logging_0883/klagomål/A 23186-2025 FSC-klagomål.docx", "A 23186-2025")</f>
        <v/>
      </c>
      <c r="W235">
        <f>HYPERLINK("https://klasma.github.io/Logging_0883/klagomålsmail/A 23186-2025 FSC-klagomål mail.docx", "A 23186-2025")</f>
        <v/>
      </c>
      <c r="X235">
        <f>HYPERLINK("https://klasma.github.io/Logging_0883/tillsyn/A 23186-2025 tillsynsbegäran.docx", "A 23186-2025")</f>
        <v/>
      </c>
      <c r="Y235">
        <f>HYPERLINK("https://klasma.github.io/Logging_0883/tillsynsmail/A 23186-2025 tillsynsbegäran mail.docx", "A 23186-2025")</f>
        <v/>
      </c>
    </row>
    <row r="236" ht="15" customHeight="1">
      <c r="A236" t="inlineStr">
        <is>
          <t>A 23192-2025</t>
        </is>
      </c>
      <c r="B236" s="1" t="n">
        <v>45791.45371527778</v>
      </c>
      <c r="C236" s="1" t="n">
        <v>45971</v>
      </c>
      <c r="D236" t="inlineStr">
        <is>
          <t>KALMAR LÄN</t>
        </is>
      </c>
      <c r="E236" t="inlineStr">
        <is>
          <t>VÄSTERVIK</t>
        </is>
      </c>
      <c r="G236" t="n">
        <v>1.5</v>
      </c>
      <c r="H236" t="n">
        <v>1</v>
      </c>
      <c r="I236" t="n">
        <v>0</v>
      </c>
      <c r="J236" t="n">
        <v>1</v>
      </c>
      <c r="K236" t="n">
        <v>0</v>
      </c>
      <c r="L236" t="n">
        <v>0</v>
      </c>
      <c r="M236" t="n">
        <v>0</v>
      </c>
      <c r="N236" t="n">
        <v>0</v>
      </c>
      <c r="O236" t="n">
        <v>1</v>
      </c>
      <c r="P236" t="n">
        <v>0</v>
      </c>
      <c r="Q236" t="n">
        <v>1</v>
      </c>
      <c r="R236" s="2" t="inlineStr">
        <is>
          <t>Talltita</t>
        </is>
      </c>
      <c r="S236">
        <f>HYPERLINK("https://klasma.github.io/Logging_0883/artfynd/A 23192-2025 artfynd.xlsx", "A 23192-2025")</f>
        <v/>
      </c>
      <c r="T236">
        <f>HYPERLINK("https://klasma.github.io/Logging_0883/kartor/A 23192-2025 karta.png", "A 23192-2025")</f>
        <v/>
      </c>
      <c r="V236">
        <f>HYPERLINK("https://klasma.github.io/Logging_0883/klagomål/A 23192-2025 FSC-klagomål.docx", "A 23192-2025")</f>
        <v/>
      </c>
      <c r="W236">
        <f>HYPERLINK("https://klasma.github.io/Logging_0883/klagomålsmail/A 23192-2025 FSC-klagomål mail.docx", "A 23192-2025")</f>
        <v/>
      </c>
      <c r="X236">
        <f>HYPERLINK("https://klasma.github.io/Logging_0883/tillsyn/A 23192-2025 tillsynsbegäran.docx", "A 23192-2025")</f>
        <v/>
      </c>
      <c r="Y236">
        <f>HYPERLINK("https://klasma.github.io/Logging_0883/tillsynsmail/A 23192-2025 tillsynsbegäran mail.docx", "A 23192-2025")</f>
        <v/>
      </c>
      <c r="Z236">
        <f>HYPERLINK("https://klasma.github.io/Logging_0883/fåglar/A 23192-2025 prioriterade fågelarter.docx", "A 23192-2025")</f>
        <v/>
      </c>
    </row>
    <row r="237" ht="15" customHeight="1">
      <c r="A237" t="inlineStr">
        <is>
          <t>A 23199-2025</t>
        </is>
      </c>
      <c r="B237" s="1" t="n">
        <v>45791.45887731481</v>
      </c>
      <c r="C237" s="1" t="n">
        <v>45971</v>
      </c>
      <c r="D237" t="inlineStr">
        <is>
          <t>KALMAR LÄN</t>
        </is>
      </c>
      <c r="E237" t="inlineStr">
        <is>
          <t>VÄSTERVIK</t>
        </is>
      </c>
      <c r="G237" t="n">
        <v>2.1</v>
      </c>
      <c r="H237" t="n">
        <v>0</v>
      </c>
      <c r="I237" t="n">
        <v>1</v>
      </c>
      <c r="J237" t="n">
        <v>0</v>
      </c>
      <c r="K237" t="n">
        <v>0</v>
      </c>
      <c r="L237" t="n">
        <v>0</v>
      </c>
      <c r="M237" t="n">
        <v>0</v>
      </c>
      <c r="N237" t="n">
        <v>0</v>
      </c>
      <c r="O237" t="n">
        <v>0</v>
      </c>
      <c r="P237" t="n">
        <v>0</v>
      </c>
      <c r="Q237" t="n">
        <v>1</v>
      </c>
      <c r="R237" s="2" t="inlineStr">
        <is>
          <t>Blåmossa</t>
        </is>
      </c>
      <c r="S237">
        <f>HYPERLINK("https://klasma.github.io/Logging_0883/artfynd/A 23199-2025 artfynd.xlsx", "A 23199-2025")</f>
        <v/>
      </c>
      <c r="T237">
        <f>HYPERLINK("https://klasma.github.io/Logging_0883/kartor/A 23199-2025 karta.png", "A 23199-2025")</f>
        <v/>
      </c>
      <c r="V237">
        <f>HYPERLINK("https://klasma.github.io/Logging_0883/klagomål/A 23199-2025 FSC-klagomål.docx", "A 23199-2025")</f>
        <v/>
      </c>
      <c r="W237">
        <f>HYPERLINK("https://klasma.github.io/Logging_0883/klagomålsmail/A 23199-2025 FSC-klagomål mail.docx", "A 23199-2025")</f>
        <v/>
      </c>
      <c r="X237">
        <f>HYPERLINK("https://klasma.github.io/Logging_0883/tillsyn/A 23199-2025 tillsynsbegäran.docx", "A 23199-2025")</f>
        <v/>
      </c>
      <c r="Y237">
        <f>HYPERLINK("https://klasma.github.io/Logging_0883/tillsynsmail/A 23199-2025 tillsynsbegäran mail.docx", "A 23199-2025")</f>
        <v/>
      </c>
    </row>
    <row r="238" ht="15" customHeight="1">
      <c r="A238" t="inlineStr">
        <is>
          <t>A 14082-2025</t>
        </is>
      </c>
      <c r="B238" s="1" t="n">
        <v>45740.43934027778</v>
      </c>
      <c r="C238" s="1" t="n">
        <v>45971</v>
      </c>
      <c r="D238" t="inlineStr">
        <is>
          <t>KALMAR LÄN</t>
        </is>
      </c>
      <c r="E238" t="inlineStr">
        <is>
          <t>VÄSTERVIK</t>
        </is>
      </c>
      <c r="F238" t="inlineStr">
        <is>
          <t>Sveaskog</t>
        </is>
      </c>
      <c r="G238" t="n">
        <v>1.2</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HYPERLINK("https://klasma.github.io/Logging_0883/artfynd/A 14082-2025 artfynd.xlsx", "A 14082-2025")</f>
        <v/>
      </c>
      <c r="T238">
        <f>HYPERLINK("https://klasma.github.io/Logging_0883/kartor/A 14082-2025 karta.png", "A 14082-2025")</f>
        <v/>
      </c>
      <c r="V238">
        <f>HYPERLINK("https://klasma.github.io/Logging_0883/klagomål/A 14082-2025 FSC-klagomål.docx", "A 14082-2025")</f>
        <v/>
      </c>
      <c r="W238">
        <f>HYPERLINK("https://klasma.github.io/Logging_0883/klagomålsmail/A 14082-2025 FSC-klagomål mail.docx", "A 14082-2025")</f>
        <v/>
      </c>
      <c r="X238">
        <f>HYPERLINK("https://klasma.github.io/Logging_0883/tillsyn/A 14082-2025 tillsynsbegäran.docx", "A 14082-2025")</f>
        <v/>
      </c>
      <c r="Y238">
        <f>HYPERLINK("https://klasma.github.io/Logging_0883/tillsynsmail/A 14082-2025 tillsynsbegäran mail.docx", "A 14082-2025")</f>
        <v/>
      </c>
    </row>
    <row r="239" ht="15" customHeight="1">
      <c r="A239" t="inlineStr">
        <is>
          <t>A 50172-2025</t>
        </is>
      </c>
      <c r="B239" s="1" t="n">
        <v>45943.60153935185</v>
      </c>
      <c r="C239" s="1" t="n">
        <v>45971</v>
      </c>
      <c r="D239" t="inlineStr">
        <is>
          <t>KALMAR LÄN</t>
        </is>
      </c>
      <c r="E239" t="inlineStr">
        <is>
          <t>VÄSTERVIK</t>
        </is>
      </c>
      <c r="G239" t="n">
        <v>2.2</v>
      </c>
      <c r="H239" t="n">
        <v>0</v>
      </c>
      <c r="I239" t="n">
        <v>1</v>
      </c>
      <c r="J239" t="n">
        <v>0</v>
      </c>
      <c r="K239" t="n">
        <v>0</v>
      </c>
      <c r="L239" t="n">
        <v>0</v>
      </c>
      <c r="M239" t="n">
        <v>0</v>
      </c>
      <c r="N239" t="n">
        <v>0</v>
      </c>
      <c r="O239" t="n">
        <v>0</v>
      </c>
      <c r="P239" t="n">
        <v>0</v>
      </c>
      <c r="Q239" t="n">
        <v>1</v>
      </c>
      <c r="R239" s="2" t="inlineStr">
        <is>
          <t>Dropptaggsvamp</t>
        </is>
      </c>
      <c r="S239">
        <f>HYPERLINK("https://klasma.github.io/Logging_0883/artfynd/A 50172-2025 artfynd.xlsx", "A 50172-2025")</f>
        <v/>
      </c>
      <c r="T239">
        <f>HYPERLINK("https://klasma.github.io/Logging_0883/kartor/A 50172-2025 karta.png", "A 50172-2025")</f>
        <v/>
      </c>
      <c r="V239">
        <f>HYPERLINK("https://klasma.github.io/Logging_0883/klagomål/A 50172-2025 FSC-klagomål.docx", "A 50172-2025")</f>
        <v/>
      </c>
      <c r="W239">
        <f>HYPERLINK("https://klasma.github.io/Logging_0883/klagomålsmail/A 50172-2025 FSC-klagomål mail.docx", "A 50172-2025")</f>
        <v/>
      </c>
      <c r="X239">
        <f>HYPERLINK("https://klasma.github.io/Logging_0883/tillsyn/A 50172-2025 tillsynsbegäran.docx", "A 50172-2025")</f>
        <v/>
      </c>
      <c r="Y239">
        <f>HYPERLINK("https://klasma.github.io/Logging_0883/tillsynsmail/A 50172-2025 tillsynsbegäran mail.docx", "A 50172-2025")</f>
        <v/>
      </c>
    </row>
    <row r="240" ht="15" customHeight="1">
      <c r="A240" t="inlineStr">
        <is>
          <t>A 24884-2025</t>
        </is>
      </c>
      <c r="B240" s="1" t="n">
        <v>45799.50620370371</v>
      </c>
      <c r="C240" s="1" t="n">
        <v>45971</v>
      </c>
      <c r="D240" t="inlineStr">
        <is>
          <t>KALMAR LÄN</t>
        </is>
      </c>
      <c r="E240" t="inlineStr">
        <is>
          <t>VÄSTERVIK</t>
        </is>
      </c>
      <c r="F240" t="inlineStr">
        <is>
          <t>Holmen skog AB</t>
        </is>
      </c>
      <c r="G240" t="n">
        <v>5.1</v>
      </c>
      <c r="H240" t="n">
        <v>0</v>
      </c>
      <c r="I240" t="n">
        <v>1</v>
      </c>
      <c r="J240" t="n">
        <v>0</v>
      </c>
      <c r="K240" t="n">
        <v>0</v>
      </c>
      <c r="L240" t="n">
        <v>0</v>
      </c>
      <c r="M240" t="n">
        <v>0</v>
      </c>
      <c r="N240" t="n">
        <v>0</v>
      </c>
      <c r="O240" t="n">
        <v>0</v>
      </c>
      <c r="P240" t="n">
        <v>0</v>
      </c>
      <c r="Q240" t="n">
        <v>1</v>
      </c>
      <c r="R240" s="2" t="inlineStr">
        <is>
          <t>Strävlosta</t>
        </is>
      </c>
      <c r="S240">
        <f>HYPERLINK("https://klasma.github.io/Logging_0883/artfynd/A 24884-2025 artfynd.xlsx", "A 24884-2025")</f>
        <v/>
      </c>
      <c r="T240">
        <f>HYPERLINK("https://klasma.github.io/Logging_0883/kartor/A 24884-2025 karta.png", "A 24884-2025")</f>
        <v/>
      </c>
      <c r="V240">
        <f>HYPERLINK("https://klasma.github.io/Logging_0883/klagomål/A 24884-2025 FSC-klagomål.docx", "A 24884-2025")</f>
        <v/>
      </c>
      <c r="W240">
        <f>HYPERLINK("https://klasma.github.io/Logging_0883/klagomålsmail/A 24884-2025 FSC-klagomål mail.docx", "A 24884-2025")</f>
        <v/>
      </c>
      <c r="X240">
        <f>HYPERLINK("https://klasma.github.io/Logging_0883/tillsyn/A 24884-2025 tillsynsbegäran.docx", "A 24884-2025")</f>
        <v/>
      </c>
      <c r="Y240">
        <f>HYPERLINK("https://klasma.github.io/Logging_0883/tillsynsmail/A 24884-2025 tillsynsbegäran mail.docx", "A 24884-2025")</f>
        <v/>
      </c>
    </row>
    <row r="241" ht="15" customHeight="1">
      <c r="A241" t="inlineStr">
        <is>
          <t>A 40924-2022</t>
        </is>
      </c>
      <c r="B241" s="1" t="n">
        <v>44825</v>
      </c>
      <c r="C241" s="1" t="n">
        <v>45971</v>
      </c>
      <c r="D241" t="inlineStr">
        <is>
          <t>KALMAR LÄN</t>
        </is>
      </c>
      <c r="E241" t="inlineStr">
        <is>
          <t>VÄSTERVIK</t>
        </is>
      </c>
      <c r="F241" t="inlineStr">
        <is>
          <t>Sveaskog</t>
        </is>
      </c>
      <c r="G241" t="n">
        <v>0.5</v>
      </c>
      <c r="H241" t="n">
        <v>1</v>
      </c>
      <c r="I241" t="n">
        <v>0</v>
      </c>
      <c r="J241" t="n">
        <v>1</v>
      </c>
      <c r="K241" t="n">
        <v>0</v>
      </c>
      <c r="L241" t="n">
        <v>0</v>
      </c>
      <c r="M241" t="n">
        <v>0</v>
      </c>
      <c r="N241" t="n">
        <v>0</v>
      </c>
      <c r="O241" t="n">
        <v>1</v>
      </c>
      <c r="P241" t="n">
        <v>0</v>
      </c>
      <c r="Q241" t="n">
        <v>1</v>
      </c>
      <c r="R241" s="2" t="inlineStr">
        <is>
          <t>Barbastell</t>
        </is>
      </c>
      <c r="S241">
        <f>HYPERLINK("https://klasma.github.io/Logging_0883/artfynd/A 40924-2022 artfynd.xlsx", "A 40924-2022")</f>
        <v/>
      </c>
      <c r="T241">
        <f>HYPERLINK("https://klasma.github.io/Logging_0883/kartor/A 40924-2022 karta.png", "A 40924-2022")</f>
        <v/>
      </c>
      <c r="V241">
        <f>HYPERLINK("https://klasma.github.io/Logging_0883/klagomål/A 40924-2022 FSC-klagomål.docx", "A 40924-2022")</f>
        <v/>
      </c>
      <c r="W241">
        <f>HYPERLINK("https://klasma.github.io/Logging_0883/klagomålsmail/A 40924-2022 FSC-klagomål mail.docx", "A 40924-2022")</f>
        <v/>
      </c>
      <c r="X241">
        <f>HYPERLINK("https://klasma.github.io/Logging_0883/tillsyn/A 40924-2022 tillsynsbegäran.docx", "A 40924-2022")</f>
        <v/>
      </c>
      <c r="Y241">
        <f>HYPERLINK("https://klasma.github.io/Logging_0883/tillsynsmail/A 40924-2022 tillsynsbegäran mail.docx", "A 40924-2022")</f>
        <v/>
      </c>
    </row>
    <row r="242" ht="15" customHeight="1">
      <c r="A242" t="inlineStr">
        <is>
          <t>A 55360-2024</t>
        </is>
      </c>
      <c r="B242" s="1" t="n">
        <v>45621.8252199074</v>
      </c>
      <c r="C242" s="1" t="n">
        <v>45971</v>
      </c>
      <c r="D242" t="inlineStr">
        <is>
          <t>KALMAR LÄN</t>
        </is>
      </c>
      <c r="E242" t="inlineStr">
        <is>
          <t>VÄSTERVIK</t>
        </is>
      </c>
      <c r="F242" t="inlineStr">
        <is>
          <t>Sveaskog</t>
        </is>
      </c>
      <c r="G242" t="n">
        <v>11.1</v>
      </c>
      <c r="H242" t="n">
        <v>0</v>
      </c>
      <c r="I242" t="n">
        <v>0</v>
      </c>
      <c r="J242" t="n">
        <v>1</v>
      </c>
      <c r="K242" t="n">
        <v>0</v>
      </c>
      <c r="L242" t="n">
        <v>0</v>
      </c>
      <c r="M242" t="n">
        <v>0</v>
      </c>
      <c r="N242" t="n">
        <v>0</v>
      </c>
      <c r="O242" t="n">
        <v>1</v>
      </c>
      <c r="P242" t="n">
        <v>0</v>
      </c>
      <c r="Q242" t="n">
        <v>1</v>
      </c>
      <c r="R242" s="2" t="inlineStr">
        <is>
          <t>Vårstarr</t>
        </is>
      </c>
      <c r="S242">
        <f>HYPERLINK("https://klasma.github.io/Logging_0883/artfynd/A 55360-2024 artfynd.xlsx", "A 55360-2024")</f>
        <v/>
      </c>
      <c r="T242">
        <f>HYPERLINK("https://klasma.github.io/Logging_0883/kartor/A 55360-2024 karta.png", "A 55360-2024")</f>
        <v/>
      </c>
      <c r="V242">
        <f>HYPERLINK("https://klasma.github.io/Logging_0883/klagomål/A 55360-2024 FSC-klagomål.docx", "A 55360-2024")</f>
        <v/>
      </c>
      <c r="W242">
        <f>HYPERLINK("https://klasma.github.io/Logging_0883/klagomålsmail/A 55360-2024 FSC-klagomål mail.docx", "A 55360-2024")</f>
        <v/>
      </c>
      <c r="X242">
        <f>HYPERLINK("https://klasma.github.io/Logging_0883/tillsyn/A 55360-2024 tillsynsbegäran.docx", "A 55360-2024")</f>
        <v/>
      </c>
      <c r="Y242">
        <f>HYPERLINK("https://klasma.github.io/Logging_0883/tillsynsmail/A 55360-2024 tillsynsbegäran mail.docx", "A 55360-2024")</f>
        <v/>
      </c>
    </row>
    <row r="243" ht="15" customHeight="1">
      <c r="A243" t="inlineStr">
        <is>
          <t>A 26516-2025</t>
        </is>
      </c>
      <c r="B243" s="1" t="n">
        <v>45807.55402777778</v>
      </c>
      <c r="C243" s="1" t="n">
        <v>45971</v>
      </c>
      <c r="D243" t="inlineStr">
        <is>
          <t>KALMAR LÄN</t>
        </is>
      </c>
      <c r="E243" t="inlineStr">
        <is>
          <t>VÄSTERVIK</t>
        </is>
      </c>
      <c r="G243" t="n">
        <v>1.3</v>
      </c>
      <c r="H243" t="n">
        <v>1</v>
      </c>
      <c r="I243" t="n">
        <v>0</v>
      </c>
      <c r="J243" t="n">
        <v>1</v>
      </c>
      <c r="K243" t="n">
        <v>0</v>
      </c>
      <c r="L243" t="n">
        <v>0</v>
      </c>
      <c r="M243" t="n">
        <v>0</v>
      </c>
      <c r="N243" t="n">
        <v>0</v>
      </c>
      <c r="O243" t="n">
        <v>1</v>
      </c>
      <c r="P243" t="n">
        <v>0</v>
      </c>
      <c r="Q243" t="n">
        <v>1</v>
      </c>
      <c r="R243" s="2" t="inlineStr">
        <is>
          <t>Grönsångare</t>
        </is>
      </c>
      <c r="S243">
        <f>HYPERLINK("https://klasma.github.io/Logging_0883/artfynd/A 26516-2025 artfynd.xlsx", "A 26516-2025")</f>
        <v/>
      </c>
      <c r="T243">
        <f>HYPERLINK("https://klasma.github.io/Logging_0883/kartor/A 26516-2025 karta.png", "A 26516-2025")</f>
        <v/>
      </c>
      <c r="V243">
        <f>HYPERLINK("https://klasma.github.io/Logging_0883/klagomål/A 26516-2025 FSC-klagomål.docx", "A 26516-2025")</f>
        <v/>
      </c>
      <c r="W243">
        <f>HYPERLINK("https://klasma.github.io/Logging_0883/klagomålsmail/A 26516-2025 FSC-klagomål mail.docx", "A 26516-2025")</f>
        <v/>
      </c>
      <c r="X243">
        <f>HYPERLINK("https://klasma.github.io/Logging_0883/tillsyn/A 26516-2025 tillsynsbegäran.docx", "A 26516-2025")</f>
        <v/>
      </c>
      <c r="Y243">
        <f>HYPERLINK("https://klasma.github.io/Logging_0883/tillsynsmail/A 26516-2025 tillsynsbegäran mail.docx", "A 26516-2025")</f>
        <v/>
      </c>
      <c r="Z243">
        <f>HYPERLINK("https://klasma.github.io/Logging_0883/fåglar/A 26516-2025 prioriterade fågelarter.docx", "A 26516-2025")</f>
        <v/>
      </c>
    </row>
    <row r="244" ht="15" customHeight="1">
      <c r="A244" t="inlineStr">
        <is>
          <t>A 6657-2025</t>
        </is>
      </c>
      <c r="B244" s="1" t="n">
        <v>45700</v>
      </c>
      <c r="C244" s="1" t="n">
        <v>45971</v>
      </c>
      <c r="D244" t="inlineStr">
        <is>
          <t>KALMAR LÄN</t>
        </is>
      </c>
      <c r="E244" t="inlineStr">
        <is>
          <t>VÄSTERVIK</t>
        </is>
      </c>
      <c r="F244" t="inlineStr">
        <is>
          <t>Holmen skog AB</t>
        </is>
      </c>
      <c r="G244" t="n">
        <v>3</v>
      </c>
      <c r="H244" t="n">
        <v>1</v>
      </c>
      <c r="I244" t="n">
        <v>0</v>
      </c>
      <c r="J244" t="n">
        <v>0</v>
      </c>
      <c r="K244" t="n">
        <v>1</v>
      </c>
      <c r="L244" t="n">
        <v>0</v>
      </c>
      <c r="M244" t="n">
        <v>0</v>
      </c>
      <c r="N244" t="n">
        <v>0</v>
      </c>
      <c r="O244" t="n">
        <v>1</v>
      </c>
      <c r="P244" t="n">
        <v>1</v>
      </c>
      <c r="Q244" t="n">
        <v>1</v>
      </c>
      <c r="R244" s="2" t="inlineStr">
        <is>
          <t>Knärot</t>
        </is>
      </c>
      <c r="S244">
        <f>HYPERLINK("https://klasma.github.io/Logging_0883/artfynd/A 6657-2025 artfynd.xlsx", "A 6657-2025")</f>
        <v/>
      </c>
      <c r="T244">
        <f>HYPERLINK("https://klasma.github.io/Logging_0883/kartor/A 6657-2025 karta.png", "A 6657-2025")</f>
        <v/>
      </c>
      <c r="U244">
        <f>HYPERLINK("https://klasma.github.io/Logging_0883/knärot/A 6657-2025 karta knärot.png", "A 6657-2025")</f>
        <v/>
      </c>
      <c r="V244">
        <f>HYPERLINK("https://klasma.github.io/Logging_0883/klagomål/A 6657-2025 FSC-klagomål.docx", "A 6657-2025")</f>
        <v/>
      </c>
      <c r="W244">
        <f>HYPERLINK("https://klasma.github.io/Logging_0883/klagomålsmail/A 6657-2025 FSC-klagomål mail.docx", "A 6657-2025")</f>
        <v/>
      </c>
      <c r="X244">
        <f>HYPERLINK("https://klasma.github.io/Logging_0883/tillsyn/A 6657-2025 tillsynsbegäran.docx", "A 6657-2025")</f>
        <v/>
      </c>
      <c r="Y244">
        <f>HYPERLINK("https://klasma.github.io/Logging_0883/tillsynsmail/A 6657-2025 tillsynsbegäran mail.docx", "A 6657-2025")</f>
        <v/>
      </c>
    </row>
    <row r="245" ht="15" customHeight="1">
      <c r="A245" t="inlineStr">
        <is>
          <t>A 4750-2025</t>
        </is>
      </c>
      <c r="B245" s="1" t="n">
        <v>45688</v>
      </c>
      <c r="C245" s="1" t="n">
        <v>45971</v>
      </c>
      <c r="D245" t="inlineStr">
        <is>
          <t>KALMAR LÄN</t>
        </is>
      </c>
      <c r="E245" t="inlineStr">
        <is>
          <t>VÄSTERVIK</t>
        </is>
      </c>
      <c r="F245" t="inlineStr">
        <is>
          <t>Holmen skog AB</t>
        </is>
      </c>
      <c r="G245" t="n">
        <v>0.9</v>
      </c>
      <c r="H245" t="n">
        <v>1</v>
      </c>
      <c r="I245" t="n">
        <v>0</v>
      </c>
      <c r="J245" t="n">
        <v>1</v>
      </c>
      <c r="K245" t="n">
        <v>0</v>
      </c>
      <c r="L245" t="n">
        <v>0</v>
      </c>
      <c r="M245" t="n">
        <v>0</v>
      </c>
      <c r="N245" t="n">
        <v>0</v>
      </c>
      <c r="O245" t="n">
        <v>1</v>
      </c>
      <c r="P245" t="n">
        <v>0</v>
      </c>
      <c r="Q245" t="n">
        <v>1</v>
      </c>
      <c r="R245" s="2" t="inlineStr">
        <is>
          <t>Talltita</t>
        </is>
      </c>
      <c r="S245">
        <f>HYPERLINK("https://klasma.github.io/Logging_0883/artfynd/A 4750-2025 artfynd.xlsx", "A 4750-2025")</f>
        <v/>
      </c>
      <c r="T245">
        <f>HYPERLINK("https://klasma.github.io/Logging_0883/kartor/A 4750-2025 karta.png", "A 4750-2025")</f>
        <v/>
      </c>
      <c r="V245">
        <f>HYPERLINK("https://klasma.github.io/Logging_0883/klagomål/A 4750-2025 FSC-klagomål.docx", "A 4750-2025")</f>
        <v/>
      </c>
      <c r="W245">
        <f>HYPERLINK("https://klasma.github.io/Logging_0883/klagomålsmail/A 4750-2025 FSC-klagomål mail.docx", "A 4750-2025")</f>
        <v/>
      </c>
      <c r="X245">
        <f>HYPERLINK("https://klasma.github.io/Logging_0883/tillsyn/A 4750-2025 tillsynsbegäran.docx", "A 4750-2025")</f>
        <v/>
      </c>
      <c r="Y245">
        <f>HYPERLINK("https://klasma.github.io/Logging_0883/tillsynsmail/A 4750-2025 tillsynsbegäran mail.docx", "A 4750-2025")</f>
        <v/>
      </c>
      <c r="Z245">
        <f>HYPERLINK("https://klasma.github.io/Logging_0883/fåglar/A 4750-2025 prioriterade fågelarter.docx", "A 4750-2025")</f>
        <v/>
      </c>
    </row>
    <row r="246" ht="15" customHeight="1">
      <c r="A246" t="inlineStr">
        <is>
          <t>A 9571-2025</t>
        </is>
      </c>
      <c r="B246" s="1" t="n">
        <v>45715.61996527778</v>
      </c>
      <c r="C246" s="1" t="n">
        <v>45971</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9571-2025 artfynd.xlsx", "A 9571-2025")</f>
        <v/>
      </c>
      <c r="T246">
        <f>HYPERLINK("https://klasma.github.io/Logging_0883/kartor/A 9571-2025 karta.png", "A 9571-2025")</f>
        <v/>
      </c>
      <c r="V246">
        <f>HYPERLINK("https://klasma.github.io/Logging_0883/klagomål/A 9571-2025 FSC-klagomål.docx", "A 9571-2025")</f>
        <v/>
      </c>
      <c r="W246">
        <f>HYPERLINK("https://klasma.github.io/Logging_0883/klagomålsmail/A 9571-2025 FSC-klagomål mail.docx", "A 9571-2025")</f>
        <v/>
      </c>
      <c r="X246">
        <f>HYPERLINK("https://klasma.github.io/Logging_0883/tillsyn/A 9571-2025 tillsynsbegäran.docx", "A 9571-2025")</f>
        <v/>
      </c>
      <c r="Y246">
        <f>HYPERLINK("https://klasma.github.io/Logging_0883/tillsynsmail/A 9571-2025 tillsynsbegäran mail.docx", "A 9571-2025")</f>
        <v/>
      </c>
    </row>
    <row r="247" ht="15" customHeight="1">
      <c r="A247" t="inlineStr">
        <is>
          <t>A 27426-2025</t>
        </is>
      </c>
      <c r="B247" s="1" t="n">
        <v>45813</v>
      </c>
      <c r="C247" s="1" t="n">
        <v>45971</v>
      </c>
      <c r="D247" t="inlineStr">
        <is>
          <t>KALMAR LÄN</t>
        </is>
      </c>
      <c r="E247" t="inlineStr">
        <is>
          <t>VÄSTERVIK</t>
        </is>
      </c>
      <c r="G247" t="n">
        <v>2</v>
      </c>
      <c r="H247" t="n">
        <v>0</v>
      </c>
      <c r="I247" t="n">
        <v>1</v>
      </c>
      <c r="J247" t="n">
        <v>0</v>
      </c>
      <c r="K247" t="n">
        <v>0</v>
      </c>
      <c r="L247" t="n">
        <v>0</v>
      </c>
      <c r="M247" t="n">
        <v>0</v>
      </c>
      <c r="N247" t="n">
        <v>0</v>
      </c>
      <c r="O247" t="n">
        <v>0</v>
      </c>
      <c r="P247" t="n">
        <v>0</v>
      </c>
      <c r="Q247" t="n">
        <v>1</v>
      </c>
      <c r="R247" s="2" t="inlineStr">
        <is>
          <t>Vätteros</t>
        </is>
      </c>
      <c r="S247">
        <f>HYPERLINK("https://klasma.github.io/Logging_0883/artfynd/A 27426-2025 artfynd.xlsx", "A 27426-2025")</f>
        <v/>
      </c>
      <c r="T247">
        <f>HYPERLINK("https://klasma.github.io/Logging_0883/kartor/A 27426-2025 karta.png", "A 27426-2025")</f>
        <v/>
      </c>
      <c r="V247">
        <f>HYPERLINK("https://klasma.github.io/Logging_0883/klagomål/A 27426-2025 FSC-klagomål.docx", "A 27426-2025")</f>
        <v/>
      </c>
      <c r="W247">
        <f>HYPERLINK("https://klasma.github.io/Logging_0883/klagomålsmail/A 27426-2025 FSC-klagomål mail.docx", "A 27426-2025")</f>
        <v/>
      </c>
      <c r="X247">
        <f>HYPERLINK("https://klasma.github.io/Logging_0883/tillsyn/A 27426-2025 tillsynsbegäran.docx", "A 27426-2025")</f>
        <v/>
      </c>
      <c r="Y247">
        <f>HYPERLINK("https://klasma.github.io/Logging_0883/tillsynsmail/A 27426-2025 tillsynsbegäran mail.docx", "A 27426-2025")</f>
        <v/>
      </c>
    </row>
    <row r="248" ht="15" customHeight="1">
      <c r="A248" t="inlineStr">
        <is>
          <t>A 1370-2024</t>
        </is>
      </c>
      <c r="B248" s="1" t="n">
        <v>45303</v>
      </c>
      <c r="C248" s="1" t="n">
        <v>45971</v>
      </c>
      <c r="D248" t="inlineStr">
        <is>
          <t>KALMAR LÄN</t>
        </is>
      </c>
      <c r="E248" t="inlineStr">
        <is>
          <t>VÄSTERVIK</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HYPERLINK("https://klasma.github.io/Logging_0883/artfynd/A 1370-2024 artfynd.xlsx", "A 1370-2024")</f>
        <v/>
      </c>
      <c r="T248">
        <f>HYPERLINK("https://klasma.github.io/Logging_0883/kartor/A 1370-2024 karta.png", "A 1370-2024")</f>
        <v/>
      </c>
      <c r="V248">
        <f>HYPERLINK("https://klasma.github.io/Logging_0883/klagomål/A 1370-2024 FSC-klagomål.docx", "A 1370-2024")</f>
        <v/>
      </c>
      <c r="W248">
        <f>HYPERLINK("https://klasma.github.io/Logging_0883/klagomålsmail/A 1370-2024 FSC-klagomål mail.docx", "A 1370-2024")</f>
        <v/>
      </c>
      <c r="X248">
        <f>HYPERLINK("https://klasma.github.io/Logging_0883/tillsyn/A 1370-2024 tillsynsbegäran.docx", "A 1370-2024")</f>
        <v/>
      </c>
      <c r="Y248">
        <f>HYPERLINK("https://klasma.github.io/Logging_0883/tillsynsmail/A 1370-2024 tillsynsbegäran mail.docx", "A 1370-2024")</f>
        <v/>
      </c>
    </row>
    <row r="249" ht="15" customHeight="1">
      <c r="A249" t="inlineStr">
        <is>
          <t>A 6634-2025</t>
        </is>
      </c>
      <c r="B249" s="1" t="n">
        <v>45700.38141203704</v>
      </c>
      <c r="C249" s="1" t="n">
        <v>45971</v>
      </c>
      <c r="D249" t="inlineStr">
        <is>
          <t>KALMAR LÄN</t>
        </is>
      </c>
      <c r="E249" t="inlineStr">
        <is>
          <t>VÄSTERVIK</t>
        </is>
      </c>
      <c r="G249" t="n">
        <v>2.2</v>
      </c>
      <c r="H249" t="n">
        <v>0</v>
      </c>
      <c r="I249" t="n">
        <v>1</v>
      </c>
      <c r="J249" t="n">
        <v>0</v>
      </c>
      <c r="K249" t="n">
        <v>0</v>
      </c>
      <c r="L249" t="n">
        <v>0</v>
      </c>
      <c r="M249" t="n">
        <v>0</v>
      </c>
      <c r="N249" t="n">
        <v>0</v>
      </c>
      <c r="O249" t="n">
        <v>0</v>
      </c>
      <c r="P249" t="n">
        <v>0</v>
      </c>
      <c r="Q249" t="n">
        <v>1</v>
      </c>
      <c r="R249" s="2" t="inlineStr">
        <is>
          <t>Ögonpyrola</t>
        </is>
      </c>
      <c r="S249">
        <f>HYPERLINK("https://klasma.github.io/Logging_0883/artfynd/A 6634-2025 artfynd.xlsx", "A 6634-2025")</f>
        <v/>
      </c>
      <c r="T249">
        <f>HYPERLINK("https://klasma.github.io/Logging_0883/kartor/A 6634-2025 karta.png", "A 6634-2025")</f>
        <v/>
      </c>
      <c r="V249">
        <f>HYPERLINK("https://klasma.github.io/Logging_0883/klagomål/A 6634-2025 FSC-klagomål.docx", "A 6634-2025")</f>
        <v/>
      </c>
      <c r="W249">
        <f>HYPERLINK("https://klasma.github.io/Logging_0883/klagomålsmail/A 6634-2025 FSC-klagomål mail.docx", "A 6634-2025")</f>
        <v/>
      </c>
      <c r="X249">
        <f>HYPERLINK("https://klasma.github.io/Logging_0883/tillsyn/A 6634-2025 tillsynsbegäran.docx", "A 6634-2025")</f>
        <v/>
      </c>
      <c r="Y249">
        <f>HYPERLINK("https://klasma.github.io/Logging_0883/tillsynsmail/A 6634-2025 tillsynsbegäran mail.docx", "A 6634-2025")</f>
        <v/>
      </c>
    </row>
    <row r="250" ht="15" customHeight="1">
      <c r="A250" t="inlineStr">
        <is>
          <t>A 46722-2023</t>
        </is>
      </c>
      <c r="B250" s="1" t="n">
        <v>45194</v>
      </c>
      <c r="C250" s="1" t="n">
        <v>45971</v>
      </c>
      <c r="D250" t="inlineStr">
        <is>
          <t>KALMAR LÄN</t>
        </is>
      </c>
      <c r="E250" t="inlineStr">
        <is>
          <t>VÄSTERVIK</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HYPERLINK("https://klasma.github.io/Logging_0883/artfynd/A 46722-2023 artfynd.xlsx", "A 46722-2023")</f>
        <v/>
      </c>
      <c r="T250">
        <f>HYPERLINK("https://klasma.github.io/Logging_0883/kartor/A 46722-2023 karta.png", "A 46722-2023")</f>
        <v/>
      </c>
      <c r="U250">
        <f>HYPERLINK("https://klasma.github.io/Logging_0883/knärot/A 46722-2023 karta knärot.png", "A 46722-2023")</f>
        <v/>
      </c>
      <c r="V250">
        <f>HYPERLINK("https://klasma.github.io/Logging_0883/klagomål/A 46722-2023 FSC-klagomål.docx", "A 46722-2023")</f>
        <v/>
      </c>
      <c r="W250">
        <f>HYPERLINK("https://klasma.github.io/Logging_0883/klagomålsmail/A 46722-2023 FSC-klagomål mail.docx", "A 46722-2023")</f>
        <v/>
      </c>
      <c r="X250">
        <f>HYPERLINK("https://klasma.github.io/Logging_0883/tillsyn/A 46722-2023 tillsynsbegäran.docx", "A 46722-2023")</f>
        <v/>
      </c>
      <c r="Y250">
        <f>HYPERLINK("https://klasma.github.io/Logging_0883/tillsynsmail/A 46722-2023 tillsynsbegäran mail.docx", "A 46722-2023")</f>
        <v/>
      </c>
    </row>
    <row r="251" ht="15" customHeight="1">
      <c r="A251" t="inlineStr">
        <is>
          <t>A 3600-2025</t>
        </is>
      </c>
      <c r="B251" s="1" t="n">
        <v>45681.34420138889</v>
      </c>
      <c r="C251" s="1" t="n">
        <v>45971</v>
      </c>
      <c r="D251" t="inlineStr">
        <is>
          <t>KALMAR LÄN</t>
        </is>
      </c>
      <c r="E251" t="inlineStr">
        <is>
          <t>VÄSTERVIK</t>
        </is>
      </c>
      <c r="G251" t="n">
        <v>1</v>
      </c>
      <c r="H251" t="n">
        <v>1</v>
      </c>
      <c r="I251" t="n">
        <v>0</v>
      </c>
      <c r="J251" t="n">
        <v>1</v>
      </c>
      <c r="K251" t="n">
        <v>0</v>
      </c>
      <c r="L251" t="n">
        <v>0</v>
      </c>
      <c r="M251" t="n">
        <v>0</v>
      </c>
      <c r="N251" t="n">
        <v>0</v>
      </c>
      <c r="O251" t="n">
        <v>1</v>
      </c>
      <c r="P251" t="n">
        <v>0</v>
      </c>
      <c r="Q251" t="n">
        <v>1</v>
      </c>
      <c r="R251" s="2" t="inlineStr">
        <is>
          <t>Spillkråka</t>
        </is>
      </c>
      <c r="S251">
        <f>HYPERLINK("https://klasma.github.io/Logging_0883/artfynd/A 3600-2025 artfynd.xlsx", "A 3600-2025")</f>
        <v/>
      </c>
      <c r="T251">
        <f>HYPERLINK("https://klasma.github.io/Logging_0883/kartor/A 3600-2025 karta.png", "A 3600-2025")</f>
        <v/>
      </c>
      <c r="V251">
        <f>HYPERLINK("https://klasma.github.io/Logging_0883/klagomål/A 3600-2025 FSC-klagomål.docx", "A 3600-2025")</f>
        <v/>
      </c>
      <c r="W251">
        <f>HYPERLINK("https://klasma.github.io/Logging_0883/klagomålsmail/A 3600-2025 FSC-klagomål mail.docx", "A 3600-2025")</f>
        <v/>
      </c>
      <c r="X251">
        <f>HYPERLINK("https://klasma.github.io/Logging_0883/tillsyn/A 3600-2025 tillsynsbegäran.docx", "A 3600-2025")</f>
        <v/>
      </c>
      <c r="Y251">
        <f>HYPERLINK("https://klasma.github.io/Logging_0883/tillsynsmail/A 3600-2025 tillsynsbegäran mail.docx", "A 3600-2025")</f>
        <v/>
      </c>
      <c r="Z251">
        <f>HYPERLINK("https://klasma.github.io/Logging_0883/fåglar/A 3600-2025 prioriterade fågelarter.docx", "A 3600-2025")</f>
        <v/>
      </c>
    </row>
    <row r="252" ht="15" customHeight="1">
      <c r="A252" t="inlineStr">
        <is>
          <t>A 51488-2024</t>
        </is>
      </c>
      <c r="B252" s="1" t="n">
        <v>45604</v>
      </c>
      <c r="C252" s="1" t="n">
        <v>45971</v>
      </c>
      <c r="D252" t="inlineStr">
        <is>
          <t>KALMAR LÄN</t>
        </is>
      </c>
      <c r="E252" t="inlineStr">
        <is>
          <t>VÄSTERVIK</t>
        </is>
      </c>
      <c r="F252" t="inlineStr">
        <is>
          <t>Övriga Aktiebolag</t>
        </is>
      </c>
      <c r="G252" t="n">
        <v>2.9</v>
      </c>
      <c r="H252" t="n">
        <v>1</v>
      </c>
      <c r="I252" t="n">
        <v>0</v>
      </c>
      <c r="J252" t="n">
        <v>1</v>
      </c>
      <c r="K252" t="n">
        <v>0</v>
      </c>
      <c r="L252" t="n">
        <v>0</v>
      </c>
      <c r="M252" t="n">
        <v>0</v>
      </c>
      <c r="N252" t="n">
        <v>0</v>
      </c>
      <c r="O252" t="n">
        <v>1</v>
      </c>
      <c r="P252" t="n">
        <v>0</v>
      </c>
      <c r="Q252" t="n">
        <v>1</v>
      </c>
      <c r="R252" s="2" t="inlineStr">
        <is>
          <t>Entita</t>
        </is>
      </c>
      <c r="S252">
        <f>HYPERLINK("https://klasma.github.io/Logging_0883/artfynd/A 51488-2024 artfynd.xlsx", "A 51488-2024")</f>
        <v/>
      </c>
      <c r="T252">
        <f>HYPERLINK("https://klasma.github.io/Logging_0883/kartor/A 51488-2024 karta.png", "A 51488-2024")</f>
        <v/>
      </c>
      <c r="V252">
        <f>HYPERLINK("https://klasma.github.io/Logging_0883/klagomål/A 51488-2024 FSC-klagomål.docx", "A 51488-2024")</f>
        <v/>
      </c>
      <c r="W252">
        <f>HYPERLINK("https://klasma.github.io/Logging_0883/klagomålsmail/A 51488-2024 FSC-klagomål mail.docx", "A 51488-2024")</f>
        <v/>
      </c>
      <c r="X252">
        <f>HYPERLINK("https://klasma.github.io/Logging_0883/tillsyn/A 51488-2024 tillsynsbegäran.docx", "A 51488-2024")</f>
        <v/>
      </c>
      <c r="Y252">
        <f>HYPERLINK("https://klasma.github.io/Logging_0883/tillsynsmail/A 51488-2024 tillsynsbegäran mail.docx", "A 51488-2024")</f>
        <v/>
      </c>
      <c r="Z252">
        <f>HYPERLINK("https://klasma.github.io/Logging_0883/fåglar/A 51488-2024 prioriterade fågelarter.docx", "A 51488-2024")</f>
        <v/>
      </c>
    </row>
    <row r="253" ht="15" customHeight="1">
      <c r="A253" t="inlineStr">
        <is>
          <t>A 30794-2025</t>
        </is>
      </c>
      <c r="B253" s="1" t="n">
        <v>45831.63834490741</v>
      </c>
      <c r="C253" s="1" t="n">
        <v>45971</v>
      </c>
      <c r="D253" t="inlineStr">
        <is>
          <t>KALMAR LÄN</t>
        </is>
      </c>
      <c r="E253" t="inlineStr">
        <is>
          <t>VÄSTERVIK</t>
        </is>
      </c>
      <c r="G253" t="n">
        <v>4.8</v>
      </c>
      <c r="H253" t="n">
        <v>0</v>
      </c>
      <c r="I253" t="n">
        <v>0</v>
      </c>
      <c r="J253" t="n">
        <v>1</v>
      </c>
      <c r="K253" t="n">
        <v>0</v>
      </c>
      <c r="L253" t="n">
        <v>0</v>
      </c>
      <c r="M253" t="n">
        <v>0</v>
      </c>
      <c r="N253" t="n">
        <v>0</v>
      </c>
      <c r="O253" t="n">
        <v>1</v>
      </c>
      <c r="P253" t="n">
        <v>0</v>
      </c>
      <c r="Q253" t="n">
        <v>1</v>
      </c>
      <c r="R253" s="2" t="inlineStr">
        <is>
          <t>Tallticka</t>
        </is>
      </c>
      <c r="S253">
        <f>HYPERLINK("https://klasma.github.io/Logging_0883/artfynd/A 30794-2025 artfynd.xlsx", "A 30794-2025")</f>
        <v/>
      </c>
      <c r="T253">
        <f>HYPERLINK("https://klasma.github.io/Logging_0883/kartor/A 30794-2025 karta.png", "A 30794-2025")</f>
        <v/>
      </c>
      <c r="V253">
        <f>HYPERLINK("https://klasma.github.io/Logging_0883/klagomål/A 30794-2025 FSC-klagomål.docx", "A 30794-2025")</f>
        <v/>
      </c>
      <c r="W253">
        <f>HYPERLINK("https://klasma.github.io/Logging_0883/klagomålsmail/A 30794-2025 FSC-klagomål mail.docx", "A 30794-2025")</f>
        <v/>
      </c>
      <c r="X253">
        <f>HYPERLINK("https://klasma.github.io/Logging_0883/tillsyn/A 30794-2025 tillsynsbegäran.docx", "A 30794-2025")</f>
        <v/>
      </c>
      <c r="Y253">
        <f>HYPERLINK("https://klasma.github.io/Logging_0883/tillsynsmail/A 30794-2025 tillsynsbegäran mail.docx", "A 30794-2025")</f>
        <v/>
      </c>
    </row>
    <row r="254" ht="15" customHeight="1">
      <c r="A254" t="inlineStr">
        <is>
          <t>A 20233-2021</t>
        </is>
      </c>
      <c r="B254" s="1" t="n">
        <v>44314</v>
      </c>
      <c r="C254" s="1" t="n">
        <v>45971</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3673-2025</t>
        </is>
      </c>
      <c r="B255" s="1" t="n">
        <v>45681.43706018518</v>
      </c>
      <c r="C255" s="1" t="n">
        <v>45971</v>
      </c>
      <c r="D255" t="inlineStr">
        <is>
          <t>KALMAR LÄN</t>
        </is>
      </c>
      <c r="E255" t="inlineStr">
        <is>
          <t>VÄSTERVIK</t>
        </is>
      </c>
      <c r="G255" t="n">
        <v>1.1</v>
      </c>
      <c r="H255" t="n">
        <v>0</v>
      </c>
      <c r="I255" t="n">
        <v>1</v>
      </c>
      <c r="J255" t="n">
        <v>0</v>
      </c>
      <c r="K255" t="n">
        <v>0</v>
      </c>
      <c r="L255" t="n">
        <v>0</v>
      </c>
      <c r="M255" t="n">
        <v>0</v>
      </c>
      <c r="N255" t="n">
        <v>0</v>
      </c>
      <c r="O255" t="n">
        <v>0</v>
      </c>
      <c r="P255" t="n">
        <v>0</v>
      </c>
      <c r="Q255" t="n">
        <v>1</v>
      </c>
      <c r="R255" s="2" t="inlineStr">
        <is>
          <t>Blodticka</t>
        </is>
      </c>
      <c r="S255">
        <f>HYPERLINK("https://klasma.github.io/Logging_0883/artfynd/A 3673-2025 artfynd.xlsx", "A 3673-2025")</f>
        <v/>
      </c>
      <c r="T255">
        <f>HYPERLINK("https://klasma.github.io/Logging_0883/kartor/A 3673-2025 karta.png", "A 3673-2025")</f>
        <v/>
      </c>
      <c r="V255">
        <f>HYPERLINK("https://klasma.github.io/Logging_0883/klagomål/A 3673-2025 FSC-klagomål.docx", "A 3673-2025")</f>
        <v/>
      </c>
      <c r="W255">
        <f>HYPERLINK("https://klasma.github.io/Logging_0883/klagomålsmail/A 3673-2025 FSC-klagomål mail.docx", "A 3673-2025")</f>
        <v/>
      </c>
      <c r="X255">
        <f>HYPERLINK("https://klasma.github.io/Logging_0883/tillsyn/A 3673-2025 tillsynsbegäran.docx", "A 3673-2025")</f>
        <v/>
      </c>
      <c r="Y255">
        <f>HYPERLINK("https://klasma.github.io/Logging_0883/tillsynsmail/A 3673-2025 tillsynsbegäran mail.docx", "A 3673-2025")</f>
        <v/>
      </c>
    </row>
    <row r="256" ht="15" customHeight="1">
      <c r="A256" t="inlineStr">
        <is>
          <t>A 53129-2025</t>
        </is>
      </c>
      <c r="B256" s="1" t="n">
        <v>45958.46118055555</v>
      </c>
      <c r="C256" s="1" t="n">
        <v>45971</v>
      </c>
      <c r="D256" t="inlineStr">
        <is>
          <t>KALMAR LÄN</t>
        </is>
      </c>
      <c r="E256" t="inlineStr">
        <is>
          <t>VÄSTERVIK</t>
        </is>
      </c>
      <c r="G256" t="n">
        <v>4.1</v>
      </c>
      <c r="H256" t="n">
        <v>1</v>
      </c>
      <c r="I256" t="n">
        <v>1</v>
      </c>
      <c r="J256" t="n">
        <v>0</v>
      </c>
      <c r="K256" t="n">
        <v>0</v>
      </c>
      <c r="L256" t="n">
        <v>0</v>
      </c>
      <c r="M256" t="n">
        <v>0</v>
      </c>
      <c r="N256" t="n">
        <v>0</v>
      </c>
      <c r="O256" t="n">
        <v>0</v>
      </c>
      <c r="P256" t="n">
        <v>0</v>
      </c>
      <c r="Q256" t="n">
        <v>1</v>
      </c>
      <c r="R256" s="2" t="inlineStr">
        <is>
          <t>Skogsknipprot</t>
        </is>
      </c>
      <c r="S256">
        <f>HYPERLINK("https://klasma.github.io/Logging_0883/artfynd/A 53129-2025 artfynd.xlsx", "A 53129-2025")</f>
        <v/>
      </c>
      <c r="T256">
        <f>HYPERLINK("https://klasma.github.io/Logging_0883/kartor/A 53129-2025 karta.png", "A 53129-2025")</f>
        <v/>
      </c>
      <c r="V256">
        <f>HYPERLINK("https://klasma.github.io/Logging_0883/klagomål/A 53129-2025 FSC-klagomål.docx", "A 53129-2025")</f>
        <v/>
      </c>
      <c r="W256">
        <f>HYPERLINK("https://klasma.github.io/Logging_0883/klagomålsmail/A 53129-2025 FSC-klagomål mail.docx", "A 53129-2025")</f>
        <v/>
      </c>
      <c r="X256">
        <f>HYPERLINK("https://klasma.github.io/Logging_0883/tillsyn/A 53129-2025 tillsynsbegäran.docx", "A 53129-2025")</f>
        <v/>
      </c>
      <c r="Y256">
        <f>HYPERLINK("https://klasma.github.io/Logging_0883/tillsynsmail/A 53129-2025 tillsynsbegäran mail.docx", "A 53129-2025")</f>
        <v/>
      </c>
    </row>
    <row r="257" ht="15" customHeight="1">
      <c r="A257" t="inlineStr">
        <is>
          <t>A 44618-2025</t>
        </is>
      </c>
      <c r="B257" s="1" t="n">
        <v>45917.46385416666</v>
      </c>
      <c r="C257" s="1" t="n">
        <v>45971</v>
      </c>
      <c r="D257" t="inlineStr">
        <is>
          <t>KALMAR LÄN</t>
        </is>
      </c>
      <c r="E257" t="inlineStr">
        <is>
          <t>VÄSTERVIK</t>
        </is>
      </c>
      <c r="F257" t="inlineStr">
        <is>
          <t>Övriga Aktiebolag</t>
        </is>
      </c>
      <c r="G257" t="n">
        <v>6.9</v>
      </c>
      <c r="H257" t="n">
        <v>1</v>
      </c>
      <c r="I257" t="n">
        <v>0</v>
      </c>
      <c r="J257" t="n">
        <v>1</v>
      </c>
      <c r="K257" t="n">
        <v>0</v>
      </c>
      <c r="L257" t="n">
        <v>0</v>
      </c>
      <c r="M257" t="n">
        <v>0</v>
      </c>
      <c r="N257" t="n">
        <v>0</v>
      </c>
      <c r="O257" t="n">
        <v>1</v>
      </c>
      <c r="P257" t="n">
        <v>0</v>
      </c>
      <c r="Q257" t="n">
        <v>1</v>
      </c>
      <c r="R257" s="2" t="inlineStr">
        <is>
          <t>Havsörn</t>
        </is>
      </c>
      <c r="S257">
        <f>HYPERLINK("https://klasma.github.io/Logging_0883/artfynd/A 44618-2025 artfynd.xlsx", "A 44618-2025")</f>
        <v/>
      </c>
      <c r="T257">
        <f>HYPERLINK("https://klasma.github.io/Logging_0883/kartor/A 44618-2025 karta.png", "A 44618-2025")</f>
        <v/>
      </c>
      <c r="V257">
        <f>HYPERLINK("https://klasma.github.io/Logging_0883/klagomål/A 44618-2025 FSC-klagomål.docx", "A 44618-2025")</f>
        <v/>
      </c>
      <c r="W257">
        <f>HYPERLINK("https://klasma.github.io/Logging_0883/klagomålsmail/A 44618-2025 FSC-klagomål mail.docx", "A 44618-2025")</f>
        <v/>
      </c>
      <c r="X257">
        <f>HYPERLINK("https://klasma.github.io/Logging_0883/tillsyn/A 44618-2025 tillsynsbegäran.docx", "A 44618-2025")</f>
        <v/>
      </c>
      <c r="Y257">
        <f>HYPERLINK("https://klasma.github.io/Logging_0883/tillsynsmail/A 44618-2025 tillsynsbegäran mail.docx", "A 44618-2025")</f>
        <v/>
      </c>
      <c r="Z257">
        <f>HYPERLINK("https://klasma.github.io/Logging_0883/fåglar/A 44618-2025 prioriterade fågelarter.docx", "A 44618-2025")</f>
        <v/>
      </c>
    </row>
    <row r="258" ht="15" customHeight="1">
      <c r="A258" t="inlineStr">
        <is>
          <t>A 44865-2025</t>
        </is>
      </c>
      <c r="B258" s="1" t="n">
        <v>45918.46114583333</v>
      </c>
      <c r="C258" s="1" t="n">
        <v>45971</v>
      </c>
      <c r="D258" t="inlineStr">
        <is>
          <t>KALMAR LÄN</t>
        </is>
      </c>
      <c r="E258" t="inlineStr">
        <is>
          <t>VÄSTERVIK</t>
        </is>
      </c>
      <c r="G258" t="n">
        <v>1.1</v>
      </c>
      <c r="H258" t="n">
        <v>1</v>
      </c>
      <c r="I258" t="n">
        <v>0</v>
      </c>
      <c r="J258" t="n">
        <v>0</v>
      </c>
      <c r="K258" t="n">
        <v>1</v>
      </c>
      <c r="L258" t="n">
        <v>0</v>
      </c>
      <c r="M258" t="n">
        <v>0</v>
      </c>
      <c r="N258" t="n">
        <v>0</v>
      </c>
      <c r="O258" t="n">
        <v>1</v>
      </c>
      <c r="P258" t="n">
        <v>1</v>
      </c>
      <c r="Q258" t="n">
        <v>1</v>
      </c>
      <c r="R258" s="2" t="inlineStr">
        <is>
          <t>Knärot</t>
        </is>
      </c>
      <c r="S258">
        <f>HYPERLINK("https://klasma.github.io/Logging_0883/artfynd/A 44865-2025 artfynd.xlsx", "A 44865-2025")</f>
        <v/>
      </c>
      <c r="T258">
        <f>HYPERLINK("https://klasma.github.io/Logging_0883/kartor/A 44865-2025 karta.png", "A 44865-2025")</f>
        <v/>
      </c>
      <c r="U258">
        <f>HYPERLINK("https://klasma.github.io/Logging_0883/knärot/A 44865-2025 karta knärot.png", "A 44865-2025")</f>
        <v/>
      </c>
      <c r="V258">
        <f>HYPERLINK("https://klasma.github.io/Logging_0883/klagomål/A 44865-2025 FSC-klagomål.docx", "A 44865-2025")</f>
        <v/>
      </c>
      <c r="W258">
        <f>HYPERLINK("https://klasma.github.io/Logging_0883/klagomålsmail/A 44865-2025 FSC-klagomål mail.docx", "A 44865-2025")</f>
        <v/>
      </c>
      <c r="X258">
        <f>HYPERLINK("https://klasma.github.io/Logging_0883/tillsyn/A 44865-2025 tillsynsbegäran.docx", "A 44865-2025")</f>
        <v/>
      </c>
      <c r="Y258">
        <f>HYPERLINK("https://klasma.github.io/Logging_0883/tillsynsmail/A 44865-2025 tillsynsbegäran mail.docx", "A 44865-2025")</f>
        <v/>
      </c>
    </row>
    <row r="259" ht="15" customHeight="1">
      <c r="A259" t="inlineStr">
        <is>
          <t>A 33916-2025</t>
        </is>
      </c>
      <c r="B259" s="1" t="n">
        <v>45842.61306712963</v>
      </c>
      <c r="C259" s="1" t="n">
        <v>45971</v>
      </c>
      <c r="D259" t="inlineStr">
        <is>
          <t>KALMAR LÄN</t>
        </is>
      </c>
      <c r="E259" t="inlineStr">
        <is>
          <t>VÄSTERVIK</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HYPERLINK("https://klasma.github.io/Logging_0883/artfynd/A 33916-2025 artfynd.xlsx", "A 33916-2025")</f>
        <v/>
      </c>
      <c r="T259">
        <f>HYPERLINK("https://klasma.github.io/Logging_0883/kartor/A 33916-2025 karta.png", "A 33916-2025")</f>
        <v/>
      </c>
      <c r="V259">
        <f>HYPERLINK("https://klasma.github.io/Logging_0883/klagomål/A 33916-2025 FSC-klagomål.docx", "A 33916-2025")</f>
        <v/>
      </c>
      <c r="W259">
        <f>HYPERLINK("https://klasma.github.io/Logging_0883/klagomålsmail/A 33916-2025 FSC-klagomål mail.docx", "A 33916-2025")</f>
        <v/>
      </c>
      <c r="X259">
        <f>HYPERLINK("https://klasma.github.io/Logging_0883/tillsyn/A 33916-2025 tillsynsbegäran.docx", "A 33916-2025")</f>
        <v/>
      </c>
      <c r="Y259">
        <f>HYPERLINK("https://klasma.github.io/Logging_0883/tillsynsmail/A 33916-2025 tillsynsbegäran mail.docx", "A 33916-2025")</f>
        <v/>
      </c>
      <c r="Z259">
        <f>HYPERLINK("https://klasma.github.io/Logging_0883/fåglar/A 33916-2025 prioriterade fågelarter.docx", "A 33916-2025")</f>
        <v/>
      </c>
    </row>
    <row r="260" ht="15" customHeight="1">
      <c r="A260" t="inlineStr">
        <is>
          <t>A 11165-2024</t>
        </is>
      </c>
      <c r="B260" s="1" t="n">
        <v>45371</v>
      </c>
      <c r="C260" s="1" t="n">
        <v>45971</v>
      </c>
      <c r="D260" t="inlineStr">
        <is>
          <t>KALMAR LÄN</t>
        </is>
      </c>
      <c r="E260" t="inlineStr">
        <is>
          <t>VÄSTERVIK</t>
        </is>
      </c>
      <c r="G260" t="n">
        <v>3.7</v>
      </c>
      <c r="H260" t="n">
        <v>1</v>
      </c>
      <c r="I260" t="n">
        <v>0</v>
      </c>
      <c r="J260" t="n">
        <v>1</v>
      </c>
      <c r="K260" t="n">
        <v>0</v>
      </c>
      <c r="L260" t="n">
        <v>0</v>
      </c>
      <c r="M260" t="n">
        <v>0</v>
      </c>
      <c r="N260" t="n">
        <v>0</v>
      </c>
      <c r="O260" t="n">
        <v>1</v>
      </c>
      <c r="P260" t="n">
        <v>0</v>
      </c>
      <c r="Q260" t="n">
        <v>1</v>
      </c>
      <c r="R260" s="2" t="inlineStr">
        <is>
          <t>Spillkråka</t>
        </is>
      </c>
      <c r="S260">
        <f>HYPERLINK("https://klasma.github.io/Logging_0883/artfynd/A 11165-2024 artfynd.xlsx", "A 11165-2024")</f>
        <v/>
      </c>
      <c r="T260">
        <f>HYPERLINK("https://klasma.github.io/Logging_0883/kartor/A 11165-2024 karta.png", "A 11165-2024")</f>
        <v/>
      </c>
      <c r="V260">
        <f>HYPERLINK("https://klasma.github.io/Logging_0883/klagomål/A 11165-2024 FSC-klagomål.docx", "A 11165-2024")</f>
        <v/>
      </c>
      <c r="W260">
        <f>HYPERLINK("https://klasma.github.io/Logging_0883/klagomålsmail/A 11165-2024 FSC-klagomål mail.docx", "A 11165-2024")</f>
        <v/>
      </c>
      <c r="X260">
        <f>HYPERLINK("https://klasma.github.io/Logging_0883/tillsyn/A 11165-2024 tillsynsbegäran.docx", "A 11165-2024")</f>
        <v/>
      </c>
      <c r="Y260">
        <f>HYPERLINK("https://klasma.github.io/Logging_0883/tillsynsmail/A 11165-2024 tillsynsbegäran mail.docx", "A 11165-2024")</f>
        <v/>
      </c>
      <c r="Z260">
        <f>HYPERLINK("https://klasma.github.io/Logging_0883/fåglar/A 11165-2024 prioriterade fågelarter.docx", "A 11165-2024")</f>
        <v/>
      </c>
    </row>
    <row r="261" ht="15" customHeight="1">
      <c r="A261" t="inlineStr">
        <is>
          <t>A 3057-2025</t>
        </is>
      </c>
      <c r="B261" s="1" t="n">
        <v>45678</v>
      </c>
      <c r="C261" s="1" t="n">
        <v>45971</v>
      </c>
      <c r="D261" t="inlineStr">
        <is>
          <t>KALMAR LÄN</t>
        </is>
      </c>
      <c r="E261" t="inlineStr">
        <is>
          <t>VÄSTERVIK</t>
        </is>
      </c>
      <c r="G261" t="n">
        <v>1</v>
      </c>
      <c r="H261" t="n">
        <v>1</v>
      </c>
      <c r="I261" t="n">
        <v>0</v>
      </c>
      <c r="J261" t="n">
        <v>0</v>
      </c>
      <c r="K261" t="n">
        <v>1</v>
      </c>
      <c r="L261" t="n">
        <v>0</v>
      </c>
      <c r="M261" t="n">
        <v>0</v>
      </c>
      <c r="N261" t="n">
        <v>0</v>
      </c>
      <c r="O261" t="n">
        <v>1</v>
      </c>
      <c r="P261" t="n">
        <v>1</v>
      </c>
      <c r="Q261" t="n">
        <v>1</v>
      </c>
      <c r="R261" s="2" t="inlineStr">
        <is>
          <t>Knärot</t>
        </is>
      </c>
      <c r="S261">
        <f>HYPERLINK("https://klasma.github.io/Logging_0883/artfynd/A 3057-2025 artfynd.xlsx", "A 3057-2025")</f>
        <v/>
      </c>
      <c r="T261">
        <f>HYPERLINK("https://klasma.github.io/Logging_0883/kartor/A 3057-2025 karta.png", "A 3057-2025")</f>
        <v/>
      </c>
      <c r="U261">
        <f>HYPERLINK("https://klasma.github.io/Logging_0883/knärot/A 3057-2025 karta knärot.png", "A 3057-2025")</f>
        <v/>
      </c>
      <c r="V261">
        <f>HYPERLINK("https://klasma.github.io/Logging_0883/klagomål/A 3057-2025 FSC-klagomål.docx", "A 3057-2025")</f>
        <v/>
      </c>
      <c r="W261">
        <f>HYPERLINK("https://klasma.github.io/Logging_0883/klagomålsmail/A 3057-2025 FSC-klagomål mail.docx", "A 3057-2025")</f>
        <v/>
      </c>
      <c r="X261">
        <f>HYPERLINK("https://klasma.github.io/Logging_0883/tillsyn/A 3057-2025 tillsynsbegäran.docx", "A 3057-2025")</f>
        <v/>
      </c>
      <c r="Y261">
        <f>HYPERLINK("https://klasma.github.io/Logging_0883/tillsynsmail/A 3057-2025 tillsynsbegäran mail.docx", "A 3057-2025")</f>
        <v/>
      </c>
    </row>
    <row r="262" ht="15" customHeight="1">
      <c r="A262" t="inlineStr">
        <is>
          <t>A 34168-2025</t>
        </is>
      </c>
      <c r="B262" s="1" t="n">
        <v>45845.58349537037</v>
      </c>
      <c r="C262" s="1" t="n">
        <v>45971</v>
      </c>
      <c r="D262" t="inlineStr">
        <is>
          <t>KALMAR LÄN</t>
        </is>
      </c>
      <c r="E262" t="inlineStr">
        <is>
          <t>VÄSTERVIK</t>
        </is>
      </c>
      <c r="G262" t="n">
        <v>2.7</v>
      </c>
      <c r="H262" t="n">
        <v>1</v>
      </c>
      <c r="I262" t="n">
        <v>0</v>
      </c>
      <c r="J262" t="n">
        <v>1</v>
      </c>
      <c r="K262" t="n">
        <v>0</v>
      </c>
      <c r="L262" t="n">
        <v>0</v>
      </c>
      <c r="M262" t="n">
        <v>0</v>
      </c>
      <c r="N262" t="n">
        <v>0</v>
      </c>
      <c r="O262" t="n">
        <v>1</v>
      </c>
      <c r="P262" t="n">
        <v>0</v>
      </c>
      <c r="Q262" t="n">
        <v>1</v>
      </c>
      <c r="R262" s="2" t="inlineStr">
        <is>
          <t>Grönsångare</t>
        </is>
      </c>
      <c r="S262">
        <f>HYPERLINK("https://klasma.github.io/Logging_0883/artfynd/A 34168-2025 artfynd.xlsx", "A 34168-2025")</f>
        <v/>
      </c>
      <c r="T262">
        <f>HYPERLINK("https://klasma.github.io/Logging_0883/kartor/A 34168-2025 karta.png", "A 34168-2025")</f>
        <v/>
      </c>
      <c r="V262">
        <f>HYPERLINK("https://klasma.github.io/Logging_0883/klagomål/A 34168-2025 FSC-klagomål.docx", "A 34168-2025")</f>
        <v/>
      </c>
      <c r="W262">
        <f>HYPERLINK("https://klasma.github.io/Logging_0883/klagomålsmail/A 34168-2025 FSC-klagomål mail.docx", "A 34168-2025")</f>
        <v/>
      </c>
      <c r="X262">
        <f>HYPERLINK("https://klasma.github.io/Logging_0883/tillsyn/A 34168-2025 tillsynsbegäran.docx", "A 34168-2025")</f>
        <v/>
      </c>
      <c r="Y262">
        <f>HYPERLINK("https://klasma.github.io/Logging_0883/tillsynsmail/A 34168-2025 tillsynsbegäran mail.docx", "A 34168-2025")</f>
        <v/>
      </c>
      <c r="Z262">
        <f>HYPERLINK("https://klasma.github.io/Logging_0883/fåglar/A 34168-2025 prioriterade fågelarter.docx", "A 34168-2025")</f>
        <v/>
      </c>
    </row>
    <row r="263" ht="15" customHeight="1">
      <c r="A263" t="inlineStr">
        <is>
          <t>A 34166-2025</t>
        </is>
      </c>
      <c r="B263" s="1" t="n">
        <v>45845.5819675926</v>
      </c>
      <c r="C263" s="1" t="n">
        <v>45971</v>
      </c>
      <c r="D263" t="inlineStr">
        <is>
          <t>KALMAR LÄN</t>
        </is>
      </c>
      <c r="E263" t="inlineStr">
        <is>
          <t>VÄSTERVIK</t>
        </is>
      </c>
      <c r="G263" t="n">
        <v>3.5</v>
      </c>
      <c r="H263" t="n">
        <v>0</v>
      </c>
      <c r="I263" t="n">
        <v>0</v>
      </c>
      <c r="J263" t="n">
        <v>0</v>
      </c>
      <c r="K263" t="n">
        <v>0</v>
      </c>
      <c r="L263" t="n">
        <v>0</v>
      </c>
      <c r="M263" t="n">
        <v>1</v>
      </c>
      <c r="N263" t="n">
        <v>0</v>
      </c>
      <c r="O263" t="n">
        <v>1</v>
      </c>
      <c r="P263" t="n">
        <v>1</v>
      </c>
      <c r="Q263" t="n">
        <v>1</v>
      </c>
      <c r="R263" s="2" t="inlineStr">
        <is>
          <t>Skogsalm</t>
        </is>
      </c>
      <c r="S263">
        <f>HYPERLINK("https://klasma.github.io/Logging_0883/artfynd/A 34166-2025 artfynd.xlsx", "A 34166-2025")</f>
        <v/>
      </c>
      <c r="T263">
        <f>HYPERLINK("https://klasma.github.io/Logging_0883/kartor/A 34166-2025 karta.png", "A 34166-2025")</f>
        <v/>
      </c>
      <c r="V263">
        <f>HYPERLINK("https://klasma.github.io/Logging_0883/klagomål/A 34166-2025 FSC-klagomål.docx", "A 34166-2025")</f>
        <v/>
      </c>
      <c r="W263">
        <f>HYPERLINK("https://klasma.github.io/Logging_0883/klagomålsmail/A 34166-2025 FSC-klagomål mail.docx", "A 34166-2025")</f>
        <v/>
      </c>
      <c r="X263">
        <f>HYPERLINK("https://klasma.github.io/Logging_0883/tillsyn/A 34166-2025 tillsynsbegäran.docx", "A 34166-2025")</f>
        <v/>
      </c>
      <c r="Y263">
        <f>HYPERLINK("https://klasma.github.io/Logging_0883/tillsynsmail/A 34166-2025 tillsynsbegäran mail.docx", "A 34166-2025")</f>
        <v/>
      </c>
    </row>
    <row r="264" ht="15" customHeight="1">
      <c r="A264" t="inlineStr">
        <is>
          <t>A 34212-2025</t>
        </is>
      </c>
      <c r="B264" s="1" t="n">
        <v>45845.64383101852</v>
      </c>
      <c r="C264" s="1" t="n">
        <v>45971</v>
      </c>
      <c r="D264" t="inlineStr">
        <is>
          <t>KALMAR LÄN</t>
        </is>
      </c>
      <c r="E264" t="inlineStr">
        <is>
          <t>VÄSTERVIK</t>
        </is>
      </c>
      <c r="G264" t="n">
        <v>6.4</v>
      </c>
      <c r="H264" t="n">
        <v>0</v>
      </c>
      <c r="I264" t="n">
        <v>1</v>
      </c>
      <c r="J264" t="n">
        <v>0</v>
      </c>
      <c r="K264" t="n">
        <v>0</v>
      </c>
      <c r="L264" t="n">
        <v>0</v>
      </c>
      <c r="M264" t="n">
        <v>0</v>
      </c>
      <c r="N264" t="n">
        <v>0</v>
      </c>
      <c r="O264" t="n">
        <v>0</v>
      </c>
      <c r="P264" t="n">
        <v>0</v>
      </c>
      <c r="Q264" t="n">
        <v>1</v>
      </c>
      <c r="R264" s="2" t="inlineStr">
        <is>
          <t>Blåmossa</t>
        </is>
      </c>
      <c r="S264">
        <f>HYPERLINK("https://klasma.github.io/Logging_0883/artfynd/A 34212-2025 artfynd.xlsx", "A 34212-2025")</f>
        <v/>
      </c>
      <c r="T264">
        <f>HYPERLINK("https://klasma.github.io/Logging_0883/kartor/A 34212-2025 karta.png", "A 34212-2025")</f>
        <v/>
      </c>
      <c r="V264">
        <f>HYPERLINK("https://klasma.github.io/Logging_0883/klagomål/A 34212-2025 FSC-klagomål.docx", "A 34212-2025")</f>
        <v/>
      </c>
      <c r="W264">
        <f>HYPERLINK("https://klasma.github.io/Logging_0883/klagomålsmail/A 34212-2025 FSC-klagomål mail.docx", "A 34212-2025")</f>
        <v/>
      </c>
      <c r="X264">
        <f>HYPERLINK("https://klasma.github.io/Logging_0883/tillsyn/A 34212-2025 tillsynsbegäran.docx", "A 34212-2025")</f>
        <v/>
      </c>
      <c r="Y264">
        <f>HYPERLINK("https://klasma.github.io/Logging_0883/tillsynsmail/A 34212-2025 tillsynsbegäran mail.docx", "A 34212-2025")</f>
        <v/>
      </c>
    </row>
    <row r="265" ht="15" customHeight="1">
      <c r="A265" t="inlineStr">
        <is>
          <t>A 53875-2025</t>
        </is>
      </c>
      <c r="B265" s="1" t="n">
        <v>45961.3937962963</v>
      </c>
      <c r="C265" s="1" t="n">
        <v>45971</v>
      </c>
      <c r="D265" t="inlineStr">
        <is>
          <t>KALMAR LÄN</t>
        </is>
      </c>
      <c r="E265" t="inlineStr">
        <is>
          <t>VÄSTERVIK</t>
        </is>
      </c>
      <c r="F265" t="inlineStr">
        <is>
          <t>Sveaskog</t>
        </is>
      </c>
      <c r="G265" t="n">
        <v>4.2</v>
      </c>
      <c r="H265" t="n">
        <v>1</v>
      </c>
      <c r="I265" t="n">
        <v>0</v>
      </c>
      <c r="J265" t="n">
        <v>0</v>
      </c>
      <c r="K265" t="n">
        <v>0</v>
      </c>
      <c r="L265" t="n">
        <v>0</v>
      </c>
      <c r="M265" t="n">
        <v>0</v>
      </c>
      <c r="N265" t="n">
        <v>0</v>
      </c>
      <c r="O265" t="n">
        <v>0</v>
      </c>
      <c r="P265" t="n">
        <v>0</v>
      </c>
      <c r="Q265" t="n">
        <v>1</v>
      </c>
      <c r="R265" s="2" t="inlineStr">
        <is>
          <t>Blåsippa</t>
        </is>
      </c>
      <c r="S265">
        <f>HYPERLINK("https://klasma.github.io/Logging_0883/artfynd/A 53875-2025 artfynd.xlsx", "A 53875-2025")</f>
        <v/>
      </c>
      <c r="T265">
        <f>HYPERLINK("https://klasma.github.io/Logging_0883/kartor/A 53875-2025 karta.png", "A 53875-2025")</f>
        <v/>
      </c>
      <c r="V265">
        <f>HYPERLINK("https://klasma.github.io/Logging_0883/klagomål/A 53875-2025 FSC-klagomål.docx", "A 53875-2025")</f>
        <v/>
      </c>
      <c r="W265">
        <f>HYPERLINK("https://klasma.github.io/Logging_0883/klagomålsmail/A 53875-2025 FSC-klagomål mail.docx", "A 53875-2025")</f>
        <v/>
      </c>
      <c r="X265">
        <f>HYPERLINK("https://klasma.github.io/Logging_0883/tillsyn/A 53875-2025 tillsynsbegäran.docx", "A 53875-2025")</f>
        <v/>
      </c>
      <c r="Y265">
        <f>HYPERLINK("https://klasma.github.io/Logging_0883/tillsynsmail/A 53875-2025 tillsynsbegäran mail.docx", "A 53875-2025")</f>
        <v/>
      </c>
    </row>
    <row r="266" ht="15" customHeight="1">
      <c r="A266" t="inlineStr">
        <is>
          <t>A 1176-2024</t>
        </is>
      </c>
      <c r="B266" s="1" t="n">
        <v>45302</v>
      </c>
      <c r="C266" s="1" t="n">
        <v>45971</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1176-2024 artfynd.xlsx", "A 1176-2024")</f>
        <v/>
      </c>
      <c r="T266">
        <f>HYPERLINK("https://klasma.github.io/Logging_0883/kartor/A 1176-2024 karta.png", "A 1176-2024")</f>
        <v/>
      </c>
      <c r="V266">
        <f>HYPERLINK("https://klasma.github.io/Logging_0883/klagomål/A 1176-2024 FSC-klagomål.docx", "A 1176-2024")</f>
        <v/>
      </c>
      <c r="W266">
        <f>HYPERLINK("https://klasma.github.io/Logging_0883/klagomålsmail/A 1176-2024 FSC-klagomål mail.docx", "A 1176-2024")</f>
        <v/>
      </c>
      <c r="X266">
        <f>HYPERLINK("https://klasma.github.io/Logging_0883/tillsyn/A 1176-2024 tillsynsbegäran.docx", "A 1176-2024")</f>
        <v/>
      </c>
      <c r="Y266">
        <f>HYPERLINK("https://klasma.github.io/Logging_0883/tillsynsmail/A 1176-2024 tillsynsbegäran mail.docx", "A 1176-2024")</f>
        <v/>
      </c>
    </row>
    <row r="267" ht="15" customHeight="1">
      <c r="A267" t="inlineStr">
        <is>
          <t>A 11195-2024</t>
        </is>
      </c>
      <c r="B267" s="1" t="n">
        <v>45371</v>
      </c>
      <c r="C267" s="1" t="n">
        <v>45971</v>
      </c>
      <c r="D267" t="inlineStr">
        <is>
          <t>KALMAR LÄN</t>
        </is>
      </c>
      <c r="E267" t="inlineStr">
        <is>
          <t>VÄSTERVIK</t>
        </is>
      </c>
      <c r="G267" t="n">
        <v>1.9</v>
      </c>
      <c r="H267" t="n">
        <v>1</v>
      </c>
      <c r="I267" t="n">
        <v>0</v>
      </c>
      <c r="J267" t="n">
        <v>0</v>
      </c>
      <c r="K267" t="n">
        <v>1</v>
      </c>
      <c r="L267" t="n">
        <v>0</v>
      </c>
      <c r="M267" t="n">
        <v>0</v>
      </c>
      <c r="N267" t="n">
        <v>0</v>
      </c>
      <c r="O267" t="n">
        <v>1</v>
      </c>
      <c r="P267" t="n">
        <v>1</v>
      </c>
      <c r="Q267" t="n">
        <v>1</v>
      </c>
      <c r="R267" s="2" t="inlineStr">
        <is>
          <t>Knärot</t>
        </is>
      </c>
      <c r="S267">
        <f>HYPERLINK("https://klasma.github.io/Logging_0883/artfynd/A 11195-2024 artfynd.xlsx", "A 11195-2024")</f>
        <v/>
      </c>
      <c r="T267">
        <f>HYPERLINK("https://klasma.github.io/Logging_0883/kartor/A 11195-2024 karta.png", "A 11195-2024")</f>
        <v/>
      </c>
      <c r="U267">
        <f>HYPERLINK("https://klasma.github.io/Logging_0883/knärot/A 11195-2024 karta knärot.png", "A 11195-2024")</f>
        <v/>
      </c>
      <c r="V267">
        <f>HYPERLINK("https://klasma.github.io/Logging_0883/klagomål/A 11195-2024 FSC-klagomål.docx", "A 11195-2024")</f>
        <v/>
      </c>
      <c r="W267">
        <f>HYPERLINK("https://klasma.github.io/Logging_0883/klagomålsmail/A 11195-2024 FSC-klagomål mail.docx", "A 11195-2024")</f>
        <v/>
      </c>
      <c r="X267">
        <f>HYPERLINK("https://klasma.github.io/Logging_0883/tillsyn/A 11195-2024 tillsynsbegäran.docx", "A 11195-2024")</f>
        <v/>
      </c>
      <c r="Y267">
        <f>HYPERLINK("https://klasma.github.io/Logging_0883/tillsynsmail/A 11195-2024 tillsynsbegäran mail.docx", "A 11195-2024")</f>
        <v/>
      </c>
    </row>
    <row r="268" ht="15" customHeight="1">
      <c r="A268" t="inlineStr">
        <is>
          <t>A 53860-2025</t>
        </is>
      </c>
      <c r="B268" s="1" t="n">
        <v>45961.37815972222</v>
      </c>
      <c r="C268" s="1" t="n">
        <v>45971</v>
      </c>
      <c r="D268" t="inlineStr">
        <is>
          <t>KALMAR LÄN</t>
        </is>
      </c>
      <c r="E268" t="inlineStr">
        <is>
          <t>VÄSTERVIK</t>
        </is>
      </c>
      <c r="F268" t="inlineStr">
        <is>
          <t>Sveaskog</t>
        </is>
      </c>
      <c r="G268" t="n">
        <v>1.7</v>
      </c>
      <c r="H268" t="n">
        <v>1</v>
      </c>
      <c r="I268" t="n">
        <v>0</v>
      </c>
      <c r="J268" t="n">
        <v>0</v>
      </c>
      <c r="K268" t="n">
        <v>0</v>
      </c>
      <c r="L268" t="n">
        <v>0</v>
      </c>
      <c r="M268" t="n">
        <v>0</v>
      </c>
      <c r="N268" t="n">
        <v>0</v>
      </c>
      <c r="O268" t="n">
        <v>0</v>
      </c>
      <c r="P268" t="n">
        <v>0</v>
      </c>
      <c r="Q268" t="n">
        <v>1</v>
      </c>
      <c r="R268" s="2" t="inlineStr">
        <is>
          <t>Blåsippa</t>
        </is>
      </c>
      <c r="S268">
        <f>HYPERLINK("https://klasma.github.io/Logging_0883/artfynd/A 53860-2025 artfynd.xlsx", "A 53860-2025")</f>
        <v/>
      </c>
      <c r="T268">
        <f>HYPERLINK("https://klasma.github.io/Logging_0883/kartor/A 53860-2025 karta.png", "A 53860-2025")</f>
        <v/>
      </c>
      <c r="V268">
        <f>HYPERLINK("https://klasma.github.io/Logging_0883/klagomål/A 53860-2025 FSC-klagomål.docx", "A 53860-2025")</f>
        <v/>
      </c>
      <c r="W268">
        <f>HYPERLINK("https://klasma.github.io/Logging_0883/klagomålsmail/A 53860-2025 FSC-klagomål mail.docx", "A 53860-2025")</f>
        <v/>
      </c>
      <c r="X268">
        <f>HYPERLINK("https://klasma.github.io/Logging_0883/tillsyn/A 53860-2025 tillsynsbegäran.docx", "A 53860-2025")</f>
        <v/>
      </c>
      <c r="Y268">
        <f>HYPERLINK("https://klasma.github.io/Logging_0883/tillsynsmail/A 53860-2025 tillsynsbegäran mail.docx", "A 53860-2025")</f>
        <v/>
      </c>
    </row>
    <row r="269" ht="15" customHeight="1">
      <c r="A269" t="inlineStr">
        <is>
          <t>A 35028-2024</t>
        </is>
      </c>
      <c r="B269" s="1" t="n">
        <v>45527.60524305556</v>
      </c>
      <c r="C269" s="1" t="n">
        <v>45971</v>
      </c>
      <c r="D269" t="inlineStr">
        <is>
          <t>KALMAR LÄN</t>
        </is>
      </c>
      <c r="E269" t="inlineStr">
        <is>
          <t>VÄSTERVIK</t>
        </is>
      </c>
      <c r="G269" t="n">
        <v>1.3</v>
      </c>
      <c r="H269" t="n">
        <v>0</v>
      </c>
      <c r="I269" t="n">
        <v>1</v>
      </c>
      <c r="J269" t="n">
        <v>0</v>
      </c>
      <c r="K269" t="n">
        <v>0</v>
      </c>
      <c r="L269" t="n">
        <v>0</v>
      </c>
      <c r="M269" t="n">
        <v>0</v>
      </c>
      <c r="N269" t="n">
        <v>0</v>
      </c>
      <c r="O269" t="n">
        <v>0</v>
      </c>
      <c r="P269" t="n">
        <v>0</v>
      </c>
      <c r="Q269" t="n">
        <v>1</v>
      </c>
      <c r="R269" s="2" t="inlineStr">
        <is>
          <t>Blomkålssvamp</t>
        </is>
      </c>
      <c r="S269">
        <f>HYPERLINK("https://klasma.github.io/Logging_0883/artfynd/A 35028-2024 artfynd.xlsx", "A 35028-2024")</f>
        <v/>
      </c>
      <c r="T269">
        <f>HYPERLINK("https://klasma.github.io/Logging_0883/kartor/A 35028-2024 karta.png", "A 35028-2024")</f>
        <v/>
      </c>
      <c r="V269">
        <f>HYPERLINK("https://klasma.github.io/Logging_0883/klagomål/A 35028-2024 FSC-klagomål.docx", "A 35028-2024")</f>
        <v/>
      </c>
      <c r="W269">
        <f>HYPERLINK("https://klasma.github.io/Logging_0883/klagomålsmail/A 35028-2024 FSC-klagomål mail.docx", "A 35028-2024")</f>
        <v/>
      </c>
      <c r="X269">
        <f>HYPERLINK("https://klasma.github.io/Logging_0883/tillsyn/A 35028-2024 tillsynsbegäran.docx", "A 35028-2024")</f>
        <v/>
      </c>
      <c r="Y269">
        <f>HYPERLINK("https://klasma.github.io/Logging_0883/tillsynsmail/A 35028-2024 tillsynsbegäran mail.docx", "A 35028-2024")</f>
        <v/>
      </c>
    </row>
    <row r="270" ht="15" customHeight="1">
      <c r="A270" t="inlineStr">
        <is>
          <t>A 53843-2025</t>
        </is>
      </c>
      <c r="B270" s="1" t="n">
        <v>45961.36483796296</v>
      </c>
      <c r="C270" s="1" t="n">
        <v>45971</v>
      </c>
      <c r="D270" t="inlineStr">
        <is>
          <t>KALMAR LÄN</t>
        </is>
      </c>
      <c r="E270" t="inlineStr">
        <is>
          <t>VÄSTERVIK</t>
        </is>
      </c>
      <c r="F270" t="inlineStr">
        <is>
          <t>Sveaskog</t>
        </is>
      </c>
      <c r="G270" t="n">
        <v>6</v>
      </c>
      <c r="H270" t="n">
        <v>1</v>
      </c>
      <c r="I270" t="n">
        <v>0</v>
      </c>
      <c r="J270" t="n">
        <v>0</v>
      </c>
      <c r="K270" t="n">
        <v>0</v>
      </c>
      <c r="L270" t="n">
        <v>0</v>
      </c>
      <c r="M270" t="n">
        <v>0</v>
      </c>
      <c r="N270" t="n">
        <v>0</v>
      </c>
      <c r="O270" t="n">
        <v>0</v>
      </c>
      <c r="P270" t="n">
        <v>0</v>
      </c>
      <c r="Q270" t="n">
        <v>1</v>
      </c>
      <c r="R270" s="2" t="inlineStr">
        <is>
          <t>Blåsippa</t>
        </is>
      </c>
      <c r="S270">
        <f>HYPERLINK("https://klasma.github.io/Logging_0883/artfynd/A 53843-2025 artfynd.xlsx", "A 53843-2025")</f>
        <v/>
      </c>
      <c r="T270">
        <f>HYPERLINK("https://klasma.github.io/Logging_0883/kartor/A 53843-2025 karta.png", "A 53843-2025")</f>
        <v/>
      </c>
      <c r="V270">
        <f>HYPERLINK("https://klasma.github.io/Logging_0883/klagomål/A 53843-2025 FSC-klagomål.docx", "A 53843-2025")</f>
        <v/>
      </c>
      <c r="W270">
        <f>HYPERLINK("https://klasma.github.io/Logging_0883/klagomålsmail/A 53843-2025 FSC-klagomål mail.docx", "A 53843-2025")</f>
        <v/>
      </c>
      <c r="X270">
        <f>HYPERLINK("https://klasma.github.io/Logging_0883/tillsyn/A 53843-2025 tillsynsbegäran.docx", "A 53843-2025")</f>
        <v/>
      </c>
      <c r="Y270">
        <f>HYPERLINK("https://klasma.github.io/Logging_0883/tillsynsmail/A 53843-2025 tillsynsbegäran mail.docx", "A 53843-2025")</f>
        <v/>
      </c>
    </row>
    <row r="271" ht="15" customHeight="1">
      <c r="A271" t="inlineStr">
        <is>
          <t>A 53877-2025</t>
        </is>
      </c>
      <c r="B271" s="1" t="n">
        <v>45961.39565972222</v>
      </c>
      <c r="C271" s="1" t="n">
        <v>45971</v>
      </c>
      <c r="D271" t="inlineStr">
        <is>
          <t>KALMAR LÄN</t>
        </is>
      </c>
      <c r="E271" t="inlineStr">
        <is>
          <t>VÄSTERVIK</t>
        </is>
      </c>
      <c r="F271" t="inlineStr">
        <is>
          <t>Sveaskog</t>
        </is>
      </c>
      <c r="G271" t="n">
        <v>2.2</v>
      </c>
      <c r="H271" t="n">
        <v>0</v>
      </c>
      <c r="I271" t="n">
        <v>0</v>
      </c>
      <c r="J271" t="n">
        <v>1</v>
      </c>
      <c r="K271" t="n">
        <v>0</v>
      </c>
      <c r="L271" t="n">
        <v>0</v>
      </c>
      <c r="M271" t="n">
        <v>0</v>
      </c>
      <c r="N271" t="n">
        <v>0</v>
      </c>
      <c r="O271" t="n">
        <v>1</v>
      </c>
      <c r="P271" t="n">
        <v>0</v>
      </c>
      <c r="Q271" t="n">
        <v>1</v>
      </c>
      <c r="R271" s="2" t="inlineStr">
        <is>
          <t>Pilblad</t>
        </is>
      </c>
      <c r="S271">
        <f>HYPERLINK("https://klasma.github.io/Logging_0883/artfynd/A 53877-2025 artfynd.xlsx", "A 53877-2025")</f>
        <v/>
      </c>
      <c r="T271">
        <f>HYPERLINK("https://klasma.github.io/Logging_0883/kartor/A 53877-2025 karta.png", "A 53877-2025")</f>
        <v/>
      </c>
      <c r="V271">
        <f>HYPERLINK("https://klasma.github.io/Logging_0883/klagomål/A 53877-2025 FSC-klagomål.docx", "A 53877-2025")</f>
        <v/>
      </c>
      <c r="W271">
        <f>HYPERLINK("https://klasma.github.io/Logging_0883/klagomålsmail/A 53877-2025 FSC-klagomål mail.docx", "A 53877-2025")</f>
        <v/>
      </c>
      <c r="X271">
        <f>HYPERLINK("https://klasma.github.io/Logging_0883/tillsyn/A 53877-2025 tillsynsbegäran.docx", "A 53877-2025")</f>
        <v/>
      </c>
      <c r="Y271">
        <f>HYPERLINK("https://klasma.github.io/Logging_0883/tillsynsmail/A 53877-2025 tillsynsbegäran mail.docx", "A 53877-2025")</f>
        <v/>
      </c>
    </row>
    <row r="272" ht="15" customHeight="1">
      <c r="A272" t="inlineStr">
        <is>
          <t>A 12292-2025</t>
        </is>
      </c>
      <c r="B272" s="1" t="n">
        <v>45729.68322916667</v>
      </c>
      <c r="C272" s="1" t="n">
        <v>45971</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Knärot</t>
        </is>
      </c>
      <c r="S272">
        <f>HYPERLINK("https://klasma.github.io/Logging_0883/artfynd/A 12292-2025 artfynd.xlsx", "A 12292-2025")</f>
        <v/>
      </c>
      <c r="T272">
        <f>HYPERLINK("https://klasma.github.io/Logging_0883/kartor/A 12292-2025 karta.png", "A 12292-2025")</f>
        <v/>
      </c>
      <c r="U272">
        <f>HYPERLINK("https://klasma.github.io/Logging_0883/knärot/A 12292-2025 karta knärot.png", "A 12292-2025")</f>
        <v/>
      </c>
      <c r="V272">
        <f>HYPERLINK("https://klasma.github.io/Logging_0883/klagomål/A 12292-2025 FSC-klagomål.docx", "A 12292-2025")</f>
        <v/>
      </c>
      <c r="W272">
        <f>HYPERLINK("https://klasma.github.io/Logging_0883/klagomålsmail/A 12292-2025 FSC-klagomål mail.docx", "A 12292-2025")</f>
        <v/>
      </c>
      <c r="X272">
        <f>HYPERLINK("https://klasma.github.io/Logging_0883/tillsyn/A 12292-2025 tillsynsbegäran.docx", "A 12292-2025")</f>
        <v/>
      </c>
      <c r="Y272">
        <f>HYPERLINK("https://klasma.github.io/Logging_0883/tillsynsmail/A 12292-2025 tillsynsbegäran mail.docx", "A 12292-2025")</f>
        <v/>
      </c>
    </row>
    <row r="273" ht="15" customHeight="1">
      <c r="A273" t="inlineStr">
        <is>
          <t>A 36595-2025</t>
        </is>
      </c>
      <c r="B273" s="1" t="n">
        <v>45870.513125</v>
      </c>
      <c r="C273" s="1" t="n">
        <v>45971</v>
      </c>
      <c r="D273" t="inlineStr">
        <is>
          <t>KALMAR LÄN</t>
        </is>
      </c>
      <c r="E273" t="inlineStr">
        <is>
          <t>VÄSTERVIK</t>
        </is>
      </c>
      <c r="G273" t="n">
        <v>1.5</v>
      </c>
      <c r="H273" t="n">
        <v>1</v>
      </c>
      <c r="I273" t="n">
        <v>0</v>
      </c>
      <c r="J273" t="n">
        <v>1</v>
      </c>
      <c r="K273" t="n">
        <v>0</v>
      </c>
      <c r="L273" t="n">
        <v>0</v>
      </c>
      <c r="M273" t="n">
        <v>0</v>
      </c>
      <c r="N273" t="n">
        <v>0</v>
      </c>
      <c r="O273" t="n">
        <v>1</v>
      </c>
      <c r="P273" t="n">
        <v>0</v>
      </c>
      <c r="Q273" t="n">
        <v>1</v>
      </c>
      <c r="R273" s="2" t="inlineStr">
        <is>
          <t>Talltita</t>
        </is>
      </c>
      <c r="S273">
        <f>HYPERLINK("https://klasma.github.io/Logging_0883/artfynd/A 36595-2025 artfynd.xlsx", "A 36595-2025")</f>
        <v/>
      </c>
      <c r="T273">
        <f>HYPERLINK("https://klasma.github.io/Logging_0883/kartor/A 36595-2025 karta.png", "A 36595-2025")</f>
        <v/>
      </c>
      <c r="V273">
        <f>HYPERLINK("https://klasma.github.io/Logging_0883/klagomål/A 36595-2025 FSC-klagomål.docx", "A 36595-2025")</f>
        <v/>
      </c>
      <c r="W273">
        <f>HYPERLINK("https://klasma.github.io/Logging_0883/klagomålsmail/A 36595-2025 FSC-klagomål mail.docx", "A 36595-2025")</f>
        <v/>
      </c>
      <c r="X273">
        <f>HYPERLINK("https://klasma.github.io/Logging_0883/tillsyn/A 36595-2025 tillsynsbegäran.docx", "A 36595-2025")</f>
        <v/>
      </c>
      <c r="Y273">
        <f>HYPERLINK("https://klasma.github.io/Logging_0883/tillsynsmail/A 36595-2025 tillsynsbegäran mail.docx", "A 36595-2025")</f>
        <v/>
      </c>
      <c r="Z273">
        <f>HYPERLINK("https://klasma.github.io/Logging_0883/fåglar/A 36595-2025 prioriterade fågelarter.docx", "A 36595-2025")</f>
        <v/>
      </c>
    </row>
    <row r="274" ht="15" customHeight="1">
      <c r="A274" t="inlineStr">
        <is>
          <t>A 31315-2021</t>
        </is>
      </c>
      <c r="B274" s="1" t="n">
        <v>44368</v>
      </c>
      <c r="C274" s="1" t="n">
        <v>45971</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54859-2025</t>
        </is>
      </c>
      <c r="B275" s="1" t="n">
        <v>45966.75758101852</v>
      </c>
      <c r="C275" s="1" t="n">
        <v>45971</v>
      </c>
      <c r="D275" t="inlineStr">
        <is>
          <t>KALMAR LÄN</t>
        </is>
      </c>
      <c r="E275" t="inlineStr">
        <is>
          <t>VÄSTERVIK</t>
        </is>
      </c>
      <c r="F275" t="inlineStr">
        <is>
          <t>Sveaskog</t>
        </is>
      </c>
      <c r="G275" t="n">
        <v>4.2</v>
      </c>
      <c r="H275" t="n">
        <v>1</v>
      </c>
      <c r="I275" t="n">
        <v>0</v>
      </c>
      <c r="J275" t="n">
        <v>0</v>
      </c>
      <c r="K275" t="n">
        <v>0</v>
      </c>
      <c r="L275" t="n">
        <v>0</v>
      </c>
      <c r="M275" t="n">
        <v>0</v>
      </c>
      <c r="N275" t="n">
        <v>0</v>
      </c>
      <c r="O275" t="n">
        <v>0</v>
      </c>
      <c r="P275" t="n">
        <v>0</v>
      </c>
      <c r="Q275" t="n">
        <v>1</v>
      </c>
      <c r="R275" s="2" t="inlineStr">
        <is>
          <t>Blåsippa</t>
        </is>
      </c>
      <c r="S275">
        <f>HYPERLINK("https://klasma.github.io/Logging_0883/artfynd/A 54859-2025 artfynd.xlsx", "A 54859-2025")</f>
        <v/>
      </c>
      <c r="T275">
        <f>HYPERLINK("https://klasma.github.io/Logging_0883/kartor/A 54859-2025 karta.png", "A 54859-2025")</f>
        <v/>
      </c>
      <c r="V275">
        <f>HYPERLINK("https://klasma.github.io/Logging_0883/klagomål/A 54859-2025 FSC-klagomål.docx", "A 54859-2025")</f>
        <v/>
      </c>
      <c r="W275">
        <f>HYPERLINK("https://klasma.github.io/Logging_0883/klagomålsmail/A 54859-2025 FSC-klagomål mail.docx", "A 54859-2025")</f>
        <v/>
      </c>
      <c r="X275">
        <f>HYPERLINK("https://klasma.github.io/Logging_0883/tillsyn/A 54859-2025 tillsynsbegäran.docx", "A 54859-2025")</f>
        <v/>
      </c>
      <c r="Y275">
        <f>HYPERLINK("https://klasma.github.io/Logging_0883/tillsynsmail/A 54859-2025 tillsynsbegäran mail.docx", "A 54859-2025")</f>
        <v/>
      </c>
    </row>
    <row r="276" ht="15" customHeight="1">
      <c r="A276" t="inlineStr">
        <is>
          <t>A 51024-2022</t>
        </is>
      </c>
      <c r="B276" s="1" t="n">
        <v>44867</v>
      </c>
      <c r="C276" s="1" t="n">
        <v>45971</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55142-2025</t>
        </is>
      </c>
      <c r="B277" s="1" t="n">
        <v>45968.43697916667</v>
      </c>
      <c r="C277" s="1" t="n">
        <v>45971</v>
      </c>
      <c r="D277" t="inlineStr">
        <is>
          <t>KALMAR LÄN</t>
        </is>
      </c>
      <c r="E277" t="inlineStr">
        <is>
          <t>VÄSTERVIK</t>
        </is>
      </c>
      <c r="G277" t="n">
        <v>1.3</v>
      </c>
      <c r="H277" t="n">
        <v>0</v>
      </c>
      <c r="I277" t="n">
        <v>1</v>
      </c>
      <c r="J277" t="n">
        <v>0</v>
      </c>
      <c r="K277" t="n">
        <v>0</v>
      </c>
      <c r="L277" t="n">
        <v>0</v>
      </c>
      <c r="M277" t="n">
        <v>0</v>
      </c>
      <c r="N277" t="n">
        <v>0</v>
      </c>
      <c r="O277" t="n">
        <v>0</v>
      </c>
      <c r="P277" t="n">
        <v>0</v>
      </c>
      <c r="Q277" t="n">
        <v>1</v>
      </c>
      <c r="R277" s="2" t="inlineStr">
        <is>
          <t>Hasselticka</t>
        </is>
      </c>
      <c r="S277">
        <f>HYPERLINK("https://klasma.github.io/Logging_0883/artfynd/A 55142-2025 artfynd.xlsx", "A 55142-2025")</f>
        <v/>
      </c>
      <c r="T277">
        <f>HYPERLINK("https://klasma.github.io/Logging_0883/kartor/A 55142-2025 karta.png", "A 55142-2025")</f>
        <v/>
      </c>
      <c r="V277">
        <f>HYPERLINK("https://klasma.github.io/Logging_0883/klagomål/A 55142-2025 FSC-klagomål.docx", "A 55142-2025")</f>
        <v/>
      </c>
      <c r="W277">
        <f>HYPERLINK("https://klasma.github.io/Logging_0883/klagomålsmail/A 55142-2025 FSC-klagomål mail.docx", "A 55142-2025")</f>
        <v/>
      </c>
      <c r="X277">
        <f>HYPERLINK("https://klasma.github.io/Logging_0883/tillsyn/A 55142-2025 tillsynsbegäran.docx", "A 55142-2025")</f>
        <v/>
      </c>
      <c r="Y277">
        <f>HYPERLINK("https://klasma.github.io/Logging_0883/tillsynsmail/A 55142-2025 tillsynsbegäran mail.docx", "A 55142-2025")</f>
        <v/>
      </c>
    </row>
    <row r="278" ht="15" customHeight="1">
      <c r="A278" t="inlineStr">
        <is>
          <t>A 1959-2021</t>
        </is>
      </c>
      <c r="B278" s="1" t="n">
        <v>44210.65167824074</v>
      </c>
      <c r="C278" s="1" t="n">
        <v>45971</v>
      </c>
      <c r="D278" t="inlineStr">
        <is>
          <t>KALMAR LÄN</t>
        </is>
      </c>
      <c r="E278" t="inlineStr">
        <is>
          <t>VÄSTERVIK</t>
        </is>
      </c>
      <c r="G278" t="n">
        <v>0.8</v>
      </c>
      <c r="H278" t="n">
        <v>0</v>
      </c>
      <c r="I278" t="n">
        <v>0</v>
      </c>
      <c r="J278" t="n">
        <v>0</v>
      </c>
      <c r="K278" t="n">
        <v>0</v>
      </c>
      <c r="L278" t="n">
        <v>0</v>
      </c>
      <c r="M278" t="n">
        <v>0</v>
      </c>
      <c r="N278" t="n">
        <v>0</v>
      </c>
      <c r="O278" t="n">
        <v>0</v>
      </c>
      <c r="P278" t="n">
        <v>0</v>
      </c>
      <c r="Q278" t="n">
        <v>0</v>
      </c>
      <c r="R278" s="2" t="inlineStr"/>
    </row>
    <row r="279" ht="15" customHeight="1">
      <c r="A279" t="inlineStr">
        <is>
          <t>A 8074-2021</t>
        </is>
      </c>
      <c r="B279" s="1" t="n">
        <v>44243.6503125</v>
      </c>
      <c r="C279" s="1" t="n">
        <v>45971</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16697-2021</t>
        </is>
      </c>
      <c r="B280" s="1" t="n">
        <v>44294</v>
      </c>
      <c r="C280" s="1" t="n">
        <v>45971</v>
      </c>
      <c r="D280" t="inlineStr">
        <is>
          <t>KALMAR LÄN</t>
        </is>
      </c>
      <c r="E280" t="inlineStr">
        <is>
          <t>VÄSTERVIK</t>
        </is>
      </c>
      <c r="G280" t="n">
        <v>1.5</v>
      </c>
      <c r="H280" t="n">
        <v>0</v>
      </c>
      <c r="I280" t="n">
        <v>0</v>
      </c>
      <c r="J280" t="n">
        <v>0</v>
      </c>
      <c r="K280" t="n">
        <v>0</v>
      </c>
      <c r="L280" t="n">
        <v>0</v>
      </c>
      <c r="M280" t="n">
        <v>0</v>
      </c>
      <c r="N280" t="n">
        <v>0</v>
      </c>
      <c r="O280" t="n">
        <v>0</v>
      </c>
      <c r="P280" t="n">
        <v>0</v>
      </c>
      <c r="Q280" t="n">
        <v>0</v>
      </c>
      <c r="R280" s="2" t="inlineStr"/>
    </row>
    <row r="281" ht="15" customHeight="1">
      <c r="A281" t="inlineStr">
        <is>
          <t>A 23626-2021</t>
        </is>
      </c>
      <c r="B281" s="1" t="n">
        <v>44334</v>
      </c>
      <c r="C281" s="1" t="n">
        <v>45971</v>
      </c>
      <c r="D281" t="inlineStr">
        <is>
          <t>KALMAR LÄN</t>
        </is>
      </c>
      <c r="E281" t="inlineStr">
        <is>
          <t>VÄSTERVIK</t>
        </is>
      </c>
      <c r="G281" t="n">
        <v>9</v>
      </c>
      <c r="H281" t="n">
        <v>0</v>
      </c>
      <c r="I281" t="n">
        <v>0</v>
      </c>
      <c r="J281" t="n">
        <v>0</v>
      </c>
      <c r="K281" t="n">
        <v>0</v>
      </c>
      <c r="L281" t="n">
        <v>0</v>
      </c>
      <c r="M281" t="n">
        <v>0</v>
      </c>
      <c r="N281" t="n">
        <v>0</v>
      </c>
      <c r="O281" t="n">
        <v>0</v>
      </c>
      <c r="P281" t="n">
        <v>0</v>
      </c>
      <c r="Q281" t="n">
        <v>0</v>
      </c>
      <c r="R281" s="2" t="inlineStr"/>
    </row>
    <row r="282" ht="15" customHeight="1">
      <c r="A282" t="inlineStr">
        <is>
          <t>A 14317-2021</t>
        </is>
      </c>
      <c r="B282" s="1" t="n">
        <v>44278</v>
      </c>
      <c r="C282" s="1" t="n">
        <v>45971</v>
      </c>
      <c r="D282" t="inlineStr">
        <is>
          <t>KALMAR LÄN</t>
        </is>
      </c>
      <c r="E282" t="inlineStr">
        <is>
          <t>VÄSTERVIK</t>
        </is>
      </c>
      <c r="G282" t="n">
        <v>2.1</v>
      </c>
      <c r="H282" t="n">
        <v>0</v>
      </c>
      <c r="I282" t="n">
        <v>0</v>
      </c>
      <c r="J282" t="n">
        <v>0</v>
      </c>
      <c r="K282" t="n">
        <v>0</v>
      </c>
      <c r="L282" t="n">
        <v>0</v>
      </c>
      <c r="M282" t="n">
        <v>0</v>
      </c>
      <c r="N282" t="n">
        <v>0</v>
      </c>
      <c r="O282" t="n">
        <v>0</v>
      </c>
      <c r="P282" t="n">
        <v>0</v>
      </c>
      <c r="Q282" t="n">
        <v>0</v>
      </c>
      <c r="R282" s="2" t="inlineStr"/>
    </row>
    <row r="283" ht="15" customHeight="1">
      <c r="A283" t="inlineStr">
        <is>
          <t>A 19219-2021</t>
        </is>
      </c>
      <c r="B283" s="1" t="n">
        <v>44309</v>
      </c>
      <c r="C283" s="1" t="n">
        <v>45971</v>
      </c>
      <c r="D283" t="inlineStr">
        <is>
          <t>KALMAR LÄN</t>
        </is>
      </c>
      <c r="E283" t="inlineStr">
        <is>
          <t>VÄSTERVIK</t>
        </is>
      </c>
      <c r="G283" t="n">
        <v>0.9</v>
      </c>
      <c r="H283" t="n">
        <v>0</v>
      </c>
      <c r="I283" t="n">
        <v>0</v>
      </c>
      <c r="J283" t="n">
        <v>0</v>
      </c>
      <c r="K283" t="n">
        <v>0</v>
      </c>
      <c r="L283" t="n">
        <v>0</v>
      </c>
      <c r="M283" t="n">
        <v>0</v>
      </c>
      <c r="N283" t="n">
        <v>0</v>
      </c>
      <c r="O283" t="n">
        <v>0</v>
      </c>
      <c r="P283" t="n">
        <v>0</v>
      </c>
      <c r="Q283" t="n">
        <v>0</v>
      </c>
      <c r="R283" s="2" t="inlineStr"/>
    </row>
    <row r="284" ht="15" customHeight="1">
      <c r="A284" t="inlineStr">
        <is>
          <t>A 61696-2020</t>
        </is>
      </c>
      <c r="B284" s="1" t="n">
        <v>44158</v>
      </c>
      <c r="C284" s="1" t="n">
        <v>45971</v>
      </c>
      <c r="D284" t="inlineStr">
        <is>
          <t>KALMAR LÄN</t>
        </is>
      </c>
      <c r="E284" t="inlineStr">
        <is>
          <t>VÄSTERVIK</t>
        </is>
      </c>
      <c r="G284" t="n">
        <v>1.7</v>
      </c>
      <c r="H284" t="n">
        <v>0</v>
      </c>
      <c r="I284" t="n">
        <v>0</v>
      </c>
      <c r="J284" t="n">
        <v>0</v>
      </c>
      <c r="K284" t="n">
        <v>0</v>
      </c>
      <c r="L284" t="n">
        <v>0</v>
      </c>
      <c r="M284" t="n">
        <v>0</v>
      </c>
      <c r="N284" t="n">
        <v>0</v>
      </c>
      <c r="O284" t="n">
        <v>0</v>
      </c>
      <c r="P284" t="n">
        <v>0</v>
      </c>
      <c r="Q284" t="n">
        <v>0</v>
      </c>
      <c r="R284" s="2" t="inlineStr"/>
    </row>
    <row r="285" ht="15" customHeight="1">
      <c r="A285" t="inlineStr">
        <is>
          <t>A 16728-2021</t>
        </is>
      </c>
      <c r="B285" s="1" t="n">
        <v>44294.68079861111</v>
      </c>
      <c r="C285" s="1" t="n">
        <v>45971</v>
      </c>
      <c r="D285" t="inlineStr">
        <is>
          <t>KALMAR LÄN</t>
        </is>
      </c>
      <c r="E285" t="inlineStr">
        <is>
          <t>VÄSTERVIK</t>
        </is>
      </c>
      <c r="G285" t="n">
        <v>3.1</v>
      </c>
      <c r="H285" t="n">
        <v>0</v>
      </c>
      <c r="I285" t="n">
        <v>0</v>
      </c>
      <c r="J285" t="n">
        <v>0</v>
      </c>
      <c r="K285" t="n">
        <v>0</v>
      </c>
      <c r="L285" t="n">
        <v>0</v>
      </c>
      <c r="M285" t="n">
        <v>0</v>
      </c>
      <c r="N285" t="n">
        <v>0</v>
      </c>
      <c r="O285" t="n">
        <v>0</v>
      </c>
      <c r="P285" t="n">
        <v>0</v>
      </c>
      <c r="Q285" t="n">
        <v>0</v>
      </c>
      <c r="R285" s="2" t="inlineStr"/>
    </row>
    <row r="286" ht="15" customHeight="1">
      <c r="A286" t="inlineStr">
        <is>
          <t>A 42164-2021</t>
        </is>
      </c>
      <c r="B286" s="1" t="n">
        <v>44426</v>
      </c>
      <c r="C286" s="1" t="n">
        <v>45971</v>
      </c>
      <c r="D286" t="inlineStr">
        <is>
          <t>KALMAR LÄN</t>
        </is>
      </c>
      <c r="E286" t="inlineStr">
        <is>
          <t>VÄSTERVIK</t>
        </is>
      </c>
      <c r="G286" t="n">
        <v>5.5</v>
      </c>
      <c r="H286" t="n">
        <v>0</v>
      </c>
      <c r="I286" t="n">
        <v>0</v>
      </c>
      <c r="J286" t="n">
        <v>0</v>
      </c>
      <c r="K286" t="n">
        <v>0</v>
      </c>
      <c r="L286" t="n">
        <v>0</v>
      </c>
      <c r="M286" t="n">
        <v>0</v>
      </c>
      <c r="N286" t="n">
        <v>0</v>
      </c>
      <c r="O286" t="n">
        <v>0</v>
      </c>
      <c r="P286" t="n">
        <v>0</v>
      </c>
      <c r="Q286" t="n">
        <v>0</v>
      </c>
      <c r="R286" s="2" t="inlineStr"/>
      <c r="U286">
        <f>HYPERLINK("https://klasma.github.io/Logging_0883/knärot/A 42164-2021 karta knärot.png", "A 42164-2021")</f>
        <v/>
      </c>
      <c r="V286">
        <f>HYPERLINK("https://klasma.github.io/Logging_0883/klagomål/A 42164-2021 FSC-klagomål.docx", "A 42164-2021")</f>
        <v/>
      </c>
      <c r="W286">
        <f>HYPERLINK("https://klasma.github.io/Logging_0883/klagomålsmail/A 42164-2021 FSC-klagomål mail.docx", "A 42164-2021")</f>
        <v/>
      </c>
      <c r="X286">
        <f>HYPERLINK("https://klasma.github.io/Logging_0883/tillsyn/A 42164-2021 tillsynsbegäran.docx", "A 42164-2021")</f>
        <v/>
      </c>
      <c r="Y286">
        <f>HYPERLINK("https://klasma.github.io/Logging_0883/tillsynsmail/A 42164-2021 tillsynsbegäran mail.docx", "A 42164-2021")</f>
        <v/>
      </c>
    </row>
    <row r="287" ht="15" customHeight="1">
      <c r="A287" t="inlineStr">
        <is>
          <t>A 8196-2021</t>
        </is>
      </c>
      <c r="B287" s="1" t="n">
        <v>44244</v>
      </c>
      <c r="C287" s="1" t="n">
        <v>45971</v>
      </c>
      <c r="D287" t="inlineStr">
        <is>
          <t>KALMAR LÄN</t>
        </is>
      </c>
      <c r="E287" t="inlineStr">
        <is>
          <t>VÄSTERVIK</t>
        </is>
      </c>
      <c r="G287" t="n">
        <v>3.5</v>
      </c>
      <c r="H287" t="n">
        <v>0</v>
      </c>
      <c r="I287" t="n">
        <v>0</v>
      </c>
      <c r="J287" t="n">
        <v>0</v>
      </c>
      <c r="K287" t="n">
        <v>0</v>
      </c>
      <c r="L287" t="n">
        <v>0</v>
      </c>
      <c r="M287" t="n">
        <v>0</v>
      </c>
      <c r="N287" t="n">
        <v>0</v>
      </c>
      <c r="O287" t="n">
        <v>0</v>
      </c>
      <c r="P287" t="n">
        <v>0</v>
      </c>
      <c r="Q287" t="n">
        <v>0</v>
      </c>
      <c r="R287" s="2" t="inlineStr"/>
    </row>
    <row r="288" ht="15" customHeight="1">
      <c r="A288" t="inlineStr">
        <is>
          <t>A 37748-2021</t>
        </is>
      </c>
      <c r="B288" s="1" t="n">
        <v>44400.63459490741</v>
      </c>
      <c r="C288" s="1" t="n">
        <v>45971</v>
      </c>
      <c r="D288" t="inlineStr">
        <is>
          <t>KALMAR LÄN</t>
        </is>
      </c>
      <c r="E288" t="inlineStr">
        <is>
          <t>VÄSTERVIK</t>
        </is>
      </c>
      <c r="G288" t="n">
        <v>0.5</v>
      </c>
      <c r="H288" t="n">
        <v>0</v>
      </c>
      <c r="I288" t="n">
        <v>0</v>
      </c>
      <c r="J288" t="n">
        <v>0</v>
      </c>
      <c r="K288" t="n">
        <v>0</v>
      </c>
      <c r="L288" t="n">
        <v>0</v>
      </c>
      <c r="M288" t="n">
        <v>0</v>
      </c>
      <c r="N288" t="n">
        <v>0</v>
      </c>
      <c r="O288" t="n">
        <v>0</v>
      </c>
      <c r="P288" t="n">
        <v>0</v>
      </c>
      <c r="Q288" t="n">
        <v>0</v>
      </c>
      <c r="R288" s="2" t="inlineStr"/>
    </row>
    <row r="289" ht="15" customHeight="1">
      <c r="A289" t="inlineStr">
        <is>
          <t>A 14149-2021</t>
        </is>
      </c>
      <c r="B289" s="1" t="n">
        <v>44278</v>
      </c>
      <c r="C289" s="1" t="n">
        <v>45971</v>
      </c>
      <c r="D289" t="inlineStr">
        <is>
          <t>KALMAR LÄN</t>
        </is>
      </c>
      <c r="E289" t="inlineStr">
        <is>
          <t>VÄSTERVIK</t>
        </is>
      </c>
      <c r="G289" t="n">
        <v>4.1</v>
      </c>
      <c r="H289" t="n">
        <v>0</v>
      </c>
      <c r="I289" t="n">
        <v>0</v>
      </c>
      <c r="J289" t="n">
        <v>0</v>
      </c>
      <c r="K289" t="n">
        <v>0</v>
      </c>
      <c r="L289" t="n">
        <v>0</v>
      </c>
      <c r="M289" t="n">
        <v>0</v>
      </c>
      <c r="N289" t="n">
        <v>0</v>
      </c>
      <c r="O289" t="n">
        <v>0</v>
      </c>
      <c r="P289" t="n">
        <v>0</v>
      </c>
      <c r="Q289" t="n">
        <v>0</v>
      </c>
      <c r="R289" s="2" t="inlineStr"/>
    </row>
    <row r="290" ht="15" customHeight="1">
      <c r="A290" t="inlineStr">
        <is>
          <t>A 3145-2022</t>
        </is>
      </c>
      <c r="B290" s="1" t="n">
        <v>44582.5518287037</v>
      </c>
      <c r="C290" s="1" t="n">
        <v>45971</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17953-2022</t>
        </is>
      </c>
      <c r="B291" s="1" t="n">
        <v>44683.64341435185</v>
      </c>
      <c r="C291" s="1" t="n">
        <v>45971</v>
      </c>
      <c r="D291" t="inlineStr">
        <is>
          <t>KALMAR LÄN</t>
        </is>
      </c>
      <c r="E291" t="inlineStr">
        <is>
          <t>VÄSTERVIK</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40062-2022</t>
        </is>
      </c>
      <c r="B292" s="1" t="n">
        <v>44820</v>
      </c>
      <c r="C292" s="1" t="n">
        <v>45971</v>
      </c>
      <c r="D292" t="inlineStr">
        <is>
          <t>KALMAR LÄN</t>
        </is>
      </c>
      <c r="E292" t="inlineStr">
        <is>
          <t>VÄSTERVIK</t>
        </is>
      </c>
      <c r="G292" t="n">
        <v>0.7</v>
      </c>
      <c r="H292" t="n">
        <v>0</v>
      </c>
      <c r="I292" t="n">
        <v>0</v>
      </c>
      <c r="J292" t="n">
        <v>0</v>
      </c>
      <c r="K292" t="n">
        <v>0</v>
      </c>
      <c r="L292" t="n">
        <v>0</v>
      </c>
      <c r="M292" t="n">
        <v>0</v>
      </c>
      <c r="N292" t="n">
        <v>0</v>
      </c>
      <c r="O292" t="n">
        <v>0</v>
      </c>
      <c r="P292" t="n">
        <v>0</v>
      </c>
      <c r="Q292" t="n">
        <v>0</v>
      </c>
      <c r="R292" s="2" t="inlineStr"/>
    </row>
    <row r="293" ht="15" customHeight="1">
      <c r="A293" t="inlineStr">
        <is>
          <t>A 52289-2022</t>
        </is>
      </c>
      <c r="B293" s="1" t="n">
        <v>44873.67061342593</v>
      </c>
      <c r="C293" s="1" t="n">
        <v>45971</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42131-2021</t>
        </is>
      </c>
      <c r="B294" s="1" t="n">
        <v>44426</v>
      </c>
      <c r="C294" s="1" t="n">
        <v>45971</v>
      </c>
      <c r="D294" t="inlineStr">
        <is>
          <t>KALMAR LÄN</t>
        </is>
      </c>
      <c r="E294" t="inlineStr">
        <is>
          <t>VÄSTERVIK</t>
        </is>
      </c>
      <c r="G294" t="n">
        <v>2.3</v>
      </c>
      <c r="H294" t="n">
        <v>0</v>
      </c>
      <c r="I294" t="n">
        <v>0</v>
      </c>
      <c r="J294" t="n">
        <v>0</v>
      </c>
      <c r="K294" t="n">
        <v>0</v>
      </c>
      <c r="L294" t="n">
        <v>0</v>
      </c>
      <c r="M294" t="n">
        <v>0</v>
      </c>
      <c r="N294" t="n">
        <v>0</v>
      </c>
      <c r="O294" t="n">
        <v>0</v>
      </c>
      <c r="P294" t="n">
        <v>0</v>
      </c>
      <c r="Q294" t="n">
        <v>0</v>
      </c>
      <c r="R294" s="2" t="inlineStr"/>
    </row>
    <row r="295" ht="15" customHeight="1">
      <c r="A295" t="inlineStr">
        <is>
          <t>A 37036-2021</t>
        </is>
      </c>
      <c r="B295" s="1" t="n">
        <v>44393</v>
      </c>
      <c r="C295" s="1" t="n">
        <v>45971</v>
      </c>
      <c r="D295" t="inlineStr">
        <is>
          <t>KALMAR LÄN</t>
        </is>
      </c>
      <c r="E295" t="inlineStr">
        <is>
          <t>VÄSTERVIK</t>
        </is>
      </c>
      <c r="G295" t="n">
        <v>16.1</v>
      </c>
      <c r="H295" t="n">
        <v>0</v>
      </c>
      <c r="I295" t="n">
        <v>0</v>
      </c>
      <c r="J295" t="n">
        <v>0</v>
      </c>
      <c r="K295" t="n">
        <v>0</v>
      </c>
      <c r="L295" t="n">
        <v>0</v>
      </c>
      <c r="M295" t="n">
        <v>0</v>
      </c>
      <c r="N295" t="n">
        <v>0</v>
      </c>
      <c r="O295" t="n">
        <v>0</v>
      </c>
      <c r="P295" t="n">
        <v>0</v>
      </c>
      <c r="Q295" t="n">
        <v>0</v>
      </c>
      <c r="R295" s="2" t="inlineStr"/>
    </row>
    <row r="296" ht="15" customHeight="1">
      <c r="A296" t="inlineStr">
        <is>
          <t>A 14038-2022</t>
        </is>
      </c>
      <c r="B296" s="1" t="n">
        <v>44650</v>
      </c>
      <c r="C296" s="1" t="n">
        <v>45971</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64822-2021</t>
        </is>
      </c>
      <c r="B297" s="1" t="n">
        <v>44512</v>
      </c>
      <c r="C297" s="1" t="n">
        <v>45971</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64399-2020</t>
        </is>
      </c>
      <c r="B298" s="1" t="n">
        <v>44168.64150462963</v>
      </c>
      <c r="C298" s="1" t="n">
        <v>45971</v>
      </c>
      <c r="D298" t="inlineStr">
        <is>
          <t>KALMAR LÄN</t>
        </is>
      </c>
      <c r="E298" t="inlineStr">
        <is>
          <t>VÄSTERVIK</t>
        </is>
      </c>
      <c r="G298" t="n">
        <v>1.1</v>
      </c>
      <c r="H298" t="n">
        <v>0</v>
      </c>
      <c r="I298" t="n">
        <v>0</v>
      </c>
      <c r="J298" t="n">
        <v>0</v>
      </c>
      <c r="K298" t="n">
        <v>0</v>
      </c>
      <c r="L298" t="n">
        <v>0</v>
      </c>
      <c r="M298" t="n">
        <v>0</v>
      </c>
      <c r="N298" t="n">
        <v>0</v>
      </c>
      <c r="O298" t="n">
        <v>0</v>
      </c>
      <c r="P298" t="n">
        <v>0</v>
      </c>
      <c r="Q298" t="n">
        <v>0</v>
      </c>
      <c r="R298" s="2" t="inlineStr"/>
    </row>
    <row r="299" ht="15" customHeight="1">
      <c r="A299" t="inlineStr">
        <is>
          <t>A 48018-2021</t>
        </is>
      </c>
      <c r="B299" s="1" t="n">
        <v>44449.37518518518</v>
      </c>
      <c r="C299" s="1" t="n">
        <v>45971</v>
      </c>
      <c r="D299" t="inlineStr">
        <is>
          <t>KALMAR LÄN</t>
        </is>
      </c>
      <c r="E299" t="inlineStr">
        <is>
          <t>VÄSTERVIK</t>
        </is>
      </c>
      <c r="G299" t="n">
        <v>1.3</v>
      </c>
      <c r="H299" t="n">
        <v>0</v>
      </c>
      <c r="I299" t="n">
        <v>0</v>
      </c>
      <c r="J299" t="n">
        <v>0</v>
      </c>
      <c r="K299" t="n">
        <v>0</v>
      </c>
      <c r="L299" t="n">
        <v>0</v>
      </c>
      <c r="M299" t="n">
        <v>0</v>
      </c>
      <c r="N299" t="n">
        <v>0</v>
      </c>
      <c r="O299" t="n">
        <v>0</v>
      </c>
      <c r="P299" t="n">
        <v>0</v>
      </c>
      <c r="Q299" t="n">
        <v>0</v>
      </c>
      <c r="R299" s="2" t="inlineStr"/>
    </row>
    <row r="300" ht="15" customHeight="1">
      <c r="A300" t="inlineStr">
        <is>
          <t>A 57808-2021</t>
        </is>
      </c>
      <c r="B300" s="1" t="n">
        <v>44484</v>
      </c>
      <c r="C300" s="1" t="n">
        <v>45971</v>
      </c>
      <c r="D300" t="inlineStr">
        <is>
          <t>KALMAR LÄN</t>
        </is>
      </c>
      <c r="E300" t="inlineStr">
        <is>
          <t>VÄSTERVIK</t>
        </is>
      </c>
      <c r="G300" t="n">
        <v>1</v>
      </c>
      <c r="H300" t="n">
        <v>0</v>
      </c>
      <c r="I300" t="n">
        <v>0</v>
      </c>
      <c r="J300" t="n">
        <v>0</v>
      </c>
      <c r="K300" t="n">
        <v>0</v>
      </c>
      <c r="L300" t="n">
        <v>0</v>
      </c>
      <c r="M300" t="n">
        <v>0</v>
      </c>
      <c r="N300" t="n">
        <v>0</v>
      </c>
      <c r="O300" t="n">
        <v>0</v>
      </c>
      <c r="P300" t="n">
        <v>0</v>
      </c>
      <c r="Q300" t="n">
        <v>0</v>
      </c>
      <c r="R300" s="2" t="inlineStr"/>
    </row>
    <row r="301" ht="15" customHeight="1">
      <c r="A301" t="inlineStr">
        <is>
          <t>A 13626-2021</t>
        </is>
      </c>
      <c r="B301" s="1" t="n">
        <v>44274.39513888889</v>
      </c>
      <c r="C301" s="1" t="n">
        <v>45971</v>
      </c>
      <c r="D301" t="inlineStr">
        <is>
          <t>KALMAR LÄN</t>
        </is>
      </c>
      <c r="E301" t="inlineStr">
        <is>
          <t>VÄSTERVIK</t>
        </is>
      </c>
      <c r="G301" t="n">
        <v>0.7</v>
      </c>
      <c r="H301" t="n">
        <v>0</v>
      </c>
      <c r="I301" t="n">
        <v>0</v>
      </c>
      <c r="J301" t="n">
        <v>0</v>
      </c>
      <c r="K301" t="n">
        <v>0</v>
      </c>
      <c r="L301" t="n">
        <v>0</v>
      </c>
      <c r="M301" t="n">
        <v>0</v>
      </c>
      <c r="N301" t="n">
        <v>0</v>
      </c>
      <c r="O301" t="n">
        <v>0</v>
      </c>
      <c r="P301" t="n">
        <v>0</v>
      </c>
      <c r="Q301" t="n">
        <v>0</v>
      </c>
      <c r="R301" s="2" t="inlineStr"/>
    </row>
    <row r="302" ht="15" customHeight="1">
      <c r="A302" t="inlineStr">
        <is>
          <t>A 7754-2021</t>
        </is>
      </c>
      <c r="B302" s="1" t="n">
        <v>44239</v>
      </c>
      <c r="C302" s="1" t="n">
        <v>45971</v>
      </c>
      <c r="D302" t="inlineStr">
        <is>
          <t>KALMAR LÄN</t>
        </is>
      </c>
      <c r="E302" t="inlineStr">
        <is>
          <t>VÄSTERVIK</t>
        </is>
      </c>
      <c r="G302" t="n">
        <v>3.6</v>
      </c>
      <c r="H302" t="n">
        <v>0</v>
      </c>
      <c r="I302" t="n">
        <v>0</v>
      </c>
      <c r="J302" t="n">
        <v>0</v>
      </c>
      <c r="K302" t="n">
        <v>0</v>
      </c>
      <c r="L302" t="n">
        <v>0</v>
      </c>
      <c r="M302" t="n">
        <v>0</v>
      </c>
      <c r="N302" t="n">
        <v>0</v>
      </c>
      <c r="O302" t="n">
        <v>0</v>
      </c>
      <c r="P302" t="n">
        <v>0</v>
      </c>
      <c r="Q302" t="n">
        <v>0</v>
      </c>
      <c r="R302" s="2" t="inlineStr"/>
    </row>
    <row r="303" ht="15" customHeight="1">
      <c r="A303" t="inlineStr">
        <is>
          <t>A 401-2021</t>
        </is>
      </c>
      <c r="B303" s="1" t="n">
        <v>44201.62629629629</v>
      </c>
      <c r="C303" s="1" t="n">
        <v>45971</v>
      </c>
      <c r="D303" t="inlineStr">
        <is>
          <t>KALMAR LÄN</t>
        </is>
      </c>
      <c r="E303" t="inlineStr">
        <is>
          <t>VÄSTERVIK</t>
        </is>
      </c>
      <c r="G303" t="n">
        <v>0.8</v>
      </c>
      <c r="H303" t="n">
        <v>0</v>
      </c>
      <c r="I303" t="n">
        <v>0</v>
      </c>
      <c r="J303" t="n">
        <v>0</v>
      </c>
      <c r="K303" t="n">
        <v>0</v>
      </c>
      <c r="L303" t="n">
        <v>0</v>
      </c>
      <c r="M303" t="n">
        <v>0</v>
      </c>
      <c r="N303" t="n">
        <v>0</v>
      </c>
      <c r="O303" t="n">
        <v>0</v>
      </c>
      <c r="P303" t="n">
        <v>0</v>
      </c>
      <c r="Q303" t="n">
        <v>0</v>
      </c>
      <c r="R303" s="2" t="inlineStr"/>
    </row>
    <row r="304" ht="15" customHeight="1">
      <c r="A304" t="inlineStr">
        <is>
          <t>A 23097-2021</t>
        </is>
      </c>
      <c r="B304" s="1" t="n">
        <v>44330</v>
      </c>
      <c r="C304" s="1" t="n">
        <v>45971</v>
      </c>
      <c r="D304" t="inlineStr">
        <is>
          <t>KALMAR LÄN</t>
        </is>
      </c>
      <c r="E304" t="inlineStr">
        <is>
          <t>VÄSTERVIK</t>
        </is>
      </c>
      <c r="F304" t="inlineStr">
        <is>
          <t>Holmen skog AB</t>
        </is>
      </c>
      <c r="G304" t="n">
        <v>0.4</v>
      </c>
      <c r="H304" t="n">
        <v>0</v>
      </c>
      <c r="I304" t="n">
        <v>0</v>
      </c>
      <c r="J304" t="n">
        <v>0</v>
      </c>
      <c r="K304" t="n">
        <v>0</v>
      </c>
      <c r="L304" t="n">
        <v>0</v>
      </c>
      <c r="M304" t="n">
        <v>0</v>
      </c>
      <c r="N304" t="n">
        <v>0</v>
      </c>
      <c r="O304" t="n">
        <v>0</v>
      </c>
      <c r="P304" t="n">
        <v>0</v>
      </c>
      <c r="Q304" t="n">
        <v>0</v>
      </c>
      <c r="R304" s="2" t="inlineStr"/>
    </row>
    <row r="305" ht="15" customHeight="1">
      <c r="A305" t="inlineStr">
        <is>
          <t>A 23995-2021</t>
        </is>
      </c>
      <c r="B305" s="1" t="n">
        <v>44335.88846064815</v>
      </c>
      <c r="C305" s="1" t="n">
        <v>45971</v>
      </c>
      <c r="D305" t="inlineStr">
        <is>
          <t>KALMAR LÄN</t>
        </is>
      </c>
      <c r="E305" t="inlineStr">
        <is>
          <t>VÄSTERVIK</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37550-2021</t>
        </is>
      </c>
      <c r="B306" s="1" t="n">
        <v>44399.49815972222</v>
      </c>
      <c r="C306" s="1" t="n">
        <v>45971</v>
      </c>
      <c r="D306" t="inlineStr">
        <is>
          <t>KALMAR LÄN</t>
        </is>
      </c>
      <c r="E306" t="inlineStr">
        <is>
          <t>VÄSTERVIK</t>
        </is>
      </c>
      <c r="G306" t="n">
        <v>1.7</v>
      </c>
      <c r="H306" t="n">
        <v>0</v>
      </c>
      <c r="I306" t="n">
        <v>0</v>
      </c>
      <c r="J306" t="n">
        <v>0</v>
      </c>
      <c r="K306" t="n">
        <v>0</v>
      </c>
      <c r="L306" t="n">
        <v>0</v>
      </c>
      <c r="M306" t="n">
        <v>0</v>
      </c>
      <c r="N306" t="n">
        <v>0</v>
      </c>
      <c r="O306" t="n">
        <v>0</v>
      </c>
      <c r="P306" t="n">
        <v>0</v>
      </c>
      <c r="Q306" t="n">
        <v>0</v>
      </c>
      <c r="R306" s="2" t="inlineStr"/>
    </row>
    <row r="307" ht="15" customHeight="1">
      <c r="A307" t="inlineStr">
        <is>
          <t>A 48661-2021</t>
        </is>
      </c>
      <c r="B307" s="1" t="n">
        <v>44449</v>
      </c>
      <c r="C307" s="1" t="n">
        <v>45971</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29816-2022</t>
        </is>
      </c>
      <c r="B308" s="1" t="n">
        <v>44755</v>
      </c>
      <c r="C308" s="1" t="n">
        <v>45971</v>
      </c>
      <c r="D308" t="inlineStr">
        <is>
          <t>KALMAR LÄN</t>
        </is>
      </c>
      <c r="E308" t="inlineStr">
        <is>
          <t>VÄSTERVIK</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3553-2021</t>
        </is>
      </c>
      <c r="B309" s="1" t="n">
        <v>44218</v>
      </c>
      <c r="C309" s="1" t="n">
        <v>45971</v>
      </c>
      <c r="D309" t="inlineStr">
        <is>
          <t>KALMAR LÄN</t>
        </is>
      </c>
      <c r="E309" t="inlineStr">
        <is>
          <t>VÄSTERVIK</t>
        </is>
      </c>
      <c r="G309" t="n">
        <v>1.6</v>
      </c>
      <c r="H309" t="n">
        <v>0</v>
      </c>
      <c r="I309" t="n">
        <v>0</v>
      </c>
      <c r="J309" t="n">
        <v>0</v>
      </c>
      <c r="K309" t="n">
        <v>0</v>
      </c>
      <c r="L309" t="n">
        <v>0</v>
      </c>
      <c r="M309" t="n">
        <v>0</v>
      </c>
      <c r="N309" t="n">
        <v>0</v>
      </c>
      <c r="O309" t="n">
        <v>0</v>
      </c>
      <c r="P309" t="n">
        <v>0</v>
      </c>
      <c r="Q309" t="n">
        <v>0</v>
      </c>
      <c r="R309" s="2" t="inlineStr"/>
    </row>
    <row r="310" ht="15" customHeight="1">
      <c r="A310" t="inlineStr">
        <is>
          <t>A 17954-2022</t>
        </is>
      </c>
      <c r="B310" s="1" t="n">
        <v>44683</v>
      </c>
      <c r="C310" s="1" t="n">
        <v>45971</v>
      </c>
      <c r="D310" t="inlineStr">
        <is>
          <t>KALMAR LÄN</t>
        </is>
      </c>
      <c r="E310" t="inlineStr">
        <is>
          <t>VÄSTERVIK</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58555-2021</t>
        </is>
      </c>
      <c r="B311" s="1" t="n">
        <v>44488</v>
      </c>
      <c r="C311" s="1" t="n">
        <v>45971</v>
      </c>
      <c r="D311" t="inlineStr">
        <is>
          <t>KALMAR LÄN</t>
        </is>
      </c>
      <c r="E311" t="inlineStr">
        <is>
          <t>VÄSTERVIK</t>
        </is>
      </c>
      <c r="G311" t="n">
        <v>2.2</v>
      </c>
      <c r="H311" t="n">
        <v>0</v>
      </c>
      <c r="I311" t="n">
        <v>0</v>
      </c>
      <c r="J311" t="n">
        <v>0</v>
      </c>
      <c r="K311" t="n">
        <v>0</v>
      </c>
      <c r="L311" t="n">
        <v>0</v>
      </c>
      <c r="M311" t="n">
        <v>0</v>
      </c>
      <c r="N311" t="n">
        <v>0</v>
      </c>
      <c r="O311" t="n">
        <v>0</v>
      </c>
      <c r="P311" t="n">
        <v>0</v>
      </c>
      <c r="Q311" t="n">
        <v>0</v>
      </c>
      <c r="R311" s="2" t="inlineStr"/>
    </row>
    <row r="312" ht="15" customHeight="1">
      <c r="A312" t="inlineStr">
        <is>
          <t>A 37545-2021</t>
        </is>
      </c>
      <c r="B312" s="1" t="n">
        <v>44399</v>
      </c>
      <c r="C312" s="1" t="n">
        <v>45971</v>
      </c>
      <c r="D312" t="inlineStr">
        <is>
          <t>KALMAR LÄN</t>
        </is>
      </c>
      <c r="E312" t="inlineStr">
        <is>
          <t>VÄSTERVIK</t>
        </is>
      </c>
      <c r="G312" t="n">
        <v>0.9</v>
      </c>
      <c r="H312" t="n">
        <v>0</v>
      </c>
      <c r="I312" t="n">
        <v>0</v>
      </c>
      <c r="J312" t="n">
        <v>0</v>
      </c>
      <c r="K312" t="n">
        <v>0</v>
      </c>
      <c r="L312" t="n">
        <v>0</v>
      </c>
      <c r="M312" t="n">
        <v>0</v>
      </c>
      <c r="N312" t="n">
        <v>0</v>
      </c>
      <c r="O312" t="n">
        <v>0</v>
      </c>
      <c r="P312" t="n">
        <v>0</v>
      </c>
      <c r="Q312" t="n">
        <v>0</v>
      </c>
      <c r="R312" s="2" t="inlineStr"/>
    </row>
    <row r="313" ht="15" customHeight="1">
      <c r="A313" t="inlineStr">
        <is>
          <t>A 43808-2021</t>
        </is>
      </c>
      <c r="B313" s="1" t="n">
        <v>44433</v>
      </c>
      <c r="C313" s="1" t="n">
        <v>45971</v>
      </c>
      <c r="D313" t="inlineStr">
        <is>
          <t>KALMAR LÄN</t>
        </is>
      </c>
      <c r="E313" t="inlineStr">
        <is>
          <t>VÄSTERVIK</t>
        </is>
      </c>
      <c r="G313" t="n">
        <v>3.1</v>
      </c>
      <c r="H313" t="n">
        <v>0</v>
      </c>
      <c r="I313" t="n">
        <v>0</v>
      </c>
      <c r="J313" t="n">
        <v>0</v>
      </c>
      <c r="K313" t="n">
        <v>0</v>
      </c>
      <c r="L313" t="n">
        <v>0</v>
      </c>
      <c r="M313" t="n">
        <v>0</v>
      </c>
      <c r="N313" t="n">
        <v>0</v>
      </c>
      <c r="O313" t="n">
        <v>0</v>
      </c>
      <c r="P313" t="n">
        <v>0</v>
      </c>
      <c r="Q313" t="n">
        <v>0</v>
      </c>
      <c r="R313" s="2" t="inlineStr"/>
    </row>
    <row r="314" ht="15" customHeight="1">
      <c r="A314" t="inlineStr">
        <is>
          <t>A 42137-2021</t>
        </is>
      </c>
      <c r="B314" s="1" t="n">
        <v>44426</v>
      </c>
      <c r="C314" s="1" t="n">
        <v>45971</v>
      </c>
      <c r="D314" t="inlineStr">
        <is>
          <t>KALMAR LÄN</t>
        </is>
      </c>
      <c r="E314" t="inlineStr">
        <is>
          <t>VÄSTERVIK</t>
        </is>
      </c>
      <c r="G314" t="n">
        <v>1.2</v>
      </c>
      <c r="H314" t="n">
        <v>0</v>
      </c>
      <c r="I314" t="n">
        <v>0</v>
      </c>
      <c r="J314" t="n">
        <v>0</v>
      </c>
      <c r="K314" t="n">
        <v>0</v>
      </c>
      <c r="L314" t="n">
        <v>0</v>
      </c>
      <c r="M314" t="n">
        <v>0</v>
      </c>
      <c r="N314" t="n">
        <v>0</v>
      </c>
      <c r="O314" t="n">
        <v>0</v>
      </c>
      <c r="P314" t="n">
        <v>0</v>
      </c>
      <c r="Q314" t="n">
        <v>0</v>
      </c>
      <c r="R314" s="2" t="inlineStr"/>
    </row>
    <row r="315" ht="15" customHeight="1">
      <c r="A315" t="inlineStr">
        <is>
          <t>A 48021-2021</t>
        </is>
      </c>
      <c r="B315" s="1" t="n">
        <v>44449</v>
      </c>
      <c r="C315" s="1" t="n">
        <v>45971</v>
      </c>
      <c r="D315" t="inlineStr">
        <is>
          <t>KALMAR LÄN</t>
        </is>
      </c>
      <c r="E315" t="inlineStr">
        <is>
          <t>VÄSTERVIK</t>
        </is>
      </c>
      <c r="G315" t="n">
        <v>1.5</v>
      </c>
      <c r="H315" t="n">
        <v>0</v>
      </c>
      <c r="I315" t="n">
        <v>0</v>
      </c>
      <c r="J315" t="n">
        <v>0</v>
      </c>
      <c r="K315" t="n">
        <v>0</v>
      </c>
      <c r="L315" t="n">
        <v>0</v>
      </c>
      <c r="M315" t="n">
        <v>0</v>
      </c>
      <c r="N315" t="n">
        <v>0</v>
      </c>
      <c r="O315" t="n">
        <v>0</v>
      </c>
      <c r="P315" t="n">
        <v>0</v>
      </c>
      <c r="Q315" t="n">
        <v>0</v>
      </c>
      <c r="R315" s="2" t="inlineStr"/>
    </row>
    <row r="316" ht="15" customHeight="1">
      <c r="A316" t="inlineStr">
        <is>
          <t>A 43805-2021</t>
        </is>
      </c>
      <c r="B316" s="1" t="n">
        <v>44433</v>
      </c>
      <c r="C316" s="1" t="n">
        <v>45971</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43810-2021</t>
        </is>
      </c>
      <c r="B317" s="1" t="n">
        <v>44433</v>
      </c>
      <c r="C317" s="1" t="n">
        <v>45971</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8788-2021</t>
        </is>
      </c>
      <c r="B318" s="1" t="n">
        <v>44246</v>
      </c>
      <c r="C318" s="1" t="n">
        <v>45971</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42150-2021</t>
        </is>
      </c>
      <c r="B319" s="1" t="n">
        <v>44426</v>
      </c>
      <c r="C319" s="1" t="n">
        <v>45971</v>
      </c>
      <c r="D319" t="inlineStr">
        <is>
          <t>KALMAR LÄN</t>
        </is>
      </c>
      <c r="E319" t="inlineStr">
        <is>
          <t>VÄSTERVIK</t>
        </is>
      </c>
      <c r="G319" t="n">
        <v>0.3</v>
      </c>
      <c r="H319" t="n">
        <v>0</v>
      </c>
      <c r="I319" t="n">
        <v>0</v>
      </c>
      <c r="J319" t="n">
        <v>0</v>
      </c>
      <c r="K319" t="n">
        <v>0</v>
      </c>
      <c r="L319" t="n">
        <v>0</v>
      </c>
      <c r="M319" t="n">
        <v>0</v>
      </c>
      <c r="N319" t="n">
        <v>0</v>
      </c>
      <c r="O319" t="n">
        <v>0</v>
      </c>
      <c r="P319" t="n">
        <v>0</v>
      </c>
      <c r="Q319" t="n">
        <v>0</v>
      </c>
      <c r="R319" s="2" t="inlineStr"/>
    </row>
    <row r="320" ht="15" customHeight="1">
      <c r="A320" t="inlineStr">
        <is>
          <t>A 10117-2022</t>
        </is>
      </c>
      <c r="B320" s="1" t="n">
        <v>44621.90621527778</v>
      </c>
      <c r="C320" s="1" t="n">
        <v>45971</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34958-2021</t>
        </is>
      </c>
      <c r="B321" s="1" t="n">
        <v>44383</v>
      </c>
      <c r="C321" s="1" t="n">
        <v>45971</v>
      </c>
      <c r="D321" t="inlineStr">
        <is>
          <t>KALMAR LÄN</t>
        </is>
      </c>
      <c r="E321" t="inlineStr">
        <is>
          <t>VÄSTERVIK</t>
        </is>
      </c>
      <c r="G321" t="n">
        <v>2.7</v>
      </c>
      <c r="H321" t="n">
        <v>0</v>
      </c>
      <c r="I321" t="n">
        <v>0</v>
      </c>
      <c r="J321" t="n">
        <v>0</v>
      </c>
      <c r="K321" t="n">
        <v>0</v>
      </c>
      <c r="L321" t="n">
        <v>0</v>
      </c>
      <c r="M321" t="n">
        <v>0</v>
      </c>
      <c r="N321" t="n">
        <v>0</v>
      </c>
      <c r="O321" t="n">
        <v>0</v>
      </c>
      <c r="P321" t="n">
        <v>0</v>
      </c>
      <c r="Q321" t="n">
        <v>0</v>
      </c>
      <c r="R321" s="2" t="inlineStr"/>
    </row>
    <row r="322" ht="15" customHeight="1">
      <c r="A322" t="inlineStr">
        <is>
          <t>A 72733-2021</t>
        </is>
      </c>
      <c r="B322" s="1" t="n">
        <v>44546</v>
      </c>
      <c r="C322" s="1" t="n">
        <v>45971</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46781-2022</t>
        </is>
      </c>
      <c r="B323" s="1" t="n">
        <v>44851.49836805555</v>
      </c>
      <c r="C323" s="1" t="n">
        <v>45971</v>
      </c>
      <c r="D323" t="inlineStr">
        <is>
          <t>KALMAR LÄN</t>
        </is>
      </c>
      <c r="E323" t="inlineStr">
        <is>
          <t>VÄSTERVIK</t>
        </is>
      </c>
      <c r="G323" t="n">
        <v>13.2</v>
      </c>
      <c r="H323" t="n">
        <v>0</v>
      </c>
      <c r="I323" t="n">
        <v>0</v>
      </c>
      <c r="J323" t="n">
        <v>0</v>
      </c>
      <c r="K323" t="n">
        <v>0</v>
      </c>
      <c r="L323" t="n">
        <v>0</v>
      </c>
      <c r="M323" t="n">
        <v>0</v>
      </c>
      <c r="N323" t="n">
        <v>0</v>
      </c>
      <c r="O323" t="n">
        <v>0</v>
      </c>
      <c r="P323" t="n">
        <v>0</v>
      </c>
      <c r="Q323" t="n">
        <v>0</v>
      </c>
      <c r="R323" s="2" t="inlineStr"/>
    </row>
    <row r="324" ht="15" customHeight="1">
      <c r="A324" t="inlineStr">
        <is>
          <t>A 38613-2021</t>
        </is>
      </c>
      <c r="B324" s="1" t="n">
        <v>44409</v>
      </c>
      <c r="C324" s="1" t="n">
        <v>45971</v>
      </c>
      <c r="D324" t="inlineStr">
        <is>
          <t>KALMAR LÄN</t>
        </is>
      </c>
      <c r="E324" t="inlineStr">
        <is>
          <t>VÄSTERVIK</t>
        </is>
      </c>
      <c r="G324" t="n">
        <v>7</v>
      </c>
      <c r="H324" t="n">
        <v>0</v>
      </c>
      <c r="I324" t="n">
        <v>0</v>
      </c>
      <c r="J324" t="n">
        <v>0</v>
      </c>
      <c r="K324" t="n">
        <v>0</v>
      </c>
      <c r="L324" t="n">
        <v>0</v>
      </c>
      <c r="M324" t="n">
        <v>0</v>
      </c>
      <c r="N324" t="n">
        <v>0</v>
      </c>
      <c r="O324" t="n">
        <v>0</v>
      </c>
      <c r="P324" t="n">
        <v>0</v>
      </c>
      <c r="Q324" t="n">
        <v>0</v>
      </c>
      <c r="R324" s="2" t="inlineStr"/>
    </row>
    <row r="325" ht="15" customHeight="1">
      <c r="A325" t="inlineStr">
        <is>
          <t>A 23997-2021</t>
        </is>
      </c>
      <c r="B325" s="1" t="n">
        <v>44335</v>
      </c>
      <c r="C325" s="1" t="n">
        <v>45971</v>
      </c>
      <c r="D325" t="inlineStr">
        <is>
          <t>KALMAR LÄN</t>
        </is>
      </c>
      <c r="E325" t="inlineStr">
        <is>
          <t>VÄSTERVIK</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15834-2021</t>
        </is>
      </c>
      <c r="B326" s="1" t="n">
        <v>44286</v>
      </c>
      <c r="C326" s="1" t="n">
        <v>45971</v>
      </c>
      <c r="D326" t="inlineStr">
        <is>
          <t>KALMAR LÄN</t>
        </is>
      </c>
      <c r="E326" t="inlineStr">
        <is>
          <t>VÄSTERVIK</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66292-2020</t>
        </is>
      </c>
      <c r="B327" s="1" t="n">
        <v>44176</v>
      </c>
      <c r="C327" s="1" t="n">
        <v>45971</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53108-2022</t>
        </is>
      </c>
      <c r="B328" s="1" t="n">
        <v>44876.43712962963</v>
      </c>
      <c r="C328" s="1" t="n">
        <v>45971</v>
      </c>
      <c r="D328" t="inlineStr">
        <is>
          <t>KALMAR LÄN</t>
        </is>
      </c>
      <c r="E328" t="inlineStr">
        <is>
          <t>VÄSTERVIK</t>
        </is>
      </c>
      <c r="G328" t="n">
        <v>1</v>
      </c>
      <c r="H328" t="n">
        <v>0</v>
      </c>
      <c r="I328" t="n">
        <v>0</v>
      </c>
      <c r="J328" t="n">
        <v>0</v>
      </c>
      <c r="K328" t="n">
        <v>0</v>
      </c>
      <c r="L328" t="n">
        <v>0</v>
      </c>
      <c r="M328" t="n">
        <v>0</v>
      </c>
      <c r="N328" t="n">
        <v>0</v>
      </c>
      <c r="O328" t="n">
        <v>0</v>
      </c>
      <c r="P328" t="n">
        <v>0</v>
      </c>
      <c r="Q328" t="n">
        <v>0</v>
      </c>
      <c r="R328" s="2" t="inlineStr"/>
    </row>
    <row r="329" ht="15" customHeight="1">
      <c r="A329" t="inlineStr">
        <is>
          <t>A 23628-2021</t>
        </is>
      </c>
      <c r="B329" s="1" t="n">
        <v>44334</v>
      </c>
      <c r="C329" s="1" t="n">
        <v>45971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65647-2020</t>
        </is>
      </c>
      <c r="B330" s="1" t="n">
        <v>44174.32638888889</v>
      </c>
      <c r="C330" s="1" t="n">
        <v>45971</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33206-2022</t>
        </is>
      </c>
      <c r="B331" s="1" t="n">
        <v>44785</v>
      </c>
      <c r="C331" s="1" t="n">
        <v>45971</v>
      </c>
      <c r="D331" t="inlineStr">
        <is>
          <t>KALMAR LÄN</t>
        </is>
      </c>
      <c r="E331" t="inlineStr">
        <is>
          <t>VÄSTERVIK</t>
        </is>
      </c>
      <c r="G331" t="n">
        <v>1.8</v>
      </c>
      <c r="H331" t="n">
        <v>0</v>
      </c>
      <c r="I331" t="n">
        <v>0</v>
      </c>
      <c r="J331" t="n">
        <v>0</v>
      </c>
      <c r="K331" t="n">
        <v>0</v>
      </c>
      <c r="L331" t="n">
        <v>0</v>
      </c>
      <c r="M331" t="n">
        <v>0</v>
      </c>
      <c r="N331" t="n">
        <v>0</v>
      </c>
      <c r="O331" t="n">
        <v>0</v>
      </c>
      <c r="P331" t="n">
        <v>0</v>
      </c>
      <c r="Q331" t="n">
        <v>0</v>
      </c>
      <c r="R331" s="2" t="inlineStr"/>
    </row>
    <row r="332" ht="15" customHeight="1">
      <c r="A332" t="inlineStr">
        <is>
          <t>A 16765-2022</t>
        </is>
      </c>
      <c r="B332" s="1" t="n">
        <v>44673.48178240741</v>
      </c>
      <c r="C332" s="1" t="n">
        <v>45971</v>
      </c>
      <c r="D332" t="inlineStr">
        <is>
          <t>KALMAR LÄN</t>
        </is>
      </c>
      <c r="E332" t="inlineStr">
        <is>
          <t>VÄSTERVIK</t>
        </is>
      </c>
      <c r="G332" t="n">
        <v>0.7</v>
      </c>
      <c r="H332" t="n">
        <v>0</v>
      </c>
      <c r="I332" t="n">
        <v>0</v>
      </c>
      <c r="J332" t="n">
        <v>0</v>
      </c>
      <c r="K332" t="n">
        <v>0</v>
      </c>
      <c r="L332" t="n">
        <v>0</v>
      </c>
      <c r="M332" t="n">
        <v>0</v>
      </c>
      <c r="N332" t="n">
        <v>0</v>
      </c>
      <c r="O332" t="n">
        <v>0</v>
      </c>
      <c r="P332" t="n">
        <v>0</v>
      </c>
      <c r="Q332" t="n">
        <v>0</v>
      </c>
      <c r="R332" s="2" t="inlineStr"/>
    </row>
    <row r="333" ht="15" customHeight="1">
      <c r="A333" t="inlineStr">
        <is>
          <t>A 46783-2022</t>
        </is>
      </c>
      <c r="B333" s="1" t="n">
        <v>44851.50041666667</v>
      </c>
      <c r="C333" s="1" t="n">
        <v>45971</v>
      </c>
      <c r="D333" t="inlineStr">
        <is>
          <t>KALMAR LÄN</t>
        </is>
      </c>
      <c r="E333" t="inlineStr">
        <is>
          <t>VÄSTERVIK</t>
        </is>
      </c>
      <c r="G333" t="n">
        <v>2</v>
      </c>
      <c r="H333" t="n">
        <v>0</v>
      </c>
      <c r="I333" t="n">
        <v>0</v>
      </c>
      <c r="J333" t="n">
        <v>0</v>
      </c>
      <c r="K333" t="n">
        <v>0</v>
      </c>
      <c r="L333" t="n">
        <v>0</v>
      </c>
      <c r="M333" t="n">
        <v>0</v>
      </c>
      <c r="N333" t="n">
        <v>0</v>
      </c>
      <c r="O333" t="n">
        <v>0</v>
      </c>
      <c r="P333" t="n">
        <v>0</v>
      </c>
      <c r="Q333" t="n">
        <v>0</v>
      </c>
      <c r="R333" s="2" t="inlineStr"/>
    </row>
    <row r="334" ht="15" customHeight="1">
      <c r="A334" t="inlineStr">
        <is>
          <t>A 62930-2021</t>
        </is>
      </c>
      <c r="B334" s="1" t="n">
        <v>44504</v>
      </c>
      <c r="C334" s="1" t="n">
        <v>45971</v>
      </c>
      <c r="D334" t="inlineStr">
        <is>
          <t>KALMAR LÄN</t>
        </is>
      </c>
      <c r="E334" t="inlineStr">
        <is>
          <t>VÄSTERVIK</t>
        </is>
      </c>
      <c r="G334" t="n">
        <v>1.3</v>
      </c>
      <c r="H334" t="n">
        <v>0</v>
      </c>
      <c r="I334" t="n">
        <v>0</v>
      </c>
      <c r="J334" t="n">
        <v>0</v>
      </c>
      <c r="K334" t="n">
        <v>0</v>
      </c>
      <c r="L334" t="n">
        <v>0</v>
      </c>
      <c r="M334" t="n">
        <v>0</v>
      </c>
      <c r="N334" t="n">
        <v>0</v>
      </c>
      <c r="O334" t="n">
        <v>0</v>
      </c>
      <c r="P334" t="n">
        <v>0</v>
      </c>
      <c r="Q334" t="n">
        <v>0</v>
      </c>
      <c r="R334" s="2" t="inlineStr"/>
    </row>
    <row r="335" ht="15" customHeight="1">
      <c r="A335" t="inlineStr">
        <is>
          <t>A 15598-2021</t>
        </is>
      </c>
      <c r="B335" s="1" t="n">
        <v>44285.67078703704</v>
      </c>
      <c r="C335" s="1" t="n">
        <v>45971</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32583-2021</t>
        </is>
      </c>
      <c r="B336" s="1" t="n">
        <v>44375</v>
      </c>
      <c r="C336" s="1" t="n">
        <v>45971</v>
      </c>
      <c r="D336" t="inlineStr">
        <is>
          <t>KALMAR LÄN</t>
        </is>
      </c>
      <c r="E336" t="inlineStr">
        <is>
          <t>VÄSTERVIK</t>
        </is>
      </c>
      <c r="G336" t="n">
        <v>2.2</v>
      </c>
      <c r="H336" t="n">
        <v>0</v>
      </c>
      <c r="I336" t="n">
        <v>0</v>
      </c>
      <c r="J336" t="n">
        <v>0</v>
      </c>
      <c r="K336" t="n">
        <v>0</v>
      </c>
      <c r="L336" t="n">
        <v>0</v>
      </c>
      <c r="M336" t="n">
        <v>0</v>
      </c>
      <c r="N336" t="n">
        <v>0</v>
      </c>
      <c r="O336" t="n">
        <v>0</v>
      </c>
      <c r="P336" t="n">
        <v>0</v>
      </c>
      <c r="Q336" t="n">
        <v>0</v>
      </c>
      <c r="R336" s="2" t="inlineStr"/>
    </row>
    <row r="337" ht="15" customHeight="1">
      <c r="A337" t="inlineStr">
        <is>
          <t>A 13761-2021</t>
        </is>
      </c>
      <c r="B337" s="1" t="n">
        <v>44274.71607638889</v>
      </c>
      <c r="C337" s="1" t="n">
        <v>45971</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31545-2021</t>
        </is>
      </c>
      <c r="B338" s="1" t="n">
        <v>44369</v>
      </c>
      <c r="C338" s="1" t="n">
        <v>45971</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35906-2021</t>
        </is>
      </c>
      <c r="B339" s="1" t="n">
        <v>44387.67591435185</v>
      </c>
      <c r="C339" s="1" t="n">
        <v>45971</v>
      </c>
      <c r="D339" t="inlineStr">
        <is>
          <t>KALMAR LÄN</t>
        </is>
      </c>
      <c r="E339" t="inlineStr">
        <is>
          <t>VÄSTERVIK</t>
        </is>
      </c>
      <c r="G339" t="n">
        <v>2.5</v>
      </c>
      <c r="H339" t="n">
        <v>0</v>
      </c>
      <c r="I339" t="n">
        <v>0</v>
      </c>
      <c r="J339" t="n">
        <v>0</v>
      </c>
      <c r="K339" t="n">
        <v>0</v>
      </c>
      <c r="L339" t="n">
        <v>0</v>
      </c>
      <c r="M339" t="n">
        <v>0</v>
      </c>
      <c r="N339" t="n">
        <v>0</v>
      </c>
      <c r="O339" t="n">
        <v>0</v>
      </c>
      <c r="P339" t="n">
        <v>0</v>
      </c>
      <c r="Q339" t="n">
        <v>0</v>
      </c>
      <c r="R339" s="2" t="inlineStr"/>
    </row>
    <row r="340" ht="15" customHeight="1">
      <c r="A340" t="inlineStr">
        <is>
          <t>A 18013-2021</t>
        </is>
      </c>
      <c r="B340" s="1" t="n">
        <v>44302</v>
      </c>
      <c r="C340" s="1" t="n">
        <v>45971</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55382-2022</t>
        </is>
      </c>
      <c r="B341" s="1" t="n">
        <v>44887</v>
      </c>
      <c r="C341" s="1" t="n">
        <v>45971</v>
      </c>
      <c r="D341" t="inlineStr">
        <is>
          <t>KALMAR LÄN</t>
        </is>
      </c>
      <c r="E341" t="inlineStr">
        <is>
          <t>VÄSTERVIK</t>
        </is>
      </c>
      <c r="G341" t="n">
        <v>3.2</v>
      </c>
      <c r="H341" t="n">
        <v>0</v>
      </c>
      <c r="I341" t="n">
        <v>0</v>
      </c>
      <c r="J341" t="n">
        <v>0</v>
      </c>
      <c r="K341" t="n">
        <v>0</v>
      </c>
      <c r="L341" t="n">
        <v>0</v>
      </c>
      <c r="M341" t="n">
        <v>0</v>
      </c>
      <c r="N341" t="n">
        <v>0</v>
      </c>
      <c r="O341" t="n">
        <v>0</v>
      </c>
      <c r="P341" t="n">
        <v>0</v>
      </c>
      <c r="Q341" t="n">
        <v>0</v>
      </c>
      <c r="R341" s="2" t="inlineStr"/>
    </row>
    <row r="342" ht="15" customHeight="1">
      <c r="A342" t="inlineStr">
        <is>
          <t>A 3669-2021</t>
        </is>
      </c>
      <c r="B342" s="1" t="n">
        <v>44221</v>
      </c>
      <c r="C342" s="1" t="n">
        <v>45971</v>
      </c>
      <c r="D342" t="inlineStr">
        <is>
          <t>KALMAR LÄN</t>
        </is>
      </c>
      <c r="E342" t="inlineStr">
        <is>
          <t>VÄSTERVIK</t>
        </is>
      </c>
      <c r="G342" t="n">
        <v>2.7</v>
      </c>
      <c r="H342" t="n">
        <v>0</v>
      </c>
      <c r="I342" t="n">
        <v>0</v>
      </c>
      <c r="J342" t="n">
        <v>0</v>
      </c>
      <c r="K342" t="n">
        <v>0</v>
      </c>
      <c r="L342" t="n">
        <v>0</v>
      </c>
      <c r="M342" t="n">
        <v>0</v>
      </c>
      <c r="N342" t="n">
        <v>0</v>
      </c>
      <c r="O342" t="n">
        <v>0</v>
      </c>
      <c r="P342" t="n">
        <v>0</v>
      </c>
      <c r="Q342" t="n">
        <v>0</v>
      </c>
      <c r="R342" s="2" t="inlineStr"/>
    </row>
    <row r="343" ht="15" customHeight="1">
      <c r="A343" t="inlineStr">
        <is>
          <t>A 3718-2022</t>
        </is>
      </c>
      <c r="B343" s="1" t="n">
        <v>44586</v>
      </c>
      <c r="C343" s="1" t="n">
        <v>45971</v>
      </c>
      <c r="D343" t="inlineStr">
        <is>
          <t>KALMAR LÄN</t>
        </is>
      </c>
      <c r="E343" t="inlineStr">
        <is>
          <t>VÄSTERVIK</t>
        </is>
      </c>
      <c r="G343" t="n">
        <v>0.8</v>
      </c>
      <c r="H343" t="n">
        <v>0</v>
      </c>
      <c r="I343" t="n">
        <v>0</v>
      </c>
      <c r="J343" t="n">
        <v>0</v>
      </c>
      <c r="K343" t="n">
        <v>0</v>
      </c>
      <c r="L343" t="n">
        <v>0</v>
      </c>
      <c r="M343" t="n">
        <v>0</v>
      </c>
      <c r="N343" t="n">
        <v>0</v>
      </c>
      <c r="O343" t="n">
        <v>0</v>
      </c>
      <c r="P343" t="n">
        <v>0</v>
      </c>
      <c r="Q343" t="n">
        <v>0</v>
      </c>
      <c r="R343" s="2" t="inlineStr"/>
    </row>
    <row r="344" ht="15" customHeight="1">
      <c r="A344" t="inlineStr">
        <is>
          <t>A 809-2021</t>
        </is>
      </c>
      <c r="B344" s="1" t="n">
        <v>44204</v>
      </c>
      <c r="C344" s="1" t="n">
        <v>45971</v>
      </c>
      <c r="D344" t="inlineStr">
        <is>
          <t>KALMAR LÄN</t>
        </is>
      </c>
      <c r="E344" t="inlineStr">
        <is>
          <t>VÄSTERVIK</t>
        </is>
      </c>
      <c r="F344" t="inlineStr">
        <is>
          <t>Övriga Aktiebolag</t>
        </is>
      </c>
      <c r="G344" t="n">
        <v>2.8</v>
      </c>
      <c r="H344" t="n">
        <v>0</v>
      </c>
      <c r="I344" t="n">
        <v>0</v>
      </c>
      <c r="J344" t="n">
        <v>0</v>
      </c>
      <c r="K344" t="n">
        <v>0</v>
      </c>
      <c r="L344" t="n">
        <v>0</v>
      </c>
      <c r="M344" t="n">
        <v>0</v>
      </c>
      <c r="N344" t="n">
        <v>0</v>
      </c>
      <c r="O344" t="n">
        <v>0</v>
      </c>
      <c r="P344" t="n">
        <v>0</v>
      </c>
      <c r="Q344" t="n">
        <v>0</v>
      </c>
      <c r="R344" s="2" t="inlineStr"/>
    </row>
    <row r="345" ht="15" customHeight="1">
      <c r="A345" t="inlineStr">
        <is>
          <t>A 49377-2022</t>
        </is>
      </c>
      <c r="B345" s="1" t="n">
        <v>44861.60849537037</v>
      </c>
      <c r="C345" s="1" t="n">
        <v>45971</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578-2021</t>
        </is>
      </c>
      <c r="B346" s="1" t="n">
        <v>44203</v>
      </c>
      <c r="C346" s="1" t="n">
        <v>45971</v>
      </c>
      <c r="D346" t="inlineStr">
        <is>
          <t>KALMAR LÄN</t>
        </is>
      </c>
      <c r="E346" t="inlineStr">
        <is>
          <t>VÄSTERVIK</t>
        </is>
      </c>
      <c r="G346" t="n">
        <v>3.5</v>
      </c>
      <c r="H346" t="n">
        <v>0</v>
      </c>
      <c r="I346" t="n">
        <v>0</v>
      </c>
      <c r="J346" t="n">
        <v>0</v>
      </c>
      <c r="K346" t="n">
        <v>0</v>
      </c>
      <c r="L346" t="n">
        <v>0</v>
      </c>
      <c r="M346" t="n">
        <v>0</v>
      </c>
      <c r="N346" t="n">
        <v>0</v>
      </c>
      <c r="O346" t="n">
        <v>0</v>
      </c>
      <c r="P346" t="n">
        <v>0</v>
      </c>
      <c r="Q346" t="n">
        <v>0</v>
      </c>
      <c r="R346" s="2" t="inlineStr"/>
    </row>
    <row r="347" ht="15" customHeight="1">
      <c r="A347" t="inlineStr">
        <is>
          <t>A 12123-2021</t>
        </is>
      </c>
      <c r="B347" s="1" t="n">
        <v>44266.55212962963</v>
      </c>
      <c r="C347" s="1" t="n">
        <v>45971</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4057-2022</t>
        </is>
      </c>
      <c r="B348" s="1" t="n">
        <v>44588</v>
      </c>
      <c r="C348" s="1" t="n">
        <v>45971</v>
      </c>
      <c r="D348" t="inlineStr">
        <is>
          <t>KALMAR LÄN</t>
        </is>
      </c>
      <c r="E348" t="inlineStr">
        <is>
          <t>VÄSTERVIK</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66748-2020</t>
        </is>
      </c>
      <c r="B349" s="1" t="n">
        <v>44175</v>
      </c>
      <c r="C349" s="1" t="n">
        <v>45971</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166-2022</t>
        </is>
      </c>
      <c r="B350" s="1" t="n">
        <v>44564</v>
      </c>
      <c r="C350" s="1" t="n">
        <v>45971</v>
      </c>
      <c r="D350" t="inlineStr">
        <is>
          <t>KALMAR LÄN</t>
        </is>
      </c>
      <c r="E350" t="inlineStr">
        <is>
          <t>VÄSTERVIK</t>
        </is>
      </c>
      <c r="G350" t="n">
        <v>1.5</v>
      </c>
      <c r="H350" t="n">
        <v>0</v>
      </c>
      <c r="I350" t="n">
        <v>0</v>
      </c>
      <c r="J350" t="n">
        <v>0</v>
      </c>
      <c r="K350" t="n">
        <v>0</v>
      </c>
      <c r="L350" t="n">
        <v>0</v>
      </c>
      <c r="M350" t="n">
        <v>0</v>
      </c>
      <c r="N350" t="n">
        <v>0</v>
      </c>
      <c r="O350" t="n">
        <v>0</v>
      </c>
      <c r="P350" t="n">
        <v>0</v>
      </c>
      <c r="Q350" t="n">
        <v>0</v>
      </c>
      <c r="R350" s="2" t="inlineStr"/>
    </row>
    <row r="351" ht="15" customHeight="1">
      <c r="A351" t="inlineStr">
        <is>
          <t>A 34953-2021</t>
        </is>
      </c>
      <c r="B351" s="1" t="n">
        <v>44383</v>
      </c>
      <c r="C351" s="1" t="n">
        <v>45971</v>
      </c>
      <c r="D351" t="inlineStr">
        <is>
          <t>KALMAR LÄN</t>
        </is>
      </c>
      <c r="E351" t="inlineStr">
        <is>
          <t>VÄSTERVIK</t>
        </is>
      </c>
      <c r="G351" t="n">
        <v>4.4</v>
      </c>
      <c r="H351" t="n">
        <v>0</v>
      </c>
      <c r="I351" t="n">
        <v>0</v>
      </c>
      <c r="J351" t="n">
        <v>0</v>
      </c>
      <c r="K351" t="n">
        <v>0</v>
      </c>
      <c r="L351" t="n">
        <v>0</v>
      </c>
      <c r="M351" t="n">
        <v>0</v>
      </c>
      <c r="N351" t="n">
        <v>0</v>
      </c>
      <c r="O351" t="n">
        <v>0</v>
      </c>
      <c r="P351" t="n">
        <v>0</v>
      </c>
      <c r="Q351" t="n">
        <v>0</v>
      </c>
      <c r="R351" s="2" t="inlineStr"/>
    </row>
    <row r="352" ht="15" customHeight="1">
      <c r="A352" t="inlineStr">
        <is>
          <t>A 47525-2021</t>
        </is>
      </c>
      <c r="B352" s="1" t="n">
        <v>44447</v>
      </c>
      <c r="C352" s="1" t="n">
        <v>45971</v>
      </c>
      <c r="D352" t="inlineStr">
        <is>
          <t>KALMAR LÄN</t>
        </is>
      </c>
      <c r="E352" t="inlineStr">
        <is>
          <t>VÄSTERVIK</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17124-2021</t>
        </is>
      </c>
      <c r="B353" s="1" t="n">
        <v>44298</v>
      </c>
      <c r="C353" s="1" t="n">
        <v>45971</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64558-2021</t>
        </is>
      </c>
      <c r="B354" s="1" t="n">
        <v>44511</v>
      </c>
      <c r="C354" s="1" t="n">
        <v>45971</v>
      </c>
      <c r="D354" t="inlineStr">
        <is>
          <t>KALMAR LÄN</t>
        </is>
      </c>
      <c r="E354" t="inlineStr">
        <is>
          <t>VÄSTERVIK</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24570-2021</t>
        </is>
      </c>
      <c r="B355" s="1" t="n">
        <v>44339</v>
      </c>
      <c r="C355" s="1" t="n">
        <v>45971</v>
      </c>
      <c r="D355" t="inlineStr">
        <is>
          <t>KALMAR LÄN</t>
        </is>
      </c>
      <c r="E355" t="inlineStr">
        <is>
          <t>VÄSTERVIK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61584-2021</t>
        </is>
      </c>
      <c r="B356" s="1" t="n">
        <v>44501.45256944445</v>
      </c>
      <c r="C356" s="1" t="n">
        <v>45971</v>
      </c>
      <c r="D356" t="inlineStr">
        <is>
          <t>KALMAR LÄN</t>
        </is>
      </c>
      <c r="E356" t="inlineStr">
        <is>
          <t>VÄSTERVIK</t>
        </is>
      </c>
      <c r="G356" t="n">
        <v>3.3</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45971</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40925-2022</t>
        </is>
      </c>
      <c r="B358" s="1" t="n">
        <v>44825.41880787037</v>
      </c>
      <c r="C358" s="1" t="n">
        <v>45971</v>
      </c>
      <c r="D358" t="inlineStr">
        <is>
          <t>KALMAR LÄN</t>
        </is>
      </c>
      <c r="E358" t="inlineStr">
        <is>
          <t>VÄSTERVIK</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45971</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31317-2021</t>
        </is>
      </c>
      <c r="B360" s="1" t="n">
        <v>44368.90879629629</v>
      </c>
      <c r="C360" s="1" t="n">
        <v>45971</v>
      </c>
      <c r="D360" t="inlineStr">
        <is>
          <t>KALMAR LÄN</t>
        </is>
      </c>
      <c r="E360" t="inlineStr">
        <is>
          <t>VÄSTERVIK</t>
        </is>
      </c>
      <c r="G360" t="n">
        <v>2.3</v>
      </c>
      <c r="H360" t="n">
        <v>0</v>
      </c>
      <c r="I360" t="n">
        <v>0</v>
      </c>
      <c r="J360" t="n">
        <v>0</v>
      </c>
      <c r="K360" t="n">
        <v>0</v>
      </c>
      <c r="L360" t="n">
        <v>0</v>
      </c>
      <c r="M360" t="n">
        <v>0</v>
      </c>
      <c r="N360" t="n">
        <v>0</v>
      </c>
      <c r="O360" t="n">
        <v>0</v>
      </c>
      <c r="P360" t="n">
        <v>0</v>
      </c>
      <c r="Q360" t="n">
        <v>0</v>
      </c>
      <c r="R360" s="2" t="inlineStr"/>
    </row>
    <row r="361" ht="15" customHeight="1">
      <c r="A361" t="inlineStr">
        <is>
          <t>A 66888-2020</t>
        </is>
      </c>
      <c r="B361" s="1" t="n">
        <v>44179</v>
      </c>
      <c r="C361" s="1" t="n">
        <v>45971</v>
      </c>
      <c r="D361" t="inlineStr">
        <is>
          <t>KALMAR LÄN</t>
        </is>
      </c>
      <c r="E361" t="inlineStr">
        <is>
          <t>VÄSTERVIK</t>
        </is>
      </c>
      <c r="G361" t="n">
        <v>0.3</v>
      </c>
      <c r="H361" t="n">
        <v>0</v>
      </c>
      <c r="I361" t="n">
        <v>0</v>
      </c>
      <c r="J361" t="n">
        <v>0</v>
      </c>
      <c r="K361" t="n">
        <v>0</v>
      </c>
      <c r="L361" t="n">
        <v>0</v>
      </c>
      <c r="M361" t="n">
        <v>0</v>
      </c>
      <c r="N361" t="n">
        <v>0</v>
      </c>
      <c r="O361" t="n">
        <v>0</v>
      </c>
      <c r="P361" t="n">
        <v>0</v>
      </c>
      <c r="Q361" t="n">
        <v>0</v>
      </c>
      <c r="R361" s="2" t="inlineStr"/>
    </row>
    <row r="362" ht="15" customHeight="1">
      <c r="A362" t="inlineStr">
        <is>
          <t>A 410-2021</t>
        </is>
      </c>
      <c r="B362" s="1" t="n">
        <v>44201.63928240741</v>
      </c>
      <c r="C362" s="1" t="n">
        <v>45971</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320-2022</t>
        </is>
      </c>
      <c r="B363" s="1" t="n">
        <v>44565</v>
      </c>
      <c r="C363" s="1" t="n">
        <v>45971</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61799-2020</t>
        </is>
      </c>
      <c r="B364" s="1" t="n">
        <v>44158</v>
      </c>
      <c r="C364" s="1" t="n">
        <v>45971</v>
      </c>
      <c r="D364" t="inlineStr">
        <is>
          <t>KALMAR LÄN</t>
        </is>
      </c>
      <c r="E364" t="inlineStr">
        <is>
          <t>VÄSTERVIK</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45971</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43826-2021</t>
        </is>
      </c>
      <c r="B366" s="1" t="n">
        <v>44433</v>
      </c>
      <c r="C366" s="1" t="n">
        <v>45971</v>
      </c>
      <c r="D366" t="inlineStr">
        <is>
          <t>KALMAR LÄN</t>
        </is>
      </c>
      <c r="E366" t="inlineStr">
        <is>
          <t>VÄSTERVIK</t>
        </is>
      </c>
      <c r="G366" t="n">
        <v>4.2</v>
      </c>
      <c r="H366" t="n">
        <v>0</v>
      </c>
      <c r="I366" t="n">
        <v>0</v>
      </c>
      <c r="J366" t="n">
        <v>0</v>
      </c>
      <c r="K366" t="n">
        <v>0</v>
      </c>
      <c r="L366" t="n">
        <v>0</v>
      </c>
      <c r="M366" t="n">
        <v>0</v>
      </c>
      <c r="N366" t="n">
        <v>0</v>
      </c>
      <c r="O366" t="n">
        <v>0</v>
      </c>
      <c r="P366" t="n">
        <v>0</v>
      </c>
      <c r="Q366" t="n">
        <v>0</v>
      </c>
      <c r="R366" s="2" t="inlineStr"/>
    </row>
    <row r="367" ht="15" customHeight="1">
      <c r="A367" t="inlineStr">
        <is>
          <t>A 43759-2021</t>
        </is>
      </c>
      <c r="B367" s="1" t="n">
        <v>44433</v>
      </c>
      <c r="C367" s="1" t="n">
        <v>45971</v>
      </c>
      <c r="D367" t="inlineStr">
        <is>
          <t>KALMAR LÄN</t>
        </is>
      </c>
      <c r="E367" t="inlineStr">
        <is>
          <t>VÄSTERVIK</t>
        </is>
      </c>
      <c r="G367" t="n">
        <v>0.4</v>
      </c>
      <c r="H367" t="n">
        <v>0</v>
      </c>
      <c r="I367" t="n">
        <v>0</v>
      </c>
      <c r="J367" t="n">
        <v>0</v>
      </c>
      <c r="K367" t="n">
        <v>0</v>
      </c>
      <c r="L367" t="n">
        <v>0</v>
      </c>
      <c r="M367" t="n">
        <v>0</v>
      </c>
      <c r="N367" t="n">
        <v>0</v>
      </c>
      <c r="O367" t="n">
        <v>0</v>
      </c>
      <c r="P367" t="n">
        <v>0</v>
      </c>
      <c r="Q367" t="n">
        <v>0</v>
      </c>
      <c r="R367" s="2" t="inlineStr"/>
    </row>
    <row r="368" ht="15" customHeight="1">
      <c r="A368" t="inlineStr">
        <is>
          <t>A 63212-2020</t>
        </is>
      </c>
      <c r="B368" s="1" t="n">
        <v>44163</v>
      </c>
      <c r="C368" s="1" t="n">
        <v>45971</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61682-2020</t>
        </is>
      </c>
      <c r="B369" s="1" t="n">
        <v>44154</v>
      </c>
      <c r="C369" s="1" t="n">
        <v>45971</v>
      </c>
      <c r="D369" t="inlineStr">
        <is>
          <t>KALMAR LÄN</t>
        </is>
      </c>
      <c r="E369" t="inlineStr">
        <is>
          <t>VÄSTERVIK</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10119-2022</t>
        </is>
      </c>
      <c r="B370" s="1" t="n">
        <v>44621.91652777778</v>
      </c>
      <c r="C370" s="1" t="n">
        <v>45971</v>
      </c>
      <c r="D370" t="inlineStr">
        <is>
          <t>KALMAR LÄN</t>
        </is>
      </c>
      <c r="E370" t="inlineStr">
        <is>
          <t>VÄSTERVIK</t>
        </is>
      </c>
      <c r="G370" t="n">
        <v>0.9</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45971</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34836-2022</t>
        </is>
      </c>
      <c r="B372" s="1" t="n">
        <v>44796</v>
      </c>
      <c r="C372" s="1" t="n">
        <v>45971</v>
      </c>
      <c r="D372" t="inlineStr">
        <is>
          <t>KALMAR LÄN</t>
        </is>
      </c>
      <c r="E372" t="inlineStr">
        <is>
          <t>VÄSTERVIK</t>
        </is>
      </c>
      <c r="G372" t="n">
        <v>1.3</v>
      </c>
      <c r="H372" t="n">
        <v>0</v>
      </c>
      <c r="I372" t="n">
        <v>0</v>
      </c>
      <c r="J372" t="n">
        <v>0</v>
      </c>
      <c r="K372" t="n">
        <v>0</v>
      </c>
      <c r="L372" t="n">
        <v>0</v>
      </c>
      <c r="M372" t="n">
        <v>0</v>
      </c>
      <c r="N372" t="n">
        <v>0</v>
      </c>
      <c r="O372" t="n">
        <v>0</v>
      </c>
      <c r="P372" t="n">
        <v>0</v>
      </c>
      <c r="Q372" t="n">
        <v>0</v>
      </c>
      <c r="R372" s="2" t="inlineStr"/>
    </row>
    <row r="373" ht="15" customHeight="1">
      <c r="A373" t="inlineStr">
        <is>
          <t>A 68811-2020</t>
        </is>
      </c>
      <c r="B373" s="1" t="n">
        <v>44187</v>
      </c>
      <c r="C373" s="1" t="n">
        <v>45971</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45971</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45971</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37753-2021</t>
        </is>
      </c>
      <c r="B376" s="1" t="n">
        <v>44400.63810185185</v>
      </c>
      <c r="C376" s="1" t="n">
        <v>45971</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45971</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45971</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19660-2021</t>
        </is>
      </c>
      <c r="B379" s="1" t="n">
        <v>44312</v>
      </c>
      <c r="C379" s="1" t="n">
        <v>45971</v>
      </c>
      <c r="D379" t="inlineStr">
        <is>
          <t>KALMAR LÄN</t>
        </is>
      </c>
      <c r="E379" t="inlineStr">
        <is>
          <t>VÄSTERVIK</t>
        </is>
      </c>
      <c r="G379" t="n">
        <v>2.3</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45971</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66757-2020</t>
        </is>
      </c>
      <c r="B381" s="1" t="n">
        <v>44175</v>
      </c>
      <c r="C381" s="1" t="n">
        <v>45971</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45971</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45971</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69064-2020</t>
        </is>
      </c>
      <c r="B384" s="1" t="n">
        <v>44188.47537037037</v>
      </c>
      <c r="C384" s="1" t="n">
        <v>45971</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45971</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959-2022</t>
        </is>
      </c>
      <c r="B386" s="1" t="n">
        <v>44571</v>
      </c>
      <c r="C386" s="1" t="n">
        <v>45971</v>
      </c>
      <c r="D386" t="inlineStr">
        <is>
          <t>KALMAR LÄN</t>
        </is>
      </c>
      <c r="E386" t="inlineStr">
        <is>
          <t>VÄSTERVIK</t>
        </is>
      </c>
      <c r="G386" t="n">
        <v>2.5</v>
      </c>
      <c r="H386" t="n">
        <v>0</v>
      </c>
      <c r="I386" t="n">
        <v>0</v>
      </c>
      <c r="J386" t="n">
        <v>0</v>
      </c>
      <c r="K386" t="n">
        <v>0</v>
      </c>
      <c r="L386" t="n">
        <v>0</v>
      </c>
      <c r="M386" t="n">
        <v>0</v>
      </c>
      <c r="N386" t="n">
        <v>0</v>
      </c>
      <c r="O386" t="n">
        <v>0</v>
      </c>
      <c r="P386" t="n">
        <v>0</v>
      </c>
      <c r="Q386" t="n">
        <v>0</v>
      </c>
      <c r="R386" s="2" t="inlineStr"/>
    </row>
    <row r="387" ht="15" customHeight="1">
      <c r="A387" t="inlineStr">
        <is>
          <t>A 38399-2022</t>
        </is>
      </c>
      <c r="B387" s="1" t="n">
        <v>44812</v>
      </c>
      <c r="C387" s="1" t="n">
        <v>45971</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55053-2024</t>
        </is>
      </c>
      <c r="B388" s="1" t="n">
        <v>45621.39938657408</v>
      </c>
      <c r="C388" s="1" t="n">
        <v>45971</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66149-2020</t>
        </is>
      </c>
      <c r="B389" s="1" t="n">
        <v>44173</v>
      </c>
      <c r="C389" s="1" t="n">
        <v>45971</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45971</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2106-2021</t>
        </is>
      </c>
      <c r="B391" s="1" t="n">
        <v>44211</v>
      </c>
      <c r="C391" s="1" t="n">
        <v>45971</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18837-2021</t>
        </is>
      </c>
      <c r="B392" s="1" t="n">
        <v>44307</v>
      </c>
      <c r="C392" s="1" t="n">
        <v>45971</v>
      </c>
      <c r="D392" t="inlineStr">
        <is>
          <t>KALMAR LÄN</t>
        </is>
      </c>
      <c r="E392" t="inlineStr">
        <is>
          <t>VÄSTERVIK</t>
        </is>
      </c>
      <c r="G392" t="n">
        <v>1.6</v>
      </c>
      <c r="H392" t="n">
        <v>0</v>
      </c>
      <c r="I392" t="n">
        <v>0</v>
      </c>
      <c r="J392" t="n">
        <v>0</v>
      </c>
      <c r="K392" t="n">
        <v>0</v>
      </c>
      <c r="L392" t="n">
        <v>0</v>
      </c>
      <c r="M392" t="n">
        <v>0</v>
      </c>
      <c r="N392" t="n">
        <v>0</v>
      </c>
      <c r="O392" t="n">
        <v>0</v>
      </c>
      <c r="P392" t="n">
        <v>0</v>
      </c>
      <c r="Q392" t="n">
        <v>0</v>
      </c>
      <c r="R392" s="2" t="inlineStr"/>
    </row>
    <row r="393" ht="15" customHeight="1">
      <c r="A393" t="inlineStr">
        <is>
          <t>A 15591-2021</t>
        </is>
      </c>
      <c r="B393" s="1" t="n">
        <v>44285.66303240741</v>
      </c>
      <c r="C393" s="1" t="n">
        <v>45971</v>
      </c>
      <c r="D393" t="inlineStr">
        <is>
          <t>KALMAR LÄN</t>
        </is>
      </c>
      <c r="E393" t="inlineStr">
        <is>
          <t>VÄSTERVIK</t>
        </is>
      </c>
      <c r="G393" t="n">
        <v>2.1</v>
      </c>
      <c r="H393" t="n">
        <v>0</v>
      </c>
      <c r="I393" t="n">
        <v>0</v>
      </c>
      <c r="J393" t="n">
        <v>0</v>
      </c>
      <c r="K393" t="n">
        <v>0</v>
      </c>
      <c r="L393" t="n">
        <v>0</v>
      </c>
      <c r="M393" t="n">
        <v>0</v>
      </c>
      <c r="N393" t="n">
        <v>0</v>
      </c>
      <c r="O393" t="n">
        <v>0</v>
      </c>
      <c r="P393" t="n">
        <v>0</v>
      </c>
      <c r="Q393" t="n">
        <v>0</v>
      </c>
      <c r="R393" s="2" t="inlineStr"/>
    </row>
    <row r="394" ht="15" customHeight="1">
      <c r="A394" t="inlineStr">
        <is>
          <t>A 43759-2023</t>
        </is>
      </c>
      <c r="B394" s="1" t="n">
        <v>45187</v>
      </c>
      <c r="C394" s="1" t="n">
        <v>45971</v>
      </c>
      <c r="D394" t="inlineStr">
        <is>
          <t>KALMAR LÄN</t>
        </is>
      </c>
      <c r="E394" t="inlineStr">
        <is>
          <t>VÄSTERVIK</t>
        </is>
      </c>
      <c r="G394" t="n">
        <v>3.3</v>
      </c>
      <c r="H394" t="n">
        <v>0</v>
      </c>
      <c r="I394" t="n">
        <v>0</v>
      </c>
      <c r="J394" t="n">
        <v>0</v>
      </c>
      <c r="K394" t="n">
        <v>0</v>
      </c>
      <c r="L394" t="n">
        <v>0</v>
      </c>
      <c r="M394" t="n">
        <v>0</v>
      </c>
      <c r="N394" t="n">
        <v>0</v>
      </c>
      <c r="O394" t="n">
        <v>0</v>
      </c>
      <c r="P394" t="n">
        <v>0</v>
      </c>
      <c r="Q394" t="n">
        <v>0</v>
      </c>
      <c r="R394" s="2" t="inlineStr"/>
    </row>
    <row r="395" ht="15" customHeight="1">
      <c r="A395" t="inlineStr">
        <is>
          <t>A 44705-2023</t>
        </is>
      </c>
      <c r="B395" s="1" t="n">
        <v>45190</v>
      </c>
      <c r="C395" s="1" t="n">
        <v>45971</v>
      </c>
      <c r="D395" t="inlineStr">
        <is>
          <t>KALMAR LÄN</t>
        </is>
      </c>
      <c r="E395" t="inlineStr">
        <is>
          <t>VÄSTERVIK</t>
        </is>
      </c>
      <c r="G395" t="n">
        <v>1.4</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45971</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12333-2025</t>
        </is>
      </c>
      <c r="B397" s="1" t="n">
        <v>45730</v>
      </c>
      <c r="C397" s="1" t="n">
        <v>45971</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789-2021</t>
        </is>
      </c>
      <c r="B398" s="1" t="n">
        <v>44204</v>
      </c>
      <c r="C398" s="1" t="n">
        <v>45971</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45971</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45971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43807-2021</t>
        </is>
      </c>
      <c r="B401" s="1" t="n">
        <v>44433</v>
      </c>
      <c r="C401" s="1" t="n">
        <v>45971</v>
      </c>
      <c r="D401" t="inlineStr">
        <is>
          <t>KALMAR LÄN</t>
        </is>
      </c>
      <c r="E401" t="inlineStr">
        <is>
          <t>VÄSTERVIK</t>
        </is>
      </c>
      <c r="G401" t="n">
        <v>3.2</v>
      </c>
      <c r="H401" t="n">
        <v>0</v>
      </c>
      <c r="I401" t="n">
        <v>0</v>
      </c>
      <c r="J401" t="n">
        <v>0</v>
      </c>
      <c r="K401" t="n">
        <v>0</v>
      </c>
      <c r="L401" t="n">
        <v>0</v>
      </c>
      <c r="M401" t="n">
        <v>0</v>
      </c>
      <c r="N401" t="n">
        <v>0</v>
      </c>
      <c r="O401" t="n">
        <v>0</v>
      </c>
      <c r="P401" t="n">
        <v>0</v>
      </c>
      <c r="Q401" t="n">
        <v>0</v>
      </c>
      <c r="R401" s="2" t="inlineStr"/>
    </row>
    <row r="402" ht="15" customHeight="1">
      <c r="A402" t="inlineStr">
        <is>
          <t>A 40920-2022</t>
        </is>
      </c>
      <c r="B402" s="1" t="n">
        <v>44825.40943287037</v>
      </c>
      <c r="C402" s="1" t="n">
        <v>45971</v>
      </c>
      <c r="D402" t="inlineStr">
        <is>
          <t>KALMAR LÄN</t>
        </is>
      </c>
      <c r="E402" t="inlineStr">
        <is>
          <t>VÄSTERVIK</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45450-2023</t>
        </is>
      </c>
      <c r="B403" s="1" t="n">
        <v>45194</v>
      </c>
      <c r="C403" s="1" t="n">
        <v>45971</v>
      </c>
      <c r="D403" t="inlineStr">
        <is>
          <t>KALMAR LÄN</t>
        </is>
      </c>
      <c r="E403" t="inlineStr">
        <is>
          <t>VÄSTERVIK</t>
        </is>
      </c>
      <c r="F403" t="inlineStr">
        <is>
          <t>Holmen skog AB</t>
        </is>
      </c>
      <c r="G403" t="n">
        <v>1.5</v>
      </c>
      <c r="H403" t="n">
        <v>0</v>
      </c>
      <c r="I403" t="n">
        <v>0</v>
      </c>
      <c r="J403" t="n">
        <v>0</v>
      </c>
      <c r="K403" t="n">
        <v>0</v>
      </c>
      <c r="L403" t="n">
        <v>0</v>
      </c>
      <c r="M403" t="n">
        <v>0</v>
      </c>
      <c r="N403" t="n">
        <v>0</v>
      </c>
      <c r="O403" t="n">
        <v>0</v>
      </c>
      <c r="P403" t="n">
        <v>0</v>
      </c>
      <c r="Q403" t="n">
        <v>0</v>
      </c>
      <c r="R403" s="2" t="inlineStr"/>
    </row>
    <row r="404" ht="15" customHeight="1">
      <c r="A404" t="inlineStr">
        <is>
          <t>A 45474-2023</t>
        </is>
      </c>
      <c r="B404" s="1" t="n">
        <v>45194</v>
      </c>
      <c r="C404" s="1" t="n">
        <v>45971</v>
      </c>
      <c r="D404" t="inlineStr">
        <is>
          <t>KALMAR LÄN</t>
        </is>
      </c>
      <c r="E404" t="inlineStr">
        <is>
          <t>VÄSTERVIK</t>
        </is>
      </c>
      <c r="F404" t="inlineStr">
        <is>
          <t>Holmen skog AB</t>
        </is>
      </c>
      <c r="G404" t="n">
        <v>1.9</v>
      </c>
      <c r="H404" t="n">
        <v>0</v>
      </c>
      <c r="I404" t="n">
        <v>0</v>
      </c>
      <c r="J404" t="n">
        <v>0</v>
      </c>
      <c r="K404" t="n">
        <v>0</v>
      </c>
      <c r="L404" t="n">
        <v>0</v>
      </c>
      <c r="M404" t="n">
        <v>0</v>
      </c>
      <c r="N404" t="n">
        <v>0</v>
      </c>
      <c r="O404" t="n">
        <v>0</v>
      </c>
      <c r="P404" t="n">
        <v>0</v>
      </c>
      <c r="Q404" t="n">
        <v>0</v>
      </c>
      <c r="R404" s="2" t="inlineStr"/>
    </row>
    <row r="405" ht="15" customHeight="1">
      <c r="A405" t="inlineStr">
        <is>
          <t>A 72378-2021</t>
        </is>
      </c>
      <c r="B405" s="1" t="n">
        <v>44545.56285879629</v>
      </c>
      <c r="C405" s="1" t="n">
        <v>45971</v>
      </c>
      <c r="D405" t="inlineStr">
        <is>
          <t>KALMAR LÄN</t>
        </is>
      </c>
      <c r="E405" t="inlineStr">
        <is>
          <t>VÄSTERVIK</t>
        </is>
      </c>
      <c r="G405" t="n">
        <v>4.4</v>
      </c>
      <c r="H405" t="n">
        <v>0</v>
      </c>
      <c r="I405" t="n">
        <v>0</v>
      </c>
      <c r="J405" t="n">
        <v>0</v>
      </c>
      <c r="K405" t="n">
        <v>0</v>
      </c>
      <c r="L405" t="n">
        <v>0</v>
      </c>
      <c r="M405" t="n">
        <v>0</v>
      </c>
      <c r="N405" t="n">
        <v>0</v>
      </c>
      <c r="O405" t="n">
        <v>0</v>
      </c>
      <c r="P405" t="n">
        <v>0</v>
      </c>
      <c r="Q405" t="n">
        <v>0</v>
      </c>
      <c r="R405" s="2" t="inlineStr"/>
    </row>
    <row r="406" ht="15" customHeight="1">
      <c r="A406" t="inlineStr">
        <is>
          <t>A 47530-2021</t>
        </is>
      </c>
      <c r="B406" s="1" t="n">
        <v>44447</v>
      </c>
      <c r="C406" s="1" t="n">
        <v>45971</v>
      </c>
      <c r="D406" t="inlineStr">
        <is>
          <t>KALMAR LÄN</t>
        </is>
      </c>
      <c r="E406" t="inlineStr">
        <is>
          <t>VÄSTERVIK</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45971</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4520-2024</t>
        </is>
      </c>
      <c r="B408" s="1" t="n">
        <v>45327</v>
      </c>
      <c r="C408" s="1" t="n">
        <v>45971</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13230-2021</t>
        </is>
      </c>
      <c r="B409" s="1" t="n">
        <v>44272</v>
      </c>
      <c r="C409" s="1" t="n">
        <v>45971</v>
      </c>
      <c r="D409" t="inlineStr">
        <is>
          <t>KALMAR LÄN</t>
        </is>
      </c>
      <c r="E409" t="inlineStr">
        <is>
          <t>VÄSTERVIK</t>
        </is>
      </c>
      <c r="G409" t="n">
        <v>7.2</v>
      </c>
      <c r="H409" t="n">
        <v>0</v>
      </c>
      <c r="I409" t="n">
        <v>0</v>
      </c>
      <c r="J409" t="n">
        <v>0</v>
      </c>
      <c r="K409" t="n">
        <v>0</v>
      </c>
      <c r="L409" t="n">
        <v>0</v>
      </c>
      <c r="M409" t="n">
        <v>0</v>
      </c>
      <c r="N409" t="n">
        <v>0</v>
      </c>
      <c r="O409" t="n">
        <v>0</v>
      </c>
      <c r="P409" t="n">
        <v>0</v>
      </c>
      <c r="Q409" t="n">
        <v>0</v>
      </c>
      <c r="R409" s="2" t="inlineStr"/>
    </row>
    <row r="410" ht="15" customHeight="1">
      <c r="A410" t="inlineStr">
        <is>
          <t>A 56620-2021</t>
        </is>
      </c>
      <c r="B410" s="1" t="n">
        <v>44480.82778935185</v>
      </c>
      <c r="C410" s="1" t="n">
        <v>45971</v>
      </c>
      <c r="D410" t="inlineStr">
        <is>
          <t>KALMAR LÄN</t>
        </is>
      </c>
      <c r="E410" t="inlineStr">
        <is>
          <t>VÄSTERVIK</t>
        </is>
      </c>
      <c r="G410" t="n">
        <v>0.8</v>
      </c>
      <c r="H410" t="n">
        <v>0</v>
      </c>
      <c r="I410" t="n">
        <v>0</v>
      </c>
      <c r="J410" t="n">
        <v>0</v>
      </c>
      <c r="K410" t="n">
        <v>0</v>
      </c>
      <c r="L410" t="n">
        <v>0</v>
      </c>
      <c r="M410" t="n">
        <v>0</v>
      </c>
      <c r="N410" t="n">
        <v>0</v>
      </c>
      <c r="O410" t="n">
        <v>0</v>
      </c>
      <c r="P410" t="n">
        <v>0</v>
      </c>
      <c r="Q410" t="n">
        <v>0</v>
      </c>
      <c r="R410" s="2" t="inlineStr"/>
    </row>
    <row r="411" ht="15" customHeight="1">
      <c r="A411" t="inlineStr">
        <is>
          <t>A 2098-2023</t>
        </is>
      </c>
      <c r="B411" s="1" t="n">
        <v>44939</v>
      </c>
      <c r="C411" s="1" t="n">
        <v>45971</v>
      </c>
      <c r="D411" t="inlineStr">
        <is>
          <t>KALMAR LÄN</t>
        </is>
      </c>
      <c r="E411" t="inlineStr">
        <is>
          <t>VÄSTERVIK</t>
        </is>
      </c>
      <c r="G411" t="n">
        <v>1.9</v>
      </c>
      <c r="H411" t="n">
        <v>0</v>
      </c>
      <c r="I411" t="n">
        <v>0</v>
      </c>
      <c r="J411" t="n">
        <v>0</v>
      </c>
      <c r="K411" t="n">
        <v>0</v>
      </c>
      <c r="L411" t="n">
        <v>0</v>
      </c>
      <c r="M411" t="n">
        <v>0</v>
      </c>
      <c r="N411" t="n">
        <v>0</v>
      </c>
      <c r="O411" t="n">
        <v>0</v>
      </c>
      <c r="P411" t="n">
        <v>0</v>
      </c>
      <c r="Q411" t="n">
        <v>0</v>
      </c>
      <c r="R411" s="2" t="inlineStr"/>
    </row>
    <row r="412" ht="15" customHeight="1">
      <c r="A412" t="inlineStr">
        <is>
          <t>A 34644-2022</t>
        </is>
      </c>
      <c r="B412" s="1" t="n">
        <v>44795</v>
      </c>
      <c r="C412" s="1" t="n">
        <v>45971</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47363-2023</t>
        </is>
      </c>
      <c r="B413" s="1" t="n">
        <v>45202.59584490741</v>
      </c>
      <c r="C413" s="1" t="n">
        <v>45971</v>
      </c>
      <c r="D413" t="inlineStr">
        <is>
          <t>KALMAR LÄN</t>
        </is>
      </c>
      <c r="E413" t="inlineStr">
        <is>
          <t>VÄSTERVIK</t>
        </is>
      </c>
      <c r="G413" t="n">
        <v>2.5</v>
      </c>
      <c r="H413" t="n">
        <v>0</v>
      </c>
      <c r="I413" t="n">
        <v>0</v>
      </c>
      <c r="J413" t="n">
        <v>0</v>
      </c>
      <c r="K413" t="n">
        <v>0</v>
      </c>
      <c r="L413" t="n">
        <v>0</v>
      </c>
      <c r="M413" t="n">
        <v>0</v>
      </c>
      <c r="N413" t="n">
        <v>0</v>
      </c>
      <c r="O413" t="n">
        <v>0</v>
      </c>
      <c r="P413" t="n">
        <v>0</v>
      </c>
      <c r="Q413" t="n">
        <v>0</v>
      </c>
      <c r="R413" s="2" t="inlineStr"/>
    </row>
    <row r="414" ht="15" customHeight="1">
      <c r="A414" t="inlineStr">
        <is>
          <t>A 51883-2021</t>
        </is>
      </c>
      <c r="B414" s="1" t="n">
        <v>44462.80449074074</v>
      </c>
      <c r="C414" s="1" t="n">
        <v>45971</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51884-2021</t>
        </is>
      </c>
      <c r="B415" s="1" t="n">
        <v>44462.806875</v>
      </c>
      <c r="C415" s="1" t="n">
        <v>45971</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31319-2021</t>
        </is>
      </c>
      <c r="B416" s="1" t="n">
        <v>44368.91321759259</v>
      </c>
      <c r="C416" s="1" t="n">
        <v>45971</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61728-2023</t>
        </is>
      </c>
      <c r="B417" s="1" t="n">
        <v>45265</v>
      </c>
      <c r="C417" s="1" t="n">
        <v>45971</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35655-2023</t>
        </is>
      </c>
      <c r="B418" s="1" t="n">
        <v>45147.59408564815</v>
      </c>
      <c r="C418" s="1" t="n">
        <v>45971</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5355-2024</t>
        </is>
      </c>
      <c r="B419" s="1" t="n">
        <v>45331</v>
      </c>
      <c r="C419" s="1" t="n">
        <v>45971</v>
      </c>
      <c r="D419" t="inlineStr">
        <is>
          <t>KALMAR LÄN</t>
        </is>
      </c>
      <c r="E419" t="inlineStr">
        <is>
          <t>VÄSTERVIK</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10517-2021</t>
        </is>
      </c>
      <c r="B420" s="1" t="n">
        <v>44258</v>
      </c>
      <c r="C420" s="1" t="n">
        <v>45971</v>
      </c>
      <c r="D420" t="inlineStr">
        <is>
          <t>KALMAR LÄN</t>
        </is>
      </c>
      <c r="E420" t="inlineStr">
        <is>
          <t>VÄSTERVIK</t>
        </is>
      </c>
      <c r="G420" t="n">
        <v>3.6</v>
      </c>
      <c r="H420" t="n">
        <v>0</v>
      </c>
      <c r="I420" t="n">
        <v>0</v>
      </c>
      <c r="J420" t="n">
        <v>0</v>
      </c>
      <c r="K420" t="n">
        <v>0</v>
      </c>
      <c r="L420" t="n">
        <v>0</v>
      </c>
      <c r="M420" t="n">
        <v>0</v>
      </c>
      <c r="N420" t="n">
        <v>0</v>
      </c>
      <c r="O420" t="n">
        <v>0</v>
      </c>
      <c r="P420" t="n">
        <v>0</v>
      </c>
      <c r="Q420" t="n">
        <v>0</v>
      </c>
      <c r="R420" s="2" t="inlineStr"/>
    </row>
    <row r="421" ht="15" customHeight="1">
      <c r="A421" t="inlineStr">
        <is>
          <t>A 58090-2021</t>
        </is>
      </c>
      <c r="B421" s="1" t="n">
        <v>44487.50277777778</v>
      </c>
      <c r="C421" s="1" t="n">
        <v>45971</v>
      </c>
      <c r="D421" t="inlineStr">
        <is>
          <t>KALMAR LÄN</t>
        </is>
      </c>
      <c r="E421" t="inlineStr">
        <is>
          <t>VÄSTERVIK</t>
        </is>
      </c>
      <c r="G421" t="n">
        <v>2.9</v>
      </c>
      <c r="H421" t="n">
        <v>0</v>
      </c>
      <c r="I421" t="n">
        <v>0</v>
      </c>
      <c r="J421" t="n">
        <v>0</v>
      </c>
      <c r="K421" t="n">
        <v>0</v>
      </c>
      <c r="L421" t="n">
        <v>0</v>
      </c>
      <c r="M421" t="n">
        <v>0</v>
      </c>
      <c r="N421" t="n">
        <v>0</v>
      </c>
      <c r="O421" t="n">
        <v>0</v>
      </c>
      <c r="P421" t="n">
        <v>0</v>
      </c>
      <c r="Q421" t="n">
        <v>0</v>
      </c>
      <c r="R421" s="2" t="inlineStr"/>
    </row>
    <row r="422" ht="15" customHeight="1">
      <c r="A422" t="inlineStr">
        <is>
          <t>A 19644-2021</t>
        </is>
      </c>
      <c r="B422" s="1" t="n">
        <v>44312</v>
      </c>
      <c r="C422" s="1" t="n">
        <v>45971</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31825-2022</t>
        </is>
      </c>
      <c r="B423" s="1" t="n">
        <v>44776.74908564815</v>
      </c>
      <c r="C423" s="1" t="n">
        <v>45971</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57366-2023</t>
        </is>
      </c>
      <c r="B424" s="1" t="n">
        <v>45245</v>
      </c>
      <c r="C424" s="1" t="n">
        <v>45971</v>
      </c>
      <c r="D424" t="inlineStr">
        <is>
          <t>KALMAR LÄN</t>
        </is>
      </c>
      <c r="E424" t="inlineStr">
        <is>
          <t>VÄSTERVIK</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18470-2021</t>
        </is>
      </c>
      <c r="B425" s="1" t="n">
        <v>44306.31681712963</v>
      </c>
      <c r="C425" s="1" t="n">
        <v>45971</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21255-2021</t>
        </is>
      </c>
      <c r="B426" s="1" t="n">
        <v>44320.5672337963</v>
      </c>
      <c r="C426" s="1" t="n">
        <v>45971</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23996-2021</t>
        </is>
      </c>
      <c r="B427" s="1" t="n">
        <v>44335.88916666667</v>
      </c>
      <c r="C427" s="1" t="n">
        <v>45971</v>
      </c>
      <c r="D427" t="inlineStr">
        <is>
          <t>KALMAR LÄN</t>
        </is>
      </c>
      <c r="E427" t="inlineStr">
        <is>
          <t>VÄSTERVIK</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66328-2020</t>
        </is>
      </c>
      <c r="B428" s="1" t="n">
        <v>44176</v>
      </c>
      <c r="C428" s="1" t="n">
        <v>45971</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12595-2023</t>
        </is>
      </c>
      <c r="B429" s="1" t="n">
        <v>45000.43240740741</v>
      </c>
      <c r="C429" s="1" t="n">
        <v>45971</v>
      </c>
      <c r="D429" t="inlineStr">
        <is>
          <t>KALMAR LÄN</t>
        </is>
      </c>
      <c r="E429" t="inlineStr">
        <is>
          <t>VÄSTERVIK</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23411-2022</t>
        </is>
      </c>
      <c r="B430" s="1" t="n">
        <v>44720.70361111111</v>
      </c>
      <c r="C430" s="1" t="n">
        <v>45971</v>
      </c>
      <c r="D430" t="inlineStr">
        <is>
          <t>KALMAR LÄN</t>
        </is>
      </c>
      <c r="E430" t="inlineStr">
        <is>
          <t>VÄSTERVIK</t>
        </is>
      </c>
      <c r="G430" t="n">
        <v>1.1</v>
      </c>
      <c r="H430" t="n">
        <v>0</v>
      </c>
      <c r="I430" t="n">
        <v>0</v>
      </c>
      <c r="J430" t="n">
        <v>0</v>
      </c>
      <c r="K430" t="n">
        <v>0</v>
      </c>
      <c r="L430" t="n">
        <v>0</v>
      </c>
      <c r="M430" t="n">
        <v>0</v>
      </c>
      <c r="N430" t="n">
        <v>0</v>
      </c>
      <c r="O430" t="n">
        <v>0</v>
      </c>
      <c r="P430" t="n">
        <v>0</v>
      </c>
      <c r="Q430" t="n">
        <v>0</v>
      </c>
      <c r="R430" s="2" t="inlineStr"/>
    </row>
    <row r="431" ht="15" customHeight="1">
      <c r="A431" t="inlineStr">
        <is>
          <t>A 8619-2024</t>
        </is>
      </c>
      <c r="B431" s="1" t="n">
        <v>45355.73599537037</v>
      </c>
      <c r="C431" s="1" t="n">
        <v>45971</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6042-2023</t>
        </is>
      </c>
      <c r="B432" s="1" t="n">
        <v>44964</v>
      </c>
      <c r="C432" s="1" t="n">
        <v>45971</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3492-2021</t>
        </is>
      </c>
      <c r="B433" s="1" t="n">
        <v>44218.60984953704</v>
      </c>
      <c r="C433" s="1" t="n">
        <v>45971</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562-2023</t>
        </is>
      </c>
      <c r="B434" s="1" t="n">
        <v>44930</v>
      </c>
      <c r="C434" s="1" t="n">
        <v>45971</v>
      </c>
      <c r="D434" t="inlineStr">
        <is>
          <t>KALMAR LÄN</t>
        </is>
      </c>
      <c r="E434" t="inlineStr">
        <is>
          <t>VÄSTERVIK</t>
        </is>
      </c>
      <c r="G434" t="n">
        <v>0.4</v>
      </c>
      <c r="H434" t="n">
        <v>0</v>
      </c>
      <c r="I434" t="n">
        <v>0</v>
      </c>
      <c r="J434" t="n">
        <v>0</v>
      </c>
      <c r="K434" t="n">
        <v>0</v>
      </c>
      <c r="L434" t="n">
        <v>0</v>
      </c>
      <c r="M434" t="n">
        <v>0</v>
      </c>
      <c r="N434" t="n">
        <v>0</v>
      </c>
      <c r="O434" t="n">
        <v>0</v>
      </c>
      <c r="P434" t="n">
        <v>0</v>
      </c>
      <c r="Q434" t="n">
        <v>0</v>
      </c>
      <c r="R434" s="2" t="inlineStr"/>
    </row>
    <row r="435" ht="15" customHeight="1">
      <c r="A435" t="inlineStr">
        <is>
          <t>A 43828-2021</t>
        </is>
      </c>
      <c r="B435" s="1" t="n">
        <v>44433</v>
      </c>
      <c r="C435" s="1" t="n">
        <v>45971</v>
      </c>
      <c r="D435" t="inlineStr">
        <is>
          <t>KALMAR LÄN</t>
        </is>
      </c>
      <c r="E435" t="inlineStr">
        <is>
          <t>VÄSTERVIK</t>
        </is>
      </c>
      <c r="G435" t="n">
        <v>0.9</v>
      </c>
      <c r="H435" t="n">
        <v>0</v>
      </c>
      <c r="I435" t="n">
        <v>0</v>
      </c>
      <c r="J435" t="n">
        <v>0</v>
      </c>
      <c r="K435" t="n">
        <v>0</v>
      </c>
      <c r="L435" t="n">
        <v>0</v>
      </c>
      <c r="M435" t="n">
        <v>0</v>
      </c>
      <c r="N435" t="n">
        <v>0</v>
      </c>
      <c r="O435" t="n">
        <v>0</v>
      </c>
      <c r="P435" t="n">
        <v>0</v>
      </c>
      <c r="Q435" t="n">
        <v>0</v>
      </c>
      <c r="R435" s="2" t="inlineStr"/>
    </row>
    <row r="436" ht="15" customHeight="1">
      <c r="A436" t="inlineStr">
        <is>
          <t>A 4508-2023</t>
        </is>
      </c>
      <c r="B436" s="1" t="n">
        <v>44956</v>
      </c>
      <c r="C436" s="1" t="n">
        <v>45971</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942-2024</t>
        </is>
      </c>
      <c r="B437" s="1" t="n">
        <v>45301.53930555555</v>
      </c>
      <c r="C437" s="1" t="n">
        <v>45971</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12433-2024</t>
        </is>
      </c>
      <c r="B438" s="1" t="n">
        <v>45379.44450231481</v>
      </c>
      <c r="C438" s="1" t="n">
        <v>45971</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25403-2023</t>
        </is>
      </c>
      <c r="B439" s="1" t="n">
        <v>45079</v>
      </c>
      <c r="C439" s="1" t="n">
        <v>45971</v>
      </c>
      <c r="D439" t="inlineStr">
        <is>
          <t>KALMAR LÄN</t>
        </is>
      </c>
      <c r="E439" t="inlineStr">
        <is>
          <t>VÄSTERVIK</t>
        </is>
      </c>
      <c r="G439" t="n">
        <v>4.3</v>
      </c>
      <c r="H439" t="n">
        <v>0</v>
      </c>
      <c r="I439" t="n">
        <v>0</v>
      </c>
      <c r="J439" t="n">
        <v>0</v>
      </c>
      <c r="K439" t="n">
        <v>0</v>
      </c>
      <c r="L439" t="n">
        <v>0</v>
      </c>
      <c r="M439" t="n">
        <v>0</v>
      </c>
      <c r="N439" t="n">
        <v>0</v>
      </c>
      <c r="O439" t="n">
        <v>0</v>
      </c>
      <c r="P439" t="n">
        <v>0</v>
      </c>
      <c r="Q439" t="n">
        <v>0</v>
      </c>
      <c r="R439" s="2" t="inlineStr"/>
    </row>
    <row r="440" ht="15" customHeight="1">
      <c r="A440" t="inlineStr">
        <is>
          <t>A 34655-2023</t>
        </is>
      </c>
      <c r="B440" s="1" t="n">
        <v>45140</v>
      </c>
      <c r="C440" s="1" t="n">
        <v>45971</v>
      </c>
      <c r="D440" t="inlineStr">
        <is>
          <t>KALMAR LÄN</t>
        </is>
      </c>
      <c r="E440" t="inlineStr">
        <is>
          <t>VÄSTERVIK</t>
        </is>
      </c>
      <c r="G440" t="n">
        <v>3.6</v>
      </c>
      <c r="H440" t="n">
        <v>0</v>
      </c>
      <c r="I440" t="n">
        <v>0</v>
      </c>
      <c r="J440" t="n">
        <v>0</v>
      </c>
      <c r="K440" t="n">
        <v>0</v>
      </c>
      <c r="L440" t="n">
        <v>0</v>
      </c>
      <c r="M440" t="n">
        <v>0</v>
      </c>
      <c r="N440" t="n">
        <v>0</v>
      </c>
      <c r="O440" t="n">
        <v>0</v>
      </c>
      <c r="P440" t="n">
        <v>0</v>
      </c>
      <c r="Q440" t="n">
        <v>0</v>
      </c>
      <c r="R440" s="2" t="inlineStr"/>
    </row>
    <row r="441" ht="15" customHeight="1">
      <c r="A441" t="inlineStr">
        <is>
          <t>A 17650-2023</t>
        </is>
      </c>
      <c r="B441" s="1" t="n">
        <v>45036.70215277778</v>
      </c>
      <c r="C441" s="1" t="n">
        <v>45971</v>
      </c>
      <c r="D441" t="inlineStr">
        <is>
          <t>KALMAR LÄN</t>
        </is>
      </c>
      <c r="E441" t="inlineStr">
        <is>
          <t>VÄSTERVIK</t>
        </is>
      </c>
      <c r="G441" t="n">
        <v>0.3</v>
      </c>
      <c r="H441" t="n">
        <v>0</v>
      </c>
      <c r="I441" t="n">
        <v>0</v>
      </c>
      <c r="J441" t="n">
        <v>0</v>
      </c>
      <c r="K441" t="n">
        <v>0</v>
      </c>
      <c r="L441" t="n">
        <v>0</v>
      </c>
      <c r="M441" t="n">
        <v>0</v>
      </c>
      <c r="N441" t="n">
        <v>0</v>
      </c>
      <c r="O441" t="n">
        <v>0</v>
      </c>
      <c r="P441" t="n">
        <v>0</v>
      </c>
      <c r="Q441" t="n">
        <v>0</v>
      </c>
      <c r="R441" s="2" t="inlineStr"/>
    </row>
    <row r="442" ht="15" customHeight="1">
      <c r="A442" t="inlineStr">
        <is>
          <t>A 10419-2023</t>
        </is>
      </c>
      <c r="B442" s="1" t="n">
        <v>44987</v>
      </c>
      <c r="C442" s="1" t="n">
        <v>45971</v>
      </c>
      <c r="D442" t="inlineStr">
        <is>
          <t>KALMAR LÄN</t>
        </is>
      </c>
      <c r="E442" t="inlineStr">
        <is>
          <t>VÄSTERVIK</t>
        </is>
      </c>
      <c r="G442" t="n">
        <v>0.4</v>
      </c>
      <c r="H442" t="n">
        <v>0</v>
      </c>
      <c r="I442" t="n">
        <v>0</v>
      </c>
      <c r="J442" t="n">
        <v>0</v>
      </c>
      <c r="K442" t="n">
        <v>0</v>
      </c>
      <c r="L442" t="n">
        <v>0</v>
      </c>
      <c r="M442" t="n">
        <v>0</v>
      </c>
      <c r="N442" t="n">
        <v>0</v>
      </c>
      <c r="O442" t="n">
        <v>0</v>
      </c>
      <c r="P442" t="n">
        <v>0</v>
      </c>
      <c r="Q442" t="n">
        <v>0</v>
      </c>
      <c r="R442" s="2" t="inlineStr"/>
    </row>
    <row r="443" ht="15" customHeight="1">
      <c r="A443" t="inlineStr">
        <is>
          <t>A 10406-2022</t>
        </is>
      </c>
      <c r="B443" s="1" t="n">
        <v>44623</v>
      </c>
      <c r="C443" s="1" t="n">
        <v>45971</v>
      </c>
      <c r="D443" t="inlineStr">
        <is>
          <t>KALMAR LÄN</t>
        </is>
      </c>
      <c r="E443" t="inlineStr">
        <is>
          <t>VÄSTERVIK</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61649-2022</t>
        </is>
      </c>
      <c r="B444" s="1" t="n">
        <v>44916.90010416666</v>
      </c>
      <c r="C444" s="1" t="n">
        <v>45971</v>
      </c>
      <c r="D444" t="inlineStr">
        <is>
          <t>KALMAR LÄN</t>
        </is>
      </c>
      <c r="E444" t="inlineStr">
        <is>
          <t>VÄSTERVIK</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46267-2022</t>
        </is>
      </c>
      <c r="B445" s="1" t="n">
        <v>44847</v>
      </c>
      <c r="C445" s="1" t="n">
        <v>45971</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31952-2021</t>
        </is>
      </c>
      <c r="B446" s="1" t="n">
        <v>44370</v>
      </c>
      <c r="C446" s="1" t="n">
        <v>45971</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49404-2021</t>
        </is>
      </c>
      <c r="B447" s="1" t="n">
        <v>44454.63494212963</v>
      </c>
      <c r="C447" s="1" t="n">
        <v>45971</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49407-2021</t>
        </is>
      </c>
      <c r="B448" s="1" t="n">
        <v>44454.63644675926</v>
      </c>
      <c r="C448" s="1" t="n">
        <v>45971</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46560-2022</t>
        </is>
      </c>
      <c r="B449" s="1" t="n">
        <v>44848</v>
      </c>
      <c r="C449" s="1" t="n">
        <v>45971</v>
      </c>
      <c r="D449" t="inlineStr">
        <is>
          <t>KALMAR LÄN</t>
        </is>
      </c>
      <c r="E449" t="inlineStr">
        <is>
          <t>VÄSTERVIK</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60147-2024</t>
        </is>
      </c>
      <c r="B450" s="1" t="n">
        <v>45642.61109953704</v>
      </c>
      <c r="C450" s="1" t="n">
        <v>45971</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13836-2024</t>
        </is>
      </c>
      <c r="B451" s="1" t="n">
        <v>45391.44385416667</v>
      </c>
      <c r="C451" s="1" t="n">
        <v>45971</v>
      </c>
      <c r="D451" t="inlineStr">
        <is>
          <t>KALMAR LÄN</t>
        </is>
      </c>
      <c r="E451" t="inlineStr">
        <is>
          <t>VÄSTERVIK</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61317-2021</t>
        </is>
      </c>
      <c r="B452" s="1" t="n">
        <v>44498.65975694444</v>
      </c>
      <c r="C452" s="1" t="n">
        <v>45971</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64920-2021</t>
        </is>
      </c>
      <c r="B453" s="1" t="n">
        <v>44512</v>
      </c>
      <c r="C453" s="1" t="n">
        <v>45971</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c r="U453">
        <f>HYPERLINK("https://klasma.github.io/Logging_0883/knärot/A 64920-2021 karta knärot.png", "A 64920-2021")</f>
        <v/>
      </c>
      <c r="V453">
        <f>HYPERLINK("https://klasma.github.io/Logging_0883/klagomål/A 64920-2021 FSC-klagomål.docx", "A 64920-2021")</f>
        <v/>
      </c>
      <c r="W453">
        <f>HYPERLINK("https://klasma.github.io/Logging_0883/klagomålsmail/A 64920-2021 FSC-klagomål mail.docx", "A 64920-2021")</f>
        <v/>
      </c>
      <c r="X453">
        <f>HYPERLINK("https://klasma.github.io/Logging_0883/tillsyn/A 64920-2021 tillsynsbegäran.docx", "A 64920-2021")</f>
        <v/>
      </c>
      <c r="Y453">
        <f>HYPERLINK("https://klasma.github.io/Logging_0883/tillsynsmail/A 64920-2021 tillsynsbegäran mail.docx", "A 64920-2021")</f>
        <v/>
      </c>
    </row>
    <row r="454" ht="15" customHeight="1">
      <c r="A454" t="inlineStr">
        <is>
          <t>A 7163-2025</t>
        </is>
      </c>
      <c r="B454" s="1" t="n">
        <v>45702.3918287037</v>
      </c>
      <c r="C454" s="1" t="n">
        <v>45971</v>
      </c>
      <c r="D454" t="inlineStr">
        <is>
          <t>KALMAR LÄN</t>
        </is>
      </c>
      <c r="E454" t="inlineStr">
        <is>
          <t>VÄSTERVIK</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5769-2023</t>
        </is>
      </c>
      <c r="B455" s="1" t="n">
        <v>44963.37194444444</v>
      </c>
      <c r="C455" s="1" t="n">
        <v>45971</v>
      </c>
      <c r="D455" t="inlineStr">
        <is>
          <t>KALMAR LÄN</t>
        </is>
      </c>
      <c r="E455" t="inlineStr">
        <is>
          <t>VÄSTERVIK</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14151-2021</t>
        </is>
      </c>
      <c r="B456" s="1" t="n">
        <v>44278.41052083333</v>
      </c>
      <c r="C456" s="1" t="n">
        <v>45971</v>
      </c>
      <c r="D456" t="inlineStr">
        <is>
          <t>KALMAR LÄN</t>
        </is>
      </c>
      <c r="E456" t="inlineStr">
        <is>
          <t>VÄSTERVIK</t>
        </is>
      </c>
      <c r="G456" t="n">
        <v>1.5</v>
      </c>
      <c r="H456" t="n">
        <v>0</v>
      </c>
      <c r="I456" t="n">
        <v>0</v>
      </c>
      <c r="J456" t="n">
        <v>0</v>
      </c>
      <c r="K456" t="n">
        <v>0</v>
      </c>
      <c r="L456" t="n">
        <v>0</v>
      </c>
      <c r="M456" t="n">
        <v>0</v>
      </c>
      <c r="N456" t="n">
        <v>0</v>
      </c>
      <c r="O456" t="n">
        <v>0</v>
      </c>
      <c r="P456" t="n">
        <v>0</v>
      </c>
      <c r="Q456" t="n">
        <v>0</v>
      </c>
      <c r="R456" s="2" t="inlineStr"/>
    </row>
    <row r="457" ht="15" customHeight="1">
      <c r="A457" t="inlineStr">
        <is>
          <t>A 35417-2022</t>
        </is>
      </c>
      <c r="B457" s="1" t="n">
        <v>44798</v>
      </c>
      <c r="C457" s="1" t="n">
        <v>45971</v>
      </c>
      <c r="D457" t="inlineStr">
        <is>
          <t>KALMAR LÄN</t>
        </is>
      </c>
      <c r="E457" t="inlineStr">
        <is>
          <t>VÄSTERVIK</t>
        </is>
      </c>
      <c r="G457" t="n">
        <v>5.2</v>
      </c>
      <c r="H457" t="n">
        <v>0</v>
      </c>
      <c r="I457" t="n">
        <v>0</v>
      </c>
      <c r="J457" t="n">
        <v>0</v>
      </c>
      <c r="K457" t="n">
        <v>0</v>
      </c>
      <c r="L457" t="n">
        <v>0</v>
      </c>
      <c r="M457" t="n">
        <v>0</v>
      </c>
      <c r="N457" t="n">
        <v>0</v>
      </c>
      <c r="O457" t="n">
        <v>0</v>
      </c>
      <c r="P457" t="n">
        <v>0</v>
      </c>
      <c r="Q457" t="n">
        <v>0</v>
      </c>
      <c r="R457" s="2" t="inlineStr"/>
    </row>
    <row r="458" ht="15" customHeight="1">
      <c r="A458" t="inlineStr">
        <is>
          <t>A 59695-2023</t>
        </is>
      </c>
      <c r="B458" s="1" t="n">
        <v>45256.85107638889</v>
      </c>
      <c r="C458" s="1" t="n">
        <v>45971</v>
      </c>
      <c r="D458" t="inlineStr">
        <is>
          <t>KALMAR LÄN</t>
        </is>
      </c>
      <c r="E458" t="inlineStr">
        <is>
          <t>VÄSTERVIK</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7090-2024</t>
        </is>
      </c>
      <c r="B459" s="1" t="n">
        <v>45343.80621527778</v>
      </c>
      <c r="C459" s="1" t="n">
        <v>45971</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25238-2021</t>
        </is>
      </c>
      <c r="B460" s="1" t="n">
        <v>44342</v>
      </c>
      <c r="C460" s="1" t="n">
        <v>45971</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12643-2024</t>
        </is>
      </c>
      <c r="B461" s="1" t="n">
        <v>45379</v>
      </c>
      <c r="C461" s="1" t="n">
        <v>45971</v>
      </c>
      <c r="D461" t="inlineStr">
        <is>
          <t>KALMAR LÄN</t>
        </is>
      </c>
      <c r="E461" t="inlineStr">
        <is>
          <t>VÄSTERVIK</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49708-2024</t>
        </is>
      </c>
      <c r="B462" s="1" t="n">
        <v>45596.69846064815</v>
      </c>
      <c r="C462" s="1" t="n">
        <v>45971</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12520-2021</t>
        </is>
      </c>
      <c r="B463" s="1" t="n">
        <v>44269</v>
      </c>
      <c r="C463" s="1" t="n">
        <v>45971</v>
      </c>
      <c r="D463" t="inlineStr">
        <is>
          <t>KALMAR LÄN</t>
        </is>
      </c>
      <c r="E463" t="inlineStr">
        <is>
          <t>VÄSTERVIK</t>
        </is>
      </c>
      <c r="G463" t="n">
        <v>1.6</v>
      </c>
      <c r="H463" t="n">
        <v>0</v>
      </c>
      <c r="I463" t="n">
        <v>0</v>
      </c>
      <c r="J463" t="n">
        <v>0</v>
      </c>
      <c r="K463" t="n">
        <v>0</v>
      </c>
      <c r="L463" t="n">
        <v>0</v>
      </c>
      <c r="M463" t="n">
        <v>0</v>
      </c>
      <c r="N463" t="n">
        <v>0</v>
      </c>
      <c r="O463" t="n">
        <v>0</v>
      </c>
      <c r="P463" t="n">
        <v>0</v>
      </c>
      <c r="Q463" t="n">
        <v>0</v>
      </c>
      <c r="R463" s="2" t="inlineStr"/>
    </row>
    <row r="464" ht="15" customHeight="1">
      <c r="A464" t="inlineStr">
        <is>
          <t>A 47945-2023</t>
        </is>
      </c>
      <c r="B464" s="1" t="n">
        <v>45204.5684837963</v>
      </c>
      <c r="C464" s="1" t="n">
        <v>45971</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1096-2024</t>
        </is>
      </c>
      <c r="B465" s="1" t="n">
        <v>45302</v>
      </c>
      <c r="C465" s="1" t="n">
        <v>45971</v>
      </c>
      <c r="D465" t="inlineStr">
        <is>
          <t>KALMAR LÄN</t>
        </is>
      </c>
      <c r="E465" t="inlineStr">
        <is>
          <t>VÄSTERVIK</t>
        </is>
      </c>
      <c r="G465" t="n">
        <v>2.6</v>
      </c>
      <c r="H465" t="n">
        <v>0</v>
      </c>
      <c r="I465" t="n">
        <v>0</v>
      </c>
      <c r="J465" t="n">
        <v>0</v>
      </c>
      <c r="K465" t="n">
        <v>0</v>
      </c>
      <c r="L465" t="n">
        <v>0</v>
      </c>
      <c r="M465" t="n">
        <v>0</v>
      </c>
      <c r="N465" t="n">
        <v>0</v>
      </c>
      <c r="O465" t="n">
        <v>0</v>
      </c>
      <c r="P465" t="n">
        <v>0</v>
      </c>
      <c r="Q465" t="n">
        <v>0</v>
      </c>
      <c r="R465" s="2" t="inlineStr"/>
    </row>
    <row r="466" ht="15" customHeight="1">
      <c r="A466" t="inlineStr">
        <is>
          <t>A 5510-2021</t>
        </is>
      </c>
      <c r="B466" s="1" t="n">
        <v>44230</v>
      </c>
      <c r="C466" s="1" t="n">
        <v>45971</v>
      </c>
      <c r="D466" t="inlineStr">
        <is>
          <t>KALMAR LÄN</t>
        </is>
      </c>
      <c r="E466" t="inlineStr">
        <is>
          <t>VÄSTERVIK</t>
        </is>
      </c>
      <c r="G466" t="n">
        <v>3.2</v>
      </c>
      <c r="H466" t="n">
        <v>0</v>
      </c>
      <c r="I466" t="n">
        <v>0</v>
      </c>
      <c r="J466" t="n">
        <v>0</v>
      </c>
      <c r="K466" t="n">
        <v>0</v>
      </c>
      <c r="L466" t="n">
        <v>0</v>
      </c>
      <c r="M466" t="n">
        <v>0</v>
      </c>
      <c r="N466" t="n">
        <v>0</v>
      </c>
      <c r="O466" t="n">
        <v>0</v>
      </c>
      <c r="P466" t="n">
        <v>0</v>
      </c>
      <c r="Q466" t="n">
        <v>0</v>
      </c>
      <c r="R466" s="2" t="inlineStr"/>
    </row>
    <row r="467" ht="15" customHeight="1">
      <c r="A467" t="inlineStr">
        <is>
          <t>A 6940-2025</t>
        </is>
      </c>
      <c r="B467" s="1" t="n">
        <v>45701.46581018518</v>
      </c>
      <c r="C467" s="1" t="n">
        <v>45971</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47939-2023</t>
        </is>
      </c>
      <c r="B468" s="1" t="n">
        <v>45204.56195601852</v>
      </c>
      <c r="C468" s="1" t="n">
        <v>45971</v>
      </c>
      <c r="D468" t="inlineStr">
        <is>
          <t>KALMAR LÄN</t>
        </is>
      </c>
      <c r="E468" t="inlineStr">
        <is>
          <t>VÄSTERVIK</t>
        </is>
      </c>
      <c r="G468" t="n">
        <v>3.7</v>
      </c>
      <c r="H468" t="n">
        <v>0</v>
      </c>
      <c r="I468" t="n">
        <v>0</v>
      </c>
      <c r="J468" t="n">
        <v>0</v>
      </c>
      <c r="K468" t="n">
        <v>0</v>
      </c>
      <c r="L468" t="n">
        <v>0</v>
      </c>
      <c r="M468" t="n">
        <v>0</v>
      </c>
      <c r="N468" t="n">
        <v>0</v>
      </c>
      <c r="O468" t="n">
        <v>0</v>
      </c>
      <c r="P468" t="n">
        <v>0</v>
      </c>
      <c r="Q468" t="n">
        <v>0</v>
      </c>
      <c r="R468" s="2" t="inlineStr"/>
    </row>
    <row r="469" ht="15" customHeight="1">
      <c r="A469" t="inlineStr">
        <is>
          <t>A 24567-2024</t>
        </is>
      </c>
      <c r="B469" s="1" t="n">
        <v>45460.44732638889</v>
      </c>
      <c r="C469" s="1" t="n">
        <v>45971</v>
      </c>
      <c r="D469" t="inlineStr">
        <is>
          <t>KALMAR LÄN</t>
        </is>
      </c>
      <c r="E469" t="inlineStr">
        <is>
          <t>VÄSTERVIK</t>
        </is>
      </c>
      <c r="G469" t="n">
        <v>5.1</v>
      </c>
      <c r="H469" t="n">
        <v>0</v>
      </c>
      <c r="I469" t="n">
        <v>0</v>
      </c>
      <c r="J469" t="n">
        <v>0</v>
      </c>
      <c r="K469" t="n">
        <v>0</v>
      </c>
      <c r="L469" t="n">
        <v>0</v>
      </c>
      <c r="M469" t="n">
        <v>0</v>
      </c>
      <c r="N469" t="n">
        <v>0</v>
      </c>
      <c r="O469" t="n">
        <v>0</v>
      </c>
      <c r="P469" t="n">
        <v>0</v>
      </c>
      <c r="Q469" t="n">
        <v>0</v>
      </c>
      <c r="R469" s="2" t="inlineStr"/>
    </row>
    <row r="470" ht="15" customHeight="1">
      <c r="A470" t="inlineStr">
        <is>
          <t>A 25561-2024</t>
        </is>
      </c>
      <c r="B470" s="1" t="n">
        <v>45463.58467592593</v>
      </c>
      <c r="C470" s="1" t="n">
        <v>45971</v>
      </c>
      <c r="D470" t="inlineStr">
        <is>
          <t>KALMAR LÄN</t>
        </is>
      </c>
      <c r="E470" t="inlineStr">
        <is>
          <t>VÄSTERVIK</t>
        </is>
      </c>
      <c r="F470" t="inlineStr">
        <is>
          <t>Holmen skog AB</t>
        </is>
      </c>
      <c r="G470" t="n">
        <v>7.2</v>
      </c>
      <c r="H470" t="n">
        <v>0</v>
      </c>
      <c r="I470" t="n">
        <v>0</v>
      </c>
      <c r="J470" t="n">
        <v>0</v>
      </c>
      <c r="K470" t="n">
        <v>0</v>
      </c>
      <c r="L470" t="n">
        <v>0</v>
      </c>
      <c r="M470" t="n">
        <v>0</v>
      </c>
      <c r="N470" t="n">
        <v>0</v>
      </c>
      <c r="O470" t="n">
        <v>0</v>
      </c>
      <c r="P470" t="n">
        <v>0</v>
      </c>
      <c r="Q470" t="n">
        <v>0</v>
      </c>
      <c r="R470" s="2" t="inlineStr"/>
    </row>
    <row r="471" ht="15" customHeight="1">
      <c r="A471" t="inlineStr">
        <is>
          <t>A 35652-2023</t>
        </is>
      </c>
      <c r="B471" s="1" t="n">
        <v>45147.59215277778</v>
      </c>
      <c r="C471" s="1" t="n">
        <v>45971</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18143-2024</t>
        </is>
      </c>
      <c r="B472" s="1" t="n">
        <v>45420</v>
      </c>
      <c r="C472" s="1" t="n">
        <v>45971</v>
      </c>
      <c r="D472" t="inlineStr">
        <is>
          <t>KALMAR LÄN</t>
        </is>
      </c>
      <c r="E472" t="inlineStr">
        <is>
          <t>VÄSTERVIK</t>
        </is>
      </c>
      <c r="G472" t="n">
        <v>3</v>
      </c>
      <c r="H472" t="n">
        <v>0</v>
      </c>
      <c r="I472" t="n">
        <v>0</v>
      </c>
      <c r="J472" t="n">
        <v>0</v>
      </c>
      <c r="K472" t="n">
        <v>0</v>
      </c>
      <c r="L472" t="n">
        <v>0</v>
      </c>
      <c r="M472" t="n">
        <v>0</v>
      </c>
      <c r="N472" t="n">
        <v>0</v>
      </c>
      <c r="O472" t="n">
        <v>0</v>
      </c>
      <c r="P472" t="n">
        <v>0</v>
      </c>
      <c r="Q472" t="n">
        <v>0</v>
      </c>
      <c r="R472" s="2" t="inlineStr"/>
    </row>
    <row r="473" ht="15" customHeight="1">
      <c r="A473" t="inlineStr">
        <is>
          <t>A 59221-2022</t>
        </is>
      </c>
      <c r="B473" s="1" t="n">
        <v>44904.53858796296</v>
      </c>
      <c r="C473" s="1" t="n">
        <v>45971</v>
      </c>
      <c r="D473" t="inlineStr">
        <is>
          <t>KALMAR LÄN</t>
        </is>
      </c>
      <c r="E473" t="inlineStr">
        <is>
          <t>VÄSTERVIK</t>
        </is>
      </c>
      <c r="G473" t="n">
        <v>6.1</v>
      </c>
      <c r="H473" t="n">
        <v>0</v>
      </c>
      <c r="I473" t="n">
        <v>0</v>
      </c>
      <c r="J473" t="n">
        <v>0</v>
      </c>
      <c r="K473" t="n">
        <v>0</v>
      </c>
      <c r="L473" t="n">
        <v>0</v>
      </c>
      <c r="M473" t="n">
        <v>0</v>
      </c>
      <c r="N473" t="n">
        <v>0</v>
      </c>
      <c r="O473" t="n">
        <v>0</v>
      </c>
      <c r="P473" t="n">
        <v>0</v>
      </c>
      <c r="Q473" t="n">
        <v>0</v>
      </c>
      <c r="R473" s="2" t="inlineStr"/>
    </row>
    <row r="474" ht="15" customHeight="1">
      <c r="A474" t="inlineStr">
        <is>
          <t>A 6938-2025</t>
        </is>
      </c>
      <c r="B474" s="1" t="n">
        <v>45701.46288194445</v>
      </c>
      <c r="C474" s="1" t="n">
        <v>45971</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31592-2021</t>
        </is>
      </c>
      <c r="B475" s="1" t="n">
        <v>44369.56576388889</v>
      </c>
      <c r="C475" s="1" t="n">
        <v>45971</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46561-2022</t>
        </is>
      </c>
      <c r="B476" s="1" t="n">
        <v>44848</v>
      </c>
      <c r="C476" s="1" t="n">
        <v>45971</v>
      </c>
      <c r="D476" t="inlineStr">
        <is>
          <t>KALMAR LÄN</t>
        </is>
      </c>
      <c r="E476" t="inlineStr">
        <is>
          <t>VÄSTERVIK</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944-2024</t>
        </is>
      </c>
      <c r="B477" s="1" t="n">
        <v>45301.54230324074</v>
      </c>
      <c r="C477" s="1" t="n">
        <v>45971</v>
      </c>
      <c r="D477" t="inlineStr">
        <is>
          <t>KALMAR LÄN</t>
        </is>
      </c>
      <c r="E477" t="inlineStr">
        <is>
          <t>VÄSTERVIK</t>
        </is>
      </c>
      <c r="G477" t="n">
        <v>2.2</v>
      </c>
      <c r="H477" t="n">
        <v>0</v>
      </c>
      <c r="I477" t="n">
        <v>0</v>
      </c>
      <c r="J477" t="n">
        <v>0</v>
      </c>
      <c r="K477" t="n">
        <v>0</v>
      </c>
      <c r="L477" t="n">
        <v>0</v>
      </c>
      <c r="M477" t="n">
        <v>0</v>
      </c>
      <c r="N477" t="n">
        <v>0</v>
      </c>
      <c r="O477" t="n">
        <v>0</v>
      </c>
      <c r="P477" t="n">
        <v>0</v>
      </c>
      <c r="Q477" t="n">
        <v>0</v>
      </c>
      <c r="R477" s="2" t="inlineStr"/>
    </row>
    <row r="478" ht="15" customHeight="1">
      <c r="A478" t="inlineStr">
        <is>
          <t>A 946-2024</t>
        </is>
      </c>
      <c r="B478" s="1" t="n">
        <v>45301.54412037037</v>
      </c>
      <c r="C478" s="1" t="n">
        <v>45971</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1115-2025</t>
        </is>
      </c>
      <c r="B479" s="1" t="n">
        <v>45666.65664351852</v>
      </c>
      <c r="C479" s="1" t="n">
        <v>45971</v>
      </c>
      <c r="D479" t="inlineStr">
        <is>
          <t>KALMAR LÄN</t>
        </is>
      </c>
      <c r="E479" t="inlineStr">
        <is>
          <t>VÄSTERVIK</t>
        </is>
      </c>
      <c r="G479" t="n">
        <v>1.9</v>
      </c>
      <c r="H479" t="n">
        <v>0</v>
      </c>
      <c r="I479" t="n">
        <v>0</v>
      </c>
      <c r="J479" t="n">
        <v>0</v>
      </c>
      <c r="K479" t="n">
        <v>0</v>
      </c>
      <c r="L479" t="n">
        <v>0</v>
      </c>
      <c r="M479" t="n">
        <v>0</v>
      </c>
      <c r="N479" t="n">
        <v>0</v>
      </c>
      <c r="O479" t="n">
        <v>0</v>
      </c>
      <c r="P479" t="n">
        <v>0</v>
      </c>
      <c r="Q479" t="n">
        <v>0</v>
      </c>
      <c r="R479" s="2" t="inlineStr"/>
    </row>
    <row r="480" ht="15" customHeight="1">
      <c r="A480" t="inlineStr">
        <is>
          <t>A 18884-2025</t>
        </is>
      </c>
      <c r="B480" s="1" t="n">
        <v>45764.4417824074</v>
      </c>
      <c r="C480" s="1" t="n">
        <v>45971</v>
      </c>
      <c r="D480" t="inlineStr">
        <is>
          <t>KALMAR LÄN</t>
        </is>
      </c>
      <c r="E480" t="inlineStr">
        <is>
          <t>VÄSTERVIK</t>
        </is>
      </c>
      <c r="G480" t="n">
        <v>0.8</v>
      </c>
      <c r="H480" t="n">
        <v>0</v>
      </c>
      <c r="I480" t="n">
        <v>0</v>
      </c>
      <c r="J480" t="n">
        <v>0</v>
      </c>
      <c r="K480" t="n">
        <v>0</v>
      </c>
      <c r="L480" t="n">
        <v>0</v>
      </c>
      <c r="M480" t="n">
        <v>0</v>
      </c>
      <c r="N480" t="n">
        <v>0</v>
      </c>
      <c r="O480" t="n">
        <v>0</v>
      </c>
      <c r="P480" t="n">
        <v>0</v>
      </c>
      <c r="Q480" t="n">
        <v>0</v>
      </c>
      <c r="R480" s="2" t="inlineStr"/>
    </row>
    <row r="481" ht="15" customHeight="1">
      <c r="A481" t="inlineStr">
        <is>
          <t>A 10766-2025</t>
        </is>
      </c>
      <c r="B481" s="1" t="n">
        <v>45722.4630787037</v>
      </c>
      <c r="C481" s="1" t="n">
        <v>45971</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38442-2025</t>
        </is>
      </c>
      <c r="B482" s="1" t="n">
        <v>45883</v>
      </c>
      <c r="C482" s="1" t="n">
        <v>45971</v>
      </c>
      <c r="D482" t="inlineStr">
        <is>
          <t>KALMAR LÄN</t>
        </is>
      </c>
      <c r="E482" t="inlineStr">
        <is>
          <t>VÄSTERVIK</t>
        </is>
      </c>
      <c r="G482" t="n">
        <v>3.5</v>
      </c>
      <c r="H482" t="n">
        <v>0</v>
      </c>
      <c r="I482" t="n">
        <v>0</v>
      </c>
      <c r="J482" t="n">
        <v>0</v>
      </c>
      <c r="K482" t="n">
        <v>0</v>
      </c>
      <c r="L482" t="n">
        <v>0</v>
      </c>
      <c r="M482" t="n">
        <v>0</v>
      </c>
      <c r="N482" t="n">
        <v>0</v>
      </c>
      <c r="O482" t="n">
        <v>0</v>
      </c>
      <c r="P482" t="n">
        <v>0</v>
      </c>
      <c r="Q482" t="n">
        <v>0</v>
      </c>
      <c r="R482" s="2" t="inlineStr"/>
    </row>
    <row r="483" ht="15" customHeight="1">
      <c r="A483" t="inlineStr">
        <is>
          <t>A 58927-2022</t>
        </is>
      </c>
      <c r="B483" s="1" t="n">
        <v>44896</v>
      </c>
      <c r="C483" s="1" t="n">
        <v>45971</v>
      </c>
      <c r="D483" t="inlineStr">
        <is>
          <t>KALMAR LÄN</t>
        </is>
      </c>
      <c r="E483" t="inlineStr">
        <is>
          <t>VÄSTERVIK</t>
        </is>
      </c>
      <c r="G483" t="n">
        <v>2.5</v>
      </c>
      <c r="H483" t="n">
        <v>0</v>
      </c>
      <c r="I483" t="n">
        <v>0</v>
      </c>
      <c r="J483" t="n">
        <v>0</v>
      </c>
      <c r="K483" t="n">
        <v>0</v>
      </c>
      <c r="L483" t="n">
        <v>0</v>
      </c>
      <c r="M483" t="n">
        <v>0</v>
      </c>
      <c r="N483" t="n">
        <v>0</v>
      </c>
      <c r="O483" t="n">
        <v>0</v>
      </c>
      <c r="P483" t="n">
        <v>0</v>
      </c>
      <c r="Q483" t="n">
        <v>0</v>
      </c>
      <c r="R483" s="2" t="inlineStr"/>
    </row>
    <row r="484" ht="15" customHeight="1">
      <c r="A484" t="inlineStr">
        <is>
          <t>A 55042-2024</t>
        </is>
      </c>
      <c r="B484" s="1" t="n">
        <v>45621.39081018518</v>
      </c>
      <c r="C484" s="1" t="n">
        <v>45971</v>
      </c>
      <c r="D484" t="inlineStr">
        <is>
          <t>KALMAR LÄN</t>
        </is>
      </c>
      <c r="E484" t="inlineStr">
        <is>
          <t>VÄSTERVIK</t>
        </is>
      </c>
      <c r="F484" t="inlineStr">
        <is>
          <t>Sveaskog</t>
        </is>
      </c>
      <c r="G484" t="n">
        <v>3</v>
      </c>
      <c r="H484" t="n">
        <v>0</v>
      </c>
      <c r="I484" t="n">
        <v>0</v>
      </c>
      <c r="J484" t="n">
        <v>0</v>
      </c>
      <c r="K484" t="n">
        <v>0</v>
      </c>
      <c r="L484" t="n">
        <v>0</v>
      </c>
      <c r="M484" t="n">
        <v>0</v>
      </c>
      <c r="N484" t="n">
        <v>0</v>
      </c>
      <c r="O484" t="n">
        <v>0</v>
      </c>
      <c r="P484" t="n">
        <v>0</v>
      </c>
      <c r="Q484" t="n">
        <v>0</v>
      </c>
      <c r="R484" s="2" t="inlineStr"/>
    </row>
    <row r="485" ht="15" customHeight="1">
      <c r="A485" t="inlineStr">
        <is>
          <t>A 9770-2023</t>
        </is>
      </c>
      <c r="B485" s="1" t="n">
        <v>44984</v>
      </c>
      <c r="C485" s="1" t="n">
        <v>45971</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9792-2023</t>
        </is>
      </c>
      <c r="B486" s="1" t="n">
        <v>44984.64269675926</v>
      </c>
      <c r="C486" s="1" t="n">
        <v>45971</v>
      </c>
      <c r="D486" t="inlineStr">
        <is>
          <t>KALMAR LÄN</t>
        </is>
      </c>
      <c r="E486" t="inlineStr">
        <is>
          <t>VÄSTERVIK</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21752-2024</t>
        </is>
      </c>
      <c r="B487" s="1" t="n">
        <v>45442.58048611111</v>
      </c>
      <c r="C487" s="1" t="n">
        <v>45971</v>
      </c>
      <c r="D487" t="inlineStr">
        <is>
          <t>KALMAR LÄN</t>
        </is>
      </c>
      <c r="E487" t="inlineStr">
        <is>
          <t>VÄSTERVIK</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13837-2024</t>
        </is>
      </c>
      <c r="B488" s="1" t="n">
        <v>45391.4450462963</v>
      </c>
      <c r="C488" s="1" t="n">
        <v>45971</v>
      </c>
      <c r="D488" t="inlineStr">
        <is>
          <t>KALMAR LÄN</t>
        </is>
      </c>
      <c r="E488" t="inlineStr">
        <is>
          <t>VÄSTERVIK</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13839-2024</t>
        </is>
      </c>
      <c r="B489" s="1" t="n">
        <v>45391.44789351852</v>
      </c>
      <c r="C489" s="1" t="n">
        <v>45971</v>
      </c>
      <c r="D489" t="inlineStr">
        <is>
          <t>KALMAR LÄN</t>
        </is>
      </c>
      <c r="E489" t="inlineStr">
        <is>
          <t>VÄSTERVIK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31686-2023</t>
        </is>
      </c>
      <c r="B490" s="1" t="n">
        <v>45117</v>
      </c>
      <c r="C490" s="1" t="n">
        <v>45971</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10803-2025</t>
        </is>
      </c>
      <c r="B491" s="1" t="n">
        <v>45722.52284722222</v>
      </c>
      <c r="C491" s="1" t="n">
        <v>45971</v>
      </c>
      <c r="D491" t="inlineStr">
        <is>
          <t>KALMAR LÄN</t>
        </is>
      </c>
      <c r="E491" t="inlineStr">
        <is>
          <t>VÄSTERVIK</t>
        </is>
      </c>
      <c r="F491" t="inlineStr">
        <is>
          <t>Övriga Aktiebolag</t>
        </is>
      </c>
      <c r="G491" t="n">
        <v>3.5</v>
      </c>
      <c r="H491" t="n">
        <v>0</v>
      </c>
      <c r="I491" t="n">
        <v>0</v>
      </c>
      <c r="J491" t="n">
        <v>0</v>
      </c>
      <c r="K491" t="n">
        <v>0</v>
      </c>
      <c r="L491" t="n">
        <v>0</v>
      </c>
      <c r="M491" t="n">
        <v>0</v>
      </c>
      <c r="N491" t="n">
        <v>0</v>
      </c>
      <c r="O491" t="n">
        <v>0</v>
      </c>
      <c r="P491" t="n">
        <v>0</v>
      </c>
      <c r="Q491" t="n">
        <v>0</v>
      </c>
      <c r="R491" s="2" t="inlineStr"/>
    </row>
    <row r="492" ht="15" customHeight="1">
      <c r="A492" t="inlineStr">
        <is>
          <t>A 25180-2023</t>
        </is>
      </c>
      <c r="B492" s="1" t="n">
        <v>45086</v>
      </c>
      <c r="C492" s="1" t="n">
        <v>45971</v>
      </c>
      <c r="D492" t="inlineStr">
        <is>
          <t>KALMAR LÄN</t>
        </is>
      </c>
      <c r="E492" t="inlineStr">
        <is>
          <t>VÄSTERVIK</t>
        </is>
      </c>
      <c r="G492" t="n">
        <v>0.5</v>
      </c>
      <c r="H492" t="n">
        <v>0</v>
      </c>
      <c r="I492" t="n">
        <v>0</v>
      </c>
      <c r="J492" t="n">
        <v>0</v>
      </c>
      <c r="K492" t="n">
        <v>0</v>
      </c>
      <c r="L492" t="n">
        <v>0</v>
      </c>
      <c r="M492" t="n">
        <v>0</v>
      </c>
      <c r="N492" t="n">
        <v>0</v>
      </c>
      <c r="O492" t="n">
        <v>0</v>
      </c>
      <c r="P492" t="n">
        <v>0</v>
      </c>
      <c r="Q492" t="n">
        <v>0</v>
      </c>
      <c r="R492" s="2" t="inlineStr"/>
    </row>
    <row r="493" ht="15" customHeight="1">
      <c r="A493" t="inlineStr">
        <is>
          <t>A 34958-2021</t>
        </is>
      </c>
      <c r="B493" s="1" t="n">
        <v>44383</v>
      </c>
      <c r="C493" s="1" t="n">
        <v>45971</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34650-2023</t>
        </is>
      </c>
      <c r="B494" s="1" t="n">
        <v>45140</v>
      </c>
      <c r="C494" s="1" t="n">
        <v>45971</v>
      </c>
      <c r="D494" t="inlineStr">
        <is>
          <t>KALMAR LÄN</t>
        </is>
      </c>
      <c r="E494" t="inlineStr">
        <is>
          <t>VÄSTERVIK</t>
        </is>
      </c>
      <c r="G494" t="n">
        <v>1.4</v>
      </c>
      <c r="H494" t="n">
        <v>0</v>
      </c>
      <c r="I494" t="n">
        <v>0</v>
      </c>
      <c r="J494" t="n">
        <v>0</v>
      </c>
      <c r="K494" t="n">
        <v>0</v>
      </c>
      <c r="L494" t="n">
        <v>0</v>
      </c>
      <c r="M494" t="n">
        <v>0</v>
      </c>
      <c r="N494" t="n">
        <v>0</v>
      </c>
      <c r="O494" t="n">
        <v>0</v>
      </c>
      <c r="P494" t="n">
        <v>0</v>
      </c>
      <c r="Q494" t="n">
        <v>0</v>
      </c>
      <c r="R494" s="2" t="inlineStr"/>
    </row>
    <row r="495" ht="15" customHeight="1">
      <c r="A495" t="inlineStr">
        <is>
          <t>A 23626-2024</t>
        </is>
      </c>
      <c r="B495" s="1" t="n">
        <v>45454</v>
      </c>
      <c r="C495" s="1" t="n">
        <v>45971</v>
      </c>
      <c r="D495" t="inlineStr">
        <is>
          <t>KALMAR LÄN</t>
        </is>
      </c>
      <c r="E495" t="inlineStr">
        <is>
          <t>VÄSTERVIK</t>
        </is>
      </c>
      <c r="G495" t="n">
        <v>2.1</v>
      </c>
      <c r="H495" t="n">
        <v>0</v>
      </c>
      <c r="I495" t="n">
        <v>0</v>
      </c>
      <c r="J495" t="n">
        <v>0</v>
      </c>
      <c r="K495" t="n">
        <v>0</v>
      </c>
      <c r="L495" t="n">
        <v>0</v>
      </c>
      <c r="M495" t="n">
        <v>0</v>
      </c>
      <c r="N495" t="n">
        <v>0</v>
      </c>
      <c r="O495" t="n">
        <v>0</v>
      </c>
      <c r="P495" t="n">
        <v>0</v>
      </c>
      <c r="Q495" t="n">
        <v>0</v>
      </c>
      <c r="R495" s="2" t="inlineStr"/>
    </row>
    <row r="496" ht="15" customHeight="1">
      <c r="A496" t="inlineStr">
        <is>
          <t>A 26140-2024</t>
        </is>
      </c>
      <c r="B496" s="1" t="n">
        <v>45468</v>
      </c>
      <c r="C496" s="1" t="n">
        <v>45971</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2357-2025</t>
        </is>
      </c>
      <c r="B497" s="1" t="n">
        <v>45673.68859953704</v>
      </c>
      <c r="C497" s="1" t="n">
        <v>45971</v>
      </c>
      <c r="D497" t="inlineStr">
        <is>
          <t>KALMAR LÄN</t>
        </is>
      </c>
      <c r="E497" t="inlineStr">
        <is>
          <t>VÄSTERVIK</t>
        </is>
      </c>
      <c r="G497" t="n">
        <v>2.6</v>
      </c>
      <c r="H497" t="n">
        <v>0</v>
      </c>
      <c r="I497" t="n">
        <v>0</v>
      </c>
      <c r="J497" t="n">
        <v>0</v>
      </c>
      <c r="K497" t="n">
        <v>0</v>
      </c>
      <c r="L497" t="n">
        <v>0</v>
      </c>
      <c r="M497" t="n">
        <v>0</v>
      </c>
      <c r="N497" t="n">
        <v>0</v>
      </c>
      <c r="O497" t="n">
        <v>0</v>
      </c>
      <c r="P497" t="n">
        <v>0</v>
      </c>
      <c r="Q497" t="n">
        <v>0</v>
      </c>
      <c r="R497" s="2" t="inlineStr"/>
    </row>
    <row r="498" ht="15" customHeight="1">
      <c r="A498" t="inlineStr">
        <is>
          <t>A 60634-2023</t>
        </is>
      </c>
      <c r="B498" s="1" t="n">
        <v>45260.40186342593</v>
      </c>
      <c r="C498" s="1" t="n">
        <v>45971</v>
      </c>
      <c r="D498" t="inlineStr">
        <is>
          <t>KALMAR LÄN</t>
        </is>
      </c>
      <c r="E498" t="inlineStr">
        <is>
          <t>VÄSTERVIK</t>
        </is>
      </c>
      <c r="G498" t="n">
        <v>2</v>
      </c>
      <c r="H498" t="n">
        <v>0</v>
      </c>
      <c r="I498" t="n">
        <v>0</v>
      </c>
      <c r="J498" t="n">
        <v>0</v>
      </c>
      <c r="K498" t="n">
        <v>0</v>
      </c>
      <c r="L498" t="n">
        <v>0</v>
      </c>
      <c r="M498" t="n">
        <v>0</v>
      </c>
      <c r="N498" t="n">
        <v>0</v>
      </c>
      <c r="O498" t="n">
        <v>0</v>
      </c>
      <c r="P498" t="n">
        <v>0</v>
      </c>
      <c r="Q498" t="n">
        <v>0</v>
      </c>
      <c r="R498" s="2" t="inlineStr"/>
    </row>
    <row r="499" ht="15" customHeight="1">
      <c r="A499" t="inlineStr">
        <is>
          <t>A 33842-2025</t>
        </is>
      </c>
      <c r="B499" s="1" t="n">
        <v>45842.48217592593</v>
      </c>
      <c r="C499" s="1" t="n">
        <v>45971</v>
      </c>
      <c r="D499" t="inlineStr">
        <is>
          <t>KALMAR LÄN</t>
        </is>
      </c>
      <c r="E499" t="inlineStr">
        <is>
          <t>VÄSTERVIK</t>
        </is>
      </c>
      <c r="G499" t="n">
        <v>2</v>
      </c>
      <c r="H499" t="n">
        <v>0</v>
      </c>
      <c r="I499" t="n">
        <v>0</v>
      </c>
      <c r="J499" t="n">
        <v>0</v>
      </c>
      <c r="K499" t="n">
        <v>0</v>
      </c>
      <c r="L499" t="n">
        <v>0</v>
      </c>
      <c r="M499" t="n">
        <v>0</v>
      </c>
      <c r="N499" t="n">
        <v>0</v>
      </c>
      <c r="O499" t="n">
        <v>0</v>
      </c>
      <c r="P499" t="n">
        <v>0</v>
      </c>
      <c r="Q499" t="n">
        <v>0</v>
      </c>
      <c r="R499" s="2" t="inlineStr"/>
    </row>
    <row r="500" ht="15" customHeight="1">
      <c r="A500" t="inlineStr">
        <is>
          <t>A 18081-2023</t>
        </is>
      </c>
      <c r="B500" s="1" t="n">
        <v>45040</v>
      </c>
      <c r="C500" s="1" t="n">
        <v>45971</v>
      </c>
      <c r="D500" t="inlineStr">
        <is>
          <t>KALMAR LÄN</t>
        </is>
      </c>
      <c r="E500" t="inlineStr">
        <is>
          <t>VÄSTERVIK</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56188-2023</t>
        </is>
      </c>
      <c r="B501" s="1" t="n">
        <v>45240.65173611111</v>
      </c>
      <c r="C501" s="1" t="n">
        <v>45971</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28895-2023</t>
        </is>
      </c>
      <c r="B502" s="1" t="n">
        <v>45104</v>
      </c>
      <c r="C502" s="1" t="n">
        <v>45971</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12386-2025</t>
        </is>
      </c>
      <c r="B503" s="1" t="n">
        <v>45730</v>
      </c>
      <c r="C503" s="1" t="n">
        <v>45971</v>
      </c>
      <c r="D503" t="inlineStr">
        <is>
          <t>KALMAR LÄN</t>
        </is>
      </c>
      <c r="E503" t="inlineStr">
        <is>
          <t>VÄSTERVIK</t>
        </is>
      </c>
      <c r="G503" t="n">
        <v>4.4</v>
      </c>
      <c r="H503" t="n">
        <v>0</v>
      </c>
      <c r="I503" t="n">
        <v>0</v>
      </c>
      <c r="J503" t="n">
        <v>0</v>
      </c>
      <c r="K503" t="n">
        <v>0</v>
      </c>
      <c r="L503" t="n">
        <v>0</v>
      </c>
      <c r="M503" t="n">
        <v>0</v>
      </c>
      <c r="N503" t="n">
        <v>0</v>
      </c>
      <c r="O503" t="n">
        <v>0</v>
      </c>
      <c r="P503" t="n">
        <v>0</v>
      </c>
      <c r="Q503" t="n">
        <v>0</v>
      </c>
      <c r="R503" s="2" t="inlineStr"/>
    </row>
    <row r="504" ht="15" customHeight="1">
      <c r="A504" t="inlineStr">
        <is>
          <t>A 49286-2022</t>
        </is>
      </c>
      <c r="B504" s="1" t="n">
        <v>44861.45876157407</v>
      </c>
      <c r="C504" s="1" t="n">
        <v>45971</v>
      </c>
      <c r="D504" t="inlineStr">
        <is>
          <t>KALMAR LÄN</t>
        </is>
      </c>
      <c r="E504" t="inlineStr">
        <is>
          <t>VÄSTERVIK</t>
        </is>
      </c>
      <c r="G504" t="n">
        <v>2.6</v>
      </c>
      <c r="H504" t="n">
        <v>0</v>
      </c>
      <c r="I504" t="n">
        <v>0</v>
      </c>
      <c r="J504" t="n">
        <v>0</v>
      </c>
      <c r="K504" t="n">
        <v>0</v>
      </c>
      <c r="L504" t="n">
        <v>0</v>
      </c>
      <c r="M504" t="n">
        <v>0</v>
      </c>
      <c r="N504" t="n">
        <v>0</v>
      </c>
      <c r="O504" t="n">
        <v>0</v>
      </c>
      <c r="P504" t="n">
        <v>0</v>
      </c>
      <c r="Q504" t="n">
        <v>0</v>
      </c>
      <c r="R504" s="2" t="inlineStr"/>
    </row>
    <row r="505" ht="15" customHeight="1">
      <c r="A505" t="inlineStr">
        <is>
          <t>A 53266-2021</t>
        </is>
      </c>
      <c r="B505" s="1" t="n">
        <v>44468.48255787037</v>
      </c>
      <c r="C505" s="1" t="n">
        <v>45971</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22891-2025</t>
        </is>
      </c>
      <c r="B506" s="1" t="n">
        <v>45790.39267361111</v>
      </c>
      <c r="C506" s="1" t="n">
        <v>45971</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8005-2023</t>
        </is>
      </c>
      <c r="B507" s="1" t="n">
        <v>44973.88452546296</v>
      </c>
      <c r="C507" s="1" t="n">
        <v>45971</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15765-2023</t>
        </is>
      </c>
      <c r="B508" s="1" t="n">
        <v>45021</v>
      </c>
      <c r="C508" s="1" t="n">
        <v>45971</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14055-2025</t>
        </is>
      </c>
      <c r="B509" s="1" t="n">
        <v>45740.39541666667</v>
      </c>
      <c r="C509" s="1" t="n">
        <v>45971</v>
      </c>
      <c r="D509" t="inlineStr">
        <is>
          <t>KALMAR LÄN</t>
        </is>
      </c>
      <c r="E509" t="inlineStr">
        <is>
          <t>VÄSTERVIK</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59696-2023</t>
        </is>
      </c>
      <c r="B510" s="1" t="n">
        <v>45256.85211805555</v>
      </c>
      <c r="C510" s="1" t="n">
        <v>45971</v>
      </c>
      <c r="D510" t="inlineStr">
        <is>
          <t>KALMAR LÄN</t>
        </is>
      </c>
      <c r="E510" t="inlineStr">
        <is>
          <t>VÄSTERVIK</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48121-2021</t>
        </is>
      </c>
      <c r="B511" s="1" t="n">
        <v>44449.46614583334</v>
      </c>
      <c r="C511" s="1" t="n">
        <v>45971</v>
      </c>
      <c r="D511" t="inlineStr">
        <is>
          <t>KALMAR LÄN</t>
        </is>
      </c>
      <c r="E511" t="inlineStr">
        <is>
          <t>VÄSTERVIK</t>
        </is>
      </c>
      <c r="G511" t="n">
        <v>1.1</v>
      </c>
      <c r="H511" t="n">
        <v>0</v>
      </c>
      <c r="I511" t="n">
        <v>0</v>
      </c>
      <c r="J511" t="n">
        <v>0</v>
      </c>
      <c r="K511" t="n">
        <v>0</v>
      </c>
      <c r="L511" t="n">
        <v>0</v>
      </c>
      <c r="M511" t="n">
        <v>0</v>
      </c>
      <c r="N511" t="n">
        <v>0</v>
      </c>
      <c r="O511" t="n">
        <v>0</v>
      </c>
      <c r="P511" t="n">
        <v>0</v>
      </c>
      <c r="Q511" t="n">
        <v>0</v>
      </c>
      <c r="R511" s="2" t="inlineStr"/>
    </row>
    <row r="512" ht="15" customHeight="1">
      <c r="A512" t="inlineStr">
        <is>
          <t>A 60056-2023</t>
        </is>
      </c>
      <c r="B512" s="1" t="n">
        <v>45258</v>
      </c>
      <c r="C512" s="1" t="n">
        <v>45971</v>
      </c>
      <c r="D512" t="inlineStr">
        <is>
          <t>KALMAR LÄN</t>
        </is>
      </c>
      <c r="E512" t="inlineStr">
        <is>
          <t>VÄSTERVIK</t>
        </is>
      </c>
      <c r="G512" t="n">
        <v>0.4</v>
      </c>
      <c r="H512" t="n">
        <v>0</v>
      </c>
      <c r="I512" t="n">
        <v>0</v>
      </c>
      <c r="J512" t="n">
        <v>0</v>
      </c>
      <c r="K512" t="n">
        <v>0</v>
      </c>
      <c r="L512" t="n">
        <v>0</v>
      </c>
      <c r="M512" t="n">
        <v>0</v>
      </c>
      <c r="N512" t="n">
        <v>0</v>
      </c>
      <c r="O512" t="n">
        <v>0</v>
      </c>
      <c r="P512" t="n">
        <v>0</v>
      </c>
      <c r="Q512" t="n">
        <v>0</v>
      </c>
      <c r="R512" s="2" t="inlineStr"/>
    </row>
    <row r="513" ht="15" customHeight="1">
      <c r="A513" t="inlineStr">
        <is>
          <t>A 7381-2025</t>
        </is>
      </c>
      <c r="B513" s="1" t="n">
        <v>45705.32234953704</v>
      </c>
      <c r="C513" s="1" t="n">
        <v>45971</v>
      </c>
      <c r="D513" t="inlineStr">
        <is>
          <t>KALMAR LÄN</t>
        </is>
      </c>
      <c r="E513" t="inlineStr">
        <is>
          <t>VÄSTERVIK</t>
        </is>
      </c>
      <c r="F513" t="inlineStr">
        <is>
          <t>Kyrkan</t>
        </is>
      </c>
      <c r="G513" t="n">
        <v>4.1</v>
      </c>
      <c r="H513" t="n">
        <v>0</v>
      </c>
      <c r="I513" t="n">
        <v>0</v>
      </c>
      <c r="J513" t="n">
        <v>0</v>
      </c>
      <c r="K513" t="n">
        <v>0</v>
      </c>
      <c r="L513" t="n">
        <v>0</v>
      </c>
      <c r="M513" t="n">
        <v>0</v>
      </c>
      <c r="N513" t="n">
        <v>0</v>
      </c>
      <c r="O513" t="n">
        <v>0</v>
      </c>
      <c r="P513" t="n">
        <v>0</v>
      </c>
      <c r="Q513" t="n">
        <v>0</v>
      </c>
      <c r="R513" s="2" t="inlineStr"/>
    </row>
    <row r="514" ht="15" customHeight="1">
      <c r="A514" t="inlineStr">
        <is>
          <t>A 51645-2023</t>
        </is>
      </c>
      <c r="B514" s="1" t="n">
        <v>45222.55333333334</v>
      </c>
      <c r="C514" s="1" t="n">
        <v>45971</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69702-2021</t>
        </is>
      </c>
      <c r="B515" s="1" t="n">
        <v>44532.48237268518</v>
      </c>
      <c r="C515" s="1" t="n">
        <v>45971</v>
      </c>
      <c r="D515" t="inlineStr">
        <is>
          <t>KALMAR LÄN</t>
        </is>
      </c>
      <c r="E515" t="inlineStr">
        <is>
          <t>VÄSTERVIK</t>
        </is>
      </c>
      <c r="G515" t="n">
        <v>4.4</v>
      </c>
      <c r="H515" t="n">
        <v>0</v>
      </c>
      <c r="I515" t="n">
        <v>0</v>
      </c>
      <c r="J515" t="n">
        <v>0</v>
      </c>
      <c r="K515" t="n">
        <v>0</v>
      </c>
      <c r="L515" t="n">
        <v>0</v>
      </c>
      <c r="M515" t="n">
        <v>0</v>
      </c>
      <c r="N515" t="n">
        <v>0</v>
      </c>
      <c r="O515" t="n">
        <v>0</v>
      </c>
      <c r="P515" t="n">
        <v>0</v>
      </c>
      <c r="Q515" t="n">
        <v>0</v>
      </c>
      <c r="R515" s="2" t="inlineStr"/>
    </row>
    <row r="516" ht="15" customHeight="1">
      <c r="A516" t="inlineStr">
        <is>
          <t>A 6126-2023</t>
        </is>
      </c>
      <c r="B516" s="1" t="n">
        <v>44964.61592592593</v>
      </c>
      <c r="C516" s="1" t="n">
        <v>45971</v>
      </c>
      <c r="D516" t="inlineStr">
        <is>
          <t>KALMAR LÄN</t>
        </is>
      </c>
      <c r="E516" t="inlineStr">
        <is>
          <t>VÄSTERVIK</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17315-2023</t>
        </is>
      </c>
      <c r="B517" s="1" t="n">
        <v>45035.54475694444</v>
      </c>
      <c r="C517" s="1" t="n">
        <v>45971</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15099-2023</t>
        </is>
      </c>
      <c r="B518" s="1" t="n">
        <v>45016.39048611111</v>
      </c>
      <c r="C518" s="1" t="n">
        <v>45971</v>
      </c>
      <c r="D518" t="inlineStr">
        <is>
          <t>KALMAR LÄN</t>
        </is>
      </c>
      <c r="E518" t="inlineStr">
        <is>
          <t>VÄSTERVIK</t>
        </is>
      </c>
      <c r="G518" t="n">
        <v>3</v>
      </c>
      <c r="H518" t="n">
        <v>0</v>
      </c>
      <c r="I518" t="n">
        <v>0</v>
      </c>
      <c r="J518" t="n">
        <v>0</v>
      </c>
      <c r="K518" t="n">
        <v>0</v>
      </c>
      <c r="L518" t="n">
        <v>0</v>
      </c>
      <c r="M518" t="n">
        <v>0</v>
      </c>
      <c r="N518" t="n">
        <v>0</v>
      </c>
      <c r="O518" t="n">
        <v>0</v>
      </c>
      <c r="P518" t="n">
        <v>0</v>
      </c>
      <c r="Q518" t="n">
        <v>0</v>
      </c>
      <c r="R518" s="2" t="inlineStr"/>
    </row>
    <row r="519" ht="15" customHeight="1">
      <c r="A519" t="inlineStr">
        <is>
          <t>A 71114-2021</t>
        </is>
      </c>
      <c r="B519" s="1" t="n">
        <v>44539.37123842593</v>
      </c>
      <c r="C519" s="1" t="n">
        <v>45971</v>
      </c>
      <c r="D519" t="inlineStr">
        <is>
          <t>KALMAR LÄN</t>
        </is>
      </c>
      <c r="E519" t="inlineStr">
        <is>
          <t>VÄSTERVIK</t>
        </is>
      </c>
      <c r="G519" t="n">
        <v>1.9</v>
      </c>
      <c r="H519" t="n">
        <v>0</v>
      </c>
      <c r="I519" t="n">
        <v>0</v>
      </c>
      <c r="J519" t="n">
        <v>0</v>
      </c>
      <c r="K519" t="n">
        <v>0</v>
      </c>
      <c r="L519" t="n">
        <v>0</v>
      </c>
      <c r="M519" t="n">
        <v>0</v>
      </c>
      <c r="N519" t="n">
        <v>0</v>
      </c>
      <c r="O519" t="n">
        <v>0</v>
      </c>
      <c r="P519" t="n">
        <v>0</v>
      </c>
      <c r="Q519" t="n">
        <v>0</v>
      </c>
      <c r="R519" s="2" t="inlineStr"/>
    </row>
    <row r="520" ht="15" customHeight="1">
      <c r="A520" t="inlineStr">
        <is>
          <t>A 14529-2022</t>
        </is>
      </c>
      <c r="B520" s="1" t="n">
        <v>44655</v>
      </c>
      <c r="C520" s="1" t="n">
        <v>45971</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13838-2024</t>
        </is>
      </c>
      <c r="B521" s="1" t="n">
        <v>45391.44646990741</v>
      </c>
      <c r="C521" s="1" t="n">
        <v>45971</v>
      </c>
      <c r="D521" t="inlineStr">
        <is>
          <t>KALMAR LÄN</t>
        </is>
      </c>
      <c r="E521" t="inlineStr">
        <is>
          <t>VÄSTERVIK</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62422-2022</t>
        </is>
      </c>
      <c r="B522" s="1" t="n">
        <v>44924</v>
      </c>
      <c r="C522" s="1" t="n">
        <v>45971</v>
      </c>
      <c r="D522" t="inlineStr">
        <is>
          <t>KALMAR LÄN</t>
        </is>
      </c>
      <c r="E522" t="inlineStr">
        <is>
          <t>VÄSTERVIK</t>
        </is>
      </c>
      <c r="G522" t="n">
        <v>4.9</v>
      </c>
      <c r="H522" t="n">
        <v>0</v>
      </c>
      <c r="I522" t="n">
        <v>0</v>
      </c>
      <c r="J522" t="n">
        <v>0</v>
      </c>
      <c r="K522" t="n">
        <v>0</v>
      </c>
      <c r="L522" t="n">
        <v>0</v>
      </c>
      <c r="M522" t="n">
        <v>0</v>
      </c>
      <c r="N522" t="n">
        <v>0</v>
      </c>
      <c r="O522" t="n">
        <v>0</v>
      </c>
      <c r="P522" t="n">
        <v>0</v>
      </c>
      <c r="Q522" t="n">
        <v>0</v>
      </c>
      <c r="R522" s="2" t="inlineStr"/>
    </row>
    <row r="523" ht="15" customHeight="1">
      <c r="A523" t="inlineStr">
        <is>
          <t>A 32388-2024</t>
        </is>
      </c>
      <c r="B523" s="1" t="n">
        <v>45512.63465277778</v>
      </c>
      <c r="C523" s="1" t="n">
        <v>45971</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32389-2024</t>
        </is>
      </c>
      <c r="B524" s="1" t="n">
        <v>45512.63642361111</v>
      </c>
      <c r="C524" s="1" t="n">
        <v>45971</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34672-2022</t>
        </is>
      </c>
      <c r="B525" s="1" t="n">
        <v>44795.48444444445</v>
      </c>
      <c r="C525" s="1" t="n">
        <v>45971</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2866-2025</t>
        </is>
      </c>
      <c r="B526" s="1" t="n">
        <v>45677.67711805556</v>
      </c>
      <c r="C526" s="1" t="n">
        <v>45971</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54190-2022</t>
        </is>
      </c>
      <c r="B527" s="1" t="n">
        <v>44881.68282407407</v>
      </c>
      <c r="C527" s="1" t="n">
        <v>45971</v>
      </c>
      <c r="D527" t="inlineStr">
        <is>
          <t>KALMAR LÄN</t>
        </is>
      </c>
      <c r="E527" t="inlineStr">
        <is>
          <t>VÄSTERVIK</t>
        </is>
      </c>
      <c r="G527" t="n">
        <v>7.4</v>
      </c>
      <c r="H527" t="n">
        <v>0</v>
      </c>
      <c r="I527" t="n">
        <v>0</v>
      </c>
      <c r="J527" t="n">
        <v>0</v>
      </c>
      <c r="K527" t="n">
        <v>0</v>
      </c>
      <c r="L527" t="n">
        <v>0</v>
      </c>
      <c r="M527" t="n">
        <v>0</v>
      </c>
      <c r="N527" t="n">
        <v>0</v>
      </c>
      <c r="O527" t="n">
        <v>0</v>
      </c>
      <c r="P527" t="n">
        <v>0</v>
      </c>
      <c r="Q527" t="n">
        <v>0</v>
      </c>
      <c r="R527" s="2" t="inlineStr"/>
    </row>
    <row r="528" ht="15" customHeight="1">
      <c r="A528" t="inlineStr">
        <is>
          <t>A 16617-2023</t>
        </is>
      </c>
      <c r="B528" s="1" t="n">
        <v>45030</v>
      </c>
      <c r="C528" s="1" t="n">
        <v>45971</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10020-2021</t>
        </is>
      </c>
      <c r="B529" s="1" t="n">
        <v>44256</v>
      </c>
      <c r="C529" s="1" t="n">
        <v>45971</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42130-2022</t>
        </is>
      </c>
      <c r="B530" s="1" t="n">
        <v>44830</v>
      </c>
      <c r="C530" s="1" t="n">
        <v>45971</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36725-2024</t>
        </is>
      </c>
      <c r="B531" s="1" t="n">
        <v>45537.90300925926</v>
      </c>
      <c r="C531" s="1" t="n">
        <v>45971</v>
      </c>
      <c r="D531" t="inlineStr">
        <is>
          <t>KALMAR LÄN</t>
        </is>
      </c>
      <c r="E531" t="inlineStr">
        <is>
          <t>VÄSTERVIK</t>
        </is>
      </c>
      <c r="G531" t="n">
        <v>10.1</v>
      </c>
      <c r="H531" t="n">
        <v>0</v>
      </c>
      <c r="I531" t="n">
        <v>0</v>
      </c>
      <c r="J531" t="n">
        <v>0</v>
      </c>
      <c r="K531" t="n">
        <v>0</v>
      </c>
      <c r="L531" t="n">
        <v>0</v>
      </c>
      <c r="M531" t="n">
        <v>0</v>
      </c>
      <c r="N531" t="n">
        <v>0</v>
      </c>
      <c r="O531" t="n">
        <v>0</v>
      </c>
      <c r="P531" t="n">
        <v>0</v>
      </c>
      <c r="Q531" t="n">
        <v>0</v>
      </c>
      <c r="R531" s="2" t="inlineStr"/>
    </row>
    <row r="532" ht="15" customHeight="1">
      <c r="A532" t="inlineStr">
        <is>
          <t>A 2951-2025</t>
        </is>
      </c>
      <c r="B532" s="1" t="n">
        <v>45678</v>
      </c>
      <c r="C532" s="1" t="n">
        <v>45971</v>
      </c>
      <c r="D532" t="inlineStr">
        <is>
          <t>KALMAR LÄN</t>
        </is>
      </c>
      <c r="E532" t="inlineStr">
        <is>
          <t>VÄSTERVIK</t>
        </is>
      </c>
      <c r="G532" t="n">
        <v>0.5</v>
      </c>
      <c r="H532" t="n">
        <v>0</v>
      </c>
      <c r="I532" t="n">
        <v>0</v>
      </c>
      <c r="J532" t="n">
        <v>0</v>
      </c>
      <c r="K532" t="n">
        <v>0</v>
      </c>
      <c r="L532" t="n">
        <v>0</v>
      </c>
      <c r="M532" t="n">
        <v>0</v>
      </c>
      <c r="N532" t="n">
        <v>0</v>
      </c>
      <c r="O532" t="n">
        <v>0</v>
      </c>
      <c r="P532" t="n">
        <v>0</v>
      </c>
      <c r="Q532" t="n">
        <v>0</v>
      </c>
      <c r="R532" s="2" t="inlineStr"/>
    </row>
    <row r="533" ht="15" customHeight="1">
      <c r="A533" t="inlineStr">
        <is>
          <t>A 64762-2023</t>
        </is>
      </c>
      <c r="B533" s="1" t="n">
        <v>45282.27841435185</v>
      </c>
      <c r="C533" s="1" t="n">
        <v>45971</v>
      </c>
      <c r="D533" t="inlineStr">
        <is>
          <t>KALMAR LÄN</t>
        </is>
      </c>
      <c r="E533" t="inlineStr">
        <is>
          <t>VÄSTERVIK</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64763-2023</t>
        </is>
      </c>
      <c r="B534" s="1" t="n">
        <v>45282.28041666667</v>
      </c>
      <c r="C534" s="1" t="n">
        <v>45971</v>
      </c>
      <c r="D534" t="inlineStr">
        <is>
          <t>KALMAR LÄN</t>
        </is>
      </c>
      <c r="E534" t="inlineStr">
        <is>
          <t>VÄSTERVIK</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12455-2025</t>
        </is>
      </c>
      <c r="B535" s="1" t="n">
        <v>45730</v>
      </c>
      <c r="C535" s="1" t="n">
        <v>45971</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37326-2024</t>
        </is>
      </c>
      <c r="B536" s="1" t="n">
        <v>45540</v>
      </c>
      <c r="C536" s="1" t="n">
        <v>45971</v>
      </c>
      <c r="D536" t="inlineStr">
        <is>
          <t>KALMAR LÄN</t>
        </is>
      </c>
      <c r="E536" t="inlineStr">
        <is>
          <t>VÄSTERVIK</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47267-2023</t>
        </is>
      </c>
      <c r="B537" s="1" t="n">
        <v>45202.42667824074</v>
      </c>
      <c r="C537" s="1" t="n">
        <v>45971</v>
      </c>
      <c r="D537" t="inlineStr">
        <is>
          <t>KALMAR LÄN</t>
        </is>
      </c>
      <c r="E537" t="inlineStr">
        <is>
          <t>VÄSTERVIK</t>
        </is>
      </c>
      <c r="G537" t="n">
        <v>0.5</v>
      </c>
      <c r="H537" t="n">
        <v>0</v>
      </c>
      <c r="I537" t="n">
        <v>0</v>
      </c>
      <c r="J537" t="n">
        <v>0</v>
      </c>
      <c r="K537" t="n">
        <v>0</v>
      </c>
      <c r="L537" t="n">
        <v>0</v>
      </c>
      <c r="M537" t="n">
        <v>0</v>
      </c>
      <c r="N537" t="n">
        <v>0</v>
      </c>
      <c r="O537" t="n">
        <v>0</v>
      </c>
      <c r="P537" t="n">
        <v>0</v>
      </c>
      <c r="Q537" t="n">
        <v>0</v>
      </c>
      <c r="R537" s="2" t="inlineStr"/>
    </row>
    <row r="538" ht="15" customHeight="1">
      <c r="A538" t="inlineStr">
        <is>
          <t>A 2830-2025</t>
        </is>
      </c>
      <c r="B538" s="1" t="n">
        <v>45677.62704861111</v>
      </c>
      <c r="C538" s="1" t="n">
        <v>45971</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8440-2023</t>
        </is>
      </c>
      <c r="B539" s="1" t="n">
        <v>44977.46979166667</v>
      </c>
      <c r="C539" s="1" t="n">
        <v>45971</v>
      </c>
      <c r="D539" t="inlineStr">
        <is>
          <t>KALMAR LÄN</t>
        </is>
      </c>
      <c r="E539" t="inlineStr">
        <is>
          <t>VÄSTERVIK</t>
        </is>
      </c>
      <c r="G539" t="n">
        <v>5.5</v>
      </c>
      <c r="H539" t="n">
        <v>0</v>
      </c>
      <c r="I539" t="n">
        <v>0</v>
      </c>
      <c r="J539" t="n">
        <v>0</v>
      </c>
      <c r="K539" t="n">
        <v>0</v>
      </c>
      <c r="L539" t="n">
        <v>0</v>
      </c>
      <c r="M539" t="n">
        <v>0</v>
      </c>
      <c r="N539" t="n">
        <v>0</v>
      </c>
      <c r="O539" t="n">
        <v>0</v>
      </c>
      <c r="P539" t="n">
        <v>0</v>
      </c>
      <c r="Q539" t="n">
        <v>0</v>
      </c>
      <c r="R539" s="2" t="inlineStr"/>
    </row>
    <row r="540" ht="15" customHeight="1">
      <c r="A540" t="inlineStr">
        <is>
          <t>A 8513-2023</t>
        </is>
      </c>
      <c r="B540" s="1" t="n">
        <v>44977.56759259259</v>
      </c>
      <c r="C540" s="1" t="n">
        <v>45971</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14685-2025</t>
        </is>
      </c>
      <c r="B541" s="1" t="n">
        <v>45742.57653935185</v>
      </c>
      <c r="C541" s="1" t="n">
        <v>45971</v>
      </c>
      <c r="D541" t="inlineStr">
        <is>
          <t>KALMAR LÄN</t>
        </is>
      </c>
      <c r="E541" t="inlineStr">
        <is>
          <t>VÄSTERVIK</t>
        </is>
      </c>
      <c r="G541" t="n">
        <v>1.7</v>
      </c>
      <c r="H541" t="n">
        <v>0</v>
      </c>
      <c r="I541" t="n">
        <v>0</v>
      </c>
      <c r="J541" t="n">
        <v>0</v>
      </c>
      <c r="K541" t="n">
        <v>0</v>
      </c>
      <c r="L541" t="n">
        <v>0</v>
      </c>
      <c r="M541" t="n">
        <v>0</v>
      </c>
      <c r="N541" t="n">
        <v>0</v>
      </c>
      <c r="O541" t="n">
        <v>0</v>
      </c>
      <c r="P541" t="n">
        <v>0</v>
      </c>
      <c r="Q541" t="n">
        <v>0</v>
      </c>
      <c r="R541" s="2" t="inlineStr"/>
    </row>
    <row r="542" ht="15" customHeight="1">
      <c r="A542" t="inlineStr">
        <is>
          <t>A 11791-2024</t>
        </is>
      </c>
      <c r="B542" s="1" t="n">
        <v>45374.97038194445</v>
      </c>
      <c r="C542" s="1" t="n">
        <v>45971</v>
      </c>
      <c r="D542" t="inlineStr">
        <is>
          <t>KALMAR LÄN</t>
        </is>
      </c>
      <c r="E542" t="inlineStr">
        <is>
          <t>VÄSTERVIK</t>
        </is>
      </c>
      <c r="G542" t="n">
        <v>3.4</v>
      </c>
      <c r="H542" t="n">
        <v>0</v>
      </c>
      <c r="I542" t="n">
        <v>0</v>
      </c>
      <c r="J542" t="n">
        <v>0</v>
      </c>
      <c r="K542" t="n">
        <v>0</v>
      </c>
      <c r="L542" t="n">
        <v>0</v>
      </c>
      <c r="M542" t="n">
        <v>0</v>
      </c>
      <c r="N542" t="n">
        <v>0</v>
      </c>
      <c r="O542" t="n">
        <v>0</v>
      </c>
      <c r="P542" t="n">
        <v>0</v>
      </c>
      <c r="Q542" t="n">
        <v>0</v>
      </c>
      <c r="R542" s="2" t="inlineStr"/>
    </row>
    <row r="543" ht="15" customHeight="1">
      <c r="A543" t="inlineStr">
        <is>
          <t>A 29405-2024</t>
        </is>
      </c>
      <c r="B543" s="1" t="n">
        <v>45483</v>
      </c>
      <c r="C543" s="1" t="n">
        <v>45971</v>
      </c>
      <c r="D543" t="inlineStr">
        <is>
          <t>KALMAR LÄN</t>
        </is>
      </c>
      <c r="E543" t="inlineStr">
        <is>
          <t>VÄSTERVIK</t>
        </is>
      </c>
      <c r="G543" t="n">
        <v>1.8</v>
      </c>
      <c r="H543" t="n">
        <v>0</v>
      </c>
      <c r="I543" t="n">
        <v>0</v>
      </c>
      <c r="J543" t="n">
        <v>0</v>
      </c>
      <c r="K543" t="n">
        <v>0</v>
      </c>
      <c r="L543" t="n">
        <v>0</v>
      </c>
      <c r="M543" t="n">
        <v>0</v>
      </c>
      <c r="N543" t="n">
        <v>0</v>
      </c>
      <c r="O543" t="n">
        <v>0</v>
      </c>
      <c r="P543" t="n">
        <v>0</v>
      </c>
      <c r="Q543" t="n">
        <v>0</v>
      </c>
      <c r="R543" s="2" t="inlineStr"/>
    </row>
    <row r="544" ht="15" customHeight="1">
      <c r="A544" t="inlineStr">
        <is>
          <t>A 55023-2021</t>
        </is>
      </c>
      <c r="B544" s="1" t="n">
        <v>44474</v>
      </c>
      <c r="C544" s="1" t="n">
        <v>45971</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3190-2023</t>
        </is>
      </c>
      <c r="B545" s="1" t="n">
        <v>44946.61086805556</v>
      </c>
      <c r="C545" s="1" t="n">
        <v>45971</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3679-2025</t>
        </is>
      </c>
      <c r="B546" s="1" t="n">
        <v>45681.44637731482</v>
      </c>
      <c r="C546" s="1" t="n">
        <v>45971</v>
      </c>
      <c r="D546" t="inlineStr">
        <is>
          <t>KALMAR LÄN</t>
        </is>
      </c>
      <c r="E546" t="inlineStr">
        <is>
          <t>VÄSTERVIK</t>
        </is>
      </c>
      <c r="G546" t="n">
        <v>0.9</v>
      </c>
      <c r="H546" t="n">
        <v>0</v>
      </c>
      <c r="I546" t="n">
        <v>0</v>
      </c>
      <c r="J546" t="n">
        <v>0</v>
      </c>
      <c r="K546" t="n">
        <v>0</v>
      </c>
      <c r="L546" t="n">
        <v>0</v>
      </c>
      <c r="M546" t="n">
        <v>0</v>
      </c>
      <c r="N546" t="n">
        <v>0</v>
      </c>
      <c r="O546" t="n">
        <v>0</v>
      </c>
      <c r="P546" t="n">
        <v>0</v>
      </c>
      <c r="Q546" t="n">
        <v>0</v>
      </c>
      <c r="R546" s="2" t="inlineStr"/>
    </row>
    <row r="547" ht="15" customHeight="1">
      <c r="A547" t="inlineStr">
        <is>
          <t>A 29404-2024</t>
        </is>
      </c>
      <c r="B547" s="1" t="n">
        <v>45483</v>
      </c>
      <c r="C547" s="1" t="n">
        <v>45971</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16683-2025</t>
        </is>
      </c>
      <c r="B548" s="1" t="n">
        <v>45754.45234953704</v>
      </c>
      <c r="C548" s="1" t="n">
        <v>45971</v>
      </c>
      <c r="D548" t="inlineStr">
        <is>
          <t>KALMAR LÄN</t>
        </is>
      </c>
      <c r="E548" t="inlineStr">
        <is>
          <t>VÄSTERVIK</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16686-2025</t>
        </is>
      </c>
      <c r="B549" s="1" t="n">
        <v>45754.45355324074</v>
      </c>
      <c r="C549" s="1" t="n">
        <v>45971</v>
      </c>
      <c r="D549" t="inlineStr">
        <is>
          <t>KALMAR LÄN</t>
        </is>
      </c>
      <c r="E549" t="inlineStr">
        <is>
          <t>VÄSTERVIK</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29420-2024</t>
        </is>
      </c>
      <c r="B550" s="1" t="n">
        <v>45483</v>
      </c>
      <c r="C550" s="1" t="n">
        <v>45971</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4496-2022</t>
        </is>
      </c>
      <c r="B551" s="1" t="n">
        <v>44589.67060185185</v>
      </c>
      <c r="C551" s="1" t="n">
        <v>45971</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55047-2024</t>
        </is>
      </c>
      <c r="B552" s="1" t="n">
        <v>45621.39516203704</v>
      </c>
      <c r="C552" s="1" t="n">
        <v>45971</v>
      </c>
      <c r="D552" t="inlineStr">
        <is>
          <t>KALMAR LÄN</t>
        </is>
      </c>
      <c r="E552" t="inlineStr">
        <is>
          <t>VÄSTERVIK</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69098-2020</t>
        </is>
      </c>
      <c r="B553" s="1" t="n">
        <v>44187</v>
      </c>
      <c r="C553" s="1" t="n">
        <v>45971</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38048-2023</t>
        </is>
      </c>
      <c r="B554" s="1" t="n">
        <v>45160.67677083334</v>
      </c>
      <c r="C554" s="1" t="n">
        <v>45971</v>
      </c>
      <c r="D554" t="inlineStr">
        <is>
          <t>KALMAR LÄN</t>
        </is>
      </c>
      <c r="E554" t="inlineStr">
        <is>
          <t>VÄSTERVIK</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17648-2023</t>
        </is>
      </c>
      <c r="B555" s="1" t="n">
        <v>45036</v>
      </c>
      <c r="C555" s="1" t="n">
        <v>45971</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35162-2024</t>
        </is>
      </c>
      <c r="B556" s="1" t="n">
        <v>45530.40025462963</v>
      </c>
      <c r="C556" s="1" t="n">
        <v>45971</v>
      </c>
      <c r="D556" t="inlineStr">
        <is>
          <t>KALMAR LÄN</t>
        </is>
      </c>
      <c r="E556" t="inlineStr">
        <is>
          <t>VÄSTERVIK</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28952-2023</t>
        </is>
      </c>
      <c r="B557" s="1" t="n">
        <v>45104</v>
      </c>
      <c r="C557" s="1" t="n">
        <v>45971</v>
      </c>
      <c r="D557" t="inlineStr">
        <is>
          <t>KALMAR LÄN</t>
        </is>
      </c>
      <c r="E557" t="inlineStr">
        <is>
          <t>VÄSTERVIK</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14080-2025</t>
        </is>
      </c>
      <c r="B558" s="1" t="n">
        <v>45740.43785879629</v>
      </c>
      <c r="C558" s="1" t="n">
        <v>45971</v>
      </c>
      <c r="D558" t="inlineStr">
        <is>
          <t>KALMAR LÄN</t>
        </is>
      </c>
      <c r="E558" t="inlineStr">
        <is>
          <t>VÄSTERVIK</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56046-2023</t>
        </is>
      </c>
      <c r="B559" s="1" t="n">
        <v>45240.45217592592</v>
      </c>
      <c r="C559" s="1" t="n">
        <v>45971</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52645-2021</t>
        </is>
      </c>
      <c r="B560" s="1" t="n">
        <v>44466</v>
      </c>
      <c r="C560" s="1" t="n">
        <v>45971</v>
      </c>
      <c r="D560" t="inlineStr">
        <is>
          <t>KALMAR LÄN</t>
        </is>
      </c>
      <c r="E560" t="inlineStr">
        <is>
          <t>VÄSTERVIK</t>
        </is>
      </c>
      <c r="G560" t="n">
        <v>5</v>
      </c>
      <c r="H560" t="n">
        <v>0</v>
      </c>
      <c r="I560" t="n">
        <v>0</v>
      </c>
      <c r="J560" t="n">
        <v>0</v>
      </c>
      <c r="K560" t="n">
        <v>0</v>
      </c>
      <c r="L560" t="n">
        <v>0</v>
      </c>
      <c r="M560" t="n">
        <v>0</v>
      </c>
      <c r="N560" t="n">
        <v>0</v>
      </c>
      <c r="O560" t="n">
        <v>0</v>
      </c>
      <c r="P560" t="n">
        <v>0</v>
      </c>
      <c r="Q560" t="n">
        <v>0</v>
      </c>
      <c r="R560" s="2" t="inlineStr"/>
    </row>
    <row r="561" ht="15" customHeight="1">
      <c r="A561" t="inlineStr">
        <is>
          <t>A 47124-2023</t>
        </is>
      </c>
      <c r="B561" s="1" t="n">
        <v>45201</v>
      </c>
      <c r="C561" s="1" t="n">
        <v>45971</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1568-2023</t>
        </is>
      </c>
      <c r="B562" s="1" t="n">
        <v>44937</v>
      </c>
      <c r="C562" s="1" t="n">
        <v>45971</v>
      </c>
      <c r="D562" t="inlineStr">
        <is>
          <t>KALMAR LÄN</t>
        </is>
      </c>
      <c r="E562" t="inlineStr">
        <is>
          <t>VÄSTERVIK</t>
        </is>
      </c>
      <c r="G562" t="n">
        <v>0.8</v>
      </c>
      <c r="H562" t="n">
        <v>0</v>
      </c>
      <c r="I562" t="n">
        <v>0</v>
      </c>
      <c r="J562" t="n">
        <v>0</v>
      </c>
      <c r="K562" t="n">
        <v>0</v>
      </c>
      <c r="L562" t="n">
        <v>0</v>
      </c>
      <c r="M562" t="n">
        <v>0</v>
      </c>
      <c r="N562" t="n">
        <v>0</v>
      </c>
      <c r="O562" t="n">
        <v>0</v>
      </c>
      <c r="P562" t="n">
        <v>0</v>
      </c>
      <c r="Q562" t="n">
        <v>0</v>
      </c>
      <c r="R562" s="2" t="inlineStr"/>
    </row>
    <row r="563" ht="15" customHeight="1">
      <c r="A563" t="inlineStr">
        <is>
          <t>A 37986-2023</t>
        </is>
      </c>
      <c r="B563" s="1" t="n">
        <v>45160.60331018519</v>
      </c>
      <c r="C563" s="1" t="n">
        <v>45971</v>
      </c>
      <c r="D563" t="inlineStr">
        <is>
          <t>KALMAR LÄN</t>
        </is>
      </c>
      <c r="E563" t="inlineStr">
        <is>
          <t>VÄSTERVIK</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45721-2022</t>
        </is>
      </c>
      <c r="B564" s="1" t="n">
        <v>44845</v>
      </c>
      <c r="C564" s="1" t="n">
        <v>45971</v>
      </c>
      <c r="D564" t="inlineStr">
        <is>
          <t>KALMAR LÄN</t>
        </is>
      </c>
      <c r="E564" t="inlineStr">
        <is>
          <t>VÄSTERVIK</t>
        </is>
      </c>
      <c r="F564" t="inlineStr">
        <is>
          <t>Holmen skog AB</t>
        </is>
      </c>
      <c r="G564" t="n">
        <v>3.3</v>
      </c>
      <c r="H564" t="n">
        <v>0</v>
      </c>
      <c r="I564" t="n">
        <v>0</v>
      </c>
      <c r="J564" t="n">
        <v>0</v>
      </c>
      <c r="K564" t="n">
        <v>0</v>
      </c>
      <c r="L564" t="n">
        <v>0</v>
      </c>
      <c r="M564" t="n">
        <v>0</v>
      </c>
      <c r="N564" t="n">
        <v>0</v>
      </c>
      <c r="O564" t="n">
        <v>0</v>
      </c>
      <c r="P564" t="n">
        <v>0</v>
      </c>
      <c r="Q564" t="n">
        <v>0</v>
      </c>
      <c r="R564" s="2" t="inlineStr"/>
      <c r="U564">
        <f>HYPERLINK("https://klasma.github.io/Logging_0883/knärot/A 45721-2022 karta knärot.png", "A 45721-2022")</f>
        <v/>
      </c>
      <c r="V564">
        <f>HYPERLINK("https://klasma.github.io/Logging_0883/klagomål/A 45721-2022 FSC-klagomål.docx", "A 45721-2022")</f>
        <v/>
      </c>
      <c r="W564">
        <f>HYPERLINK("https://klasma.github.io/Logging_0883/klagomålsmail/A 45721-2022 FSC-klagomål mail.docx", "A 45721-2022")</f>
        <v/>
      </c>
      <c r="X564">
        <f>HYPERLINK("https://klasma.github.io/Logging_0883/tillsyn/A 45721-2022 tillsynsbegäran.docx", "A 45721-2022")</f>
        <v/>
      </c>
      <c r="Y564">
        <f>HYPERLINK("https://klasma.github.io/Logging_0883/tillsynsmail/A 45721-2022 tillsynsbegäran mail.docx", "A 45721-2022")</f>
        <v/>
      </c>
    </row>
    <row r="565" ht="15" customHeight="1">
      <c r="A565" t="inlineStr">
        <is>
          <t>A 61448-2023</t>
        </is>
      </c>
      <c r="B565" s="1" t="n">
        <v>45264.81439814815</v>
      </c>
      <c r="C565" s="1" t="n">
        <v>45971</v>
      </c>
      <c r="D565" t="inlineStr">
        <is>
          <t>KALMAR LÄN</t>
        </is>
      </c>
      <c r="E565" t="inlineStr">
        <is>
          <t>VÄSTERVIK</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61449-2023</t>
        </is>
      </c>
      <c r="B566" s="1" t="n">
        <v>45264.81490740741</v>
      </c>
      <c r="C566" s="1" t="n">
        <v>45971</v>
      </c>
      <c r="D566" t="inlineStr">
        <is>
          <t>KALMAR LÄN</t>
        </is>
      </c>
      <c r="E566" t="inlineStr">
        <is>
          <t>VÄSTERVIK</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24877-2023</t>
        </is>
      </c>
      <c r="B567" s="1" t="n">
        <v>45085.43271990741</v>
      </c>
      <c r="C567" s="1" t="n">
        <v>45971</v>
      </c>
      <c r="D567" t="inlineStr">
        <is>
          <t>KALMAR LÄN</t>
        </is>
      </c>
      <c r="E567" t="inlineStr">
        <is>
          <t>VÄSTERVIK</t>
        </is>
      </c>
      <c r="G567" t="n">
        <v>3.8</v>
      </c>
      <c r="H567" t="n">
        <v>0</v>
      </c>
      <c r="I567" t="n">
        <v>0</v>
      </c>
      <c r="J567" t="n">
        <v>0</v>
      </c>
      <c r="K567" t="n">
        <v>0</v>
      </c>
      <c r="L567" t="n">
        <v>0</v>
      </c>
      <c r="M567" t="n">
        <v>0</v>
      </c>
      <c r="N567" t="n">
        <v>0</v>
      </c>
      <c r="O567" t="n">
        <v>0</v>
      </c>
      <c r="P567" t="n">
        <v>0</v>
      </c>
      <c r="Q567" t="n">
        <v>0</v>
      </c>
      <c r="R567" s="2" t="inlineStr"/>
    </row>
    <row r="568" ht="15" customHeight="1">
      <c r="A568" t="inlineStr">
        <is>
          <t>A 29789-2024</t>
        </is>
      </c>
      <c r="B568" s="1" t="n">
        <v>45485.46721064814</v>
      </c>
      <c r="C568" s="1" t="n">
        <v>45971</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46790-2022</t>
        </is>
      </c>
      <c r="B569" s="1" t="n">
        <v>44851</v>
      </c>
      <c r="C569" s="1" t="n">
        <v>45971</v>
      </c>
      <c r="D569" t="inlineStr">
        <is>
          <t>KALMAR LÄN</t>
        </is>
      </c>
      <c r="E569" t="inlineStr">
        <is>
          <t>VÄSTERVIK</t>
        </is>
      </c>
      <c r="G569" t="n">
        <v>9.9</v>
      </c>
      <c r="H569" t="n">
        <v>0</v>
      </c>
      <c r="I569" t="n">
        <v>0</v>
      </c>
      <c r="J569" t="n">
        <v>0</v>
      </c>
      <c r="K569" t="n">
        <v>0</v>
      </c>
      <c r="L569" t="n">
        <v>0</v>
      </c>
      <c r="M569" t="n">
        <v>0</v>
      </c>
      <c r="N569" t="n">
        <v>0</v>
      </c>
      <c r="O569" t="n">
        <v>0</v>
      </c>
      <c r="P569" t="n">
        <v>0</v>
      </c>
      <c r="Q569" t="n">
        <v>0</v>
      </c>
      <c r="R569" s="2" t="inlineStr"/>
    </row>
    <row r="570" ht="15" customHeight="1">
      <c r="A570" t="inlineStr">
        <is>
          <t>A 50127-2023</t>
        </is>
      </c>
      <c r="B570" s="1" t="n">
        <v>45215.65043981482</v>
      </c>
      <c r="C570" s="1" t="n">
        <v>45971</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15379-2025</t>
        </is>
      </c>
      <c r="B571" s="1" t="n">
        <v>45747.40813657407</v>
      </c>
      <c r="C571" s="1" t="n">
        <v>45971</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52774-2024</t>
        </is>
      </c>
      <c r="B572" s="1" t="n">
        <v>45610.53413194444</v>
      </c>
      <c r="C572" s="1" t="n">
        <v>45971</v>
      </c>
      <c r="D572" t="inlineStr">
        <is>
          <t>KALMAR LÄN</t>
        </is>
      </c>
      <c r="E572" t="inlineStr">
        <is>
          <t>VÄSTERVIK</t>
        </is>
      </c>
      <c r="F572" t="inlineStr">
        <is>
          <t>Holmen skog AB</t>
        </is>
      </c>
      <c r="G572" t="n">
        <v>2.9</v>
      </c>
      <c r="H572" t="n">
        <v>0</v>
      </c>
      <c r="I572" t="n">
        <v>0</v>
      </c>
      <c r="J572" t="n">
        <v>0</v>
      </c>
      <c r="K572" t="n">
        <v>0</v>
      </c>
      <c r="L572" t="n">
        <v>0</v>
      </c>
      <c r="M572" t="n">
        <v>0</v>
      </c>
      <c r="N572" t="n">
        <v>0</v>
      </c>
      <c r="O572" t="n">
        <v>0</v>
      </c>
      <c r="P572" t="n">
        <v>0</v>
      </c>
      <c r="Q572" t="n">
        <v>0</v>
      </c>
      <c r="R572" s="2" t="inlineStr"/>
    </row>
    <row r="573" ht="15" customHeight="1">
      <c r="A573" t="inlineStr">
        <is>
          <t>A 352-2023</t>
        </is>
      </c>
      <c r="B573" s="1" t="n">
        <v>44929.51619212963</v>
      </c>
      <c r="C573" s="1" t="n">
        <v>45971</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13843-2024</t>
        </is>
      </c>
      <c r="B574" s="1" t="n">
        <v>45391.45087962963</v>
      </c>
      <c r="C574" s="1" t="n">
        <v>45971</v>
      </c>
      <c r="D574" t="inlineStr">
        <is>
          <t>KALMAR LÄN</t>
        </is>
      </c>
      <c r="E574" t="inlineStr">
        <is>
          <t>VÄSTERVIK</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57804-2021</t>
        </is>
      </c>
      <c r="B575" s="1" t="n">
        <v>44484</v>
      </c>
      <c r="C575" s="1" t="n">
        <v>45971</v>
      </c>
      <c r="D575" t="inlineStr">
        <is>
          <t>KALMAR LÄN</t>
        </is>
      </c>
      <c r="E575" t="inlineStr">
        <is>
          <t>VÄSTERVIK</t>
        </is>
      </c>
      <c r="G575" t="n">
        <v>1.6</v>
      </c>
      <c r="H575" t="n">
        <v>0</v>
      </c>
      <c r="I575" t="n">
        <v>0</v>
      </c>
      <c r="J575" t="n">
        <v>0</v>
      </c>
      <c r="K575" t="n">
        <v>0</v>
      </c>
      <c r="L575" t="n">
        <v>0</v>
      </c>
      <c r="M575" t="n">
        <v>0</v>
      </c>
      <c r="N575" t="n">
        <v>0</v>
      </c>
      <c r="O575" t="n">
        <v>0</v>
      </c>
      <c r="P575" t="n">
        <v>0</v>
      </c>
      <c r="Q575" t="n">
        <v>0</v>
      </c>
      <c r="R575" s="2" t="inlineStr"/>
    </row>
    <row r="576" ht="15" customHeight="1">
      <c r="A576" t="inlineStr">
        <is>
          <t>A 59675-2022</t>
        </is>
      </c>
      <c r="B576" s="1" t="n">
        <v>44908</v>
      </c>
      <c r="C576" s="1" t="n">
        <v>45971</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62304-2022</t>
        </is>
      </c>
      <c r="B577" s="1" t="n">
        <v>44923.46215277778</v>
      </c>
      <c r="C577" s="1" t="n">
        <v>45971</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62306-2022</t>
        </is>
      </c>
      <c r="B578" s="1" t="n">
        <v>44923</v>
      </c>
      <c r="C578" s="1" t="n">
        <v>45971</v>
      </c>
      <c r="D578" t="inlineStr">
        <is>
          <t>KALMAR LÄN</t>
        </is>
      </c>
      <c r="E578" t="inlineStr">
        <is>
          <t>VÄSTERVIK</t>
        </is>
      </c>
      <c r="G578" t="n">
        <v>1.5</v>
      </c>
      <c r="H578" t="n">
        <v>0</v>
      </c>
      <c r="I578" t="n">
        <v>0</v>
      </c>
      <c r="J578" t="n">
        <v>0</v>
      </c>
      <c r="K578" t="n">
        <v>0</v>
      </c>
      <c r="L578" t="n">
        <v>0</v>
      </c>
      <c r="M578" t="n">
        <v>0</v>
      </c>
      <c r="N578" t="n">
        <v>0</v>
      </c>
      <c r="O578" t="n">
        <v>0</v>
      </c>
      <c r="P578" t="n">
        <v>0</v>
      </c>
      <c r="Q578" t="n">
        <v>0</v>
      </c>
      <c r="R578" s="2" t="inlineStr"/>
    </row>
    <row r="579" ht="15" customHeight="1">
      <c r="A579" t="inlineStr">
        <is>
          <t>A 23080-2023</t>
        </is>
      </c>
      <c r="B579" s="1" t="n">
        <v>45075</v>
      </c>
      <c r="C579" s="1" t="n">
        <v>45971</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2738-2023</t>
        </is>
      </c>
      <c r="B580" s="1" t="n">
        <v>44944</v>
      </c>
      <c r="C580" s="1" t="n">
        <v>45971</v>
      </c>
      <c r="D580" t="inlineStr">
        <is>
          <t>KALMAR LÄN</t>
        </is>
      </c>
      <c r="E580" t="inlineStr">
        <is>
          <t>VÄSTERVIK</t>
        </is>
      </c>
      <c r="G580" t="n">
        <v>3</v>
      </c>
      <c r="H580" t="n">
        <v>0</v>
      </c>
      <c r="I580" t="n">
        <v>0</v>
      </c>
      <c r="J580" t="n">
        <v>0</v>
      </c>
      <c r="K580" t="n">
        <v>0</v>
      </c>
      <c r="L580" t="n">
        <v>0</v>
      </c>
      <c r="M580" t="n">
        <v>0</v>
      </c>
      <c r="N580" t="n">
        <v>0</v>
      </c>
      <c r="O580" t="n">
        <v>0</v>
      </c>
      <c r="P580" t="n">
        <v>0</v>
      </c>
      <c r="Q580" t="n">
        <v>0</v>
      </c>
      <c r="R580" s="2" t="inlineStr"/>
    </row>
    <row r="581" ht="15" customHeight="1">
      <c r="A581" t="inlineStr">
        <is>
          <t>A 170-2022</t>
        </is>
      </c>
      <c r="B581" s="1" t="n">
        <v>44564.62540509259</v>
      </c>
      <c r="C581" s="1" t="n">
        <v>45971</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174-2022</t>
        </is>
      </c>
      <c r="B582" s="1" t="n">
        <v>44564.62763888889</v>
      </c>
      <c r="C582" s="1" t="n">
        <v>45971</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20204-2021</t>
        </is>
      </c>
      <c r="B583" s="1" t="n">
        <v>44314</v>
      </c>
      <c r="C583" s="1" t="n">
        <v>45971</v>
      </c>
      <c r="D583" t="inlineStr">
        <is>
          <t>KALMAR LÄN</t>
        </is>
      </c>
      <c r="E583" t="inlineStr">
        <is>
          <t>VÄSTERVIK</t>
        </is>
      </c>
      <c r="F583" t="inlineStr">
        <is>
          <t>Holmen skog AB</t>
        </is>
      </c>
      <c r="G583" t="n">
        <v>12.1</v>
      </c>
      <c r="H583" t="n">
        <v>0</v>
      </c>
      <c r="I583" t="n">
        <v>0</v>
      </c>
      <c r="J583" t="n">
        <v>0</v>
      </c>
      <c r="K583" t="n">
        <v>0</v>
      </c>
      <c r="L583" t="n">
        <v>0</v>
      </c>
      <c r="M583" t="n">
        <v>0</v>
      </c>
      <c r="N583" t="n">
        <v>0</v>
      </c>
      <c r="O583" t="n">
        <v>0</v>
      </c>
      <c r="P583" t="n">
        <v>0</v>
      </c>
      <c r="Q583" t="n">
        <v>0</v>
      </c>
      <c r="R583" s="2" t="inlineStr"/>
    </row>
    <row r="584" ht="15" customHeight="1">
      <c r="A584" t="inlineStr">
        <is>
          <t>A 58731-2024</t>
        </is>
      </c>
      <c r="B584" s="1" t="n">
        <v>45635.67120370371</v>
      </c>
      <c r="C584" s="1" t="n">
        <v>45971</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55050-2024</t>
        </is>
      </c>
      <c r="B585" s="1" t="n">
        <v>45621.39759259259</v>
      </c>
      <c r="C585" s="1" t="n">
        <v>45971</v>
      </c>
      <c r="D585" t="inlineStr">
        <is>
          <t>KALMAR LÄN</t>
        </is>
      </c>
      <c r="E585" t="inlineStr">
        <is>
          <t>VÄSTERVIK</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21942-2023</t>
        </is>
      </c>
      <c r="B586" s="1" t="n">
        <v>45068</v>
      </c>
      <c r="C586" s="1" t="n">
        <v>45971</v>
      </c>
      <c r="D586" t="inlineStr">
        <is>
          <t>KALMAR LÄN</t>
        </is>
      </c>
      <c r="E586" t="inlineStr">
        <is>
          <t>VÄSTERVIK</t>
        </is>
      </c>
      <c r="G586" t="n">
        <v>1.3</v>
      </c>
      <c r="H586" t="n">
        <v>0</v>
      </c>
      <c r="I586" t="n">
        <v>0</v>
      </c>
      <c r="J586" t="n">
        <v>0</v>
      </c>
      <c r="K586" t="n">
        <v>0</v>
      </c>
      <c r="L586" t="n">
        <v>0</v>
      </c>
      <c r="M586" t="n">
        <v>0</v>
      </c>
      <c r="N586" t="n">
        <v>0</v>
      </c>
      <c r="O586" t="n">
        <v>0</v>
      </c>
      <c r="P586" t="n">
        <v>0</v>
      </c>
      <c r="Q586" t="n">
        <v>0</v>
      </c>
      <c r="R586" s="2" t="inlineStr"/>
    </row>
    <row r="587" ht="15" customHeight="1">
      <c r="A587" t="inlineStr">
        <is>
          <t>A 11741-2023</t>
        </is>
      </c>
      <c r="B587" s="1" t="n">
        <v>44994.58689814815</v>
      </c>
      <c r="C587" s="1" t="n">
        <v>45971</v>
      </c>
      <c r="D587" t="inlineStr">
        <is>
          <t>KALMAR LÄN</t>
        </is>
      </c>
      <c r="E587" t="inlineStr">
        <is>
          <t>VÄSTERVIK</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4463-2022</t>
        </is>
      </c>
      <c r="B588" s="1" t="n">
        <v>44589</v>
      </c>
      <c r="C588" s="1" t="n">
        <v>45971</v>
      </c>
      <c r="D588" t="inlineStr">
        <is>
          <t>KALMAR LÄN</t>
        </is>
      </c>
      <c r="E588" t="inlineStr">
        <is>
          <t>VÄSTERVIK</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2314-2023</t>
        </is>
      </c>
      <c r="B589" s="1" t="n">
        <v>44942</v>
      </c>
      <c r="C589" s="1" t="n">
        <v>45971</v>
      </c>
      <c r="D589" t="inlineStr">
        <is>
          <t>KALMAR LÄN</t>
        </is>
      </c>
      <c r="E589" t="inlineStr">
        <is>
          <t>VÄSTERVIK</t>
        </is>
      </c>
      <c r="G589" t="n">
        <v>2.3</v>
      </c>
      <c r="H589" t="n">
        <v>0</v>
      </c>
      <c r="I589" t="n">
        <v>0</v>
      </c>
      <c r="J589" t="n">
        <v>0</v>
      </c>
      <c r="K589" t="n">
        <v>0</v>
      </c>
      <c r="L589" t="n">
        <v>0</v>
      </c>
      <c r="M589" t="n">
        <v>0</v>
      </c>
      <c r="N589" t="n">
        <v>0</v>
      </c>
      <c r="O589" t="n">
        <v>0</v>
      </c>
      <c r="P589" t="n">
        <v>0</v>
      </c>
      <c r="Q589" t="n">
        <v>0</v>
      </c>
      <c r="R589" s="2" t="inlineStr"/>
    </row>
    <row r="590" ht="15" customHeight="1">
      <c r="A590" t="inlineStr">
        <is>
          <t>A 3555-2021</t>
        </is>
      </c>
      <c r="B590" s="1" t="n">
        <v>44218</v>
      </c>
      <c r="C590" s="1" t="n">
        <v>45971</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11120-2025</t>
        </is>
      </c>
      <c r="B591" s="1" t="n">
        <v>45723.63655092593</v>
      </c>
      <c r="C591" s="1" t="n">
        <v>45971</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11122-2025</t>
        </is>
      </c>
      <c r="B592" s="1" t="n">
        <v>45723.63827546296</v>
      </c>
      <c r="C592" s="1" t="n">
        <v>45971</v>
      </c>
      <c r="D592" t="inlineStr">
        <is>
          <t>KALMAR LÄN</t>
        </is>
      </c>
      <c r="E592" t="inlineStr">
        <is>
          <t>VÄSTERVIK</t>
        </is>
      </c>
      <c r="G592" t="n">
        <v>0.3</v>
      </c>
      <c r="H592" t="n">
        <v>0</v>
      </c>
      <c r="I592" t="n">
        <v>0</v>
      </c>
      <c r="J592" t="n">
        <v>0</v>
      </c>
      <c r="K592" t="n">
        <v>0</v>
      </c>
      <c r="L592" t="n">
        <v>0</v>
      </c>
      <c r="M592" t="n">
        <v>0</v>
      </c>
      <c r="N592" t="n">
        <v>0</v>
      </c>
      <c r="O592" t="n">
        <v>0</v>
      </c>
      <c r="P592" t="n">
        <v>0</v>
      </c>
      <c r="Q592" t="n">
        <v>0</v>
      </c>
      <c r="R592" s="2" t="inlineStr"/>
    </row>
    <row r="593" ht="15" customHeight="1">
      <c r="A593" t="inlineStr">
        <is>
          <t>A 16680-2025</t>
        </is>
      </c>
      <c r="B593" s="1" t="n">
        <v>45754.44952546297</v>
      </c>
      <c r="C593" s="1" t="n">
        <v>45971</v>
      </c>
      <c r="D593" t="inlineStr">
        <is>
          <t>KALMAR LÄN</t>
        </is>
      </c>
      <c r="E593" t="inlineStr">
        <is>
          <t>VÄSTERVIK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16691-2025</t>
        </is>
      </c>
      <c r="B594" s="1" t="n">
        <v>45754.46086805555</v>
      </c>
      <c r="C594" s="1" t="n">
        <v>45971</v>
      </c>
      <c r="D594" t="inlineStr">
        <is>
          <t>KALMAR LÄN</t>
        </is>
      </c>
      <c r="E594" t="inlineStr">
        <is>
          <t>VÄSTERVIK</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8597-2023</t>
        </is>
      </c>
      <c r="B595" s="1" t="n">
        <v>44977</v>
      </c>
      <c r="C595" s="1" t="n">
        <v>45971</v>
      </c>
      <c r="D595" t="inlineStr">
        <is>
          <t>KALMAR LÄN</t>
        </is>
      </c>
      <c r="E595" t="inlineStr">
        <is>
          <t>VÄSTERVIK</t>
        </is>
      </c>
      <c r="G595" t="n">
        <v>0.2</v>
      </c>
      <c r="H595" t="n">
        <v>0</v>
      </c>
      <c r="I595" t="n">
        <v>0</v>
      </c>
      <c r="J595" t="n">
        <v>0</v>
      </c>
      <c r="K595" t="n">
        <v>0</v>
      </c>
      <c r="L595" t="n">
        <v>0</v>
      </c>
      <c r="M595" t="n">
        <v>0</v>
      </c>
      <c r="N595" t="n">
        <v>0</v>
      </c>
      <c r="O595" t="n">
        <v>0</v>
      </c>
      <c r="P595" t="n">
        <v>0</v>
      </c>
      <c r="Q595" t="n">
        <v>0</v>
      </c>
      <c r="R595" s="2" t="inlineStr"/>
    </row>
    <row r="596" ht="15" customHeight="1">
      <c r="A596" t="inlineStr">
        <is>
          <t>A 38040-2023</t>
        </is>
      </c>
      <c r="B596" s="1" t="n">
        <v>45160.66336805555</v>
      </c>
      <c r="C596" s="1" t="n">
        <v>45971</v>
      </c>
      <c r="D596" t="inlineStr">
        <is>
          <t>KALMAR LÄN</t>
        </is>
      </c>
      <c r="E596" t="inlineStr">
        <is>
          <t>VÄSTERVIK</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55609-2024</t>
        </is>
      </c>
      <c r="B597" s="1" t="n">
        <v>45622.58350694444</v>
      </c>
      <c r="C597" s="1" t="n">
        <v>45971</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33208-2022</t>
        </is>
      </c>
      <c r="B598" s="1" t="n">
        <v>44785</v>
      </c>
      <c r="C598" s="1" t="n">
        <v>45971</v>
      </c>
      <c r="D598" t="inlineStr">
        <is>
          <t>KALMAR LÄN</t>
        </is>
      </c>
      <c r="E598" t="inlineStr">
        <is>
          <t>VÄSTERVIK</t>
        </is>
      </c>
      <c r="G598" t="n">
        <v>2.6</v>
      </c>
      <c r="H598" t="n">
        <v>0</v>
      </c>
      <c r="I598" t="n">
        <v>0</v>
      </c>
      <c r="J598" t="n">
        <v>0</v>
      </c>
      <c r="K598" t="n">
        <v>0</v>
      </c>
      <c r="L598" t="n">
        <v>0</v>
      </c>
      <c r="M598" t="n">
        <v>0</v>
      </c>
      <c r="N598" t="n">
        <v>0</v>
      </c>
      <c r="O598" t="n">
        <v>0</v>
      </c>
      <c r="P598" t="n">
        <v>0</v>
      </c>
      <c r="Q598" t="n">
        <v>0</v>
      </c>
      <c r="R598" s="2" t="inlineStr"/>
    </row>
    <row r="599" ht="15" customHeight="1">
      <c r="A599" t="inlineStr">
        <is>
          <t>A 21831-2023</t>
        </is>
      </c>
      <c r="B599" s="1" t="n">
        <v>45068</v>
      </c>
      <c r="C599" s="1" t="n">
        <v>45971</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7165-2025</t>
        </is>
      </c>
      <c r="B600" s="1" t="n">
        <v>45702.39491898148</v>
      </c>
      <c r="C600" s="1" t="n">
        <v>45971</v>
      </c>
      <c r="D600" t="inlineStr">
        <is>
          <t>KALMAR LÄN</t>
        </is>
      </c>
      <c r="E600" t="inlineStr">
        <is>
          <t>VÄSTERVIK</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33969-2024</t>
        </is>
      </c>
      <c r="B601" s="1" t="n">
        <v>45523.49450231482</v>
      </c>
      <c r="C601" s="1" t="n">
        <v>45971</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12652-2022</t>
        </is>
      </c>
      <c r="B602" s="1" t="n">
        <v>44641</v>
      </c>
      <c r="C602" s="1" t="n">
        <v>45971</v>
      </c>
      <c r="D602" t="inlineStr">
        <is>
          <t>KALMAR LÄN</t>
        </is>
      </c>
      <c r="E602" t="inlineStr">
        <is>
          <t>VÄSTERVIK</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14068-2025</t>
        </is>
      </c>
      <c r="B603" s="1" t="n">
        <v>45740.42127314815</v>
      </c>
      <c r="C603" s="1" t="n">
        <v>45971</v>
      </c>
      <c r="D603" t="inlineStr">
        <is>
          <t>KALMAR LÄN</t>
        </is>
      </c>
      <c r="E603" t="inlineStr">
        <is>
          <t>VÄSTERVIK</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14071-2025</t>
        </is>
      </c>
      <c r="B604" s="1" t="n">
        <v>45740.42738425926</v>
      </c>
      <c r="C604" s="1" t="n">
        <v>45971</v>
      </c>
      <c r="D604" t="inlineStr">
        <is>
          <t>KALMAR LÄN</t>
        </is>
      </c>
      <c r="E604" t="inlineStr">
        <is>
          <t>VÄSTERVIK</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24578-2024</t>
        </is>
      </c>
      <c r="B605" s="1" t="n">
        <v>45460</v>
      </c>
      <c r="C605" s="1" t="n">
        <v>45971</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23316-2023</t>
        </is>
      </c>
      <c r="B606" s="1" t="n">
        <v>45076.02563657407</v>
      </c>
      <c r="C606" s="1" t="n">
        <v>45971</v>
      </c>
      <c r="D606" t="inlineStr">
        <is>
          <t>KALMAR LÄN</t>
        </is>
      </c>
      <c r="E606" t="inlineStr">
        <is>
          <t>VÄSTERVIK</t>
        </is>
      </c>
      <c r="G606" t="n">
        <v>3.6</v>
      </c>
      <c r="H606" t="n">
        <v>0</v>
      </c>
      <c r="I606" t="n">
        <v>0</v>
      </c>
      <c r="J606" t="n">
        <v>0</v>
      </c>
      <c r="K606" t="n">
        <v>0</v>
      </c>
      <c r="L606" t="n">
        <v>0</v>
      </c>
      <c r="M606" t="n">
        <v>0</v>
      </c>
      <c r="N606" t="n">
        <v>0</v>
      </c>
      <c r="O606" t="n">
        <v>0</v>
      </c>
      <c r="P606" t="n">
        <v>0</v>
      </c>
      <c r="Q606" t="n">
        <v>0</v>
      </c>
      <c r="R606" s="2" t="inlineStr"/>
    </row>
    <row r="607" ht="15" customHeight="1">
      <c r="A607" t="inlineStr">
        <is>
          <t>A 48024-2025</t>
        </is>
      </c>
      <c r="B607" s="1" t="n">
        <v>45932.65021990741</v>
      </c>
      <c r="C607" s="1" t="n">
        <v>45971</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47777-2025</t>
        </is>
      </c>
      <c r="B608" s="1" t="n">
        <v>45931.72782407407</v>
      </c>
      <c r="C608" s="1" t="n">
        <v>45971</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17307-2023</t>
        </is>
      </c>
      <c r="B609" s="1" t="n">
        <v>45035.53497685185</v>
      </c>
      <c r="C609" s="1" t="n">
        <v>45971</v>
      </c>
      <c r="D609" t="inlineStr">
        <is>
          <t>KALMAR LÄN</t>
        </is>
      </c>
      <c r="E609" t="inlineStr">
        <is>
          <t>VÄSTERVIK</t>
        </is>
      </c>
      <c r="G609" t="n">
        <v>0</v>
      </c>
      <c r="H609" t="n">
        <v>0</v>
      </c>
      <c r="I609" t="n">
        <v>0</v>
      </c>
      <c r="J609" t="n">
        <v>0</v>
      </c>
      <c r="K609" t="n">
        <v>0</v>
      </c>
      <c r="L609" t="n">
        <v>0</v>
      </c>
      <c r="M609" t="n">
        <v>0</v>
      </c>
      <c r="N609" t="n">
        <v>0</v>
      </c>
      <c r="O609" t="n">
        <v>0</v>
      </c>
      <c r="P609" t="n">
        <v>0</v>
      </c>
      <c r="Q609" t="n">
        <v>0</v>
      </c>
      <c r="R609" s="2" t="inlineStr"/>
    </row>
    <row r="610" ht="15" customHeight="1">
      <c r="A610" t="inlineStr">
        <is>
          <t>A 9269-2025</t>
        </is>
      </c>
      <c r="B610" s="1" t="n">
        <v>45714.61543981481</v>
      </c>
      <c r="C610" s="1" t="n">
        <v>45971</v>
      </c>
      <c r="D610" t="inlineStr">
        <is>
          <t>KALMAR LÄN</t>
        </is>
      </c>
      <c r="E610" t="inlineStr">
        <is>
          <t>VÄSTERVIK</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36400-2024</t>
        </is>
      </c>
      <c r="B611" s="1" t="n">
        <v>45535.67180555555</v>
      </c>
      <c r="C611" s="1" t="n">
        <v>45971</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3776-2024</t>
        </is>
      </c>
      <c r="B612" s="1" t="n">
        <v>45321.58569444445</v>
      </c>
      <c r="C612" s="1" t="n">
        <v>45971</v>
      </c>
      <c r="D612" t="inlineStr">
        <is>
          <t>KALMAR LÄN</t>
        </is>
      </c>
      <c r="E612" t="inlineStr">
        <is>
          <t>VÄSTERVIK</t>
        </is>
      </c>
      <c r="G612" t="n">
        <v>4.8</v>
      </c>
      <c r="H612" t="n">
        <v>0</v>
      </c>
      <c r="I612" t="n">
        <v>0</v>
      </c>
      <c r="J612" t="n">
        <v>0</v>
      </c>
      <c r="K612" t="n">
        <v>0</v>
      </c>
      <c r="L612" t="n">
        <v>0</v>
      </c>
      <c r="M612" t="n">
        <v>0</v>
      </c>
      <c r="N612" t="n">
        <v>0</v>
      </c>
      <c r="O612" t="n">
        <v>0</v>
      </c>
      <c r="P612" t="n">
        <v>0</v>
      </c>
      <c r="Q612" t="n">
        <v>0</v>
      </c>
      <c r="R612" s="2" t="inlineStr"/>
    </row>
    <row r="613" ht="15" customHeight="1">
      <c r="A613" t="inlineStr">
        <is>
          <t>A 39442-2025</t>
        </is>
      </c>
      <c r="B613" s="1" t="n">
        <v>45889.6947337963</v>
      </c>
      <c r="C613" s="1" t="n">
        <v>45971</v>
      </c>
      <c r="D613" t="inlineStr">
        <is>
          <t>KALMAR LÄN</t>
        </is>
      </c>
      <c r="E613" t="inlineStr">
        <is>
          <t>VÄSTERVIK</t>
        </is>
      </c>
      <c r="G613" t="n">
        <v>1.8</v>
      </c>
      <c r="H613" t="n">
        <v>0</v>
      </c>
      <c r="I613" t="n">
        <v>0</v>
      </c>
      <c r="J613" t="n">
        <v>0</v>
      </c>
      <c r="K613" t="n">
        <v>0</v>
      </c>
      <c r="L613" t="n">
        <v>0</v>
      </c>
      <c r="M613" t="n">
        <v>0</v>
      </c>
      <c r="N613" t="n">
        <v>0</v>
      </c>
      <c r="O613" t="n">
        <v>0</v>
      </c>
      <c r="P613" t="n">
        <v>0</v>
      </c>
      <c r="Q613" t="n">
        <v>0</v>
      </c>
      <c r="R613" s="2" t="inlineStr"/>
    </row>
    <row r="614" ht="15" customHeight="1">
      <c r="A614" t="inlineStr">
        <is>
          <t>A 23992-2021</t>
        </is>
      </c>
      <c r="B614" s="1" t="n">
        <v>44335</v>
      </c>
      <c r="C614" s="1" t="n">
        <v>45971</v>
      </c>
      <c r="D614" t="inlineStr">
        <is>
          <t>KALMAR LÄN</t>
        </is>
      </c>
      <c r="E614" t="inlineStr">
        <is>
          <t>VÄSTERVIK</t>
        </is>
      </c>
      <c r="G614" t="n">
        <v>3.1</v>
      </c>
      <c r="H614" t="n">
        <v>0</v>
      </c>
      <c r="I614" t="n">
        <v>0</v>
      </c>
      <c r="J614" t="n">
        <v>0</v>
      </c>
      <c r="K614" t="n">
        <v>0</v>
      </c>
      <c r="L614" t="n">
        <v>0</v>
      </c>
      <c r="M614" t="n">
        <v>0</v>
      </c>
      <c r="N614" t="n">
        <v>0</v>
      </c>
      <c r="O614" t="n">
        <v>0</v>
      </c>
      <c r="P614" t="n">
        <v>0</v>
      </c>
      <c r="Q614" t="n">
        <v>0</v>
      </c>
      <c r="R614" s="2" t="inlineStr"/>
    </row>
    <row r="615" ht="15" customHeight="1">
      <c r="A615" t="inlineStr">
        <is>
          <t>A 59331-2023</t>
        </is>
      </c>
      <c r="B615" s="1" t="n">
        <v>45253</v>
      </c>
      <c r="C615" s="1" t="n">
        <v>45971</v>
      </c>
      <c r="D615" t="inlineStr">
        <is>
          <t>KALMAR LÄN</t>
        </is>
      </c>
      <c r="E615" t="inlineStr">
        <is>
          <t>VÄSTERVIK</t>
        </is>
      </c>
      <c r="G615" t="n">
        <v>3.9</v>
      </c>
      <c r="H615" t="n">
        <v>0</v>
      </c>
      <c r="I615" t="n">
        <v>0</v>
      </c>
      <c r="J615" t="n">
        <v>0</v>
      </c>
      <c r="K615" t="n">
        <v>0</v>
      </c>
      <c r="L615" t="n">
        <v>0</v>
      </c>
      <c r="M615" t="n">
        <v>0</v>
      </c>
      <c r="N615" t="n">
        <v>0</v>
      </c>
      <c r="O615" t="n">
        <v>0</v>
      </c>
      <c r="P615" t="n">
        <v>0</v>
      </c>
      <c r="Q615" t="n">
        <v>0</v>
      </c>
      <c r="R615" s="2" t="inlineStr"/>
    </row>
    <row r="616" ht="15" customHeight="1">
      <c r="A616" t="inlineStr">
        <is>
          <t>A 60710-2022</t>
        </is>
      </c>
      <c r="B616" s="1" t="n">
        <v>44912</v>
      </c>
      <c r="C616" s="1" t="n">
        <v>45971</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60713-2022</t>
        </is>
      </c>
      <c r="B617" s="1" t="n">
        <v>44912</v>
      </c>
      <c r="C617" s="1" t="n">
        <v>45971</v>
      </c>
      <c r="D617" t="inlineStr">
        <is>
          <t>KALMAR LÄN</t>
        </is>
      </c>
      <c r="E617" t="inlineStr">
        <is>
          <t>VÄSTERVIK</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5348-2024</t>
        </is>
      </c>
      <c r="B618" s="1" t="n">
        <v>45331</v>
      </c>
      <c r="C618" s="1" t="n">
        <v>45971</v>
      </c>
      <c r="D618" t="inlineStr">
        <is>
          <t>KALMAR LÄN</t>
        </is>
      </c>
      <c r="E618" t="inlineStr">
        <is>
          <t>VÄSTERVIK</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46562-2022</t>
        </is>
      </c>
      <c r="B619" s="1" t="n">
        <v>44848</v>
      </c>
      <c r="C619" s="1" t="n">
        <v>45971</v>
      </c>
      <c r="D619" t="inlineStr">
        <is>
          <t>KALMAR LÄN</t>
        </is>
      </c>
      <c r="E619" t="inlineStr">
        <is>
          <t>VÄSTERVIK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56440-2024</t>
        </is>
      </c>
      <c r="B620" s="1" t="n">
        <v>45625.41949074074</v>
      </c>
      <c r="C620" s="1" t="n">
        <v>45971</v>
      </c>
      <c r="D620" t="inlineStr">
        <is>
          <t>KALMAR LÄN</t>
        </is>
      </c>
      <c r="E620" t="inlineStr">
        <is>
          <t>VÄSTERVIK</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35667-2023</t>
        </is>
      </c>
      <c r="B621" s="1" t="n">
        <v>45147.60667824074</v>
      </c>
      <c r="C621" s="1" t="n">
        <v>45971</v>
      </c>
      <c r="D621" t="inlineStr">
        <is>
          <t>KALMAR LÄN</t>
        </is>
      </c>
      <c r="E621" t="inlineStr">
        <is>
          <t>VÄSTERVIK</t>
        </is>
      </c>
      <c r="G621" t="n">
        <v>1.8</v>
      </c>
      <c r="H621" t="n">
        <v>0</v>
      </c>
      <c r="I621" t="n">
        <v>0</v>
      </c>
      <c r="J621" t="n">
        <v>0</v>
      </c>
      <c r="K621" t="n">
        <v>0</v>
      </c>
      <c r="L621" t="n">
        <v>0</v>
      </c>
      <c r="M621" t="n">
        <v>0</v>
      </c>
      <c r="N621" t="n">
        <v>0</v>
      </c>
      <c r="O621" t="n">
        <v>0</v>
      </c>
      <c r="P621" t="n">
        <v>0</v>
      </c>
      <c r="Q621" t="n">
        <v>0</v>
      </c>
      <c r="R621" s="2" t="inlineStr"/>
    </row>
    <row r="622" ht="15" customHeight="1">
      <c r="A622" t="inlineStr">
        <is>
          <t>A 32822-2021</t>
        </is>
      </c>
      <c r="B622" s="1" t="n">
        <v>44375</v>
      </c>
      <c r="C622" s="1" t="n">
        <v>45971</v>
      </c>
      <c r="D622" t="inlineStr">
        <is>
          <t>KALMAR LÄN</t>
        </is>
      </c>
      <c r="E622" t="inlineStr">
        <is>
          <t>VÄSTERVIK</t>
        </is>
      </c>
      <c r="G622" t="n">
        <v>5.1</v>
      </c>
      <c r="H622" t="n">
        <v>0</v>
      </c>
      <c r="I622" t="n">
        <v>0</v>
      </c>
      <c r="J622" t="n">
        <v>0</v>
      </c>
      <c r="K622" t="n">
        <v>0</v>
      </c>
      <c r="L622" t="n">
        <v>0</v>
      </c>
      <c r="M622" t="n">
        <v>0</v>
      </c>
      <c r="N622" t="n">
        <v>0</v>
      </c>
      <c r="O622" t="n">
        <v>0</v>
      </c>
      <c r="P622" t="n">
        <v>0</v>
      </c>
      <c r="Q622" t="n">
        <v>0</v>
      </c>
      <c r="R622" s="2" t="inlineStr"/>
    </row>
    <row r="623" ht="15" customHeight="1">
      <c r="A623" t="inlineStr">
        <is>
          <t>A 15875-2023</t>
        </is>
      </c>
      <c r="B623" s="1" t="n">
        <v>45022.41916666667</v>
      </c>
      <c r="C623" s="1" t="n">
        <v>45971</v>
      </c>
      <c r="D623" t="inlineStr">
        <is>
          <t>KALMAR LÄN</t>
        </is>
      </c>
      <c r="E623" t="inlineStr">
        <is>
          <t>VÄSTERVIK</t>
        </is>
      </c>
      <c r="F623" t="inlineStr">
        <is>
          <t>Kyrkan</t>
        </is>
      </c>
      <c r="G623" t="n">
        <v>3.2</v>
      </c>
      <c r="H623" t="n">
        <v>0</v>
      </c>
      <c r="I623" t="n">
        <v>0</v>
      </c>
      <c r="J623" t="n">
        <v>0</v>
      </c>
      <c r="K623" t="n">
        <v>0</v>
      </c>
      <c r="L623" t="n">
        <v>0</v>
      </c>
      <c r="M623" t="n">
        <v>0</v>
      </c>
      <c r="N623" t="n">
        <v>0</v>
      </c>
      <c r="O623" t="n">
        <v>0</v>
      </c>
      <c r="P623" t="n">
        <v>0</v>
      </c>
      <c r="Q623" t="n">
        <v>0</v>
      </c>
      <c r="R623" s="2" t="inlineStr"/>
    </row>
    <row r="624" ht="15" customHeight="1">
      <c r="A624" t="inlineStr">
        <is>
          <t>A 60478-2024</t>
        </is>
      </c>
      <c r="B624" s="1" t="n">
        <v>45643</v>
      </c>
      <c r="C624" s="1" t="n">
        <v>45971</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50911-2022</t>
        </is>
      </c>
      <c r="B625" s="1" t="n">
        <v>44867.62262731481</v>
      </c>
      <c r="C625" s="1" t="n">
        <v>45971</v>
      </c>
      <c r="D625" t="inlineStr">
        <is>
          <t>KALMAR LÄN</t>
        </is>
      </c>
      <c r="E625" t="inlineStr">
        <is>
          <t>VÄSTERVIK</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36906-2024</t>
        </is>
      </c>
      <c r="B626" s="1" t="n">
        <v>45538</v>
      </c>
      <c r="C626" s="1" t="n">
        <v>45971</v>
      </c>
      <c r="D626" t="inlineStr">
        <is>
          <t>KALMAR LÄN</t>
        </is>
      </c>
      <c r="E626" t="inlineStr">
        <is>
          <t>VÄSTERVIK</t>
        </is>
      </c>
      <c r="G626" t="n">
        <v>2</v>
      </c>
      <c r="H626" t="n">
        <v>0</v>
      </c>
      <c r="I626" t="n">
        <v>0</v>
      </c>
      <c r="J626" t="n">
        <v>0</v>
      </c>
      <c r="K626" t="n">
        <v>0</v>
      </c>
      <c r="L626" t="n">
        <v>0</v>
      </c>
      <c r="M626" t="n">
        <v>0</v>
      </c>
      <c r="N626" t="n">
        <v>0</v>
      </c>
      <c r="O626" t="n">
        <v>0</v>
      </c>
      <c r="P626" t="n">
        <v>0</v>
      </c>
      <c r="Q626" t="n">
        <v>0</v>
      </c>
      <c r="R626" s="2" t="inlineStr"/>
    </row>
    <row r="627" ht="15" customHeight="1">
      <c r="A627" t="inlineStr">
        <is>
          <t>A 16692-2025</t>
        </is>
      </c>
      <c r="B627" s="1" t="n">
        <v>45754.4621412037</v>
      </c>
      <c r="C627" s="1" t="n">
        <v>45971</v>
      </c>
      <c r="D627" t="inlineStr">
        <is>
          <t>KALMAR LÄN</t>
        </is>
      </c>
      <c r="E627" t="inlineStr">
        <is>
          <t>VÄSTERVIK</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54569-2023</t>
        </is>
      </c>
      <c r="B628" s="1" t="n">
        <v>45233.65532407408</v>
      </c>
      <c r="C628" s="1" t="n">
        <v>45971</v>
      </c>
      <c r="D628" t="inlineStr">
        <is>
          <t>KALMAR LÄN</t>
        </is>
      </c>
      <c r="E628" t="inlineStr">
        <is>
          <t>VÄSTERVIK</t>
        </is>
      </c>
      <c r="F628" t="inlineStr">
        <is>
          <t>Holmen skog AB</t>
        </is>
      </c>
      <c r="G628" t="n">
        <v>1.4</v>
      </c>
      <c r="H628" t="n">
        <v>0</v>
      </c>
      <c r="I628" t="n">
        <v>0</v>
      </c>
      <c r="J628" t="n">
        <v>0</v>
      </c>
      <c r="K628" t="n">
        <v>0</v>
      </c>
      <c r="L628" t="n">
        <v>0</v>
      </c>
      <c r="M628" t="n">
        <v>0</v>
      </c>
      <c r="N628" t="n">
        <v>0</v>
      </c>
      <c r="O628" t="n">
        <v>0</v>
      </c>
      <c r="P628" t="n">
        <v>0</v>
      </c>
      <c r="Q628" t="n">
        <v>0</v>
      </c>
      <c r="R628" s="2" t="inlineStr"/>
    </row>
    <row r="629" ht="15" customHeight="1">
      <c r="A629" t="inlineStr">
        <is>
          <t>A 39428-2025</t>
        </is>
      </c>
      <c r="B629" s="1" t="n">
        <v>45889.67436342593</v>
      </c>
      <c r="C629" s="1" t="n">
        <v>45971</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39430-2025</t>
        </is>
      </c>
      <c r="B630" s="1" t="n">
        <v>45889.67606481481</v>
      </c>
      <c r="C630" s="1" t="n">
        <v>45971</v>
      </c>
      <c r="D630" t="inlineStr">
        <is>
          <t>KALMAR LÄN</t>
        </is>
      </c>
      <c r="E630" t="inlineStr">
        <is>
          <t>VÄSTERVIK</t>
        </is>
      </c>
      <c r="G630" t="n">
        <v>2.7</v>
      </c>
      <c r="H630" t="n">
        <v>0</v>
      </c>
      <c r="I630" t="n">
        <v>0</v>
      </c>
      <c r="J630" t="n">
        <v>0</v>
      </c>
      <c r="K630" t="n">
        <v>0</v>
      </c>
      <c r="L630" t="n">
        <v>0</v>
      </c>
      <c r="M630" t="n">
        <v>0</v>
      </c>
      <c r="N630" t="n">
        <v>0</v>
      </c>
      <c r="O630" t="n">
        <v>0</v>
      </c>
      <c r="P630" t="n">
        <v>0</v>
      </c>
      <c r="Q630" t="n">
        <v>0</v>
      </c>
      <c r="R630" s="2" t="inlineStr"/>
    </row>
    <row r="631" ht="15" customHeight="1">
      <c r="A631" t="inlineStr">
        <is>
          <t>A 14385-2023</t>
        </is>
      </c>
      <c r="B631" s="1" t="n">
        <v>45012</v>
      </c>
      <c r="C631" s="1" t="n">
        <v>45971</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10725-2023</t>
        </is>
      </c>
      <c r="B632" s="1" t="n">
        <v>44988.66966435185</v>
      </c>
      <c r="C632" s="1" t="n">
        <v>45971</v>
      </c>
      <c r="D632" t="inlineStr">
        <is>
          <t>KALMAR LÄN</t>
        </is>
      </c>
      <c r="E632" t="inlineStr">
        <is>
          <t>VÄSTERVIK</t>
        </is>
      </c>
      <c r="G632" t="n">
        <v>0.6</v>
      </c>
      <c r="H632" t="n">
        <v>0</v>
      </c>
      <c r="I632" t="n">
        <v>0</v>
      </c>
      <c r="J632" t="n">
        <v>0</v>
      </c>
      <c r="K632" t="n">
        <v>0</v>
      </c>
      <c r="L632" t="n">
        <v>0</v>
      </c>
      <c r="M632" t="n">
        <v>0</v>
      </c>
      <c r="N632" t="n">
        <v>0</v>
      </c>
      <c r="O632" t="n">
        <v>0</v>
      </c>
      <c r="P632" t="n">
        <v>0</v>
      </c>
      <c r="Q632" t="n">
        <v>0</v>
      </c>
      <c r="R632" s="2" t="inlineStr"/>
    </row>
    <row r="633" ht="15" customHeight="1">
      <c r="A633" t="inlineStr">
        <is>
          <t>A 7360-2023</t>
        </is>
      </c>
      <c r="B633" s="1" t="n">
        <v>44971</v>
      </c>
      <c r="C633" s="1" t="n">
        <v>45971</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17306-2023</t>
        </is>
      </c>
      <c r="B634" s="1" t="n">
        <v>45035</v>
      </c>
      <c r="C634" s="1" t="n">
        <v>45971</v>
      </c>
      <c r="D634" t="inlineStr">
        <is>
          <t>KALMAR LÄN</t>
        </is>
      </c>
      <c r="E634" t="inlineStr">
        <is>
          <t>VÄSTERVIK</t>
        </is>
      </c>
      <c r="G634" t="n">
        <v>4.3</v>
      </c>
      <c r="H634" t="n">
        <v>0</v>
      </c>
      <c r="I634" t="n">
        <v>0</v>
      </c>
      <c r="J634" t="n">
        <v>0</v>
      </c>
      <c r="K634" t="n">
        <v>0</v>
      </c>
      <c r="L634" t="n">
        <v>0</v>
      </c>
      <c r="M634" t="n">
        <v>0</v>
      </c>
      <c r="N634" t="n">
        <v>0</v>
      </c>
      <c r="O634" t="n">
        <v>0</v>
      </c>
      <c r="P634" t="n">
        <v>0</v>
      </c>
      <c r="Q634" t="n">
        <v>0</v>
      </c>
      <c r="R634" s="2" t="inlineStr"/>
    </row>
    <row r="635" ht="15" customHeight="1">
      <c r="A635" t="inlineStr">
        <is>
          <t>A 23317-2023</t>
        </is>
      </c>
      <c r="B635" s="1" t="n">
        <v>45076</v>
      </c>
      <c r="C635" s="1" t="n">
        <v>45971</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48446-2024</t>
        </is>
      </c>
      <c r="B636" s="1" t="n">
        <v>45590.69163194444</v>
      </c>
      <c r="C636" s="1" t="n">
        <v>45971</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2543-2024</t>
        </is>
      </c>
      <c r="B637" s="1" t="n">
        <v>45313</v>
      </c>
      <c r="C637" s="1" t="n">
        <v>45971</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9220-2023</t>
        </is>
      </c>
      <c r="B638" s="1" t="n">
        <v>44980.52182870371</v>
      </c>
      <c r="C638" s="1" t="n">
        <v>45971</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23873-2024</t>
        </is>
      </c>
      <c r="B639" s="1" t="n">
        <v>45455</v>
      </c>
      <c r="C639" s="1" t="n">
        <v>45971</v>
      </c>
      <c r="D639" t="inlineStr">
        <is>
          <t>KALMAR LÄN</t>
        </is>
      </c>
      <c r="E639" t="inlineStr">
        <is>
          <t>VÄSTERVIK</t>
        </is>
      </c>
      <c r="F639" t="inlineStr">
        <is>
          <t>Övriga Aktiebolag</t>
        </is>
      </c>
      <c r="G639" t="n">
        <v>0.7</v>
      </c>
      <c r="H639" t="n">
        <v>0</v>
      </c>
      <c r="I639" t="n">
        <v>0</v>
      </c>
      <c r="J639" t="n">
        <v>0</v>
      </c>
      <c r="K639" t="n">
        <v>0</v>
      </c>
      <c r="L639" t="n">
        <v>0</v>
      </c>
      <c r="M639" t="n">
        <v>0</v>
      </c>
      <c r="N639" t="n">
        <v>0</v>
      </c>
      <c r="O639" t="n">
        <v>0</v>
      </c>
      <c r="P639" t="n">
        <v>0</v>
      </c>
      <c r="Q639" t="n">
        <v>0</v>
      </c>
      <c r="R639" s="2" t="inlineStr"/>
    </row>
    <row r="640" ht="15" customHeight="1">
      <c r="A640" t="inlineStr">
        <is>
          <t>A 29784-2024</t>
        </is>
      </c>
      <c r="B640" s="1" t="n">
        <v>45485.46129629629</v>
      </c>
      <c r="C640" s="1" t="n">
        <v>45971</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24562-2024</t>
        </is>
      </c>
      <c r="B641" s="1" t="n">
        <v>45460</v>
      </c>
      <c r="C641" s="1" t="n">
        <v>45971</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62921-2023</t>
        </is>
      </c>
      <c r="B642" s="1" t="n">
        <v>45272</v>
      </c>
      <c r="C642" s="1" t="n">
        <v>45971</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10807-2023</t>
        </is>
      </c>
      <c r="B643" s="1" t="n">
        <v>44989.64261574074</v>
      </c>
      <c r="C643" s="1" t="n">
        <v>45971</v>
      </c>
      <c r="D643" t="inlineStr">
        <is>
          <t>KALMAR LÄN</t>
        </is>
      </c>
      <c r="E643" t="inlineStr">
        <is>
          <t>VÄSTERVIK</t>
        </is>
      </c>
      <c r="G643" t="n">
        <v>0.4</v>
      </c>
      <c r="H643" t="n">
        <v>0</v>
      </c>
      <c r="I643" t="n">
        <v>0</v>
      </c>
      <c r="J643" t="n">
        <v>0</v>
      </c>
      <c r="K643" t="n">
        <v>0</v>
      </c>
      <c r="L643" t="n">
        <v>0</v>
      </c>
      <c r="M643" t="n">
        <v>0</v>
      </c>
      <c r="N643" t="n">
        <v>0</v>
      </c>
      <c r="O643" t="n">
        <v>0</v>
      </c>
      <c r="P643" t="n">
        <v>0</v>
      </c>
      <c r="Q643" t="n">
        <v>0</v>
      </c>
      <c r="R643" s="2" t="inlineStr"/>
    </row>
    <row r="644" ht="15" customHeight="1">
      <c r="A644" t="inlineStr">
        <is>
          <t>A 2872-2025</t>
        </is>
      </c>
      <c r="B644" s="1" t="n">
        <v>45677.68357638889</v>
      </c>
      <c r="C644" s="1" t="n">
        <v>45971</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19950-2025</t>
        </is>
      </c>
      <c r="B645" s="1" t="n">
        <v>45771.65724537037</v>
      </c>
      <c r="C645" s="1" t="n">
        <v>45971</v>
      </c>
      <c r="D645" t="inlineStr">
        <is>
          <t>KALMAR LÄN</t>
        </is>
      </c>
      <c r="E645" t="inlineStr">
        <is>
          <t>VÄSTERVIK</t>
        </is>
      </c>
      <c r="G645" t="n">
        <v>2.4</v>
      </c>
      <c r="H645" t="n">
        <v>0</v>
      </c>
      <c r="I645" t="n">
        <v>0</v>
      </c>
      <c r="J645" t="n">
        <v>0</v>
      </c>
      <c r="K645" t="n">
        <v>0</v>
      </c>
      <c r="L645" t="n">
        <v>0</v>
      </c>
      <c r="M645" t="n">
        <v>0</v>
      </c>
      <c r="N645" t="n">
        <v>0</v>
      </c>
      <c r="O645" t="n">
        <v>0</v>
      </c>
      <c r="P645" t="n">
        <v>0</v>
      </c>
      <c r="Q645" t="n">
        <v>0</v>
      </c>
      <c r="R645" s="2" t="inlineStr"/>
    </row>
    <row r="646" ht="15" customHeight="1">
      <c r="A646" t="inlineStr">
        <is>
          <t>A 5982-2023</t>
        </is>
      </c>
      <c r="B646" s="1" t="n">
        <v>44964.35730324074</v>
      </c>
      <c r="C646" s="1" t="n">
        <v>45971</v>
      </c>
      <c r="D646" t="inlineStr">
        <is>
          <t>KALMAR LÄN</t>
        </is>
      </c>
      <c r="E646" t="inlineStr">
        <is>
          <t>VÄSTERVIK</t>
        </is>
      </c>
      <c r="G646" t="n">
        <v>2.8</v>
      </c>
      <c r="H646" t="n">
        <v>0</v>
      </c>
      <c r="I646" t="n">
        <v>0</v>
      </c>
      <c r="J646" t="n">
        <v>0</v>
      </c>
      <c r="K646" t="n">
        <v>0</v>
      </c>
      <c r="L646" t="n">
        <v>0</v>
      </c>
      <c r="M646" t="n">
        <v>0</v>
      </c>
      <c r="N646" t="n">
        <v>0</v>
      </c>
      <c r="O646" t="n">
        <v>0</v>
      </c>
      <c r="P646" t="n">
        <v>0</v>
      </c>
      <c r="Q646" t="n">
        <v>0</v>
      </c>
      <c r="R646" s="2" t="inlineStr"/>
    </row>
    <row r="647" ht="15" customHeight="1">
      <c r="A647" t="inlineStr">
        <is>
          <t>A 36418-2023</t>
        </is>
      </c>
      <c r="B647" s="1" t="n">
        <v>45152</v>
      </c>
      <c r="C647" s="1" t="n">
        <v>45971</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c r="U647">
        <f>HYPERLINK("https://klasma.github.io/Logging_0883/knärot/A 36418-2023 karta knärot.png", "A 36418-2023")</f>
        <v/>
      </c>
      <c r="V647">
        <f>HYPERLINK("https://klasma.github.io/Logging_0883/klagomål/A 36418-2023 FSC-klagomål.docx", "A 36418-2023")</f>
        <v/>
      </c>
      <c r="W647">
        <f>HYPERLINK("https://klasma.github.io/Logging_0883/klagomålsmail/A 36418-2023 FSC-klagomål mail.docx", "A 36418-2023")</f>
        <v/>
      </c>
      <c r="X647">
        <f>HYPERLINK("https://klasma.github.io/Logging_0883/tillsyn/A 36418-2023 tillsynsbegäran.docx", "A 36418-2023")</f>
        <v/>
      </c>
      <c r="Y647">
        <f>HYPERLINK("https://klasma.github.io/Logging_0883/tillsynsmail/A 36418-2023 tillsynsbegäran mail.docx", "A 36418-2023")</f>
        <v/>
      </c>
    </row>
    <row r="648" ht="15" customHeight="1">
      <c r="A648" t="inlineStr">
        <is>
          <t>A 9110-2023</t>
        </is>
      </c>
      <c r="B648" s="1" t="n">
        <v>44979</v>
      </c>
      <c r="C648" s="1" t="n">
        <v>45971</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9112-2023</t>
        </is>
      </c>
      <c r="B649" s="1" t="n">
        <v>44979</v>
      </c>
      <c r="C649" s="1" t="n">
        <v>45971</v>
      </c>
      <c r="D649" t="inlineStr">
        <is>
          <t>KALMAR LÄN</t>
        </is>
      </c>
      <c r="E649" t="inlineStr">
        <is>
          <t>VÄSTERVIK</t>
        </is>
      </c>
      <c r="G649" t="n">
        <v>1.8</v>
      </c>
      <c r="H649" t="n">
        <v>0</v>
      </c>
      <c r="I649" t="n">
        <v>0</v>
      </c>
      <c r="J649" t="n">
        <v>0</v>
      </c>
      <c r="K649" t="n">
        <v>0</v>
      </c>
      <c r="L649" t="n">
        <v>0</v>
      </c>
      <c r="M649" t="n">
        <v>0</v>
      </c>
      <c r="N649" t="n">
        <v>0</v>
      </c>
      <c r="O649" t="n">
        <v>0</v>
      </c>
      <c r="P649" t="n">
        <v>0</v>
      </c>
      <c r="Q649" t="n">
        <v>0</v>
      </c>
      <c r="R649" s="2" t="inlineStr"/>
    </row>
    <row r="650" ht="15" customHeight="1">
      <c r="A650" t="inlineStr">
        <is>
          <t>A 34646-2023</t>
        </is>
      </c>
      <c r="B650" s="1" t="n">
        <v>45140</v>
      </c>
      <c r="C650" s="1" t="n">
        <v>45971</v>
      </c>
      <c r="D650" t="inlineStr">
        <is>
          <t>KALMAR LÄN</t>
        </is>
      </c>
      <c r="E650" t="inlineStr">
        <is>
          <t>VÄSTERVIK</t>
        </is>
      </c>
      <c r="G650" t="n">
        <v>3.1</v>
      </c>
      <c r="H650" t="n">
        <v>0</v>
      </c>
      <c r="I650" t="n">
        <v>0</v>
      </c>
      <c r="J650" t="n">
        <v>0</v>
      </c>
      <c r="K650" t="n">
        <v>0</v>
      </c>
      <c r="L650" t="n">
        <v>0</v>
      </c>
      <c r="M650" t="n">
        <v>0</v>
      </c>
      <c r="N650" t="n">
        <v>0</v>
      </c>
      <c r="O650" t="n">
        <v>0</v>
      </c>
      <c r="P650" t="n">
        <v>0</v>
      </c>
      <c r="Q650" t="n">
        <v>0</v>
      </c>
      <c r="R650" s="2" t="inlineStr"/>
    </row>
    <row r="651" ht="15" customHeight="1">
      <c r="A651" t="inlineStr">
        <is>
          <t>A 22740-2024</t>
        </is>
      </c>
      <c r="B651" s="1" t="n">
        <v>45448.39869212963</v>
      </c>
      <c r="C651" s="1" t="n">
        <v>45971</v>
      </c>
      <c r="D651" t="inlineStr">
        <is>
          <t>KALMAR LÄN</t>
        </is>
      </c>
      <c r="E651" t="inlineStr">
        <is>
          <t>VÄSTERVIK</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32763-2022</t>
        </is>
      </c>
      <c r="B652" s="1" t="n">
        <v>44783</v>
      </c>
      <c r="C652" s="1" t="n">
        <v>45971</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24829-2022</t>
        </is>
      </c>
      <c r="B653" s="1" t="n">
        <v>44728.45674768519</v>
      </c>
      <c r="C653" s="1" t="n">
        <v>45971</v>
      </c>
      <c r="D653" t="inlineStr">
        <is>
          <t>KALMAR LÄN</t>
        </is>
      </c>
      <c r="E653" t="inlineStr">
        <is>
          <t>VÄSTERVIK</t>
        </is>
      </c>
      <c r="G653" t="n">
        <v>2.2</v>
      </c>
      <c r="H653" t="n">
        <v>0</v>
      </c>
      <c r="I653" t="n">
        <v>0</v>
      </c>
      <c r="J653" t="n">
        <v>0</v>
      </c>
      <c r="K653" t="n">
        <v>0</v>
      </c>
      <c r="L653" t="n">
        <v>0</v>
      </c>
      <c r="M653" t="n">
        <v>0</v>
      </c>
      <c r="N653" t="n">
        <v>0</v>
      </c>
      <c r="O653" t="n">
        <v>0</v>
      </c>
      <c r="P653" t="n">
        <v>0</v>
      </c>
      <c r="Q653" t="n">
        <v>0</v>
      </c>
      <c r="R653" s="2" t="inlineStr"/>
    </row>
    <row r="654" ht="15" customHeight="1">
      <c r="A654" t="inlineStr">
        <is>
          <t>A 60453-2024</t>
        </is>
      </c>
      <c r="B654" s="1" t="n">
        <v>45643.60487268519</v>
      </c>
      <c r="C654" s="1" t="n">
        <v>45971</v>
      </c>
      <c r="D654" t="inlineStr">
        <is>
          <t>KALMAR LÄN</t>
        </is>
      </c>
      <c r="E654" t="inlineStr">
        <is>
          <t>VÄSTERVIK</t>
        </is>
      </c>
      <c r="G654" t="n">
        <v>7.1</v>
      </c>
      <c r="H654" t="n">
        <v>0</v>
      </c>
      <c r="I654" t="n">
        <v>0</v>
      </c>
      <c r="J654" t="n">
        <v>0</v>
      </c>
      <c r="K654" t="n">
        <v>0</v>
      </c>
      <c r="L654" t="n">
        <v>0</v>
      </c>
      <c r="M654" t="n">
        <v>0</v>
      </c>
      <c r="N654" t="n">
        <v>0</v>
      </c>
      <c r="O654" t="n">
        <v>0</v>
      </c>
      <c r="P654" t="n">
        <v>0</v>
      </c>
      <c r="Q654" t="n">
        <v>0</v>
      </c>
      <c r="R654" s="2" t="inlineStr"/>
    </row>
    <row r="655" ht="15" customHeight="1">
      <c r="A655" t="inlineStr">
        <is>
          <t>A 37033-2021</t>
        </is>
      </c>
      <c r="B655" s="1" t="n">
        <v>44393</v>
      </c>
      <c r="C655" s="1" t="n">
        <v>45971</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58707-2022</t>
        </is>
      </c>
      <c r="B656" s="1" t="n">
        <v>44902.80462962963</v>
      </c>
      <c r="C656" s="1" t="n">
        <v>45971</v>
      </c>
      <c r="D656" t="inlineStr">
        <is>
          <t>KALMAR LÄN</t>
        </is>
      </c>
      <c r="E656" t="inlineStr">
        <is>
          <t>VÄSTERVIK</t>
        </is>
      </c>
      <c r="G656" t="n">
        <v>2.3</v>
      </c>
      <c r="H656" t="n">
        <v>0</v>
      </c>
      <c r="I656" t="n">
        <v>0</v>
      </c>
      <c r="J656" t="n">
        <v>0</v>
      </c>
      <c r="K656" t="n">
        <v>0</v>
      </c>
      <c r="L656" t="n">
        <v>0</v>
      </c>
      <c r="M656" t="n">
        <v>0</v>
      </c>
      <c r="N656" t="n">
        <v>0</v>
      </c>
      <c r="O656" t="n">
        <v>0</v>
      </c>
      <c r="P656" t="n">
        <v>0</v>
      </c>
      <c r="Q656" t="n">
        <v>0</v>
      </c>
      <c r="R656" s="2" t="inlineStr"/>
    </row>
    <row r="657" ht="15" customHeight="1">
      <c r="A657" t="inlineStr">
        <is>
          <t>A 65-2023</t>
        </is>
      </c>
      <c r="B657" s="1" t="n">
        <v>44928.44431712963</v>
      </c>
      <c r="C657" s="1" t="n">
        <v>45971</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5079-2025</t>
        </is>
      </c>
      <c r="B658" s="1" t="n">
        <v>45691.50069444445</v>
      </c>
      <c r="C658" s="1" t="n">
        <v>45971</v>
      </c>
      <c r="D658" t="inlineStr">
        <is>
          <t>KALMAR LÄN</t>
        </is>
      </c>
      <c r="E658" t="inlineStr">
        <is>
          <t>VÄSTERVIK</t>
        </is>
      </c>
      <c r="F658" t="inlineStr">
        <is>
          <t>Holmen skog AB</t>
        </is>
      </c>
      <c r="G658" t="n">
        <v>3.3</v>
      </c>
      <c r="H658" t="n">
        <v>0</v>
      </c>
      <c r="I658" t="n">
        <v>0</v>
      </c>
      <c r="J658" t="n">
        <v>0</v>
      </c>
      <c r="K658" t="n">
        <v>0</v>
      </c>
      <c r="L658" t="n">
        <v>0</v>
      </c>
      <c r="M658" t="n">
        <v>0</v>
      </c>
      <c r="N658" t="n">
        <v>0</v>
      </c>
      <c r="O658" t="n">
        <v>0</v>
      </c>
      <c r="P658" t="n">
        <v>0</v>
      </c>
      <c r="Q658" t="n">
        <v>0</v>
      </c>
      <c r="R658" s="2" t="inlineStr"/>
    </row>
    <row r="659" ht="15" customHeight="1">
      <c r="A659" t="inlineStr">
        <is>
          <t>A 57802-2024</t>
        </is>
      </c>
      <c r="B659" s="1" t="n">
        <v>45631.34590277778</v>
      </c>
      <c r="C659" s="1" t="n">
        <v>45971</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32137-2024</t>
        </is>
      </c>
      <c r="B660" s="1" t="n">
        <v>45511</v>
      </c>
      <c r="C660" s="1" t="n">
        <v>45971</v>
      </c>
      <c r="D660" t="inlineStr">
        <is>
          <t>KALMAR LÄN</t>
        </is>
      </c>
      <c r="E660" t="inlineStr">
        <is>
          <t>VÄSTERVIK</t>
        </is>
      </c>
      <c r="F660" t="inlineStr">
        <is>
          <t>Övriga Aktiebolag</t>
        </is>
      </c>
      <c r="G660" t="n">
        <v>1.4</v>
      </c>
      <c r="H660" t="n">
        <v>0</v>
      </c>
      <c r="I660" t="n">
        <v>0</v>
      </c>
      <c r="J660" t="n">
        <v>0</v>
      </c>
      <c r="K660" t="n">
        <v>0</v>
      </c>
      <c r="L660" t="n">
        <v>0</v>
      </c>
      <c r="M660" t="n">
        <v>0</v>
      </c>
      <c r="N660" t="n">
        <v>0</v>
      </c>
      <c r="O660" t="n">
        <v>0</v>
      </c>
      <c r="P660" t="n">
        <v>0</v>
      </c>
      <c r="Q660" t="n">
        <v>0</v>
      </c>
      <c r="R660" s="2" t="inlineStr"/>
    </row>
    <row r="661" ht="15" customHeight="1">
      <c r="A661" t="inlineStr">
        <is>
          <t>A 25714-2023</t>
        </is>
      </c>
      <c r="B661" s="1" t="n">
        <v>45089</v>
      </c>
      <c r="C661" s="1" t="n">
        <v>45971</v>
      </c>
      <c r="D661" t="inlineStr">
        <is>
          <t>KALMAR LÄN</t>
        </is>
      </c>
      <c r="E661" t="inlineStr">
        <is>
          <t>VÄSTERVIK</t>
        </is>
      </c>
      <c r="G661" t="n">
        <v>10.5</v>
      </c>
      <c r="H661" t="n">
        <v>0</v>
      </c>
      <c r="I661" t="n">
        <v>0</v>
      </c>
      <c r="J661" t="n">
        <v>0</v>
      </c>
      <c r="K661" t="n">
        <v>0</v>
      </c>
      <c r="L661" t="n">
        <v>0</v>
      </c>
      <c r="M661" t="n">
        <v>0</v>
      </c>
      <c r="N661" t="n">
        <v>0</v>
      </c>
      <c r="O661" t="n">
        <v>0</v>
      </c>
      <c r="P661" t="n">
        <v>0</v>
      </c>
      <c r="Q661" t="n">
        <v>0</v>
      </c>
      <c r="R661" s="2" t="inlineStr"/>
    </row>
    <row r="662" ht="15" customHeight="1">
      <c r="A662" t="inlineStr">
        <is>
          <t>A 5450-2022</t>
        </is>
      </c>
      <c r="B662" s="1" t="n">
        <v>44595</v>
      </c>
      <c r="C662" s="1" t="n">
        <v>45971</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17214-2024</t>
        </is>
      </c>
      <c r="B663" s="1" t="n">
        <v>45414</v>
      </c>
      <c r="C663" s="1" t="n">
        <v>45971</v>
      </c>
      <c r="D663" t="inlineStr">
        <is>
          <t>KALMAR LÄN</t>
        </is>
      </c>
      <c r="E663" t="inlineStr">
        <is>
          <t>VÄSTERVIK</t>
        </is>
      </c>
      <c r="G663" t="n">
        <v>0.5</v>
      </c>
      <c r="H663" t="n">
        <v>0</v>
      </c>
      <c r="I663" t="n">
        <v>0</v>
      </c>
      <c r="J663" t="n">
        <v>0</v>
      </c>
      <c r="K663" t="n">
        <v>0</v>
      </c>
      <c r="L663" t="n">
        <v>0</v>
      </c>
      <c r="M663" t="n">
        <v>0</v>
      </c>
      <c r="N663" t="n">
        <v>0</v>
      </c>
      <c r="O663" t="n">
        <v>0</v>
      </c>
      <c r="P663" t="n">
        <v>0</v>
      </c>
      <c r="Q663" t="n">
        <v>0</v>
      </c>
      <c r="R663" s="2" t="inlineStr"/>
    </row>
    <row r="664" ht="15" customHeight="1">
      <c r="A664" t="inlineStr">
        <is>
          <t>A 45202-2023</t>
        </is>
      </c>
      <c r="B664" s="1" t="n">
        <v>45191</v>
      </c>
      <c r="C664" s="1" t="n">
        <v>45971</v>
      </c>
      <c r="D664" t="inlineStr">
        <is>
          <t>KALMAR LÄN</t>
        </is>
      </c>
      <c r="E664" t="inlineStr">
        <is>
          <t>VÄSTERVIK</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16586-2022</t>
        </is>
      </c>
      <c r="B665" s="1" t="n">
        <v>44672.47105324074</v>
      </c>
      <c r="C665" s="1" t="n">
        <v>45971</v>
      </c>
      <c r="D665" t="inlineStr">
        <is>
          <t>KALMAR LÄN</t>
        </is>
      </c>
      <c r="E665" t="inlineStr">
        <is>
          <t>VÄSTERVIK</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15021-2025</t>
        </is>
      </c>
      <c r="B666" s="1" t="n">
        <v>45743.64482638889</v>
      </c>
      <c r="C666" s="1" t="n">
        <v>45971</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35961-2023</t>
        </is>
      </c>
      <c r="B667" s="1" t="n">
        <v>45148.85041666667</v>
      </c>
      <c r="C667" s="1" t="n">
        <v>45971</v>
      </c>
      <c r="D667" t="inlineStr">
        <is>
          <t>KALMAR LÄN</t>
        </is>
      </c>
      <c r="E667" t="inlineStr">
        <is>
          <t>VÄSTERVIK</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47775-2025</t>
        </is>
      </c>
      <c r="B668" s="1" t="n">
        <v>45931.72548611111</v>
      </c>
      <c r="C668" s="1" t="n">
        <v>45971</v>
      </c>
      <c r="D668" t="inlineStr">
        <is>
          <t>KALMAR LÄN</t>
        </is>
      </c>
      <c r="E668" t="inlineStr">
        <is>
          <t>VÄSTERVIK</t>
        </is>
      </c>
      <c r="G668" t="n">
        <v>4.2</v>
      </c>
      <c r="H668" t="n">
        <v>0</v>
      </c>
      <c r="I668" t="n">
        <v>0</v>
      </c>
      <c r="J668" t="n">
        <v>0</v>
      </c>
      <c r="K668" t="n">
        <v>0</v>
      </c>
      <c r="L668" t="n">
        <v>0</v>
      </c>
      <c r="M668" t="n">
        <v>0</v>
      </c>
      <c r="N668" t="n">
        <v>0</v>
      </c>
      <c r="O668" t="n">
        <v>0</v>
      </c>
      <c r="P668" t="n">
        <v>0</v>
      </c>
      <c r="Q668" t="n">
        <v>0</v>
      </c>
      <c r="R668" s="2" t="inlineStr"/>
    </row>
    <row r="669" ht="15" customHeight="1">
      <c r="A669" t="inlineStr">
        <is>
          <t>A 47776-2025</t>
        </is>
      </c>
      <c r="B669" s="1" t="n">
        <v>45931.7262962963</v>
      </c>
      <c r="C669" s="1" t="n">
        <v>45971</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1867-2025</t>
        </is>
      </c>
      <c r="B670" s="1" t="n">
        <v>45671.61569444444</v>
      </c>
      <c r="C670" s="1" t="n">
        <v>45971</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10808-2025</t>
        </is>
      </c>
      <c r="B671" s="1" t="n">
        <v>45722.53427083333</v>
      </c>
      <c r="C671" s="1" t="n">
        <v>45971</v>
      </c>
      <c r="D671" t="inlineStr">
        <is>
          <t>KALMAR LÄN</t>
        </is>
      </c>
      <c r="E671" t="inlineStr">
        <is>
          <t>VÄSTERVIK</t>
        </is>
      </c>
      <c r="G671" t="n">
        <v>2.2</v>
      </c>
      <c r="H671" t="n">
        <v>0</v>
      </c>
      <c r="I671" t="n">
        <v>0</v>
      </c>
      <c r="J671" t="n">
        <v>0</v>
      </c>
      <c r="K671" t="n">
        <v>0</v>
      </c>
      <c r="L671" t="n">
        <v>0</v>
      </c>
      <c r="M671" t="n">
        <v>0</v>
      </c>
      <c r="N671" t="n">
        <v>0</v>
      </c>
      <c r="O671" t="n">
        <v>0</v>
      </c>
      <c r="P671" t="n">
        <v>0</v>
      </c>
      <c r="Q671" t="n">
        <v>0</v>
      </c>
      <c r="R671" s="2" t="inlineStr"/>
    </row>
    <row r="672" ht="15" customHeight="1">
      <c r="A672" t="inlineStr">
        <is>
          <t>A 52845-2023</t>
        </is>
      </c>
      <c r="B672" s="1" t="n">
        <v>45226.43667824074</v>
      </c>
      <c r="C672" s="1" t="n">
        <v>45971</v>
      </c>
      <c r="D672" t="inlineStr">
        <is>
          <t>KALMAR LÄN</t>
        </is>
      </c>
      <c r="E672" t="inlineStr">
        <is>
          <t>VÄSTERVIK</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43199-2024</t>
        </is>
      </c>
      <c r="B673" s="1" t="n">
        <v>45567.68774305555</v>
      </c>
      <c r="C673" s="1" t="n">
        <v>45971</v>
      </c>
      <c r="D673" t="inlineStr">
        <is>
          <t>KALMAR LÄN</t>
        </is>
      </c>
      <c r="E673" t="inlineStr">
        <is>
          <t>VÄSTERVIK</t>
        </is>
      </c>
      <c r="G673" t="n">
        <v>1.8</v>
      </c>
      <c r="H673" t="n">
        <v>0</v>
      </c>
      <c r="I673" t="n">
        <v>0</v>
      </c>
      <c r="J673" t="n">
        <v>0</v>
      </c>
      <c r="K673" t="n">
        <v>0</v>
      </c>
      <c r="L673" t="n">
        <v>0</v>
      </c>
      <c r="M673" t="n">
        <v>0</v>
      </c>
      <c r="N673" t="n">
        <v>0</v>
      </c>
      <c r="O673" t="n">
        <v>0</v>
      </c>
      <c r="P673" t="n">
        <v>0</v>
      </c>
      <c r="Q673" t="n">
        <v>0</v>
      </c>
      <c r="R673" s="2" t="inlineStr"/>
    </row>
    <row r="674" ht="15" customHeight="1">
      <c r="A674" t="inlineStr">
        <is>
          <t>A 14114-2025</t>
        </is>
      </c>
      <c r="B674" s="1" t="n">
        <v>45740.45964120371</v>
      </c>
      <c r="C674" s="1" t="n">
        <v>45971</v>
      </c>
      <c r="D674" t="inlineStr">
        <is>
          <t>KALMAR LÄN</t>
        </is>
      </c>
      <c r="E674" t="inlineStr">
        <is>
          <t>VÄSTERVIK</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6346-2023</t>
        </is>
      </c>
      <c r="B675" s="1" t="n">
        <v>44960</v>
      </c>
      <c r="C675" s="1" t="n">
        <v>45971</v>
      </c>
      <c r="D675" t="inlineStr">
        <is>
          <t>KALMAR LÄN</t>
        </is>
      </c>
      <c r="E675" t="inlineStr">
        <is>
          <t>VÄSTERVIK</t>
        </is>
      </c>
      <c r="G675" t="n">
        <v>4.5</v>
      </c>
      <c r="H675" t="n">
        <v>0</v>
      </c>
      <c r="I675" t="n">
        <v>0</v>
      </c>
      <c r="J675" t="n">
        <v>0</v>
      </c>
      <c r="K675" t="n">
        <v>0</v>
      </c>
      <c r="L675" t="n">
        <v>0</v>
      </c>
      <c r="M675" t="n">
        <v>0</v>
      </c>
      <c r="N675" t="n">
        <v>0</v>
      </c>
      <c r="O675" t="n">
        <v>0</v>
      </c>
      <c r="P675" t="n">
        <v>0</v>
      </c>
      <c r="Q675" t="n">
        <v>0</v>
      </c>
      <c r="R675" s="2" t="inlineStr"/>
    </row>
    <row r="676" ht="15" customHeight="1">
      <c r="A676" t="inlineStr">
        <is>
          <t>A 26285-2024</t>
        </is>
      </c>
      <c r="B676" s="1" t="n">
        <v>45468.70357638889</v>
      </c>
      <c r="C676" s="1" t="n">
        <v>45971</v>
      </c>
      <c r="D676" t="inlineStr">
        <is>
          <t>KALMAR LÄN</t>
        </is>
      </c>
      <c r="E676" t="inlineStr">
        <is>
          <t>VÄSTERVIK</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39425-2025</t>
        </is>
      </c>
      <c r="B677" s="1" t="n">
        <v>45889.67297453704</v>
      </c>
      <c r="C677" s="1" t="n">
        <v>45971</v>
      </c>
      <c r="D677" t="inlineStr">
        <is>
          <t>KALMAR LÄN</t>
        </is>
      </c>
      <c r="E677" t="inlineStr">
        <is>
          <t>VÄSTERVIK</t>
        </is>
      </c>
      <c r="G677" t="n">
        <v>6.7</v>
      </c>
      <c r="H677" t="n">
        <v>0</v>
      </c>
      <c r="I677" t="n">
        <v>0</v>
      </c>
      <c r="J677" t="n">
        <v>0</v>
      </c>
      <c r="K677" t="n">
        <v>0</v>
      </c>
      <c r="L677" t="n">
        <v>0</v>
      </c>
      <c r="M677" t="n">
        <v>0</v>
      </c>
      <c r="N677" t="n">
        <v>0</v>
      </c>
      <c r="O677" t="n">
        <v>0</v>
      </c>
      <c r="P677" t="n">
        <v>0</v>
      </c>
      <c r="Q677" t="n">
        <v>0</v>
      </c>
      <c r="R677" s="2" t="inlineStr"/>
    </row>
    <row r="678" ht="15" customHeight="1">
      <c r="A678" t="inlineStr">
        <is>
          <t>A 35108-2024</t>
        </is>
      </c>
      <c r="B678" s="1" t="n">
        <v>45529.64638888889</v>
      </c>
      <c r="C678" s="1" t="n">
        <v>45971</v>
      </c>
      <c r="D678" t="inlineStr">
        <is>
          <t>KALMAR LÄN</t>
        </is>
      </c>
      <c r="E678" t="inlineStr">
        <is>
          <t>VÄSTERVIK</t>
        </is>
      </c>
      <c r="G678" t="n">
        <v>10.5</v>
      </c>
      <c r="H678" t="n">
        <v>0</v>
      </c>
      <c r="I678" t="n">
        <v>0</v>
      </c>
      <c r="J678" t="n">
        <v>0</v>
      </c>
      <c r="K678" t="n">
        <v>0</v>
      </c>
      <c r="L678" t="n">
        <v>0</v>
      </c>
      <c r="M678" t="n">
        <v>0</v>
      </c>
      <c r="N678" t="n">
        <v>0</v>
      </c>
      <c r="O678" t="n">
        <v>0</v>
      </c>
      <c r="P678" t="n">
        <v>0</v>
      </c>
      <c r="Q678" t="n">
        <v>0</v>
      </c>
      <c r="R678" s="2" t="inlineStr"/>
    </row>
    <row r="679" ht="15" customHeight="1">
      <c r="A679" t="inlineStr">
        <is>
          <t>A 9037-2023</t>
        </is>
      </c>
      <c r="B679" s="1" t="n">
        <v>44979.65015046296</v>
      </c>
      <c r="C679" s="1" t="n">
        <v>45971</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47527-2021</t>
        </is>
      </c>
      <c r="B680" s="1" t="n">
        <v>44447</v>
      </c>
      <c r="C680" s="1" t="n">
        <v>45971</v>
      </c>
      <c r="D680" t="inlineStr">
        <is>
          <t>KALMAR LÄN</t>
        </is>
      </c>
      <c r="E680" t="inlineStr">
        <is>
          <t>VÄSTERVIK</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48738-2025</t>
        </is>
      </c>
      <c r="B681" s="1" t="n">
        <v>45936.67061342593</v>
      </c>
      <c r="C681" s="1" t="n">
        <v>45971</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40038-2025</t>
        </is>
      </c>
      <c r="B682" s="1" t="n">
        <v>45894.39395833333</v>
      </c>
      <c r="C682" s="1" t="n">
        <v>45971</v>
      </c>
      <c r="D682" t="inlineStr">
        <is>
          <t>KALMAR LÄN</t>
        </is>
      </c>
      <c r="E682" t="inlineStr">
        <is>
          <t>VÄSTERVIK</t>
        </is>
      </c>
      <c r="G682" t="n">
        <v>3.2</v>
      </c>
      <c r="H682" t="n">
        <v>0</v>
      </c>
      <c r="I682" t="n">
        <v>0</v>
      </c>
      <c r="J682" t="n">
        <v>0</v>
      </c>
      <c r="K682" t="n">
        <v>0</v>
      </c>
      <c r="L682" t="n">
        <v>0</v>
      </c>
      <c r="M682" t="n">
        <v>0</v>
      </c>
      <c r="N682" t="n">
        <v>0</v>
      </c>
      <c r="O682" t="n">
        <v>0</v>
      </c>
      <c r="P682" t="n">
        <v>0</v>
      </c>
      <c r="Q682" t="n">
        <v>0</v>
      </c>
      <c r="R682" s="2" t="inlineStr"/>
    </row>
    <row r="683" ht="15" customHeight="1">
      <c r="A683" t="inlineStr">
        <is>
          <t>A 35456-2024</t>
        </is>
      </c>
      <c r="B683" s="1" t="n">
        <v>45531</v>
      </c>
      <c r="C683" s="1" t="n">
        <v>45971</v>
      </c>
      <c r="D683" t="inlineStr">
        <is>
          <t>KALMAR LÄN</t>
        </is>
      </c>
      <c r="E683" t="inlineStr">
        <is>
          <t>VÄSTERVIK</t>
        </is>
      </c>
      <c r="G683" t="n">
        <v>5.8</v>
      </c>
      <c r="H683" t="n">
        <v>0</v>
      </c>
      <c r="I683" t="n">
        <v>0</v>
      </c>
      <c r="J683" t="n">
        <v>0</v>
      </c>
      <c r="K683" t="n">
        <v>0</v>
      </c>
      <c r="L683" t="n">
        <v>0</v>
      </c>
      <c r="M683" t="n">
        <v>0</v>
      </c>
      <c r="N683" t="n">
        <v>0</v>
      </c>
      <c r="O683" t="n">
        <v>0</v>
      </c>
      <c r="P683" t="n">
        <v>0</v>
      </c>
      <c r="Q683" t="n">
        <v>0</v>
      </c>
      <c r="R683" s="2" t="inlineStr"/>
    </row>
    <row r="684" ht="15" customHeight="1">
      <c r="A684" t="inlineStr">
        <is>
          <t>A 50086-2023</t>
        </is>
      </c>
      <c r="B684" s="1" t="n">
        <v>45215.59601851852</v>
      </c>
      <c r="C684" s="1" t="n">
        <v>45971</v>
      </c>
      <c r="D684" t="inlineStr">
        <is>
          <t>KALMAR LÄN</t>
        </is>
      </c>
      <c r="E684" t="inlineStr">
        <is>
          <t>VÄSTERVIK</t>
        </is>
      </c>
      <c r="G684" t="n">
        <v>1.4</v>
      </c>
      <c r="H684" t="n">
        <v>0</v>
      </c>
      <c r="I684" t="n">
        <v>0</v>
      </c>
      <c r="J684" t="n">
        <v>0</v>
      </c>
      <c r="K684" t="n">
        <v>0</v>
      </c>
      <c r="L684" t="n">
        <v>0</v>
      </c>
      <c r="M684" t="n">
        <v>0</v>
      </c>
      <c r="N684" t="n">
        <v>0</v>
      </c>
      <c r="O684" t="n">
        <v>0</v>
      </c>
      <c r="P684" t="n">
        <v>0</v>
      </c>
      <c r="Q684" t="n">
        <v>0</v>
      </c>
      <c r="R684" s="2" t="inlineStr"/>
    </row>
    <row r="685" ht="15" customHeight="1">
      <c r="A685" t="inlineStr">
        <is>
          <t>A 31691-2023</t>
        </is>
      </c>
      <c r="B685" s="1" t="n">
        <v>45117.72543981481</v>
      </c>
      <c r="C685" s="1" t="n">
        <v>45971</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25488-2023</t>
        </is>
      </c>
      <c r="B686" s="1" t="n">
        <v>45089</v>
      </c>
      <c r="C686" s="1" t="n">
        <v>45971</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52035-2023</t>
        </is>
      </c>
      <c r="B687" s="1" t="n">
        <v>45216</v>
      </c>
      <c r="C687" s="1" t="n">
        <v>45971</v>
      </c>
      <c r="D687" t="inlineStr">
        <is>
          <t>KALMAR LÄN</t>
        </is>
      </c>
      <c r="E687" t="inlineStr">
        <is>
          <t>VÄSTERVIK</t>
        </is>
      </c>
      <c r="G687" t="n">
        <v>3.4</v>
      </c>
      <c r="H687" t="n">
        <v>0</v>
      </c>
      <c r="I687" t="n">
        <v>0</v>
      </c>
      <c r="J687" t="n">
        <v>0</v>
      </c>
      <c r="K687" t="n">
        <v>0</v>
      </c>
      <c r="L687" t="n">
        <v>0</v>
      </c>
      <c r="M687" t="n">
        <v>0</v>
      </c>
      <c r="N687" t="n">
        <v>0</v>
      </c>
      <c r="O687" t="n">
        <v>0</v>
      </c>
      <c r="P687" t="n">
        <v>0</v>
      </c>
      <c r="Q687" t="n">
        <v>0</v>
      </c>
      <c r="R687" s="2" t="inlineStr"/>
    </row>
    <row r="688" ht="15" customHeight="1">
      <c r="A688" t="inlineStr">
        <is>
          <t>A 40165-2025</t>
        </is>
      </c>
      <c r="B688" s="1" t="n">
        <v>45894.62219907407</v>
      </c>
      <c r="C688" s="1" t="n">
        <v>45971</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13275-2023</t>
        </is>
      </c>
      <c r="B689" s="1" t="n">
        <v>45003</v>
      </c>
      <c r="C689" s="1" t="n">
        <v>45971</v>
      </c>
      <c r="D689" t="inlineStr">
        <is>
          <t>KALMAR LÄN</t>
        </is>
      </c>
      <c r="E689" t="inlineStr">
        <is>
          <t>VÄSTERVIK</t>
        </is>
      </c>
      <c r="G689" t="n">
        <v>1.6</v>
      </c>
      <c r="H689" t="n">
        <v>0</v>
      </c>
      <c r="I689" t="n">
        <v>0</v>
      </c>
      <c r="J689" t="n">
        <v>0</v>
      </c>
      <c r="K689" t="n">
        <v>0</v>
      </c>
      <c r="L689" t="n">
        <v>0</v>
      </c>
      <c r="M689" t="n">
        <v>0</v>
      </c>
      <c r="N689" t="n">
        <v>0</v>
      </c>
      <c r="O689" t="n">
        <v>0</v>
      </c>
      <c r="P689" t="n">
        <v>0</v>
      </c>
      <c r="Q689" t="n">
        <v>0</v>
      </c>
      <c r="R689" s="2" t="inlineStr"/>
      <c r="U689">
        <f>HYPERLINK("https://klasma.github.io/Logging_0883/knärot/A 13275-2023 karta knärot.png", "A 13275-2023")</f>
        <v/>
      </c>
      <c r="V689">
        <f>HYPERLINK("https://klasma.github.io/Logging_0883/klagomål/A 13275-2023 FSC-klagomål.docx", "A 13275-2023")</f>
        <v/>
      </c>
      <c r="W689">
        <f>HYPERLINK("https://klasma.github.io/Logging_0883/klagomålsmail/A 13275-2023 FSC-klagomål mail.docx", "A 13275-2023")</f>
        <v/>
      </c>
      <c r="X689">
        <f>HYPERLINK("https://klasma.github.io/Logging_0883/tillsyn/A 13275-2023 tillsynsbegäran.docx", "A 13275-2023")</f>
        <v/>
      </c>
      <c r="Y689">
        <f>HYPERLINK("https://klasma.github.io/Logging_0883/tillsynsmail/A 13275-2023 tillsynsbegäran mail.docx", "A 13275-2023")</f>
        <v/>
      </c>
    </row>
    <row r="690" ht="15" customHeight="1">
      <c r="A690" t="inlineStr">
        <is>
          <t>A 17200-2021</t>
        </is>
      </c>
      <c r="B690" s="1" t="n">
        <v>44298.47847222222</v>
      </c>
      <c r="C690" s="1" t="n">
        <v>45971</v>
      </c>
      <c r="D690" t="inlineStr">
        <is>
          <t>KALMAR LÄN</t>
        </is>
      </c>
      <c r="E690" t="inlineStr">
        <is>
          <t>VÄSTERVIK</t>
        </is>
      </c>
      <c r="G690" t="n">
        <v>3.4</v>
      </c>
      <c r="H690" t="n">
        <v>0</v>
      </c>
      <c r="I690" t="n">
        <v>0</v>
      </c>
      <c r="J690" t="n">
        <v>0</v>
      </c>
      <c r="K690" t="n">
        <v>0</v>
      </c>
      <c r="L690" t="n">
        <v>0</v>
      </c>
      <c r="M690" t="n">
        <v>0</v>
      </c>
      <c r="N690" t="n">
        <v>0</v>
      </c>
      <c r="O690" t="n">
        <v>0</v>
      </c>
      <c r="P690" t="n">
        <v>0</v>
      </c>
      <c r="Q690" t="n">
        <v>0</v>
      </c>
      <c r="R690" s="2" t="inlineStr"/>
    </row>
    <row r="691" ht="15" customHeight="1">
      <c r="A691" t="inlineStr">
        <is>
          <t>A 14212-2022</t>
        </is>
      </c>
      <c r="B691" s="1" t="n">
        <v>44651</v>
      </c>
      <c r="C691" s="1" t="n">
        <v>45971</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14105-2025</t>
        </is>
      </c>
      <c r="B692" s="1" t="n">
        <v>45740.45425925926</v>
      </c>
      <c r="C692" s="1" t="n">
        <v>45971</v>
      </c>
      <c r="D692" t="inlineStr">
        <is>
          <t>KALMAR LÄN</t>
        </is>
      </c>
      <c r="E692" t="inlineStr">
        <is>
          <t>VÄSTERVIK</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14109-2025</t>
        </is>
      </c>
      <c r="B693" s="1" t="n">
        <v>45740.45748842593</v>
      </c>
      <c r="C693" s="1" t="n">
        <v>45971</v>
      </c>
      <c r="D693" t="inlineStr">
        <is>
          <t>KALMAR LÄN</t>
        </is>
      </c>
      <c r="E693" t="inlineStr">
        <is>
          <t>VÄSTERVIK</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9249-2024</t>
        </is>
      </c>
      <c r="B694" s="1" t="n">
        <v>45358.59056712963</v>
      </c>
      <c r="C694" s="1" t="n">
        <v>45971</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9042-2023</t>
        </is>
      </c>
      <c r="B695" s="1" t="n">
        <v>44979</v>
      </c>
      <c r="C695" s="1" t="n">
        <v>45971</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782-2024</t>
        </is>
      </c>
      <c r="B696" s="1" t="n">
        <v>45300.55188657407</v>
      </c>
      <c r="C696" s="1" t="n">
        <v>45971</v>
      </c>
      <c r="D696" t="inlineStr">
        <is>
          <t>KALMAR LÄN</t>
        </is>
      </c>
      <c r="E696" t="inlineStr">
        <is>
          <t>VÄSTERVIK</t>
        </is>
      </c>
      <c r="G696" t="n">
        <v>2.7</v>
      </c>
      <c r="H696" t="n">
        <v>0</v>
      </c>
      <c r="I696" t="n">
        <v>0</v>
      </c>
      <c r="J696" t="n">
        <v>0</v>
      </c>
      <c r="K696" t="n">
        <v>0</v>
      </c>
      <c r="L696" t="n">
        <v>0</v>
      </c>
      <c r="M696" t="n">
        <v>0</v>
      </c>
      <c r="N696" t="n">
        <v>0</v>
      </c>
      <c r="O696" t="n">
        <v>0</v>
      </c>
      <c r="P696" t="n">
        <v>0</v>
      </c>
      <c r="Q696" t="n">
        <v>0</v>
      </c>
      <c r="R696" s="2" t="inlineStr"/>
    </row>
    <row r="697" ht="15" customHeight="1">
      <c r="A697" t="inlineStr">
        <is>
          <t>A 69753-2021</t>
        </is>
      </c>
      <c r="B697" s="1" t="n">
        <v>44532.56175925926</v>
      </c>
      <c r="C697" s="1" t="n">
        <v>45971</v>
      </c>
      <c r="D697" t="inlineStr">
        <is>
          <t>KALMAR LÄN</t>
        </is>
      </c>
      <c r="E697" t="inlineStr">
        <is>
          <t>VÄSTERVIK</t>
        </is>
      </c>
      <c r="G697" t="n">
        <v>3.2</v>
      </c>
      <c r="H697" t="n">
        <v>0</v>
      </c>
      <c r="I697" t="n">
        <v>0</v>
      </c>
      <c r="J697" t="n">
        <v>0</v>
      </c>
      <c r="K697" t="n">
        <v>0</v>
      </c>
      <c r="L697" t="n">
        <v>0</v>
      </c>
      <c r="M697" t="n">
        <v>0</v>
      </c>
      <c r="N697" t="n">
        <v>0</v>
      </c>
      <c r="O697" t="n">
        <v>0</v>
      </c>
      <c r="P697" t="n">
        <v>0</v>
      </c>
      <c r="Q697" t="n">
        <v>0</v>
      </c>
      <c r="R697" s="2" t="inlineStr"/>
    </row>
    <row r="698" ht="15" customHeight="1">
      <c r="A698" t="inlineStr">
        <is>
          <t>A 12435-2024</t>
        </is>
      </c>
      <c r="B698" s="1" t="n">
        <v>45379.4459375</v>
      </c>
      <c r="C698" s="1" t="n">
        <v>45971</v>
      </c>
      <c r="D698" t="inlineStr">
        <is>
          <t>KALMAR LÄN</t>
        </is>
      </c>
      <c r="E698" t="inlineStr">
        <is>
          <t>VÄSTERVIK</t>
        </is>
      </c>
      <c r="G698" t="n">
        <v>0.4</v>
      </c>
      <c r="H698" t="n">
        <v>0</v>
      </c>
      <c r="I698" t="n">
        <v>0</v>
      </c>
      <c r="J698" t="n">
        <v>0</v>
      </c>
      <c r="K698" t="n">
        <v>0</v>
      </c>
      <c r="L698" t="n">
        <v>0</v>
      </c>
      <c r="M698" t="n">
        <v>0</v>
      </c>
      <c r="N698" t="n">
        <v>0</v>
      </c>
      <c r="O698" t="n">
        <v>0</v>
      </c>
      <c r="P698" t="n">
        <v>0</v>
      </c>
      <c r="Q698" t="n">
        <v>0</v>
      </c>
      <c r="R698" s="2" t="inlineStr"/>
    </row>
    <row r="699" ht="15" customHeight="1">
      <c r="A699" t="inlineStr">
        <is>
          <t>A 3828-2024</t>
        </is>
      </c>
      <c r="B699" s="1" t="n">
        <v>45321</v>
      </c>
      <c r="C699" s="1" t="n">
        <v>45971</v>
      </c>
      <c r="D699" t="inlineStr">
        <is>
          <t>KALMAR LÄN</t>
        </is>
      </c>
      <c r="E699" t="inlineStr">
        <is>
          <t>VÄSTERVIK</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28894-2023</t>
        </is>
      </c>
      <c r="B700" s="1" t="n">
        <v>45104.49659722222</v>
      </c>
      <c r="C700" s="1" t="n">
        <v>45971</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64741-2020</t>
        </is>
      </c>
      <c r="B701" s="1" t="n">
        <v>44169</v>
      </c>
      <c r="C701" s="1" t="n">
        <v>45971</v>
      </c>
      <c r="D701" t="inlineStr">
        <is>
          <t>KALMAR LÄN</t>
        </is>
      </c>
      <c r="E701" t="inlineStr">
        <is>
          <t>VÄSTERVIK</t>
        </is>
      </c>
      <c r="G701" t="n">
        <v>1.9</v>
      </c>
      <c r="H701" t="n">
        <v>0</v>
      </c>
      <c r="I701" t="n">
        <v>0</v>
      </c>
      <c r="J701" t="n">
        <v>0</v>
      </c>
      <c r="K701" t="n">
        <v>0</v>
      </c>
      <c r="L701" t="n">
        <v>0</v>
      </c>
      <c r="M701" t="n">
        <v>0</v>
      </c>
      <c r="N701" t="n">
        <v>0</v>
      </c>
      <c r="O701" t="n">
        <v>0</v>
      </c>
      <c r="P701" t="n">
        <v>0</v>
      </c>
      <c r="Q701" t="n">
        <v>0</v>
      </c>
      <c r="R701" s="2" t="inlineStr"/>
    </row>
    <row r="702" ht="15" customHeight="1">
      <c r="A702" t="inlineStr">
        <is>
          <t>A 39193-2024</t>
        </is>
      </c>
      <c r="B702" s="1" t="n">
        <v>45548.68</v>
      </c>
      <c r="C702" s="1" t="n">
        <v>45971</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16689-2025</t>
        </is>
      </c>
      <c r="B703" s="1" t="n">
        <v>45754.45739583333</v>
      </c>
      <c r="C703" s="1" t="n">
        <v>45971</v>
      </c>
      <c r="D703" t="inlineStr">
        <is>
          <t>KALMAR LÄN</t>
        </is>
      </c>
      <c r="E703" t="inlineStr">
        <is>
          <t>VÄSTERVIK</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16693-2025</t>
        </is>
      </c>
      <c r="B704" s="1" t="n">
        <v>45754.4644675926</v>
      </c>
      <c r="C704" s="1" t="n">
        <v>45971</v>
      </c>
      <c r="D704" t="inlineStr">
        <is>
          <t>KALMAR LÄN</t>
        </is>
      </c>
      <c r="E704" t="inlineStr">
        <is>
          <t>VÄSTERVIK</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808-2023</t>
        </is>
      </c>
      <c r="B705" s="1" t="n">
        <v>44931</v>
      </c>
      <c r="C705" s="1" t="n">
        <v>45971</v>
      </c>
      <c r="D705" t="inlineStr">
        <is>
          <t>KALMAR LÄN</t>
        </is>
      </c>
      <c r="E705" t="inlineStr">
        <is>
          <t>VÄSTERVIK</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19333-2023</t>
        </is>
      </c>
      <c r="B706" s="1" t="n">
        <v>45049.566875</v>
      </c>
      <c r="C706" s="1" t="n">
        <v>45971</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33204-2022</t>
        </is>
      </c>
      <c r="B707" s="1" t="n">
        <v>44785</v>
      </c>
      <c r="C707" s="1" t="n">
        <v>45971</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15097-2023</t>
        </is>
      </c>
      <c r="B708" s="1" t="n">
        <v>45016</v>
      </c>
      <c r="C708" s="1" t="n">
        <v>45971</v>
      </c>
      <c r="D708" t="inlineStr">
        <is>
          <t>KALMAR LÄN</t>
        </is>
      </c>
      <c r="E708" t="inlineStr">
        <is>
          <t>VÄSTERVIK</t>
        </is>
      </c>
      <c r="G708" t="n">
        <v>5.9</v>
      </c>
      <c r="H708" t="n">
        <v>0</v>
      </c>
      <c r="I708" t="n">
        <v>0</v>
      </c>
      <c r="J708" t="n">
        <v>0</v>
      </c>
      <c r="K708" t="n">
        <v>0</v>
      </c>
      <c r="L708" t="n">
        <v>0</v>
      </c>
      <c r="M708" t="n">
        <v>0</v>
      </c>
      <c r="N708" t="n">
        <v>0</v>
      </c>
      <c r="O708" t="n">
        <v>0</v>
      </c>
      <c r="P708" t="n">
        <v>0</v>
      </c>
      <c r="Q708" t="n">
        <v>0</v>
      </c>
      <c r="R708" s="2" t="inlineStr"/>
    </row>
    <row r="709" ht="15" customHeight="1">
      <c r="A709" t="inlineStr">
        <is>
          <t>A 7925-2023</t>
        </is>
      </c>
      <c r="B709" s="1" t="n">
        <v>44973.64606481481</v>
      </c>
      <c r="C709" s="1" t="n">
        <v>45971</v>
      </c>
      <c r="D709" t="inlineStr">
        <is>
          <t>KALMAR LÄN</t>
        </is>
      </c>
      <c r="E709" t="inlineStr">
        <is>
          <t>VÄSTERVIK</t>
        </is>
      </c>
      <c r="G709" t="n">
        <v>4.9</v>
      </c>
      <c r="H709" t="n">
        <v>0</v>
      </c>
      <c r="I709" t="n">
        <v>0</v>
      </c>
      <c r="J709" t="n">
        <v>0</v>
      </c>
      <c r="K709" t="n">
        <v>0</v>
      </c>
      <c r="L709" t="n">
        <v>0</v>
      </c>
      <c r="M709" t="n">
        <v>0</v>
      </c>
      <c r="N709" t="n">
        <v>0</v>
      </c>
      <c r="O709" t="n">
        <v>0</v>
      </c>
      <c r="P709" t="n">
        <v>0</v>
      </c>
      <c r="Q709" t="n">
        <v>0</v>
      </c>
      <c r="R709" s="2" t="inlineStr"/>
    </row>
    <row r="710" ht="15" customHeight="1">
      <c r="A710" t="inlineStr">
        <is>
          <t>A 51510-2024</t>
        </is>
      </c>
      <c r="B710" s="1" t="n">
        <v>45604.55837962963</v>
      </c>
      <c r="C710" s="1" t="n">
        <v>45971</v>
      </c>
      <c r="D710" t="inlineStr">
        <is>
          <t>KALMAR LÄN</t>
        </is>
      </c>
      <c r="E710" t="inlineStr">
        <is>
          <t>VÄSTERVIK</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39983-2024</t>
        </is>
      </c>
      <c r="B711" s="1" t="n">
        <v>45553.61674768518</v>
      </c>
      <c r="C711" s="1" t="n">
        <v>45971</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46070-2023</t>
        </is>
      </c>
      <c r="B712" s="1" t="n">
        <v>45196</v>
      </c>
      <c r="C712" s="1" t="n">
        <v>45971</v>
      </c>
      <c r="D712" t="inlineStr">
        <is>
          <t>KALMAR LÄN</t>
        </is>
      </c>
      <c r="E712" t="inlineStr">
        <is>
          <t>VÄSTERVIK</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11167-2024</t>
        </is>
      </c>
      <c r="B713" s="1" t="n">
        <v>45371.4966087963</v>
      </c>
      <c r="C713" s="1" t="n">
        <v>45971</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38174-2023</t>
        </is>
      </c>
      <c r="B714" s="1" t="n">
        <v>45161</v>
      </c>
      <c r="C714" s="1" t="n">
        <v>45971</v>
      </c>
      <c r="D714" t="inlineStr">
        <is>
          <t>KALMAR LÄN</t>
        </is>
      </c>
      <c r="E714" t="inlineStr">
        <is>
          <t>VÄSTERVIK</t>
        </is>
      </c>
      <c r="G714" t="n">
        <v>3.4</v>
      </c>
      <c r="H714" t="n">
        <v>0</v>
      </c>
      <c r="I714" t="n">
        <v>0</v>
      </c>
      <c r="J714" t="n">
        <v>0</v>
      </c>
      <c r="K714" t="n">
        <v>0</v>
      </c>
      <c r="L714" t="n">
        <v>0</v>
      </c>
      <c r="M714" t="n">
        <v>0</v>
      </c>
      <c r="N714" t="n">
        <v>0</v>
      </c>
      <c r="O714" t="n">
        <v>0</v>
      </c>
      <c r="P714" t="n">
        <v>0</v>
      </c>
      <c r="Q714" t="n">
        <v>0</v>
      </c>
      <c r="R714" s="2" t="inlineStr"/>
    </row>
    <row r="715" ht="15" customHeight="1">
      <c r="A715" t="inlineStr">
        <is>
          <t>A 37716-2023</t>
        </is>
      </c>
      <c r="B715" s="1" t="n">
        <v>45159</v>
      </c>
      <c r="C715" s="1" t="n">
        <v>45971</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58216-2022</t>
        </is>
      </c>
      <c r="B716" s="1" t="n">
        <v>44901.36292824074</v>
      </c>
      <c r="C716" s="1" t="n">
        <v>45971</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8007-2023</t>
        </is>
      </c>
      <c r="B717" s="1" t="n">
        <v>44973.88759259259</v>
      </c>
      <c r="C717" s="1" t="n">
        <v>45971</v>
      </c>
      <c r="D717" t="inlineStr">
        <is>
          <t>KALMAR LÄN</t>
        </is>
      </c>
      <c r="E717" t="inlineStr">
        <is>
          <t>VÄSTERVIK</t>
        </is>
      </c>
      <c r="G717" t="n">
        <v>4.5</v>
      </c>
      <c r="H717" t="n">
        <v>0</v>
      </c>
      <c r="I717" t="n">
        <v>0</v>
      </c>
      <c r="J717" t="n">
        <v>0</v>
      </c>
      <c r="K717" t="n">
        <v>0</v>
      </c>
      <c r="L717" t="n">
        <v>0</v>
      </c>
      <c r="M717" t="n">
        <v>0</v>
      </c>
      <c r="N717" t="n">
        <v>0</v>
      </c>
      <c r="O717" t="n">
        <v>0</v>
      </c>
      <c r="P717" t="n">
        <v>0</v>
      </c>
      <c r="Q717" t="n">
        <v>0</v>
      </c>
      <c r="R717" s="2" t="inlineStr"/>
    </row>
    <row r="718" ht="15" customHeight="1">
      <c r="A718" t="inlineStr">
        <is>
          <t>A 5234-2024</t>
        </is>
      </c>
      <c r="B718" s="1" t="n">
        <v>45330.80729166666</v>
      </c>
      <c r="C718" s="1" t="n">
        <v>45971</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55828-2022</t>
        </is>
      </c>
      <c r="B719" s="1" t="n">
        <v>44888</v>
      </c>
      <c r="C719" s="1" t="n">
        <v>45971</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53077-2024</t>
        </is>
      </c>
      <c r="B720" s="1" t="n">
        <v>45611.49178240741</v>
      </c>
      <c r="C720" s="1" t="n">
        <v>45971</v>
      </c>
      <c r="D720" t="inlineStr">
        <is>
          <t>KALMAR LÄN</t>
        </is>
      </c>
      <c r="E720" t="inlineStr">
        <is>
          <t>VÄSTERVIK</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28222-2024</t>
        </is>
      </c>
      <c r="B721" s="1" t="n">
        <v>45477.36993055556</v>
      </c>
      <c r="C721" s="1" t="n">
        <v>45971</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48035-2024</t>
        </is>
      </c>
      <c r="B722" s="1" t="n">
        <v>45589.49168981481</v>
      </c>
      <c r="C722" s="1" t="n">
        <v>45971</v>
      </c>
      <c r="D722" t="inlineStr">
        <is>
          <t>KALMAR LÄN</t>
        </is>
      </c>
      <c r="E722" t="inlineStr">
        <is>
          <t>VÄSTERVIK</t>
        </is>
      </c>
      <c r="G722" t="n">
        <v>2.1</v>
      </c>
      <c r="H722" t="n">
        <v>0</v>
      </c>
      <c r="I722" t="n">
        <v>0</v>
      </c>
      <c r="J722" t="n">
        <v>0</v>
      </c>
      <c r="K722" t="n">
        <v>0</v>
      </c>
      <c r="L722" t="n">
        <v>0</v>
      </c>
      <c r="M722" t="n">
        <v>0</v>
      </c>
      <c r="N722" t="n">
        <v>0</v>
      </c>
      <c r="O722" t="n">
        <v>0</v>
      </c>
      <c r="P722" t="n">
        <v>0</v>
      </c>
      <c r="Q722" t="n">
        <v>0</v>
      </c>
      <c r="R722" s="2" t="inlineStr"/>
    </row>
    <row r="723" ht="15" customHeight="1">
      <c r="A723" t="inlineStr">
        <is>
          <t>A 13748-2024</t>
        </is>
      </c>
      <c r="B723" s="1" t="n">
        <v>45390</v>
      </c>
      <c r="C723" s="1" t="n">
        <v>45971</v>
      </c>
      <c r="D723" t="inlineStr">
        <is>
          <t>KALMAR LÄN</t>
        </is>
      </c>
      <c r="E723" t="inlineStr">
        <is>
          <t>VÄSTERVIK</t>
        </is>
      </c>
      <c r="G723" t="n">
        <v>2.2</v>
      </c>
      <c r="H723" t="n">
        <v>0</v>
      </c>
      <c r="I723" t="n">
        <v>0</v>
      </c>
      <c r="J723" t="n">
        <v>0</v>
      </c>
      <c r="K723" t="n">
        <v>0</v>
      </c>
      <c r="L723" t="n">
        <v>0</v>
      </c>
      <c r="M723" t="n">
        <v>0</v>
      </c>
      <c r="N723" t="n">
        <v>0</v>
      </c>
      <c r="O723" t="n">
        <v>0</v>
      </c>
      <c r="P723" t="n">
        <v>0</v>
      </c>
      <c r="Q723" t="n">
        <v>0</v>
      </c>
      <c r="R723" s="2" t="inlineStr"/>
    </row>
    <row r="724" ht="15" customHeight="1">
      <c r="A724" t="inlineStr">
        <is>
          <t>A 36888-2024</t>
        </is>
      </c>
      <c r="B724" s="1" t="n">
        <v>45538</v>
      </c>
      <c r="C724" s="1" t="n">
        <v>45971</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49452-2023</t>
        </is>
      </c>
      <c r="B725" s="1" t="n">
        <v>45211.49424768519</v>
      </c>
      <c r="C725" s="1" t="n">
        <v>45971</v>
      </c>
      <c r="D725" t="inlineStr">
        <is>
          <t>KALMAR LÄN</t>
        </is>
      </c>
      <c r="E725" t="inlineStr">
        <is>
          <t>VÄSTERVIK</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2746-2023</t>
        </is>
      </c>
      <c r="B726" s="1" t="n">
        <v>44944</v>
      </c>
      <c r="C726" s="1" t="n">
        <v>45971</v>
      </c>
      <c r="D726" t="inlineStr">
        <is>
          <t>KALMAR LÄN</t>
        </is>
      </c>
      <c r="E726" t="inlineStr">
        <is>
          <t>VÄSTERVIK</t>
        </is>
      </c>
      <c r="G726" t="n">
        <v>5.5</v>
      </c>
      <c r="H726" t="n">
        <v>0</v>
      </c>
      <c r="I726" t="n">
        <v>0</v>
      </c>
      <c r="J726" t="n">
        <v>0</v>
      </c>
      <c r="K726" t="n">
        <v>0</v>
      </c>
      <c r="L726" t="n">
        <v>0</v>
      </c>
      <c r="M726" t="n">
        <v>0</v>
      </c>
      <c r="N726" t="n">
        <v>0</v>
      </c>
      <c r="O726" t="n">
        <v>0</v>
      </c>
      <c r="P726" t="n">
        <v>0</v>
      </c>
      <c r="Q726" t="n">
        <v>0</v>
      </c>
      <c r="R726" s="2" t="inlineStr"/>
    </row>
    <row r="727" ht="15" customHeight="1">
      <c r="A727" t="inlineStr">
        <is>
          <t>A 58209-2022</t>
        </is>
      </c>
      <c r="B727" s="1" t="n">
        <v>44901</v>
      </c>
      <c r="C727" s="1" t="n">
        <v>45971</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29952-2022</t>
        </is>
      </c>
      <c r="B728" s="1" t="n">
        <v>44756.62649305556</v>
      </c>
      <c r="C728" s="1" t="n">
        <v>45971</v>
      </c>
      <c r="D728" t="inlineStr">
        <is>
          <t>KALMAR LÄN</t>
        </is>
      </c>
      <c r="E728" t="inlineStr">
        <is>
          <t>VÄSTERVIK</t>
        </is>
      </c>
      <c r="G728" t="n">
        <v>1.9</v>
      </c>
      <c r="H728" t="n">
        <v>0</v>
      </c>
      <c r="I728" t="n">
        <v>0</v>
      </c>
      <c r="J728" t="n">
        <v>0</v>
      </c>
      <c r="K728" t="n">
        <v>0</v>
      </c>
      <c r="L728" t="n">
        <v>0</v>
      </c>
      <c r="M728" t="n">
        <v>0</v>
      </c>
      <c r="N728" t="n">
        <v>0</v>
      </c>
      <c r="O728" t="n">
        <v>0</v>
      </c>
      <c r="P728" t="n">
        <v>0</v>
      </c>
      <c r="Q728" t="n">
        <v>0</v>
      </c>
      <c r="R728" s="2" t="inlineStr"/>
    </row>
    <row r="729" ht="15" customHeight="1">
      <c r="A729" t="inlineStr">
        <is>
          <t>A 59170-2022</t>
        </is>
      </c>
      <c r="B729" s="1" t="n">
        <v>44904.48152777777</v>
      </c>
      <c r="C729" s="1" t="n">
        <v>45971</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59212-2022</t>
        </is>
      </c>
      <c r="B730" s="1" t="n">
        <v>44904.52560185185</v>
      </c>
      <c r="C730" s="1" t="n">
        <v>45971</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59227-2022</t>
        </is>
      </c>
      <c r="B731" s="1" t="n">
        <v>44904</v>
      </c>
      <c r="C731" s="1" t="n">
        <v>45971</v>
      </c>
      <c r="D731" t="inlineStr">
        <is>
          <t>KALMAR LÄN</t>
        </is>
      </c>
      <c r="E731" t="inlineStr">
        <is>
          <t>VÄSTERVIK</t>
        </is>
      </c>
      <c r="G731" t="n">
        <v>6</v>
      </c>
      <c r="H731" t="n">
        <v>0</v>
      </c>
      <c r="I731" t="n">
        <v>0</v>
      </c>
      <c r="J731" t="n">
        <v>0</v>
      </c>
      <c r="K731" t="n">
        <v>0</v>
      </c>
      <c r="L731" t="n">
        <v>0</v>
      </c>
      <c r="M731" t="n">
        <v>0</v>
      </c>
      <c r="N731" t="n">
        <v>0</v>
      </c>
      <c r="O731" t="n">
        <v>0</v>
      </c>
      <c r="P731" t="n">
        <v>0</v>
      </c>
      <c r="Q731" t="n">
        <v>0</v>
      </c>
      <c r="R731" s="2" t="inlineStr"/>
    </row>
    <row r="732" ht="15" customHeight="1">
      <c r="A732" t="inlineStr">
        <is>
          <t>A 52155-2021</t>
        </is>
      </c>
      <c r="B732" s="1" t="n">
        <v>44463</v>
      </c>
      <c r="C732" s="1" t="n">
        <v>45971</v>
      </c>
      <c r="D732" t="inlineStr">
        <is>
          <t>KALMAR LÄN</t>
        </is>
      </c>
      <c r="E732" t="inlineStr">
        <is>
          <t>VÄSTERVIK</t>
        </is>
      </c>
      <c r="G732" t="n">
        <v>0.7</v>
      </c>
      <c r="H732" t="n">
        <v>0</v>
      </c>
      <c r="I732" t="n">
        <v>0</v>
      </c>
      <c r="J732" t="n">
        <v>0</v>
      </c>
      <c r="K732" t="n">
        <v>0</v>
      </c>
      <c r="L732" t="n">
        <v>0</v>
      </c>
      <c r="M732" t="n">
        <v>0</v>
      </c>
      <c r="N732" t="n">
        <v>0</v>
      </c>
      <c r="O732" t="n">
        <v>0</v>
      </c>
      <c r="P732" t="n">
        <v>0</v>
      </c>
      <c r="Q732" t="n">
        <v>0</v>
      </c>
      <c r="R732" s="2" t="inlineStr"/>
    </row>
    <row r="733" ht="15" customHeight="1">
      <c r="A733" t="inlineStr">
        <is>
          <t>A 1877-2025</t>
        </is>
      </c>
      <c r="B733" s="1" t="n">
        <v>45671.62141203704</v>
      </c>
      <c r="C733" s="1" t="n">
        <v>45971</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63361-2023</t>
        </is>
      </c>
      <c r="B734" s="1" t="n">
        <v>45274.46324074074</v>
      </c>
      <c r="C734" s="1" t="n">
        <v>45971</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9267-2025</t>
        </is>
      </c>
      <c r="B735" s="1" t="n">
        <v>45714.61418981481</v>
      </c>
      <c r="C735" s="1" t="n">
        <v>45971</v>
      </c>
      <c r="D735" t="inlineStr">
        <is>
          <t>KALMAR LÄN</t>
        </is>
      </c>
      <c r="E735" t="inlineStr">
        <is>
          <t>VÄSTERVIK</t>
        </is>
      </c>
      <c r="F735" t="inlineStr">
        <is>
          <t>Sveaskog</t>
        </is>
      </c>
      <c r="G735" t="n">
        <v>6.8</v>
      </c>
      <c r="H735" t="n">
        <v>0</v>
      </c>
      <c r="I735" t="n">
        <v>0</v>
      </c>
      <c r="J735" t="n">
        <v>0</v>
      </c>
      <c r="K735" t="n">
        <v>0</v>
      </c>
      <c r="L735" t="n">
        <v>0</v>
      </c>
      <c r="M735" t="n">
        <v>0</v>
      </c>
      <c r="N735" t="n">
        <v>0</v>
      </c>
      <c r="O735" t="n">
        <v>0</v>
      </c>
      <c r="P735" t="n">
        <v>0</v>
      </c>
      <c r="Q735" t="n">
        <v>0</v>
      </c>
      <c r="R735" s="2" t="inlineStr"/>
    </row>
    <row r="736" ht="15" customHeight="1">
      <c r="A736" t="inlineStr">
        <is>
          <t>A 4583-2023</t>
        </is>
      </c>
      <c r="B736" s="1" t="n">
        <v>44956</v>
      </c>
      <c r="C736" s="1" t="n">
        <v>45971</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11848-2024</t>
        </is>
      </c>
      <c r="B737" s="1" t="n">
        <v>45376.41653935185</v>
      </c>
      <c r="C737" s="1" t="n">
        <v>45971</v>
      </c>
      <c r="D737" t="inlineStr">
        <is>
          <t>KALMAR LÄN</t>
        </is>
      </c>
      <c r="E737" t="inlineStr">
        <is>
          <t>VÄSTERVIK</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7255-2023</t>
        </is>
      </c>
      <c r="B738" s="1" t="n">
        <v>44970</v>
      </c>
      <c r="C738" s="1" t="n">
        <v>45971</v>
      </c>
      <c r="D738" t="inlineStr">
        <is>
          <t>KALMAR LÄN</t>
        </is>
      </c>
      <c r="E738" t="inlineStr">
        <is>
          <t>VÄSTERVIK</t>
        </is>
      </c>
      <c r="F738" t="inlineStr">
        <is>
          <t>Naturvårdsverket</t>
        </is>
      </c>
      <c r="G738" t="n">
        <v>0.6</v>
      </c>
      <c r="H738" t="n">
        <v>0</v>
      </c>
      <c r="I738" t="n">
        <v>0</v>
      </c>
      <c r="J738" t="n">
        <v>0</v>
      </c>
      <c r="K738" t="n">
        <v>0</v>
      </c>
      <c r="L738" t="n">
        <v>0</v>
      </c>
      <c r="M738" t="n">
        <v>0</v>
      </c>
      <c r="N738" t="n">
        <v>0</v>
      </c>
      <c r="O738" t="n">
        <v>0</v>
      </c>
      <c r="P738" t="n">
        <v>0</v>
      </c>
      <c r="Q738" t="n">
        <v>0</v>
      </c>
      <c r="R738" s="2" t="inlineStr"/>
      <c r="U738">
        <f>HYPERLINK("https://klasma.github.io/Logging_0883/knärot/A 7255-2023 karta knärot.png", "A 7255-2023")</f>
        <v/>
      </c>
      <c r="V738">
        <f>HYPERLINK("https://klasma.github.io/Logging_0883/klagomål/A 7255-2023 FSC-klagomål.docx", "A 7255-2023")</f>
        <v/>
      </c>
      <c r="W738">
        <f>HYPERLINK("https://klasma.github.io/Logging_0883/klagomålsmail/A 7255-2023 FSC-klagomål mail.docx", "A 7255-2023")</f>
        <v/>
      </c>
      <c r="X738">
        <f>HYPERLINK("https://klasma.github.io/Logging_0883/tillsyn/A 7255-2023 tillsynsbegäran.docx", "A 7255-2023")</f>
        <v/>
      </c>
      <c r="Y738">
        <f>HYPERLINK("https://klasma.github.io/Logging_0883/tillsynsmail/A 7255-2023 tillsynsbegäran mail.docx", "A 7255-2023")</f>
        <v/>
      </c>
    </row>
    <row r="739" ht="15" customHeight="1">
      <c r="A739" t="inlineStr">
        <is>
          <t>A 36050-2024</t>
        </is>
      </c>
      <c r="B739" s="1" t="n">
        <v>45533.620625</v>
      </c>
      <c r="C739" s="1" t="n">
        <v>45971</v>
      </c>
      <c r="D739" t="inlineStr">
        <is>
          <t>KALMAR LÄN</t>
        </is>
      </c>
      <c r="E739" t="inlineStr">
        <is>
          <t>VÄSTERVIK</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18880-2025</t>
        </is>
      </c>
      <c r="B740" s="1" t="n">
        <v>45764.43959490741</v>
      </c>
      <c r="C740" s="1" t="n">
        <v>45971</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45463-2024</t>
        </is>
      </c>
      <c r="B741" s="1" t="n">
        <v>45576.69753472223</v>
      </c>
      <c r="C741" s="1" t="n">
        <v>45971</v>
      </c>
      <c r="D741" t="inlineStr">
        <is>
          <t>KALMAR LÄN</t>
        </is>
      </c>
      <c r="E741" t="inlineStr">
        <is>
          <t>VÄSTERVIK</t>
        </is>
      </c>
      <c r="G741" t="n">
        <v>0.8</v>
      </c>
      <c r="H741" t="n">
        <v>0</v>
      </c>
      <c r="I741" t="n">
        <v>0</v>
      </c>
      <c r="J741" t="n">
        <v>0</v>
      </c>
      <c r="K741" t="n">
        <v>0</v>
      </c>
      <c r="L741" t="n">
        <v>0</v>
      </c>
      <c r="M741" t="n">
        <v>0</v>
      </c>
      <c r="N741" t="n">
        <v>0</v>
      </c>
      <c r="O741" t="n">
        <v>0</v>
      </c>
      <c r="P741" t="n">
        <v>0</v>
      </c>
      <c r="Q741" t="n">
        <v>0</v>
      </c>
      <c r="R741" s="2" t="inlineStr"/>
    </row>
    <row r="742" ht="15" customHeight="1">
      <c r="A742" t="inlineStr">
        <is>
          <t>A 9025-2022</t>
        </is>
      </c>
      <c r="B742" s="1" t="n">
        <v>44615</v>
      </c>
      <c r="C742" s="1" t="n">
        <v>45971</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5691-2025</t>
        </is>
      </c>
      <c r="B743" s="1" t="n">
        <v>45694.37447916667</v>
      </c>
      <c r="C743" s="1" t="n">
        <v>45971</v>
      </c>
      <c r="D743" t="inlineStr">
        <is>
          <t>KALMAR LÄN</t>
        </is>
      </c>
      <c r="E743" t="inlineStr">
        <is>
          <t>VÄSTERVIK</t>
        </is>
      </c>
      <c r="G743" t="n">
        <v>0.8</v>
      </c>
      <c r="H743" t="n">
        <v>0</v>
      </c>
      <c r="I743" t="n">
        <v>0</v>
      </c>
      <c r="J743" t="n">
        <v>0</v>
      </c>
      <c r="K743" t="n">
        <v>0</v>
      </c>
      <c r="L743" t="n">
        <v>0</v>
      </c>
      <c r="M743" t="n">
        <v>0</v>
      </c>
      <c r="N743" t="n">
        <v>0</v>
      </c>
      <c r="O743" t="n">
        <v>0</v>
      </c>
      <c r="P743" t="n">
        <v>0</v>
      </c>
      <c r="Q743" t="n">
        <v>0</v>
      </c>
      <c r="R743" s="2" t="inlineStr"/>
    </row>
    <row r="744" ht="15" customHeight="1">
      <c r="A744" t="inlineStr">
        <is>
          <t>A 47120-2023</t>
        </is>
      </c>
      <c r="B744" s="1" t="n">
        <v>45201</v>
      </c>
      <c r="C744" s="1" t="n">
        <v>45971</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47123-2023</t>
        </is>
      </c>
      <c r="B745" s="1" t="n">
        <v>45201.68075231482</v>
      </c>
      <c r="C745" s="1" t="n">
        <v>45971</v>
      </c>
      <c r="D745" t="inlineStr">
        <is>
          <t>KALMAR LÄN</t>
        </is>
      </c>
      <c r="E745" t="inlineStr">
        <is>
          <t>VÄSTERVIK</t>
        </is>
      </c>
      <c r="G745" t="n">
        <v>0.5</v>
      </c>
      <c r="H745" t="n">
        <v>0</v>
      </c>
      <c r="I745" t="n">
        <v>0</v>
      </c>
      <c r="J745" t="n">
        <v>0</v>
      </c>
      <c r="K745" t="n">
        <v>0</v>
      </c>
      <c r="L745" t="n">
        <v>0</v>
      </c>
      <c r="M745" t="n">
        <v>0</v>
      </c>
      <c r="N745" t="n">
        <v>0</v>
      </c>
      <c r="O745" t="n">
        <v>0</v>
      </c>
      <c r="P745" t="n">
        <v>0</v>
      </c>
      <c r="Q745" t="n">
        <v>0</v>
      </c>
      <c r="R745" s="2" t="inlineStr"/>
    </row>
    <row r="746" ht="15" customHeight="1">
      <c r="A746" t="inlineStr">
        <is>
          <t>A 46718-2023</t>
        </is>
      </c>
      <c r="B746" s="1" t="n">
        <v>45198</v>
      </c>
      <c r="C746" s="1" t="n">
        <v>45971</v>
      </c>
      <c r="D746" t="inlineStr">
        <is>
          <t>KALMAR LÄN</t>
        </is>
      </c>
      <c r="E746" t="inlineStr">
        <is>
          <t>VÄSTERVIK</t>
        </is>
      </c>
      <c r="G746" t="n">
        <v>0.4</v>
      </c>
      <c r="H746" t="n">
        <v>0</v>
      </c>
      <c r="I746" t="n">
        <v>0</v>
      </c>
      <c r="J746" t="n">
        <v>0</v>
      </c>
      <c r="K746" t="n">
        <v>0</v>
      </c>
      <c r="L746" t="n">
        <v>0</v>
      </c>
      <c r="M746" t="n">
        <v>0</v>
      </c>
      <c r="N746" t="n">
        <v>0</v>
      </c>
      <c r="O746" t="n">
        <v>0</v>
      </c>
      <c r="P746" t="n">
        <v>0</v>
      </c>
      <c r="Q746" t="n">
        <v>0</v>
      </c>
      <c r="R746" s="2" t="inlineStr"/>
    </row>
    <row r="747" ht="15" customHeight="1">
      <c r="A747" t="inlineStr">
        <is>
          <t>A 17652-2023</t>
        </is>
      </c>
      <c r="B747" s="1" t="n">
        <v>45036.70626157407</v>
      </c>
      <c r="C747" s="1" t="n">
        <v>45971</v>
      </c>
      <c r="D747" t="inlineStr">
        <is>
          <t>KALMAR LÄN</t>
        </is>
      </c>
      <c r="E747" t="inlineStr">
        <is>
          <t>VÄSTERVIK</t>
        </is>
      </c>
      <c r="G747" t="n">
        <v>0.2</v>
      </c>
      <c r="H747" t="n">
        <v>0</v>
      </c>
      <c r="I747" t="n">
        <v>0</v>
      </c>
      <c r="J747" t="n">
        <v>0</v>
      </c>
      <c r="K747" t="n">
        <v>0</v>
      </c>
      <c r="L747" t="n">
        <v>0</v>
      </c>
      <c r="M747" t="n">
        <v>0</v>
      </c>
      <c r="N747" t="n">
        <v>0</v>
      </c>
      <c r="O747" t="n">
        <v>0</v>
      </c>
      <c r="P747" t="n">
        <v>0</v>
      </c>
      <c r="Q747" t="n">
        <v>0</v>
      </c>
      <c r="R747" s="2" t="inlineStr"/>
    </row>
    <row r="748" ht="15" customHeight="1">
      <c r="A748" t="inlineStr">
        <is>
          <t>A 60263-2022</t>
        </is>
      </c>
      <c r="B748" s="1" t="n">
        <v>44910.48520833333</v>
      </c>
      <c r="C748" s="1" t="n">
        <v>45971</v>
      </c>
      <c r="D748" t="inlineStr">
        <is>
          <t>KALMAR LÄN</t>
        </is>
      </c>
      <c r="E748" t="inlineStr">
        <is>
          <t>VÄSTERVIK</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49706-2024</t>
        </is>
      </c>
      <c r="B749" s="1" t="n">
        <v>45596.69706018519</v>
      </c>
      <c r="C749" s="1" t="n">
        <v>45971</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1798-2023</t>
        </is>
      </c>
      <c r="B750" s="1" t="n">
        <v>44938</v>
      </c>
      <c r="C750" s="1" t="n">
        <v>45971</v>
      </c>
      <c r="D750" t="inlineStr">
        <is>
          <t>KALMAR LÄN</t>
        </is>
      </c>
      <c r="E750" t="inlineStr">
        <is>
          <t>VÄSTERVIK</t>
        </is>
      </c>
      <c r="G750" t="n">
        <v>3.9</v>
      </c>
      <c r="H750" t="n">
        <v>0</v>
      </c>
      <c r="I750" t="n">
        <v>0</v>
      </c>
      <c r="J750" t="n">
        <v>0</v>
      </c>
      <c r="K750" t="n">
        <v>0</v>
      </c>
      <c r="L750" t="n">
        <v>0</v>
      </c>
      <c r="M750" t="n">
        <v>0</v>
      </c>
      <c r="N750" t="n">
        <v>0</v>
      </c>
      <c r="O750" t="n">
        <v>0</v>
      </c>
      <c r="P750" t="n">
        <v>0</v>
      </c>
      <c r="Q750" t="n">
        <v>0</v>
      </c>
      <c r="R750" s="2" t="inlineStr"/>
    </row>
    <row r="751" ht="15" customHeight="1">
      <c r="A751" t="inlineStr">
        <is>
          <t>A 26776-2023</t>
        </is>
      </c>
      <c r="B751" s="1" t="n">
        <v>45093</v>
      </c>
      <c r="C751" s="1" t="n">
        <v>45971</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15106-2023</t>
        </is>
      </c>
      <c r="B752" s="1" t="n">
        <v>45016.41767361111</v>
      </c>
      <c r="C752" s="1" t="n">
        <v>45971</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28588-2022</t>
        </is>
      </c>
      <c r="B753" s="1" t="n">
        <v>44748</v>
      </c>
      <c r="C753" s="1" t="n">
        <v>45971</v>
      </c>
      <c r="D753" t="inlineStr">
        <is>
          <t>KALMAR LÄN</t>
        </is>
      </c>
      <c r="E753" t="inlineStr">
        <is>
          <t>VÄSTERVIK</t>
        </is>
      </c>
      <c r="F753" t="inlineStr">
        <is>
          <t>Övriga Aktiebolag</t>
        </is>
      </c>
      <c r="G753" t="n">
        <v>1.7</v>
      </c>
      <c r="H753" t="n">
        <v>0</v>
      </c>
      <c r="I753" t="n">
        <v>0</v>
      </c>
      <c r="J753" t="n">
        <v>0</v>
      </c>
      <c r="K753" t="n">
        <v>0</v>
      </c>
      <c r="L753" t="n">
        <v>0</v>
      </c>
      <c r="M753" t="n">
        <v>0</v>
      </c>
      <c r="N753" t="n">
        <v>0</v>
      </c>
      <c r="O753" t="n">
        <v>0</v>
      </c>
      <c r="P753" t="n">
        <v>0</v>
      </c>
      <c r="Q753" t="n">
        <v>0</v>
      </c>
      <c r="R753" s="2" t="inlineStr"/>
    </row>
    <row r="754" ht="15" customHeight="1">
      <c r="A754" t="inlineStr">
        <is>
          <t>A 5060-2025</t>
        </is>
      </c>
      <c r="B754" s="1" t="n">
        <v>45691.47354166667</v>
      </c>
      <c r="C754" s="1" t="n">
        <v>45971</v>
      </c>
      <c r="D754" t="inlineStr">
        <is>
          <t>KALMAR LÄN</t>
        </is>
      </c>
      <c r="E754" t="inlineStr">
        <is>
          <t>VÄSTERVIK</t>
        </is>
      </c>
      <c r="F754" t="inlineStr">
        <is>
          <t>Holmen skog AB</t>
        </is>
      </c>
      <c r="G754" t="n">
        <v>2.9</v>
      </c>
      <c r="H754" t="n">
        <v>0</v>
      </c>
      <c r="I754" t="n">
        <v>0</v>
      </c>
      <c r="J754" t="n">
        <v>0</v>
      </c>
      <c r="K754" t="n">
        <v>0</v>
      </c>
      <c r="L754" t="n">
        <v>0</v>
      </c>
      <c r="M754" t="n">
        <v>0</v>
      </c>
      <c r="N754" t="n">
        <v>0</v>
      </c>
      <c r="O754" t="n">
        <v>0</v>
      </c>
      <c r="P754" t="n">
        <v>0</v>
      </c>
      <c r="Q754" t="n">
        <v>0</v>
      </c>
      <c r="R754" s="2" t="inlineStr"/>
    </row>
    <row r="755" ht="15" customHeight="1">
      <c r="A755" t="inlineStr">
        <is>
          <t>A 57019-2023</t>
        </is>
      </c>
      <c r="B755" s="1" t="n">
        <v>45244</v>
      </c>
      <c r="C755" s="1" t="n">
        <v>45971</v>
      </c>
      <c r="D755" t="inlineStr">
        <is>
          <t>KALMAR LÄN</t>
        </is>
      </c>
      <c r="E755" t="inlineStr">
        <is>
          <t>VÄSTERVIK</t>
        </is>
      </c>
      <c r="G755" t="n">
        <v>2.2</v>
      </c>
      <c r="H755" t="n">
        <v>0</v>
      </c>
      <c r="I755" t="n">
        <v>0</v>
      </c>
      <c r="J755" t="n">
        <v>0</v>
      </c>
      <c r="K755" t="n">
        <v>0</v>
      </c>
      <c r="L755" t="n">
        <v>0</v>
      </c>
      <c r="M755" t="n">
        <v>0</v>
      </c>
      <c r="N755" t="n">
        <v>0</v>
      </c>
      <c r="O755" t="n">
        <v>0</v>
      </c>
      <c r="P755" t="n">
        <v>0</v>
      </c>
      <c r="Q755" t="n">
        <v>0</v>
      </c>
      <c r="R755" s="2" t="inlineStr"/>
    </row>
    <row r="756" ht="15" customHeight="1">
      <c r="A756" t="inlineStr">
        <is>
          <t>A 15553-2024</t>
        </is>
      </c>
      <c r="B756" s="1" t="n">
        <v>45401.63736111111</v>
      </c>
      <c r="C756" s="1" t="n">
        <v>45971</v>
      </c>
      <c r="D756" t="inlineStr">
        <is>
          <t>KALMAR LÄN</t>
        </is>
      </c>
      <c r="E756" t="inlineStr">
        <is>
          <t>VÄSTERVIK</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37858-2023</t>
        </is>
      </c>
      <c r="B757" s="1" t="n">
        <v>45160.40577546296</v>
      </c>
      <c r="C757" s="1" t="n">
        <v>45971</v>
      </c>
      <c r="D757" t="inlineStr">
        <is>
          <t>KALMAR LÄN</t>
        </is>
      </c>
      <c r="E757" t="inlineStr">
        <is>
          <t>VÄSTERVIK</t>
        </is>
      </c>
      <c r="G757" t="n">
        <v>3</v>
      </c>
      <c r="H757" t="n">
        <v>0</v>
      </c>
      <c r="I757" t="n">
        <v>0</v>
      </c>
      <c r="J757" t="n">
        <v>0</v>
      </c>
      <c r="K757" t="n">
        <v>0</v>
      </c>
      <c r="L757" t="n">
        <v>0</v>
      </c>
      <c r="M757" t="n">
        <v>0</v>
      </c>
      <c r="N757" t="n">
        <v>0</v>
      </c>
      <c r="O757" t="n">
        <v>0</v>
      </c>
      <c r="P757" t="n">
        <v>0</v>
      </c>
      <c r="Q757" t="n">
        <v>0</v>
      </c>
      <c r="R757" s="2" t="inlineStr"/>
    </row>
    <row r="758" ht="15" customHeight="1">
      <c r="A758" t="inlineStr">
        <is>
          <t>A 13957-2025</t>
        </is>
      </c>
      <c r="B758" s="1" t="n">
        <v>45737.85231481482</v>
      </c>
      <c r="C758" s="1" t="n">
        <v>45971</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14092-2025</t>
        </is>
      </c>
      <c r="B759" s="1" t="n">
        <v>45740.44686342592</v>
      </c>
      <c r="C759" s="1" t="n">
        <v>45971</v>
      </c>
      <c r="D759" t="inlineStr">
        <is>
          <t>KALMAR LÄN</t>
        </is>
      </c>
      <c r="E759" t="inlineStr">
        <is>
          <t>VÄSTERVIK</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23580-2023</t>
        </is>
      </c>
      <c r="B760" s="1" t="n">
        <v>45077</v>
      </c>
      <c r="C760" s="1" t="n">
        <v>45971</v>
      </c>
      <c r="D760" t="inlineStr">
        <is>
          <t>KALMAR LÄN</t>
        </is>
      </c>
      <c r="E760" t="inlineStr">
        <is>
          <t>VÄSTERVIK</t>
        </is>
      </c>
      <c r="G760" t="n">
        <v>1.9</v>
      </c>
      <c r="H760" t="n">
        <v>0</v>
      </c>
      <c r="I760" t="n">
        <v>0</v>
      </c>
      <c r="J760" t="n">
        <v>0</v>
      </c>
      <c r="K760" t="n">
        <v>0</v>
      </c>
      <c r="L760" t="n">
        <v>0</v>
      </c>
      <c r="M760" t="n">
        <v>0</v>
      </c>
      <c r="N760" t="n">
        <v>0</v>
      </c>
      <c r="O760" t="n">
        <v>0</v>
      </c>
      <c r="P760" t="n">
        <v>0</v>
      </c>
      <c r="Q760" t="n">
        <v>0</v>
      </c>
      <c r="R760" s="2" t="inlineStr"/>
    </row>
    <row r="761" ht="15" customHeight="1">
      <c r="A761" t="inlineStr">
        <is>
          <t>A 11584-2023</t>
        </is>
      </c>
      <c r="B761" s="1" t="n">
        <v>44994.35707175926</v>
      </c>
      <c r="C761" s="1" t="n">
        <v>45971</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40168-2025</t>
        </is>
      </c>
      <c r="B762" s="1" t="n">
        <v>45894.62775462963</v>
      </c>
      <c r="C762" s="1" t="n">
        <v>45971</v>
      </c>
      <c r="D762" t="inlineStr">
        <is>
          <t>KALMAR LÄN</t>
        </is>
      </c>
      <c r="E762" t="inlineStr">
        <is>
          <t>VÄSTERVIK</t>
        </is>
      </c>
      <c r="G762" t="n">
        <v>0.3</v>
      </c>
      <c r="H762" t="n">
        <v>0</v>
      </c>
      <c r="I762" t="n">
        <v>0</v>
      </c>
      <c r="J762" t="n">
        <v>0</v>
      </c>
      <c r="K762" t="n">
        <v>0</v>
      </c>
      <c r="L762" t="n">
        <v>0</v>
      </c>
      <c r="M762" t="n">
        <v>0</v>
      </c>
      <c r="N762" t="n">
        <v>0</v>
      </c>
      <c r="O762" t="n">
        <v>0</v>
      </c>
      <c r="P762" t="n">
        <v>0</v>
      </c>
      <c r="Q762" t="n">
        <v>0</v>
      </c>
      <c r="R762" s="2" t="inlineStr"/>
    </row>
    <row r="763" ht="15" customHeight="1">
      <c r="A763" t="inlineStr">
        <is>
          <t>A 73640-2021</t>
        </is>
      </c>
      <c r="B763" s="1" t="n">
        <v>44552.43644675926</v>
      </c>
      <c r="C763" s="1" t="n">
        <v>45971</v>
      </c>
      <c r="D763" t="inlineStr">
        <is>
          <t>KALMAR LÄN</t>
        </is>
      </c>
      <c r="E763" t="inlineStr">
        <is>
          <t>VÄSTERVIK</t>
        </is>
      </c>
      <c r="G763" t="n">
        <v>1.9</v>
      </c>
      <c r="H763" t="n">
        <v>0</v>
      </c>
      <c r="I763" t="n">
        <v>0</v>
      </c>
      <c r="J763" t="n">
        <v>0</v>
      </c>
      <c r="K763" t="n">
        <v>0</v>
      </c>
      <c r="L763" t="n">
        <v>0</v>
      </c>
      <c r="M763" t="n">
        <v>0</v>
      </c>
      <c r="N763" t="n">
        <v>0</v>
      </c>
      <c r="O763" t="n">
        <v>0</v>
      </c>
      <c r="P763" t="n">
        <v>0</v>
      </c>
      <c r="Q763" t="n">
        <v>0</v>
      </c>
      <c r="R763" s="2" t="inlineStr"/>
    </row>
    <row r="764" ht="15" customHeight="1">
      <c r="A764" t="inlineStr">
        <is>
          <t>A 14072-2025</t>
        </is>
      </c>
      <c r="B764" s="1" t="n">
        <v>45740.42978009259</v>
      </c>
      <c r="C764" s="1" t="n">
        <v>45971</v>
      </c>
      <c r="D764" t="inlineStr">
        <is>
          <t>KALMAR LÄN</t>
        </is>
      </c>
      <c r="E764" t="inlineStr">
        <is>
          <t>VÄSTERVIK</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14075-2025</t>
        </is>
      </c>
      <c r="B765" s="1" t="n">
        <v>45740.43222222223</v>
      </c>
      <c r="C765" s="1" t="n">
        <v>45971</v>
      </c>
      <c r="D765" t="inlineStr">
        <is>
          <t>KALMAR LÄN</t>
        </is>
      </c>
      <c r="E765" t="inlineStr">
        <is>
          <t>VÄSTERVIK</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949-2024</t>
        </is>
      </c>
      <c r="B766" s="1" t="n">
        <v>45301</v>
      </c>
      <c r="C766" s="1" t="n">
        <v>45971</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40050-2022</t>
        </is>
      </c>
      <c r="B767" s="1" t="n">
        <v>44820.44106481481</v>
      </c>
      <c r="C767" s="1" t="n">
        <v>45971</v>
      </c>
      <c r="D767" t="inlineStr">
        <is>
          <t>KALMAR LÄN</t>
        </is>
      </c>
      <c r="E767" t="inlineStr">
        <is>
          <t>VÄSTERVIK</t>
        </is>
      </c>
      <c r="G767" t="n">
        <v>1.8</v>
      </c>
      <c r="H767" t="n">
        <v>0</v>
      </c>
      <c r="I767" t="n">
        <v>0</v>
      </c>
      <c r="J767" t="n">
        <v>0</v>
      </c>
      <c r="K767" t="n">
        <v>0</v>
      </c>
      <c r="L767" t="n">
        <v>0</v>
      </c>
      <c r="M767" t="n">
        <v>0</v>
      </c>
      <c r="N767" t="n">
        <v>0</v>
      </c>
      <c r="O767" t="n">
        <v>0</v>
      </c>
      <c r="P767" t="n">
        <v>0</v>
      </c>
      <c r="Q767" t="n">
        <v>0</v>
      </c>
      <c r="R767" s="2" t="inlineStr"/>
    </row>
    <row r="768" ht="15" customHeight="1">
      <c r="A768" t="inlineStr">
        <is>
          <t>A 7100-2023</t>
        </is>
      </c>
      <c r="B768" s="1" t="n">
        <v>44970.37244212963</v>
      </c>
      <c r="C768" s="1" t="n">
        <v>45971</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row>
    <row r="769" ht="15" customHeight="1">
      <c r="A769" t="inlineStr">
        <is>
          <t>A 49004-2025</t>
        </is>
      </c>
      <c r="B769" s="1" t="n">
        <v>45937.59958333334</v>
      </c>
      <c r="C769" s="1" t="n">
        <v>45971</v>
      </c>
      <c r="D769" t="inlineStr">
        <is>
          <t>KALMAR LÄN</t>
        </is>
      </c>
      <c r="E769" t="inlineStr">
        <is>
          <t>VÄSTERVIK</t>
        </is>
      </c>
      <c r="F769" t="inlineStr">
        <is>
          <t>Holmen skog AB</t>
        </is>
      </c>
      <c r="G769" t="n">
        <v>4.8</v>
      </c>
      <c r="H769" t="n">
        <v>0</v>
      </c>
      <c r="I769" t="n">
        <v>0</v>
      </c>
      <c r="J769" t="n">
        <v>0</v>
      </c>
      <c r="K769" t="n">
        <v>0</v>
      </c>
      <c r="L769" t="n">
        <v>0</v>
      </c>
      <c r="M769" t="n">
        <v>0</v>
      </c>
      <c r="N769" t="n">
        <v>0</v>
      </c>
      <c r="O769" t="n">
        <v>0</v>
      </c>
      <c r="P769" t="n">
        <v>0</v>
      </c>
      <c r="Q769" t="n">
        <v>0</v>
      </c>
      <c r="R769" s="2" t="inlineStr"/>
    </row>
    <row r="770" ht="15" customHeight="1">
      <c r="A770" t="inlineStr">
        <is>
          <t>A 48887-2025</t>
        </is>
      </c>
      <c r="B770" s="1" t="n">
        <v>45937.46826388889</v>
      </c>
      <c r="C770" s="1" t="n">
        <v>45971</v>
      </c>
      <c r="D770" t="inlineStr">
        <is>
          <t>KALMAR LÄN</t>
        </is>
      </c>
      <c r="E770" t="inlineStr">
        <is>
          <t>VÄSTERVIK</t>
        </is>
      </c>
      <c r="F770" t="inlineStr">
        <is>
          <t>Sveaskog</t>
        </is>
      </c>
      <c r="G770" t="n">
        <v>3.7</v>
      </c>
      <c r="H770" t="n">
        <v>0</v>
      </c>
      <c r="I770" t="n">
        <v>0</v>
      </c>
      <c r="J770" t="n">
        <v>0</v>
      </c>
      <c r="K770" t="n">
        <v>0</v>
      </c>
      <c r="L770" t="n">
        <v>0</v>
      </c>
      <c r="M770" t="n">
        <v>0</v>
      </c>
      <c r="N770" t="n">
        <v>0</v>
      </c>
      <c r="O770" t="n">
        <v>0</v>
      </c>
      <c r="P770" t="n">
        <v>0</v>
      </c>
      <c r="Q770" t="n">
        <v>0</v>
      </c>
      <c r="R770" s="2" t="inlineStr"/>
    </row>
    <row r="771" ht="15" customHeight="1">
      <c r="A771" t="inlineStr">
        <is>
          <t>A 39980-2024</t>
        </is>
      </c>
      <c r="B771" s="1" t="n">
        <v>45553.61098379629</v>
      </c>
      <c r="C771" s="1" t="n">
        <v>45971</v>
      </c>
      <c r="D771" t="inlineStr">
        <is>
          <t>KALMAR LÄN</t>
        </is>
      </c>
      <c r="E771" t="inlineStr">
        <is>
          <t>VÄSTERVIK</t>
        </is>
      </c>
      <c r="G771" t="n">
        <v>2.3</v>
      </c>
      <c r="H771" t="n">
        <v>0</v>
      </c>
      <c r="I771" t="n">
        <v>0</v>
      </c>
      <c r="J771" t="n">
        <v>0</v>
      </c>
      <c r="K771" t="n">
        <v>0</v>
      </c>
      <c r="L771" t="n">
        <v>0</v>
      </c>
      <c r="M771" t="n">
        <v>0</v>
      </c>
      <c r="N771" t="n">
        <v>0</v>
      </c>
      <c r="O771" t="n">
        <v>0</v>
      </c>
      <c r="P771" t="n">
        <v>0</v>
      </c>
      <c r="Q771" t="n">
        <v>0</v>
      </c>
      <c r="R771" s="2" t="inlineStr"/>
    </row>
    <row r="772" ht="15" customHeight="1">
      <c r="A772" t="inlineStr">
        <is>
          <t>A 39982-2024</t>
        </is>
      </c>
      <c r="B772" s="1" t="n">
        <v>45553.61355324074</v>
      </c>
      <c r="C772" s="1" t="n">
        <v>45971</v>
      </c>
      <c r="D772" t="inlineStr">
        <is>
          <t>KALMAR LÄN</t>
        </is>
      </c>
      <c r="E772" t="inlineStr">
        <is>
          <t>VÄSTERVIK</t>
        </is>
      </c>
      <c r="G772" t="n">
        <v>2.1</v>
      </c>
      <c r="H772" t="n">
        <v>0</v>
      </c>
      <c r="I772" t="n">
        <v>0</v>
      </c>
      <c r="J772" t="n">
        <v>0</v>
      </c>
      <c r="K772" t="n">
        <v>0</v>
      </c>
      <c r="L772" t="n">
        <v>0</v>
      </c>
      <c r="M772" t="n">
        <v>0</v>
      </c>
      <c r="N772" t="n">
        <v>0</v>
      </c>
      <c r="O772" t="n">
        <v>0</v>
      </c>
      <c r="P772" t="n">
        <v>0</v>
      </c>
      <c r="Q772" t="n">
        <v>0</v>
      </c>
      <c r="R772" s="2" t="inlineStr"/>
    </row>
    <row r="773" ht="15" customHeight="1">
      <c r="A773" t="inlineStr">
        <is>
          <t>A 24881-2023</t>
        </is>
      </c>
      <c r="B773" s="1" t="n">
        <v>45085</v>
      </c>
      <c r="C773" s="1" t="n">
        <v>45971</v>
      </c>
      <c r="D773" t="inlineStr">
        <is>
          <t>KALMAR LÄN</t>
        </is>
      </c>
      <c r="E773" t="inlineStr">
        <is>
          <t>VÄSTERVIK</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48873-2025</t>
        </is>
      </c>
      <c r="B774" s="1" t="n">
        <v>45937.45417824074</v>
      </c>
      <c r="C774" s="1" t="n">
        <v>45971</v>
      </c>
      <c r="D774" t="inlineStr">
        <is>
          <t>KALMAR LÄN</t>
        </is>
      </c>
      <c r="E774" t="inlineStr">
        <is>
          <t>VÄSTERVIK</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1568-2024</t>
        </is>
      </c>
      <c r="B775" s="1" t="n">
        <v>45306.53221064815</v>
      </c>
      <c r="C775" s="1" t="n">
        <v>45971</v>
      </c>
      <c r="D775" t="inlineStr">
        <is>
          <t>KALMAR LÄN</t>
        </is>
      </c>
      <c r="E775" t="inlineStr">
        <is>
          <t>VÄSTERVIK</t>
        </is>
      </c>
      <c r="G775" t="n">
        <v>3.4</v>
      </c>
      <c r="H775" t="n">
        <v>0</v>
      </c>
      <c r="I775" t="n">
        <v>0</v>
      </c>
      <c r="J775" t="n">
        <v>0</v>
      </c>
      <c r="K775" t="n">
        <v>0</v>
      </c>
      <c r="L775" t="n">
        <v>0</v>
      </c>
      <c r="M775" t="n">
        <v>0</v>
      </c>
      <c r="N775" t="n">
        <v>0</v>
      </c>
      <c r="O775" t="n">
        <v>0</v>
      </c>
      <c r="P775" t="n">
        <v>0</v>
      </c>
      <c r="Q775" t="n">
        <v>0</v>
      </c>
      <c r="R775" s="2" t="inlineStr"/>
    </row>
    <row r="776" ht="15" customHeight="1">
      <c r="A776" t="inlineStr">
        <is>
          <t>A 1572-2024</t>
        </is>
      </c>
      <c r="B776" s="1" t="n">
        <v>45306</v>
      </c>
      <c r="C776" s="1" t="n">
        <v>45971</v>
      </c>
      <c r="D776" t="inlineStr">
        <is>
          <t>KALMAR LÄN</t>
        </is>
      </c>
      <c r="E776" t="inlineStr">
        <is>
          <t>VÄSTERVIK</t>
        </is>
      </c>
      <c r="G776" t="n">
        <v>4.4</v>
      </c>
      <c r="H776" t="n">
        <v>0</v>
      </c>
      <c r="I776" t="n">
        <v>0</v>
      </c>
      <c r="J776" t="n">
        <v>0</v>
      </c>
      <c r="K776" t="n">
        <v>0</v>
      </c>
      <c r="L776" t="n">
        <v>0</v>
      </c>
      <c r="M776" t="n">
        <v>0</v>
      </c>
      <c r="N776" t="n">
        <v>0</v>
      </c>
      <c r="O776" t="n">
        <v>0</v>
      </c>
      <c r="P776" t="n">
        <v>0</v>
      </c>
      <c r="Q776" t="n">
        <v>0</v>
      </c>
      <c r="R776" s="2" t="inlineStr"/>
    </row>
    <row r="777" ht="15" customHeight="1">
      <c r="A777" t="inlineStr">
        <is>
          <t>A 6616-2021</t>
        </is>
      </c>
      <c r="B777" s="1" t="n">
        <v>44236</v>
      </c>
      <c r="C777" s="1" t="n">
        <v>45971</v>
      </c>
      <c r="D777" t="inlineStr">
        <is>
          <t>KALMAR LÄN</t>
        </is>
      </c>
      <c r="E777" t="inlineStr">
        <is>
          <t>VÄSTERVIK</t>
        </is>
      </c>
      <c r="G777" t="n">
        <v>0.5</v>
      </c>
      <c r="H777" t="n">
        <v>0</v>
      </c>
      <c r="I777" t="n">
        <v>0</v>
      </c>
      <c r="J777" t="n">
        <v>0</v>
      </c>
      <c r="K777" t="n">
        <v>0</v>
      </c>
      <c r="L777" t="n">
        <v>0</v>
      </c>
      <c r="M777" t="n">
        <v>0</v>
      </c>
      <c r="N777" t="n">
        <v>0</v>
      </c>
      <c r="O777" t="n">
        <v>0</v>
      </c>
      <c r="P777" t="n">
        <v>0</v>
      </c>
      <c r="Q777" t="n">
        <v>0</v>
      </c>
      <c r="R777" s="2" t="inlineStr"/>
    </row>
    <row r="778" ht="15" customHeight="1">
      <c r="A778" t="inlineStr">
        <is>
          <t>A 29786-2024</t>
        </is>
      </c>
      <c r="B778" s="1" t="n">
        <v>45485.46388888889</v>
      </c>
      <c r="C778" s="1" t="n">
        <v>45971</v>
      </c>
      <c r="D778" t="inlineStr">
        <is>
          <t>KALMAR LÄN</t>
        </is>
      </c>
      <c r="E778" t="inlineStr">
        <is>
          <t>VÄSTERVIK</t>
        </is>
      </c>
      <c r="G778" t="n">
        <v>2.1</v>
      </c>
      <c r="H778" t="n">
        <v>0</v>
      </c>
      <c r="I778" t="n">
        <v>0</v>
      </c>
      <c r="J778" t="n">
        <v>0</v>
      </c>
      <c r="K778" t="n">
        <v>0</v>
      </c>
      <c r="L778" t="n">
        <v>0</v>
      </c>
      <c r="M778" t="n">
        <v>0</v>
      </c>
      <c r="N778" t="n">
        <v>0</v>
      </c>
      <c r="O778" t="n">
        <v>0</v>
      </c>
      <c r="P778" t="n">
        <v>0</v>
      </c>
      <c r="Q778" t="n">
        <v>0</v>
      </c>
      <c r="R778" s="2" t="inlineStr"/>
    </row>
    <row r="779" ht="15" customHeight="1">
      <c r="A779" t="inlineStr">
        <is>
          <t>A 7934-2023</t>
        </is>
      </c>
      <c r="B779" s="1" t="n">
        <v>44973.65422453704</v>
      </c>
      <c r="C779" s="1" t="n">
        <v>45971</v>
      </c>
      <c r="D779" t="inlineStr">
        <is>
          <t>KALMAR LÄN</t>
        </is>
      </c>
      <c r="E779" t="inlineStr">
        <is>
          <t>VÄSTERVIK</t>
        </is>
      </c>
      <c r="G779" t="n">
        <v>4.1</v>
      </c>
      <c r="H779" t="n">
        <v>0</v>
      </c>
      <c r="I779" t="n">
        <v>0</v>
      </c>
      <c r="J779" t="n">
        <v>0</v>
      </c>
      <c r="K779" t="n">
        <v>0</v>
      </c>
      <c r="L779" t="n">
        <v>0</v>
      </c>
      <c r="M779" t="n">
        <v>0</v>
      </c>
      <c r="N779" t="n">
        <v>0</v>
      </c>
      <c r="O779" t="n">
        <v>0</v>
      </c>
      <c r="P779" t="n">
        <v>0</v>
      </c>
      <c r="Q779" t="n">
        <v>0</v>
      </c>
      <c r="R779" s="2" t="inlineStr"/>
    </row>
    <row r="780" ht="15" customHeight="1">
      <c r="A780" t="inlineStr">
        <is>
          <t>A 49411-2025</t>
        </is>
      </c>
      <c r="B780" s="1" t="n">
        <v>45938.68115740741</v>
      </c>
      <c r="C780" s="1" t="n">
        <v>45971</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32647-2023</t>
        </is>
      </c>
      <c r="B781" s="1" t="n">
        <v>45121</v>
      </c>
      <c r="C781" s="1" t="n">
        <v>45971</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1785-2025</t>
        </is>
      </c>
      <c r="B782" s="1" t="n">
        <v>45671.45061342593</v>
      </c>
      <c r="C782" s="1" t="n">
        <v>45971</v>
      </c>
      <c r="D782" t="inlineStr">
        <is>
          <t>KALMAR LÄN</t>
        </is>
      </c>
      <c r="E782" t="inlineStr">
        <is>
          <t>VÄSTERVIK</t>
        </is>
      </c>
      <c r="F782" t="inlineStr">
        <is>
          <t>Sveaskog</t>
        </is>
      </c>
      <c r="G782" t="n">
        <v>2.8</v>
      </c>
      <c r="H782" t="n">
        <v>0</v>
      </c>
      <c r="I782" t="n">
        <v>0</v>
      </c>
      <c r="J782" t="n">
        <v>0</v>
      </c>
      <c r="K782" t="n">
        <v>0</v>
      </c>
      <c r="L782" t="n">
        <v>0</v>
      </c>
      <c r="M782" t="n">
        <v>0</v>
      </c>
      <c r="N782" t="n">
        <v>0</v>
      </c>
      <c r="O782" t="n">
        <v>0</v>
      </c>
      <c r="P782" t="n">
        <v>0</v>
      </c>
      <c r="Q782" t="n">
        <v>0</v>
      </c>
      <c r="R782" s="2" t="inlineStr"/>
    </row>
    <row r="783" ht="15" customHeight="1">
      <c r="A783" t="inlineStr">
        <is>
          <t>A 48881-2025</t>
        </is>
      </c>
      <c r="B783" s="1" t="n">
        <v>45937.46157407408</v>
      </c>
      <c r="C783" s="1" t="n">
        <v>45971</v>
      </c>
      <c r="D783" t="inlineStr">
        <is>
          <t>KALMAR LÄN</t>
        </is>
      </c>
      <c r="E783" t="inlineStr">
        <is>
          <t>VÄSTERVIK</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17314-2023</t>
        </is>
      </c>
      <c r="B784" s="1" t="n">
        <v>45035</v>
      </c>
      <c r="C784" s="1" t="n">
        <v>45971</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8594-2023</t>
        </is>
      </c>
      <c r="B785" s="1" t="n">
        <v>44977</v>
      </c>
      <c r="C785" s="1" t="n">
        <v>45971</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24584-2024</t>
        </is>
      </c>
      <c r="B786" s="1" t="n">
        <v>45460</v>
      </c>
      <c r="C786" s="1" t="n">
        <v>45971</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28344-2024</t>
        </is>
      </c>
      <c r="B787" s="1" t="n">
        <v>45477.55280092593</v>
      </c>
      <c r="C787" s="1" t="n">
        <v>45971</v>
      </c>
      <c r="D787" t="inlineStr">
        <is>
          <t>KALMAR LÄN</t>
        </is>
      </c>
      <c r="E787" t="inlineStr">
        <is>
          <t>VÄSTERVIK</t>
        </is>
      </c>
      <c r="G787" t="n">
        <v>1.4</v>
      </c>
      <c r="H787" t="n">
        <v>0</v>
      </c>
      <c r="I787" t="n">
        <v>0</v>
      </c>
      <c r="J787" t="n">
        <v>0</v>
      </c>
      <c r="K787" t="n">
        <v>0</v>
      </c>
      <c r="L787" t="n">
        <v>0</v>
      </c>
      <c r="M787" t="n">
        <v>0</v>
      </c>
      <c r="N787" t="n">
        <v>0</v>
      </c>
      <c r="O787" t="n">
        <v>0</v>
      </c>
      <c r="P787" t="n">
        <v>0</v>
      </c>
      <c r="Q787" t="n">
        <v>0</v>
      </c>
      <c r="R787" s="2" t="inlineStr"/>
    </row>
    <row r="788" ht="15" customHeight="1">
      <c r="A788" t="inlineStr">
        <is>
          <t>A 39278-2024</t>
        </is>
      </c>
      <c r="B788" s="1" t="n">
        <v>45551.35216435185</v>
      </c>
      <c r="C788" s="1" t="n">
        <v>45971</v>
      </c>
      <c r="D788" t="inlineStr">
        <is>
          <t>KALMAR LÄN</t>
        </is>
      </c>
      <c r="E788" t="inlineStr">
        <is>
          <t>VÄSTERVIK</t>
        </is>
      </c>
      <c r="G788" t="n">
        <v>2.9</v>
      </c>
      <c r="H788" t="n">
        <v>0</v>
      </c>
      <c r="I788" t="n">
        <v>0</v>
      </c>
      <c r="J788" t="n">
        <v>0</v>
      </c>
      <c r="K788" t="n">
        <v>0</v>
      </c>
      <c r="L788" t="n">
        <v>0</v>
      </c>
      <c r="M788" t="n">
        <v>0</v>
      </c>
      <c r="N788" t="n">
        <v>0</v>
      </c>
      <c r="O788" t="n">
        <v>0</v>
      </c>
      <c r="P788" t="n">
        <v>0</v>
      </c>
      <c r="Q788" t="n">
        <v>0</v>
      </c>
      <c r="R788" s="2" t="inlineStr"/>
    </row>
    <row r="789" ht="15" customHeight="1">
      <c r="A789" t="inlineStr">
        <is>
          <t>A 32764-2022</t>
        </is>
      </c>
      <c r="B789" s="1" t="n">
        <v>44783</v>
      </c>
      <c r="C789" s="1" t="n">
        <v>45971</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4624-2023</t>
        </is>
      </c>
      <c r="B790" s="1" t="n">
        <v>44956</v>
      </c>
      <c r="C790" s="1" t="n">
        <v>45971</v>
      </c>
      <c r="D790" t="inlineStr">
        <is>
          <t>KALMAR LÄN</t>
        </is>
      </c>
      <c r="E790" t="inlineStr">
        <is>
          <t>VÄSTERVIK</t>
        </is>
      </c>
      <c r="F790" t="inlineStr">
        <is>
          <t>Holmen skog AB</t>
        </is>
      </c>
      <c r="G790" t="n">
        <v>7.1</v>
      </c>
      <c r="H790" t="n">
        <v>0</v>
      </c>
      <c r="I790" t="n">
        <v>0</v>
      </c>
      <c r="J790" t="n">
        <v>0</v>
      </c>
      <c r="K790" t="n">
        <v>0</v>
      </c>
      <c r="L790" t="n">
        <v>0</v>
      </c>
      <c r="M790" t="n">
        <v>0</v>
      </c>
      <c r="N790" t="n">
        <v>0</v>
      </c>
      <c r="O790" t="n">
        <v>0</v>
      </c>
      <c r="P790" t="n">
        <v>0</v>
      </c>
      <c r="Q790" t="n">
        <v>0</v>
      </c>
      <c r="R790" s="2" t="inlineStr"/>
    </row>
    <row r="791" ht="15" customHeight="1">
      <c r="A791" t="inlineStr">
        <is>
          <t>A 49409-2025</t>
        </is>
      </c>
      <c r="B791" s="1" t="n">
        <v>45938.678125</v>
      </c>
      <c r="C791" s="1" t="n">
        <v>45971</v>
      </c>
      <c r="D791" t="inlineStr">
        <is>
          <t>KALMAR LÄN</t>
        </is>
      </c>
      <c r="E791" t="inlineStr">
        <is>
          <t>VÄSTERVIK</t>
        </is>
      </c>
      <c r="G791" t="n">
        <v>2.6</v>
      </c>
      <c r="H791" t="n">
        <v>0</v>
      </c>
      <c r="I791" t="n">
        <v>0</v>
      </c>
      <c r="J791" t="n">
        <v>0</v>
      </c>
      <c r="K791" t="n">
        <v>0</v>
      </c>
      <c r="L791" t="n">
        <v>0</v>
      </c>
      <c r="M791" t="n">
        <v>0</v>
      </c>
      <c r="N791" t="n">
        <v>0</v>
      </c>
      <c r="O791" t="n">
        <v>0</v>
      </c>
      <c r="P791" t="n">
        <v>0</v>
      </c>
      <c r="Q791" t="n">
        <v>0</v>
      </c>
      <c r="R791" s="2" t="inlineStr"/>
    </row>
    <row r="792" ht="15" customHeight="1">
      <c r="A792" t="inlineStr">
        <is>
          <t>A 21015-2025</t>
        </is>
      </c>
      <c r="B792" s="1" t="n">
        <v>45777.50200231482</v>
      </c>
      <c r="C792" s="1" t="n">
        <v>45971</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9549-2024</t>
        </is>
      </c>
      <c r="B793" s="1" t="n">
        <v>45359.87989583334</v>
      </c>
      <c r="C793" s="1" t="n">
        <v>45971</v>
      </c>
      <c r="D793" t="inlineStr">
        <is>
          <t>KALMAR LÄN</t>
        </is>
      </c>
      <c r="E793" t="inlineStr">
        <is>
          <t>VÄSTERVIK</t>
        </is>
      </c>
      <c r="F793" t="inlineStr">
        <is>
          <t>Holmen skog AB</t>
        </is>
      </c>
      <c r="G793" t="n">
        <v>2.6</v>
      </c>
      <c r="H793" t="n">
        <v>0</v>
      </c>
      <c r="I793" t="n">
        <v>0</v>
      </c>
      <c r="J793" t="n">
        <v>0</v>
      </c>
      <c r="K793" t="n">
        <v>0</v>
      </c>
      <c r="L793" t="n">
        <v>0</v>
      </c>
      <c r="M793" t="n">
        <v>0</v>
      </c>
      <c r="N793" t="n">
        <v>0</v>
      </c>
      <c r="O793" t="n">
        <v>0</v>
      </c>
      <c r="P793" t="n">
        <v>0</v>
      </c>
      <c r="Q793" t="n">
        <v>0</v>
      </c>
      <c r="R793" s="2" t="inlineStr"/>
    </row>
    <row r="794" ht="15" customHeight="1">
      <c r="A794" t="inlineStr">
        <is>
          <t>A 21503-2025</t>
        </is>
      </c>
      <c r="B794" s="1" t="n">
        <v>45782.61456018518</v>
      </c>
      <c r="C794" s="1" t="n">
        <v>45971</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3185-2023</t>
        </is>
      </c>
      <c r="B795" s="1" t="n">
        <v>44946.60753472222</v>
      </c>
      <c r="C795" s="1" t="n">
        <v>45971</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42746-2024</t>
        </is>
      </c>
      <c r="B796" s="1" t="n">
        <v>45566.48361111111</v>
      </c>
      <c r="C796" s="1" t="n">
        <v>45971</v>
      </c>
      <c r="D796" t="inlineStr">
        <is>
          <t>KALMAR LÄN</t>
        </is>
      </c>
      <c r="E796" t="inlineStr">
        <is>
          <t>VÄSTERVIK</t>
        </is>
      </c>
      <c r="G796" t="n">
        <v>2</v>
      </c>
      <c r="H796" t="n">
        <v>0</v>
      </c>
      <c r="I796" t="n">
        <v>0</v>
      </c>
      <c r="J796" t="n">
        <v>0</v>
      </c>
      <c r="K796" t="n">
        <v>0</v>
      </c>
      <c r="L796" t="n">
        <v>0</v>
      </c>
      <c r="M796" t="n">
        <v>0</v>
      </c>
      <c r="N796" t="n">
        <v>0</v>
      </c>
      <c r="O796" t="n">
        <v>0</v>
      </c>
      <c r="P796" t="n">
        <v>0</v>
      </c>
      <c r="Q796" t="n">
        <v>0</v>
      </c>
      <c r="R796" s="2" t="inlineStr"/>
    </row>
    <row r="797" ht="15" customHeight="1">
      <c r="A797" t="inlineStr">
        <is>
          <t>A 49525-2025</t>
        </is>
      </c>
      <c r="B797" s="1" t="n">
        <v>45939.4015625</v>
      </c>
      <c r="C797" s="1" t="n">
        <v>45971</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61529-2022</t>
        </is>
      </c>
      <c r="B798" s="1" t="n">
        <v>44910</v>
      </c>
      <c r="C798" s="1" t="n">
        <v>45971</v>
      </c>
      <c r="D798" t="inlineStr">
        <is>
          <t>KALMAR LÄN</t>
        </is>
      </c>
      <c r="E798" t="inlineStr">
        <is>
          <t>VÄSTERVIK</t>
        </is>
      </c>
      <c r="G798" t="n">
        <v>6.5</v>
      </c>
      <c r="H798" t="n">
        <v>0</v>
      </c>
      <c r="I798" t="n">
        <v>0</v>
      </c>
      <c r="J798" t="n">
        <v>0</v>
      </c>
      <c r="K798" t="n">
        <v>0</v>
      </c>
      <c r="L798" t="n">
        <v>0</v>
      </c>
      <c r="M798" t="n">
        <v>0</v>
      </c>
      <c r="N798" t="n">
        <v>0</v>
      </c>
      <c r="O798" t="n">
        <v>0</v>
      </c>
      <c r="P798" t="n">
        <v>0</v>
      </c>
      <c r="Q798" t="n">
        <v>0</v>
      </c>
      <c r="R798" s="2" t="inlineStr"/>
    </row>
    <row r="799" ht="15" customHeight="1">
      <c r="A799" t="inlineStr">
        <is>
          <t>A 28390-2024</t>
        </is>
      </c>
      <c r="B799" s="1" t="n">
        <v>45477</v>
      </c>
      <c r="C799" s="1" t="n">
        <v>45971</v>
      </c>
      <c r="D799" t="inlineStr">
        <is>
          <t>KALMAR LÄN</t>
        </is>
      </c>
      <c r="E799" t="inlineStr">
        <is>
          <t>VÄSTERVIK</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53259-2021</t>
        </is>
      </c>
      <c r="B800" s="1" t="n">
        <v>44468.47153935185</v>
      </c>
      <c r="C800" s="1" t="n">
        <v>45971</v>
      </c>
      <c r="D800" t="inlineStr">
        <is>
          <t>KALMAR LÄN</t>
        </is>
      </c>
      <c r="E800" t="inlineStr">
        <is>
          <t>VÄSTERVIK</t>
        </is>
      </c>
      <c r="G800" t="n">
        <v>2.8</v>
      </c>
      <c r="H800" t="n">
        <v>0</v>
      </c>
      <c r="I800" t="n">
        <v>0</v>
      </c>
      <c r="J800" t="n">
        <v>0</v>
      </c>
      <c r="K800" t="n">
        <v>0</v>
      </c>
      <c r="L800" t="n">
        <v>0</v>
      </c>
      <c r="M800" t="n">
        <v>0</v>
      </c>
      <c r="N800" t="n">
        <v>0</v>
      </c>
      <c r="O800" t="n">
        <v>0</v>
      </c>
      <c r="P800" t="n">
        <v>0</v>
      </c>
      <c r="Q800" t="n">
        <v>0</v>
      </c>
      <c r="R800" s="2" t="inlineStr"/>
    </row>
    <row r="801" ht="15" customHeight="1">
      <c r="A801" t="inlineStr">
        <is>
          <t>A 10116-2022</t>
        </is>
      </c>
      <c r="B801" s="1" t="n">
        <v>44621</v>
      </c>
      <c r="C801" s="1" t="n">
        <v>45971</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21657-2025</t>
        </is>
      </c>
      <c r="B802" s="1" t="n">
        <v>45783.45325231482</v>
      </c>
      <c r="C802" s="1" t="n">
        <v>45971</v>
      </c>
      <c r="D802" t="inlineStr">
        <is>
          <t>KALMAR LÄN</t>
        </is>
      </c>
      <c r="E802" t="inlineStr">
        <is>
          <t>VÄSTERVIK</t>
        </is>
      </c>
      <c r="F802" t="inlineStr">
        <is>
          <t>Sveaskog</t>
        </is>
      </c>
      <c r="G802" t="n">
        <v>5.8</v>
      </c>
      <c r="H802" t="n">
        <v>0</v>
      </c>
      <c r="I802" t="n">
        <v>0</v>
      </c>
      <c r="J802" t="n">
        <v>0</v>
      </c>
      <c r="K802" t="n">
        <v>0</v>
      </c>
      <c r="L802" t="n">
        <v>0</v>
      </c>
      <c r="M802" t="n">
        <v>0</v>
      </c>
      <c r="N802" t="n">
        <v>0</v>
      </c>
      <c r="O802" t="n">
        <v>0</v>
      </c>
      <c r="P802" t="n">
        <v>0</v>
      </c>
      <c r="Q802" t="n">
        <v>0</v>
      </c>
      <c r="R802" s="2" t="inlineStr"/>
    </row>
    <row r="803" ht="15" customHeight="1">
      <c r="A803" t="inlineStr">
        <is>
          <t>A 21991-2025</t>
        </is>
      </c>
      <c r="B803" s="1" t="n">
        <v>45784.6615625</v>
      </c>
      <c r="C803" s="1" t="n">
        <v>45971</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54629-2024</t>
        </is>
      </c>
      <c r="B804" s="1" t="n">
        <v>45617.85399305556</v>
      </c>
      <c r="C804" s="1" t="n">
        <v>45971</v>
      </c>
      <c r="D804" t="inlineStr">
        <is>
          <t>KALMAR LÄN</t>
        </is>
      </c>
      <c r="E804" t="inlineStr">
        <is>
          <t>VÄSTERVIK</t>
        </is>
      </c>
      <c r="F804" t="inlineStr">
        <is>
          <t>Sveaskog</t>
        </is>
      </c>
      <c r="G804" t="n">
        <v>6.7</v>
      </c>
      <c r="H804" t="n">
        <v>0</v>
      </c>
      <c r="I804" t="n">
        <v>0</v>
      </c>
      <c r="J804" t="n">
        <v>0</v>
      </c>
      <c r="K804" t="n">
        <v>0</v>
      </c>
      <c r="L804" t="n">
        <v>0</v>
      </c>
      <c r="M804" t="n">
        <v>0</v>
      </c>
      <c r="N804" t="n">
        <v>0</v>
      </c>
      <c r="O804" t="n">
        <v>0</v>
      </c>
      <c r="P804" t="n">
        <v>0</v>
      </c>
      <c r="Q804" t="n">
        <v>0</v>
      </c>
      <c r="R804" s="2" t="inlineStr"/>
    </row>
    <row r="805" ht="15" customHeight="1">
      <c r="A805" t="inlineStr">
        <is>
          <t>A 29557-2024</t>
        </is>
      </c>
      <c r="B805" s="1" t="n">
        <v>45484.52023148148</v>
      </c>
      <c r="C805" s="1" t="n">
        <v>45971</v>
      </c>
      <c r="D805" t="inlineStr">
        <is>
          <t>KALMAR LÄN</t>
        </is>
      </c>
      <c r="E805" t="inlineStr">
        <is>
          <t>VÄSTERVIK</t>
        </is>
      </c>
      <c r="G805" t="n">
        <v>5.9</v>
      </c>
      <c r="H805" t="n">
        <v>0</v>
      </c>
      <c r="I805" t="n">
        <v>0</v>
      </c>
      <c r="J805" t="n">
        <v>0</v>
      </c>
      <c r="K805" t="n">
        <v>0</v>
      </c>
      <c r="L805" t="n">
        <v>0</v>
      </c>
      <c r="M805" t="n">
        <v>0</v>
      </c>
      <c r="N805" t="n">
        <v>0</v>
      </c>
      <c r="O805" t="n">
        <v>0</v>
      </c>
      <c r="P805" t="n">
        <v>0</v>
      </c>
      <c r="Q805" t="n">
        <v>0</v>
      </c>
      <c r="R805" s="2" t="inlineStr"/>
    </row>
    <row r="806" ht="15" customHeight="1">
      <c r="A806" t="inlineStr">
        <is>
          <t>A 8402-2025</t>
        </is>
      </c>
      <c r="B806" s="1" t="n">
        <v>45709.38065972222</v>
      </c>
      <c r="C806" s="1" t="n">
        <v>45971</v>
      </c>
      <c r="D806" t="inlineStr">
        <is>
          <t>KALMAR LÄN</t>
        </is>
      </c>
      <c r="E806" t="inlineStr">
        <is>
          <t>VÄSTERVIK</t>
        </is>
      </c>
      <c r="G806" t="n">
        <v>4.3</v>
      </c>
      <c r="H806" t="n">
        <v>0</v>
      </c>
      <c r="I806" t="n">
        <v>0</v>
      </c>
      <c r="J806" t="n">
        <v>0</v>
      </c>
      <c r="K806" t="n">
        <v>0</v>
      </c>
      <c r="L806" t="n">
        <v>0</v>
      </c>
      <c r="M806" t="n">
        <v>0</v>
      </c>
      <c r="N806" t="n">
        <v>0</v>
      </c>
      <c r="O806" t="n">
        <v>0</v>
      </c>
      <c r="P806" t="n">
        <v>0</v>
      </c>
      <c r="Q806" t="n">
        <v>0</v>
      </c>
      <c r="R806" s="2" t="inlineStr"/>
    </row>
    <row r="807" ht="15" customHeight="1">
      <c r="A807" t="inlineStr">
        <is>
          <t>A 8382-2023</t>
        </is>
      </c>
      <c r="B807" s="1" t="n">
        <v>44977.40112268519</v>
      </c>
      <c r="C807" s="1" t="n">
        <v>45971</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35959-2023</t>
        </is>
      </c>
      <c r="B808" s="1" t="n">
        <v>45148.84875</v>
      </c>
      <c r="C808" s="1" t="n">
        <v>45971</v>
      </c>
      <c r="D808" t="inlineStr">
        <is>
          <t>KALMAR LÄN</t>
        </is>
      </c>
      <c r="E808" t="inlineStr">
        <is>
          <t>VÄSTERVIK</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60685-2024</t>
        </is>
      </c>
      <c r="B809" s="1" t="n">
        <v>45644.46804398148</v>
      </c>
      <c r="C809" s="1" t="n">
        <v>45971</v>
      </c>
      <c r="D809" t="inlineStr">
        <is>
          <t>KALMAR LÄN</t>
        </is>
      </c>
      <c r="E809" t="inlineStr">
        <is>
          <t>VÄSTERVIK</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33814-2023</t>
        </is>
      </c>
      <c r="B810" s="1" t="n">
        <v>45133.59230324074</v>
      </c>
      <c r="C810" s="1" t="n">
        <v>45971</v>
      </c>
      <c r="D810" t="inlineStr">
        <is>
          <t>KALMAR LÄN</t>
        </is>
      </c>
      <c r="E810" t="inlineStr">
        <is>
          <t>VÄSTERVIK</t>
        </is>
      </c>
      <c r="G810" t="n">
        <v>3.9</v>
      </c>
      <c r="H810" t="n">
        <v>0</v>
      </c>
      <c r="I810" t="n">
        <v>0</v>
      </c>
      <c r="J810" t="n">
        <v>0</v>
      </c>
      <c r="K810" t="n">
        <v>0</v>
      </c>
      <c r="L810" t="n">
        <v>0</v>
      </c>
      <c r="M810" t="n">
        <v>0</v>
      </c>
      <c r="N810" t="n">
        <v>0</v>
      </c>
      <c r="O810" t="n">
        <v>0</v>
      </c>
      <c r="P810" t="n">
        <v>0</v>
      </c>
      <c r="Q810" t="n">
        <v>0</v>
      </c>
      <c r="R810" s="2" t="inlineStr"/>
    </row>
    <row r="811" ht="15" customHeight="1">
      <c r="A811" t="inlineStr">
        <is>
          <t>A 28037-2024</t>
        </is>
      </c>
      <c r="B811" s="1" t="n">
        <v>45476</v>
      </c>
      <c r="C811" s="1" t="n">
        <v>45971</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1787-2025</t>
        </is>
      </c>
      <c r="B812" s="1" t="n">
        <v>45671.45357638889</v>
      </c>
      <c r="C812" s="1" t="n">
        <v>45971</v>
      </c>
      <c r="D812" t="inlineStr">
        <is>
          <t>KALMAR LÄN</t>
        </is>
      </c>
      <c r="E812" t="inlineStr">
        <is>
          <t>VÄSTERVIK</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6731-2024</t>
        </is>
      </c>
      <c r="B813" s="1" t="n">
        <v>45342.38787037037</v>
      </c>
      <c r="C813" s="1" t="n">
        <v>45971</v>
      </c>
      <c r="D813" t="inlineStr">
        <is>
          <t>KALMAR LÄN</t>
        </is>
      </c>
      <c r="E813" t="inlineStr">
        <is>
          <t>VÄSTERVIK</t>
        </is>
      </c>
      <c r="F813" t="inlineStr">
        <is>
          <t>Holmen skog AB</t>
        </is>
      </c>
      <c r="G813" t="n">
        <v>6.7</v>
      </c>
      <c r="H813" t="n">
        <v>0</v>
      </c>
      <c r="I813" t="n">
        <v>0</v>
      </c>
      <c r="J813" t="n">
        <v>0</v>
      </c>
      <c r="K813" t="n">
        <v>0</v>
      </c>
      <c r="L813" t="n">
        <v>0</v>
      </c>
      <c r="M813" t="n">
        <v>0</v>
      </c>
      <c r="N813" t="n">
        <v>0</v>
      </c>
      <c r="O813" t="n">
        <v>0</v>
      </c>
      <c r="P813" t="n">
        <v>0</v>
      </c>
      <c r="Q813" t="n">
        <v>0</v>
      </c>
      <c r="R813" s="2" t="inlineStr"/>
    </row>
    <row r="814" ht="15" customHeight="1">
      <c r="A814" t="inlineStr">
        <is>
          <t>A 40674-2023</t>
        </is>
      </c>
      <c r="B814" s="1" t="n">
        <v>45170.59288194445</v>
      </c>
      <c r="C814" s="1" t="n">
        <v>45971</v>
      </c>
      <c r="D814" t="inlineStr">
        <is>
          <t>KALMAR LÄN</t>
        </is>
      </c>
      <c r="E814" t="inlineStr">
        <is>
          <t>VÄSTERVIK</t>
        </is>
      </c>
      <c r="G814" t="n">
        <v>4.2</v>
      </c>
      <c r="H814" t="n">
        <v>0</v>
      </c>
      <c r="I814" t="n">
        <v>0</v>
      </c>
      <c r="J814" t="n">
        <v>0</v>
      </c>
      <c r="K814" t="n">
        <v>0</v>
      </c>
      <c r="L814" t="n">
        <v>0</v>
      </c>
      <c r="M814" t="n">
        <v>0</v>
      </c>
      <c r="N814" t="n">
        <v>0</v>
      </c>
      <c r="O814" t="n">
        <v>0</v>
      </c>
      <c r="P814" t="n">
        <v>0</v>
      </c>
      <c r="Q814" t="n">
        <v>0</v>
      </c>
      <c r="R814" s="2" t="inlineStr"/>
    </row>
    <row r="815" ht="15" customHeight="1">
      <c r="A815" t="inlineStr">
        <is>
          <t>A 40677-2023</t>
        </is>
      </c>
      <c r="B815" s="1" t="n">
        <v>45170.59443287037</v>
      </c>
      <c r="C815" s="1" t="n">
        <v>45971</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57688-2024</t>
        </is>
      </c>
      <c r="B816" s="1" t="n">
        <v>45630.65180555556</v>
      </c>
      <c r="C816" s="1" t="n">
        <v>45971</v>
      </c>
      <c r="D816" t="inlineStr">
        <is>
          <t>KALMAR LÄN</t>
        </is>
      </c>
      <c r="E816" t="inlineStr">
        <is>
          <t>VÄSTERVIK</t>
        </is>
      </c>
      <c r="G816" t="n">
        <v>3.1</v>
      </c>
      <c r="H816" t="n">
        <v>0</v>
      </c>
      <c r="I816" t="n">
        <v>0</v>
      </c>
      <c r="J816" t="n">
        <v>0</v>
      </c>
      <c r="K816" t="n">
        <v>0</v>
      </c>
      <c r="L816" t="n">
        <v>0</v>
      </c>
      <c r="M816" t="n">
        <v>0</v>
      </c>
      <c r="N816" t="n">
        <v>0</v>
      </c>
      <c r="O816" t="n">
        <v>0</v>
      </c>
      <c r="P816" t="n">
        <v>0</v>
      </c>
      <c r="Q816" t="n">
        <v>0</v>
      </c>
      <c r="R816" s="2" t="inlineStr"/>
    </row>
    <row r="817" ht="15" customHeight="1">
      <c r="A817" t="inlineStr">
        <is>
          <t>A 5923-2024</t>
        </is>
      </c>
      <c r="B817" s="1" t="n">
        <v>45335</v>
      </c>
      <c r="C817" s="1" t="n">
        <v>45971</v>
      </c>
      <c r="D817" t="inlineStr">
        <is>
          <t>KALMAR LÄN</t>
        </is>
      </c>
      <c r="E817" t="inlineStr">
        <is>
          <t>VÄSTERVIK</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55359-2024</t>
        </is>
      </c>
      <c r="B818" s="1" t="n">
        <v>45621.82230324074</v>
      </c>
      <c r="C818" s="1" t="n">
        <v>45971</v>
      </c>
      <c r="D818" t="inlineStr">
        <is>
          <t>KALMAR LÄN</t>
        </is>
      </c>
      <c r="E818" t="inlineStr">
        <is>
          <t>VÄSTERVIK</t>
        </is>
      </c>
      <c r="F818" t="inlineStr">
        <is>
          <t>Sveaskog</t>
        </is>
      </c>
      <c r="G818" t="n">
        <v>6.8</v>
      </c>
      <c r="H818" t="n">
        <v>0</v>
      </c>
      <c r="I818" t="n">
        <v>0</v>
      </c>
      <c r="J818" t="n">
        <v>0</v>
      </c>
      <c r="K818" t="n">
        <v>0</v>
      </c>
      <c r="L818" t="n">
        <v>0</v>
      </c>
      <c r="M818" t="n">
        <v>0</v>
      </c>
      <c r="N818" t="n">
        <v>0</v>
      </c>
      <c r="O818" t="n">
        <v>0</v>
      </c>
      <c r="P818" t="n">
        <v>0</v>
      </c>
      <c r="Q818" t="n">
        <v>0</v>
      </c>
      <c r="R818" s="2" t="inlineStr"/>
    </row>
    <row r="819" ht="15" customHeight="1">
      <c r="A819" t="inlineStr">
        <is>
          <t>A 56377-2024</t>
        </is>
      </c>
      <c r="B819" s="1" t="n">
        <v>45625.33342592593</v>
      </c>
      <c r="C819" s="1" t="n">
        <v>45971</v>
      </c>
      <c r="D819" t="inlineStr">
        <is>
          <t>KALMAR LÄN</t>
        </is>
      </c>
      <c r="E819" t="inlineStr">
        <is>
          <t>VÄSTERVIK</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51496-2024</t>
        </is>
      </c>
      <c r="B820" s="1" t="n">
        <v>45604.54060185186</v>
      </c>
      <c r="C820" s="1" t="n">
        <v>45971</v>
      </c>
      <c r="D820" t="inlineStr">
        <is>
          <t>KALMAR LÄN</t>
        </is>
      </c>
      <c r="E820" t="inlineStr">
        <is>
          <t>VÄSTERVIK</t>
        </is>
      </c>
      <c r="F820" t="inlineStr">
        <is>
          <t>Övriga Aktiebolag</t>
        </is>
      </c>
      <c r="G820" t="n">
        <v>4.6</v>
      </c>
      <c r="H820" t="n">
        <v>0</v>
      </c>
      <c r="I820" t="n">
        <v>0</v>
      </c>
      <c r="J820" t="n">
        <v>0</v>
      </c>
      <c r="K820" t="n">
        <v>0</v>
      </c>
      <c r="L820" t="n">
        <v>0</v>
      </c>
      <c r="M820" t="n">
        <v>0</v>
      </c>
      <c r="N820" t="n">
        <v>0</v>
      </c>
      <c r="O820" t="n">
        <v>0</v>
      </c>
      <c r="P820" t="n">
        <v>0</v>
      </c>
      <c r="Q820" t="n">
        <v>0</v>
      </c>
      <c r="R820" s="2" t="inlineStr"/>
    </row>
    <row r="821" ht="15" customHeight="1">
      <c r="A821" t="inlineStr">
        <is>
          <t>A 9263-2025</t>
        </is>
      </c>
      <c r="B821" s="1" t="n">
        <v>45714.60927083333</v>
      </c>
      <c r="C821" s="1" t="n">
        <v>45971</v>
      </c>
      <c r="D821" t="inlineStr">
        <is>
          <t>KALMAR LÄN</t>
        </is>
      </c>
      <c r="E821" t="inlineStr">
        <is>
          <t>VÄSTERVIK</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6406-2024</t>
        </is>
      </c>
      <c r="B822" s="1" t="n">
        <v>45338</v>
      </c>
      <c r="C822" s="1" t="n">
        <v>45971</v>
      </c>
      <c r="D822" t="inlineStr">
        <is>
          <t>KALMAR LÄN</t>
        </is>
      </c>
      <c r="E822" t="inlineStr">
        <is>
          <t>VÄSTERVIK</t>
        </is>
      </c>
      <c r="G822" t="n">
        <v>5.5</v>
      </c>
      <c r="H822" t="n">
        <v>0</v>
      </c>
      <c r="I822" t="n">
        <v>0</v>
      </c>
      <c r="J822" t="n">
        <v>0</v>
      </c>
      <c r="K822" t="n">
        <v>0</v>
      </c>
      <c r="L822" t="n">
        <v>0</v>
      </c>
      <c r="M822" t="n">
        <v>0</v>
      </c>
      <c r="N822" t="n">
        <v>0</v>
      </c>
      <c r="O822" t="n">
        <v>0</v>
      </c>
      <c r="P822" t="n">
        <v>0</v>
      </c>
      <c r="Q822" t="n">
        <v>0</v>
      </c>
      <c r="R822" s="2" t="inlineStr"/>
      <c r="U822">
        <f>HYPERLINK("https://klasma.github.io/Logging_0883/knärot/A 6406-2024 karta knärot.png", "A 6406-2024")</f>
        <v/>
      </c>
      <c r="V822">
        <f>HYPERLINK("https://klasma.github.io/Logging_0883/klagomål/A 6406-2024 FSC-klagomål.docx", "A 6406-2024")</f>
        <v/>
      </c>
      <c r="W822">
        <f>HYPERLINK("https://klasma.github.io/Logging_0883/klagomålsmail/A 6406-2024 FSC-klagomål mail.docx", "A 6406-2024")</f>
        <v/>
      </c>
      <c r="X822">
        <f>HYPERLINK("https://klasma.github.io/Logging_0883/tillsyn/A 6406-2024 tillsynsbegäran.docx", "A 6406-2024")</f>
        <v/>
      </c>
      <c r="Y822">
        <f>HYPERLINK("https://klasma.github.io/Logging_0883/tillsynsmail/A 6406-2024 tillsynsbegäran mail.docx", "A 6406-2024")</f>
        <v/>
      </c>
    </row>
    <row r="823" ht="15" customHeight="1">
      <c r="A823" t="inlineStr">
        <is>
          <t>A 23042-2025</t>
        </is>
      </c>
      <c r="B823" s="1" t="n">
        <v>45790.67273148148</v>
      </c>
      <c r="C823" s="1" t="n">
        <v>45971</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49616-2025</t>
        </is>
      </c>
      <c r="B824" s="1" t="n">
        <v>45939.58503472222</v>
      </c>
      <c r="C824" s="1" t="n">
        <v>45971</v>
      </c>
      <c r="D824" t="inlineStr">
        <is>
          <t>KALMAR LÄN</t>
        </is>
      </c>
      <c r="E824" t="inlineStr">
        <is>
          <t>VÄSTERVIK</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27094-2024</t>
        </is>
      </c>
      <c r="B825" s="1" t="n">
        <v>45471</v>
      </c>
      <c r="C825" s="1" t="n">
        <v>45971</v>
      </c>
      <c r="D825" t="inlineStr">
        <is>
          <t>KALMAR LÄN</t>
        </is>
      </c>
      <c r="E825" t="inlineStr">
        <is>
          <t>VÄSTERVIK</t>
        </is>
      </c>
      <c r="F825" t="inlineStr">
        <is>
          <t>Holmen skog AB</t>
        </is>
      </c>
      <c r="G825" t="n">
        <v>2.4</v>
      </c>
      <c r="H825" t="n">
        <v>0</v>
      </c>
      <c r="I825" t="n">
        <v>0</v>
      </c>
      <c r="J825" t="n">
        <v>0</v>
      </c>
      <c r="K825" t="n">
        <v>0</v>
      </c>
      <c r="L825" t="n">
        <v>0</v>
      </c>
      <c r="M825" t="n">
        <v>0</v>
      </c>
      <c r="N825" t="n">
        <v>0</v>
      </c>
      <c r="O825" t="n">
        <v>0</v>
      </c>
      <c r="P825" t="n">
        <v>0</v>
      </c>
      <c r="Q825" t="n">
        <v>0</v>
      </c>
      <c r="R825" s="2" t="inlineStr"/>
      <c r="U825">
        <f>HYPERLINK("https://klasma.github.io/Logging_0883/knärot/A 27094-2024 karta knärot.png", "A 27094-2024")</f>
        <v/>
      </c>
      <c r="V825">
        <f>HYPERLINK("https://klasma.github.io/Logging_0883/klagomål/A 27094-2024 FSC-klagomål.docx", "A 27094-2024")</f>
        <v/>
      </c>
      <c r="W825">
        <f>HYPERLINK("https://klasma.github.io/Logging_0883/klagomålsmail/A 27094-2024 FSC-klagomål mail.docx", "A 27094-2024")</f>
        <v/>
      </c>
      <c r="X825">
        <f>HYPERLINK("https://klasma.github.io/Logging_0883/tillsyn/A 27094-2024 tillsynsbegäran.docx", "A 27094-2024")</f>
        <v/>
      </c>
      <c r="Y825">
        <f>HYPERLINK("https://klasma.github.io/Logging_0883/tillsynsmail/A 27094-2024 tillsynsbegäran mail.docx", "A 27094-2024")</f>
        <v/>
      </c>
    </row>
    <row r="826" ht="15" customHeight="1">
      <c r="A826" t="inlineStr">
        <is>
          <t>A 27568-2024</t>
        </is>
      </c>
      <c r="B826" s="1" t="n">
        <v>45474</v>
      </c>
      <c r="C826" s="1" t="n">
        <v>45971</v>
      </c>
      <c r="D826" t="inlineStr">
        <is>
          <t>KALMAR LÄN</t>
        </is>
      </c>
      <c r="E826" t="inlineStr">
        <is>
          <t>VÄSTERVIK</t>
        </is>
      </c>
      <c r="G826" t="n">
        <v>7.7</v>
      </c>
      <c r="H826" t="n">
        <v>0</v>
      </c>
      <c r="I826" t="n">
        <v>0</v>
      </c>
      <c r="J826" t="n">
        <v>0</v>
      </c>
      <c r="K826" t="n">
        <v>0</v>
      </c>
      <c r="L826" t="n">
        <v>0</v>
      </c>
      <c r="M826" t="n">
        <v>0</v>
      </c>
      <c r="N826" t="n">
        <v>0</v>
      </c>
      <c r="O826" t="n">
        <v>0</v>
      </c>
      <c r="P826" t="n">
        <v>0</v>
      </c>
      <c r="Q826" t="n">
        <v>0</v>
      </c>
      <c r="R826" s="2" t="inlineStr"/>
    </row>
    <row r="827" ht="15" customHeight="1">
      <c r="A827" t="inlineStr">
        <is>
          <t>A 38045-2023</t>
        </is>
      </c>
      <c r="B827" s="1" t="n">
        <v>45160.67251157408</v>
      </c>
      <c r="C827" s="1" t="n">
        <v>45971</v>
      </c>
      <c r="D827" t="inlineStr">
        <is>
          <t>KALMAR LÄN</t>
        </is>
      </c>
      <c r="E827" t="inlineStr">
        <is>
          <t>VÄSTERVIK</t>
        </is>
      </c>
      <c r="F827" t="inlineStr">
        <is>
          <t>Sveaskog</t>
        </is>
      </c>
      <c r="G827" t="n">
        <v>7.9</v>
      </c>
      <c r="H827" t="n">
        <v>0</v>
      </c>
      <c r="I827" t="n">
        <v>0</v>
      </c>
      <c r="J827" t="n">
        <v>0</v>
      </c>
      <c r="K827" t="n">
        <v>0</v>
      </c>
      <c r="L827" t="n">
        <v>0</v>
      </c>
      <c r="M827" t="n">
        <v>0</v>
      </c>
      <c r="N827" t="n">
        <v>0</v>
      </c>
      <c r="O827" t="n">
        <v>0</v>
      </c>
      <c r="P827" t="n">
        <v>0</v>
      </c>
      <c r="Q827" t="n">
        <v>0</v>
      </c>
      <c r="R827" s="2" t="inlineStr"/>
    </row>
    <row r="828" ht="15" customHeight="1">
      <c r="A828" t="inlineStr">
        <is>
          <t>A 36555-2024</t>
        </is>
      </c>
      <c r="B828" s="1" t="n">
        <v>45537</v>
      </c>
      <c r="C828" s="1" t="n">
        <v>45971</v>
      </c>
      <c r="D828" t="inlineStr">
        <is>
          <t>KALMAR LÄN</t>
        </is>
      </c>
      <c r="E828" t="inlineStr">
        <is>
          <t>VÄSTERVIK</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49607-2025</t>
        </is>
      </c>
      <c r="B829" s="1" t="n">
        <v>45939.5674074074</v>
      </c>
      <c r="C829" s="1" t="n">
        <v>45971</v>
      </c>
      <c r="D829" t="inlineStr">
        <is>
          <t>KALMAR LÄN</t>
        </is>
      </c>
      <c r="E829" t="inlineStr">
        <is>
          <t>VÄSTERVIK</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49539-2025</t>
        </is>
      </c>
      <c r="B830" s="1" t="n">
        <v>45939.42453703703</v>
      </c>
      <c r="C830" s="1" t="n">
        <v>45971</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49542-2025</t>
        </is>
      </c>
      <c r="B831" s="1" t="n">
        <v>45939.4284837963</v>
      </c>
      <c r="C831" s="1" t="n">
        <v>45971</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49648-2025</t>
        </is>
      </c>
      <c r="B832" s="1" t="n">
        <v>45939.62111111111</v>
      </c>
      <c r="C832" s="1" t="n">
        <v>45971</v>
      </c>
      <c r="D832" t="inlineStr">
        <is>
          <t>KALMAR LÄN</t>
        </is>
      </c>
      <c r="E832" t="inlineStr">
        <is>
          <t>VÄSTERVIK</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33907-2025</t>
        </is>
      </c>
      <c r="B833" s="1" t="n">
        <v>45842.59880787037</v>
      </c>
      <c r="C833" s="1" t="n">
        <v>45971</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55361-2024</t>
        </is>
      </c>
      <c r="B834" s="1" t="n">
        <v>45621.83300925926</v>
      </c>
      <c r="C834" s="1" t="n">
        <v>45971</v>
      </c>
      <c r="D834" t="inlineStr">
        <is>
          <t>KALMAR LÄN</t>
        </is>
      </c>
      <c r="E834" t="inlineStr">
        <is>
          <t>VÄSTERVIK</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55362-2024</t>
        </is>
      </c>
      <c r="B835" s="1" t="n">
        <v>45621.83461805555</v>
      </c>
      <c r="C835" s="1" t="n">
        <v>45971</v>
      </c>
      <c r="D835" t="inlineStr">
        <is>
          <t>KALMAR LÄN</t>
        </is>
      </c>
      <c r="E835" t="inlineStr">
        <is>
          <t>VÄSTERVIK</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50290-2025</t>
        </is>
      </c>
      <c r="B836" s="1" t="n">
        <v>45944.40484953704</v>
      </c>
      <c r="C836" s="1" t="n">
        <v>45971</v>
      </c>
      <c r="D836" t="inlineStr">
        <is>
          <t>KALMAR LÄN</t>
        </is>
      </c>
      <c r="E836" t="inlineStr">
        <is>
          <t>VÄSTERVIK</t>
        </is>
      </c>
      <c r="F836" t="inlineStr">
        <is>
          <t>Övriga Aktiebolag</t>
        </is>
      </c>
      <c r="G836" t="n">
        <v>6.4</v>
      </c>
      <c r="H836" t="n">
        <v>0</v>
      </c>
      <c r="I836" t="n">
        <v>0</v>
      </c>
      <c r="J836" t="n">
        <v>0</v>
      </c>
      <c r="K836" t="n">
        <v>0</v>
      </c>
      <c r="L836" t="n">
        <v>0</v>
      </c>
      <c r="M836" t="n">
        <v>0</v>
      </c>
      <c r="N836" t="n">
        <v>0</v>
      </c>
      <c r="O836" t="n">
        <v>0</v>
      </c>
      <c r="P836" t="n">
        <v>0</v>
      </c>
      <c r="Q836" t="n">
        <v>0</v>
      </c>
      <c r="R836" s="2" t="inlineStr"/>
    </row>
    <row r="837" ht="15" customHeight="1">
      <c r="A837" t="inlineStr">
        <is>
          <t>A 3041-2025</t>
        </is>
      </c>
      <c r="B837" s="1" t="n">
        <v>45678.60493055556</v>
      </c>
      <c r="C837" s="1" t="n">
        <v>45971</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c r="U837">
        <f>HYPERLINK("https://klasma.github.io/Logging_0883/knärot/A 3041-2025 karta knärot.png", "A 3041-2025")</f>
        <v/>
      </c>
      <c r="V837">
        <f>HYPERLINK("https://klasma.github.io/Logging_0883/klagomål/A 3041-2025 FSC-klagomål.docx", "A 3041-2025")</f>
        <v/>
      </c>
      <c r="W837">
        <f>HYPERLINK("https://klasma.github.io/Logging_0883/klagomålsmail/A 3041-2025 FSC-klagomål mail.docx", "A 3041-2025")</f>
        <v/>
      </c>
      <c r="X837">
        <f>HYPERLINK("https://klasma.github.io/Logging_0883/tillsyn/A 3041-2025 tillsynsbegäran.docx", "A 3041-2025")</f>
        <v/>
      </c>
      <c r="Y837">
        <f>HYPERLINK("https://klasma.github.io/Logging_0883/tillsynsmail/A 3041-2025 tillsynsbegäran mail.docx", "A 3041-2025")</f>
        <v/>
      </c>
    </row>
    <row r="838" ht="15" customHeight="1">
      <c r="A838" t="inlineStr">
        <is>
          <t>A 2360-2025</t>
        </is>
      </c>
      <c r="B838" s="1" t="n">
        <v>45673.69037037037</v>
      </c>
      <c r="C838" s="1" t="n">
        <v>45971</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42816-2024</t>
        </is>
      </c>
      <c r="B839" s="1" t="n">
        <v>45566</v>
      </c>
      <c r="C839" s="1" t="n">
        <v>45971</v>
      </c>
      <c r="D839" t="inlineStr">
        <is>
          <t>KALMAR LÄN</t>
        </is>
      </c>
      <c r="E839" t="inlineStr">
        <is>
          <t>VÄSTERVIK</t>
        </is>
      </c>
      <c r="G839" t="n">
        <v>0.1</v>
      </c>
      <c r="H839" t="n">
        <v>0</v>
      </c>
      <c r="I839" t="n">
        <v>0</v>
      </c>
      <c r="J839" t="n">
        <v>0</v>
      </c>
      <c r="K839" t="n">
        <v>0</v>
      </c>
      <c r="L839" t="n">
        <v>0</v>
      </c>
      <c r="M839" t="n">
        <v>0</v>
      </c>
      <c r="N839" t="n">
        <v>0</v>
      </c>
      <c r="O839" t="n">
        <v>0</v>
      </c>
      <c r="P839" t="n">
        <v>0</v>
      </c>
      <c r="Q839" t="n">
        <v>0</v>
      </c>
      <c r="R839" s="2" t="inlineStr"/>
    </row>
    <row r="840" ht="15" customHeight="1">
      <c r="A840" t="inlineStr">
        <is>
          <t>A 23745-2025</t>
        </is>
      </c>
      <c r="B840" s="1" t="n">
        <v>45793.44484953704</v>
      </c>
      <c r="C840" s="1" t="n">
        <v>45971</v>
      </c>
      <c r="D840" t="inlineStr">
        <is>
          <t>KALMAR LÄN</t>
        </is>
      </c>
      <c r="E840" t="inlineStr">
        <is>
          <t>VÄSTERVIK</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23739-2025</t>
        </is>
      </c>
      <c r="B841" s="1" t="n">
        <v>45793.42939814815</v>
      </c>
      <c r="C841" s="1" t="n">
        <v>45971</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23859-2025</t>
        </is>
      </c>
      <c r="B842" s="1" t="n">
        <v>45793.65996527778</v>
      </c>
      <c r="C842" s="1" t="n">
        <v>45971</v>
      </c>
      <c r="D842" t="inlineStr">
        <is>
          <t>KALMAR LÄN</t>
        </is>
      </c>
      <c r="E842" t="inlineStr">
        <is>
          <t>VÄSTERVIK</t>
        </is>
      </c>
      <c r="F842" t="inlineStr">
        <is>
          <t>Holmen skog AB</t>
        </is>
      </c>
      <c r="G842" t="n">
        <v>17.7</v>
      </c>
      <c r="H842" t="n">
        <v>0</v>
      </c>
      <c r="I842" t="n">
        <v>0</v>
      </c>
      <c r="J842" t="n">
        <v>0</v>
      </c>
      <c r="K842" t="n">
        <v>0</v>
      </c>
      <c r="L842" t="n">
        <v>0</v>
      </c>
      <c r="M842" t="n">
        <v>0</v>
      </c>
      <c r="N842" t="n">
        <v>0</v>
      </c>
      <c r="O842" t="n">
        <v>0</v>
      </c>
      <c r="P842" t="n">
        <v>0</v>
      </c>
      <c r="Q842" t="n">
        <v>0</v>
      </c>
      <c r="R842" s="2" t="inlineStr"/>
    </row>
    <row r="843" ht="15" customHeight="1">
      <c r="A843" t="inlineStr">
        <is>
          <t>A 21824-2023</t>
        </is>
      </c>
      <c r="B843" s="1" t="n">
        <v>45068</v>
      </c>
      <c r="C843" s="1" t="n">
        <v>45971</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1788-2025</t>
        </is>
      </c>
      <c r="B844" s="1" t="n">
        <v>45671.45521990741</v>
      </c>
      <c r="C844" s="1" t="n">
        <v>45971</v>
      </c>
      <c r="D844" t="inlineStr">
        <is>
          <t>KALMAR LÄN</t>
        </is>
      </c>
      <c r="E844" t="inlineStr">
        <is>
          <t>VÄSTERVIK</t>
        </is>
      </c>
      <c r="F844" t="inlineStr">
        <is>
          <t>Sveaskog</t>
        </is>
      </c>
      <c r="G844" t="n">
        <v>2.7</v>
      </c>
      <c r="H844" t="n">
        <v>0</v>
      </c>
      <c r="I844" t="n">
        <v>0</v>
      </c>
      <c r="J844" t="n">
        <v>0</v>
      </c>
      <c r="K844" t="n">
        <v>0</v>
      </c>
      <c r="L844" t="n">
        <v>0</v>
      </c>
      <c r="M844" t="n">
        <v>0</v>
      </c>
      <c r="N844" t="n">
        <v>0</v>
      </c>
      <c r="O844" t="n">
        <v>0</v>
      </c>
      <c r="P844" t="n">
        <v>0</v>
      </c>
      <c r="Q844" t="n">
        <v>0</v>
      </c>
      <c r="R844" s="2" t="inlineStr"/>
    </row>
    <row r="845" ht="15" customHeight="1">
      <c r="A845" t="inlineStr">
        <is>
          <t>A 6941-2025</t>
        </is>
      </c>
      <c r="B845" s="1" t="n">
        <v>45701.46835648148</v>
      </c>
      <c r="C845" s="1" t="n">
        <v>45971</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55565-2024</t>
        </is>
      </c>
      <c r="B846" s="1" t="n">
        <v>45622.54515046296</v>
      </c>
      <c r="C846" s="1" t="n">
        <v>45971</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10771-2025</t>
        </is>
      </c>
      <c r="B847" s="1" t="n">
        <v>45722.46953703704</v>
      </c>
      <c r="C847" s="1" t="n">
        <v>45971</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28657-2024</t>
        </is>
      </c>
      <c r="B848" s="1" t="n">
        <v>45478</v>
      </c>
      <c r="C848" s="1" t="n">
        <v>45971</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23022-2025</t>
        </is>
      </c>
      <c r="B849" s="1" t="n">
        <v>45790.65489583334</v>
      </c>
      <c r="C849" s="1" t="n">
        <v>45971</v>
      </c>
      <c r="D849" t="inlineStr">
        <is>
          <t>KALMAR LÄN</t>
        </is>
      </c>
      <c r="E849" t="inlineStr">
        <is>
          <t>VÄSTERVIK</t>
        </is>
      </c>
      <c r="G849" t="n">
        <v>3.3</v>
      </c>
      <c r="H849" t="n">
        <v>0</v>
      </c>
      <c r="I849" t="n">
        <v>0</v>
      </c>
      <c r="J849" t="n">
        <v>0</v>
      </c>
      <c r="K849" t="n">
        <v>0</v>
      </c>
      <c r="L849" t="n">
        <v>0</v>
      </c>
      <c r="M849" t="n">
        <v>0</v>
      </c>
      <c r="N849" t="n">
        <v>0</v>
      </c>
      <c r="O849" t="n">
        <v>0</v>
      </c>
      <c r="P849" t="n">
        <v>0</v>
      </c>
      <c r="Q849" t="n">
        <v>0</v>
      </c>
      <c r="R849" s="2" t="inlineStr"/>
    </row>
    <row r="850" ht="15" customHeight="1">
      <c r="A850" t="inlineStr">
        <is>
          <t>A 26061-2024</t>
        </is>
      </c>
      <c r="B850" s="1" t="n">
        <v>45468.35030092593</v>
      </c>
      <c r="C850" s="1" t="n">
        <v>45971</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26066-2024</t>
        </is>
      </c>
      <c r="B851" s="1" t="n">
        <v>45468.35390046296</v>
      </c>
      <c r="C851" s="1" t="n">
        <v>45971</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58764-2024</t>
        </is>
      </c>
      <c r="B852" s="1" t="n">
        <v>45635.72293981481</v>
      </c>
      <c r="C852" s="1" t="n">
        <v>45971</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13489-2022</t>
        </is>
      </c>
      <c r="B853" s="1" t="n">
        <v>44646</v>
      </c>
      <c r="C853" s="1" t="n">
        <v>45971</v>
      </c>
      <c r="D853" t="inlineStr">
        <is>
          <t>KALMAR LÄN</t>
        </is>
      </c>
      <c r="E853" t="inlineStr">
        <is>
          <t>VÄSTERVIK</t>
        </is>
      </c>
      <c r="G853" t="n">
        <v>2.5</v>
      </c>
      <c r="H853" t="n">
        <v>0</v>
      </c>
      <c r="I853" t="n">
        <v>0</v>
      </c>
      <c r="J853" t="n">
        <v>0</v>
      </c>
      <c r="K853" t="n">
        <v>0</v>
      </c>
      <c r="L853" t="n">
        <v>0</v>
      </c>
      <c r="M853" t="n">
        <v>0</v>
      </c>
      <c r="N853" t="n">
        <v>0</v>
      </c>
      <c r="O853" t="n">
        <v>0</v>
      </c>
      <c r="P853" t="n">
        <v>0</v>
      </c>
      <c r="Q853" t="n">
        <v>0</v>
      </c>
      <c r="R853" s="2" t="inlineStr"/>
    </row>
    <row r="854" ht="15" customHeight="1">
      <c r="A854" t="inlineStr">
        <is>
          <t>A 50692-2025</t>
        </is>
      </c>
      <c r="B854" s="1" t="n">
        <v>45945.8494212963</v>
      </c>
      <c r="C854" s="1" t="n">
        <v>45971</v>
      </c>
      <c r="D854" t="inlineStr">
        <is>
          <t>KALMAR LÄN</t>
        </is>
      </c>
      <c r="E854" t="inlineStr">
        <is>
          <t>VÄSTERVIK</t>
        </is>
      </c>
      <c r="F854" t="inlineStr">
        <is>
          <t>Övriga Aktiebolag</t>
        </is>
      </c>
      <c r="G854" t="n">
        <v>5</v>
      </c>
      <c r="H854" t="n">
        <v>0</v>
      </c>
      <c r="I854" t="n">
        <v>0</v>
      </c>
      <c r="J854" t="n">
        <v>0</v>
      </c>
      <c r="K854" t="n">
        <v>0</v>
      </c>
      <c r="L854" t="n">
        <v>0</v>
      </c>
      <c r="M854" t="n">
        <v>0</v>
      </c>
      <c r="N854" t="n">
        <v>0</v>
      </c>
      <c r="O854" t="n">
        <v>0</v>
      </c>
      <c r="P854" t="n">
        <v>0</v>
      </c>
      <c r="Q854" t="n">
        <v>0</v>
      </c>
      <c r="R854" s="2" t="inlineStr"/>
    </row>
    <row r="855" ht="15" customHeight="1">
      <c r="A855" t="inlineStr">
        <is>
          <t>A 7883-2025</t>
        </is>
      </c>
      <c r="B855" s="1" t="n">
        <v>45706.8156712963</v>
      </c>
      <c r="C855" s="1" t="n">
        <v>45971</v>
      </c>
      <c r="D855" t="inlineStr">
        <is>
          <t>KALMAR LÄN</t>
        </is>
      </c>
      <c r="E855" t="inlineStr">
        <is>
          <t>VÄSTERVIK</t>
        </is>
      </c>
      <c r="G855" t="n">
        <v>0.2</v>
      </c>
      <c r="H855" t="n">
        <v>0</v>
      </c>
      <c r="I855" t="n">
        <v>0</v>
      </c>
      <c r="J855" t="n">
        <v>0</v>
      </c>
      <c r="K855" t="n">
        <v>0</v>
      </c>
      <c r="L855" t="n">
        <v>0</v>
      </c>
      <c r="M855" t="n">
        <v>0</v>
      </c>
      <c r="N855" t="n">
        <v>0</v>
      </c>
      <c r="O855" t="n">
        <v>0</v>
      </c>
      <c r="P855" t="n">
        <v>0</v>
      </c>
      <c r="Q855" t="n">
        <v>0</v>
      </c>
      <c r="R855" s="2" t="inlineStr"/>
    </row>
    <row r="856" ht="15" customHeight="1">
      <c r="A856" t="inlineStr">
        <is>
          <t>A 7840-2025</t>
        </is>
      </c>
      <c r="B856" s="1" t="n">
        <v>45706.65895833333</v>
      </c>
      <c r="C856" s="1" t="n">
        <v>45971</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24819-2025</t>
        </is>
      </c>
      <c r="B857" s="1" t="n">
        <v>45799.45109953704</v>
      </c>
      <c r="C857" s="1" t="n">
        <v>45971</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11198-2024</t>
        </is>
      </c>
      <c r="B858" s="1" t="n">
        <v>45371</v>
      </c>
      <c r="C858" s="1" t="n">
        <v>45971</v>
      </c>
      <c r="D858" t="inlineStr">
        <is>
          <t>KALMAR LÄN</t>
        </is>
      </c>
      <c r="E858" t="inlineStr">
        <is>
          <t>VÄSTERVIK</t>
        </is>
      </c>
      <c r="G858" t="n">
        <v>4.1</v>
      </c>
      <c r="H858" t="n">
        <v>0</v>
      </c>
      <c r="I858" t="n">
        <v>0</v>
      </c>
      <c r="J858" t="n">
        <v>0</v>
      </c>
      <c r="K858" t="n">
        <v>0</v>
      </c>
      <c r="L858" t="n">
        <v>0</v>
      </c>
      <c r="M858" t="n">
        <v>0</v>
      </c>
      <c r="N858" t="n">
        <v>0</v>
      </c>
      <c r="O858" t="n">
        <v>0</v>
      </c>
      <c r="P858" t="n">
        <v>0</v>
      </c>
      <c r="Q858" t="n">
        <v>0</v>
      </c>
      <c r="R858" s="2" t="inlineStr"/>
    </row>
    <row r="859" ht="15" customHeight="1">
      <c r="A859" t="inlineStr">
        <is>
          <t>A 16080-2025</t>
        </is>
      </c>
      <c r="B859" s="1" t="n">
        <v>45749.72953703703</v>
      </c>
      <c r="C859" s="1" t="n">
        <v>45971</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41926-2024</t>
        </is>
      </c>
      <c r="B860" s="1" t="n">
        <v>45561</v>
      </c>
      <c r="C860" s="1" t="n">
        <v>45971</v>
      </c>
      <c r="D860" t="inlineStr">
        <is>
          <t>KALMAR LÄN</t>
        </is>
      </c>
      <c r="E860" t="inlineStr">
        <is>
          <t>VÄSTERVIK</t>
        </is>
      </c>
      <c r="F860" t="inlineStr">
        <is>
          <t>Kyrkan</t>
        </is>
      </c>
      <c r="G860" t="n">
        <v>10</v>
      </c>
      <c r="H860" t="n">
        <v>0</v>
      </c>
      <c r="I860" t="n">
        <v>0</v>
      </c>
      <c r="J860" t="n">
        <v>0</v>
      </c>
      <c r="K860" t="n">
        <v>0</v>
      </c>
      <c r="L860" t="n">
        <v>0</v>
      </c>
      <c r="M860" t="n">
        <v>0</v>
      </c>
      <c r="N860" t="n">
        <v>0</v>
      </c>
      <c r="O860" t="n">
        <v>0</v>
      </c>
      <c r="P860" t="n">
        <v>0</v>
      </c>
      <c r="Q860" t="n">
        <v>0</v>
      </c>
      <c r="R860" s="2" t="inlineStr"/>
    </row>
    <row r="861" ht="15" customHeight="1">
      <c r="A861" t="inlineStr">
        <is>
          <t>A 14237-2024</t>
        </is>
      </c>
      <c r="B861" s="1" t="n">
        <v>45393.47158564815</v>
      </c>
      <c r="C861" s="1" t="n">
        <v>45971</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19608-2025</t>
        </is>
      </c>
      <c r="B862" s="1" t="n">
        <v>45770.60177083333</v>
      </c>
      <c r="C862" s="1" t="n">
        <v>45971</v>
      </c>
      <c r="D862" t="inlineStr">
        <is>
          <t>KALMAR LÄN</t>
        </is>
      </c>
      <c r="E862" t="inlineStr">
        <is>
          <t>VÄSTERVIK</t>
        </is>
      </c>
      <c r="G862" t="n">
        <v>3.5</v>
      </c>
      <c r="H862" t="n">
        <v>0</v>
      </c>
      <c r="I862" t="n">
        <v>0</v>
      </c>
      <c r="J862" t="n">
        <v>0</v>
      </c>
      <c r="K862" t="n">
        <v>0</v>
      </c>
      <c r="L862" t="n">
        <v>0</v>
      </c>
      <c r="M862" t="n">
        <v>0</v>
      </c>
      <c r="N862" t="n">
        <v>0</v>
      </c>
      <c r="O862" t="n">
        <v>0</v>
      </c>
      <c r="P862" t="n">
        <v>0</v>
      </c>
      <c r="Q862" t="n">
        <v>0</v>
      </c>
      <c r="R862" s="2" t="inlineStr"/>
    </row>
    <row r="863" ht="15" customHeight="1">
      <c r="A863" t="inlineStr">
        <is>
          <t>A 4579-2023</t>
        </is>
      </c>
      <c r="B863" s="1" t="n">
        <v>44956.72383101852</v>
      </c>
      <c r="C863" s="1" t="n">
        <v>45971</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65059-2023</t>
        </is>
      </c>
      <c r="B864" s="1" t="n">
        <v>45287</v>
      </c>
      <c r="C864" s="1" t="n">
        <v>45971</v>
      </c>
      <c r="D864" t="inlineStr">
        <is>
          <t>KALMAR LÄN</t>
        </is>
      </c>
      <c r="E864" t="inlineStr">
        <is>
          <t>VÄSTERVIK</t>
        </is>
      </c>
      <c r="F864" t="inlineStr">
        <is>
          <t>Holmen skog AB</t>
        </is>
      </c>
      <c r="G864" t="n">
        <v>4.9</v>
      </c>
      <c r="H864" t="n">
        <v>0</v>
      </c>
      <c r="I864" t="n">
        <v>0</v>
      </c>
      <c r="J864" t="n">
        <v>0</v>
      </c>
      <c r="K864" t="n">
        <v>0</v>
      </c>
      <c r="L864" t="n">
        <v>0</v>
      </c>
      <c r="M864" t="n">
        <v>0</v>
      </c>
      <c r="N864" t="n">
        <v>0</v>
      </c>
      <c r="O864" t="n">
        <v>0</v>
      </c>
      <c r="P864" t="n">
        <v>0</v>
      </c>
      <c r="Q864" t="n">
        <v>0</v>
      </c>
      <c r="R864" s="2" t="inlineStr"/>
    </row>
    <row r="865" ht="15" customHeight="1">
      <c r="A865" t="inlineStr">
        <is>
          <t>A 2859-2025</t>
        </is>
      </c>
      <c r="B865" s="1" t="n">
        <v>45677.67003472222</v>
      </c>
      <c r="C865" s="1" t="n">
        <v>45971</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2870-2025</t>
        </is>
      </c>
      <c r="B866" s="1" t="n">
        <v>45677.68149305556</v>
      </c>
      <c r="C866" s="1" t="n">
        <v>45971</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50690-2025</t>
        </is>
      </c>
      <c r="B867" s="1" t="n">
        <v>45945.84136574074</v>
      </c>
      <c r="C867" s="1" t="n">
        <v>45971</v>
      </c>
      <c r="D867" t="inlineStr">
        <is>
          <t>KALMAR LÄN</t>
        </is>
      </c>
      <c r="E867" t="inlineStr">
        <is>
          <t>VÄSTERVIK</t>
        </is>
      </c>
      <c r="F867" t="inlineStr">
        <is>
          <t>Övriga Aktiebolag</t>
        </is>
      </c>
      <c r="G867" t="n">
        <v>2.4</v>
      </c>
      <c r="H867" t="n">
        <v>0</v>
      </c>
      <c r="I867" t="n">
        <v>0</v>
      </c>
      <c r="J867" t="n">
        <v>0</v>
      </c>
      <c r="K867" t="n">
        <v>0</v>
      </c>
      <c r="L867" t="n">
        <v>0</v>
      </c>
      <c r="M867" t="n">
        <v>0</v>
      </c>
      <c r="N867" t="n">
        <v>0</v>
      </c>
      <c r="O867" t="n">
        <v>0</v>
      </c>
      <c r="P867" t="n">
        <v>0</v>
      </c>
      <c r="Q867" t="n">
        <v>0</v>
      </c>
      <c r="R867" s="2" t="inlineStr"/>
    </row>
    <row r="868" ht="15" customHeight="1">
      <c r="A868" t="inlineStr">
        <is>
          <t>A 25819-2025</t>
        </is>
      </c>
      <c r="B868" s="1" t="n">
        <v>45804.43547453704</v>
      </c>
      <c r="C868" s="1" t="n">
        <v>45971</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25827-2025</t>
        </is>
      </c>
      <c r="B869" s="1" t="n">
        <v>45804.443125</v>
      </c>
      <c r="C869" s="1" t="n">
        <v>45971</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41993-2025</t>
        </is>
      </c>
      <c r="B870" s="1" t="n">
        <v>45903.54821759259</v>
      </c>
      <c r="C870" s="1" t="n">
        <v>45971</v>
      </c>
      <c r="D870" t="inlineStr">
        <is>
          <t>KALMAR LÄN</t>
        </is>
      </c>
      <c r="E870" t="inlineStr">
        <is>
          <t>VÄSTERVIK</t>
        </is>
      </c>
      <c r="G870" t="n">
        <v>1.8</v>
      </c>
      <c r="H870" t="n">
        <v>0</v>
      </c>
      <c r="I870" t="n">
        <v>0</v>
      </c>
      <c r="J870" t="n">
        <v>0</v>
      </c>
      <c r="K870" t="n">
        <v>0</v>
      </c>
      <c r="L870" t="n">
        <v>0</v>
      </c>
      <c r="M870" t="n">
        <v>0</v>
      </c>
      <c r="N870" t="n">
        <v>0</v>
      </c>
      <c r="O870" t="n">
        <v>0</v>
      </c>
      <c r="P870" t="n">
        <v>0</v>
      </c>
      <c r="Q870" t="n">
        <v>0</v>
      </c>
      <c r="R870" s="2" t="inlineStr"/>
    </row>
    <row r="871" ht="15" customHeight="1">
      <c r="A871" t="inlineStr">
        <is>
          <t>A 50539-2025</t>
        </is>
      </c>
      <c r="B871" s="1" t="n">
        <v>45945.49340277778</v>
      </c>
      <c r="C871" s="1" t="n">
        <v>45971</v>
      </c>
      <c r="D871" t="inlineStr">
        <is>
          <t>KALMAR LÄN</t>
        </is>
      </c>
      <c r="E871" t="inlineStr">
        <is>
          <t>VÄSTERVIK</t>
        </is>
      </c>
      <c r="G871" t="n">
        <v>2.4</v>
      </c>
      <c r="H871" t="n">
        <v>0</v>
      </c>
      <c r="I871" t="n">
        <v>0</v>
      </c>
      <c r="J871" t="n">
        <v>0</v>
      </c>
      <c r="K871" t="n">
        <v>0</v>
      </c>
      <c r="L871" t="n">
        <v>0</v>
      </c>
      <c r="M871" t="n">
        <v>0</v>
      </c>
      <c r="N871" t="n">
        <v>0</v>
      </c>
      <c r="O871" t="n">
        <v>0</v>
      </c>
      <c r="P871" t="n">
        <v>0</v>
      </c>
      <c r="Q871" t="n">
        <v>0</v>
      </c>
      <c r="R871" s="2" t="inlineStr"/>
    </row>
    <row r="872" ht="15" customHeight="1">
      <c r="A872" t="inlineStr">
        <is>
          <t>A 9760-2024</t>
        </is>
      </c>
      <c r="B872" s="1" t="n">
        <v>45362</v>
      </c>
      <c r="C872" s="1" t="n">
        <v>45971</v>
      </c>
      <c r="D872" t="inlineStr">
        <is>
          <t>KALMAR LÄN</t>
        </is>
      </c>
      <c r="E872" t="inlineStr">
        <is>
          <t>VÄSTERVIK</t>
        </is>
      </c>
      <c r="G872" t="n">
        <v>2.1</v>
      </c>
      <c r="H872" t="n">
        <v>0</v>
      </c>
      <c r="I872" t="n">
        <v>0</v>
      </c>
      <c r="J872" t="n">
        <v>0</v>
      </c>
      <c r="K872" t="n">
        <v>0</v>
      </c>
      <c r="L872" t="n">
        <v>0</v>
      </c>
      <c r="M872" t="n">
        <v>0</v>
      </c>
      <c r="N872" t="n">
        <v>0</v>
      </c>
      <c r="O872" t="n">
        <v>0</v>
      </c>
      <c r="P872" t="n">
        <v>0</v>
      </c>
      <c r="Q872" t="n">
        <v>0</v>
      </c>
      <c r="R872" s="2" t="inlineStr"/>
    </row>
    <row r="873" ht="15" customHeight="1">
      <c r="A873" t="inlineStr">
        <is>
          <t>A 50651-2025</t>
        </is>
      </c>
      <c r="B873" s="1" t="n">
        <v>45945.66497685185</v>
      </c>
      <c r="C873" s="1" t="n">
        <v>45971</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50679-2025</t>
        </is>
      </c>
      <c r="B874" s="1" t="n">
        <v>45945.7796875</v>
      </c>
      <c r="C874" s="1" t="n">
        <v>45971</v>
      </c>
      <c r="D874" t="inlineStr">
        <is>
          <t>KALMAR LÄN</t>
        </is>
      </c>
      <c r="E874" t="inlineStr">
        <is>
          <t>VÄSTERVIK</t>
        </is>
      </c>
      <c r="F874" t="inlineStr">
        <is>
          <t>Övriga Aktiebolag</t>
        </is>
      </c>
      <c r="G874" t="n">
        <v>2.3</v>
      </c>
      <c r="H874" t="n">
        <v>0</v>
      </c>
      <c r="I874" t="n">
        <v>0</v>
      </c>
      <c r="J874" t="n">
        <v>0</v>
      </c>
      <c r="K874" t="n">
        <v>0</v>
      </c>
      <c r="L874" t="n">
        <v>0</v>
      </c>
      <c r="M874" t="n">
        <v>0</v>
      </c>
      <c r="N874" t="n">
        <v>0</v>
      </c>
      <c r="O874" t="n">
        <v>0</v>
      </c>
      <c r="P874" t="n">
        <v>0</v>
      </c>
      <c r="Q874" t="n">
        <v>0</v>
      </c>
      <c r="R874" s="2" t="inlineStr"/>
    </row>
    <row r="875" ht="15" customHeight="1">
      <c r="A875" t="inlineStr">
        <is>
          <t>A 55032-2024</t>
        </is>
      </c>
      <c r="B875" s="1" t="n">
        <v>45621.38190972222</v>
      </c>
      <c r="C875" s="1" t="n">
        <v>45971</v>
      </c>
      <c r="D875" t="inlineStr">
        <is>
          <t>KALMAR LÄN</t>
        </is>
      </c>
      <c r="E875" t="inlineStr">
        <is>
          <t>VÄSTERVIK</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51513-2025</t>
        </is>
      </c>
      <c r="B876" s="1" t="n">
        <v>45950.65234953703</v>
      </c>
      <c r="C876" s="1" t="n">
        <v>45971</v>
      </c>
      <c r="D876" t="inlineStr">
        <is>
          <t>KALMAR LÄN</t>
        </is>
      </c>
      <c r="E876" t="inlineStr">
        <is>
          <t>VÄSTERVIK</t>
        </is>
      </c>
      <c r="G876" t="n">
        <v>2.4</v>
      </c>
      <c r="H876" t="n">
        <v>0</v>
      </c>
      <c r="I876" t="n">
        <v>0</v>
      </c>
      <c r="J876" t="n">
        <v>0</v>
      </c>
      <c r="K876" t="n">
        <v>0</v>
      </c>
      <c r="L876" t="n">
        <v>0</v>
      </c>
      <c r="M876" t="n">
        <v>0</v>
      </c>
      <c r="N876" t="n">
        <v>0</v>
      </c>
      <c r="O876" t="n">
        <v>0</v>
      </c>
      <c r="P876" t="n">
        <v>0</v>
      </c>
      <c r="Q876" t="n">
        <v>0</v>
      </c>
      <c r="R876" s="2" t="inlineStr"/>
    </row>
    <row r="877" ht="15" customHeight="1">
      <c r="A877" t="inlineStr">
        <is>
          <t>A 51520-2025</t>
        </is>
      </c>
      <c r="B877" s="1" t="n">
        <v>45950.65695601852</v>
      </c>
      <c r="C877" s="1" t="n">
        <v>45971</v>
      </c>
      <c r="D877" t="inlineStr">
        <is>
          <t>KALMAR LÄN</t>
        </is>
      </c>
      <c r="E877" t="inlineStr">
        <is>
          <t>VÄSTERVIK</t>
        </is>
      </c>
      <c r="G877" t="n">
        <v>3.6</v>
      </c>
      <c r="H877" t="n">
        <v>0</v>
      </c>
      <c r="I877" t="n">
        <v>0</v>
      </c>
      <c r="J877" t="n">
        <v>0</v>
      </c>
      <c r="K877" t="n">
        <v>0</v>
      </c>
      <c r="L877" t="n">
        <v>0</v>
      </c>
      <c r="M877" t="n">
        <v>0</v>
      </c>
      <c r="N877" t="n">
        <v>0</v>
      </c>
      <c r="O877" t="n">
        <v>0</v>
      </c>
      <c r="P877" t="n">
        <v>0</v>
      </c>
      <c r="Q877" t="n">
        <v>0</v>
      </c>
      <c r="R877" s="2" t="inlineStr"/>
    </row>
    <row r="878" ht="15" customHeight="1">
      <c r="A878" t="inlineStr">
        <is>
          <t>A 55037-2024</t>
        </is>
      </c>
      <c r="B878" s="1" t="n">
        <v>45621.38459490741</v>
      </c>
      <c r="C878" s="1" t="n">
        <v>45971</v>
      </c>
      <c r="D878" t="inlineStr">
        <is>
          <t>KALMAR LÄN</t>
        </is>
      </c>
      <c r="E878" t="inlineStr">
        <is>
          <t>VÄSTERVIK</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51515-2025</t>
        </is>
      </c>
      <c r="B879" s="1" t="n">
        <v>45950.65560185185</v>
      </c>
      <c r="C879" s="1" t="n">
        <v>45971</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51181-2025</t>
        </is>
      </c>
      <c r="B880" s="1" t="n">
        <v>45947.61859953704</v>
      </c>
      <c r="C880" s="1" t="n">
        <v>45971</v>
      </c>
      <c r="D880" t="inlineStr">
        <is>
          <t>KALMAR LÄN</t>
        </is>
      </c>
      <c r="E880" t="inlineStr">
        <is>
          <t>VÄSTERVIK</t>
        </is>
      </c>
      <c r="G880" t="n">
        <v>1.5</v>
      </c>
      <c r="H880" t="n">
        <v>0</v>
      </c>
      <c r="I880" t="n">
        <v>0</v>
      </c>
      <c r="J880" t="n">
        <v>0</v>
      </c>
      <c r="K880" t="n">
        <v>0</v>
      </c>
      <c r="L880" t="n">
        <v>0</v>
      </c>
      <c r="M880" t="n">
        <v>0</v>
      </c>
      <c r="N880" t="n">
        <v>0</v>
      </c>
      <c r="O880" t="n">
        <v>0</v>
      </c>
      <c r="P880" t="n">
        <v>0</v>
      </c>
      <c r="Q880" t="n">
        <v>0</v>
      </c>
      <c r="R880" s="2" t="inlineStr"/>
    </row>
    <row r="881" ht="15" customHeight="1">
      <c r="A881" t="inlineStr">
        <is>
          <t>A 51182-2025</t>
        </is>
      </c>
      <c r="B881" s="1" t="n">
        <v>45947.6204050926</v>
      </c>
      <c r="C881" s="1" t="n">
        <v>45971</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26633-2025</t>
        </is>
      </c>
      <c r="B882" s="1" t="n">
        <v>45810.35262731482</v>
      </c>
      <c r="C882" s="1" t="n">
        <v>45971</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51426-2025</t>
        </is>
      </c>
      <c r="B883" s="1" t="n">
        <v>45950.53288194445</v>
      </c>
      <c r="C883" s="1" t="n">
        <v>45971</v>
      </c>
      <c r="D883" t="inlineStr">
        <is>
          <t>KALMAR LÄN</t>
        </is>
      </c>
      <c r="E883" t="inlineStr">
        <is>
          <t>VÄSTERVIK</t>
        </is>
      </c>
      <c r="G883" t="n">
        <v>3.8</v>
      </c>
      <c r="H883" t="n">
        <v>0</v>
      </c>
      <c r="I883" t="n">
        <v>0</v>
      </c>
      <c r="J883" t="n">
        <v>0</v>
      </c>
      <c r="K883" t="n">
        <v>0</v>
      </c>
      <c r="L883" t="n">
        <v>0</v>
      </c>
      <c r="M883" t="n">
        <v>0</v>
      </c>
      <c r="N883" t="n">
        <v>0</v>
      </c>
      <c r="O883" t="n">
        <v>0</v>
      </c>
      <c r="P883" t="n">
        <v>0</v>
      </c>
      <c r="Q883" t="n">
        <v>0</v>
      </c>
      <c r="R883" s="2" t="inlineStr"/>
    </row>
    <row r="884" ht="15" customHeight="1">
      <c r="A884" t="inlineStr">
        <is>
          <t>A 55358-2024</t>
        </is>
      </c>
      <c r="B884" s="1" t="n">
        <v>45621.82039351852</v>
      </c>
      <c r="C884" s="1" t="n">
        <v>45971</v>
      </c>
      <c r="D884" t="inlineStr">
        <is>
          <t>KALMAR LÄN</t>
        </is>
      </c>
      <c r="E884" t="inlineStr">
        <is>
          <t>VÄSTERVIK</t>
        </is>
      </c>
      <c r="F884" t="inlineStr">
        <is>
          <t>Sveaskog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51437-2025</t>
        </is>
      </c>
      <c r="B885" s="1" t="n">
        <v>45950.56834490741</v>
      </c>
      <c r="C885" s="1" t="n">
        <v>45971</v>
      </c>
      <c r="D885" t="inlineStr">
        <is>
          <t>KALMAR LÄN</t>
        </is>
      </c>
      <c r="E885" t="inlineStr">
        <is>
          <t>VÄSTERVIK</t>
        </is>
      </c>
      <c r="G885" t="n">
        <v>3.1</v>
      </c>
      <c r="H885" t="n">
        <v>0</v>
      </c>
      <c r="I885" t="n">
        <v>0</v>
      </c>
      <c r="J885" t="n">
        <v>0</v>
      </c>
      <c r="K885" t="n">
        <v>0</v>
      </c>
      <c r="L885" t="n">
        <v>0</v>
      </c>
      <c r="M885" t="n">
        <v>0</v>
      </c>
      <c r="N885" t="n">
        <v>0</v>
      </c>
      <c r="O885" t="n">
        <v>0</v>
      </c>
      <c r="P885" t="n">
        <v>0</v>
      </c>
      <c r="Q885" t="n">
        <v>0</v>
      </c>
      <c r="R885" s="2" t="inlineStr"/>
    </row>
    <row r="886" ht="15" customHeight="1">
      <c r="A886" t="inlineStr">
        <is>
          <t>A 51439-2025</t>
        </is>
      </c>
      <c r="B886" s="1" t="n">
        <v>45950.57254629629</v>
      </c>
      <c r="C886" s="1" t="n">
        <v>45971</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19551-2023</t>
        </is>
      </c>
      <c r="B887" s="1" t="n">
        <v>45049</v>
      </c>
      <c r="C887" s="1" t="n">
        <v>45971</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26566-2025</t>
        </is>
      </c>
      <c r="B888" s="1" t="n">
        <v>45807.66685185185</v>
      </c>
      <c r="C888" s="1" t="n">
        <v>45971</v>
      </c>
      <c r="D888" t="inlineStr">
        <is>
          <t>KALMAR LÄN</t>
        </is>
      </c>
      <c r="E888" t="inlineStr">
        <is>
          <t>VÄSTERVIK</t>
        </is>
      </c>
      <c r="G888" t="n">
        <v>2.5</v>
      </c>
      <c r="H888" t="n">
        <v>0</v>
      </c>
      <c r="I888" t="n">
        <v>0</v>
      </c>
      <c r="J888" t="n">
        <v>0</v>
      </c>
      <c r="K888" t="n">
        <v>0</v>
      </c>
      <c r="L888" t="n">
        <v>0</v>
      </c>
      <c r="M888" t="n">
        <v>0</v>
      </c>
      <c r="N888" t="n">
        <v>0</v>
      </c>
      <c r="O888" t="n">
        <v>0</v>
      </c>
      <c r="P888" t="n">
        <v>0</v>
      </c>
      <c r="Q888" t="n">
        <v>0</v>
      </c>
      <c r="R888" s="2" t="inlineStr"/>
    </row>
    <row r="889" ht="15" customHeight="1">
      <c r="A889" t="inlineStr">
        <is>
          <t>A 26569-2025</t>
        </is>
      </c>
      <c r="B889" s="1" t="n">
        <v>45807.67638888889</v>
      </c>
      <c r="C889" s="1" t="n">
        <v>45971</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26572-2025</t>
        </is>
      </c>
      <c r="B890" s="1" t="n">
        <v>45807.68232638889</v>
      </c>
      <c r="C890" s="1" t="n">
        <v>45971</v>
      </c>
      <c r="D890" t="inlineStr">
        <is>
          <t>KALMAR LÄN</t>
        </is>
      </c>
      <c r="E890" t="inlineStr">
        <is>
          <t>VÄSTERVIK</t>
        </is>
      </c>
      <c r="G890" t="n">
        <v>2.9</v>
      </c>
      <c r="H890" t="n">
        <v>0</v>
      </c>
      <c r="I890" t="n">
        <v>0</v>
      </c>
      <c r="J890" t="n">
        <v>0</v>
      </c>
      <c r="K890" t="n">
        <v>0</v>
      </c>
      <c r="L890" t="n">
        <v>0</v>
      </c>
      <c r="M890" t="n">
        <v>0</v>
      </c>
      <c r="N890" t="n">
        <v>0</v>
      </c>
      <c r="O890" t="n">
        <v>0</v>
      </c>
      <c r="P890" t="n">
        <v>0</v>
      </c>
      <c r="Q890" t="n">
        <v>0</v>
      </c>
      <c r="R890" s="2" t="inlineStr"/>
    </row>
    <row r="891" ht="15" customHeight="1">
      <c r="A891" t="inlineStr">
        <is>
          <t>A 51191-2025</t>
        </is>
      </c>
      <c r="B891" s="1" t="n">
        <v>45947.62629629629</v>
      </c>
      <c r="C891" s="1" t="n">
        <v>45971</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32394-2021</t>
        </is>
      </c>
      <c r="B892" s="1" t="n">
        <v>44371.63414351852</v>
      </c>
      <c r="C892" s="1" t="n">
        <v>45971</v>
      </c>
      <c r="D892" t="inlineStr">
        <is>
          <t>KALMAR LÄN</t>
        </is>
      </c>
      <c r="E892" t="inlineStr">
        <is>
          <t>VÄSTERVIK</t>
        </is>
      </c>
      <c r="G892" t="n">
        <v>2.2</v>
      </c>
      <c r="H892" t="n">
        <v>0</v>
      </c>
      <c r="I892" t="n">
        <v>0</v>
      </c>
      <c r="J892" t="n">
        <v>0</v>
      </c>
      <c r="K892" t="n">
        <v>0</v>
      </c>
      <c r="L892" t="n">
        <v>0</v>
      </c>
      <c r="M892" t="n">
        <v>0</v>
      </c>
      <c r="N892" t="n">
        <v>0</v>
      </c>
      <c r="O892" t="n">
        <v>0</v>
      </c>
      <c r="P892" t="n">
        <v>0</v>
      </c>
      <c r="Q892" t="n">
        <v>0</v>
      </c>
      <c r="R892" s="2" t="inlineStr"/>
    </row>
    <row r="893" ht="15" customHeight="1">
      <c r="A893" t="inlineStr">
        <is>
          <t>A 51050-2025</t>
        </is>
      </c>
      <c r="B893" s="1" t="n">
        <v>45947.43621527778</v>
      </c>
      <c r="C893" s="1" t="n">
        <v>45971</v>
      </c>
      <c r="D893" t="inlineStr">
        <is>
          <t>KALMAR LÄN</t>
        </is>
      </c>
      <c r="E893" t="inlineStr">
        <is>
          <t>VÄSTERVIK</t>
        </is>
      </c>
      <c r="G893" t="n">
        <v>2.8</v>
      </c>
      <c r="H893" t="n">
        <v>0</v>
      </c>
      <c r="I893" t="n">
        <v>0</v>
      </c>
      <c r="J893" t="n">
        <v>0</v>
      </c>
      <c r="K893" t="n">
        <v>0</v>
      </c>
      <c r="L893" t="n">
        <v>0</v>
      </c>
      <c r="M893" t="n">
        <v>0</v>
      </c>
      <c r="N893" t="n">
        <v>0</v>
      </c>
      <c r="O893" t="n">
        <v>0</v>
      </c>
      <c r="P893" t="n">
        <v>0</v>
      </c>
      <c r="Q893" t="n">
        <v>0</v>
      </c>
      <c r="R893" s="2" t="inlineStr"/>
    </row>
    <row r="894" ht="15" customHeight="1">
      <c r="A894" t="inlineStr">
        <is>
          <t>A 51441-2025</t>
        </is>
      </c>
      <c r="B894" s="1" t="n">
        <v>45950.57375</v>
      </c>
      <c r="C894" s="1" t="n">
        <v>45971</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26568-2025</t>
        </is>
      </c>
      <c r="B895" s="1" t="n">
        <v>45807.67447916666</v>
      </c>
      <c r="C895" s="1" t="n">
        <v>45971</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26571-2025</t>
        </is>
      </c>
      <c r="B896" s="1" t="n">
        <v>45807.6794212963</v>
      </c>
      <c r="C896" s="1" t="n">
        <v>45971</v>
      </c>
      <c r="D896" t="inlineStr">
        <is>
          <t>KALMAR LÄN</t>
        </is>
      </c>
      <c r="E896" t="inlineStr">
        <is>
          <t>VÄSTERVIK</t>
        </is>
      </c>
      <c r="G896" t="n">
        <v>2.8</v>
      </c>
      <c r="H896" t="n">
        <v>0</v>
      </c>
      <c r="I896" t="n">
        <v>0</v>
      </c>
      <c r="J896" t="n">
        <v>0</v>
      </c>
      <c r="K896" t="n">
        <v>0</v>
      </c>
      <c r="L896" t="n">
        <v>0</v>
      </c>
      <c r="M896" t="n">
        <v>0</v>
      </c>
      <c r="N896" t="n">
        <v>0</v>
      </c>
      <c r="O896" t="n">
        <v>0</v>
      </c>
      <c r="P896" t="n">
        <v>0</v>
      </c>
      <c r="Q896" t="n">
        <v>0</v>
      </c>
      <c r="R896" s="2" t="inlineStr"/>
    </row>
    <row r="897" ht="15" customHeight="1">
      <c r="A897" t="inlineStr">
        <is>
          <t>A 17052-2025</t>
        </is>
      </c>
      <c r="B897" s="1" t="n">
        <v>45755.60236111111</v>
      </c>
      <c r="C897" s="1" t="n">
        <v>45971</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17054-2025</t>
        </is>
      </c>
      <c r="B898" s="1" t="n">
        <v>45755.60278935185</v>
      </c>
      <c r="C898" s="1" t="n">
        <v>45971</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26770-2023</t>
        </is>
      </c>
      <c r="B899" s="1" t="n">
        <v>45093</v>
      </c>
      <c r="C899" s="1" t="n">
        <v>45971</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26772-2023</t>
        </is>
      </c>
      <c r="B900" s="1" t="n">
        <v>45093</v>
      </c>
      <c r="C900" s="1" t="n">
        <v>45971</v>
      </c>
      <c r="D900" t="inlineStr">
        <is>
          <t>KALMAR LÄN</t>
        </is>
      </c>
      <c r="E900" t="inlineStr">
        <is>
          <t>VÄSTERVIK</t>
        </is>
      </c>
      <c r="G900" t="n">
        <v>2</v>
      </c>
      <c r="H900" t="n">
        <v>0</v>
      </c>
      <c r="I900" t="n">
        <v>0</v>
      </c>
      <c r="J900" t="n">
        <v>0</v>
      </c>
      <c r="K900" t="n">
        <v>0</v>
      </c>
      <c r="L900" t="n">
        <v>0</v>
      </c>
      <c r="M900" t="n">
        <v>0</v>
      </c>
      <c r="N900" t="n">
        <v>0</v>
      </c>
      <c r="O900" t="n">
        <v>0</v>
      </c>
      <c r="P900" t="n">
        <v>0</v>
      </c>
      <c r="Q900" t="n">
        <v>0</v>
      </c>
      <c r="R900" s="2" t="inlineStr"/>
    </row>
    <row r="901" ht="15" customHeight="1">
      <c r="A901" t="inlineStr">
        <is>
          <t>A 26773-2023</t>
        </is>
      </c>
      <c r="B901" s="1" t="n">
        <v>45093</v>
      </c>
      <c r="C901" s="1" t="n">
        <v>45971</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51983-2025</t>
        </is>
      </c>
      <c r="B902" s="1" t="n">
        <v>45952.57481481481</v>
      </c>
      <c r="C902" s="1" t="n">
        <v>45971</v>
      </c>
      <c r="D902" t="inlineStr">
        <is>
          <t>KALMAR LÄN</t>
        </is>
      </c>
      <c r="E902" t="inlineStr">
        <is>
          <t>VÄSTERVIK</t>
        </is>
      </c>
      <c r="G902" t="n">
        <v>2.6</v>
      </c>
      <c r="H902" t="n">
        <v>0</v>
      </c>
      <c r="I902" t="n">
        <v>0</v>
      </c>
      <c r="J902" t="n">
        <v>0</v>
      </c>
      <c r="K902" t="n">
        <v>0</v>
      </c>
      <c r="L902" t="n">
        <v>0</v>
      </c>
      <c r="M902" t="n">
        <v>0</v>
      </c>
      <c r="N902" t="n">
        <v>0</v>
      </c>
      <c r="O902" t="n">
        <v>0</v>
      </c>
      <c r="P902" t="n">
        <v>0</v>
      </c>
      <c r="Q902" t="n">
        <v>0</v>
      </c>
      <c r="R902" s="2" t="inlineStr"/>
    </row>
    <row r="903" ht="15" customHeight="1">
      <c r="A903" t="inlineStr">
        <is>
          <t>A 46130-2023</t>
        </is>
      </c>
      <c r="B903" s="1" t="n">
        <v>45196.55849537037</v>
      </c>
      <c r="C903" s="1" t="n">
        <v>45971</v>
      </c>
      <c r="D903" t="inlineStr">
        <is>
          <t>KALMAR LÄN</t>
        </is>
      </c>
      <c r="E903" t="inlineStr">
        <is>
          <t>VÄSTERVIK</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51566-2025</t>
        </is>
      </c>
      <c r="B904" s="1" t="n">
        <v>45951.30868055556</v>
      </c>
      <c r="C904" s="1" t="n">
        <v>45971</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16207-2022</t>
        </is>
      </c>
      <c r="B905" s="1" t="n">
        <v>44669</v>
      </c>
      <c r="C905" s="1" t="n">
        <v>45971</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19694-2025</t>
        </is>
      </c>
      <c r="B906" s="1" t="n">
        <v>45771.30550925926</v>
      </c>
      <c r="C906" s="1" t="n">
        <v>45971</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51769-2025</t>
        </is>
      </c>
      <c r="B907" s="1" t="n">
        <v>45951.64155092592</v>
      </c>
      <c r="C907" s="1" t="n">
        <v>45971</v>
      </c>
      <c r="D907" t="inlineStr">
        <is>
          <t>KALMAR LÄN</t>
        </is>
      </c>
      <c r="E907" t="inlineStr">
        <is>
          <t>VÄSTERVIK</t>
        </is>
      </c>
      <c r="G907" t="n">
        <v>3.6</v>
      </c>
      <c r="H907" t="n">
        <v>0</v>
      </c>
      <c r="I907" t="n">
        <v>0</v>
      </c>
      <c r="J907" t="n">
        <v>0</v>
      </c>
      <c r="K907" t="n">
        <v>0</v>
      </c>
      <c r="L907" t="n">
        <v>0</v>
      </c>
      <c r="M907" t="n">
        <v>0</v>
      </c>
      <c r="N907" t="n">
        <v>0</v>
      </c>
      <c r="O907" t="n">
        <v>0</v>
      </c>
      <c r="P907" t="n">
        <v>0</v>
      </c>
      <c r="Q907" t="n">
        <v>0</v>
      </c>
      <c r="R907" s="2" t="inlineStr"/>
    </row>
    <row r="908" ht="15" customHeight="1">
      <c r="A908" t="inlineStr">
        <is>
          <t>A 52170-2025</t>
        </is>
      </c>
      <c r="B908" s="1" t="n">
        <v>45953.36766203704</v>
      </c>
      <c r="C908" s="1" t="n">
        <v>45971</v>
      </c>
      <c r="D908" t="inlineStr">
        <is>
          <t>KALMAR LÄN</t>
        </is>
      </c>
      <c r="E908" t="inlineStr">
        <is>
          <t>VÄSTERVIK</t>
        </is>
      </c>
      <c r="G908" t="n">
        <v>4.6</v>
      </c>
      <c r="H908" t="n">
        <v>0</v>
      </c>
      <c r="I908" t="n">
        <v>0</v>
      </c>
      <c r="J908" t="n">
        <v>0</v>
      </c>
      <c r="K908" t="n">
        <v>0</v>
      </c>
      <c r="L908" t="n">
        <v>0</v>
      </c>
      <c r="M908" t="n">
        <v>0</v>
      </c>
      <c r="N908" t="n">
        <v>0</v>
      </c>
      <c r="O908" t="n">
        <v>0</v>
      </c>
      <c r="P908" t="n">
        <v>0</v>
      </c>
      <c r="Q908" t="n">
        <v>0</v>
      </c>
      <c r="R908" s="2" t="inlineStr"/>
    </row>
    <row r="909" ht="15" customHeight="1">
      <c r="A909" t="inlineStr">
        <is>
          <t>A 52492-2025</t>
        </is>
      </c>
      <c r="B909" s="1" t="n">
        <v>45953</v>
      </c>
      <c r="C909" s="1" t="n">
        <v>45971</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27446-2025</t>
        </is>
      </c>
      <c r="B910" s="1" t="n">
        <v>45813.32667824074</v>
      </c>
      <c r="C910" s="1" t="n">
        <v>45971</v>
      </c>
      <c r="D910" t="inlineStr">
        <is>
          <t>KALMAR LÄN</t>
        </is>
      </c>
      <c r="E910" t="inlineStr">
        <is>
          <t>VÄSTERVIK</t>
        </is>
      </c>
      <c r="G910" t="n">
        <v>0.8</v>
      </c>
      <c r="H910" t="n">
        <v>0</v>
      </c>
      <c r="I910" t="n">
        <v>0</v>
      </c>
      <c r="J910" t="n">
        <v>0</v>
      </c>
      <c r="K910" t="n">
        <v>0</v>
      </c>
      <c r="L910" t="n">
        <v>0</v>
      </c>
      <c r="M910" t="n">
        <v>0</v>
      </c>
      <c r="N910" t="n">
        <v>0</v>
      </c>
      <c r="O910" t="n">
        <v>0</v>
      </c>
      <c r="P910" t="n">
        <v>0</v>
      </c>
      <c r="Q910" t="n">
        <v>0</v>
      </c>
      <c r="R910" s="2" t="inlineStr"/>
    </row>
    <row r="911" ht="15" customHeight="1">
      <c r="A911" t="inlineStr">
        <is>
          <t>A 56042-2023</t>
        </is>
      </c>
      <c r="B911" s="1" t="n">
        <v>45240.44670138889</v>
      </c>
      <c r="C911" s="1" t="n">
        <v>45971</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43651-2025</t>
        </is>
      </c>
      <c r="B912" s="1" t="n">
        <v>45912.32259259259</v>
      </c>
      <c r="C912" s="1" t="n">
        <v>45971</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27980-2025</t>
        </is>
      </c>
      <c r="B913" s="1" t="n">
        <v>45817.57395833333</v>
      </c>
      <c r="C913" s="1" t="n">
        <v>45971</v>
      </c>
      <c r="D913" t="inlineStr">
        <is>
          <t>KALMAR LÄN</t>
        </is>
      </c>
      <c r="E913" t="inlineStr">
        <is>
          <t>VÄSTERVIK</t>
        </is>
      </c>
      <c r="F913" t="inlineStr">
        <is>
          <t>Sveaskog</t>
        </is>
      </c>
      <c r="G913" t="n">
        <v>7.2</v>
      </c>
      <c r="H913" t="n">
        <v>0</v>
      </c>
      <c r="I913" t="n">
        <v>0</v>
      </c>
      <c r="J913" t="n">
        <v>0</v>
      </c>
      <c r="K913" t="n">
        <v>0</v>
      </c>
      <c r="L913" t="n">
        <v>0</v>
      </c>
      <c r="M913" t="n">
        <v>0</v>
      </c>
      <c r="N913" t="n">
        <v>0</v>
      </c>
      <c r="O913" t="n">
        <v>0</v>
      </c>
      <c r="P913" t="n">
        <v>0</v>
      </c>
      <c r="Q913" t="n">
        <v>0</v>
      </c>
      <c r="R913" s="2" t="inlineStr"/>
    </row>
    <row r="914" ht="15" customHeight="1">
      <c r="A914" t="inlineStr">
        <is>
          <t>A 52488-2025</t>
        </is>
      </c>
      <c r="B914" s="1" t="n">
        <v>45953</v>
      </c>
      <c r="C914" s="1" t="n">
        <v>45971</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35662-2023</t>
        </is>
      </c>
      <c r="B915" s="1" t="n">
        <v>45147</v>
      </c>
      <c r="C915" s="1" t="n">
        <v>45971</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27978-2025</t>
        </is>
      </c>
      <c r="B916" s="1" t="n">
        <v>45817.57153935185</v>
      </c>
      <c r="C916" s="1" t="n">
        <v>45971</v>
      </c>
      <c r="D916" t="inlineStr">
        <is>
          <t>KALMAR LÄN</t>
        </is>
      </c>
      <c r="E916" t="inlineStr">
        <is>
          <t>VÄSTERVIK</t>
        </is>
      </c>
      <c r="F916" t="inlineStr">
        <is>
          <t>Sveaskog</t>
        </is>
      </c>
      <c r="G916" t="n">
        <v>10.8</v>
      </c>
      <c r="H916" t="n">
        <v>0</v>
      </c>
      <c r="I916" t="n">
        <v>0</v>
      </c>
      <c r="J916" t="n">
        <v>0</v>
      </c>
      <c r="K916" t="n">
        <v>0</v>
      </c>
      <c r="L916" t="n">
        <v>0</v>
      </c>
      <c r="M916" t="n">
        <v>0</v>
      </c>
      <c r="N916" t="n">
        <v>0</v>
      </c>
      <c r="O916" t="n">
        <v>0</v>
      </c>
      <c r="P916" t="n">
        <v>0</v>
      </c>
      <c r="Q916" t="n">
        <v>0</v>
      </c>
      <c r="R916" s="2" t="inlineStr"/>
    </row>
    <row r="917" ht="15" customHeight="1">
      <c r="A917" t="inlineStr">
        <is>
          <t>A 28203-2025</t>
        </is>
      </c>
      <c r="B917" s="1" t="n">
        <v>45818.44662037037</v>
      </c>
      <c r="C917" s="1" t="n">
        <v>45971</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52190-2025</t>
        </is>
      </c>
      <c r="B918" s="1" t="n">
        <v>45953.38814814815</v>
      </c>
      <c r="C918" s="1" t="n">
        <v>45971</v>
      </c>
      <c r="D918" t="inlineStr">
        <is>
          <t>KALMAR LÄN</t>
        </is>
      </c>
      <c r="E918" t="inlineStr">
        <is>
          <t>VÄSTERVIK</t>
        </is>
      </c>
      <c r="G918" t="n">
        <v>1.8</v>
      </c>
      <c r="H918" t="n">
        <v>0</v>
      </c>
      <c r="I918" t="n">
        <v>0</v>
      </c>
      <c r="J918" t="n">
        <v>0</v>
      </c>
      <c r="K918" t="n">
        <v>0</v>
      </c>
      <c r="L918" t="n">
        <v>0</v>
      </c>
      <c r="M918" t="n">
        <v>0</v>
      </c>
      <c r="N918" t="n">
        <v>0</v>
      </c>
      <c r="O918" t="n">
        <v>0</v>
      </c>
      <c r="P918" t="n">
        <v>0</v>
      </c>
      <c r="Q918" t="n">
        <v>0</v>
      </c>
      <c r="R918" s="2" t="inlineStr"/>
    </row>
    <row r="919" ht="15" customHeight="1">
      <c r="A919" t="inlineStr">
        <is>
          <t>A 52194-2025</t>
        </is>
      </c>
      <c r="B919" s="1" t="n">
        <v>45953.39189814815</v>
      </c>
      <c r="C919" s="1" t="n">
        <v>45971</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27974-2025</t>
        </is>
      </c>
      <c r="B920" s="1" t="n">
        <v>45817.56891203704</v>
      </c>
      <c r="C920" s="1" t="n">
        <v>45971</v>
      </c>
      <c r="D920" t="inlineStr">
        <is>
          <t>KALMAR LÄN</t>
        </is>
      </c>
      <c r="E920" t="inlineStr">
        <is>
          <t>VÄSTERVIK</t>
        </is>
      </c>
      <c r="F920" t="inlineStr">
        <is>
          <t>Sveaskog</t>
        </is>
      </c>
      <c r="G920" t="n">
        <v>5</v>
      </c>
      <c r="H920" t="n">
        <v>0</v>
      </c>
      <c r="I920" t="n">
        <v>0</v>
      </c>
      <c r="J920" t="n">
        <v>0</v>
      </c>
      <c r="K920" t="n">
        <v>0</v>
      </c>
      <c r="L920" t="n">
        <v>0</v>
      </c>
      <c r="M920" t="n">
        <v>0</v>
      </c>
      <c r="N920" t="n">
        <v>0</v>
      </c>
      <c r="O920" t="n">
        <v>0</v>
      </c>
      <c r="P920" t="n">
        <v>0</v>
      </c>
      <c r="Q920" t="n">
        <v>0</v>
      </c>
      <c r="R920" s="2" t="inlineStr"/>
    </row>
    <row r="921" ht="15" customHeight="1">
      <c r="A921" t="inlineStr">
        <is>
          <t>A 7164-2025</t>
        </is>
      </c>
      <c r="B921" s="1" t="n">
        <v>45702.39331018519</v>
      </c>
      <c r="C921" s="1" t="n">
        <v>45971</v>
      </c>
      <c r="D921" t="inlineStr">
        <is>
          <t>KALMAR LÄN</t>
        </is>
      </c>
      <c r="E921" t="inlineStr">
        <is>
          <t>VÄSTERVIK</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28096-2025</t>
        </is>
      </c>
      <c r="B922" s="1" t="n">
        <v>45817.81831018518</v>
      </c>
      <c r="C922" s="1" t="n">
        <v>45971</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1585-2022</t>
        </is>
      </c>
      <c r="B923" s="1" t="n">
        <v>44573</v>
      </c>
      <c r="C923" s="1" t="n">
        <v>45971</v>
      </c>
      <c r="D923" t="inlineStr">
        <is>
          <t>KALMAR LÄN</t>
        </is>
      </c>
      <c r="E923" t="inlineStr">
        <is>
          <t>VÄSTERVIK</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56077-2024</t>
        </is>
      </c>
      <c r="B924" s="1" t="n">
        <v>45624.38690972222</v>
      </c>
      <c r="C924" s="1" t="n">
        <v>45971</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11856-2024</t>
        </is>
      </c>
      <c r="B925" s="1" t="n">
        <v>45376.43302083333</v>
      </c>
      <c r="C925" s="1" t="n">
        <v>45971</v>
      </c>
      <c r="D925" t="inlineStr">
        <is>
          <t>KALMAR LÄN</t>
        </is>
      </c>
      <c r="E925" t="inlineStr">
        <is>
          <t>VÄSTERVIK</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57367-2023</t>
        </is>
      </c>
      <c r="B926" s="1" t="n">
        <v>45245</v>
      </c>
      <c r="C926" s="1" t="n">
        <v>45971</v>
      </c>
      <c r="D926" t="inlineStr">
        <is>
          <t>KALMAR LÄN</t>
        </is>
      </c>
      <c r="E926" t="inlineStr">
        <is>
          <t>VÄSTERVIK</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28696-2025</t>
        </is>
      </c>
      <c r="B927" s="1" t="n">
        <v>45819.91342592592</v>
      </c>
      <c r="C927" s="1" t="n">
        <v>45971</v>
      </c>
      <c r="D927" t="inlineStr">
        <is>
          <t>KALMAR LÄN</t>
        </is>
      </c>
      <c r="E927" t="inlineStr">
        <is>
          <t>VÄSTERVIK</t>
        </is>
      </c>
      <c r="G927" t="n">
        <v>2.8</v>
      </c>
      <c r="H927" t="n">
        <v>0</v>
      </c>
      <c r="I927" t="n">
        <v>0</v>
      </c>
      <c r="J927" t="n">
        <v>0</v>
      </c>
      <c r="K927" t="n">
        <v>0</v>
      </c>
      <c r="L927" t="n">
        <v>0</v>
      </c>
      <c r="M927" t="n">
        <v>0</v>
      </c>
      <c r="N927" t="n">
        <v>0</v>
      </c>
      <c r="O927" t="n">
        <v>0</v>
      </c>
      <c r="P927" t="n">
        <v>0</v>
      </c>
      <c r="Q927" t="n">
        <v>0</v>
      </c>
      <c r="R927" s="2" t="inlineStr"/>
    </row>
    <row r="928" ht="15" customHeight="1">
      <c r="A928" t="inlineStr">
        <is>
          <t>A 35960-2023</t>
        </is>
      </c>
      <c r="B928" s="1" t="n">
        <v>45148.84990740741</v>
      </c>
      <c r="C928" s="1" t="n">
        <v>45971</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35962-2023</t>
        </is>
      </c>
      <c r="B929" s="1" t="n">
        <v>45148</v>
      </c>
      <c r="C929" s="1" t="n">
        <v>45971</v>
      </c>
      <c r="D929" t="inlineStr">
        <is>
          <t>KALMAR LÄN</t>
        </is>
      </c>
      <c r="E929" t="inlineStr">
        <is>
          <t>VÄSTERVIK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10441-2022</t>
        </is>
      </c>
      <c r="B930" s="1" t="n">
        <v>44623</v>
      </c>
      <c r="C930" s="1" t="n">
        <v>45971</v>
      </c>
      <c r="D930" t="inlineStr">
        <is>
          <t>KALMAR LÄN</t>
        </is>
      </c>
      <c r="E930" t="inlineStr">
        <is>
          <t>VÄSTERVIK</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11988-2022</t>
        </is>
      </c>
      <c r="B931" s="1" t="n">
        <v>44635.68771990741</v>
      </c>
      <c r="C931" s="1" t="n">
        <v>45971</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55866-2023</t>
        </is>
      </c>
      <c r="B932" s="1" t="n">
        <v>45239</v>
      </c>
      <c r="C932" s="1" t="n">
        <v>45971</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35770-2023</t>
        </is>
      </c>
      <c r="B933" s="1" t="n">
        <v>45147</v>
      </c>
      <c r="C933" s="1" t="n">
        <v>45971</v>
      </c>
      <c r="D933" t="inlineStr">
        <is>
          <t>KALMAR LÄN</t>
        </is>
      </c>
      <c r="E933" t="inlineStr">
        <is>
          <t>VÄSTERVIK</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36643-2023</t>
        </is>
      </c>
      <c r="B934" s="1" t="n">
        <v>45153</v>
      </c>
      <c r="C934" s="1" t="n">
        <v>45971</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54784-2023</t>
        </is>
      </c>
      <c r="B935" s="1" t="n">
        <v>45236.4803587963</v>
      </c>
      <c r="C935" s="1" t="n">
        <v>45971</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67133-2020</t>
        </is>
      </c>
      <c r="B936" s="1" t="n">
        <v>44180</v>
      </c>
      <c r="C936" s="1" t="n">
        <v>45971</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29678-2025</t>
        </is>
      </c>
      <c r="B937" s="1" t="n">
        <v>45825.50804398148</v>
      </c>
      <c r="C937" s="1" t="n">
        <v>45971</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45971</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45971</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30644-2025</t>
        </is>
      </c>
      <c r="B940" s="1" t="n">
        <v>45831</v>
      </c>
      <c r="C940" s="1" t="n">
        <v>45971</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30811-2025</t>
        </is>
      </c>
      <c r="B941" s="1" t="n">
        <v>45831.65712962963</v>
      </c>
      <c r="C941" s="1" t="n">
        <v>45971</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30800-2025</t>
        </is>
      </c>
      <c r="B942" s="1" t="n">
        <v>45831.65177083333</v>
      </c>
      <c r="C942" s="1" t="n">
        <v>45971</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16395-2024</t>
        </is>
      </c>
      <c r="B943" s="1" t="n">
        <v>45407.62733796296</v>
      </c>
      <c r="C943" s="1" t="n">
        <v>45971</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c r="U943">
        <f>HYPERLINK("https://klasma.github.io/Logging_0883/knärot/A 16395-2024 karta knärot.png", "A 16395-2024")</f>
        <v/>
      </c>
      <c r="V943">
        <f>HYPERLINK("https://klasma.github.io/Logging_0883/klagomål/A 16395-2024 FSC-klagomål.docx", "A 16395-2024")</f>
        <v/>
      </c>
      <c r="W943">
        <f>HYPERLINK("https://klasma.github.io/Logging_0883/klagomålsmail/A 16395-2024 FSC-klagomål mail.docx", "A 16395-2024")</f>
        <v/>
      </c>
      <c r="X943">
        <f>HYPERLINK("https://klasma.github.io/Logging_0883/tillsyn/A 16395-2024 tillsynsbegäran.docx", "A 16395-2024")</f>
        <v/>
      </c>
      <c r="Y943">
        <f>HYPERLINK("https://klasma.github.io/Logging_0883/tillsynsmail/A 16395-2024 tillsynsbegäran mail.docx", "A 16395-2024")</f>
        <v/>
      </c>
    </row>
    <row r="944" ht="15" customHeight="1">
      <c r="A944" t="inlineStr">
        <is>
          <t>A 30789-2025</t>
        </is>
      </c>
      <c r="B944" s="1" t="n">
        <v>45831.63174768518</v>
      </c>
      <c r="C944" s="1" t="n">
        <v>45971</v>
      </c>
      <c r="D944" t="inlineStr">
        <is>
          <t>KALMAR LÄN</t>
        </is>
      </c>
      <c r="E944" t="inlineStr">
        <is>
          <t>VÄSTERVIK</t>
        </is>
      </c>
      <c r="G944" t="n">
        <v>7</v>
      </c>
      <c r="H944" t="n">
        <v>0</v>
      </c>
      <c r="I944" t="n">
        <v>0</v>
      </c>
      <c r="J944" t="n">
        <v>0</v>
      </c>
      <c r="K944" t="n">
        <v>0</v>
      </c>
      <c r="L944" t="n">
        <v>0</v>
      </c>
      <c r="M944" t="n">
        <v>0</v>
      </c>
      <c r="N944" t="n">
        <v>0</v>
      </c>
      <c r="O944" t="n">
        <v>0</v>
      </c>
      <c r="P944" t="n">
        <v>0</v>
      </c>
      <c r="Q944" t="n">
        <v>0</v>
      </c>
      <c r="R944" s="2" t="inlineStr"/>
    </row>
    <row r="945" ht="15" customHeight="1">
      <c r="A945" t="inlineStr">
        <is>
          <t>A 55958-2023</t>
        </is>
      </c>
      <c r="B945" s="1" t="n">
        <v>45240.34900462963</v>
      </c>
      <c r="C945" s="1" t="n">
        <v>45971</v>
      </c>
      <c r="D945" t="inlineStr">
        <is>
          <t>KALMAR LÄN</t>
        </is>
      </c>
      <c r="E945" t="inlineStr">
        <is>
          <t>VÄSTERVIK</t>
        </is>
      </c>
      <c r="G945" t="n">
        <v>1.6</v>
      </c>
      <c r="H945" t="n">
        <v>0</v>
      </c>
      <c r="I945" t="n">
        <v>0</v>
      </c>
      <c r="J945" t="n">
        <v>0</v>
      </c>
      <c r="K945" t="n">
        <v>0</v>
      </c>
      <c r="L945" t="n">
        <v>0</v>
      </c>
      <c r="M945" t="n">
        <v>0</v>
      </c>
      <c r="N945" t="n">
        <v>0</v>
      </c>
      <c r="O945" t="n">
        <v>0</v>
      </c>
      <c r="P945" t="n">
        <v>0</v>
      </c>
      <c r="Q945" t="n">
        <v>0</v>
      </c>
      <c r="R945" s="2" t="inlineStr"/>
    </row>
    <row r="946" ht="15" customHeight="1">
      <c r="A946" t="inlineStr">
        <is>
          <t>A 44461-2025</t>
        </is>
      </c>
      <c r="B946" s="1" t="n">
        <v>45916.62190972222</v>
      </c>
      <c r="C946" s="1" t="n">
        <v>45971</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30690-2025</t>
        </is>
      </c>
      <c r="B947" s="1" t="n">
        <v>45831.53775462963</v>
      </c>
      <c r="C947" s="1" t="n">
        <v>45971</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30648-2025</t>
        </is>
      </c>
      <c r="B948" s="1" t="n">
        <v>45831</v>
      </c>
      <c r="C948" s="1" t="n">
        <v>45971</v>
      </c>
      <c r="D948" t="inlineStr">
        <is>
          <t>KALMAR LÄN</t>
        </is>
      </c>
      <c r="E948" t="inlineStr">
        <is>
          <t>VÄSTERVIK</t>
        </is>
      </c>
      <c r="G948" t="n">
        <v>3</v>
      </c>
      <c r="H948" t="n">
        <v>0</v>
      </c>
      <c r="I948" t="n">
        <v>0</v>
      </c>
      <c r="J948" t="n">
        <v>0</v>
      </c>
      <c r="K948" t="n">
        <v>0</v>
      </c>
      <c r="L948" t="n">
        <v>0</v>
      </c>
      <c r="M948" t="n">
        <v>0</v>
      </c>
      <c r="N948" t="n">
        <v>0</v>
      </c>
      <c r="O948" t="n">
        <v>0</v>
      </c>
      <c r="P948" t="n">
        <v>0</v>
      </c>
      <c r="Q948" t="n">
        <v>0</v>
      </c>
      <c r="R948" s="2" t="inlineStr"/>
    </row>
    <row r="949" ht="15" customHeight="1">
      <c r="A949" t="inlineStr">
        <is>
          <t>A 31576-2025</t>
        </is>
      </c>
      <c r="B949" s="1" t="n">
        <v>45833.67266203704</v>
      </c>
      <c r="C949" s="1" t="n">
        <v>45971</v>
      </c>
      <c r="D949" t="inlineStr">
        <is>
          <t>KALMAR LÄN</t>
        </is>
      </c>
      <c r="E949" t="inlineStr">
        <is>
          <t>VÄSTERVIK</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31826-2025</t>
        </is>
      </c>
      <c r="B950" s="1" t="n">
        <v>45834.58306712963</v>
      </c>
      <c r="C950" s="1" t="n">
        <v>45971</v>
      </c>
      <c r="D950" t="inlineStr">
        <is>
          <t>KALMAR LÄN</t>
        </is>
      </c>
      <c r="E950" t="inlineStr">
        <is>
          <t>VÄSTERVIK</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31843-2025</t>
        </is>
      </c>
      <c r="B951" s="1" t="n">
        <v>45834.5984375</v>
      </c>
      <c r="C951" s="1" t="n">
        <v>45971</v>
      </c>
      <c r="D951" t="inlineStr">
        <is>
          <t>KALMAR LÄN</t>
        </is>
      </c>
      <c r="E951" t="inlineStr">
        <is>
          <t>VÄSTERVIK</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31857-2025</t>
        </is>
      </c>
      <c r="B952" s="1" t="n">
        <v>45834.62629629629</v>
      </c>
      <c r="C952" s="1" t="n">
        <v>45971</v>
      </c>
      <c r="D952" t="inlineStr">
        <is>
          <t>KALMAR LÄN</t>
        </is>
      </c>
      <c r="E952" t="inlineStr">
        <is>
          <t>VÄSTERVIK</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10774-2025</t>
        </is>
      </c>
      <c r="B953" s="1" t="n">
        <v>45722.47424768518</v>
      </c>
      <c r="C953" s="1" t="n">
        <v>45971</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40977-2023</t>
        </is>
      </c>
      <c r="B954" s="1" t="n">
        <v>45173</v>
      </c>
      <c r="C954" s="1" t="n">
        <v>45971</v>
      </c>
      <c r="D954" t="inlineStr">
        <is>
          <t>KALMAR LÄN</t>
        </is>
      </c>
      <c r="E954" t="inlineStr">
        <is>
          <t>VÄSTERVIK</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23743-2022</t>
        </is>
      </c>
      <c r="B955" s="1" t="n">
        <v>44722.35611111111</v>
      </c>
      <c r="C955" s="1" t="n">
        <v>45971</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31419-2025</t>
        </is>
      </c>
      <c r="B956" s="1" t="n">
        <v>45833.48370370371</v>
      </c>
      <c r="C956" s="1" t="n">
        <v>45971</v>
      </c>
      <c r="D956" t="inlineStr">
        <is>
          <t>KALMAR LÄN</t>
        </is>
      </c>
      <c r="E956" t="inlineStr">
        <is>
          <t>VÄSTERVIK</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53394-2025</t>
        </is>
      </c>
      <c r="B957" s="1" t="n">
        <v>45959.5534837963</v>
      </c>
      <c r="C957" s="1" t="n">
        <v>45971</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44849-2025</t>
        </is>
      </c>
      <c r="B958" s="1" t="n">
        <v>45918.44545138889</v>
      </c>
      <c r="C958" s="1" t="n">
        <v>45971</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23706-2025</t>
        </is>
      </c>
      <c r="B959" s="1" t="n">
        <v>45793.36922453704</v>
      </c>
      <c r="C959" s="1" t="n">
        <v>45971</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53333-2025</t>
        </is>
      </c>
      <c r="B960" s="1" t="n">
        <v>45959.37754629629</v>
      </c>
      <c r="C960" s="1" t="n">
        <v>45971</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53334-2025</t>
        </is>
      </c>
      <c r="B961" s="1" t="n">
        <v>45959.38063657407</v>
      </c>
      <c r="C961" s="1" t="n">
        <v>45971</v>
      </c>
      <c r="D961" t="inlineStr">
        <is>
          <t>KALMAR LÄN</t>
        </is>
      </c>
      <c r="E961" t="inlineStr">
        <is>
          <t>VÄSTERVIK</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31886-2025</t>
        </is>
      </c>
      <c r="B962" s="1" t="n">
        <v>45834.65864583333</v>
      </c>
      <c r="C962" s="1" t="n">
        <v>45971</v>
      </c>
      <c r="D962" t="inlineStr">
        <is>
          <t>KALMAR LÄN</t>
        </is>
      </c>
      <c r="E962" t="inlineStr">
        <is>
          <t>VÄSTERVIK</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31600-2025</t>
        </is>
      </c>
      <c r="B963" s="1" t="n">
        <v>45833.72505787037</v>
      </c>
      <c r="C963" s="1" t="n">
        <v>45971</v>
      </c>
      <c r="D963" t="inlineStr">
        <is>
          <t>KALMAR LÄN</t>
        </is>
      </c>
      <c r="E963" t="inlineStr">
        <is>
          <t>VÄSTERVIK</t>
        </is>
      </c>
      <c r="F963" t="inlineStr">
        <is>
          <t>Holmen skog AB</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42868-2025</t>
        </is>
      </c>
      <c r="B964" s="1" t="n">
        <v>45908</v>
      </c>
      <c r="C964" s="1" t="n">
        <v>45971</v>
      </c>
      <c r="D964" t="inlineStr">
        <is>
          <t>KALMAR LÄN</t>
        </is>
      </c>
      <c r="E964" t="inlineStr">
        <is>
          <t>VÄSTERVIK</t>
        </is>
      </c>
      <c r="F964" t="inlineStr">
        <is>
          <t>Holmen skog AB</t>
        </is>
      </c>
      <c r="G964" t="n">
        <v>3.7</v>
      </c>
      <c r="H964" t="n">
        <v>0</v>
      </c>
      <c r="I964" t="n">
        <v>0</v>
      </c>
      <c r="J964" t="n">
        <v>0</v>
      </c>
      <c r="K964" t="n">
        <v>0</v>
      </c>
      <c r="L964" t="n">
        <v>0</v>
      </c>
      <c r="M964" t="n">
        <v>0</v>
      </c>
      <c r="N964" t="n">
        <v>0</v>
      </c>
      <c r="O964" t="n">
        <v>0</v>
      </c>
      <c r="P964" t="n">
        <v>0</v>
      </c>
      <c r="Q964" t="n">
        <v>0</v>
      </c>
      <c r="R964" s="2" t="inlineStr"/>
      <c r="U964">
        <f>HYPERLINK("https://klasma.github.io/Logging_0883/knärot/A 42868-2025 karta knärot.png", "A 42868-2025")</f>
        <v/>
      </c>
      <c r="V964">
        <f>HYPERLINK("https://klasma.github.io/Logging_0883/klagomål/A 42868-2025 FSC-klagomål.docx", "A 42868-2025")</f>
        <v/>
      </c>
      <c r="W964">
        <f>HYPERLINK("https://klasma.github.io/Logging_0883/klagomålsmail/A 42868-2025 FSC-klagomål mail.docx", "A 42868-2025")</f>
        <v/>
      </c>
      <c r="X964">
        <f>HYPERLINK("https://klasma.github.io/Logging_0883/tillsyn/A 42868-2025 tillsynsbegäran.docx", "A 42868-2025")</f>
        <v/>
      </c>
      <c r="Y964">
        <f>HYPERLINK("https://klasma.github.io/Logging_0883/tillsynsmail/A 42868-2025 tillsynsbegäran mail.docx", "A 42868-2025")</f>
        <v/>
      </c>
    </row>
    <row r="965" ht="15" customHeight="1">
      <c r="A965" t="inlineStr">
        <is>
          <t>A 4461-2025</t>
        </is>
      </c>
      <c r="B965" s="1" t="n">
        <v>45686</v>
      </c>
      <c r="C965" s="1" t="n">
        <v>45971</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c r="U965">
        <f>HYPERLINK("https://klasma.github.io/Logging_0883/knärot/A 4461-2025 karta knärot.png", "A 4461-2025")</f>
        <v/>
      </c>
      <c r="V965">
        <f>HYPERLINK("https://klasma.github.io/Logging_0883/klagomål/A 4461-2025 FSC-klagomål.docx", "A 4461-2025")</f>
        <v/>
      </c>
      <c r="W965">
        <f>HYPERLINK("https://klasma.github.io/Logging_0883/klagomålsmail/A 4461-2025 FSC-klagomål mail.docx", "A 4461-2025")</f>
        <v/>
      </c>
      <c r="X965">
        <f>HYPERLINK("https://klasma.github.io/Logging_0883/tillsyn/A 4461-2025 tillsynsbegäran.docx", "A 4461-2025")</f>
        <v/>
      </c>
      <c r="Y965">
        <f>HYPERLINK("https://klasma.github.io/Logging_0883/tillsynsmail/A 4461-2025 tillsynsbegäran mail.docx", "A 4461-2025")</f>
        <v/>
      </c>
    </row>
    <row r="966" ht="15" customHeight="1">
      <c r="A966" t="inlineStr">
        <is>
          <t>A 37642-2023</t>
        </is>
      </c>
      <c r="B966" s="1" t="n">
        <v>45159.47940972223</v>
      </c>
      <c r="C966" s="1" t="n">
        <v>45971</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40969-2025</t>
        </is>
      </c>
      <c r="B967" s="1" t="n">
        <v>45897</v>
      </c>
      <c r="C967" s="1" t="n">
        <v>45971</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54951-2023</t>
        </is>
      </c>
      <c r="B968" s="1" t="n">
        <v>45236.82902777778</v>
      </c>
      <c r="C968" s="1" t="n">
        <v>45971</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32018-2025</t>
        </is>
      </c>
      <c r="B969" s="1" t="n">
        <v>45835.40452546296</v>
      </c>
      <c r="C969" s="1" t="n">
        <v>45971</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52049-2023</t>
        </is>
      </c>
      <c r="B970" s="1" t="n">
        <v>45216</v>
      </c>
      <c r="C970" s="1" t="n">
        <v>45971</v>
      </c>
      <c r="D970" t="inlineStr">
        <is>
          <t>KALMAR LÄN</t>
        </is>
      </c>
      <c r="E970" t="inlineStr">
        <is>
          <t>VÄSTERVIK</t>
        </is>
      </c>
      <c r="G970" t="n">
        <v>4.4</v>
      </c>
      <c r="H970" t="n">
        <v>0</v>
      </c>
      <c r="I970" t="n">
        <v>0</v>
      </c>
      <c r="J970" t="n">
        <v>0</v>
      </c>
      <c r="K970" t="n">
        <v>0</v>
      </c>
      <c r="L970" t="n">
        <v>0</v>
      </c>
      <c r="M970" t="n">
        <v>0</v>
      </c>
      <c r="N970" t="n">
        <v>0</v>
      </c>
      <c r="O970" t="n">
        <v>0</v>
      </c>
      <c r="P970" t="n">
        <v>0</v>
      </c>
      <c r="Q970" t="n">
        <v>0</v>
      </c>
      <c r="R970" s="2" t="inlineStr"/>
    </row>
    <row r="971" ht="15" customHeight="1">
      <c r="A971" t="inlineStr">
        <is>
          <t>A 44848-2025</t>
        </is>
      </c>
      <c r="B971" s="1" t="n">
        <v>45918.44344907408</v>
      </c>
      <c r="C971" s="1" t="n">
        <v>45971</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44853-2025</t>
        </is>
      </c>
      <c r="B972" s="1" t="n">
        <v>45918.44818287037</v>
      </c>
      <c r="C972" s="1" t="n">
        <v>45971</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44861-2025</t>
        </is>
      </c>
      <c r="B973" s="1" t="n">
        <v>45918.45793981481</v>
      </c>
      <c r="C973" s="1" t="n">
        <v>45971</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c r="U973">
        <f>HYPERLINK("https://klasma.github.io/Logging_0883/knärot/A 44861-2025 karta knärot.png", "A 44861-2025")</f>
        <v/>
      </c>
      <c r="V973">
        <f>HYPERLINK("https://klasma.github.io/Logging_0883/klagomål/A 44861-2025 FSC-klagomål.docx", "A 44861-2025")</f>
        <v/>
      </c>
      <c r="W973">
        <f>HYPERLINK("https://klasma.github.io/Logging_0883/klagomålsmail/A 44861-2025 FSC-klagomål mail.docx", "A 44861-2025")</f>
        <v/>
      </c>
      <c r="X973">
        <f>HYPERLINK("https://klasma.github.io/Logging_0883/tillsyn/A 44861-2025 tillsynsbegäran.docx", "A 44861-2025")</f>
        <v/>
      </c>
      <c r="Y973">
        <f>HYPERLINK("https://klasma.github.io/Logging_0883/tillsynsmail/A 44861-2025 tillsynsbegäran mail.docx", "A 44861-2025")</f>
        <v/>
      </c>
    </row>
    <row r="974" ht="15" customHeight="1">
      <c r="A974" t="inlineStr">
        <is>
          <t>A 44792-2025</t>
        </is>
      </c>
      <c r="B974" s="1" t="n">
        <v>45918.31287037037</v>
      </c>
      <c r="C974" s="1" t="n">
        <v>45971</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32495-2025</t>
        </is>
      </c>
      <c r="B975" s="1" t="n">
        <v>45838.4546875</v>
      </c>
      <c r="C975" s="1" t="n">
        <v>45971</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32778-2025</t>
        </is>
      </c>
      <c r="B976" s="1" t="n">
        <v>45839.46924768519</v>
      </c>
      <c r="C976" s="1" t="n">
        <v>45971</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30035-2023</t>
        </is>
      </c>
      <c r="B977" s="1" t="n">
        <v>45110</v>
      </c>
      <c r="C977" s="1" t="n">
        <v>45971</v>
      </c>
      <c r="D977" t="inlineStr">
        <is>
          <t>KALMAR LÄN</t>
        </is>
      </c>
      <c r="E977" t="inlineStr">
        <is>
          <t>VÄSTERVIK</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48039-2025</t>
        </is>
      </c>
      <c r="B978" s="1" t="n">
        <v>45932</v>
      </c>
      <c r="C978" s="1" t="n">
        <v>45971</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44981-2025</t>
        </is>
      </c>
      <c r="B979" s="1" t="n">
        <v>45918.64869212963</v>
      </c>
      <c r="C979" s="1" t="n">
        <v>45971</v>
      </c>
      <c r="D979" t="inlineStr">
        <is>
          <t>KALMAR LÄN</t>
        </is>
      </c>
      <c r="E979" t="inlineStr">
        <is>
          <t>VÄSTERVIK</t>
        </is>
      </c>
      <c r="G979" t="n">
        <v>0.4</v>
      </c>
      <c r="H979" t="n">
        <v>0</v>
      </c>
      <c r="I979" t="n">
        <v>0</v>
      </c>
      <c r="J979" t="n">
        <v>0</v>
      </c>
      <c r="K979" t="n">
        <v>0</v>
      </c>
      <c r="L979" t="n">
        <v>0</v>
      </c>
      <c r="M979" t="n">
        <v>0</v>
      </c>
      <c r="N979" t="n">
        <v>0</v>
      </c>
      <c r="O979" t="n">
        <v>0</v>
      </c>
      <c r="P979" t="n">
        <v>0</v>
      </c>
      <c r="Q979" t="n">
        <v>0</v>
      </c>
      <c r="R979" s="2" t="inlineStr"/>
    </row>
    <row r="980" ht="15" customHeight="1">
      <c r="A980" t="inlineStr">
        <is>
          <t>A 61556-2023</t>
        </is>
      </c>
      <c r="B980" s="1" t="n">
        <v>45261</v>
      </c>
      <c r="C980" s="1" t="n">
        <v>45971</v>
      </c>
      <c r="D980" t="inlineStr">
        <is>
          <t>KALMAR LÄN</t>
        </is>
      </c>
      <c r="E980" t="inlineStr">
        <is>
          <t>VÄSTERVIK</t>
        </is>
      </c>
      <c r="F980" t="inlineStr">
        <is>
          <t>Övriga Aktiebolag</t>
        </is>
      </c>
      <c r="G980" t="n">
        <v>13.9</v>
      </c>
      <c r="H980" t="n">
        <v>0</v>
      </c>
      <c r="I980" t="n">
        <v>0</v>
      </c>
      <c r="J980" t="n">
        <v>0</v>
      </c>
      <c r="K980" t="n">
        <v>0</v>
      </c>
      <c r="L980" t="n">
        <v>0</v>
      </c>
      <c r="M980" t="n">
        <v>0</v>
      </c>
      <c r="N980" t="n">
        <v>0</v>
      </c>
      <c r="O980" t="n">
        <v>0</v>
      </c>
      <c r="P980" t="n">
        <v>0</v>
      </c>
      <c r="Q980" t="n">
        <v>0</v>
      </c>
      <c r="R980" s="2" t="inlineStr"/>
    </row>
    <row r="981" ht="15" customHeight="1">
      <c r="A981" t="inlineStr">
        <is>
          <t>A 32400-2025</t>
        </is>
      </c>
      <c r="B981" s="1" t="n">
        <v>45838.25818287037</v>
      </c>
      <c r="C981" s="1" t="n">
        <v>45971</v>
      </c>
      <c r="D981" t="inlineStr">
        <is>
          <t>KALMAR LÄN</t>
        </is>
      </c>
      <c r="E981" t="inlineStr">
        <is>
          <t>VÄSTERVIK</t>
        </is>
      </c>
      <c r="G981" t="n">
        <v>0.6</v>
      </c>
      <c r="H981" t="n">
        <v>0</v>
      </c>
      <c r="I981" t="n">
        <v>0</v>
      </c>
      <c r="J981" t="n">
        <v>0</v>
      </c>
      <c r="K981" t="n">
        <v>0</v>
      </c>
      <c r="L981" t="n">
        <v>0</v>
      </c>
      <c r="M981" t="n">
        <v>0</v>
      </c>
      <c r="N981" t="n">
        <v>0</v>
      </c>
      <c r="O981" t="n">
        <v>0</v>
      </c>
      <c r="P981" t="n">
        <v>0</v>
      </c>
      <c r="Q981" t="n">
        <v>0</v>
      </c>
      <c r="R981" s="2" t="inlineStr"/>
    </row>
    <row r="982" ht="15" customHeight="1">
      <c r="A982" t="inlineStr">
        <is>
          <t>A 33922-2025</t>
        </is>
      </c>
      <c r="B982" s="1" t="n">
        <v>45842.61993055556</v>
      </c>
      <c r="C982" s="1" t="n">
        <v>45971</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33928-2025</t>
        </is>
      </c>
      <c r="B983" s="1" t="n">
        <v>45842.62488425926</v>
      </c>
      <c r="C983" s="1" t="n">
        <v>45971</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34420-2024</t>
        </is>
      </c>
      <c r="B984" s="1" t="n">
        <v>45525.49710648148</v>
      </c>
      <c r="C984" s="1" t="n">
        <v>45971</v>
      </c>
      <c r="D984" t="inlineStr">
        <is>
          <t>KALMAR LÄN</t>
        </is>
      </c>
      <c r="E984" t="inlineStr">
        <is>
          <t>VÄSTERVIK</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33924-2025</t>
        </is>
      </c>
      <c r="B985" s="1" t="n">
        <v>45842.62152777778</v>
      </c>
      <c r="C985" s="1" t="n">
        <v>45971</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33921-2025</t>
        </is>
      </c>
      <c r="B986" s="1" t="n">
        <v>45842.61626157408</v>
      </c>
      <c r="C986" s="1" t="n">
        <v>45971</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33931-2025</t>
        </is>
      </c>
      <c r="B987" s="1" t="n">
        <v>45842.63288194445</v>
      </c>
      <c r="C987" s="1" t="n">
        <v>45971</v>
      </c>
      <c r="D987" t="inlineStr">
        <is>
          <t>KALMAR LÄN</t>
        </is>
      </c>
      <c r="E987" t="inlineStr">
        <is>
          <t>VÄSTERVIK</t>
        </is>
      </c>
      <c r="G987" t="n">
        <v>1.6</v>
      </c>
      <c r="H987" t="n">
        <v>0</v>
      </c>
      <c r="I987" t="n">
        <v>0</v>
      </c>
      <c r="J987" t="n">
        <v>0</v>
      </c>
      <c r="K987" t="n">
        <v>0</v>
      </c>
      <c r="L987" t="n">
        <v>0</v>
      </c>
      <c r="M987" t="n">
        <v>0</v>
      </c>
      <c r="N987" t="n">
        <v>0</v>
      </c>
      <c r="O987" t="n">
        <v>0</v>
      </c>
      <c r="P987" t="n">
        <v>0</v>
      </c>
      <c r="Q987" t="n">
        <v>0</v>
      </c>
      <c r="R987" s="2" t="inlineStr"/>
    </row>
    <row r="988" ht="15" customHeight="1">
      <c r="A988" t="inlineStr">
        <is>
          <t>A 63018-2023</t>
        </is>
      </c>
      <c r="B988" s="1" t="n">
        <v>45272</v>
      </c>
      <c r="C988" s="1" t="n">
        <v>45971</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23024-2025</t>
        </is>
      </c>
      <c r="B989" s="1" t="n">
        <v>45790.65615740741</v>
      </c>
      <c r="C989" s="1" t="n">
        <v>45971</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3467-2025</t>
        </is>
      </c>
      <c r="B990" s="1" t="n">
        <v>45680.50885416667</v>
      </c>
      <c r="C990" s="1" t="n">
        <v>45971</v>
      </c>
      <c r="D990" t="inlineStr">
        <is>
          <t>KALMAR LÄN</t>
        </is>
      </c>
      <c r="E990" t="inlineStr">
        <is>
          <t>VÄSTERVIK</t>
        </is>
      </c>
      <c r="G990" t="n">
        <v>2.7</v>
      </c>
      <c r="H990" t="n">
        <v>0</v>
      </c>
      <c r="I990" t="n">
        <v>0</v>
      </c>
      <c r="J990" t="n">
        <v>0</v>
      </c>
      <c r="K990" t="n">
        <v>0</v>
      </c>
      <c r="L990" t="n">
        <v>0</v>
      </c>
      <c r="M990" t="n">
        <v>0</v>
      </c>
      <c r="N990" t="n">
        <v>0</v>
      </c>
      <c r="O990" t="n">
        <v>0</v>
      </c>
      <c r="P990" t="n">
        <v>0</v>
      </c>
      <c r="Q990" t="n">
        <v>0</v>
      </c>
      <c r="R990" s="2" t="inlineStr"/>
    </row>
    <row r="991" ht="15" customHeight="1">
      <c r="A991" t="inlineStr">
        <is>
          <t>A 6021-2024</t>
        </is>
      </c>
      <c r="B991" s="1" t="n">
        <v>45336.62131944444</v>
      </c>
      <c r="C991" s="1" t="n">
        <v>45971</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34162-2025</t>
        </is>
      </c>
      <c r="B992" s="1" t="n">
        <v>45845.57983796296</v>
      </c>
      <c r="C992" s="1" t="n">
        <v>45971</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34289-2025</t>
        </is>
      </c>
      <c r="B993" s="1" t="n">
        <v>45846.334375</v>
      </c>
      <c r="C993" s="1" t="n">
        <v>45971</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55287-2023</t>
        </is>
      </c>
      <c r="B994" s="1" t="n">
        <v>45237.75578703704</v>
      </c>
      <c r="C994" s="1" t="n">
        <v>45971</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34397-2025</t>
        </is>
      </c>
      <c r="B995" s="1" t="n">
        <v>45846.59813657407</v>
      </c>
      <c r="C995" s="1" t="n">
        <v>45971</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53364-2025</t>
        </is>
      </c>
      <c r="B996" s="1" t="n">
        <v>45959.48401620371</v>
      </c>
      <c r="C996" s="1" t="n">
        <v>45971</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53366-2025</t>
        </is>
      </c>
      <c r="B997" s="1" t="n">
        <v>45959.48521990741</v>
      </c>
      <c r="C997" s="1" t="n">
        <v>45971</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34160-2025</t>
        </is>
      </c>
      <c r="B998" s="1" t="n">
        <v>45845.57701388889</v>
      </c>
      <c r="C998" s="1" t="n">
        <v>45971</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34171-2025</t>
        </is>
      </c>
      <c r="B999" s="1" t="n">
        <v>45845.58966435185</v>
      </c>
      <c r="C999" s="1" t="n">
        <v>45971</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45971</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45971</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45971</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34617-2025</t>
        </is>
      </c>
      <c r="B1003" s="1" t="n">
        <v>45847</v>
      </c>
      <c r="C1003" s="1" t="n">
        <v>45971</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34618-2025</t>
        </is>
      </c>
      <c r="B1004" s="1" t="n">
        <v>45847</v>
      </c>
      <c r="C1004" s="1" t="n">
        <v>45971</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34639-2025</t>
        </is>
      </c>
      <c r="B1005" s="1" t="n">
        <v>45848</v>
      </c>
      <c r="C1005" s="1" t="n">
        <v>45971</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55289-2023</t>
        </is>
      </c>
      <c r="B1006" s="1" t="n">
        <v>45237.76106481482</v>
      </c>
      <c r="C1006" s="1" t="n">
        <v>45971</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34531-2025</t>
        </is>
      </c>
      <c r="B1007" s="1" t="n">
        <v>45847.50152777778</v>
      </c>
      <c r="C1007" s="1" t="n">
        <v>45971</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33207-2022</t>
        </is>
      </c>
      <c r="B1008" s="1" t="n">
        <v>44785.72373842593</v>
      </c>
      <c r="C1008" s="1" t="n">
        <v>45971</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33210-2022</t>
        </is>
      </c>
      <c r="B1009" s="1" t="n">
        <v>44785.74811342593</v>
      </c>
      <c r="C1009" s="1" t="n">
        <v>45971</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54286-2025</t>
        </is>
      </c>
      <c r="B1010" s="1" t="n">
        <v>45964.79894675926</v>
      </c>
      <c r="C1010" s="1" t="n">
        <v>45971</v>
      </c>
      <c r="D1010" t="inlineStr">
        <is>
          <t>KALMAR LÄN</t>
        </is>
      </c>
      <c r="E1010" t="inlineStr">
        <is>
          <t>VÄSTERVIK</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34619-2025</t>
        </is>
      </c>
      <c r="B1011" s="1" t="n">
        <v>45847</v>
      </c>
      <c r="C1011" s="1" t="n">
        <v>45971</v>
      </c>
      <c r="D1011" t="inlineStr">
        <is>
          <t>KALMAR LÄN</t>
        </is>
      </c>
      <c r="E1011" t="inlineStr">
        <is>
          <t>VÄSTERVIK</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54290-2025</t>
        </is>
      </c>
      <c r="B1012" s="1" t="n">
        <v>45964.81896990741</v>
      </c>
      <c r="C1012" s="1" t="n">
        <v>45971</v>
      </c>
      <c r="D1012" t="inlineStr">
        <is>
          <t>KALMAR LÄN</t>
        </is>
      </c>
      <c r="E1012" t="inlineStr">
        <is>
          <t>VÄSTERVIK</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10515-2024</t>
        </is>
      </c>
      <c r="B1013" s="1" t="n">
        <v>45366</v>
      </c>
      <c r="C1013" s="1" t="n">
        <v>45971</v>
      </c>
      <c r="D1013" t="inlineStr">
        <is>
          <t>KALMAR LÄN</t>
        </is>
      </c>
      <c r="E1013" t="inlineStr">
        <is>
          <t>VÄSTERVIK</t>
        </is>
      </c>
      <c r="F1013" t="inlineStr">
        <is>
          <t>Kyrkan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34643-2025</t>
        </is>
      </c>
      <c r="B1014" s="1" t="n">
        <v>45848.32959490741</v>
      </c>
      <c r="C1014" s="1" t="n">
        <v>45971</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46088-2023</t>
        </is>
      </c>
      <c r="B1015" s="1" t="n">
        <v>45196.50065972222</v>
      </c>
      <c r="C1015" s="1" t="n">
        <v>45971</v>
      </c>
      <c r="D1015" t="inlineStr">
        <is>
          <t>KALMAR LÄN</t>
        </is>
      </c>
      <c r="E1015" t="inlineStr">
        <is>
          <t>VÄSTERVIK</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46121-2023</t>
        </is>
      </c>
      <c r="B1016" s="1" t="n">
        <v>45196.55392361111</v>
      </c>
      <c r="C1016" s="1" t="n">
        <v>45971</v>
      </c>
      <c r="D1016" t="inlineStr">
        <is>
          <t>KALMAR LÄN</t>
        </is>
      </c>
      <c r="E1016" t="inlineStr">
        <is>
          <t>VÄSTERVIK</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61450-2023</t>
        </is>
      </c>
      <c r="B1017" s="1" t="n">
        <v>45264.8162037037</v>
      </c>
      <c r="C1017" s="1" t="n">
        <v>45971</v>
      </c>
      <c r="D1017" t="inlineStr">
        <is>
          <t>KALMAR LÄN</t>
        </is>
      </c>
      <c r="E1017" t="inlineStr">
        <is>
          <t>VÄSTERVIK</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45971</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34916-2025</t>
        </is>
      </c>
      <c r="B1019" s="1" t="n">
        <v>45849.54420138889</v>
      </c>
      <c r="C1019" s="1" t="n">
        <v>45971</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56033-2023</t>
        </is>
      </c>
      <c r="B1020" s="1" t="n">
        <v>45240.43778935185</v>
      </c>
      <c r="C1020" s="1" t="n">
        <v>45971</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10012-2025</t>
        </is>
      </c>
      <c r="B1021" s="1" t="n">
        <v>45719.46681712963</v>
      </c>
      <c r="C1021" s="1" t="n">
        <v>45971</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28404-2024</t>
        </is>
      </c>
      <c r="B1022" s="1" t="n">
        <v>45477.61552083334</v>
      </c>
      <c r="C1022" s="1" t="n">
        <v>45971</v>
      </c>
      <c r="D1022" t="inlineStr">
        <is>
          <t>KALMAR LÄN</t>
        </is>
      </c>
      <c r="E1022" t="inlineStr">
        <is>
          <t>VÄSTERVIK</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28415-2024</t>
        </is>
      </c>
      <c r="B1023" s="1" t="n">
        <v>45477.62924768519</v>
      </c>
      <c r="C1023" s="1" t="n">
        <v>45971</v>
      </c>
      <c r="D1023" t="inlineStr">
        <is>
          <t>KALMAR LÄN</t>
        </is>
      </c>
      <c r="E1023" t="inlineStr">
        <is>
          <t>VÄSTERVIK</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934-2024</t>
        </is>
      </c>
      <c r="B1024" s="1" t="n">
        <v>45301.51439814815</v>
      </c>
      <c r="C1024" s="1" t="n">
        <v>45971</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936-2024</t>
        </is>
      </c>
      <c r="B1025" s="1" t="n">
        <v>45301.51950231481</v>
      </c>
      <c r="C1025" s="1" t="n">
        <v>45971</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27982-2025</t>
        </is>
      </c>
      <c r="B1026" s="1" t="n">
        <v>45817.57549768518</v>
      </c>
      <c r="C1026" s="1" t="n">
        <v>45971</v>
      </c>
      <c r="D1026" t="inlineStr">
        <is>
          <t>KALMAR LÄN</t>
        </is>
      </c>
      <c r="E1026" t="inlineStr">
        <is>
          <t>VÄSTERVIK</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25434-2023</t>
        </is>
      </c>
      <c r="B1027" s="1" t="n">
        <v>45089.41912037037</v>
      </c>
      <c r="C1027" s="1" t="n">
        <v>45971</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35207-2025</t>
        </is>
      </c>
      <c r="B1028" s="1" t="n">
        <v>45853.43320601852</v>
      </c>
      <c r="C1028" s="1" t="n">
        <v>45971</v>
      </c>
      <c r="D1028" t="inlineStr">
        <is>
          <t>KALMAR LÄN</t>
        </is>
      </c>
      <c r="E1028" t="inlineStr">
        <is>
          <t>VÄSTERVIK</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35187-2025</t>
        </is>
      </c>
      <c r="B1029" s="1" t="n">
        <v>45853.31940972222</v>
      </c>
      <c r="C1029" s="1" t="n">
        <v>45971</v>
      </c>
      <c r="D1029" t="inlineStr">
        <is>
          <t>KALMAR LÄN</t>
        </is>
      </c>
      <c r="E1029" t="inlineStr">
        <is>
          <t>VÄSTERVIK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18068-2023</t>
        </is>
      </c>
      <c r="B1030" s="1" t="n">
        <v>45040</v>
      </c>
      <c r="C1030" s="1" t="n">
        <v>45971</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53885-2025</t>
        </is>
      </c>
      <c r="B1031" s="1" t="n">
        <v>45961.40505787037</v>
      </c>
      <c r="C1031" s="1" t="n">
        <v>45971</v>
      </c>
      <c r="D1031" t="inlineStr">
        <is>
          <t>KALMAR LÄN</t>
        </is>
      </c>
      <c r="E1031" t="inlineStr">
        <is>
          <t>VÄSTERVIK</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53854-2025</t>
        </is>
      </c>
      <c r="B1032" s="1" t="n">
        <v>45961.37491898148</v>
      </c>
      <c r="C1032" s="1" t="n">
        <v>45971</v>
      </c>
      <c r="D1032" t="inlineStr">
        <is>
          <t>KALMAR LÄN</t>
        </is>
      </c>
      <c r="E1032" t="inlineStr">
        <is>
          <t>VÄSTERVIK</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53872-2025</t>
        </is>
      </c>
      <c r="B1033" s="1" t="n">
        <v>45961.39266203704</v>
      </c>
      <c r="C1033" s="1" t="n">
        <v>45971</v>
      </c>
      <c r="D1033" t="inlineStr">
        <is>
          <t>KALMAR LÄN</t>
        </is>
      </c>
      <c r="E1033" t="inlineStr">
        <is>
          <t>VÄSTERVIK</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925-2024</t>
        </is>
      </c>
      <c r="B1034" s="1" t="n">
        <v>45301</v>
      </c>
      <c r="C1034" s="1" t="n">
        <v>45971</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33277-2023</t>
        </is>
      </c>
      <c r="B1035" s="1" t="n">
        <v>45114</v>
      </c>
      <c r="C1035" s="1" t="n">
        <v>45971</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63890-2023</t>
        </is>
      </c>
      <c r="B1036" s="1" t="n">
        <v>45278</v>
      </c>
      <c r="C1036" s="1" t="n">
        <v>45971</v>
      </c>
      <c r="D1036" t="inlineStr">
        <is>
          <t>KALMAR LÄN</t>
        </is>
      </c>
      <c r="E1036" t="inlineStr">
        <is>
          <t>VÄSTERVIK</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23148-2025</t>
        </is>
      </c>
      <c r="B1037" s="1" t="n">
        <v>45791.40225694444</v>
      </c>
      <c r="C1037" s="1" t="n">
        <v>45971</v>
      </c>
      <c r="D1037" t="inlineStr">
        <is>
          <t>KALMAR LÄN</t>
        </is>
      </c>
      <c r="E1037" t="inlineStr">
        <is>
          <t>VÄSTERVIK</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54292-2025</t>
        </is>
      </c>
      <c r="B1038" s="1" t="n">
        <v>45964.82712962963</v>
      </c>
      <c r="C1038" s="1" t="n">
        <v>45971</v>
      </c>
      <c r="D1038" t="inlineStr">
        <is>
          <t>KALMAR LÄN</t>
        </is>
      </c>
      <c r="E1038" t="inlineStr">
        <is>
          <t>VÄSTERVIK</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52495-2025</t>
        </is>
      </c>
      <c r="B1039" s="1" t="n">
        <v>45953</v>
      </c>
      <c r="C1039" s="1" t="n">
        <v>45971</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21660-2025</t>
        </is>
      </c>
      <c r="B1040" s="1" t="n">
        <v>45783.45542824074</v>
      </c>
      <c r="C1040" s="1" t="n">
        <v>45971</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29722-2025</t>
        </is>
      </c>
      <c r="B1041" s="1" t="n">
        <v>45825.57524305556</v>
      </c>
      <c r="C1041" s="1" t="n">
        <v>45971</v>
      </c>
      <c r="D1041" t="inlineStr">
        <is>
          <t>KALMAR LÄN</t>
        </is>
      </c>
      <c r="E1041" t="inlineStr">
        <is>
          <t>VÄSTERVIK</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53884-2025</t>
        </is>
      </c>
      <c r="B1042" s="1" t="n">
        <v>45961.4030787037</v>
      </c>
      <c r="C1042" s="1" t="n">
        <v>45971</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8593-2023</t>
        </is>
      </c>
      <c r="B1043" s="1" t="n">
        <v>44977</v>
      </c>
      <c r="C1043" s="1" t="n">
        <v>45971</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928-2024</t>
        </is>
      </c>
      <c r="B1044" s="1" t="n">
        <v>45301</v>
      </c>
      <c r="C1044" s="1" t="n">
        <v>45971</v>
      </c>
      <c r="D1044" t="inlineStr">
        <is>
          <t>KALMAR LÄN</t>
        </is>
      </c>
      <c r="E1044" t="inlineStr">
        <is>
          <t>VÄSTERVIK</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46158-2025</t>
        </is>
      </c>
      <c r="B1045" s="1" t="n">
        <v>45924.63511574074</v>
      </c>
      <c r="C1045" s="1" t="n">
        <v>45971</v>
      </c>
      <c r="D1045" t="inlineStr">
        <is>
          <t>KALMAR LÄN</t>
        </is>
      </c>
      <c r="E1045" t="inlineStr">
        <is>
          <t>VÄSTERVIK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46161-2025</t>
        </is>
      </c>
      <c r="B1046" s="1" t="n">
        <v>45924.63733796297</v>
      </c>
      <c r="C1046" s="1" t="n">
        <v>45971</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63812-2021</t>
        </is>
      </c>
      <c r="B1047" s="1" t="n">
        <v>44509.56346064815</v>
      </c>
      <c r="C1047" s="1" t="n">
        <v>45971</v>
      </c>
      <c r="D1047" t="inlineStr">
        <is>
          <t>KALMAR LÄN</t>
        </is>
      </c>
      <c r="E1047" t="inlineStr">
        <is>
          <t>VÄSTERVIK</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59196-2024</t>
        </is>
      </c>
      <c r="B1048" s="1" t="n">
        <v>45637.54589120371</v>
      </c>
      <c r="C1048" s="1" t="n">
        <v>45971</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57924-2024</t>
        </is>
      </c>
      <c r="B1049" s="1" t="n">
        <v>45631.51325231481</v>
      </c>
      <c r="C1049" s="1" t="n">
        <v>45971</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1699-2023</t>
        </is>
      </c>
      <c r="B1050" s="1" t="n">
        <v>44935</v>
      </c>
      <c r="C1050" s="1" t="n">
        <v>45971</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31318-2021</t>
        </is>
      </c>
      <c r="B1051" s="1" t="n">
        <v>44368</v>
      </c>
      <c r="C1051" s="1" t="n">
        <v>45971</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45877-2025</t>
        </is>
      </c>
      <c r="B1052" s="1" t="n">
        <v>45923.65804398148</v>
      </c>
      <c r="C1052" s="1" t="n">
        <v>45971</v>
      </c>
      <c r="D1052" t="inlineStr">
        <is>
          <t>KALMAR LÄN</t>
        </is>
      </c>
      <c r="E1052" t="inlineStr">
        <is>
          <t>VÄSTERVIK</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58217-2022</t>
        </is>
      </c>
      <c r="B1053" s="1" t="n">
        <v>44901.36453703704</v>
      </c>
      <c r="C1053" s="1" t="n">
        <v>45971</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20483-2025</t>
        </is>
      </c>
      <c r="B1054" s="1" t="n">
        <v>45775.55954861111</v>
      </c>
      <c r="C1054" s="1" t="n">
        <v>45971</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1874-2025</t>
        </is>
      </c>
      <c r="B1055" s="1" t="n">
        <v>45671.61953703704</v>
      </c>
      <c r="C1055" s="1" t="n">
        <v>45971</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36754-2025</t>
        </is>
      </c>
      <c r="B1056" s="1" t="n">
        <v>45873.5591087963</v>
      </c>
      <c r="C1056" s="1" t="n">
        <v>45971</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59871-2022</t>
        </is>
      </c>
      <c r="B1057" s="1" t="n">
        <v>44908</v>
      </c>
      <c r="C1057" s="1" t="n">
        <v>45971</v>
      </c>
      <c r="D1057" t="inlineStr">
        <is>
          <t>KALMAR LÄN</t>
        </is>
      </c>
      <c r="E1057" t="inlineStr">
        <is>
          <t>VÄSTERVIK</t>
        </is>
      </c>
      <c r="F1057" t="inlineStr">
        <is>
          <t>Övriga Aktiebolag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16834-2023</t>
        </is>
      </c>
      <c r="B1058" s="1" t="n">
        <v>45033</v>
      </c>
      <c r="C1058" s="1" t="n">
        <v>45971</v>
      </c>
      <c r="D1058" t="inlineStr">
        <is>
          <t>KALMAR LÄN</t>
        </is>
      </c>
      <c r="E1058" t="inlineStr">
        <is>
          <t>VÄSTERVIK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11183-2024</t>
        </is>
      </c>
      <c r="B1059" s="1" t="n">
        <v>45371.53141203704</v>
      </c>
      <c r="C1059" s="1" t="n">
        <v>45971</v>
      </c>
      <c r="D1059" t="inlineStr">
        <is>
          <t>KALMAR LÄN</t>
        </is>
      </c>
      <c r="E1059" t="inlineStr">
        <is>
          <t>VÄSTERVIK</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28291-2024</t>
        </is>
      </c>
      <c r="B1060" s="1" t="n">
        <v>45477</v>
      </c>
      <c r="C1060" s="1" t="n">
        <v>45971</v>
      </c>
      <c r="D1060" t="inlineStr">
        <is>
          <t>KALMAR LÄN</t>
        </is>
      </c>
      <c r="E1060" t="inlineStr">
        <is>
          <t>VÄSTERVIK</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36757-2025</t>
        </is>
      </c>
      <c r="B1061" s="1" t="n">
        <v>45873.56483796296</v>
      </c>
      <c r="C1061" s="1" t="n">
        <v>45971</v>
      </c>
      <c r="D1061" t="inlineStr">
        <is>
          <t>KALMAR LÄN</t>
        </is>
      </c>
      <c r="E1061" t="inlineStr">
        <is>
          <t>VÄSTERVIK</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13840-2024</t>
        </is>
      </c>
      <c r="B1062" s="1" t="n">
        <v>45391.44885416667</v>
      </c>
      <c r="C1062" s="1" t="n">
        <v>45971</v>
      </c>
      <c r="D1062" t="inlineStr">
        <is>
          <t>KALMAR LÄN</t>
        </is>
      </c>
      <c r="E1062" t="inlineStr">
        <is>
          <t>VÄSTERVIK</t>
        </is>
      </c>
      <c r="F1062" t="inlineStr">
        <is>
          <t>Sveaskog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63606-2023</t>
        </is>
      </c>
      <c r="B1063" s="1" t="n">
        <v>45275</v>
      </c>
      <c r="C1063" s="1" t="n">
        <v>45971</v>
      </c>
      <c r="D1063" t="inlineStr">
        <is>
          <t>KALMAR LÄN</t>
        </is>
      </c>
      <c r="E1063" t="inlineStr">
        <is>
          <t>VÄSTERVIK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45971</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61580-2022</t>
        </is>
      </c>
      <c r="B1065" s="1" t="n">
        <v>44916.62880787037</v>
      </c>
      <c r="C1065" s="1" t="n">
        <v>45971</v>
      </c>
      <c r="D1065" t="inlineStr">
        <is>
          <t>KALMAR LÄN</t>
        </is>
      </c>
      <c r="E1065" t="inlineStr">
        <is>
          <t>VÄSTERVIK</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60848-2020</t>
        </is>
      </c>
      <c r="B1066" s="1" t="n">
        <v>44152</v>
      </c>
      <c r="C1066" s="1" t="n">
        <v>45971</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48753-2025</t>
        </is>
      </c>
      <c r="B1067" s="1" t="n">
        <v>45936</v>
      </c>
      <c r="C1067" s="1" t="n">
        <v>45971</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c r="U1067">
        <f>HYPERLINK("https://klasma.github.io/Logging_0883/knärot/A 48753-2025 karta knärot.png", "A 48753-2025")</f>
        <v/>
      </c>
      <c r="V1067">
        <f>HYPERLINK("https://klasma.github.io/Logging_0883/klagomål/A 48753-2025 FSC-klagomål.docx", "A 48753-2025")</f>
        <v/>
      </c>
      <c r="W1067">
        <f>HYPERLINK("https://klasma.github.io/Logging_0883/klagomålsmail/A 48753-2025 FSC-klagomål mail.docx", "A 48753-2025")</f>
        <v/>
      </c>
      <c r="X1067">
        <f>HYPERLINK("https://klasma.github.io/Logging_0883/tillsyn/A 48753-2025 tillsynsbegäran.docx", "A 48753-2025")</f>
        <v/>
      </c>
      <c r="Y1067">
        <f>HYPERLINK("https://klasma.github.io/Logging_0883/tillsynsmail/A 48753-2025 tillsynsbegäran mail.docx", "A 48753-2025")</f>
        <v/>
      </c>
    </row>
    <row r="1068" ht="15" customHeight="1">
      <c r="A1068" t="inlineStr">
        <is>
          <t>A 54567-2025</t>
        </is>
      </c>
      <c r="B1068" s="1" t="n">
        <v>45965.67274305555</v>
      </c>
      <c r="C1068" s="1" t="n">
        <v>45971</v>
      </c>
      <c r="D1068" t="inlineStr">
        <is>
          <t>KALMAR LÄN</t>
        </is>
      </c>
      <c r="E1068" t="inlineStr">
        <is>
          <t>VÄSTERVIK</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56610-2022</t>
        </is>
      </c>
      <c r="B1069" s="1" t="n">
        <v>44893.5862037037</v>
      </c>
      <c r="C1069" s="1" t="n">
        <v>45971</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54577-2025</t>
        </is>
      </c>
      <c r="B1070" s="1" t="n">
        <v>45965.6815162037</v>
      </c>
      <c r="C1070" s="1" t="n">
        <v>45971</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37774-2025</t>
        </is>
      </c>
      <c r="B1071" s="1" t="n">
        <v>45880</v>
      </c>
      <c r="C1071" s="1" t="n">
        <v>45971</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6312-2024</t>
        </is>
      </c>
      <c r="B1072" s="1" t="n">
        <v>45338</v>
      </c>
      <c r="C1072" s="1" t="n">
        <v>45971</v>
      </c>
      <c r="D1072" t="inlineStr">
        <is>
          <t>KALMAR LÄN</t>
        </is>
      </c>
      <c r="E1072" t="inlineStr">
        <is>
          <t>VÄSTERVIK</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37523-2025</t>
        </is>
      </c>
      <c r="B1073" s="1" t="n">
        <v>45877</v>
      </c>
      <c r="C1073" s="1" t="n">
        <v>45971</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10778-2025</t>
        </is>
      </c>
      <c r="B1074" s="1" t="n">
        <v>45722</v>
      </c>
      <c r="C1074" s="1" t="n">
        <v>45971</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37526-2025</t>
        </is>
      </c>
      <c r="B1075" s="1" t="n">
        <v>45877</v>
      </c>
      <c r="C1075" s="1" t="n">
        <v>45971</v>
      </c>
      <c r="D1075" t="inlineStr">
        <is>
          <t>KALMAR LÄN</t>
        </is>
      </c>
      <c r="E1075" t="inlineStr">
        <is>
          <t>VÄSTERVIK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53145-2025</t>
        </is>
      </c>
      <c r="B1076" s="1" t="n">
        <v>45958</v>
      </c>
      <c r="C1076" s="1" t="n">
        <v>45971</v>
      </c>
      <c r="D1076" t="inlineStr">
        <is>
          <t>KALMAR LÄN</t>
        </is>
      </c>
      <c r="E1076" t="inlineStr">
        <is>
          <t>VÄSTERVIK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46596-2022</t>
        </is>
      </c>
      <c r="B1077" s="1" t="n">
        <v>44848.8315625</v>
      </c>
      <c r="C1077" s="1" t="n">
        <v>45971</v>
      </c>
      <c r="D1077" t="inlineStr">
        <is>
          <t>KALMAR LÄN</t>
        </is>
      </c>
      <c r="E1077" t="inlineStr">
        <is>
          <t>VÄSTERVIK</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30148-2024</t>
        </is>
      </c>
      <c r="B1078" s="1" t="n">
        <v>45489.60528935185</v>
      </c>
      <c r="C1078" s="1" t="n">
        <v>45971</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59202-2022</t>
        </is>
      </c>
      <c r="B1079" s="1" t="n">
        <v>44904</v>
      </c>
      <c r="C1079" s="1" t="n">
        <v>45971</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59210-2022</t>
        </is>
      </c>
      <c r="B1080" s="1" t="n">
        <v>44904.51767361111</v>
      </c>
      <c r="C1080" s="1" t="n">
        <v>45971</v>
      </c>
      <c r="D1080" t="inlineStr">
        <is>
          <t>KALMAR LÄN</t>
        </is>
      </c>
      <c r="E1080" t="inlineStr">
        <is>
          <t>VÄSTERVIK</t>
        </is>
      </c>
      <c r="G1080" t="n">
        <v>21.2</v>
      </c>
      <c r="H1080" t="n">
        <v>0</v>
      </c>
      <c r="I1080" t="n">
        <v>0</v>
      </c>
      <c r="J1080" t="n">
        <v>0</v>
      </c>
      <c r="K1080" t="n">
        <v>0</v>
      </c>
      <c r="L1080" t="n">
        <v>0</v>
      </c>
      <c r="M1080" t="n">
        <v>0</v>
      </c>
      <c r="N1080" t="n">
        <v>0</v>
      </c>
      <c r="O1080" t="n">
        <v>0</v>
      </c>
      <c r="P1080" t="n">
        <v>0</v>
      </c>
      <c r="Q1080" t="n">
        <v>0</v>
      </c>
      <c r="R1080" s="2" t="inlineStr"/>
    </row>
    <row r="1081" ht="15" customHeight="1">
      <c r="A1081" t="inlineStr">
        <is>
          <t>A 59220-2022</t>
        </is>
      </c>
      <c r="B1081" s="1" t="n">
        <v>44904.53423611111</v>
      </c>
      <c r="C1081" s="1" t="n">
        <v>45971</v>
      </c>
      <c r="D1081" t="inlineStr">
        <is>
          <t>KALMAR LÄN</t>
        </is>
      </c>
      <c r="E1081" t="inlineStr">
        <is>
          <t>VÄSTERVIK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41342-2023</t>
        </is>
      </c>
      <c r="B1082" s="1" t="n">
        <v>45174.72416666667</v>
      </c>
      <c r="C1082" s="1" t="n">
        <v>45971</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13490-2022</t>
        </is>
      </c>
      <c r="B1083" s="1" t="n">
        <v>44646</v>
      </c>
      <c r="C1083" s="1" t="n">
        <v>45971</v>
      </c>
      <c r="D1083" t="inlineStr">
        <is>
          <t>KALMAR LÄN</t>
        </is>
      </c>
      <c r="E1083" t="inlineStr">
        <is>
          <t>VÄSTERVIK</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5684-2023</t>
        </is>
      </c>
      <c r="B1084" s="1" t="n">
        <v>44960.73170138889</v>
      </c>
      <c r="C1084" s="1" t="n">
        <v>45971</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56617-2021</t>
        </is>
      </c>
      <c r="B1085" s="1" t="n">
        <v>44480</v>
      </c>
      <c r="C1085" s="1" t="n">
        <v>45971</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55086-2025</t>
        </is>
      </c>
      <c r="B1086" s="1" t="n">
        <v>45968.33027777778</v>
      </c>
      <c r="C1086" s="1" t="n">
        <v>45971</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55152-2025</t>
        </is>
      </c>
      <c r="B1087" s="1" t="n">
        <v>45968.4571412037</v>
      </c>
      <c r="C1087" s="1" t="n">
        <v>45971</v>
      </c>
      <c r="D1087" t="inlineStr">
        <is>
          <t>KALMAR LÄN</t>
        </is>
      </c>
      <c r="E1087" t="inlineStr">
        <is>
          <t>VÄSTERVIK</t>
        </is>
      </c>
      <c r="F1087" t="inlineStr">
        <is>
          <t>Holmen skog AB</t>
        </is>
      </c>
      <c r="G1087" t="n">
        <v>0.6</v>
      </c>
      <c r="H1087" t="n">
        <v>0</v>
      </c>
      <c r="I1087" t="n">
        <v>0</v>
      </c>
      <c r="J1087" t="n">
        <v>0</v>
      </c>
      <c r="K1087" t="n">
        <v>0</v>
      </c>
      <c r="L1087" t="n">
        <v>0</v>
      </c>
      <c r="M1087" t="n">
        <v>0</v>
      </c>
      <c r="N1087" t="n">
        <v>0</v>
      </c>
      <c r="O1087" t="n">
        <v>0</v>
      </c>
      <c r="P1087" t="n">
        <v>0</v>
      </c>
      <c r="Q1087" t="n">
        <v>0</v>
      </c>
      <c r="R1087" s="2" t="inlineStr"/>
    </row>
    <row r="1088">
      <c r="A1088" t="inlineStr">
        <is>
          <t>A 55184-2025</t>
        </is>
      </c>
      <c r="B1088" s="1" t="n">
        <v>45968.53612268518</v>
      </c>
      <c r="C1088" s="1" t="n">
        <v>45971</v>
      </c>
      <c r="D1088" t="inlineStr">
        <is>
          <t>KALMAR LÄN</t>
        </is>
      </c>
      <c r="E1088" t="inlineStr">
        <is>
          <t>VÄSTERVIK</t>
        </is>
      </c>
      <c r="F1088" t="inlineStr">
        <is>
          <t>Holmen skog AB</t>
        </is>
      </c>
      <c r="G1088" t="n">
        <v>1.7</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2025-11-10T10:14:39Z</dcterms:created>
  <dcterms:modified xmlns:dcterms="http://purl.org/dc/terms/" xmlns:xsi="http://www.w3.org/2001/XMLSchema-instance" xsi:type="dcterms:W3CDTF">2025-11-10T10:14:40Z</dcterms:modified>
</cp:coreProperties>
</file>