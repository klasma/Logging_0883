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45565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45565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45565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45565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45565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45565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45565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45565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45565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45565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45565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63105-2019</t>
        </is>
      </c>
      <c r="B13" s="1" t="n">
        <v>43791</v>
      </c>
      <c r="C13" s="1" t="n">
        <v>45565</v>
      </c>
      <c r="D13" t="inlineStr">
        <is>
          <t>KALMAR LÄN</t>
        </is>
      </c>
      <c r="E13" t="inlineStr">
        <is>
          <t>VÄSTERVIK</t>
        </is>
      </c>
      <c r="F13" t="inlineStr">
        <is>
          <t>Övriga Aktiebolag</t>
        </is>
      </c>
      <c r="G13" t="n">
        <v>3.6</v>
      </c>
      <c r="H13" t="n">
        <v>2</v>
      </c>
      <c r="I13" t="n">
        <v>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Ask
Solvända
Sommarfibbla
Svinrot
Vippärt
Tibast
Underviol
Fläcknycklar
Nattviol</t>
        </is>
      </c>
      <c r="S13">
        <f>HYPERLINK("https://klasma.github.io/Logging_0883/artfynd/A 63105-2019 artfynd.xlsx", "A 63105-2019")</f>
        <v/>
      </c>
      <c r="T13">
        <f>HYPERLINK("https://klasma.github.io/Logging_0883/kartor/A 63105-2019 karta.png", "A 63105-2019")</f>
        <v/>
      </c>
      <c r="V13">
        <f>HYPERLINK("https://klasma.github.io/Logging_0883/klagomål/A 63105-2019 FSC-klagomål.docx", "A 63105-2019")</f>
        <v/>
      </c>
      <c r="W13">
        <f>HYPERLINK("https://klasma.github.io/Logging_0883/klagomålsmail/A 63105-2019 FSC-klagomål mail.docx", "A 63105-2019")</f>
        <v/>
      </c>
      <c r="X13">
        <f>HYPERLINK("https://klasma.github.io/Logging_0883/tillsyn/A 63105-2019 tillsynsbegäran.docx", "A 63105-2019")</f>
        <v/>
      </c>
      <c r="Y13">
        <f>HYPERLINK("https://klasma.github.io/Logging_0883/tillsynsmail/A 63105-2019 tillsynsbegäran mail.docx", "A 63105-2019")</f>
        <v/>
      </c>
    </row>
    <row r="14" ht="15" customHeight="1">
      <c r="A14" t="inlineStr">
        <is>
          <t>A 15252-2021</t>
        </is>
      </c>
      <c r="B14" s="1" t="n">
        <v>44284</v>
      </c>
      <c r="C14" s="1" t="n">
        <v>45565</v>
      </c>
      <c r="D14" t="inlineStr">
        <is>
          <t>KALMAR LÄN</t>
        </is>
      </c>
      <c r="E14" t="inlineStr">
        <is>
          <t>VÄSTERVIK</t>
        </is>
      </c>
      <c r="G14" t="n">
        <v>4.5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Motaggsvamp
Spillkråka
Svart taggsvamp
Svartvit taggsvamp
Såpfingersvamp
Dropptaggsvamp
Grönpyrola
Skarp dropptaggsvamp</t>
        </is>
      </c>
      <c r="S14">
        <f>HYPERLINK("https://klasma.github.io/Logging_0883/artfynd/A 15252-2021 artfynd.xlsx", "A 15252-2021")</f>
        <v/>
      </c>
      <c r="T14">
        <f>HYPERLINK("https://klasma.github.io/Logging_0883/kartor/A 15252-2021 karta.png", "A 15252-2021")</f>
        <v/>
      </c>
      <c r="U14">
        <f>HYPERLINK("https://klasma.github.io/Logging_0883/knärot/A 15252-2021 karta knärot.png", "A 15252-2021")</f>
        <v/>
      </c>
      <c r="V14">
        <f>HYPERLINK("https://klasma.github.io/Logging_0883/klagomål/A 15252-2021 FSC-klagomål.docx", "A 15252-2021")</f>
        <v/>
      </c>
      <c r="W14">
        <f>HYPERLINK("https://klasma.github.io/Logging_0883/klagomålsmail/A 15252-2021 FSC-klagomål mail.docx", "A 15252-2021")</f>
        <v/>
      </c>
      <c r="X14">
        <f>HYPERLINK("https://klasma.github.io/Logging_0883/tillsyn/A 15252-2021 tillsynsbegäran.docx", "A 15252-2021")</f>
        <v/>
      </c>
      <c r="Y14">
        <f>HYPERLINK("https://klasma.github.io/Logging_0883/tillsynsmail/A 15252-2021 tillsynsbegäran mail.docx", "A 15252-2021")</f>
        <v/>
      </c>
      <c r="Z14">
        <f>HYPERLINK("https://klasma.github.io/Logging_0883/fåglar/A 15252-2021 prioriterade fågelarter.docx", "A 15252-2021")</f>
        <v/>
      </c>
    </row>
    <row r="15" ht="15" customHeight="1">
      <c r="A15" t="inlineStr">
        <is>
          <t>A 55017-2021</t>
        </is>
      </c>
      <c r="B15" s="1" t="n">
        <v>44474</v>
      </c>
      <c r="C15" s="1" t="n">
        <v>45565</v>
      </c>
      <c r="D15" t="inlineStr">
        <is>
          <t>KALMAR LÄN</t>
        </is>
      </c>
      <c r="E15" t="inlineStr">
        <is>
          <t>VÄSTERVIK</t>
        </is>
      </c>
      <c r="G15" t="n">
        <v>16.4</v>
      </c>
      <c r="H15" t="n">
        <v>4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Motaggsvamp
Spillkråka
Tallticka
Talltita
Blåmossa
Fjällig taggsvamp s.str.
Grönpyrola
Tjäder</t>
        </is>
      </c>
      <c r="S15">
        <f>HYPERLINK("https://klasma.github.io/Logging_0883/artfynd/A 55017-2021 artfynd.xlsx", "A 55017-2021")</f>
        <v/>
      </c>
      <c r="T15">
        <f>HYPERLINK("https://klasma.github.io/Logging_0883/kartor/A 55017-2021 karta.png", "A 55017-2021")</f>
        <v/>
      </c>
      <c r="U15">
        <f>HYPERLINK("https://klasma.github.io/Logging_0883/knärot/A 55017-2021 karta knärot.png", "A 55017-2021")</f>
        <v/>
      </c>
      <c r="V15">
        <f>HYPERLINK("https://klasma.github.io/Logging_0883/klagomål/A 55017-2021 FSC-klagomål.docx", "A 55017-2021")</f>
        <v/>
      </c>
      <c r="W15">
        <f>HYPERLINK("https://klasma.github.io/Logging_0883/klagomålsmail/A 55017-2021 FSC-klagomål mail.docx", "A 55017-2021")</f>
        <v/>
      </c>
      <c r="X15">
        <f>HYPERLINK("https://klasma.github.io/Logging_0883/tillsyn/A 55017-2021 tillsynsbegäran.docx", "A 55017-2021")</f>
        <v/>
      </c>
      <c r="Y15">
        <f>HYPERLINK("https://klasma.github.io/Logging_0883/tillsynsmail/A 55017-2021 tillsynsbegäran mail.docx", "A 55017-2021")</f>
        <v/>
      </c>
      <c r="Z15">
        <f>HYPERLINK("https://klasma.github.io/Logging_0883/fåglar/A 55017-2021 prioriterade fågelarter.docx", "A 55017-2021")</f>
        <v/>
      </c>
    </row>
    <row r="16" ht="15" customHeight="1">
      <c r="A16" t="inlineStr">
        <is>
          <t>A 64885-2023</t>
        </is>
      </c>
      <c r="B16" s="1" t="n">
        <v>45282</v>
      </c>
      <c r="C16" s="1" t="n">
        <v>45565</v>
      </c>
      <c r="D16" t="inlineStr">
        <is>
          <t>KALMAR LÄN</t>
        </is>
      </c>
      <c r="E16" t="inlineStr">
        <is>
          <t>VÄSTERVIK</t>
        </is>
      </c>
      <c r="F16" t="inlineStr">
        <is>
          <t>Sveaskog</t>
        </is>
      </c>
      <c r="G16" t="n">
        <v>34</v>
      </c>
      <c r="H16" t="n">
        <v>5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Motaggsvamp
Spillkråka
Talltita
Bronshjon
Dropptaggsvamp
Grönpyrola
Tjäder
Revlummer</t>
        </is>
      </c>
      <c r="S16">
        <f>HYPERLINK("https://klasma.github.io/Logging_0883/artfynd/A 64885-2023 artfynd.xlsx", "A 64885-2023")</f>
        <v/>
      </c>
      <c r="T16">
        <f>HYPERLINK("https://klasma.github.io/Logging_0883/kartor/A 64885-2023 karta.png", "A 64885-2023")</f>
        <v/>
      </c>
      <c r="U16">
        <f>HYPERLINK("https://klasma.github.io/Logging_0883/knärot/A 64885-2023 karta knärot.png", "A 64885-2023")</f>
        <v/>
      </c>
      <c r="V16">
        <f>HYPERLINK("https://klasma.github.io/Logging_0883/klagomål/A 64885-2023 FSC-klagomål.docx", "A 64885-2023")</f>
        <v/>
      </c>
      <c r="W16">
        <f>HYPERLINK("https://klasma.github.io/Logging_0883/klagomålsmail/A 64885-2023 FSC-klagomål mail.docx", "A 64885-2023")</f>
        <v/>
      </c>
      <c r="X16">
        <f>HYPERLINK("https://klasma.github.io/Logging_0883/tillsyn/A 64885-2023 tillsynsbegäran.docx", "A 64885-2023")</f>
        <v/>
      </c>
      <c r="Y16">
        <f>HYPERLINK("https://klasma.github.io/Logging_0883/tillsynsmail/A 64885-2023 tillsynsbegäran mail.docx", "A 64885-2023")</f>
        <v/>
      </c>
      <c r="Z16">
        <f>HYPERLINK("https://klasma.github.io/Logging_0883/fåglar/A 64885-2023 prioriterade fågelarter.docx", "A 64885-2023")</f>
        <v/>
      </c>
    </row>
    <row r="17" ht="15" customHeight="1">
      <c r="A17" t="inlineStr">
        <is>
          <t>A 20094-2024</t>
        </is>
      </c>
      <c r="B17" s="1" t="n">
        <v>45434</v>
      </c>
      <c r="C17" s="1" t="n">
        <v>45565</v>
      </c>
      <c r="D17" t="inlineStr">
        <is>
          <t>KALMAR LÄN</t>
        </is>
      </c>
      <c r="E17" t="inlineStr">
        <is>
          <t>VÄSTERVIK</t>
        </is>
      </c>
      <c r="G17" t="n">
        <v>6.4</v>
      </c>
      <c r="H17" t="n">
        <v>3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Knärot
Granticka
Grönsångare
Mindre hackspett
Tallticka
Ullticka
Blåmossa
Grönpyrola
Zontaggsvamp</t>
        </is>
      </c>
      <c r="S17">
        <f>HYPERLINK("https://klasma.github.io/Logging_0883/artfynd/A 20094-2024 artfynd.xlsx", "A 20094-2024")</f>
        <v/>
      </c>
      <c r="T17">
        <f>HYPERLINK("https://klasma.github.io/Logging_0883/kartor/A 20094-2024 karta.png", "A 20094-2024")</f>
        <v/>
      </c>
      <c r="U17">
        <f>HYPERLINK("https://klasma.github.io/Logging_0883/knärot/A 20094-2024 karta knärot.png", "A 20094-2024")</f>
        <v/>
      </c>
      <c r="V17">
        <f>HYPERLINK("https://klasma.github.io/Logging_0883/klagomål/A 20094-2024 FSC-klagomål.docx", "A 20094-2024")</f>
        <v/>
      </c>
      <c r="W17">
        <f>HYPERLINK("https://klasma.github.io/Logging_0883/klagomålsmail/A 20094-2024 FSC-klagomål mail.docx", "A 20094-2024")</f>
        <v/>
      </c>
      <c r="X17">
        <f>HYPERLINK("https://klasma.github.io/Logging_0883/tillsyn/A 20094-2024 tillsynsbegäran.docx", "A 20094-2024")</f>
        <v/>
      </c>
      <c r="Y17">
        <f>HYPERLINK("https://klasma.github.io/Logging_0883/tillsynsmail/A 20094-2024 tillsynsbegäran mail.docx", "A 20094-2024")</f>
        <v/>
      </c>
      <c r="Z17">
        <f>HYPERLINK("https://klasma.github.io/Logging_0883/fåglar/A 20094-2024 prioriterade fågelarter.docx", "A 20094-2024")</f>
        <v/>
      </c>
    </row>
    <row r="18" ht="15" customHeight="1">
      <c r="A18" t="inlineStr">
        <is>
          <t>A 34414-2024</t>
        </is>
      </c>
      <c r="B18" s="1" t="n">
        <v>45525</v>
      </c>
      <c r="C18" s="1" t="n">
        <v>45565</v>
      </c>
      <c r="D18" t="inlineStr">
        <is>
          <t>KALMAR LÄN</t>
        </is>
      </c>
      <c r="E18" t="inlineStr">
        <is>
          <t>VÄSTERVIK</t>
        </is>
      </c>
      <c r="F18" t="inlineStr">
        <is>
          <t>Holmen skog AB</t>
        </is>
      </c>
      <c r="G18" t="n">
        <v>8.9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Orange taggsvamp
Svart taggsvamp
Tallticka
Talltita
Blåmossa
Brandticka
Dropptaggsvamp
Zontaggsvamp</t>
        </is>
      </c>
      <c r="S18">
        <f>HYPERLINK("https://klasma.github.io/Logging_0883/artfynd/A 34414-2024 artfynd.xlsx", "A 34414-2024")</f>
        <v/>
      </c>
      <c r="T18">
        <f>HYPERLINK("https://klasma.github.io/Logging_0883/kartor/A 34414-2024 karta.png", "A 34414-2024")</f>
        <v/>
      </c>
      <c r="U18">
        <f>HYPERLINK("https://klasma.github.io/Logging_0883/knärot/A 34414-2024 karta knärot.png", "A 34414-2024")</f>
        <v/>
      </c>
      <c r="V18">
        <f>HYPERLINK("https://klasma.github.io/Logging_0883/klagomål/A 34414-2024 FSC-klagomål.docx", "A 34414-2024")</f>
        <v/>
      </c>
      <c r="W18">
        <f>HYPERLINK("https://klasma.github.io/Logging_0883/klagomålsmail/A 34414-2024 FSC-klagomål mail.docx", "A 34414-2024")</f>
        <v/>
      </c>
      <c r="X18">
        <f>HYPERLINK("https://klasma.github.io/Logging_0883/tillsyn/A 34414-2024 tillsynsbegäran.docx", "A 34414-2024")</f>
        <v/>
      </c>
      <c r="Y18">
        <f>HYPERLINK("https://klasma.github.io/Logging_0883/tillsynsmail/A 34414-2024 tillsynsbegäran mail.docx", "A 34414-2024")</f>
        <v/>
      </c>
      <c r="Z18">
        <f>HYPERLINK("https://klasma.github.io/Logging_0883/fåglar/A 34414-2024 prioriterade fågelarter.docx", "A 34414-2024")</f>
        <v/>
      </c>
    </row>
    <row r="19" ht="15" customHeight="1">
      <c r="A19" t="inlineStr">
        <is>
          <t>A 35134-2024</t>
        </is>
      </c>
      <c r="B19" s="1" t="n">
        <v>45530</v>
      </c>
      <c r="C19" s="1" t="n">
        <v>45565</v>
      </c>
      <c r="D19" t="inlineStr">
        <is>
          <t>KALMAR LÄN</t>
        </is>
      </c>
      <c r="E19" t="inlineStr">
        <is>
          <t>VÄSTERVIK</t>
        </is>
      </c>
      <c r="G19" t="n">
        <v>1.9</v>
      </c>
      <c r="H19" t="n">
        <v>4</v>
      </c>
      <c r="I19" t="n">
        <v>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Entita
Orange taggsvamp
Spillkråka
Blomkålssvamp
Dropptaggsvamp
Grönpyrola
Murgröna
Purpurknipprot</t>
        </is>
      </c>
      <c r="S19">
        <f>HYPERLINK("https://klasma.github.io/Logging_0883/artfynd/A 35134-2024 artfynd.xlsx", "A 35134-2024")</f>
        <v/>
      </c>
      <c r="T19">
        <f>HYPERLINK("https://klasma.github.io/Logging_0883/kartor/A 35134-2024 karta.png", "A 35134-2024")</f>
        <v/>
      </c>
      <c r="U19">
        <f>HYPERLINK("https://klasma.github.io/Logging_0883/knärot/A 35134-2024 karta knärot.png", "A 35134-2024")</f>
        <v/>
      </c>
      <c r="V19">
        <f>HYPERLINK("https://klasma.github.io/Logging_0883/klagomål/A 35134-2024 FSC-klagomål.docx", "A 35134-2024")</f>
        <v/>
      </c>
      <c r="W19">
        <f>HYPERLINK("https://klasma.github.io/Logging_0883/klagomålsmail/A 35134-2024 FSC-klagomål mail.docx", "A 35134-2024")</f>
        <v/>
      </c>
      <c r="X19">
        <f>HYPERLINK("https://klasma.github.io/Logging_0883/tillsyn/A 35134-2024 tillsynsbegäran.docx", "A 35134-2024")</f>
        <v/>
      </c>
      <c r="Y19">
        <f>HYPERLINK("https://klasma.github.io/Logging_0883/tillsynsmail/A 35134-2024 tillsynsbegäran mail.docx", "A 35134-2024")</f>
        <v/>
      </c>
      <c r="Z19">
        <f>HYPERLINK("https://klasma.github.io/Logging_0883/fåglar/A 35134-2024 prioriterade fågelarter.docx", "A 35134-2024")</f>
        <v/>
      </c>
    </row>
    <row r="20" ht="15" customHeight="1">
      <c r="A20" t="inlineStr">
        <is>
          <t>A 54178-2019</t>
        </is>
      </c>
      <c r="B20" s="1" t="n">
        <v>43753</v>
      </c>
      <c r="C20" s="1" t="n">
        <v>45565</v>
      </c>
      <c r="D20" t="inlineStr">
        <is>
          <t>KALMAR LÄN</t>
        </is>
      </c>
      <c r="E20" t="inlineStr">
        <is>
          <t>VÄSTERVIK</t>
        </is>
      </c>
      <c r="G20" t="n">
        <v>3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Orange taggsvamp
Persiljespindling
Blåmossa
Dropptaggsvamp
Rökmusseron
Skarp dropptaggsvamp</t>
        </is>
      </c>
      <c r="S20">
        <f>HYPERLINK("https://klasma.github.io/Logging_0883/artfynd/A 54178-2019 artfynd.xlsx", "A 54178-2019")</f>
        <v/>
      </c>
      <c r="T20">
        <f>HYPERLINK("https://klasma.github.io/Logging_0883/kartor/A 54178-2019 karta.png", "A 54178-2019")</f>
        <v/>
      </c>
      <c r="U20">
        <f>HYPERLINK("https://klasma.github.io/Logging_0883/knärot/A 54178-2019 karta knärot.png", "A 54178-2019")</f>
        <v/>
      </c>
      <c r="V20">
        <f>HYPERLINK("https://klasma.github.io/Logging_0883/klagomål/A 54178-2019 FSC-klagomål.docx", "A 54178-2019")</f>
        <v/>
      </c>
      <c r="W20">
        <f>HYPERLINK("https://klasma.github.io/Logging_0883/klagomålsmail/A 54178-2019 FSC-klagomål mail.docx", "A 54178-2019")</f>
        <v/>
      </c>
      <c r="X20">
        <f>HYPERLINK("https://klasma.github.io/Logging_0883/tillsyn/A 54178-2019 tillsynsbegäran.docx", "A 54178-2019")</f>
        <v/>
      </c>
      <c r="Y20">
        <f>HYPERLINK("https://klasma.github.io/Logging_0883/tillsynsmail/A 54178-2019 tillsynsbegäran mail.docx", "A 54178-2019")</f>
        <v/>
      </c>
    </row>
    <row r="21" ht="15" customHeight="1">
      <c r="A21" t="inlineStr">
        <is>
          <t>A 16243-2020</t>
        </is>
      </c>
      <c r="B21" s="1" t="n">
        <v>43917</v>
      </c>
      <c r="C21" s="1" t="n">
        <v>45565</v>
      </c>
      <c r="D21" t="inlineStr">
        <is>
          <t>KALMAR LÄN</t>
        </is>
      </c>
      <c r="E21" t="inlineStr">
        <is>
          <t>VÄSTERVIK</t>
        </is>
      </c>
      <c r="G21" t="n">
        <v>10.2</v>
      </c>
      <c r="H21" t="n">
        <v>0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Raggbock
Dvärgbägarlav
Reliktbock
Tallticka
Vedskivlav
Vintertagging
Blåmossa
Mindre märgborre</t>
        </is>
      </c>
      <c r="S21">
        <f>HYPERLINK("https://klasma.github.io/Logging_0883/artfynd/A 16243-2020 artfynd.xlsx", "A 16243-2020")</f>
        <v/>
      </c>
      <c r="T21">
        <f>HYPERLINK("https://klasma.github.io/Logging_0883/kartor/A 16243-2020 karta.png", "A 16243-2020")</f>
        <v/>
      </c>
      <c r="V21">
        <f>HYPERLINK("https://klasma.github.io/Logging_0883/klagomål/A 16243-2020 FSC-klagomål.docx", "A 16243-2020")</f>
        <v/>
      </c>
      <c r="W21">
        <f>HYPERLINK("https://klasma.github.io/Logging_0883/klagomålsmail/A 16243-2020 FSC-klagomål mail.docx", "A 16243-2020")</f>
        <v/>
      </c>
      <c r="X21">
        <f>HYPERLINK("https://klasma.github.io/Logging_0883/tillsyn/A 16243-2020 tillsynsbegäran.docx", "A 16243-2020")</f>
        <v/>
      </c>
      <c r="Y21">
        <f>HYPERLINK("https://klasma.github.io/Logging_0883/tillsynsmail/A 16243-2020 tillsynsbegäran mail.docx", "A 16243-2020")</f>
        <v/>
      </c>
    </row>
    <row r="22" ht="15" customHeight="1">
      <c r="A22" t="inlineStr">
        <is>
          <t>A 38181-2023</t>
        </is>
      </c>
      <c r="B22" s="1" t="n">
        <v>45161</v>
      </c>
      <c r="C22" s="1" t="n">
        <v>45565</v>
      </c>
      <c r="D22" t="inlineStr">
        <is>
          <t>KALMAR LÄN</t>
        </is>
      </c>
      <c r="E22" t="inlineStr">
        <is>
          <t>VÄSTERVIK</t>
        </is>
      </c>
      <c r="G22" t="n">
        <v>4.3</v>
      </c>
      <c r="H22" t="n">
        <v>3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Sandödla
Backstarr
Solvända
Sommarfibbla
Svinrot
Vårstarr
Blåsippa
Gullviva</t>
        </is>
      </c>
      <c r="S22">
        <f>HYPERLINK("https://klasma.github.io/Logging_0883/artfynd/A 38181-2023 artfynd.xlsx", "A 38181-2023")</f>
        <v/>
      </c>
      <c r="T22">
        <f>HYPERLINK("https://klasma.github.io/Logging_0883/kartor/A 38181-2023 karta.png", "A 38181-2023")</f>
        <v/>
      </c>
      <c r="V22">
        <f>HYPERLINK("https://klasma.github.io/Logging_0883/klagomål/A 38181-2023 FSC-klagomål.docx", "A 38181-2023")</f>
        <v/>
      </c>
      <c r="W22">
        <f>HYPERLINK("https://klasma.github.io/Logging_0883/klagomålsmail/A 38181-2023 FSC-klagomål mail.docx", "A 38181-2023")</f>
        <v/>
      </c>
      <c r="X22">
        <f>HYPERLINK("https://klasma.github.io/Logging_0883/tillsyn/A 38181-2023 tillsynsbegäran.docx", "A 38181-2023")</f>
        <v/>
      </c>
      <c r="Y22">
        <f>HYPERLINK("https://klasma.github.io/Logging_0883/tillsynsmail/A 38181-2023 tillsynsbegäran mail.docx", "A 38181-2023")</f>
        <v/>
      </c>
    </row>
    <row r="23" ht="15" customHeight="1">
      <c r="A23" t="inlineStr">
        <is>
          <t>A 56737-2023</t>
        </is>
      </c>
      <c r="B23" s="1" t="n">
        <v>45244</v>
      </c>
      <c r="C23" s="1" t="n">
        <v>45565</v>
      </c>
      <c r="D23" t="inlineStr">
        <is>
          <t>KALMAR LÄN</t>
        </is>
      </c>
      <c r="E23" t="inlineStr">
        <is>
          <t>VÄSTERVIK</t>
        </is>
      </c>
      <c r="G23" t="n">
        <v>5.5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Tallticka
Ullticka
Blomskägglav
Bronshjon
Fällmossa
Grönpyrola</t>
        </is>
      </c>
      <c r="S23">
        <f>HYPERLINK("https://klasma.github.io/Logging_0883/artfynd/A 56737-2023 artfynd.xlsx", "A 56737-2023")</f>
        <v/>
      </c>
      <c r="T23">
        <f>HYPERLINK("https://klasma.github.io/Logging_0883/kartor/A 56737-2023 karta.png", "A 56737-2023")</f>
        <v/>
      </c>
      <c r="U23">
        <f>HYPERLINK("https://klasma.github.io/Logging_0883/knärot/A 56737-2023 karta knärot.png", "A 56737-2023")</f>
        <v/>
      </c>
      <c r="V23">
        <f>HYPERLINK("https://klasma.github.io/Logging_0883/klagomål/A 56737-2023 FSC-klagomål.docx", "A 56737-2023")</f>
        <v/>
      </c>
      <c r="W23">
        <f>HYPERLINK("https://klasma.github.io/Logging_0883/klagomålsmail/A 56737-2023 FSC-klagomål mail.docx", "A 56737-2023")</f>
        <v/>
      </c>
      <c r="X23">
        <f>HYPERLINK("https://klasma.github.io/Logging_0883/tillsyn/A 56737-2023 tillsynsbegäran.docx", "A 56737-2023")</f>
        <v/>
      </c>
      <c r="Y23">
        <f>HYPERLINK("https://klasma.github.io/Logging_0883/tillsynsmail/A 56737-2023 tillsynsbegäran mail.docx", "A 56737-2023")</f>
        <v/>
      </c>
    </row>
    <row r="24" ht="15" customHeight="1">
      <c r="A24" t="inlineStr">
        <is>
          <t>A 1182-2024</t>
        </is>
      </c>
      <c r="B24" s="1" t="n">
        <v>45302</v>
      </c>
      <c r="C24" s="1" t="n">
        <v>45565</v>
      </c>
      <c r="D24" t="inlineStr">
        <is>
          <t>KALMAR LÄN</t>
        </is>
      </c>
      <c r="E24" t="inlineStr">
        <is>
          <t>VÄSTERVIK</t>
        </is>
      </c>
      <c r="G24" t="n">
        <v>4.5</v>
      </c>
      <c r="H24" t="n">
        <v>4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Spillkråka
Tallticka
Ullticka
Blomkålssvamp
Grovticka
Grön sköldmossa
Kungsfågel</t>
        </is>
      </c>
      <c r="S24">
        <f>HYPERLINK("https://klasma.github.io/Logging_0883/artfynd/A 1182-2024 artfynd.xlsx", "A 1182-2024")</f>
        <v/>
      </c>
      <c r="T24">
        <f>HYPERLINK("https://klasma.github.io/Logging_0883/kartor/A 1182-2024 karta.png", "A 1182-2024")</f>
        <v/>
      </c>
      <c r="U24">
        <f>HYPERLINK("https://klasma.github.io/Logging_0883/knärot/A 1182-2024 karta knärot.png", "A 1182-2024")</f>
        <v/>
      </c>
      <c r="V24">
        <f>HYPERLINK("https://klasma.github.io/Logging_0883/klagomål/A 1182-2024 FSC-klagomål.docx", "A 1182-2024")</f>
        <v/>
      </c>
      <c r="W24">
        <f>HYPERLINK("https://klasma.github.io/Logging_0883/klagomålsmail/A 1182-2024 FSC-klagomål mail.docx", "A 1182-2024")</f>
        <v/>
      </c>
      <c r="X24">
        <f>HYPERLINK("https://klasma.github.io/Logging_0883/tillsyn/A 1182-2024 tillsynsbegäran.docx", "A 1182-2024")</f>
        <v/>
      </c>
      <c r="Y24">
        <f>HYPERLINK("https://klasma.github.io/Logging_0883/tillsynsmail/A 1182-2024 tillsynsbegäran mail.docx", "A 1182-2024")</f>
        <v/>
      </c>
      <c r="Z24">
        <f>HYPERLINK("https://klasma.github.io/Logging_0883/fåglar/A 1182-2024 prioriterade fågelarter.docx", "A 1182-2024")</f>
        <v/>
      </c>
    </row>
    <row r="25" ht="15" customHeight="1">
      <c r="A25" t="inlineStr">
        <is>
          <t>A 26281-2024</t>
        </is>
      </c>
      <c r="B25" s="1" t="n">
        <v>45468</v>
      </c>
      <c r="C25" s="1" t="n">
        <v>45565</v>
      </c>
      <c r="D25" t="inlineStr">
        <is>
          <t>KALMAR LÄN</t>
        </is>
      </c>
      <c r="E25" t="inlineStr">
        <is>
          <t>VÄSTERVIK</t>
        </is>
      </c>
      <c r="F25" t="inlineStr">
        <is>
          <t>Holmen skog AB</t>
        </is>
      </c>
      <c r="G25" t="n">
        <v>4.3</v>
      </c>
      <c r="H25" t="n">
        <v>2</v>
      </c>
      <c r="I25" t="n">
        <v>5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8</v>
      </c>
      <c r="R25" s="2" t="inlineStr">
        <is>
          <t>Kandelabersvamp
Spillkråka
Tallticka
Ekoxe
Grovticka
Grönpyrola
Murgröna
Rävticka</t>
        </is>
      </c>
      <c r="S25">
        <f>HYPERLINK("https://klasma.github.io/Logging_0883/artfynd/A 26281-2024 artfynd.xlsx", "A 26281-2024")</f>
        <v/>
      </c>
      <c r="T25">
        <f>HYPERLINK("https://klasma.github.io/Logging_0883/kartor/A 26281-2024 karta.png", "A 26281-2024")</f>
        <v/>
      </c>
      <c r="V25">
        <f>HYPERLINK("https://klasma.github.io/Logging_0883/klagomål/A 26281-2024 FSC-klagomål.docx", "A 26281-2024")</f>
        <v/>
      </c>
      <c r="W25">
        <f>HYPERLINK("https://klasma.github.io/Logging_0883/klagomålsmail/A 26281-2024 FSC-klagomål mail.docx", "A 26281-2024")</f>
        <v/>
      </c>
      <c r="X25">
        <f>HYPERLINK("https://klasma.github.io/Logging_0883/tillsyn/A 26281-2024 tillsynsbegäran.docx", "A 26281-2024")</f>
        <v/>
      </c>
      <c r="Y25">
        <f>HYPERLINK("https://klasma.github.io/Logging_0883/tillsynsmail/A 26281-2024 tillsynsbegäran mail.docx", "A 26281-2024")</f>
        <v/>
      </c>
      <c r="Z25">
        <f>HYPERLINK("https://klasma.github.io/Logging_0883/fåglar/A 26281-2024 prioriterade fågelarter.docx", "A 26281-2024")</f>
        <v/>
      </c>
    </row>
    <row r="26" ht="15" customHeight="1">
      <c r="A26" t="inlineStr">
        <is>
          <t>A 27378-2024</t>
        </is>
      </c>
      <c r="B26" s="1" t="n">
        <v>45473</v>
      </c>
      <c r="C26" s="1" t="n">
        <v>45565</v>
      </c>
      <c r="D26" t="inlineStr">
        <is>
          <t>KALMAR LÄN</t>
        </is>
      </c>
      <c r="E26" t="inlineStr">
        <is>
          <t>VÄSTERVIK</t>
        </is>
      </c>
      <c r="G26" t="n">
        <v>3</v>
      </c>
      <c r="H26" t="n">
        <v>4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8</v>
      </c>
      <c r="R26" s="2" t="inlineStr">
        <is>
          <t>Knärot
Rotfingersvamp
Svart taggsvamp
Talltita
Blåmossa
Dropptaggsvamp
Tjäder
Mattlummer</t>
        </is>
      </c>
      <c r="S26">
        <f>HYPERLINK("https://klasma.github.io/Logging_0883/artfynd/A 27378-2024 artfynd.xlsx", "A 27378-2024")</f>
        <v/>
      </c>
      <c r="T26">
        <f>HYPERLINK("https://klasma.github.io/Logging_0883/kartor/A 27378-2024 karta.png", "A 27378-2024")</f>
        <v/>
      </c>
      <c r="U26">
        <f>HYPERLINK("https://klasma.github.io/Logging_0883/knärot/A 27378-2024 karta knärot.png", "A 27378-2024")</f>
        <v/>
      </c>
      <c r="V26">
        <f>HYPERLINK("https://klasma.github.io/Logging_0883/klagomål/A 27378-2024 FSC-klagomål.docx", "A 27378-2024")</f>
        <v/>
      </c>
      <c r="W26">
        <f>HYPERLINK("https://klasma.github.io/Logging_0883/klagomålsmail/A 27378-2024 FSC-klagomål mail.docx", "A 27378-2024")</f>
        <v/>
      </c>
      <c r="X26">
        <f>HYPERLINK("https://klasma.github.io/Logging_0883/tillsyn/A 27378-2024 tillsynsbegäran.docx", "A 27378-2024")</f>
        <v/>
      </c>
      <c r="Y26">
        <f>HYPERLINK("https://klasma.github.io/Logging_0883/tillsynsmail/A 27378-2024 tillsynsbegäran mail.docx", "A 27378-2024")</f>
        <v/>
      </c>
      <c r="Z26">
        <f>HYPERLINK("https://klasma.github.io/Logging_0883/fåglar/A 27378-2024 prioriterade fågelarter.docx", "A 27378-2024")</f>
        <v/>
      </c>
    </row>
    <row r="27" ht="15" customHeight="1">
      <c r="A27" t="inlineStr">
        <is>
          <t>A 63850-2021</t>
        </is>
      </c>
      <c r="B27" s="1" t="n">
        <v>44505</v>
      </c>
      <c r="C27" s="1" t="n">
        <v>45565</v>
      </c>
      <c r="D27" t="inlineStr">
        <is>
          <t>KALMAR LÄN</t>
        </is>
      </c>
      <c r="E27" t="inlineStr">
        <is>
          <t>VÄSTERVIK</t>
        </is>
      </c>
      <c r="G27" t="n">
        <v>2.7</v>
      </c>
      <c r="H27" t="n">
        <v>3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Tallticka
Talltita
Ullticka
Grovticka
Grön sköldmossa
Grönpyrola</t>
        </is>
      </c>
      <c r="S27">
        <f>HYPERLINK("https://klasma.github.io/Logging_0883/artfynd/A 63850-2021 artfynd.xlsx", "A 63850-2021")</f>
        <v/>
      </c>
      <c r="T27">
        <f>HYPERLINK("https://klasma.github.io/Logging_0883/kartor/A 63850-2021 karta.png", "A 63850-2021")</f>
        <v/>
      </c>
      <c r="U27">
        <f>HYPERLINK("https://klasma.github.io/Logging_0883/knärot/A 63850-2021 karta knärot.png", "A 63850-2021")</f>
        <v/>
      </c>
      <c r="V27">
        <f>HYPERLINK("https://klasma.github.io/Logging_0883/klagomål/A 63850-2021 FSC-klagomål.docx", "A 63850-2021")</f>
        <v/>
      </c>
      <c r="W27">
        <f>HYPERLINK("https://klasma.github.io/Logging_0883/klagomålsmail/A 63850-2021 FSC-klagomål mail.docx", "A 63850-2021")</f>
        <v/>
      </c>
      <c r="X27">
        <f>HYPERLINK("https://klasma.github.io/Logging_0883/tillsyn/A 63850-2021 tillsynsbegäran.docx", "A 63850-2021")</f>
        <v/>
      </c>
      <c r="Y27">
        <f>HYPERLINK("https://klasma.github.io/Logging_0883/tillsynsmail/A 63850-2021 tillsynsbegäran mail.docx", "A 63850-2021")</f>
        <v/>
      </c>
      <c r="Z27">
        <f>HYPERLINK("https://klasma.github.io/Logging_0883/fåglar/A 63850-2021 prioriterade fågelarter.docx", "A 63850-2021")</f>
        <v/>
      </c>
    </row>
    <row r="28" ht="15" customHeight="1">
      <c r="A28" t="inlineStr">
        <is>
          <t>A 34624-2022</t>
        </is>
      </c>
      <c r="B28" s="1" t="n">
        <v>44795</v>
      </c>
      <c r="C28" s="1" t="n">
        <v>45565</v>
      </c>
      <c r="D28" t="inlineStr">
        <is>
          <t>KALMAR LÄN</t>
        </is>
      </c>
      <c r="E28" t="inlineStr">
        <is>
          <t>VÄSTERVIK</t>
        </is>
      </c>
      <c r="G28" t="n">
        <v>14</v>
      </c>
      <c r="H28" t="n">
        <v>2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Svart taggsvamp
Tallticka
Talltita
Blomkålssvamp
Blåmossa
Grönpyrola</t>
        </is>
      </c>
      <c r="S28">
        <f>HYPERLINK("https://klasma.github.io/Logging_0883/artfynd/A 34624-2022 artfynd.xlsx", "A 34624-2022")</f>
        <v/>
      </c>
      <c r="T28">
        <f>HYPERLINK("https://klasma.github.io/Logging_0883/kartor/A 34624-2022 karta.png", "A 34624-2022")</f>
        <v/>
      </c>
      <c r="U28">
        <f>HYPERLINK("https://klasma.github.io/Logging_0883/knärot/A 34624-2022 karta knärot.png", "A 34624-2022")</f>
        <v/>
      </c>
      <c r="V28">
        <f>HYPERLINK("https://klasma.github.io/Logging_0883/klagomål/A 34624-2022 FSC-klagomål.docx", "A 34624-2022")</f>
        <v/>
      </c>
      <c r="W28">
        <f>HYPERLINK("https://klasma.github.io/Logging_0883/klagomålsmail/A 34624-2022 FSC-klagomål mail.docx", "A 34624-2022")</f>
        <v/>
      </c>
      <c r="X28">
        <f>HYPERLINK("https://klasma.github.io/Logging_0883/tillsyn/A 34624-2022 tillsynsbegäran.docx", "A 34624-2022")</f>
        <v/>
      </c>
      <c r="Y28">
        <f>HYPERLINK("https://klasma.github.io/Logging_0883/tillsynsmail/A 34624-2022 tillsynsbegäran mail.docx", "A 34624-2022")</f>
        <v/>
      </c>
      <c r="Z28">
        <f>HYPERLINK("https://klasma.github.io/Logging_0883/fåglar/A 34624-2022 prioriterade fågelarter.docx", "A 34624-2022")</f>
        <v/>
      </c>
    </row>
    <row r="29" ht="15" customHeight="1">
      <c r="A29" t="inlineStr">
        <is>
          <t>A 30190-2023</t>
        </is>
      </c>
      <c r="B29" s="1" t="n">
        <v>45110</v>
      </c>
      <c r="C29" s="1" t="n">
        <v>45565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6.9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Motaggsvamp
Svart taggsvamp
Tallticka
Dropptaggsvamp
Grönpyrola
Zontaggsvamp</t>
        </is>
      </c>
      <c r="S29">
        <f>HYPERLINK("https://klasma.github.io/Logging_0883/artfynd/A 30190-2023 artfynd.xlsx", "A 30190-2023")</f>
        <v/>
      </c>
      <c r="T29">
        <f>HYPERLINK("https://klasma.github.io/Logging_0883/kartor/A 30190-2023 karta.png", "A 30190-2023")</f>
        <v/>
      </c>
      <c r="U29">
        <f>HYPERLINK("https://klasma.github.io/Logging_0883/knärot/A 30190-2023 karta knärot.png", "A 30190-2023")</f>
        <v/>
      </c>
      <c r="V29">
        <f>HYPERLINK("https://klasma.github.io/Logging_0883/klagomål/A 30190-2023 FSC-klagomål.docx", "A 30190-2023")</f>
        <v/>
      </c>
      <c r="W29">
        <f>HYPERLINK("https://klasma.github.io/Logging_0883/klagomålsmail/A 30190-2023 FSC-klagomål mail.docx", "A 30190-2023")</f>
        <v/>
      </c>
      <c r="X29">
        <f>HYPERLINK("https://klasma.github.io/Logging_0883/tillsyn/A 30190-2023 tillsynsbegäran.docx", "A 30190-2023")</f>
        <v/>
      </c>
      <c r="Y29">
        <f>HYPERLINK("https://klasma.github.io/Logging_0883/tillsynsmail/A 30190-2023 tillsynsbegäran mail.docx", "A 30190-2023")</f>
        <v/>
      </c>
    </row>
    <row r="30" ht="15" customHeight="1">
      <c r="A30" t="inlineStr">
        <is>
          <t>A 28241-2024</t>
        </is>
      </c>
      <c r="B30" s="1" t="n">
        <v>45477</v>
      </c>
      <c r="C30" s="1" t="n">
        <v>45565</v>
      </c>
      <c r="D30" t="inlineStr">
        <is>
          <t>KALMAR LÄN</t>
        </is>
      </c>
      <c r="E30" t="inlineStr">
        <is>
          <t>VÄSTERVIK</t>
        </is>
      </c>
      <c r="G30" t="n">
        <v>8.1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7</v>
      </c>
      <c r="R30" s="2" t="inlineStr">
        <is>
          <t>Ryl
Knärot
Spillkråka
Tallticka
Talltita
Blåmossa
Dropptaggsvamp</t>
        </is>
      </c>
      <c r="S30">
        <f>HYPERLINK("https://klasma.github.io/Logging_0883/artfynd/A 28241-2024 artfynd.xlsx", "A 28241-2024")</f>
        <v/>
      </c>
      <c r="T30">
        <f>HYPERLINK("https://klasma.github.io/Logging_0883/kartor/A 28241-2024 karta.png", "A 28241-2024")</f>
        <v/>
      </c>
      <c r="U30">
        <f>HYPERLINK("https://klasma.github.io/Logging_0883/knärot/A 28241-2024 karta knärot.png", "A 28241-2024")</f>
        <v/>
      </c>
      <c r="V30">
        <f>HYPERLINK("https://klasma.github.io/Logging_0883/klagomål/A 28241-2024 FSC-klagomål.docx", "A 28241-2024")</f>
        <v/>
      </c>
      <c r="W30">
        <f>HYPERLINK("https://klasma.github.io/Logging_0883/klagomålsmail/A 28241-2024 FSC-klagomål mail.docx", "A 28241-2024")</f>
        <v/>
      </c>
      <c r="X30">
        <f>HYPERLINK("https://klasma.github.io/Logging_0883/tillsyn/A 28241-2024 tillsynsbegäran.docx", "A 28241-2024")</f>
        <v/>
      </c>
      <c r="Y30">
        <f>HYPERLINK("https://klasma.github.io/Logging_0883/tillsynsmail/A 28241-2024 tillsynsbegäran mail.docx", "A 28241-2024")</f>
        <v/>
      </c>
      <c r="Z30">
        <f>HYPERLINK("https://klasma.github.io/Logging_0883/fåglar/A 28241-2024 prioriterade fågelarter.docx", "A 28241-2024")</f>
        <v/>
      </c>
    </row>
    <row r="31" ht="15" customHeight="1">
      <c r="A31" t="inlineStr">
        <is>
          <t>A 31082-2024</t>
        </is>
      </c>
      <c r="B31" s="1" t="n">
        <v>45502</v>
      </c>
      <c r="C31" s="1" t="n">
        <v>45565</v>
      </c>
      <c r="D31" t="inlineStr">
        <is>
          <t>KALMAR LÄN</t>
        </is>
      </c>
      <c r="E31" t="inlineStr">
        <is>
          <t>VÄSTERVIK</t>
        </is>
      </c>
      <c r="F31" t="inlineStr">
        <is>
          <t>Holmen skog AB</t>
        </is>
      </c>
      <c r="G31" t="n">
        <v>8</v>
      </c>
      <c r="H31" t="n">
        <v>3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7</v>
      </c>
      <c r="R31" s="2" t="inlineStr">
        <is>
          <t>Knärot
Orange taggsvamp
Talltita
Blåmossa
Dropptaggsvamp
Zontaggsvamp
Tjäder</t>
        </is>
      </c>
      <c r="S31">
        <f>HYPERLINK("https://klasma.github.io/Logging_0883/artfynd/A 31082-2024 artfynd.xlsx", "A 31082-2024")</f>
        <v/>
      </c>
      <c r="T31">
        <f>HYPERLINK("https://klasma.github.io/Logging_0883/kartor/A 31082-2024 karta.png", "A 31082-2024")</f>
        <v/>
      </c>
      <c r="U31">
        <f>HYPERLINK("https://klasma.github.io/Logging_0883/knärot/A 31082-2024 karta knärot.png", "A 31082-2024")</f>
        <v/>
      </c>
      <c r="V31">
        <f>HYPERLINK("https://klasma.github.io/Logging_0883/klagomål/A 31082-2024 FSC-klagomål.docx", "A 31082-2024")</f>
        <v/>
      </c>
      <c r="W31">
        <f>HYPERLINK("https://klasma.github.io/Logging_0883/klagomålsmail/A 31082-2024 FSC-klagomål mail.docx", "A 31082-2024")</f>
        <v/>
      </c>
      <c r="X31">
        <f>HYPERLINK("https://klasma.github.io/Logging_0883/tillsyn/A 31082-2024 tillsynsbegäran.docx", "A 31082-2024")</f>
        <v/>
      </c>
      <c r="Y31">
        <f>HYPERLINK("https://klasma.github.io/Logging_0883/tillsynsmail/A 31082-2024 tillsynsbegäran mail.docx", "A 31082-2024")</f>
        <v/>
      </c>
      <c r="Z31">
        <f>HYPERLINK("https://klasma.github.io/Logging_0883/fåglar/A 31082-2024 prioriterade fågelarter.docx", "A 31082-2024")</f>
        <v/>
      </c>
    </row>
    <row r="32" ht="15" customHeight="1">
      <c r="A32" t="inlineStr">
        <is>
          <t>A 34396-2024</t>
        </is>
      </c>
      <c r="B32" s="1" t="n">
        <v>45525</v>
      </c>
      <c r="C32" s="1" t="n">
        <v>45565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14.6</v>
      </c>
      <c r="H32" t="n">
        <v>4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Entita
Spillkråka
Svart taggsvamp
Talltita
Blåmossa
Dropptaggsvamp</t>
        </is>
      </c>
      <c r="S32">
        <f>HYPERLINK("https://klasma.github.io/Logging_0883/artfynd/A 34396-2024 artfynd.xlsx", "A 34396-2024")</f>
        <v/>
      </c>
      <c r="T32">
        <f>HYPERLINK("https://klasma.github.io/Logging_0883/kartor/A 34396-2024 karta.png", "A 34396-2024")</f>
        <v/>
      </c>
      <c r="U32">
        <f>HYPERLINK("https://klasma.github.io/Logging_0883/knärot/A 34396-2024 karta knärot.png", "A 34396-2024")</f>
        <v/>
      </c>
      <c r="V32">
        <f>HYPERLINK("https://klasma.github.io/Logging_0883/klagomål/A 34396-2024 FSC-klagomål.docx", "A 34396-2024")</f>
        <v/>
      </c>
      <c r="W32">
        <f>HYPERLINK("https://klasma.github.io/Logging_0883/klagomålsmail/A 34396-2024 FSC-klagomål mail.docx", "A 34396-2024")</f>
        <v/>
      </c>
      <c r="X32">
        <f>HYPERLINK("https://klasma.github.io/Logging_0883/tillsyn/A 34396-2024 tillsynsbegäran.docx", "A 34396-2024")</f>
        <v/>
      </c>
      <c r="Y32">
        <f>HYPERLINK("https://klasma.github.io/Logging_0883/tillsynsmail/A 34396-2024 tillsynsbegäran mail.docx", "A 34396-2024")</f>
        <v/>
      </c>
      <c r="Z32">
        <f>HYPERLINK("https://klasma.github.io/Logging_0883/fåglar/A 34396-2024 prioriterade fågelarter.docx", "A 34396-2024")</f>
        <v/>
      </c>
    </row>
    <row r="33" ht="15" customHeight="1">
      <c r="A33" t="inlineStr">
        <is>
          <t>A 38933-2024</t>
        </is>
      </c>
      <c r="B33" s="1" t="n">
        <v>45548</v>
      </c>
      <c r="C33" s="1" t="n">
        <v>45565</v>
      </c>
      <c r="D33" t="inlineStr">
        <is>
          <t>KALMAR LÄN</t>
        </is>
      </c>
      <c r="E33" t="inlineStr">
        <is>
          <t>VÄSTERVIK</t>
        </is>
      </c>
      <c r="G33" t="n">
        <v>3.9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Mindre hackspett
Spillkråka
Svart taggsvamp
Talltita
Blomkålssvamp
Grönpyrola</t>
        </is>
      </c>
      <c r="S33">
        <f>HYPERLINK("https://klasma.github.io/Logging_0883/artfynd/A 38933-2024 artfynd.xlsx", "A 38933-2024")</f>
        <v/>
      </c>
      <c r="T33">
        <f>HYPERLINK("https://klasma.github.io/Logging_0883/kartor/A 38933-2024 karta.png", "A 38933-2024")</f>
        <v/>
      </c>
      <c r="U33">
        <f>HYPERLINK("https://klasma.github.io/Logging_0883/knärot/A 38933-2024 karta knärot.png", "A 38933-2024")</f>
        <v/>
      </c>
      <c r="V33">
        <f>HYPERLINK("https://klasma.github.io/Logging_0883/klagomål/A 38933-2024 FSC-klagomål.docx", "A 38933-2024")</f>
        <v/>
      </c>
      <c r="W33">
        <f>HYPERLINK("https://klasma.github.io/Logging_0883/klagomålsmail/A 38933-2024 FSC-klagomål mail.docx", "A 38933-2024")</f>
        <v/>
      </c>
      <c r="X33">
        <f>HYPERLINK("https://klasma.github.io/Logging_0883/tillsyn/A 38933-2024 tillsynsbegäran.docx", "A 38933-2024")</f>
        <v/>
      </c>
      <c r="Y33">
        <f>HYPERLINK("https://klasma.github.io/Logging_0883/tillsynsmail/A 38933-2024 tillsynsbegäran mail.docx", "A 38933-2024")</f>
        <v/>
      </c>
      <c r="Z33">
        <f>HYPERLINK("https://klasma.github.io/Logging_0883/fåglar/A 38933-2024 prioriterade fågelarter.docx", "A 38933-2024")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45565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45565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45565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45565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45565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45565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45565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45565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45565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45565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45565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45565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45565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45565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45565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45565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45565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45565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45565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45565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43862-2019</t>
        </is>
      </c>
      <c r="B54" s="1" t="n">
        <v>43707</v>
      </c>
      <c r="C54" s="1" t="n">
        <v>45565</v>
      </c>
      <c r="D54" t="inlineStr">
        <is>
          <t>KALMAR LÄN</t>
        </is>
      </c>
      <c r="E54" t="inlineStr">
        <is>
          <t>VÄSTERVIK</t>
        </is>
      </c>
      <c r="G54" t="n">
        <v>3.8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Orange taggsvamp
Tallticka
Blomkålssvamp</t>
        </is>
      </c>
      <c r="S54">
        <f>HYPERLINK("https://klasma.github.io/Logging_0883/artfynd/A 43862-2019 artfynd.xlsx", "A 43862-2019")</f>
        <v/>
      </c>
      <c r="T54">
        <f>HYPERLINK("https://klasma.github.io/Logging_0883/kartor/A 43862-2019 karta.png", "A 43862-2019")</f>
        <v/>
      </c>
      <c r="U54">
        <f>HYPERLINK("https://klasma.github.io/Logging_0883/knärot/A 43862-2019 karta knärot.png", "A 43862-2019")</f>
        <v/>
      </c>
      <c r="V54">
        <f>HYPERLINK("https://klasma.github.io/Logging_0883/klagomål/A 43862-2019 FSC-klagomål.docx", "A 43862-2019")</f>
        <v/>
      </c>
      <c r="W54">
        <f>HYPERLINK("https://klasma.github.io/Logging_0883/klagomålsmail/A 43862-2019 FSC-klagomål mail.docx", "A 43862-2019")</f>
        <v/>
      </c>
      <c r="X54">
        <f>HYPERLINK("https://klasma.github.io/Logging_0883/tillsyn/A 43862-2019 tillsynsbegäran.docx", "A 43862-2019")</f>
        <v/>
      </c>
      <c r="Y54">
        <f>HYPERLINK("https://klasma.github.io/Logging_0883/tillsynsmail/A 43862-2019 tillsynsbegäran mail.docx", "A 43862-2019")</f>
        <v/>
      </c>
    </row>
    <row r="55" ht="15" customHeight="1">
      <c r="A55" t="inlineStr">
        <is>
          <t>A 3470-2020</t>
        </is>
      </c>
      <c r="B55" s="1" t="n">
        <v>43852</v>
      </c>
      <c r="C55" s="1" t="n">
        <v>45565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Gammelekslav
Gul dropplav
Hjälmbrosklav
Skuggorangelav</t>
        </is>
      </c>
      <c r="S55">
        <f>HYPERLINK("https://klasma.github.io/Logging_0883/artfynd/A 3470-2020 artfynd.xlsx", "A 3470-2020")</f>
        <v/>
      </c>
      <c r="T55">
        <f>HYPERLINK("https://klasma.github.io/Logging_0883/kartor/A 3470-2020 karta.png", "A 3470-2020")</f>
        <v/>
      </c>
      <c r="V55">
        <f>HYPERLINK("https://klasma.github.io/Logging_0883/klagomål/A 3470-2020 FSC-klagomål.docx", "A 3470-2020")</f>
        <v/>
      </c>
      <c r="W55">
        <f>HYPERLINK("https://klasma.github.io/Logging_0883/klagomålsmail/A 3470-2020 FSC-klagomål mail.docx", "A 3470-2020")</f>
        <v/>
      </c>
      <c r="X55">
        <f>HYPERLINK("https://klasma.github.io/Logging_0883/tillsyn/A 3470-2020 tillsynsbegäran.docx", "A 3470-2020")</f>
        <v/>
      </c>
      <c r="Y55">
        <f>HYPERLINK("https://klasma.github.io/Logging_0883/tillsynsmail/A 3470-2020 tillsynsbegäran mail.docx", "A 3470-2020")</f>
        <v/>
      </c>
    </row>
    <row r="56" ht="15" customHeight="1">
      <c r="A56" t="inlineStr">
        <is>
          <t>A 15978-2020</t>
        </is>
      </c>
      <c r="B56" s="1" t="n">
        <v>43915</v>
      </c>
      <c r="C56" s="1" t="n">
        <v>45565</v>
      </c>
      <c r="D56" t="inlineStr">
        <is>
          <t>KALMAR LÄN</t>
        </is>
      </c>
      <c r="E56" t="inlineStr">
        <is>
          <t>VÄSTERVIK</t>
        </is>
      </c>
      <c r="G56" t="n">
        <v>3.8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Orange taggsvamp
Tallticka
Blomkålssvamp</t>
        </is>
      </c>
      <c r="S56">
        <f>HYPERLINK("https://klasma.github.io/Logging_0883/artfynd/A 15978-2020 artfynd.xlsx", "A 15978-2020")</f>
        <v/>
      </c>
      <c r="T56">
        <f>HYPERLINK("https://klasma.github.io/Logging_0883/kartor/A 15978-2020 karta.png", "A 15978-2020")</f>
        <v/>
      </c>
      <c r="U56">
        <f>HYPERLINK("https://klasma.github.io/Logging_0883/knärot/A 15978-2020 karta knärot.png", "A 15978-2020")</f>
        <v/>
      </c>
      <c r="V56">
        <f>HYPERLINK("https://klasma.github.io/Logging_0883/klagomål/A 15978-2020 FSC-klagomål.docx", "A 15978-2020")</f>
        <v/>
      </c>
      <c r="W56">
        <f>HYPERLINK("https://klasma.github.io/Logging_0883/klagomålsmail/A 15978-2020 FSC-klagomål mail.docx", "A 15978-2020")</f>
        <v/>
      </c>
      <c r="X56">
        <f>HYPERLINK("https://klasma.github.io/Logging_0883/tillsyn/A 15978-2020 tillsynsbegäran.docx", "A 15978-2020")</f>
        <v/>
      </c>
      <c r="Y56">
        <f>HYPERLINK("https://klasma.github.io/Logging_0883/tillsynsmail/A 15978-2020 tillsynsbegäran mail.docx", "A 15978-2020")</f>
        <v/>
      </c>
    </row>
    <row r="57" ht="15" customHeight="1">
      <c r="A57" t="inlineStr">
        <is>
          <t>A 25280-2021</t>
        </is>
      </c>
      <c r="B57" s="1" t="n">
        <v>44342</v>
      </c>
      <c r="C57" s="1" t="n">
        <v>45565</v>
      </c>
      <c r="D57" t="inlineStr">
        <is>
          <t>KALMAR LÄN</t>
        </is>
      </c>
      <c r="E57" t="inlineStr">
        <is>
          <t>VÄSTERVIK</t>
        </is>
      </c>
      <c r="G57" t="n">
        <v>6.5</v>
      </c>
      <c r="H57" t="n">
        <v>3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Knärot
Smalsprötad bastardsvärmare
Spillkråka
Talltita</t>
        </is>
      </c>
      <c r="S57">
        <f>HYPERLINK("https://klasma.github.io/Logging_0883/artfynd/A 25280-2021 artfynd.xlsx", "A 25280-2021")</f>
        <v/>
      </c>
      <c r="T57">
        <f>HYPERLINK("https://klasma.github.io/Logging_0883/kartor/A 25280-2021 karta.png", "A 25280-2021")</f>
        <v/>
      </c>
      <c r="U57">
        <f>HYPERLINK("https://klasma.github.io/Logging_0883/knärot/A 25280-2021 karta knärot.png", "A 25280-2021")</f>
        <v/>
      </c>
      <c r="V57">
        <f>HYPERLINK("https://klasma.github.io/Logging_0883/klagomål/A 25280-2021 FSC-klagomål.docx", "A 25280-2021")</f>
        <v/>
      </c>
      <c r="W57">
        <f>HYPERLINK("https://klasma.github.io/Logging_0883/klagomålsmail/A 25280-2021 FSC-klagomål mail.docx", "A 25280-2021")</f>
        <v/>
      </c>
      <c r="X57">
        <f>HYPERLINK("https://klasma.github.io/Logging_0883/tillsyn/A 25280-2021 tillsynsbegäran.docx", "A 25280-2021")</f>
        <v/>
      </c>
      <c r="Y57">
        <f>HYPERLINK("https://klasma.github.io/Logging_0883/tillsynsmail/A 25280-2021 tillsynsbegäran mail.docx", "A 25280-2021")</f>
        <v/>
      </c>
      <c r="Z57">
        <f>HYPERLINK("https://klasma.github.io/Logging_0883/fåglar/A 25280-2021 prioriterade fågelarter.docx", "A 25280-2021")</f>
        <v/>
      </c>
    </row>
    <row r="58" ht="15" customHeight="1">
      <c r="A58" t="inlineStr">
        <is>
          <t>A 37438-2021</t>
        </is>
      </c>
      <c r="B58" s="1" t="n">
        <v>44398</v>
      </c>
      <c r="C58" s="1" t="n">
        <v>45565</v>
      </c>
      <c r="D58" t="inlineStr">
        <is>
          <t>KALMAR LÄN</t>
        </is>
      </c>
      <c r="E58" t="inlineStr">
        <is>
          <t>VÄSTERVIK</t>
        </is>
      </c>
      <c r="G58" t="n">
        <v>14.3</v>
      </c>
      <c r="H58" t="n">
        <v>2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Kambräken
Tjäder</t>
        </is>
      </c>
      <c r="S58">
        <f>HYPERLINK("https://klasma.github.io/Logging_0883/artfynd/A 37438-2021 artfynd.xlsx", "A 37438-2021")</f>
        <v/>
      </c>
      <c r="T58">
        <f>HYPERLINK("https://klasma.github.io/Logging_0883/kartor/A 37438-2021 karta.png", "A 37438-2021")</f>
        <v/>
      </c>
      <c r="U58">
        <f>HYPERLINK("https://klasma.github.io/Logging_0883/knärot/A 37438-2021 karta knärot.png", "A 37438-2021")</f>
        <v/>
      </c>
      <c r="V58">
        <f>HYPERLINK("https://klasma.github.io/Logging_0883/klagomål/A 37438-2021 FSC-klagomål.docx", "A 37438-2021")</f>
        <v/>
      </c>
      <c r="W58">
        <f>HYPERLINK("https://klasma.github.io/Logging_0883/klagomålsmail/A 37438-2021 FSC-klagomål mail.docx", "A 37438-2021")</f>
        <v/>
      </c>
      <c r="X58">
        <f>HYPERLINK("https://klasma.github.io/Logging_0883/tillsyn/A 37438-2021 tillsynsbegäran.docx", "A 37438-2021")</f>
        <v/>
      </c>
      <c r="Y58">
        <f>HYPERLINK("https://klasma.github.io/Logging_0883/tillsynsmail/A 37438-2021 tillsynsbegäran mail.docx", "A 37438-2021")</f>
        <v/>
      </c>
      <c r="Z58">
        <f>HYPERLINK("https://klasma.github.io/Logging_0883/fåglar/A 37438-2021 prioriterade fågelarter.docx", "A 37438-2021")</f>
        <v/>
      </c>
    </row>
    <row r="59" ht="15" customHeight="1">
      <c r="A59" t="inlineStr">
        <is>
          <t>A 51923-2022</t>
        </is>
      </c>
      <c r="B59" s="1" t="n">
        <v>44868</v>
      </c>
      <c r="C59" s="1" t="n">
        <v>45565</v>
      </c>
      <c r="D59" t="inlineStr">
        <is>
          <t>KALMAR LÄN</t>
        </is>
      </c>
      <c r="E59" t="inlineStr">
        <is>
          <t>VÄSTERVIK</t>
        </is>
      </c>
      <c r="G59" t="n">
        <v>6.5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Hasselticka
Svart trolldruva
Vätteros
Blåsippa</t>
        </is>
      </c>
      <c r="S59">
        <f>HYPERLINK("https://klasma.github.io/Logging_0883/artfynd/A 51923-2022 artfynd.xlsx", "A 51923-2022")</f>
        <v/>
      </c>
      <c r="T59">
        <f>HYPERLINK("https://klasma.github.io/Logging_0883/kartor/A 51923-2022 karta.png", "A 51923-2022")</f>
        <v/>
      </c>
      <c r="V59">
        <f>HYPERLINK("https://klasma.github.io/Logging_0883/klagomål/A 51923-2022 FSC-klagomål.docx", "A 51923-2022")</f>
        <v/>
      </c>
      <c r="W59">
        <f>HYPERLINK("https://klasma.github.io/Logging_0883/klagomålsmail/A 51923-2022 FSC-klagomål mail.docx", "A 51923-2022")</f>
        <v/>
      </c>
      <c r="X59">
        <f>HYPERLINK("https://klasma.github.io/Logging_0883/tillsyn/A 51923-2022 tillsynsbegäran.docx", "A 51923-2022")</f>
        <v/>
      </c>
      <c r="Y59">
        <f>HYPERLINK("https://klasma.github.io/Logging_0883/tillsynsmail/A 51923-2022 tillsynsbegäran mail.docx", "A 51923-2022")</f>
        <v/>
      </c>
    </row>
    <row r="60" ht="15" customHeight="1">
      <c r="A60" t="inlineStr">
        <is>
          <t>A 58955-2022</t>
        </is>
      </c>
      <c r="B60" s="1" t="n">
        <v>44896</v>
      </c>
      <c r="C60" s="1" t="n">
        <v>45565</v>
      </c>
      <c r="D60" t="inlineStr">
        <is>
          <t>KALMAR LÄN</t>
        </is>
      </c>
      <c r="E60" t="inlineStr">
        <is>
          <t>VÄSTERVIK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Tallticka
Hasselticka
Blåsippa</t>
        </is>
      </c>
      <c r="S60">
        <f>HYPERLINK("https://klasma.github.io/Logging_0883/artfynd/A 58955-2022 artfynd.xlsx", "A 58955-2022")</f>
        <v/>
      </c>
      <c r="T60">
        <f>HYPERLINK("https://klasma.github.io/Logging_0883/kartor/A 58955-2022 karta.png", "A 58955-2022")</f>
        <v/>
      </c>
      <c r="U60">
        <f>HYPERLINK("https://klasma.github.io/Logging_0883/knärot/A 58955-2022 karta knärot.png", "A 58955-2022")</f>
        <v/>
      </c>
      <c r="V60">
        <f>HYPERLINK("https://klasma.github.io/Logging_0883/klagomål/A 58955-2022 FSC-klagomål.docx", "A 58955-2022")</f>
        <v/>
      </c>
      <c r="W60">
        <f>HYPERLINK("https://klasma.github.io/Logging_0883/klagomålsmail/A 58955-2022 FSC-klagomål mail.docx", "A 58955-2022")</f>
        <v/>
      </c>
      <c r="X60">
        <f>HYPERLINK("https://klasma.github.io/Logging_0883/tillsyn/A 58955-2022 tillsynsbegäran.docx", "A 58955-2022")</f>
        <v/>
      </c>
      <c r="Y60">
        <f>HYPERLINK("https://klasma.github.io/Logging_0883/tillsynsmail/A 58955-2022 tillsynsbegäran mail.docx", "A 58955-2022")</f>
        <v/>
      </c>
    </row>
    <row r="61" ht="15" customHeight="1">
      <c r="A61" t="inlineStr">
        <is>
          <t>A 34047-2023</t>
        </is>
      </c>
      <c r="B61" s="1" t="n">
        <v>45124</v>
      </c>
      <c r="C61" s="1" t="n">
        <v>45565</v>
      </c>
      <c r="D61" t="inlineStr">
        <is>
          <t>KALMAR LÄN</t>
        </is>
      </c>
      <c r="E61" t="inlineStr">
        <is>
          <t>VÄSTERVIK</t>
        </is>
      </c>
      <c r="G61" t="n">
        <v>1.9</v>
      </c>
      <c r="H61" t="n">
        <v>3</v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Knärot
Kungsfiskare
Grön sköldmossa
Svart trolldruva</t>
        </is>
      </c>
      <c r="S61">
        <f>HYPERLINK("https://klasma.github.io/Logging_0883/artfynd/A 34047-2023 artfynd.xlsx", "A 34047-2023")</f>
        <v/>
      </c>
      <c r="T61">
        <f>HYPERLINK("https://klasma.github.io/Logging_0883/kartor/A 34047-2023 karta.png", "A 34047-2023")</f>
        <v/>
      </c>
      <c r="U61">
        <f>HYPERLINK("https://klasma.github.io/Logging_0883/knärot/A 34047-2023 karta knärot.png", "A 34047-2023")</f>
        <v/>
      </c>
      <c r="V61">
        <f>HYPERLINK("https://klasma.github.io/Logging_0883/klagomål/A 34047-2023 FSC-klagomål.docx", "A 34047-2023")</f>
        <v/>
      </c>
      <c r="W61">
        <f>HYPERLINK("https://klasma.github.io/Logging_0883/klagomålsmail/A 34047-2023 FSC-klagomål mail.docx", "A 34047-2023")</f>
        <v/>
      </c>
      <c r="X61">
        <f>HYPERLINK("https://klasma.github.io/Logging_0883/tillsyn/A 34047-2023 tillsynsbegäran.docx", "A 34047-2023")</f>
        <v/>
      </c>
      <c r="Y61">
        <f>HYPERLINK("https://klasma.github.io/Logging_0883/tillsynsmail/A 34047-2023 tillsynsbegäran mail.docx", "A 34047-2023")</f>
        <v/>
      </c>
    </row>
    <row r="62" ht="15" customHeight="1">
      <c r="A62" t="inlineStr">
        <is>
          <t>A 54233-2023</t>
        </is>
      </c>
      <c r="B62" s="1" t="n">
        <v>45232</v>
      </c>
      <c r="C62" s="1" t="n">
        <v>45565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Tallticka
Talltita
Blåmossa</t>
        </is>
      </c>
      <c r="S62">
        <f>HYPERLINK("https://klasma.github.io/Logging_0883/artfynd/A 54233-2023 artfynd.xlsx", "A 54233-2023")</f>
        <v/>
      </c>
      <c r="T62">
        <f>HYPERLINK("https://klasma.github.io/Logging_0883/kartor/A 54233-2023 karta.png", "A 54233-2023")</f>
        <v/>
      </c>
      <c r="U62">
        <f>HYPERLINK("https://klasma.github.io/Logging_0883/knärot/A 54233-2023 karta knärot.png", "A 54233-2023")</f>
        <v/>
      </c>
      <c r="V62">
        <f>HYPERLINK("https://klasma.github.io/Logging_0883/klagomål/A 54233-2023 FSC-klagomål.docx", "A 54233-2023")</f>
        <v/>
      </c>
      <c r="W62">
        <f>HYPERLINK("https://klasma.github.io/Logging_0883/klagomålsmail/A 54233-2023 FSC-klagomål mail.docx", "A 54233-2023")</f>
        <v/>
      </c>
      <c r="X62">
        <f>HYPERLINK("https://klasma.github.io/Logging_0883/tillsyn/A 54233-2023 tillsynsbegäran.docx", "A 54233-2023")</f>
        <v/>
      </c>
      <c r="Y62">
        <f>HYPERLINK("https://klasma.github.io/Logging_0883/tillsynsmail/A 54233-2023 tillsynsbegäran mail.docx", "A 54233-2023")</f>
        <v/>
      </c>
      <c r="Z62">
        <f>HYPERLINK("https://klasma.github.io/Logging_0883/fåglar/A 54233-2023 prioriterade fågelarter.docx", "A 54233-2023")</f>
        <v/>
      </c>
    </row>
    <row r="63" ht="15" customHeight="1">
      <c r="A63" t="inlineStr">
        <is>
          <t>A 59319-2023</t>
        </is>
      </c>
      <c r="B63" s="1" t="n">
        <v>45253</v>
      </c>
      <c r="C63" s="1" t="n">
        <v>45565</v>
      </c>
      <c r="D63" t="inlineStr">
        <is>
          <t>KALMAR LÄN</t>
        </is>
      </c>
      <c r="E63" t="inlineStr">
        <is>
          <t>VÄSTERVIK</t>
        </is>
      </c>
      <c r="G63" t="n">
        <v>1</v>
      </c>
      <c r="H63" t="n">
        <v>1</v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Tallharticka
Knärot
Blomkålssvamp
Grönpyrola</t>
        </is>
      </c>
      <c r="S63">
        <f>HYPERLINK("https://klasma.github.io/Logging_0883/artfynd/A 59319-2023 artfynd.xlsx", "A 59319-2023")</f>
        <v/>
      </c>
      <c r="T63">
        <f>HYPERLINK("https://klasma.github.io/Logging_0883/kartor/A 59319-2023 karta.png", "A 59319-2023")</f>
        <v/>
      </c>
      <c r="U63">
        <f>HYPERLINK("https://klasma.github.io/Logging_0883/knärot/A 59319-2023 karta knärot.png", "A 59319-2023")</f>
        <v/>
      </c>
      <c r="V63">
        <f>HYPERLINK("https://klasma.github.io/Logging_0883/klagomål/A 59319-2023 FSC-klagomål.docx", "A 59319-2023")</f>
        <v/>
      </c>
      <c r="W63">
        <f>HYPERLINK("https://klasma.github.io/Logging_0883/klagomålsmail/A 59319-2023 FSC-klagomål mail.docx", "A 59319-2023")</f>
        <v/>
      </c>
      <c r="X63">
        <f>HYPERLINK("https://klasma.github.io/Logging_0883/tillsyn/A 59319-2023 tillsynsbegäran.docx", "A 59319-2023")</f>
        <v/>
      </c>
      <c r="Y63">
        <f>HYPERLINK("https://klasma.github.io/Logging_0883/tillsynsmail/A 59319-2023 tillsynsbegäran mail.docx", "A 59319-2023")</f>
        <v/>
      </c>
    </row>
    <row r="64" ht="15" customHeight="1">
      <c r="A64" t="inlineStr">
        <is>
          <t>A 62849-2023</t>
        </is>
      </c>
      <c r="B64" s="1" t="n">
        <v>45272</v>
      </c>
      <c r="C64" s="1" t="n">
        <v>45565</v>
      </c>
      <c r="D64" t="inlineStr">
        <is>
          <t>KALMAR LÄN</t>
        </is>
      </c>
      <c r="E64" t="inlineStr">
        <is>
          <t>VÄSTERVIK</t>
        </is>
      </c>
      <c r="G64" t="n">
        <v>2</v>
      </c>
      <c r="H64" t="n">
        <v>3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Entita
Spillkråka
Talltita
Murgröna</t>
        </is>
      </c>
      <c r="S64">
        <f>HYPERLINK("https://klasma.github.io/Logging_0883/artfynd/A 62849-2023 artfynd.xlsx", "A 62849-2023")</f>
        <v/>
      </c>
      <c r="T64">
        <f>HYPERLINK("https://klasma.github.io/Logging_0883/kartor/A 62849-2023 karta.png", "A 62849-2023")</f>
        <v/>
      </c>
      <c r="V64">
        <f>HYPERLINK("https://klasma.github.io/Logging_0883/klagomål/A 62849-2023 FSC-klagomål.docx", "A 62849-2023")</f>
        <v/>
      </c>
      <c r="W64">
        <f>HYPERLINK("https://klasma.github.io/Logging_0883/klagomålsmail/A 62849-2023 FSC-klagomål mail.docx", "A 62849-2023")</f>
        <v/>
      </c>
      <c r="X64">
        <f>HYPERLINK("https://klasma.github.io/Logging_0883/tillsyn/A 62849-2023 tillsynsbegäran.docx", "A 62849-2023")</f>
        <v/>
      </c>
      <c r="Y64">
        <f>HYPERLINK("https://klasma.github.io/Logging_0883/tillsynsmail/A 62849-2023 tillsynsbegäran mail.docx", "A 62849-2023")</f>
        <v/>
      </c>
      <c r="Z64">
        <f>HYPERLINK("https://klasma.github.io/Logging_0883/fåglar/A 62849-2023 prioriterade fågelarter.docx", "A 62849-2023")</f>
        <v/>
      </c>
    </row>
    <row r="65" ht="15" customHeight="1">
      <c r="A65" t="inlineStr">
        <is>
          <t>A 62847-2023</t>
        </is>
      </c>
      <c r="B65" s="1" t="n">
        <v>45272</v>
      </c>
      <c r="C65" s="1" t="n">
        <v>45565</v>
      </c>
      <c r="D65" t="inlineStr">
        <is>
          <t>KALMAR LÄN</t>
        </is>
      </c>
      <c r="E65" t="inlineStr">
        <is>
          <t>VÄSTERVIK</t>
        </is>
      </c>
      <c r="G65" t="n">
        <v>3.4</v>
      </c>
      <c r="H65" t="n">
        <v>4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Tjäder</t>
        </is>
      </c>
      <c r="S65">
        <f>HYPERLINK("https://klasma.github.io/Logging_0883/artfynd/A 62847-2023 artfynd.xlsx", "A 62847-2023")</f>
        <v/>
      </c>
      <c r="T65">
        <f>HYPERLINK("https://klasma.github.io/Logging_0883/kartor/A 62847-2023 karta.png", "A 62847-2023")</f>
        <v/>
      </c>
      <c r="U65">
        <f>HYPERLINK("https://klasma.github.io/Logging_0883/knärot/A 62847-2023 karta knärot.png", "A 62847-2023")</f>
        <v/>
      </c>
      <c r="V65">
        <f>HYPERLINK("https://klasma.github.io/Logging_0883/klagomål/A 62847-2023 FSC-klagomål.docx", "A 62847-2023")</f>
        <v/>
      </c>
      <c r="W65">
        <f>HYPERLINK("https://klasma.github.io/Logging_0883/klagomålsmail/A 62847-2023 FSC-klagomål mail.docx", "A 62847-2023")</f>
        <v/>
      </c>
      <c r="X65">
        <f>HYPERLINK("https://klasma.github.io/Logging_0883/tillsyn/A 62847-2023 tillsynsbegäran.docx", "A 62847-2023")</f>
        <v/>
      </c>
      <c r="Y65">
        <f>HYPERLINK("https://klasma.github.io/Logging_0883/tillsynsmail/A 62847-2023 tillsynsbegäran mail.docx", "A 62847-2023")</f>
        <v/>
      </c>
      <c r="Z65">
        <f>HYPERLINK("https://klasma.github.io/Logging_0883/fåglar/A 62847-2023 prioriterade fågelarter.docx", "A 62847-2023")</f>
        <v/>
      </c>
    </row>
    <row r="66" ht="15" customHeight="1">
      <c r="A66" t="inlineStr">
        <is>
          <t>A 63366-2023</t>
        </is>
      </c>
      <c r="B66" s="1" t="n">
        <v>45274</v>
      </c>
      <c r="C66" s="1" t="n">
        <v>45565</v>
      </c>
      <c r="D66" t="inlineStr">
        <is>
          <t>KALMAR LÄN</t>
        </is>
      </c>
      <c r="E66" t="inlineStr">
        <is>
          <t>VÄSTERVIK</t>
        </is>
      </c>
      <c r="G66" t="n">
        <v>4.1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Spillkråka
Tallticka
Talltita</t>
        </is>
      </c>
      <c r="S66">
        <f>HYPERLINK("https://klasma.github.io/Logging_0883/artfynd/A 63366-2023 artfynd.xlsx", "A 63366-2023")</f>
        <v/>
      </c>
      <c r="T66">
        <f>HYPERLINK("https://klasma.github.io/Logging_0883/kartor/A 63366-2023 karta.png", "A 63366-2023")</f>
        <v/>
      </c>
      <c r="U66">
        <f>HYPERLINK("https://klasma.github.io/Logging_0883/knärot/A 63366-2023 karta knärot.png", "A 63366-2023")</f>
        <v/>
      </c>
      <c r="V66">
        <f>HYPERLINK("https://klasma.github.io/Logging_0883/klagomål/A 63366-2023 FSC-klagomål.docx", "A 63366-2023")</f>
        <v/>
      </c>
      <c r="W66">
        <f>HYPERLINK("https://klasma.github.io/Logging_0883/klagomålsmail/A 63366-2023 FSC-klagomål mail.docx", "A 63366-2023")</f>
        <v/>
      </c>
      <c r="X66">
        <f>HYPERLINK("https://klasma.github.io/Logging_0883/tillsyn/A 63366-2023 tillsynsbegäran.docx", "A 63366-2023")</f>
        <v/>
      </c>
      <c r="Y66">
        <f>HYPERLINK("https://klasma.github.io/Logging_0883/tillsynsmail/A 63366-2023 tillsynsbegäran mail.docx", "A 63366-2023")</f>
        <v/>
      </c>
      <c r="Z66">
        <f>HYPERLINK("https://klasma.github.io/Logging_0883/fåglar/A 63366-2023 prioriterade fågelarter.docx", "A 63366-2023")</f>
        <v/>
      </c>
    </row>
    <row r="67" ht="15" customHeight="1">
      <c r="A67" t="inlineStr">
        <is>
          <t>A 64575-2023</t>
        </is>
      </c>
      <c r="B67" s="1" t="n">
        <v>45281</v>
      </c>
      <c r="C67" s="1" t="n">
        <v>45565</v>
      </c>
      <c r="D67" t="inlineStr">
        <is>
          <t>KALMAR LÄN</t>
        </is>
      </c>
      <c r="E67" t="inlineStr">
        <is>
          <t>VÄSTERVIK</t>
        </is>
      </c>
      <c r="G67" t="n">
        <v>7.9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Blek fingersvamp
Såpfingersvamp
Vanlig groda
Vanlig snok</t>
        </is>
      </c>
      <c r="S67">
        <f>HYPERLINK("https://klasma.github.io/Logging_0883/artfynd/A 64575-2023 artfynd.xlsx", "A 64575-2023")</f>
        <v/>
      </c>
      <c r="T67">
        <f>HYPERLINK("https://klasma.github.io/Logging_0883/kartor/A 64575-2023 karta.png", "A 64575-2023")</f>
        <v/>
      </c>
      <c r="V67">
        <f>HYPERLINK("https://klasma.github.io/Logging_0883/klagomål/A 64575-2023 FSC-klagomål.docx", "A 64575-2023")</f>
        <v/>
      </c>
      <c r="W67">
        <f>HYPERLINK("https://klasma.github.io/Logging_0883/klagomålsmail/A 64575-2023 FSC-klagomål mail.docx", "A 64575-2023")</f>
        <v/>
      </c>
      <c r="X67">
        <f>HYPERLINK("https://klasma.github.io/Logging_0883/tillsyn/A 64575-2023 tillsynsbegäran.docx", "A 64575-2023")</f>
        <v/>
      </c>
      <c r="Y67">
        <f>HYPERLINK("https://klasma.github.io/Logging_0883/tillsynsmail/A 64575-2023 tillsynsbegäran mail.docx", "A 64575-2023")</f>
        <v/>
      </c>
    </row>
    <row r="68" ht="15" customHeight="1">
      <c r="A68" t="inlineStr">
        <is>
          <t>A 636-2024</t>
        </is>
      </c>
      <c r="B68" s="1" t="n">
        <v>45299</v>
      </c>
      <c r="C68" s="1" t="n">
        <v>45565</v>
      </c>
      <c r="D68" t="inlineStr">
        <is>
          <t>KALMAR LÄN</t>
        </is>
      </c>
      <c r="E68" t="inlineStr">
        <is>
          <t>VÄSTERVIK</t>
        </is>
      </c>
      <c r="F68" t="inlineStr">
        <is>
          <t>Övriga Aktiebolag</t>
        </is>
      </c>
      <c r="G68" t="n">
        <v>5.7</v>
      </c>
      <c r="H68" t="n">
        <v>3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Talltita
Grönpyrola
Tjäder</t>
        </is>
      </c>
      <c r="S68">
        <f>HYPERLINK("https://klasma.github.io/Logging_0883/artfynd/A 636-2024 artfynd.xlsx", "A 636-2024")</f>
        <v/>
      </c>
      <c r="T68">
        <f>HYPERLINK("https://klasma.github.io/Logging_0883/kartor/A 636-2024 karta.png", "A 636-2024")</f>
        <v/>
      </c>
      <c r="U68">
        <f>HYPERLINK("https://klasma.github.io/Logging_0883/knärot/A 636-2024 karta knärot.png", "A 636-2024")</f>
        <v/>
      </c>
      <c r="V68">
        <f>HYPERLINK("https://klasma.github.io/Logging_0883/klagomål/A 636-2024 FSC-klagomål.docx", "A 636-2024")</f>
        <v/>
      </c>
      <c r="W68">
        <f>HYPERLINK("https://klasma.github.io/Logging_0883/klagomålsmail/A 636-2024 FSC-klagomål mail.docx", "A 636-2024")</f>
        <v/>
      </c>
      <c r="X68">
        <f>HYPERLINK("https://klasma.github.io/Logging_0883/tillsyn/A 636-2024 tillsynsbegäran.docx", "A 636-2024")</f>
        <v/>
      </c>
      <c r="Y68">
        <f>HYPERLINK("https://klasma.github.io/Logging_0883/tillsynsmail/A 636-2024 tillsynsbegäran mail.docx", "A 636-2024")</f>
        <v/>
      </c>
      <c r="Z68">
        <f>HYPERLINK("https://klasma.github.io/Logging_0883/fåglar/A 636-2024 prioriterade fågelarter.docx", "A 636-2024")</f>
        <v/>
      </c>
    </row>
    <row r="69" ht="15" customHeight="1">
      <c r="A69" t="inlineStr">
        <is>
          <t>A 938-2024</t>
        </is>
      </c>
      <c r="B69" s="1" t="n">
        <v>45301</v>
      </c>
      <c r="C69" s="1" t="n">
        <v>45565</v>
      </c>
      <c r="D69" t="inlineStr">
        <is>
          <t>KALMAR LÄN</t>
        </is>
      </c>
      <c r="E69" t="inlineStr">
        <is>
          <t>VÄSTERVIK</t>
        </is>
      </c>
      <c r="G69" t="n">
        <v>10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Reliktbock
Tallticka
Vintertagging
Tjäder</t>
        </is>
      </c>
      <c r="S69">
        <f>HYPERLINK("https://klasma.github.io/Logging_0883/artfynd/A 938-2024 artfynd.xlsx", "A 938-2024")</f>
        <v/>
      </c>
      <c r="T69">
        <f>HYPERLINK("https://klasma.github.io/Logging_0883/kartor/A 938-2024 karta.png", "A 938-2024")</f>
        <v/>
      </c>
      <c r="V69">
        <f>HYPERLINK("https://klasma.github.io/Logging_0883/klagomål/A 938-2024 FSC-klagomål.docx", "A 938-2024")</f>
        <v/>
      </c>
      <c r="W69">
        <f>HYPERLINK("https://klasma.github.io/Logging_0883/klagomålsmail/A 938-2024 FSC-klagomål mail.docx", "A 938-2024")</f>
        <v/>
      </c>
      <c r="X69">
        <f>HYPERLINK("https://klasma.github.io/Logging_0883/tillsyn/A 938-2024 tillsynsbegäran.docx", "A 938-2024")</f>
        <v/>
      </c>
      <c r="Y69">
        <f>HYPERLINK("https://klasma.github.io/Logging_0883/tillsynsmail/A 938-2024 tillsynsbegäran mail.docx", "A 938-2024")</f>
        <v/>
      </c>
      <c r="Z69">
        <f>HYPERLINK("https://klasma.github.io/Logging_0883/fåglar/A 938-2024 prioriterade fågelarter.docx", "A 938-2024")</f>
        <v/>
      </c>
    </row>
    <row r="70" ht="15" customHeight="1">
      <c r="A70" t="inlineStr">
        <is>
          <t>A 9129-2024</t>
        </is>
      </c>
      <c r="B70" s="1" t="n">
        <v>45358</v>
      </c>
      <c r="C70" s="1" t="n">
        <v>45565</v>
      </c>
      <c r="D70" t="inlineStr">
        <is>
          <t>KALMAR LÄN</t>
        </is>
      </c>
      <c r="E70" t="inlineStr">
        <is>
          <t>VÄSTERVIK</t>
        </is>
      </c>
      <c r="G70" t="n">
        <v>1.4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Motaggsvamp
Tallticka
Grönpyrola</t>
        </is>
      </c>
      <c r="S70">
        <f>HYPERLINK("https://klasma.github.io/Logging_0883/artfynd/A 9129-2024 artfynd.xlsx", "A 9129-2024")</f>
        <v/>
      </c>
      <c r="T70">
        <f>HYPERLINK("https://klasma.github.io/Logging_0883/kartor/A 9129-2024 karta.png", "A 9129-2024")</f>
        <v/>
      </c>
      <c r="U70">
        <f>HYPERLINK("https://klasma.github.io/Logging_0883/knärot/A 9129-2024 karta knärot.png", "A 9129-2024")</f>
        <v/>
      </c>
      <c r="V70">
        <f>HYPERLINK("https://klasma.github.io/Logging_0883/klagomål/A 9129-2024 FSC-klagomål.docx", "A 9129-2024")</f>
        <v/>
      </c>
      <c r="W70">
        <f>HYPERLINK("https://klasma.github.io/Logging_0883/klagomålsmail/A 9129-2024 FSC-klagomål mail.docx", "A 9129-2024")</f>
        <v/>
      </c>
      <c r="X70">
        <f>HYPERLINK("https://klasma.github.io/Logging_0883/tillsyn/A 9129-2024 tillsynsbegäran.docx", "A 9129-2024")</f>
        <v/>
      </c>
      <c r="Y70">
        <f>HYPERLINK("https://klasma.github.io/Logging_0883/tillsynsmail/A 9129-2024 tillsynsbegäran mail.docx", "A 9129-2024")</f>
        <v/>
      </c>
    </row>
    <row r="71" ht="15" customHeight="1">
      <c r="A71" t="inlineStr">
        <is>
          <t>A 9975-2024</t>
        </is>
      </c>
      <c r="B71" s="1" t="n">
        <v>45363</v>
      </c>
      <c r="C71" s="1" t="n">
        <v>45565</v>
      </c>
      <c r="D71" t="inlineStr">
        <is>
          <t>KALMAR LÄN</t>
        </is>
      </c>
      <c r="E71" t="inlineStr">
        <is>
          <t>VÄSTERVIK</t>
        </is>
      </c>
      <c r="G71" t="n">
        <v>2.2</v>
      </c>
      <c r="H71" t="n">
        <v>3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Spillkråka
Tallticka
Talltita</t>
        </is>
      </c>
      <c r="S71">
        <f>HYPERLINK("https://klasma.github.io/Logging_0883/artfynd/A 9975-2024 artfynd.xlsx", "A 9975-2024")</f>
        <v/>
      </c>
      <c r="T71">
        <f>HYPERLINK("https://klasma.github.io/Logging_0883/kartor/A 9975-2024 karta.png", "A 9975-2024")</f>
        <v/>
      </c>
      <c r="U71">
        <f>HYPERLINK("https://klasma.github.io/Logging_0883/knärot/A 9975-2024 karta knärot.png", "A 9975-2024")</f>
        <v/>
      </c>
      <c r="V71">
        <f>HYPERLINK("https://klasma.github.io/Logging_0883/klagomål/A 9975-2024 FSC-klagomål.docx", "A 9975-2024")</f>
        <v/>
      </c>
      <c r="W71">
        <f>HYPERLINK("https://klasma.github.io/Logging_0883/klagomålsmail/A 9975-2024 FSC-klagomål mail.docx", "A 9975-2024")</f>
        <v/>
      </c>
      <c r="X71">
        <f>HYPERLINK("https://klasma.github.io/Logging_0883/tillsyn/A 9975-2024 tillsynsbegäran.docx", "A 9975-2024")</f>
        <v/>
      </c>
      <c r="Y71">
        <f>HYPERLINK("https://klasma.github.io/Logging_0883/tillsynsmail/A 9975-2024 tillsynsbegäran mail.docx", "A 9975-2024")</f>
        <v/>
      </c>
      <c r="Z71">
        <f>HYPERLINK("https://klasma.github.io/Logging_0883/fåglar/A 9975-2024 prioriterade fågelarter.docx", "A 9975-2024")</f>
        <v/>
      </c>
    </row>
    <row r="72" ht="15" customHeight="1">
      <c r="A72" t="inlineStr">
        <is>
          <t>A 11862-2024</t>
        </is>
      </c>
      <c r="B72" s="1" t="n">
        <v>45376</v>
      </c>
      <c r="C72" s="1" t="n">
        <v>45565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3.5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Oxtungssvamp
Solvända
Svart trolldruva
Blåsippa</t>
        </is>
      </c>
      <c r="S72">
        <f>HYPERLINK("https://klasma.github.io/Logging_0883/artfynd/A 11862-2024 artfynd.xlsx", "A 11862-2024")</f>
        <v/>
      </c>
      <c r="T72">
        <f>HYPERLINK("https://klasma.github.io/Logging_0883/kartor/A 11862-2024 karta.png", "A 11862-2024")</f>
        <v/>
      </c>
      <c r="V72">
        <f>HYPERLINK("https://klasma.github.io/Logging_0883/klagomål/A 11862-2024 FSC-klagomål.docx", "A 11862-2024")</f>
        <v/>
      </c>
      <c r="W72">
        <f>HYPERLINK("https://klasma.github.io/Logging_0883/klagomålsmail/A 11862-2024 FSC-klagomål mail.docx", "A 11862-2024")</f>
        <v/>
      </c>
      <c r="X72">
        <f>HYPERLINK("https://klasma.github.io/Logging_0883/tillsyn/A 11862-2024 tillsynsbegäran.docx", "A 11862-2024")</f>
        <v/>
      </c>
      <c r="Y72">
        <f>HYPERLINK("https://klasma.github.io/Logging_0883/tillsynsmail/A 11862-2024 tillsynsbegäran mail.docx", "A 11862-2024")</f>
        <v/>
      </c>
    </row>
    <row r="73" ht="15" customHeight="1">
      <c r="A73" t="inlineStr">
        <is>
          <t>A 18397-2024</t>
        </is>
      </c>
      <c r="B73" s="1" t="n">
        <v>45425</v>
      </c>
      <c r="C73" s="1" t="n">
        <v>45565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3.5</v>
      </c>
      <c r="H73" t="n">
        <v>3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Spillkråka
Talltita
Grönpyrola</t>
        </is>
      </c>
      <c r="S73">
        <f>HYPERLINK("https://klasma.github.io/Logging_0883/artfynd/A 18397-2024 artfynd.xlsx", "A 18397-2024")</f>
        <v/>
      </c>
      <c r="T73">
        <f>HYPERLINK("https://klasma.github.io/Logging_0883/kartor/A 18397-2024 karta.png", "A 18397-2024")</f>
        <v/>
      </c>
      <c r="U73">
        <f>HYPERLINK("https://klasma.github.io/Logging_0883/knärot/A 18397-2024 karta knärot.png", "A 18397-2024")</f>
        <v/>
      </c>
      <c r="V73">
        <f>HYPERLINK("https://klasma.github.io/Logging_0883/klagomål/A 18397-2024 FSC-klagomål.docx", "A 18397-2024")</f>
        <v/>
      </c>
      <c r="W73">
        <f>HYPERLINK("https://klasma.github.io/Logging_0883/klagomålsmail/A 18397-2024 FSC-klagomål mail.docx", "A 18397-2024")</f>
        <v/>
      </c>
      <c r="X73">
        <f>HYPERLINK("https://klasma.github.io/Logging_0883/tillsyn/A 18397-2024 tillsynsbegäran.docx", "A 18397-2024")</f>
        <v/>
      </c>
      <c r="Y73">
        <f>HYPERLINK("https://klasma.github.io/Logging_0883/tillsynsmail/A 18397-2024 tillsynsbegäran mail.docx", "A 18397-2024")</f>
        <v/>
      </c>
      <c r="Z73">
        <f>HYPERLINK("https://klasma.github.io/Logging_0883/fåglar/A 18397-2024 prioriterade fågelarter.docx", "A 18397-2024")</f>
        <v/>
      </c>
    </row>
    <row r="74" ht="15" customHeight="1">
      <c r="A74" t="inlineStr">
        <is>
          <t>A 20366-2024</t>
        </is>
      </c>
      <c r="B74" s="1" t="n">
        <v>45435</v>
      </c>
      <c r="C74" s="1" t="n">
        <v>45565</v>
      </c>
      <c r="D74" t="inlineStr">
        <is>
          <t>KALMAR LÄN</t>
        </is>
      </c>
      <c r="E74" t="inlineStr">
        <is>
          <t>VÄSTERVIK</t>
        </is>
      </c>
      <c r="G74" t="n">
        <v>0.8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Tallticka
Purpurknipprot</t>
        </is>
      </c>
      <c r="S74">
        <f>HYPERLINK("https://klasma.github.io/Logging_0883/artfynd/A 20366-2024 artfynd.xlsx", "A 20366-2024")</f>
        <v/>
      </c>
      <c r="T74">
        <f>HYPERLINK("https://klasma.github.io/Logging_0883/kartor/A 20366-2024 karta.png", "A 20366-2024")</f>
        <v/>
      </c>
      <c r="V74">
        <f>HYPERLINK("https://klasma.github.io/Logging_0883/klagomål/A 20366-2024 FSC-klagomål.docx", "A 20366-2024")</f>
        <v/>
      </c>
      <c r="W74">
        <f>HYPERLINK("https://klasma.github.io/Logging_0883/klagomålsmail/A 20366-2024 FSC-klagomål mail.docx", "A 20366-2024")</f>
        <v/>
      </c>
      <c r="X74">
        <f>HYPERLINK("https://klasma.github.io/Logging_0883/tillsyn/A 20366-2024 tillsynsbegäran.docx", "A 20366-2024")</f>
        <v/>
      </c>
      <c r="Y74">
        <f>HYPERLINK("https://klasma.github.io/Logging_0883/tillsynsmail/A 20366-2024 tillsynsbegäran mail.docx", "A 20366-2024")</f>
        <v/>
      </c>
      <c r="Z74">
        <f>HYPERLINK("https://klasma.github.io/Logging_0883/fåglar/A 20366-2024 prioriterade fågelarter.docx", "A 20366-2024")</f>
        <v/>
      </c>
    </row>
    <row r="75" ht="15" customHeight="1">
      <c r="A75" t="inlineStr">
        <is>
          <t>A 25534-2024</t>
        </is>
      </c>
      <c r="B75" s="1" t="n">
        <v>45463</v>
      </c>
      <c r="C75" s="1" t="n">
        <v>45565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9.5</v>
      </c>
      <c r="H75" t="n">
        <v>1</v>
      </c>
      <c r="I75" t="n">
        <v>2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Brandticka
Bronshjon</t>
        </is>
      </c>
      <c r="S75">
        <f>HYPERLINK("https://klasma.github.io/Logging_0883/artfynd/A 25534-2024 artfynd.xlsx", "A 25534-2024")</f>
        <v/>
      </c>
      <c r="T75">
        <f>HYPERLINK("https://klasma.github.io/Logging_0883/kartor/A 25534-2024 karta.png", "A 25534-2024")</f>
        <v/>
      </c>
      <c r="U75">
        <f>HYPERLINK("https://klasma.github.io/Logging_0883/knärot/A 25534-2024 karta knärot.png", "A 25534-2024")</f>
        <v/>
      </c>
      <c r="V75">
        <f>HYPERLINK("https://klasma.github.io/Logging_0883/klagomål/A 25534-2024 FSC-klagomål.docx", "A 25534-2024")</f>
        <v/>
      </c>
      <c r="W75">
        <f>HYPERLINK("https://klasma.github.io/Logging_0883/klagomålsmail/A 25534-2024 FSC-klagomål mail.docx", "A 25534-2024")</f>
        <v/>
      </c>
      <c r="X75">
        <f>HYPERLINK("https://klasma.github.io/Logging_0883/tillsyn/A 25534-2024 tillsynsbegäran.docx", "A 25534-2024")</f>
        <v/>
      </c>
      <c r="Y75">
        <f>HYPERLINK("https://klasma.github.io/Logging_0883/tillsynsmail/A 25534-2024 tillsynsbegäran mail.docx", "A 25534-2024")</f>
        <v/>
      </c>
    </row>
    <row r="76" ht="15" customHeight="1">
      <c r="A76" t="inlineStr">
        <is>
          <t>A 35939-2024</t>
        </is>
      </c>
      <c r="B76" s="1" t="n">
        <v>45533</v>
      </c>
      <c r="C76" s="1" t="n">
        <v>45565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Svart taggsvamp
Tallticka
Talltita
Blåmossa</t>
        </is>
      </c>
      <c r="S76">
        <f>HYPERLINK("https://klasma.github.io/Logging_0883/artfynd/A 35939-2024 artfynd.xlsx", "A 35939-2024")</f>
        <v/>
      </c>
      <c r="T76">
        <f>HYPERLINK("https://klasma.github.io/Logging_0883/kartor/A 35939-2024 karta.png", "A 35939-2024")</f>
        <v/>
      </c>
      <c r="V76">
        <f>HYPERLINK("https://klasma.github.io/Logging_0883/klagomål/A 35939-2024 FSC-klagomål.docx", "A 35939-2024")</f>
        <v/>
      </c>
      <c r="W76">
        <f>HYPERLINK("https://klasma.github.io/Logging_0883/klagomålsmail/A 35939-2024 FSC-klagomål mail.docx", "A 35939-2024")</f>
        <v/>
      </c>
      <c r="X76">
        <f>HYPERLINK("https://klasma.github.io/Logging_0883/tillsyn/A 35939-2024 tillsynsbegäran.docx", "A 35939-2024")</f>
        <v/>
      </c>
      <c r="Y76">
        <f>HYPERLINK("https://klasma.github.io/Logging_0883/tillsynsmail/A 35939-2024 tillsynsbegäran mail.docx", "A 35939-2024")</f>
        <v/>
      </c>
      <c r="Z76">
        <f>HYPERLINK("https://klasma.github.io/Logging_0883/fåglar/A 35939-2024 prioriterade fågelarter.docx", "A 35939-2024")</f>
        <v/>
      </c>
    </row>
    <row r="77" ht="15" customHeight="1">
      <c r="A77" t="inlineStr">
        <is>
          <t>A 9097-2021</t>
        </is>
      </c>
      <c r="B77" s="1" t="n">
        <v>44249</v>
      </c>
      <c r="C77" s="1" t="n">
        <v>45565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Tallticka
Vedskivlav
Vätteros</t>
        </is>
      </c>
      <c r="S77">
        <f>HYPERLINK("https://klasma.github.io/Logging_0883/artfynd/A 9097-2021 artfynd.xlsx", "A 9097-2021")</f>
        <v/>
      </c>
      <c r="T77">
        <f>HYPERLINK("https://klasma.github.io/Logging_0883/kartor/A 9097-2021 karta.png", "A 9097-2021")</f>
        <v/>
      </c>
      <c r="V77">
        <f>HYPERLINK("https://klasma.github.io/Logging_0883/klagomål/A 9097-2021 FSC-klagomål.docx", "A 9097-2021")</f>
        <v/>
      </c>
      <c r="W77">
        <f>HYPERLINK("https://klasma.github.io/Logging_0883/klagomålsmail/A 9097-2021 FSC-klagomål mail.docx", "A 9097-2021")</f>
        <v/>
      </c>
      <c r="X77">
        <f>HYPERLINK("https://klasma.github.io/Logging_0883/tillsyn/A 9097-2021 tillsynsbegäran.docx", "A 9097-2021")</f>
        <v/>
      </c>
      <c r="Y77">
        <f>HYPERLINK("https://klasma.github.io/Logging_0883/tillsynsmail/A 9097-2021 tillsynsbegäran mail.docx", "A 9097-2021")</f>
        <v/>
      </c>
    </row>
    <row r="78" ht="15" customHeight="1">
      <c r="A78" t="inlineStr">
        <is>
          <t>A 63813-2021</t>
        </is>
      </c>
      <c r="B78" s="1" t="n">
        <v>44505</v>
      </c>
      <c r="C78" s="1" t="n">
        <v>45565</v>
      </c>
      <c r="D78" t="inlineStr">
        <is>
          <t>KALMAR LÄN</t>
        </is>
      </c>
      <c r="E78" t="inlineStr">
        <is>
          <t>VÄSTERVIK</t>
        </is>
      </c>
      <c r="G78" t="n">
        <v>4.4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Talltita
Grovticka</t>
        </is>
      </c>
      <c r="S78">
        <f>HYPERLINK("https://klasma.github.io/Logging_0883/artfynd/A 63813-2021 artfynd.xlsx", "A 63813-2021")</f>
        <v/>
      </c>
      <c r="T78">
        <f>HYPERLINK("https://klasma.github.io/Logging_0883/kartor/A 63813-2021 karta.png", "A 63813-2021")</f>
        <v/>
      </c>
      <c r="U78">
        <f>HYPERLINK("https://klasma.github.io/Logging_0883/knärot/A 63813-2021 karta knärot.png", "A 63813-2021")</f>
        <v/>
      </c>
      <c r="V78">
        <f>HYPERLINK("https://klasma.github.io/Logging_0883/klagomål/A 63813-2021 FSC-klagomål.docx", "A 63813-2021")</f>
        <v/>
      </c>
      <c r="W78">
        <f>HYPERLINK("https://klasma.github.io/Logging_0883/klagomålsmail/A 63813-2021 FSC-klagomål mail.docx", "A 63813-2021")</f>
        <v/>
      </c>
      <c r="X78">
        <f>HYPERLINK("https://klasma.github.io/Logging_0883/tillsyn/A 63813-2021 tillsynsbegäran.docx", "A 63813-2021")</f>
        <v/>
      </c>
      <c r="Y78">
        <f>HYPERLINK("https://klasma.github.io/Logging_0883/tillsynsmail/A 63813-2021 tillsynsbegäran mail.docx", "A 63813-2021")</f>
        <v/>
      </c>
      <c r="Z78">
        <f>HYPERLINK("https://klasma.github.io/Logging_0883/fåglar/A 63813-2021 prioriterade fågelarter.docx", "A 63813-2021")</f>
        <v/>
      </c>
    </row>
    <row r="79" ht="15" customHeight="1">
      <c r="A79" t="inlineStr">
        <is>
          <t>A 68416-2021</t>
        </is>
      </c>
      <c r="B79" s="1" t="n">
        <v>44529</v>
      </c>
      <c r="C79" s="1" t="n">
        <v>45565</v>
      </c>
      <c r="D79" t="inlineStr">
        <is>
          <t>KALMAR LÄN</t>
        </is>
      </c>
      <c r="E79" t="inlineStr">
        <is>
          <t>VÄSTERVIK</t>
        </is>
      </c>
      <c r="F79" t="inlineStr">
        <is>
          <t>Kyrkan</t>
        </is>
      </c>
      <c r="G79" t="n">
        <v>10.5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Tallticka
Talltita</t>
        </is>
      </c>
      <c r="S79">
        <f>HYPERLINK("https://klasma.github.io/Logging_0883/artfynd/A 68416-2021 artfynd.xlsx", "A 68416-2021")</f>
        <v/>
      </c>
      <c r="T79">
        <f>HYPERLINK("https://klasma.github.io/Logging_0883/kartor/A 68416-2021 karta.png", "A 68416-2021")</f>
        <v/>
      </c>
      <c r="U79">
        <f>HYPERLINK("https://klasma.github.io/Logging_0883/knärot/A 68416-2021 karta knärot.png", "A 68416-2021")</f>
        <v/>
      </c>
      <c r="V79">
        <f>HYPERLINK("https://klasma.github.io/Logging_0883/klagomål/A 68416-2021 FSC-klagomål.docx", "A 68416-2021")</f>
        <v/>
      </c>
      <c r="W79">
        <f>HYPERLINK("https://klasma.github.io/Logging_0883/klagomålsmail/A 68416-2021 FSC-klagomål mail.docx", "A 68416-2021")</f>
        <v/>
      </c>
      <c r="X79">
        <f>HYPERLINK("https://klasma.github.io/Logging_0883/tillsyn/A 68416-2021 tillsynsbegäran.docx", "A 68416-2021")</f>
        <v/>
      </c>
      <c r="Y79">
        <f>HYPERLINK("https://klasma.github.io/Logging_0883/tillsynsmail/A 68416-2021 tillsynsbegäran mail.docx", "A 68416-2021")</f>
        <v/>
      </c>
      <c r="Z79">
        <f>HYPERLINK("https://klasma.github.io/Logging_0883/fåglar/A 68416-2021 prioriterade fågelarter.docx", "A 68416-2021")</f>
        <v/>
      </c>
    </row>
    <row r="80" ht="15" customHeight="1">
      <c r="A80" t="inlineStr">
        <is>
          <t>A 55506-2022</t>
        </is>
      </c>
      <c r="B80" s="1" t="n">
        <v>44887</v>
      </c>
      <c r="C80" s="1" t="n">
        <v>45565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Ullticka
Trädporella</t>
        </is>
      </c>
      <c r="S80">
        <f>HYPERLINK("https://klasma.github.io/Logging_0883/artfynd/A 55506-2022 artfynd.xlsx", "A 55506-2022")</f>
        <v/>
      </c>
      <c r="T80">
        <f>HYPERLINK("https://klasma.github.io/Logging_0883/kartor/A 55506-2022 karta.png", "A 55506-2022")</f>
        <v/>
      </c>
      <c r="V80">
        <f>HYPERLINK("https://klasma.github.io/Logging_0883/klagomål/A 55506-2022 FSC-klagomål.docx", "A 55506-2022")</f>
        <v/>
      </c>
      <c r="W80">
        <f>HYPERLINK("https://klasma.github.io/Logging_0883/klagomålsmail/A 55506-2022 FSC-klagomål mail.docx", "A 55506-2022")</f>
        <v/>
      </c>
      <c r="X80">
        <f>HYPERLINK("https://klasma.github.io/Logging_0883/tillsyn/A 55506-2022 tillsynsbegäran.docx", "A 55506-2022")</f>
        <v/>
      </c>
      <c r="Y80">
        <f>HYPERLINK("https://klasma.github.io/Logging_0883/tillsynsmail/A 55506-2022 tillsynsbegäran mail.docx", "A 55506-2022")</f>
        <v/>
      </c>
    </row>
    <row r="81" ht="15" customHeight="1">
      <c r="A81" t="inlineStr">
        <is>
          <t>A 12708-2023</t>
        </is>
      </c>
      <c r="B81" s="1" t="n">
        <v>45000</v>
      </c>
      <c r="C81" s="1" t="n">
        <v>45565</v>
      </c>
      <c r="D81" t="inlineStr">
        <is>
          <t>KALMAR LÄN</t>
        </is>
      </c>
      <c r="E81" t="inlineStr">
        <is>
          <t>VÄSTERVIK</t>
        </is>
      </c>
      <c r="G81" t="n">
        <v>8.6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12708-2023 artfynd.xlsx", "A 12708-2023")</f>
        <v/>
      </c>
      <c r="T81">
        <f>HYPERLINK("https://klasma.github.io/Logging_0883/kartor/A 12708-2023 karta.png", "A 12708-2023")</f>
        <v/>
      </c>
      <c r="U81">
        <f>HYPERLINK("https://klasma.github.io/Logging_0883/knärot/A 12708-2023 karta knärot.png", "A 12708-2023")</f>
        <v/>
      </c>
      <c r="V81">
        <f>HYPERLINK("https://klasma.github.io/Logging_0883/klagomål/A 12708-2023 FSC-klagomål.docx", "A 12708-2023")</f>
        <v/>
      </c>
      <c r="W81">
        <f>HYPERLINK("https://klasma.github.io/Logging_0883/klagomålsmail/A 12708-2023 FSC-klagomål mail.docx", "A 12708-2023")</f>
        <v/>
      </c>
      <c r="X81">
        <f>HYPERLINK("https://klasma.github.io/Logging_0883/tillsyn/A 12708-2023 tillsynsbegäran.docx", "A 12708-2023")</f>
        <v/>
      </c>
      <c r="Y81">
        <f>HYPERLINK("https://klasma.github.io/Logging_0883/tillsynsmail/A 12708-2023 tillsynsbegäran mail.docx", "A 12708-2023")</f>
        <v/>
      </c>
      <c r="Z81">
        <f>HYPERLINK("https://klasma.github.io/Logging_0883/fåglar/A 12708-2023 prioriterade fågelarter.docx", "A 12708-2023")</f>
        <v/>
      </c>
    </row>
    <row r="82" ht="15" customHeight="1">
      <c r="A82" t="inlineStr">
        <is>
          <t>A 30194-2023</t>
        </is>
      </c>
      <c r="B82" s="1" t="n">
        <v>45110</v>
      </c>
      <c r="C82" s="1" t="n">
        <v>45565</v>
      </c>
      <c r="D82" t="inlineStr">
        <is>
          <t>KALMAR LÄN</t>
        </is>
      </c>
      <c r="E82" t="inlineStr">
        <is>
          <t>VÄSTERVIK</t>
        </is>
      </c>
      <c r="F82" t="inlineStr">
        <is>
          <t>Kyrkan</t>
        </is>
      </c>
      <c r="G82" t="n">
        <v>5.8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Grovticka
Grönpyrola</t>
        </is>
      </c>
      <c r="S82">
        <f>HYPERLINK("https://klasma.github.io/Logging_0883/artfynd/A 30194-2023 artfynd.xlsx", "A 30194-2023")</f>
        <v/>
      </c>
      <c r="T82">
        <f>HYPERLINK("https://klasma.github.io/Logging_0883/kartor/A 30194-2023 karta.png", "A 30194-2023")</f>
        <v/>
      </c>
      <c r="U82">
        <f>HYPERLINK("https://klasma.github.io/Logging_0883/knärot/A 30194-2023 karta knärot.png", "A 30194-2023")</f>
        <v/>
      </c>
      <c r="V82">
        <f>HYPERLINK("https://klasma.github.io/Logging_0883/klagomål/A 30194-2023 FSC-klagomål.docx", "A 30194-2023")</f>
        <v/>
      </c>
      <c r="W82">
        <f>HYPERLINK("https://klasma.github.io/Logging_0883/klagomålsmail/A 30194-2023 FSC-klagomål mail.docx", "A 30194-2023")</f>
        <v/>
      </c>
      <c r="X82">
        <f>HYPERLINK("https://klasma.github.io/Logging_0883/tillsyn/A 30194-2023 tillsynsbegäran.docx", "A 30194-2023")</f>
        <v/>
      </c>
      <c r="Y82">
        <f>HYPERLINK("https://klasma.github.io/Logging_0883/tillsynsmail/A 30194-2023 tillsynsbegäran mail.docx", "A 30194-2023")</f>
        <v/>
      </c>
    </row>
    <row r="83" ht="15" customHeight="1">
      <c r="A83" t="inlineStr">
        <is>
          <t>A 35480-2023</t>
        </is>
      </c>
      <c r="B83" s="1" t="n">
        <v>45146</v>
      </c>
      <c r="C83" s="1" t="n">
        <v>45565</v>
      </c>
      <c r="D83" t="inlineStr">
        <is>
          <t>KALMAR LÄN</t>
        </is>
      </c>
      <c r="E83" t="inlineStr">
        <is>
          <t>VÄSTERVIK</t>
        </is>
      </c>
      <c r="G83" t="n">
        <v>5.5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Blåmossa
Tjockfotad fingersvamp</t>
        </is>
      </c>
      <c r="S83">
        <f>HYPERLINK("https://klasma.github.io/Logging_0883/artfynd/A 35480-2023 artfynd.xlsx", "A 35480-2023")</f>
        <v/>
      </c>
      <c r="T83">
        <f>HYPERLINK("https://klasma.github.io/Logging_0883/kartor/A 35480-2023 karta.png", "A 35480-2023")</f>
        <v/>
      </c>
      <c r="V83">
        <f>HYPERLINK("https://klasma.github.io/Logging_0883/klagomål/A 35480-2023 FSC-klagomål.docx", "A 35480-2023")</f>
        <v/>
      </c>
      <c r="W83">
        <f>HYPERLINK("https://klasma.github.io/Logging_0883/klagomålsmail/A 35480-2023 FSC-klagomål mail.docx", "A 35480-2023")</f>
        <v/>
      </c>
      <c r="X83">
        <f>HYPERLINK("https://klasma.github.io/Logging_0883/tillsyn/A 35480-2023 tillsynsbegäran.docx", "A 35480-2023")</f>
        <v/>
      </c>
      <c r="Y83">
        <f>HYPERLINK("https://klasma.github.io/Logging_0883/tillsynsmail/A 35480-2023 tillsynsbegäran mail.docx", "A 35480-2023")</f>
        <v/>
      </c>
      <c r="Z83">
        <f>HYPERLINK("https://klasma.github.io/Logging_0883/fåglar/A 35480-2023 prioriterade fågelarter.docx", "A 35480-2023")</f>
        <v/>
      </c>
    </row>
    <row r="84" ht="15" customHeight="1">
      <c r="A84" t="inlineStr">
        <is>
          <t>A 39904-2023</t>
        </is>
      </c>
      <c r="B84" s="1" t="n">
        <v>45168</v>
      </c>
      <c r="C84" s="1" t="n">
        <v>45565</v>
      </c>
      <c r="D84" t="inlineStr">
        <is>
          <t>KALMAR LÄN</t>
        </is>
      </c>
      <c r="E84" t="inlineStr">
        <is>
          <t>VÄSTERVIK</t>
        </is>
      </c>
      <c r="G84" t="n">
        <v>7.3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Gropticka
Grönpyrola
Revlummer</t>
        </is>
      </c>
      <c r="S84">
        <f>HYPERLINK("https://klasma.github.io/Logging_0883/artfynd/A 39904-2023 artfynd.xlsx", "A 39904-2023")</f>
        <v/>
      </c>
      <c r="T84">
        <f>HYPERLINK("https://klasma.github.io/Logging_0883/kartor/A 39904-2023 karta.png", "A 39904-2023")</f>
        <v/>
      </c>
      <c r="V84">
        <f>HYPERLINK("https://klasma.github.io/Logging_0883/klagomål/A 39904-2023 FSC-klagomål.docx", "A 39904-2023")</f>
        <v/>
      </c>
      <c r="W84">
        <f>HYPERLINK("https://klasma.github.io/Logging_0883/klagomålsmail/A 39904-2023 FSC-klagomål mail.docx", "A 39904-2023")</f>
        <v/>
      </c>
      <c r="X84">
        <f>HYPERLINK("https://klasma.github.io/Logging_0883/tillsyn/A 39904-2023 tillsynsbegäran.docx", "A 39904-2023")</f>
        <v/>
      </c>
      <c r="Y84">
        <f>HYPERLINK("https://klasma.github.io/Logging_0883/tillsynsmail/A 39904-2023 tillsynsbegäran mail.docx", "A 39904-2023")</f>
        <v/>
      </c>
    </row>
    <row r="85" ht="15" customHeight="1">
      <c r="A85" t="inlineStr">
        <is>
          <t>A 39906-2023</t>
        </is>
      </c>
      <c r="B85" s="1" t="n">
        <v>45168</v>
      </c>
      <c r="C85" s="1" t="n">
        <v>45565</v>
      </c>
      <c r="D85" t="inlineStr">
        <is>
          <t>KALMAR LÄN</t>
        </is>
      </c>
      <c r="E85" t="inlineStr">
        <is>
          <t>VÄSTERVIK</t>
        </is>
      </c>
      <c r="G85" t="n">
        <v>5</v>
      </c>
      <c r="H85" t="n">
        <v>2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Blåmossa
Revlummer</t>
        </is>
      </c>
      <c r="S85">
        <f>HYPERLINK("https://klasma.github.io/Logging_0883/artfynd/A 39906-2023 artfynd.xlsx", "A 39906-2023")</f>
        <v/>
      </c>
      <c r="T85">
        <f>HYPERLINK("https://klasma.github.io/Logging_0883/kartor/A 39906-2023 karta.png", "A 39906-2023")</f>
        <v/>
      </c>
      <c r="U85">
        <f>HYPERLINK("https://klasma.github.io/Logging_0883/knärot/A 39906-2023 karta knärot.png", "A 39906-2023")</f>
        <v/>
      </c>
      <c r="V85">
        <f>HYPERLINK("https://klasma.github.io/Logging_0883/klagomål/A 39906-2023 FSC-klagomål.docx", "A 39906-2023")</f>
        <v/>
      </c>
      <c r="W85">
        <f>HYPERLINK("https://klasma.github.io/Logging_0883/klagomålsmail/A 39906-2023 FSC-klagomål mail.docx", "A 39906-2023")</f>
        <v/>
      </c>
      <c r="X85">
        <f>HYPERLINK("https://klasma.github.io/Logging_0883/tillsyn/A 39906-2023 tillsynsbegäran.docx", "A 39906-2023")</f>
        <v/>
      </c>
      <c r="Y85">
        <f>HYPERLINK("https://klasma.github.io/Logging_0883/tillsynsmail/A 39906-2023 tillsynsbegäran mail.docx", "A 39906-2023")</f>
        <v/>
      </c>
    </row>
    <row r="86" ht="15" customHeight="1">
      <c r="A86" t="inlineStr">
        <is>
          <t>A 42353-2023</t>
        </is>
      </c>
      <c r="B86" s="1" t="n">
        <v>45180</v>
      </c>
      <c r="C86" s="1" t="n">
        <v>45565</v>
      </c>
      <c r="D86" t="inlineStr">
        <is>
          <t>KALMAR LÄN</t>
        </is>
      </c>
      <c r="E86" t="inlineStr">
        <is>
          <t>VÄSTERVIK</t>
        </is>
      </c>
      <c r="G86" t="n">
        <v>11.3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Tallticka
Blomkålssvamp</t>
        </is>
      </c>
      <c r="S86">
        <f>HYPERLINK("https://klasma.github.io/Logging_0883/artfynd/A 42353-2023 artfynd.xlsx", "A 42353-2023")</f>
        <v/>
      </c>
      <c r="T86">
        <f>HYPERLINK("https://klasma.github.io/Logging_0883/kartor/A 42353-2023 karta.png", "A 42353-2023")</f>
        <v/>
      </c>
      <c r="U86">
        <f>HYPERLINK("https://klasma.github.io/Logging_0883/knärot/A 42353-2023 karta knärot.png", "A 42353-2023")</f>
        <v/>
      </c>
      <c r="V86">
        <f>HYPERLINK("https://klasma.github.io/Logging_0883/klagomål/A 42353-2023 FSC-klagomål.docx", "A 42353-2023")</f>
        <v/>
      </c>
      <c r="W86">
        <f>HYPERLINK("https://klasma.github.io/Logging_0883/klagomålsmail/A 42353-2023 FSC-klagomål mail.docx", "A 42353-2023")</f>
        <v/>
      </c>
      <c r="X86">
        <f>HYPERLINK("https://klasma.github.io/Logging_0883/tillsyn/A 42353-2023 tillsynsbegäran.docx", "A 42353-2023")</f>
        <v/>
      </c>
      <c r="Y86">
        <f>HYPERLINK("https://klasma.github.io/Logging_0883/tillsynsmail/A 42353-2023 tillsynsbegäran mail.docx", "A 42353-2023")</f>
        <v/>
      </c>
    </row>
    <row r="87" ht="15" customHeight="1">
      <c r="A87" t="inlineStr">
        <is>
          <t>A 45702-2023</t>
        </is>
      </c>
      <c r="B87" s="1" t="n">
        <v>45195</v>
      </c>
      <c r="C87" s="1" t="n">
        <v>45565</v>
      </c>
      <c r="D87" t="inlineStr">
        <is>
          <t>KALMAR LÄN</t>
        </is>
      </c>
      <c r="E87" t="inlineStr">
        <is>
          <t>VÄSTERVIK</t>
        </is>
      </c>
      <c r="G87" t="n">
        <v>7.3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Reliktbock
Tallticka
Blåmossa</t>
        </is>
      </c>
      <c r="S87">
        <f>HYPERLINK("https://klasma.github.io/Logging_0883/artfynd/A 45702-2023 artfynd.xlsx", "A 45702-2023")</f>
        <v/>
      </c>
      <c r="T87">
        <f>HYPERLINK("https://klasma.github.io/Logging_0883/kartor/A 45702-2023 karta.png", "A 45702-2023")</f>
        <v/>
      </c>
      <c r="V87">
        <f>HYPERLINK("https://klasma.github.io/Logging_0883/klagomål/A 45702-2023 FSC-klagomål.docx", "A 45702-2023")</f>
        <v/>
      </c>
      <c r="W87">
        <f>HYPERLINK("https://klasma.github.io/Logging_0883/klagomålsmail/A 45702-2023 FSC-klagomål mail.docx", "A 45702-2023")</f>
        <v/>
      </c>
      <c r="X87">
        <f>HYPERLINK("https://klasma.github.io/Logging_0883/tillsyn/A 45702-2023 tillsynsbegäran.docx", "A 45702-2023")</f>
        <v/>
      </c>
      <c r="Y87">
        <f>HYPERLINK("https://klasma.github.io/Logging_0883/tillsynsmail/A 45702-2023 tillsynsbegäran mail.docx", "A 45702-2023")</f>
        <v/>
      </c>
    </row>
    <row r="88" ht="15" customHeight="1">
      <c r="A88" t="inlineStr">
        <is>
          <t>A 46090-2023</t>
        </is>
      </c>
      <c r="B88" s="1" t="n">
        <v>45196</v>
      </c>
      <c r="C88" s="1" t="n">
        <v>45565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3.5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Fällmossa
Platt fjädermossa
Blåsippa</t>
        </is>
      </c>
      <c r="S88">
        <f>HYPERLINK("https://klasma.github.io/Logging_0883/artfynd/A 46090-2023 artfynd.xlsx", "A 46090-2023")</f>
        <v/>
      </c>
      <c r="T88">
        <f>HYPERLINK("https://klasma.github.io/Logging_0883/kartor/A 46090-2023 karta.png", "A 46090-2023")</f>
        <v/>
      </c>
      <c r="V88">
        <f>HYPERLINK("https://klasma.github.io/Logging_0883/klagomål/A 46090-2023 FSC-klagomål.docx", "A 46090-2023")</f>
        <v/>
      </c>
      <c r="W88">
        <f>HYPERLINK("https://klasma.github.io/Logging_0883/klagomålsmail/A 46090-2023 FSC-klagomål mail.docx", "A 46090-2023")</f>
        <v/>
      </c>
      <c r="X88">
        <f>HYPERLINK("https://klasma.github.io/Logging_0883/tillsyn/A 46090-2023 tillsynsbegäran.docx", "A 46090-2023")</f>
        <v/>
      </c>
      <c r="Y88">
        <f>HYPERLINK("https://klasma.github.io/Logging_0883/tillsynsmail/A 46090-2023 tillsynsbegäran mail.docx", "A 46090-2023")</f>
        <v/>
      </c>
    </row>
    <row r="89" ht="15" customHeight="1">
      <c r="A89" t="inlineStr">
        <is>
          <t>A 54265-2023</t>
        </is>
      </c>
      <c r="B89" s="1" t="n">
        <v>45232</v>
      </c>
      <c r="C89" s="1" t="n">
        <v>45565</v>
      </c>
      <c r="D89" t="inlineStr">
        <is>
          <t>KALMAR LÄN</t>
        </is>
      </c>
      <c r="E89" t="inlineStr">
        <is>
          <t>VÄSTERVIK</t>
        </is>
      </c>
      <c r="G89" t="n">
        <v>3.3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Blåmossa</t>
        </is>
      </c>
      <c r="S89">
        <f>HYPERLINK("https://klasma.github.io/Logging_0883/artfynd/A 54265-2023 artfynd.xlsx", "A 54265-2023")</f>
        <v/>
      </c>
      <c r="T89">
        <f>HYPERLINK("https://klasma.github.io/Logging_0883/kartor/A 54265-2023 karta.png", "A 54265-2023")</f>
        <v/>
      </c>
      <c r="U89">
        <f>HYPERLINK("https://klasma.github.io/Logging_0883/knärot/A 54265-2023 karta knärot.png", "A 54265-2023")</f>
        <v/>
      </c>
      <c r="V89">
        <f>HYPERLINK("https://klasma.github.io/Logging_0883/klagomål/A 54265-2023 FSC-klagomål.docx", "A 54265-2023")</f>
        <v/>
      </c>
      <c r="W89">
        <f>HYPERLINK("https://klasma.github.io/Logging_0883/klagomålsmail/A 54265-2023 FSC-klagomål mail.docx", "A 54265-2023")</f>
        <v/>
      </c>
      <c r="X89">
        <f>HYPERLINK("https://klasma.github.io/Logging_0883/tillsyn/A 54265-2023 tillsynsbegäran.docx", "A 54265-2023")</f>
        <v/>
      </c>
      <c r="Y89">
        <f>HYPERLINK("https://klasma.github.io/Logging_0883/tillsynsmail/A 54265-2023 tillsynsbegäran mail.docx", "A 54265-2023")</f>
        <v/>
      </c>
    </row>
    <row r="90" ht="15" customHeight="1">
      <c r="A90" t="inlineStr">
        <is>
          <t>A 2657-2024</t>
        </is>
      </c>
      <c r="B90" s="1" t="n">
        <v>45314</v>
      </c>
      <c r="C90" s="1" t="n">
        <v>45565</v>
      </c>
      <c r="D90" t="inlineStr">
        <is>
          <t>KALMAR LÄN</t>
        </is>
      </c>
      <c r="E90" t="inlineStr">
        <is>
          <t>VÄSTERVIK</t>
        </is>
      </c>
      <c r="G90" t="n">
        <v>5.9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HYPERLINK("https://klasma.github.io/Logging_0883/artfynd/A 2657-2024 artfynd.xlsx", "A 2657-2024")</f>
        <v/>
      </c>
      <c r="T90">
        <f>HYPERLINK("https://klasma.github.io/Logging_0883/kartor/A 2657-2024 karta.png", "A 2657-2024")</f>
        <v/>
      </c>
      <c r="U90">
        <f>HYPERLINK("https://klasma.github.io/Logging_0883/knärot/A 2657-2024 karta knärot.png", "A 2657-2024")</f>
        <v/>
      </c>
      <c r="V90">
        <f>HYPERLINK("https://klasma.github.io/Logging_0883/klagomål/A 2657-2024 FSC-klagomål.docx", "A 2657-2024")</f>
        <v/>
      </c>
      <c r="W90">
        <f>HYPERLINK("https://klasma.github.io/Logging_0883/klagomålsmail/A 2657-2024 FSC-klagomål mail.docx", "A 2657-2024")</f>
        <v/>
      </c>
      <c r="X90">
        <f>HYPERLINK("https://klasma.github.io/Logging_0883/tillsyn/A 2657-2024 tillsynsbegäran.docx", "A 2657-2024")</f>
        <v/>
      </c>
      <c r="Y90">
        <f>HYPERLINK("https://klasma.github.io/Logging_0883/tillsynsmail/A 2657-2024 tillsynsbegäran mail.docx", "A 2657-2024")</f>
        <v/>
      </c>
      <c r="Z90">
        <f>HYPERLINK("https://klasma.github.io/Logging_0883/fåglar/A 2657-2024 prioriterade fågelarter.docx", "A 2657-2024")</f>
        <v/>
      </c>
    </row>
    <row r="91" ht="15" customHeight="1">
      <c r="A91" t="inlineStr">
        <is>
          <t>A 2916-2024</t>
        </is>
      </c>
      <c r="B91" s="1" t="n">
        <v>45315</v>
      </c>
      <c r="C91" s="1" t="n">
        <v>45565</v>
      </c>
      <c r="D91" t="inlineStr">
        <is>
          <t>KALMAR LÄN</t>
        </is>
      </c>
      <c r="E91" t="inlineStr">
        <is>
          <t>VÄSTERVIK</t>
        </is>
      </c>
      <c r="G91" t="n">
        <v>6.3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Spillkråka
Tallticka</t>
        </is>
      </c>
      <c r="S91">
        <f>HYPERLINK("https://klasma.github.io/Logging_0883/artfynd/A 2916-2024 artfynd.xlsx", "A 2916-2024")</f>
        <v/>
      </c>
      <c r="T91">
        <f>HYPERLINK("https://klasma.github.io/Logging_0883/kartor/A 2916-2024 karta.png", "A 2916-2024")</f>
        <v/>
      </c>
      <c r="U91">
        <f>HYPERLINK("https://klasma.github.io/Logging_0883/knärot/A 2916-2024 karta knärot.png", "A 2916-2024")</f>
        <v/>
      </c>
      <c r="V91">
        <f>HYPERLINK("https://klasma.github.io/Logging_0883/klagomål/A 2916-2024 FSC-klagomål.docx", "A 2916-2024")</f>
        <v/>
      </c>
      <c r="W91">
        <f>HYPERLINK("https://klasma.github.io/Logging_0883/klagomålsmail/A 2916-2024 FSC-klagomål mail.docx", "A 2916-2024")</f>
        <v/>
      </c>
      <c r="X91">
        <f>HYPERLINK("https://klasma.github.io/Logging_0883/tillsyn/A 2916-2024 tillsynsbegäran.docx", "A 2916-2024")</f>
        <v/>
      </c>
      <c r="Y91">
        <f>HYPERLINK("https://klasma.github.io/Logging_0883/tillsynsmail/A 2916-2024 tillsynsbegäran mail.docx", "A 2916-2024")</f>
        <v/>
      </c>
      <c r="Z91">
        <f>HYPERLINK("https://klasma.github.io/Logging_0883/fåglar/A 2916-2024 prioriterade fågelarter.docx", "A 2916-2024")</f>
        <v/>
      </c>
    </row>
    <row r="92" ht="15" customHeight="1">
      <c r="A92" t="inlineStr">
        <is>
          <t>A 8620-2024</t>
        </is>
      </c>
      <c r="B92" s="1" t="n">
        <v>45355</v>
      </c>
      <c r="C92" s="1" t="n">
        <v>45565</v>
      </c>
      <c r="D92" t="inlineStr">
        <is>
          <t>KALMAR LÄN</t>
        </is>
      </c>
      <c r="E92" t="inlineStr">
        <is>
          <t>VÄSTERVIK</t>
        </is>
      </c>
      <c r="G92" t="n">
        <v>0.9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Talltita
Blodticka</t>
        </is>
      </c>
      <c r="S92">
        <f>HYPERLINK("https://klasma.github.io/Logging_0883/artfynd/A 8620-2024 artfynd.xlsx", "A 8620-2024")</f>
        <v/>
      </c>
      <c r="T92">
        <f>HYPERLINK("https://klasma.github.io/Logging_0883/kartor/A 8620-2024 karta.png", "A 8620-2024")</f>
        <v/>
      </c>
      <c r="U92">
        <f>HYPERLINK("https://klasma.github.io/Logging_0883/knärot/A 8620-2024 karta knärot.png", "A 8620-2024")</f>
        <v/>
      </c>
      <c r="V92">
        <f>HYPERLINK("https://klasma.github.io/Logging_0883/klagomål/A 8620-2024 FSC-klagomål.docx", "A 8620-2024")</f>
        <v/>
      </c>
      <c r="W92">
        <f>HYPERLINK("https://klasma.github.io/Logging_0883/klagomålsmail/A 8620-2024 FSC-klagomål mail.docx", "A 8620-2024")</f>
        <v/>
      </c>
      <c r="X92">
        <f>HYPERLINK("https://klasma.github.io/Logging_0883/tillsyn/A 8620-2024 tillsynsbegäran.docx", "A 8620-2024")</f>
        <v/>
      </c>
      <c r="Y92">
        <f>HYPERLINK("https://klasma.github.io/Logging_0883/tillsynsmail/A 8620-2024 tillsynsbegäran mail.docx", "A 8620-2024")</f>
        <v/>
      </c>
      <c r="Z92">
        <f>HYPERLINK("https://klasma.github.io/Logging_0883/fåglar/A 8620-2024 prioriterade fågelarter.docx", "A 8620-2024")</f>
        <v/>
      </c>
    </row>
    <row r="93" ht="15" customHeight="1">
      <c r="A93" t="inlineStr">
        <is>
          <t>A 13744-2024</t>
        </is>
      </c>
      <c r="B93" s="1" t="n">
        <v>45390</v>
      </c>
      <c r="C93" s="1" t="n">
        <v>45565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6.3</v>
      </c>
      <c r="H93" t="n">
        <v>3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Tjäder</t>
        </is>
      </c>
      <c r="S93">
        <f>HYPERLINK("https://klasma.github.io/Logging_0883/artfynd/A 13744-2024 artfynd.xlsx", "A 13744-2024")</f>
        <v/>
      </c>
      <c r="T93">
        <f>HYPERLINK("https://klasma.github.io/Logging_0883/kartor/A 13744-2024 karta.png", "A 13744-2024")</f>
        <v/>
      </c>
      <c r="U93">
        <f>HYPERLINK("https://klasma.github.io/Logging_0883/knärot/A 13744-2024 karta knärot.png", "A 13744-2024")</f>
        <v/>
      </c>
      <c r="V93">
        <f>HYPERLINK("https://klasma.github.io/Logging_0883/klagomål/A 13744-2024 FSC-klagomål.docx", "A 13744-2024")</f>
        <v/>
      </c>
      <c r="W93">
        <f>HYPERLINK("https://klasma.github.io/Logging_0883/klagomålsmail/A 13744-2024 FSC-klagomål mail.docx", "A 13744-2024")</f>
        <v/>
      </c>
      <c r="X93">
        <f>HYPERLINK("https://klasma.github.io/Logging_0883/tillsyn/A 13744-2024 tillsynsbegäran.docx", "A 13744-2024")</f>
        <v/>
      </c>
      <c r="Y93">
        <f>HYPERLINK("https://klasma.github.io/Logging_0883/tillsynsmail/A 13744-2024 tillsynsbegäran mail.docx", "A 13744-2024")</f>
        <v/>
      </c>
      <c r="Z93">
        <f>HYPERLINK("https://klasma.github.io/Logging_0883/fåglar/A 13744-2024 prioriterade fågelarter.docx", "A 13744-2024")</f>
        <v/>
      </c>
    </row>
    <row r="94" ht="15" customHeight="1">
      <c r="A94" t="inlineStr">
        <is>
          <t>A 16948-2024</t>
        </is>
      </c>
      <c r="B94" s="1" t="n">
        <v>45411</v>
      </c>
      <c r="C94" s="1" t="n">
        <v>45565</v>
      </c>
      <c r="D94" t="inlineStr">
        <is>
          <t>KALMAR LÄN</t>
        </is>
      </c>
      <c r="E94" t="inlineStr">
        <is>
          <t>VÄSTERVIK</t>
        </is>
      </c>
      <c r="G94" t="n">
        <v>13.3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Spillkråka
Tallticka</t>
        </is>
      </c>
      <c r="S94">
        <f>HYPERLINK("https://klasma.github.io/Logging_0883/artfynd/A 16948-2024 artfynd.xlsx", "A 16948-2024")</f>
        <v/>
      </c>
      <c r="T94">
        <f>HYPERLINK("https://klasma.github.io/Logging_0883/kartor/A 16948-2024 karta.png", "A 16948-2024")</f>
        <v/>
      </c>
      <c r="U94">
        <f>HYPERLINK("https://klasma.github.io/Logging_0883/knärot/A 16948-2024 karta knärot.png", "A 16948-2024")</f>
        <v/>
      </c>
      <c r="V94">
        <f>HYPERLINK("https://klasma.github.io/Logging_0883/klagomål/A 16948-2024 FSC-klagomål.docx", "A 16948-2024")</f>
        <v/>
      </c>
      <c r="W94">
        <f>HYPERLINK("https://klasma.github.io/Logging_0883/klagomålsmail/A 16948-2024 FSC-klagomål mail.docx", "A 16948-2024")</f>
        <v/>
      </c>
      <c r="X94">
        <f>HYPERLINK("https://klasma.github.io/Logging_0883/tillsyn/A 16948-2024 tillsynsbegäran.docx", "A 16948-2024")</f>
        <v/>
      </c>
      <c r="Y94">
        <f>HYPERLINK("https://klasma.github.io/Logging_0883/tillsynsmail/A 16948-2024 tillsynsbegäran mail.docx", "A 16948-2024")</f>
        <v/>
      </c>
      <c r="Z94">
        <f>HYPERLINK("https://klasma.github.io/Logging_0883/fåglar/A 16948-2024 prioriterade fågelarter.docx", "A 16948-2024")</f>
        <v/>
      </c>
    </row>
    <row r="95" ht="15" customHeight="1">
      <c r="A95" t="inlineStr">
        <is>
          <t>A 23219-2024</t>
        </is>
      </c>
      <c r="B95" s="1" t="n">
        <v>45452</v>
      </c>
      <c r="C95" s="1" t="n">
        <v>45565</v>
      </c>
      <c r="D95" t="inlineStr">
        <is>
          <t>KALMAR LÄN</t>
        </is>
      </c>
      <c r="E95" t="inlineStr">
        <is>
          <t>VÄSTERVIK</t>
        </is>
      </c>
      <c r="G95" t="n">
        <v>0.9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Ekticka
Spillkråka
Grönpyrola</t>
        </is>
      </c>
      <c r="S95">
        <f>HYPERLINK("https://klasma.github.io/Logging_0883/artfynd/A 23219-2024 artfynd.xlsx", "A 23219-2024")</f>
        <v/>
      </c>
      <c r="T95">
        <f>HYPERLINK("https://klasma.github.io/Logging_0883/kartor/A 23219-2024 karta.png", "A 23219-2024")</f>
        <v/>
      </c>
      <c r="V95">
        <f>HYPERLINK("https://klasma.github.io/Logging_0883/klagomål/A 23219-2024 FSC-klagomål.docx", "A 23219-2024")</f>
        <v/>
      </c>
      <c r="W95">
        <f>HYPERLINK("https://klasma.github.io/Logging_0883/klagomålsmail/A 23219-2024 FSC-klagomål mail.docx", "A 23219-2024")</f>
        <v/>
      </c>
      <c r="X95">
        <f>HYPERLINK("https://klasma.github.io/Logging_0883/tillsyn/A 23219-2024 tillsynsbegäran.docx", "A 23219-2024")</f>
        <v/>
      </c>
      <c r="Y95">
        <f>HYPERLINK("https://klasma.github.io/Logging_0883/tillsynsmail/A 23219-2024 tillsynsbegäran mail.docx", "A 23219-2024")</f>
        <v/>
      </c>
      <c r="Z95">
        <f>HYPERLINK("https://klasma.github.io/Logging_0883/fåglar/A 23219-2024 prioriterade fågelarter.docx", "A 23219-2024")</f>
        <v/>
      </c>
    </row>
    <row r="96" ht="15" customHeight="1">
      <c r="A96" t="inlineStr">
        <is>
          <t>A 27067-2024</t>
        </is>
      </c>
      <c r="B96" s="1" t="n">
        <v>45471</v>
      </c>
      <c r="C96" s="1" t="n">
        <v>45565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8.4</v>
      </c>
      <c r="H96" t="n">
        <v>2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Ekticka
Spillkråka
Talltita</t>
        </is>
      </c>
      <c r="S96">
        <f>HYPERLINK("https://klasma.github.io/Logging_0883/artfynd/A 27067-2024 artfynd.xlsx", "A 27067-2024")</f>
        <v/>
      </c>
      <c r="T96">
        <f>HYPERLINK("https://klasma.github.io/Logging_0883/kartor/A 27067-2024 karta.png", "A 27067-2024")</f>
        <v/>
      </c>
      <c r="V96">
        <f>HYPERLINK("https://klasma.github.io/Logging_0883/klagomål/A 27067-2024 FSC-klagomål.docx", "A 27067-2024")</f>
        <v/>
      </c>
      <c r="W96">
        <f>HYPERLINK("https://klasma.github.io/Logging_0883/klagomålsmail/A 27067-2024 FSC-klagomål mail.docx", "A 27067-2024")</f>
        <v/>
      </c>
      <c r="X96">
        <f>HYPERLINK("https://klasma.github.io/Logging_0883/tillsyn/A 27067-2024 tillsynsbegäran.docx", "A 27067-2024")</f>
        <v/>
      </c>
      <c r="Y96">
        <f>HYPERLINK("https://klasma.github.io/Logging_0883/tillsynsmail/A 27067-2024 tillsynsbegäran mail.docx", "A 27067-2024")</f>
        <v/>
      </c>
      <c r="Z96">
        <f>HYPERLINK("https://klasma.github.io/Logging_0883/fåglar/A 27067-2024 prioriterade fågelarter.docx", "A 27067-2024")</f>
        <v/>
      </c>
    </row>
    <row r="97" ht="15" customHeight="1">
      <c r="A97" t="inlineStr">
        <is>
          <t>A 27700-2024</t>
        </is>
      </c>
      <c r="B97" s="1" t="n">
        <v>45475</v>
      </c>
      <c r="C97" s="1" t="n">
        <v>45565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1.1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Blåmossa
Zontaggsvamp</t>
        </is>
      </c>
      <c r="S97">
        <f>HYPERLINK("https://klasma.github.io/Logging_0883/artfynd/A 27700-2024 artfynd.xlsx", "A 27700-2024")</f>
        <v/>
      </c>
      <c r="T97">
        <f>HYPERLINK("https://klasma.github.io/Logging_0883/kartor/A 27700-2024 karta.png", "A 27700-2024")</f>
        <v/>
      </c>
      <c r="V97">
        <f>HYPERLINK("https://klasma.github.io/Logging_0883/klagomål/A 27700-2024 FSC-klagomål.docx", "A 27700-2024")</f>
        <v/>
      </c>
      <c r="W97">
        <f>HYPERLINK("https://klasma.github.io/Logging_0883/klagomålsmail/A 27700-2024 FSC-klagomål mail.docx", "A 27700-2024")</f>
        <v/>
      </c>
      <c r="X97">
        <f>HYPERLINK("https://klasma.github.io/Logging_0883/tillsyn/A 27700-2024 tillsynsbegäran.docx", "A 27700-2024")</f>
        <v/>
      </c>
      <c r="Y97">
        <f>HYPERLINK("https://klasma.github.io/Logging_0883/tillsynsmail/A 27700-2024 tillsynsbegäran mail.docx", "A 27700-2024")</f>
        <v/>
      </c>
      <c r="Z97">
        <f>HYPERLINK("https://klasma.github.io/Logging_0883/fåglar/A 27700-2024 prioriterade fågelarter.docx", "A 27700-2024")</f>
        <v/>
      </c>
    </row>
    <row r="98" ht="15" customHeight="1">
      <c r="A98" t="inlineStr">
        <is>
          <t>A 28368-2024</t>
        </is>
      </c>
      <c r="B98" s="1" t="n">
        <v>45477</v>
      </c>
      <c r="C98" s="1" t="n">
        <v>45565</v>
      </c>
      <c r="D98" t="inlineStr">
        <is>
          <t>KALMAR LÄN</t>
        </is>
      </c>
      <c r="E98" t="inlineStr">
        <is>
          <t>VÄSTERVIK</t>
        </is>
      </c>
      <c r="G98" t="n">
        <v>0.8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Orange taggsvamp
Grönpyrola</t>
        </is>
      </c>
      <c r="S98">
        <f>HYPERLINK("https://klasma.github.io/Logging_0883/artfynd/A 28368-2024 artfynd.xlsx", "A 28368-2024")</f>
        <v/>
      </c>
      <c r="T98">
        <f>HYPERLINK("https://klasma.github.io/Logging_0883/kartor/A 28368-2024 karta.png", "A 28368-2024")</f>
        <v/>
      </c>
      <c r="U98">
        <f>HYPERLINK("https://klasma.github.io/Logging_0883/knärot/A 28368-2024 karta knärot.png", "A 28368-2024")</f>
        <v/>
      </c>
      <c r="V98">
        <f>HYPERLINK("https://klasma.github.io/Logging_0883/klagomål/A 28368-2024 FSC-klagomål.docx", "A 28368-2024")</f>
        <v/>
      </c>
      <c r="W98">
        <f>HYPERLINK("https://klasma.github.io/Logging_0883/klagomålsmail/A 28368-2024 FSC-klagomål mail.docx", "A 28368-2024")</f>
        <v/>
      </c>
      <c r="X98">
        <f>HYPERLINK("https://klasma.github.io/Logging_0883/tillsyn/A 28368-2024 tillsynsbegäran.docx", "A 28368-2024")</f>
        <v/>
      </c>
      <c r="Y98">
        <f>HYPERLINK("https://klasma.github.io/Logging_0883/tillsynsmail/A 28368-2024 tillsynsbegäran mail.docx", "A 28368-2024")</f>
        <v/>
      </c>
    </row>
    <row r="99" ht="15" customHeight="1">
      <c r="A99" t="inlineStr">
        <is>
          <t>A 39190-2024</t>
        </is>
      </c>
      <c r="B99" s="1" t="n">
        <v>45548</v>
      </c>
      <c r="C99" s="1" t="n">
        <v>45565</v>
      </c>
      <c r="D99" t="inlineStr">
        <is>
          <t>KALMAR LÄN</t>
        </is>
      </c>
      <c r="E99" t="inlineStr">
        <is>
          <t>VÄSTERVIK</t>
        </is>
      </c>
      <c r="G99" t="n">
        <v>1.7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Svart taggsvamp
Talltita</t>
        </is>
      </c>
      <c r="S99">
        <f>HYPERLINK("https://klasma.github.io/Logging_0883/artfynd/A 39190-2024 artfynd.xlsx", "A 39190-2024")</f>
        <v/>
      </c>
      <c r="T99">
        <f>HYPERLINK("https://klasma.github.io/Logging_0883/kartor/A 39190-2024 karta.png", "A 39190-2024")</f>
        <v/>
      </c>
      <c r="U99">
        <f>HYPERLINK("https://klasma.github.io/Logging_0883/knärot/A 39190-2024 karta knärot.png", "A 39190-2024")</f>
        <v/>
      </c>
      <c r="V99">
        <f>HYPERLINK("https://klasma.github.io/Logging_0883/klagomål/A 39190-2024 FSC-klagomål.docx", "A 39190-2024")</f>
        <v/>
      </c>
      <c r="W99">
        <f>HYPERLINK("https://klasma.github.io/Logging_0883/klagomålsmail/A 39190-2024 FSC-klagomål mail.docx", "A 39190-2024")</f>
        <v/>
      </c>
      <c r="X99">
        <f>HYPERLINK("https://klasma.github.io/Logging_0883/tillsyn/A 39190-2024 tillsynsbegäran.docx", "A 39190-2024")</f>
        <v/>
      </c>
      <c r="Y99">
        <f>HYPERLINK("https://klasma.github.io/Logging_0883/tillsynsmail/A 39190-2024 tillsynsbegäran mail.docx", "A 39190-2024")</f>
        <v/>
      </c>
      <c r="Z99">
        <f>HYPERLINK("https://klasma.github.io/Logging_0883/fåglar/A 39190-2024 prioriterade fågelarter.docx", "A 39190-2024")</f>
        <v/>
      </c>
    </row>
    <row r="100" ht="15" customHeight="1">
      <c r="A100" t="inlineStr">
        <is>
          <t>A 39284-2024</t>
        </is>
      </c>
      <c r="B100" s="1" t="n">
        <v>45551</v>
      </c>
      <c r="C100" s="1" t="n">
        <v>45565</v>
      </c>
      <c r="D100" t="inlineStr">
        <is>
          <t>KALMAR LÄN</t>
        </is>
      </c>
      <c r="E100" t="inlineStr">
        <is>
          <t>VÄSTERVIK</t>
        </is>
      </c>
      <c r="G100" t="n">
        <v>4.1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Talltita
Blåmossa
Mattlummer</t>
        </is>
      </c>
      <c r="S100">
        <f>HYPERLINK("https://klasma.github.io/Logging_0883/artfynd/A 39284-2024 artfynd.xlsx", "A 39284-2024")</f>
        <v/>
      </c>
      <c r="T100">
        <f>HYPERLINK("https://klasma.github.io/Logging_0883/kartor/A 39284-2024 karta.png", "A 39284-2024")</f>
        <v/>
      </c>
      <c r="V100">
        <f>HYPERLINK("https://klasma.github.io/Logging_0883/klagomål/A 39284-2024 FSC-klagomål.docx", "A 39284-2024")</f>
        <v/>
      </c>
      <c r="W100">
        <f>HYPERLINK("https://klasma.github.io/Logging_0883/klagomålsmail/A 39284-2024 FSC-klagomål mail.docx", "A 39284-2024")</f>
        <v/>
      </c>
      <c r="X100">
        <f>HYPERLINK("https://klasma.github.io/Logging_0883/tillsyn/A 39284-2024 tillsynsbegäran.docx", "A 39284-2024")</f>
        <v/>
      </c>
      <c r="Y100">
        <f>HYPERLINK("https://klasma.github.io/Logging_0883/tillsynsmail/A 39284-2024 tillsynsbegäran mail.docx", "A 39284-2024")</f>
        <v/>
      </c>
      <c r="Z100">
        <f>HYPERLINK("https://klasma.github.io/Logging_0883/fåglar/A 39284-2024 prioriterade fågelarter.docx", "A 39284-2024")</f>
        <v/>
      </c>
    </row>
    <row r="101" ht="15" customHeight="1">
      <c r="A101" t="inlineStr">
        <is>
          <t>A 62128-2019</t>
        </is>
      </c>
      <c r="B101" s="1" t="n">
        <v>43782</v>
      </c>
      <c r="C101" s="1" t="n">
        <v>45565</v>
      </c>
      <c r="D101" t="inlineStr">
        <is>
          <t>KALMAR LÄN</t>
        </is>
      </c>
      <c r="E101" t="inlineStr">
        <is>
          <t>VÄSTERVIK</t>
        </is>
      </c>
      <c r="G101" t="n">
        <v>7.5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Ullticka
Kattfotslav</t>
        </is>
      </c>
      <c r="S101">
        <f>HYPERLINK("https://klasma.github.io/Logging_0883/artfynd/A 62128-2019 artfynd.xlsx", "A 62128-2019")</f>
        <v/>
      </c>
      <c r="T101">
        <f>HYPERLINK("https://klasma.github.io/Logging_0883/kartor/A 62128-2019 karta.png", "A 62128-2019")</f>
        <v/>
      </c>
      <c r="V101">
        <f>HYPERLINK("https://klasma.github.io/Logging_0883/klagomål/A 62128-2019 FSC-klagomål.docx", "A 62128-2019")</f>
        <v/>
      </c>
      <c r="W101">
        <f>HYPERLINK("https://klasma.github.io/Logging_0883/klagomålsmail/A 62128-2019 FSC-klagomål mail.docx", "A 62128-2019")</f>
        <v/>
      </c>
      <c r="X101">
        <f>HYPERLINK("https://klasma.github.io/Logging_0883/tillsyn/A 62128-2019 tillsynsbegäran.docx", "A 62128-2019")</f>
        <v/>
      </c>
      <c r="Y101">
        <f>HYPERLINK("https://klasma.github.io/Logging_0883/tillsynsmail/A 62128-2019 tillsynsbegäran mail.docx", "A 62128-2019")</f>
        <v/>
      </c>
    </row>
    <row r="102" ht="15" customHeight="1">
      <c r="A102" t="inlineStr">
        <is>
          <t>A 56180-2020</t>
        </is>
      </c>
      <c r="B102" s="1" t="n">
        <v>44133</v>
      </c>
      <c r="C102" s="1" t="n">
        <v>45565</v>
      </c>
      <c r="D102" t="inlineStr">
        <is>
          <t>KALMAR LÄN</t>
        </is>
      </c>
      <c r="E102" t="inlineStr">
        <is>
          <t>VÄSTERVIK</t>
        </is>
      </c>
      <c r="G102" t="n">
        <v>9.199999999999999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Hasselsnok
Mattlummer</t>
        </is>
      </c>
      <c r="S102">
        <f>HYPERLINK("https://klasma.github.io/Logging_0883/artfynd/A 56180-2020 artfynd.xlsx", "A 56180-2020")</f>
        <v/>
      </c>
      <c r="T102">
        <f>HYPERLINK("https://klasma.github.io/Logging_0883/kartor/A 56180-2020 karta.png", "A 56180-2020")</f>
        <v/>
      </c>
      <c r="V102">
        <f>HYPERLINK("https://klasma.github.io/Logging_0883/klagomål/A 56180-2020 FSC-klagomål.docx", "A 56180-2020")</f>
        <v/>
      </c>
      <c r="W102">
        <f>HYPERLINK("https://klasma.github.io/Logging_0883/klagomålsmail/A 56180-2020 FSC-klagomål mail.docx", "A 56180-2020")</f>
        <v/>
      </c>
      <c r="X102">
        <f>HYPERLINK("https://klasma.github.io/Logging_0883/tillsyn/A 56180-2020 tillsynsbegäran.docx", "A 56180-2020")</f>
        <v/>
      </c>
      <c r="Y102">
        <f>HYPERLINK("https://klasma.github.io/Logging_0883/tillsynsmail/A 56180-2020 tillsynsbegäran mail.docx", "A 56180-2020")</f>
        <v/>
      </c>
    </row>
    <row r="103" ht="15" customHeight="1">
      <c r="A103" t="inlineStr">
        <is>
          <t>A 1955-2021</t>
        </is>
      </c>
      <c r="B103" s="1" t="n">
        <v>44210</v>
      </c>
      <c r="C103" s="1" t="n">
        <v>45565</v>
      </c>
      <c r="D103" t="inlineStr">
        <is>
          <t>KALMAR LÄN</t>
        </is>
      </c>
      <c r="E103" t="inlineStr">
        <is>
          <t>VÄSTERVIK</t>
        </is>
      </c>
      <c r="G103" t="n">
        <v>5.3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Talltita</t>
        </is>
      </c>
      <c r="S103">
        <f>HYPERLINK("https://klasma.github.io/Logging_0883/artfynd/A 1955-2021 artfynd.xlsx", "A 1955-2021")</f>
        <v/>
      </c>
      <c r="T103">
        <f>HYPERLINK("https://klasma.github.io/Logging_0883/kartor/A 1955-2021 karta.png", "A 1955-2021")</f>
        <v/>
      </c>
      <c r="V103">
        <f>HYPERLINK("https://klasma.github.io/Logging_0883/klagomål/A 1955-2021 FSC-klagomål.docx", "A 1955-2021")</f>
        <v/>
      </c>
      <c r="W103">
        <f>HYPERLINK("https://klasma.github.io/Logging_0883/klagomålsmail/A 1955-2021 FSC-klagomål mail.docx", "A 1955-2021")</f>
        <v/>
      </c>
      <c r="X103">
        <f>HYPERLINK("https://klasma.github.io/Logging_0883/tillsyn/A 1955-2021 tillsynsbegäran.docx", "A 1955-2021")</f>
        <v/>
      </c>
      <c r="Y103">
        <f>HYPERLINK("https://klasma.github.io/Logging_0883/tillsynsmail/A 1955-2021 tillsynsbegäran mail.docx", "A 1955-2021")</f>
        <v/>
      </c>
      <c r="Z103">
        <f>HYPERLINK("https://klasma.github.io/Logging_0883/fåglar/A 1955-2021 prioriterade fågelarter.docx", "A 1955-2021")</f>
        <v/>
      </c>
    </row>
    <row r="104" ht="15" customHeight="1">
      <c r="A104" t="inlineStr">
        <is>
          <t>A 21665-2021</t>
        </is>
      </c>
      <c r="B104" s="1" t="n">
        <v>44322</v>
      </c>
      <c r="C104" s="1" t="n">
        <v>45565</v>
      </c>
      <c r="D104" t="inlineStr">
        <is>
          <t>KALMAR LÄN</t>
        </is>
      </c>
      <c r="E104" t="inlineStr">
        <is>
          <t>VÄSTERVIK</t>
        </is>
      </c>
      <c r="G104" t="n">
        <v>18.9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Klubbsprötad bastardsvärmare
Smalsprötad bastardsvärmare</t>
        </is>
      </c>
      <c r="S104">
        <f>HYPERLINK("https://klasma.github.io/Logging_0883/artfynd/A 21665-2021 artfynd.xlsx", "A 21665-2021")</f>
        <v/>
      </c>
      <c r="T104">
        <f>HYPERLINK("https://klasma.github.io/Logging_0883/kartor/A 21665-2021 karta.png", "A 21665-2021")</f>
        <v/>
      </c>
      <c r="V104">
        <f>HYPERLINK("https://klasma.github.io/Logging_0883/klagomål/A 21665-2021 FSC-klagomål.docx", "A 21665-2021")</f>
        <v/>
      </c>
      <c r="W104">
        <f>HYPERLINK("https://klasma.github.io/Logging_0883/klagomålsmail/A 21665-2021 FSC-klagomål mail.docx", "A 21665-2021")</f>
        <v/>
      </c>
      <c r="X104">
        <f>HYPERLINK("https://klasma.github.io/Logging_0883/tillsyn/A 21665-2021 tillsynsbegäran.docx", "A 21665-2021")</f>
        <v/>
      </c>
      <c r="Y104">
        <f>HYPERLINK("https://klasma.github.io/Logging_0883/tillsynsmail/A 21665-2021 tillsynsbegäran mail.docx", "A 21665-2021")</f>
        <v/>
      </c>
    </row>
    <row r="105" ht="15" customHeight="1">
      <c r="A105" t="inlineStr">
        <is>
          <t>A 25439-2021</t>
        </is>
      </c>
      <c r="B105" s="1" t="n">
        <v>44342</v>
      </c>
      <c r="C105" s="1" t="n">
        <v>45565</v>
      </c>
      <c r="D105" t="inlineStr">
        <is>
          <t>KALMAR LÄN</t>
        </is>
      </c>
      <c r="E105" t="inlineStr">
        <is>
          <t>VÄSTERVIK</t>
        </is>
      </c>
      <c r="F105" t="inlineStr">
        <is>
          <t>Holmen skog AB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 sköldmossa
Röd glada</t>
        </is>
      </c>
      <c r="S105">
        <f>HYPERLINK("https://klasma.github.io/Logging_0883/artfynd/A 25439-2021 artfynd.xlsx", "A 25439-2021")</f>
        <v/>
      </c>
      <c r="T105">
        <f>HYPERLINK("https://klasma.github.io/Logging_0883/kartor/A 25439-2021 karta.png", "A 25439-2021")</f>
        <v/>
      </c>
      <c r="V105">
        <f>HYPERLINK("https://klasma.github.io/Logging_0883/klagomål/A 25439-2021 FSC-klagomål.docx", "A 25439-2021")</f>
        <v/>
      </c>
      <c r="W105">
        <f>HYPERLINK("https://klasma.github.io/Logging_0883/klagomålsmail/A 25439-2021 FSC-klagomål mail.docx", "A 25439-2021")</f>
        <v/>
      </c>
      <c r="X105">
        <f>HYPERLINK("https://klasma.github.io/Logging_0883/tillsyn/A 25439-2021 tillsynsbegäran.docx", "A 25439-2021")</f>
        <v/>
      </c>
      <c r="Y105">
        <f>HYPERLINK("https://klasma.github.io/Logging_0883/tillsynsmail/A 25439-2021 tillsynsbegäran mail.docx", "A 25439-2021")</f>
        <v/>
      </c>
      <c r="Z105">
        <f>HYPERLINK("https://klasma.github.io/Logging_0883/fåglar/A 25439-2021 prioriterade fågelarter.docx", "A 25439-2021")</f>
        <v/>
      </c>
    </row>
    <row r="106" ht="15" customHeight="1">
      <c r="A106" t="inlineStr">
        <is>
          <t>A 44667-2021</t>
        </is>
      </c>
      <c r="B106" s="1" t="n">
        <v>44438</v>
      </c>
      <c r="C106" s="1" t="n">
        <v>45565</v>
      </c>
      <c r="D106" t="inlineStr">
        <is>
          <t>KALMAR LÄN</t>
        </is>
      </c>
      <c r="E106" t="inlineStr">
        <is>
          <t>VÄSTERVIK</t>
        </is>
      </c>
      <c r="G106" t="n">
        <v>1.7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Järpe
Fjällig taggsvamp s.str.</t>
        </is>
      </c>
      <c r="S106">
        <f>HYPERLINK("https://klasma.github.io/Logging_0883/artfynd/A 44667-2021 artfynd.xlsx", "A 44667-2021")</f>
        <v/>
      </c>
      <c r="T106">
        <f>HYPERLINK("https://klasma.github.io/Logging_0883/kartor/A 44667-2021 karta.png", "A 44667-2021")</f>
        <v/>
      </c>
      <c r="V106">
        <f>HYPERLINK("https://klasma.github.io/Logging_0883/klagomål/A 44667-2021 FSC-klagomål.docx", "A 44667-2021")</f>
        <v/>
      </c>
      <c r="W106">
        <f>HYPERLINK("https://klasma.github.io/Logging_0883/klagomålsmail/A 44667-2021 FSC-klagomål mail.docx", "A 44667-2021")</f>
        <v/>
      </c>
      <c r="X106">
        <f>HYPERLINK("https://klasma.github.io/Logging_0883/tillsyn/A 44667-2021 tillsynsbegäran.docx", "A 44667-2021")</f>
        <v/>
      </c>
      <c r="Y106">
        <f>HYPERLINK("https://klasma.github.io/Logging_0883/tillsynsmail/A 44667-2021 tillsynsbegäran mail.docx", "A 44667-2021")</f>
        <v/>
      </c>
      <c r="Z106">
        <f>HYPERLINK("https://klasma.github.io/Logging_0883/fåglar/A 44667-2021 prioriterade fågelarter.docx", "A 44667-2021")</f>
        <v/>
      </c>
    </row>
    <row r="107" ht="15" customHeight="1">
      <c r="A107" t="inlineStr">
        <is>
          <t>A 51833-2021</t>
        </is>
      </c>
      <c r="B107" s="1" t="n">
        <v>44462</v>
      </c>
      <c r="C107" s="1" t="n">
        <v>45565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Fläcknycklar</t>
        </is>
      </c>
      <c r="S107">
        <f>HYPERLINK("https://klasma.github.io/Logging_0883/artfynd/A 51833-2021 artfynd.xlsx", "A 51833-2021")</f>
        <v/>
      </c>
      <c r="T107">
        <f>HYPERLINK("https://klasma.github.io/Logging_0883/kartor/A 51833-2021 karta.png", "A 51833-2021")</f>
        <v/>
      </c>
      <c r="V107">
        <f>HYPERLINK("https://klasma.github.io/Logging_0883/klagomål/A 51833-2021 FSC-klagomål.docx", "A 51833-2021")</f>
        <v/>
      </c>
      <c r="W107">
        <f>HYPERLINK("https://klasma.github.io/Logging_0883/klagomålsmail/A 51833-2021 FSC-klagomål mail.docx", "A 51833-2021")</f>
        <v/>
      </c>
      <c r="X107">
        <f>HYPERLINK("https://klasma.github.io/Logging_0883/tillsyn/A 51833-2021 tillsynsbegäran.docx", "A 51833-2021")</f>
        <v/>
      </c>
      <c r="Y107">
        <f>HYPERLINK("https://klasma.github.io/Logging_0883/tillsynsmail/A 51833-2021 tillsynsbegäran mail.docx", "A 51833-2021")</f>
        <v/>
      </c>
    </row>
    <row r="108" ht="15" customHeight="1">
      <c r="A108" t="inlineStr">
        <is>
          <t>A 53769-2021</t>
        </is>
      </c>
      <c r="B108" s="1" t="n">
        <v>44467</v>
      </c>
      <c r="C108" s="1" t="n">
        <v>45565</v>
      </c>
      <c r="D108" t="inlineStr">
        <is>
          <t>KALMAR LÄN</t>
        </is>
      </c>
      <c r="E108" t="inlineStr">
        <is>
          <t>VÄSTERVIK</t>
        </is>
      </c>
      <c r="G108" t="n">
        <v>2.2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Stubbspretmossa</t>
        </is>
      </c>
      <c r="S108">
        <f>HYPERLINK("https://klasma.github.io/Logging_0883/artfynd/A 53769-2021 artfynd.xlsx", "A 53769-2021")</f>
        <v/>
      </c>
      <c r="T108">
        <f>HYPERLINK("https://klasma.github.io/Logging_0883/kartor/A 53769-2021 karta.png", "A 53769-2021")</f>
        <v/>
      </c>
      <c r="V108">
        <f>HYPERLINK("https://klasma.github.io/Logging_0883/klagomål/A 53769-2021 FSC-klagomål.docx", "A 53769-2021")</f>
        <v/>
      </c>
      <c r="W108">
        <f>HYPERLINK("https://klasma.github.io/Logging_0883/klagomålsmail/A 53769-2021 FSC-klagomål mail.docx", "A 53769-2021")</f>
        <v/>
      </c>
      <c r="X108">
        <f>HYPERLINK("https://klasma.github.io/Logging_0883/tillsyn/A 53769-2021 tillsynsbegäran.docx", "A 53769-2021")</f>
        <v/>
      </c>
      <c r="Y108">
        <f>HYPERLINK("https://klasma.github.io/Logging_0883/tillsynsmail/A 53769-2021 tillsynsbegäran mail.docx", "A 53769-2021")</f>
        <v/>
      </c>
    </row>
    <row r="109" ht="15" customHeight="1">
      <c r="A109" t="inlineStr">
        <is>
          <t>A 56616-2021</t>
        </is>
      </c>
      <c r="B109" s="1" t="n">
        <v>44480</v>
      </c>
      <c r="C109" s="1" t="n">
        <v>45565</v>
      </c>
      <c r="D109" t="inlineStr">
        <is>
          <t>KALMAR LÄN</t>
        </is>
      </c>
      <c r="E109" t="inlineStr">
        <is>
          <t>VÄSTERVIK</t>
        </is>
      </c>
      <c r="G109" t="n">
        <v>0.7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Gullklöver
Vippärt</t>
        </is>
      </c>
      <c r="S109">
        <f>HYPERLINK("https://klasma.github.io/Logging_0883/artfynd/A 56616-2021 artfynd.xlsx", "A 56616-2021")</f>
        <v/>
      </c>
      <c r="T109">
        <f>HYPERLINK("https://klasma.github.io/Logging_0883/kartor/A 56616-2021 karta.png", "A 56616-2021")</f>
        <v/>
      </c>
      <c r="V109">
        <f>HYPERLINK("https://klasma.github.io/Logging_0883/klagomål/A 56616-2021 FSC-klagomål.docx", "A 56616-2021")</f>
        <v/>
      </c>
      <c r="W109">
        <f>HYPERLINK("https://klasma.github.io/Logging_0883/klagomålsmail/A 56616-2021 FSC-klagomål mail.docx", "A 56616-2021")</f>
        <v/>
      </c>
      <c r="X109">
        <f>HYPERLINK("https://klasma.github.io/Logging_0883/tillsyn/A 56616-2021 tillsynsbegäran.docx", "A 56616-2021")</f>
        <v/>
      </c>
      <c r="Y109">
        <f>HYPERLINK("https://klasma.github.io/Logging_0883/tillsynsmail/A 56616-2021 tillsynsbegäran mail.docx", "A 56616-2021")</f>
        <v/>
      </c>
    </row>
    <row r="110" ht="15" customHeight="1">
      <c r="A110" t="inlineStr">
        <is>
          <t>A 59940-2021</t>
        </is>
      </c>
      <c r="B110" s="1" t="n">
        <v>44494</v>
      </c>
      <c r="C110" s="1" t="n">
        <v>45565</v>
      </c>
      <c r="D110" t="inlineStr">
        <is>
          <t>KALMAR LÄN</t>
        </is>
      </c>
      <c r="E110" t="inlineStr">
        <is>
          <t>VÄSTERVIK</t>
        </is>
      </c>
      <c r="G110" t="n">
        <v>4.3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59940-2021 artfynd.xlsx", "A 59940-2021")</f>
        <v/>
      </c>
      <c r="T110">
        <f>HYPERLINK("https://klasma.github.io/Logging_0883/kartor/A 59940-2021 karta.png", "A 59940-2021")</f>
        <v/>
      </c>
      <c r="U110">
        <f>HYPERLINK("https://klasma.github.io/Logging_0883/knärot/A 59940-2021 karta knärot.png", "A 59940-2021")</f>
        <v/>
      </c>
      <c r="V110">
        <f>HYPERLINK("https://klasma.github.io/Logging_0883/klagomål/A 59940-2021 FSC-klagomål.docx", "A 59940-2021")</f>
        <v/>
      </c>
      <c r="W110">
        <f>HYPERLINK("https://klasma.github.io/Logging_0883/klagomålsmail/A 59940-2021 FSC-klagomål mail.docx", "A 59940-2021")</f>
        <v/>
      </c>
      <c r="X110">
        <f>HYPERLINK("https://klasma.github.io/Logging_0883/tillsyn/A 59940-2021 tillsynsbegäran.docx", "A 59940-2021")</f>
        <v/>
      </c>
      <c r="Y110">
        <f>HYPERLINK("https://klasma.github.io/Logging_0883/tillsynsmail/A 59940-2021 tillsynsbegäran mail.docx", "A 59940-2021")</f>
        <v/>
      </c>
    </row>
    <row r="111" ht="15" customHeight="1">
      <c r="A111" t="inlineStr">
        <is>
          <t>A 72945-2021</t>
        </is>
      </c>
      <c r="B111" s="1" t="n">
        <v>44547</v>
      </c>
      <c r="C111" s="1" t="n">
        <v>45565</v>
      </c>
      <c r="D111" t="inlineStr">
        <is>
          <t>KALMAR LÄN</t>
        </is>
      </c>
      <c r="E111" t="inlineStr">
        <is>
          <t>VÄSTERVIK</t>
        </is>
      </c>
      <c r="G111" t="n">
        <v>1.6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Veckticka
Rävticka</t>
        </is>
      </c>
      <c r="S111">
        <f>HYPERLINK("https://klasma.github.io/Logging_0883/artfynd/A 72945-2021 artfynd.xlsx", "A 72945-2021")</f>
        <v/>
      </c>
      <c r="T111">
        <f>HYPERLINK("https://klasma.github.io/Logging_0883/kartor/A 72945-2021 karta.png", "A 72945-2021")</f>
        <v/>
      </c>
      <c r="V111">
        <f>HYPERLINK("https://klasma.github.io/Logging_0883/klagomål/A 72945-2021 FSC-klagomål.docx", "A 72945-2021")</f>
        <v/>
      </c>
      <c r="W111">
        <f>HYPERLINK("https://klasma.github.io/Logging_0883/klagomålsmail/A 72945-2021 FSC-klagomål mail.docx", "A 72945-2021")</f>
        <v/>
      </c>
      <c r="X111">
        <f>HYPERLINK("https://klasma.github.io/Logging_0883/tillsyn/A 72945-2021 tillsynsbegäran.docx", "A 72945-2021")</f>
        <v/>
      </c>
      <c r="Y111">
        <f>HYPERLINK("https://klasma.github.io/Logging_0883/tillsynsmail/A 72945-2021 tillsynsbegäran mail.docx", "A 72945-2021")</f>
        <v/>
      </c>
    </row>
    <row r="112" ht="15" customHeight="1">
      <c r="A112" t="inlineStr">
        <is>
          <t>A 14927-2022</t>
        </is>
      </c>
      <c r="B112" s="1" t="n">
        <v>44657</v>
      </c>
      <c r="C112" s="1" t="n">
        <v>45565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1.1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Ekoxe
Revlummer</t>
        </is>
      </c>
      <c r="S112">
        <f>HYPERLINK("https://klasma.github.io/Logging_0883/artfynd/A 14927-2022 artfynd.xlsx", "A 14927-2022")</f>
        <v/>
      </c>
      <c r="T112">
        <f>HYPERLINK("https://klasma.github.io/Logging_0883/kartor/A 14927-2022 karta.png", "A 14927-2022")</f>
        <v/>
      </c>
      <c r="V112">
        <f>HYPERLINK("https://klasma.github.io/Logging_0883/klagomål/A 14927-2022 FSC-klagomål.docx", "A 14927-2022")</f>
        <v/>
      </c>
      <c r="W112">
        <f>HYPERLINK("https://klasma.github.io/Logging_0883/klagomålsmail/A 14927-2022 FSC-klagomål mail.docx", "A 14927-2022")</f>
        <v/>
      </c>
      <c r="X112">
        <f>HYPERLINK("https://klasma.github.io/Logging_0883/tillsyn/A 14927-2022 tillsynsbegäran.docx", "A 14927-2022")</f>
        <v/>
      </c>
      <c r="Y112">
        <f>HYPERLINK("https://klasma.github.io/Logging_0883/tillsynsmail/A 14927-2022 tillsynsbegäran mail.docx", "A 14927-2022")</f>
        <v/>
      </c>
    </row>
    <row r="113" ht="15" customHeight="1">
      <c r="A113" t="inlineStr">
        <is>
          <t>A 21024-2022</t>
        </is>
      </c>
      <c r="B113" s="1" t="n">
        <v>44704</v>
      </c>
      <c r="C113" s="1" t="n">
        <v>45565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4.4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Skogsbräsma
Vätteros</t>
        </is>
      </c>
      <c r="S113">
        <f>HYPERLINK("https://klasma.github.io/Logging_0883/artfynd/A 21024-2022 artfynd.xlsx", "A 21024-2022")</f>
        <v/>
      </c>
      <c r="T113">
        <f>HYPERLINK("https://klasma.github.io/Logging_0883/kartor/A 21024-2022 karta.png", "A 21024-2022")</f>
        <v/>
      </c>
      <c r="V113">
        <f>HYPERLINK("https://klasma.github.io/Logging_0883/klagomål/A 21024-2022 FSC-klagomål.docx", "A 21024-2022")</f>
        <v/>
      </c>
      <c r="W113">
        <f>HYPERLINK("https://klasma.github.io/Logging_0883/klagomålsmail/A 21024-2022 FSC-klagomål mail.docx", "A 21024-2022")</f>
        <v/>
      </c>
      <c r="X113">
        <f>HYPERLINK("https://klasma.github.io/Logging_0883/tillsyn/A 21024-2022 tillsynsbegäran.docx", "A 21024-2022")</f>
        <v/>
      </c>
      <c r="Y113">
        <f>HYPERLINK("https://klasma.github.io/Logging_0883/tillsynsmail/A 21024-2022 tillsynsbegäran mail.docx", "A 21024-2022")</f>
        <v/>
      </c>
    </row>
    <row r="114" ht="15" customHeight="1">
      <c r="A114" t="inlineStr">
        <is>
          <t>A 25145-2022</t>
        </is>
      </c>
      <c r="B114" s="1" t="n">
        <v>44729</v>
      </c>
      <c r="C114" s="1" t="n">
        <v>45565</v>
      </c>
      <c r="D114" t="inlineStr">
        <is>
          <t>KALMAR LÄN</t>
        </is>
      </c>
      <c r="E114" t="inlineStr">
        <is>
          <t>VÄSTERVIK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Tallticka</t>
        </is>
      </c>
      <c r="S114">
        <f>HYPERLINK("https://klasma.github.io/Logging_0883/artfynd/A 25145-2022 artfynd.xlsx", "A 25145-2022")</f>
        <v/>
      </c>
      <c r="T114">
        <f>HYPERLINK("https://klasma.github.io/Logging_0883/kartor/A 25145-2022 karta.png", "A 25145-2022")</f>
        <v/>
      </c>
      <c r="U114">
        <f>HYPERLINK("https://klasma.github.io/Logging_0883/knärot/A 25145-2022 karta knärot.png", "A 25145-2022")</f>
        <v/>
      </c>
      <c r="V114">
        <f>HYPERLINK("https://klasma.github.io/Logging_0883/klagomål/A 25145-2022 FSC-klagomål.docx", "A 25145-2022")</f>
        <v/>
      </c>
      <c r="W114">
        <f>HYPERLINK("https://klasma.github.io/Logging_0883/klagomålsmail/A 25145-2022 FSC-klagomål mail.docx", "A 25145-2022")</f>
        <v/>
      </c>
      <c r="X114">
        <f>HYPERLINK("https://klasma.github.io/Logging_0883/tillsyn/A 25145-2022 tillsynsbegäran.docx", "A 25145-2022")</f>
        <v/>
      </c>
      <c r="Y114">
        <f>HYPERLINK("https://klasma.github.io/Logging_0883/tillsynsmail/A 25145-2022 tillsynsbegäran mail.docx", "A 25145-2022")</f>
        <v/>
      </c>
    </row>
    <row r="115" ht="15" customHeight="1">
      <c r="A115" t="inlineStr">
        <is>
          <t>A 38373-2022</t>
        </is>
      </c>
      <c r="B115" s="1" t="n">
        <v>44812</v>
      </c>
      <c r="C115" s="1" t="n">
        <v>45565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Blåmossa</t>
        </is>
      </c>
      <c r="S115">
        <f>HYPERLINK("https://klasma.github.io/Logging_0883/artfynd/A 38373-2022 artfynd.xlsx", "A 38373-2022")</f>
        <v/>
      </c>
      <c r="T115">
        <f>HYPERLINK("https://klasma.github.io/Logging_0883/kartor/A 38373-2022 karta.png", "A 38373-2022")</f>
        <v/>
      </c>
      <c r="U115">
        <f>HYPERLINK("https://klasma.github.io/Logging_0883/knärot/A 38373-2022 karta knärot.png", "A 38373-2022")</f>
        <v/>
      </c>
      <c r="V115">
        <f>HYPERLINK("https://klasma.github.io/Logging_0883/klagomål/A 38373-2022 FSC-klagomål.docx", "A 38373-2022")</f>
        <v/>
      </c>
      <c r="W115">
        <f>HYPERLINK("https://klasma.github.io/Logging_0883/klagomålsmail/A 38373-2022 FSC-klagomål mail.docx", "A 38373-2022")</f>
        <v/>
      </c>
      <c r="X115">
        <f>HYPERLINK("https://klasma.github.io/Logging_0883/tillsyn/A 38373-2022 tillsynsbegäran.docx", "A 38373-2022")</f>
        <v/>
      </c>
      <c r="Y115">
        <f>HYPERLINK("https://klasma.github.io/Logging_0883/tillsynsmail/A 38373-2022 tillsynsbegäran mail.docx", "A 38373-2022")</f>
        <v/>
      </c>
    </row>
    <row r="116" ht="15" customHeight="1">
      <c r="A116" t="inlineStr">
        <is>
          <t>A 46552-2022</t>
        </is>
      </c>
      <c r="B116" s="1" t="n">
        <v>44848</v>
      </c>
      <c r="C116" s="1" t="n">
        <v>45565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Sårläka</t>
        </is>
      </c>
      <c r="S116">
        <f>HYPERLINK("https://klasma.github.io/Logging_0883/artfynd/A 46552-2022 artfynd.xlsx", "A 46552-2022")</f>
        <v/>
      </c>
      <c r="T116">
        <f>HYPERLINK("https://klasma.github.io/Logging_0883/kartor/A 46552-2022 karta.png", "A 46552-2022")</f>
        <v/>
      </c>
      <c r="V116">
        <f>HYPERLINK("https://klasma.github.io/Logging_0883/klagomål/A 46552-2022 FSC-klagomål.docx", "A 46552-2022")</f>
        <v/>
      </c>
      <c r="W116">
        <f>HYPERLINK("https://klasma.github.io/Logging_0883/klagomålsmail/A 46552-2022 FSC-klagomål mail.docx", "A 46552-2022")</f>
        <v/>
      </c>
      <c r="X116">
        <f>HYPERLINK("https://klasma.github.io/Logging_0883/tillsyn/A 46552-2022 tillsynsbegäran.docx", "A 46552-2022")</f>
        <v/>
      </c>
      <c r="Y116">
        <f>HYPERLINK("https://klasma.github.io/Logging_0883/tillsynsmail/A 46552-2022 tillsynsbegäran mail.docx", "A 46552-2022")</f>
        <v/>
      </c>
    </row>
    <row r="117" ht="15" customHeight="1">
      <c r="A117" t="inlineStr">
        <is>
          <t>A 46787-2022</t>
        </is>
      </c>
      <c r="B117" s="1" t="n">
        <v>44851</v>
      </c>
      <c r="C117" s="1" t="n">
        <v>45565</v>
      </c>
      <c r="D117" t="inlineStr">
        <is>
          <t>KALMAR LÄN</t>
        </is>
      </c>
      <c r="E117" t="inlineStr">
        <is>
          <t>VÄSTERVIK</t>
        </is>
      </c>
      <c r="G117" t="n">
        <v>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Tallticka</t>
        </is>
      </c>
      <c r="S117">
        <f>HYPERLINK("https://klasma.github.io/Logging_0883/artfynd/A 46787-2022 artfynd.xlsx", "A 46787-2022")</f>
        <v/>
      </c>
      <c r="T117">
        <f>HYPERLINK("https://klasma.github.io/Logging_0883/kartor/A 46787-2022 karta.png", "A 46787-2022")</f>
        <v/>
      </c>
      <c r="V117">
        <f>HYPERLINK("https://klasma.github.io/Logging_0883/klagomål/A 46787-2022 FSC-klagomål.docx", "A 46787-2022")</f>
        <v/>
      </c>
      <c r="W117">
        <f>HYPERLINK("https://klasma.github.io/Logging_0883/klagomålsmail/A 46787-2022 FSC-klagomål mail.docx", "A 46787-2022")</f>
        <v/>
      </c>
      <c r="X117">
        <f>HYPERLINK("https://klasma.github.io/Logging_0883/tillsyn/A 46787-2022 tillsynsbegäran.docx", "A 46787-2022")</f>
        <v/>
      </c>
      <c r="Y117">
        <f>HYPERLINK("https://klasma.github.io/Logging_0883/tillsynsmail/A 46787-2022 tillsynsbegäran mail.docx", "A 46787-2022")</f>
        <v/>
      </c>
    </row>
    <row r="118" ht="15" customHeight="1">
      <c r="A118" t="inlineStr">
        <is>
          <t>A 50989-2022</t>
        </is>
      </c>
      <c r="B118" s="1" t="n">
        <v>44867</v>
      </c>
      <c r="C118" s="1" t="n">
        <v>45565</v>
      </c>
      <c r="D118" t="inlineStr">
        <is>
          <t>KALMAR LÄN</t>
        </is>
      </c>
      <c r="E118" t="inlineStr">
        <is>
          <t>VÄSTERVIK</t>
        </is>
      </c>
      <c r="G118" t="n">
        <v>2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Vätteros</t>
        </is>
      </c>
      <c r="S118">
        <f>HYPERLINK("https://klasma.github.io/Logging_0883/artfynd/A 50989-2022 artfynd.xlsx", "A 50989-2022")</f>
        <v/>
      </c>
      <c r="T118">
        <f>HYPERLINK("https://klasma.github.io/Logging_0883/kartor/A 50989-2022 karta.png", "A 50989-2022")</f>
        <v/>
      </c>
      <c r="V118">
        <f>HYPERLINK("https://klasma.github.io/Logging_0883/klagomål/A 50989-2022 FSC-klagomål.docx", "A 50989-2022")</f>
        <v/>
      </c>
      <c r="W118">
        <f>HYPERLINK("https://klasma.github.io/Logging_0883/klagomålsmail/A 50989-2022 FSC-klagomål mail.docx", "A 50989-2022")</f>
        <v/>
      </c>
      <c r="X118">
        <f>HYPERLINK("https://klasma.github.io/Logging_0883/tillsyn/A 50989-2022 tillsynsbegäran.docx", "A 50989-2022")</f>
        <v/>
      </c>
      <c r="Y118">
        <f>HYPERLINK("https://klasma.github.io/Logging_0883/tillsynsmail/A 50989-2022 tillsynsbegäran mail.docx", "A 50989-2022")</f>
        <v/>
      </c>
    </row>
    <row r="119" ht="15" customHeight="1">
      <c r="A119" t="inlineStr">
        <is>
          <t>A 62003-2022</t>
        </is>
      </c>
      <c r="B119" s="1" t="n">
        <v>44918</v>
      </c>
      <c r="C119" s="1" t="n">
        <v>45565</v>
      </c>
      <c r="D119" t="inlineStr">
        <is>
          <t>KALMAR LÄN</t>
        </is>
      </c>
      <c r="E119" t="inlineStr">
        <is>
          <t>VÄSTERVIK</t>
        </is>
      </c>
      <c r="G119" t="n">
        <v>6.2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Linmåra/småsnärjmåra</t>
        </is>
      </c>
      <c r="S119">
        <f>HYPERLINK("https://klasma.github.io/Logging_0883/artfynd/A 62003-2022 artfynd.xlsx", "A 62003-2022")</f>
        <v/>
      </c>
      <c r="T119">
        <f>HYPERLINK("https://klasma.github.io/Logging_0883/kartor/A 62003-2022 karta.png", "A 62003-2022")</f>
        <v/>
      </c>
      <c r="U119">
        <f>HYPERLINK("https://klasma.github.io/Logging_0883/knärot/A 62003-2022 karta knärot.png", "A 62003-2022")</f>
        <v/>
      </c>
      <c r="V119">
        <f>HYPERLINK("https://klasma.github.io/Logging_0883/klagomål/A 62003-2022 FSC-klagomål.docx", "A 62003-2022")</f>
        <v/>
      </c>
      <c r="W119">
        <f>HYPERLINK("https://klasma.github.io/Logging_0883/klagomålsmail/A 62003-2022 FSC-klagomål mail.docx", "A 62003-2022")</f>
        <v/>
      </c>
      <c r="X119">
        <f>HYPERLINK("https://klasma.github.io/Logging_0883/tillsyn/A 62003-2022 tillsynsbegäran.docx", "A 62003-2022")</f>
        <v/>
      </c>
      <c r="Y119">
        <f>HYPERLINK("https://klasma.github.io/Logging_0883/tillsynsmail/A 62003-2022 tillsynsbegäran mail.docx", "A 62003-2022")</f>
        <v/>
      </c>
    </row>
    <row r="120" ht="15" customHeight="1">
      <c r="A120" t="inlineStr">
        <is>
          <t>A 804-2023</t>
        </is>
      </c>
      <c r="B120" s="1" t="n">
        <v>44931</v>
      </c>
      <c r="C120" s="1" t="n">
        <v>45565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5.2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Violett fingersvamp
Ekticka</t>
        </is>
      </c>
      <c r="S120">
        <f>HYPERLINK("https://klasma.github.io/Logging_0883/artfynd/A 804-2023 artfynd.xlsx", "A 804-2023")</f>
        <v/>
      </c>
      <c r="T120">
        <f>HYPERLINK("https://klasma.github.io/Logging_0883/kartor/A 804-2023 karta.png", "A 804-2023")</f>
        <v/>
      </c>
      <c r="V120">
        <f>HYPERLINK("https://klasma.github.io/Logging_0883/klagomål/A 804-2023 FSC-klagomål.docx", "A 804-2023")</f>
        <v/>
      </c>
      <c r="W120">
        <f>HYPERLINK("https://klasma.github.io/Logging_0883/klagomålsmail/A 804-2023 FSC-klagomål mail.docx", "A 804-2023")</f>
        <v/>
      </c>
      <c r="X120">
        <f>HYPERLINK("https://klasma.github.io/Logging_0883/tillsyn/A 804-2023 tillsynsbegäran.docx", "A 804-2023")</f>
        <v/>
      </c>
      <c r="Y120">
        <f>HYPERLINK("https://klasma.github.io/Logging_0883/tillsynsmail/A 804-2023 tillsynsbegäran mail.docx", "A 804-2023")</f>
        <v/>
      </c>
    </row>
    <row r="121" ht="15" customHeight="1">
      <c r="A121" t="inlineStr">
        <is>
          <t>A 765-2023</t>
        </is>
      </c>
      <c r="B121" s="1" t="n">
        <v>44931</v>
      </c>
      <c r="C121" s="1" t="n">
        <v>45565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Ekticka
Talltita</t>
        </is>
      </c>
      <c r="S121">
        <f>HYPERLINK("https://klasma.github.io/Logging_0883/artfynd/A 765-2023 artfynd.xlsx", "A 765-2023")</f>
        <v/>
      </c>
      <c r="T121">
        <f>HYPERLINK("https://klasma.github.io/Logging_0883/kartor/A 765-2023 karta.png", "A 765-2023")</f>
        <v/>
      </c>
      <c r="V121">
        <f>HYPERLINK("https://klasma.github.io/Logging_0883/klagomål/A 765-2023 FSC-klagomål.docx", "A 765-2023")</f>
        <v/>
      </c>
      <c r="W121">
        <f>HYPERLINK("https://klasma.github.io/Logging_0883/klagomålsmail/A 765-2023 FSC-klagomål mail.docx", "A 765-2023")</f>
        <v/>
      </c>
      <c r="X121">
        <f>HYPERLINK("https://klasma.github.io/Logging_0883/tillsyn/A 765-2023 tillsynsbegäran.docx", "A 765-2023")</f>
        <v/>
      </c>
      <c r="Y121">
        <f>HYPERLINK("https://klasma.github.io/Logging_0883/tillsynsmail/A 765-2023 tillsynsbegäran mail.docx", "A 765-2023")</f>
        <v/>
      </c>
      <c r="Z121">
        <f>HYPERLINK("https://klasma.github.io/Logging_0883/fåglar/A 765-2023 prioriterade fågelarter.docx", "A 765-2023")</f>
        <v/>
      </c>
    </row>
    <row r="122" ht="15" customHeight="1">
      <c r="A122" t="inlineStr">
        <is>
          <t>A 2097-2023</t>
        </is>
      </c>
      <c r="B122" s="1" t="n">
        <v>44939</v>
      </c>
      <c r="C122" s="1" t="n">
        <v>45565</v>
      </c>
      <c r="D122" t="inlineStr">
        <is>
          <t>KALMAR LÄN</t>
        </is>
      </c>
      <c r="E122" t="inlineStr">
        <is>
          <t>VÄSTERVIK</t>
        </is>
      </c>
      <c r="G122" t="n">
        <v>6.9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Grovticka</t>
        </is>
      </c>
      <c r="S122">
        <f>HYPERLINK("https://klasma.github.io/Logging_0883/artfynd/A 2097-2023 artfynd.xlsx", "A 2097-2023")</f>
        <v/>
      </c>
      <c r="T122">
        <f>HYPERLINK("https://klasma.github.io/Logging_0883/kartor/A 2097-2023 karta.png", "A 2097-2023")</f>
        <v/>
      </c>
      <c r="U122">
        <f>HYPERLINK("https://klasma.github.io/Logging_0883/knärot/A 2097-2023 karta knärot.png", "A 2097-2023")</f>
        <v/>
      </c>
      <c r="V122">
        <f>HYPERLINK("https://klasma.github.io/Logging_0883/klagomål/A 2097-2023 FSC-klagomål.docx", "A 2097-2023")</f>
        <v/>
      </c>
      <c r="W122">
        <f>HYPERLINK("https://klasma.github.io/Logging_0883/klagomålsmail/A 2097-2023 FSC-klagomål mail.docx", "A 2097-2023")</f>
        <v/>
      </c>
      <c r="X122">
        <f>HYPERLINK("https://klasma.github.io/Logging_0883/tillsyn/A 2097-2023 tillsynsbegäran.docx", "A 2097-2023")</f>
        <v/>
      </c>
      <c r="Y122">
        <f>HYPERLINK("https://klasma.github.io/Logging_0883/tillsynsmail/A 2097-2023 tillsynsbegäran mail.docx", "A 2097-2023")</f>
        <v/>
      </c>
    </row>
    <row r="123" ht="15" customHeight="1">
      <c r="A123" t="inlineStr">
        <is>
          <t>A 2515-2023</t>
        </is>
      </c>
      <c r="B123" s="1" t="n">
        <v>44943</v>
      </c>
      <c r="C123" s="1" t="n">
        <v>45565</v>
      </c>
      <c r="D123" t="inlineStr">
        <is>
          <t>KALMAR LÄN</t>
        </is>
      </c>
      <c r="E123" t="inlineStr">
        <is>
          <t>VÄSTERVIK</t>
        </is>
      </c>
      <c r="G123" t="n">
        <v>1.3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Grönpyrola</t>
        </is>
      </c>
      <c r="S123">
        <f>HYPERLINK("https://klasma.github.io/Logging_0883/artfynd/A 2515-2023 artfynd.xlsx", "A 2515-2023")</f>
        <v/>
      </c>
      <c r="T123">
        <f>HYPERLINK("https://klasma.github.io/Logging_0883/kartor/A 2515-2023 karta.png", "A 2515-2023")</f>
        <v/>
      </c>
      <c r="U123">
        <f>HYPERLINK("https://klasma.github.io/Logging_0883/knärot/A 2515-2023 karta knärot.png", "A 2515-2023")</f>
        <v/>
      </c>
      <c r="V123">
        <f>HYPERLINK("https://klasma.github.io/Logging_0883/klagomål/A 2515-2023 FSC-klagomål.docx", "A 2515-2023")</f>
        <v/>
      </c>
      <c r="W123">
        <f>HYPERLINK("https://klasma.github.io/Logging_0883/klagomålsmail/A 2515-2023 FSC-klagomål mail.docx", "A 2515-2023")</f>
        <v/>
      </c>
      <c r="X123">
        <f>HYPERLINK("https://klasma.github.io/Logging_0883/tillsyn/A 2515-2023 tillsynsbegäran.docx", "A 2515-2023")</f>
        <v/>
      </c>
      <c r="Y123">
        <f>HYPERLINK("https://klasma.github.io/Logging_0883/tillsynsmail/A 2515-2023 tillsynsbegäran mail.docx", "A 2515-2023")</f>
        <v/>
      </c>
    </row>
    <row r="124" ht="15" customHeight="1">
      <c r="A124" t="inlineStr">
        <is>
          <t>A 3173-2023</t>
        </is>
      </c>
      <c r="B124" s="1" t="n">
        <v>44946</v>
      </c>
      <c r="C124" s="1" t="n">
        <v>45565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3173-2023 artfynd.xlsx", "A 3173-2023")</f>
        <v/>
      </c>
      <c r="T124">
        <f>HYPERLINK("https://klasma.github.io/Logging_0883/kartor/A 3173-2023 karta.png", "A 3173-2023")</f>
        <v/>
      </c>
      <c r="U124">
        <f>HYPERLINK("https://klasma.github.io/Logging_0883/knärot/A 3173-2023 karta knärot.png", "A 3173-2023")</f>
        <v/>
      </c>
      <c r="V124">
        <f>HYPERLINK("https://klasma.github.io/Logging_0883/klagomål/A 3173-2023 FSC-klagomål.docx", "A 3173-2023")</f>
        <v/>
      </c>
      <c r="W124">
        <f>HYPERLINK("https://klasma.github.io/Logging_0883/klagomålsmail/A 3173-2023 FSC-klagomål mail.docx", "A 3173-2023")</f>
        <v/>
      </c>
      <c r="X124">
        <f>HYPERLINK("https://klasma.github.io/Logging_0883/tillsyn/A 3173-2023 tillsynsbegäran.docx", "A 3173-2023")</f>
        <v/>
      </c>
      <c r="Y124">
        <f>HYPERLINK("https://klasma.github.io/Logging_0883/tillsynsmail/A 3173-2023 tillsynsbegäran mail.docx", "A 3173-2023")</f>
        <v/>
      </c>
    </row>
    <row r="125" ht="15" customHeight="1">
      <c r="A125" t="inlineStr">
        <is>
          <t>A 9040-2023</t>
        </is>
      </c>
      <c r="B125" s="1" t="n">
        <v>44979</v>
      </c>
      <c r="C125" s="1" t="n">
        <v>45565</v>
      </c>
      <c r="D125" t="inlineStr">
        <is>
          <t>KALMAR LÄN</t>
        </is>
      </c>
      <c r="E125" t="inlineStr">
        <is>
          <t>VÄSTERVIK</t>
        </is>
      </c>
      <c r="G125" t="n">
        <v>5.1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9040-2023 artfynd.xlsx", "A 9040-2023")</f>
        <v/>
      </c>
      <c r="T125">
        <f>HYPERLINK("https://klasma.github.io/Logging_0883/kartor/A 9040-2023 karta.png", "A 9040-2023")</f>
        <v/>
      </c>
      <c r="U125">
        <f>HYPERLINK("https://klasma.github.io/Logging_0883/knärot/A 9040-2023 karta knärot.png", "A 9040-2023")</f>
        <v/>
      </c>
      <c r="V125">
        <f>HYPERLINK("https://klasma.github.io/Logging_0883/klagomål/A 9040-2023 FSC-klagomål.docx", "A 9040-2023")</f>
        <v/>
      </c>
      <c r="W125">
        <f>HYPERLINK("https://klasma.github.io/Logging_0883/klagomålsmail/A 9040-2023 FSC-klagomål mail.docx", "A 9040-2023")</f>
        <v/>
      </c>
      <c r="X125">
        <f>HYPERLINK("https://klasma.github.io/Logging_0883/tillsyn/A 9040-2023 tillsynsbegäran.docx", "A 9040-2023")</f>
        <v/>
      </c>
      <c r="Y125">
        <f>HYPERLINK("https://klasma.github.io/Logging_0883/tillsynsmail/A 9040-2023 tillsynsbegäran mail.docx", "A 9040-2023")</f>
        <v/>
      </c>
    </row>
    <row r="126" ht="15" customHeight="1">
      <c r="A126" t="inlineStr">
        <is>
          <t>A 10806-2023</t>
        </is>
      </c>
      <c r="B126" s="1" t="n">
        <v>44989</v>
      </c>
      <c r="C126" s="1" t="n">
        <v>45565</v>
      </c>
      <c r="D126" t="inlineStr">
        <is>
          <t>KALMAR LÄN</t>
        </is>
      </c>
      <c r="E126" t="inlineStr">
        <is>
          <t>VÄSTERVIK</t>
        </is>
      </c>
      <c r="G126" t="n">
        <v>3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HYPERLINK("https://klasma.github.io/Logging_0883/artfynd/A 10806-2023 artfynd.xlsx", "A 10806-2023")</f>
        <v/>
      </c>
      <c r="T126">
        <f>HYPERLINK("https://klasma.github.io/Logging_0883/kartor/A 10806-2023 karta.png", "A 10806-2023")</f>
        <v/>
      </c>
      <c r="U126">
        <f>HYPERLINK("https://klasma.github.io/Logging_0883/knärot/A 10806-2023 karta knärot.png", "A 10806-2023")</f>
        <v/>
      </c>
      <c r="V126">
        <f>HYPERLINK("https://klasma.github.io/Logging_0883/klagomål/A 10806-2023 FSC-klagomål.docx", "A 10806-2023")</f>
        <v/>
      </c>
      <c r="W126">
        <f>HYPERLINK("https://klasma.github.io/Logging_0883/klagomålsmail/A 10806-2023 FSC-klagomål mail.docx", "A 10806-2023")</f>
        <v/>
      </c>
      <c r="X126">
        <f>HYPERLINK("https://klasma.github.io/Logging_0883/tillsyn/A 10806-2023 tillsynsbegäran.docx", "A 10806-2023")</f>
        <v/>
      </c>
      <c r="Y126">
        <f>HYPERLINK("https://klasma.github.io/Logging_0883/tillsynsmail/A 10806-2023 tillsynsbegäran mail.docx", "A 10806-2023")</f>
        <v/>
      </c>
    </row>
    <row r="127" ht="15" customHeight="1">
      <c r="A127" t="inlineStr">
        <is>
          <t>A 14301-2023</t>
        </is>
      </c>
      <c r="B127" s="1" t="n">
        <v>45011</v>
      </c>
      <c r="C127" s="1" t="n">
        <v>45565</v>
      </c>
      <c r="D127" t="inlineStr">
        <is>
          <t>KALMAR LÄN</t>
        </is>
      </c>
      <c r="E127" t="inlineStr">
        <is>
          <t>VÄSTERVIK</t>
        </is>
      </c>
      <c r="G127" t="n">
        <v>4.4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14301-2023 artfynd.xlsx", "A 14301-2023")</f>
        <v/>
      </c>
      <c r="T127">
        <f>HYPERLINK("https://klasma.github.io/Logging_0883/kartor/A 14301-2023 karta.png", "A 14301-2023")</f>
        <v/>
      </c>
      <c r="U127">
        <f>HYPERLINK("https://klasma.github.io/Logging_0883/knärot/A 14301-2023 karta knärot.png", "A 14301-2023")</f>
        <v/>
      </c>
      <c r="V127">
        <f>HYPERLINK("https://klasma.github.io/Logging_0883/klagomål/A 14301-2023 FSC-klagomål.docx", "A 14301-2023")</f>
        <v/>
      </c>
      <c r="W127">
        <f>HYPERLINK("https://klasma.github.io/Logging_0883/klagomålsmail/A 14301-2023 FSC-klagomål mail.docx", "A 14301-2023")</f>
        <v/>
      </c>
      <c r="X127">
        <f>HYPERLINK("https://klasma.github.io/Logging_0883/tillsyn/A 14301-2023 tillsynsbegäran.docx", "A 14301-2023")</f>
        <v/>
      </c>
      <c r="Y127">
        <f>HYPERLINK("https://klasma.github.io/Logging_0883/tillsynsmail/A 14301-2023 tillsynsbegäran mail.docx", "A 14301-2023")</f>
        <v/>
      </c>
    </row>
    <row r="128" ht="15" customHeight="1">
      <c r="A128" t="inlineStr">
        <is>
          <t>A 25435-2023</t>
        </is>
      </c>
      <c r="B128" s="1" t="n">
        <v>45089</v>
      </c>
      <c r="C128" s="1" t="n">
        <v>45565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Tjäder</t>
        </is>
      </c>
      <c r="S128">
        <f>HYPERLINK("https://klasma.github.io/Logging_0883/artfynd/A 25435-2023 artfynd.xlsx", "A 25435-2023")</f>
        <v/>
      </c>
      <c r="T128">
        <f>HYPERLINK("https://klasma.github.io/Logging_0883/kartor/A 25435-2023 karta.png", "A 25435-2023")</f>
        <v/>
      </c>
      <c r="U128">
        <f>HYPERLINK("https://klasma.github.io/Logging_0883/knärot/A 25435-2023 karta knärot.png", "A 25435-2023")</f>
        <v/>
      </c>
      <c r="V128">
        <f>HYPERLINK("https://klasma.github.io/Logging_0883/klagomål/A 25435-2023 FSC-klagomål.docx", "A 25435-2023")</f>
        <v/>
      </c>
      <c r="W128">
        <f>HYPERLINK("https://klasma.github.io/Logging_0883/klagomålsmail/A 25435-2023 FSC-klagomål mail.docx", "A 25435-2023")</f>
        <v/>
      </c>
      <c r="X128">
        <f>HYPERLINK("https://klasma.github.io/Logging_0883/tillsyn/A 25435-2023 tillsynsbegäran.docx", "A 25435-2023")</f>
        <v/>
      </c>
      <c r="Y128">
        <f>HYPERLINK("https://klasma.github.io/Logging_0883/tillsynsmail/A 25435-2023 tillsynsbegäran mail.docx", "A 25435-2023")</f>
        <v/>
      </c>
      <c r="Z128">
        <f>HYPERLINK("https://klasma.github.io/Logging_0883/fåglar/A 25435-2023 prioriterade fågelarter.docx", "A 25435-2023")</f>
        <v/>
      </c>
    </row>
    <row r="129" ht="15" customHeight="1">
      <c r="A129" t="inlineStr">
        <is>
          <t>A 32649-2023</t>
        </is>
      </c>
      <c r="B129" s="1" t="n">
        <v>45121</v>
      </c>
      <c r="C129" s="1" t="n">
        <v>45565</v>
      </c>
      <c r="D129" t="inlineStr">
        <is>
          <t>KALMAR LÄN</t>
        </is>
      </c>
      <c r="E129" t="inlineStr">
        <is>
          <t>VÄSTERVIK</t>
        </is>
      </c>
      <c r="G129" t="n">
        <v>1.7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Blåmossa</t>
        </is>
      </c>
      <c r="S129">
        <f>HYPERLINK("https://klasma.github.io/Logging_0883/artfynd/A 32649-2023 artfynd.xlsx", "A 32649-2023")</f>
        <v/>
      </c>
      <c r="T129">
        <f>HYPERLINK("https://klasma.github.io/Logging_0883/kartor/A 32649-2023 karta.png", "A 32649-2023")</f>
        <v/>
      </c>
      <c r="U129">
        <f>HYPERLINK("https://klasma.github.io/Logging_0883/knärot/A 32649-2023 karta knärot.png", "A 32649-2023")</f>
        <v/>
      </c>
      <c r="V129">
        <f>HYPERLINK("https://klasma.github.io/Logging_0883/klagomål/A 32649-2023 FSC-klagomål.docx", "A 32649-2023")</f>
        <v/>
      </c>
      <c r="W129">
        <f>HYPERLINK("https://klasma.github.io/Logging_0883/klagomålsmail/A 32649-2023 FSC-klagomål mail.docx", "A 32649-2023")</f>
        <v/>
      </c>
      <c r="X129">
        <f>HYPERLINK("https://klasma.github.io/Logging_0883/tillsyn/A 32649-2023 tillsynsbegäran.docx", "A 32649-2023")</f>
        <v/>
      </c>
      <c r="Y129">
        <f>HYPERLINK("https://klasma.github.io/Logging_0883/tillsynsmail/A 32649-2023 tillsynsbegäran mail.docx", "A 32649-2023")</f>
        <v/>
      </c>
    </row>
    <row r="130" ht="15" customHeight="1">
      <c r="A130" t="inlineStr">
        <is>
          <t>A 33824-2023</t>
        </is>
      </c>
      <c r="B130" s="1" t="n">
        <v>45133</v>
      </c>
      <c r="C130" s="1" t="n">
        <v>45565</v>
      </c>
      <c r="D130" t="inlineStr">
        <is>
          <t>KALMAR LÄN</t>
        </is>
      </c>
      <c r="E130" t="inlineStr">
        <is>
          <t>VÄSTERVIK</t>
        </is>
      </c>
      <c r="G130" t="n">
        <v>2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33824-2023 artfynd.xlsx", "A 33824-2023")</f>
        <v/>
      </c>
      <c r="T130">
        <f>HYPERLINK("https://klasma.github.io/Logging_0883/kartor/A 33824-2023 karta.png", "A 33824-2023")</f>
        <v/>
      </c>
      <c r="U130">
        <f>HYPERLINK("https://klasma.github.io/Logging_0883/knärot/A 33824-2023 karta knärot.png", "A 33824-2023")</f>
        <v/>
      </c>
      <c r="V130">
        <f>HYPERLINK("https://klasma.github.io/Logging_0883/klagomål/A 33824-2023 FSC-klagomål.docx", "A 33824-2023")</f>
        <v/>
      </c>
      <c r="W130">
        <f>HYPERLINK("https://klasma.github.io/Logging_0883/klagomålsmail/A 33824-2023 FSC-klagomål mail.docx", "A 33824-2023")</f>
        <v/>
      </c>
      <c r="X130">
        <f>HYPERLINK("https://klasma.github.io/Logging_0883/tillsyn/A 33824-2023 tillsynsbegäran.docx", "A 33824-2023")</f>
        <v/>
      </c>
      <c r="Y130">
        <f>HYPERLINK("https://klasma.github.io/Logging_0883/tillsynsmail/A 33824-2023 tillsynsbegäran mail.docx", "A 33824-2023")</f>
        <v/>
      </c>
    </row>
    <row r="131" ht="15" customHeight="1">
      <c r="A131" t="inlineStr">
        <is>
          <t>A 33825-2023</t>
        </is>
      </c>
      <c r="B131" s="1" t="n">
        <v>45133</v>
      </c>
      <c r="C131" s="1" t="n">
        <v>45565</v>
      </c>
      <c r="D131" t="inlineStr">
        <is>
          <t>KALMAR LÄN</t>
        </is>
      </c>
      <c r="E131" t="inlineStr">
        <is>
          <t>VÄSTERVIK</t>
        </is>
      </c>
      <c r="G131" t="n">
        <v>2.2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33825-2023 artfynd.xlsx", "A 33825-2023")</f>
        <v/>
      </c>
      <c r="T131">
        <f>HYPERLINK("https://klasma.github.io/Logging_0883/kartor/A 33825-2023 karta.png", "A 33825-2023")</f>
        <v/>
      </c>
      <c r="U131">
        <f>HYPERLINK("https://klasma.github.io/Logging_0883/knärot/A 33825-2023 karta knärot.png", "A 33825-2023")</f>
        <v/>
      </c>
      <c r="V131">
        <f>HYPERLINK("https://klasma.github.io/Logging_0883/klagomål/A 33825-2023 FSC-klagomål.docx", "A 33825-2023")</f>
        <v/>
      </c>
      <c r="W131">
        <f>HYPERLINK("https://klasma.github.io/Logging_0883/klagomålsmail/A 33825-2023 FSC-klagomål mail.docx", "A 33825-2023")</f>
        <v/>
      </c>
      <c r="X131">
        <f>HYPERLINK("https://klasma.github.io/Logging_0883/tillsyn/A 33825-2023 tillsynsbegäran.docx", "A 33825-2023")</f>
        <v/>
      </c>
      <c r="Y131">
        <f>HYPERLINK("https://klasma.github.io/Logging_0883/tillsynsmail/A 33825-2023 tillsynsbegäran mail.docx", "A 33825-2023")</f>
        <v/>
      </c>
      <c r="Z131">
        <f>HYPERLINK("https://klasma.github.io/Logging_0883/fåglar/A 33825-2023 prioriterade fågelarter.docx", "A 33825-2023")</f>
        <v/>
      </c>
    </row>
    <row r="132" ht="15" customHeight="1">
      <c r="A132" t="inlineStr">
        <is>
          <t>A 34120-2023</t>
        </is>
      </c>
      <c r="B132" s="1" t="n">
        <v>45135</v>
      </c>
      <c r="C132" s="1" t="n">
        <v>45565</v>
      </c>
      <c r="D132" t="inlineStr">
        <is>
          <t>KALMAR LÄN</t>
        </is>
      </c>
      <c r="E132" t="inlineStr">
        <is>
          <t>VÄSTERVIK</t>
        </is>
      </c>
      <c r="G132" t="n">
        <v>2.1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Blodticka</t>
        </is>
      </c>
      <c r="S132">
        <f>HYPERLINK("https://klasma.github.io/Logging_0883/artfynd/A 34120-2023 artfynd.xlsx", "A 34120-2023")</f>
        <v/>
      </c>
      <c r="T132">
        <f>HYPERLINK("https://klasma.github.io/Logging_0883/kartor/A 34120-2023 karta.png", "A 34120-2023")</f>
        <v/>
      </c>
      <c r="U132">
        <f>HYPERLINK("https://klasma.github.io/Logging_0883/knärot/A 34120-2023 karta knärot.png", "A 34120-2023")</f>
        <v/>
      </c>
      <c r="V132">
        <f>HYPERLINK("https://klasma.github.io/Logging_0883/klagomål/A 34120-2023 FSC-klagomål.docx", "A 34120-2023")</f>
        <v/>
      </c>
      <c r="W132">
        <f>HYPERLINK("https://klasma.github.io/Logging_0883/klagomålsmail/A 34120-2023 FSC-klagomål mail.docx", "A 34120-2023")</f>
        <v/>
      </c>
      <c r="X132">
        <f>HYPERLINK("https://klasma.github.io/Logging_0883/tillsyn/A 34120-2023 tillsynsbegäran.docx", "A 34120-2023")</f>
        <v/>
      </c>
      <c r="Y132">
        <f>HYPERLINK("https://klasma.github.io/Logging_0883/tillsynsmail/A 34120-2023 tillsynsbegäran mail.docx", "A 34120-2023")</f>
        <v/>
      </c>
    </row>
    <row r="133" ht="15" customHeight="1">
      <c r="A133" t="inlineStr">
        <is>
          <t>A 34119-2023</t>
        </is>
      </c>
      <c r="B133" s="1" t="n">
        <v>45135</v>
      </c>
      <c r="C133" s="1" t="n">
        <v>45565</v>
      </c>
      <c r="D133" t="inlineStr">
        <is>
          <t>KALMAR LÄN</t>
        </is>
      </c>
      <c r="E133" t="inlineStr">
        <is>
          <t>VÄSTERVIK</t>
        </is>
      </c>
      <c r="G133" t="n">
        <v>3.1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Blomkålssvamp</t>
        </is>
      </c>
      <c r="S133">
        <f>HYPERLINK("https://klasma.github.io/Logging_0883/artfynd/A 34119-2023 artfynd.xlsx", "A 34119-2023")</f>
        <v/>
      </c>
      <c r="T133">
        <f>HYPERLINK("https://klasma.github.io/Logging_0883/kartor/A 34119-2023 karta.png", "A 34119-2023")</f>
        <v/>
      </c>
      <c r="U133">
        <f>HYPERLINK("https://klasma.github.io/Logging_0883/knärot/A 34119-2023 karta knärot.png", "A 34119-2023")</f>
        <v/>
      </c>
      <c r="V133">
        <f>HYPERLINK("https://klasma.github.io/Logging_0883/klagomål/A 34119-2023 FSC-klagomål.docx", "A 34119-2023")</f>
        <v/>
      </c>
      <c r="W133">
        <f>HYPERLINK("https://klasma.github.io/Logging_0883/klagomålsmail/A 34119-2023 FSC-klagomål mail.docx", "A 34119-2023")</f>
        <v/>
      </c>
      <c r="X133">
        <f>HYPERLINK("https://klasma.github.io/Logging_0883/tillsyn/A 34119-2023 tillsynsbegäran.docx", "A 34119-2023")</f>
        <v/>
      </c>
      <c r="Y133">
        <f>HYPERLINK("https://klasma.github.io/Logging_0883/tillsynsmail/A 34119-2023 tillsynsbegäran mail.docx", "A 34119-2023")</f>
        <v/>
      </c>
    </row>
    <row r="134" ht="15" customHeight="1">
      <c r="A134" t="inlineStr">
        <is>
          <t>A 38036-2023</t>
        </is>
      </c>
      <c r="B134" s="1" t="n">
        <v>45160</v>
      </c>
      <c r="C134" s="1" t="n">
        <v>45565</v>
      </c>
      <c r="D134" t="inlineStr">
        <is>
          <t>KALMAR LÄN</t>
        </is>
      </c>
      <c r="E134" t="inlineStr">
        <is>
          <t>VÄSTERVIK</t>
        </is>
      </c>
      <c r="F134" t="inlineStr">
        <is>
          <t>Sveaskog</t>
        </is>
      </c>
      <c r="G134" t="n">
        <v>4.2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Barbastell
Nordfladdermus</t>
        </is>
      </c>
      <c r="S134">
        <f>HYPERLINK("https://klasma.github.io/Logging_0883/artfynd/A 38036-2023 artfynd.xlsx", "A 38036-2023")</f>
        <v/>
      </c>
      <c r="T134">
        <f>HYPERLINK("https://klasma.github.io/Logging_0883/kartor/A 38036-2023 karta.png", "A 38036-2023")</f>
        <v/>
      </c>
      <c r="V134">
        <f>HYPERLINK("https://klasma.github.io/Logging_0883/klagomål/A 38036-2023 FSC-klagomål.docx", "A 38036-2023")</f>
        <v/>
      </c>
      <c r="W134">
        <f>HYPERLINK("https://klasma.github.io/Logging_0883/klagomålsmail/A 38036-2023 FSC-klagomål mail.docx", "A 38036-2023")</f>
        <v/>
      </c>
      <c r="X134">
        <f>HYPERLINK("https://klasma.github.io/Logging_0883/tillsyn/A 38036-2023 tillsynsbegäran.docx", "A 38036-2023")</f>
        <v/>
      </c>
      <c r="Y134">
        <f>HYPERLINK("https://klasma.github.io/Logging_0883/tillsynsmail/A 38036-2023 tillsynsbegäran mail.docx", "A 38036-2023")</f>
        <v/>
      </c>
    </row>
    <row r="135" ht="15" customHeight="1">
      <c r="A135" t="inlineStr">
        <is>
          <t>A 46089-2023</t>
        </is>
      </c>
      <c r="B135" s="1" t="n">
        <v>45196</v>
      </c>
      <c r="C135" s="1" t="n">
        <v>45565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Fällmossa
Blåsippa</t>
        </is>
      </c>
      <c r="S135">
        <f>HYPERLINK("https://klasma.github.io/Logging_0883/artfynd/A 46089-2023 artfynd.xlsx", "A 46089-2023")</f>
        <v/>
      </c>
      <c r="T135">
        <f>HYPERLINK("https://klasma.github.io/Logging_0883/kartor/A 46089-2023 karta.png", "A 46089-2023")</f>
        <v/>
      </c>
      <c r="V135">
        <f>HYPERLINK("https://klasma.github.io/Logging_0883/klagomål/A 46089-2023 FSC-klagomål.docx", "A 46089-2023")</f>
        <v/>
      </c>
      <c r="W135">
        <f>HYPERLINK("https://klasma.github.io/Logging_0883/klagomålsmail/A 46089-2023 FSC-klagomål mail.docx", "A 46089-2023")</f>
        <v/>
      </c>
      <c r="X135">
        <f>HYPERLINK("https://klasma.github.io/Logging_0883/tillsyn/A 46089-2023 tillsynsbegäran.docx", "A 46089-2023")</f>
        <v/>
      </c>
      <c r="Y135">
        <f>HYPERLINK("https://klasma.github.io/Logging_0883/tillsynsmail/A 46089-2023 tillsynsbegäran mail.docx", "A 46089-2023")</f>
        <v/>
      </c>
    </row>
    <row r="136" ht="15" customHeight="1">
      <c r="A136" t="inlineStr">
        <is>
          <t>A 47935-2023</t>
        </is>
      </c>
      <c r="B136" s="1" t="n">
        <v>45204</v>
      </c>
      <c r="C136" s="1" t="n">
        <v>45565</v>
      </c>
      <c r="D136" t="inlineStr">
        <is>
          <t>KALMAR LÄN</t>
        </is>
      </c>
      <c r="E136" t="inlineStr">
        <is>
          <t>VÄSTERVIK</t>
        </is>
      </c>
      <c r="G136" t="n">
        <v>4.3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Tallticka
Blåmossa</t>
        </is>
      </c>
      <c r="S136">
        <f>HYPERLINK("https://klasma.github.io/Logging_0883/artfynd/A 47935-2023 artfynd.xlsx", "A 47935-2023")</f>
        <v/>
      </c>
      <c r="T136">
        <f>HYPERLINK("https://klasma.github.io/Logging_0883/kartor/A 47935-2023 karta.png", "A 47935-2023")</f>
        <v/>
      </c>
      <c r="V136">
        <f>HYPERLINK("https://klasma.github.io/Logging_0883/klagomål/A 47935-2023 FSC-klagomål.docx", "A 47935-2023")</f>
        <v/>
      </c>
      <c r="W136">
        <f>HYPERLINK("https://klasma.github.io/Logging_0883/klagomålsmail/A 47935-2023 FSC-klagomål mail.docx", "A 47935-2023")</f>
        <v/>
      </c>
      <c r="X136">
        <f>HYPERLINK("https://klasma.github.io/Logging_0883/tillsyn/A 47935-2023 tillsynsbegäran.docx", "A 47935-2023")</f>
        <v/>
      </c>
      <c r="Y136">
        <f>HYPERLINK("https://klasma.github.io/Logging_0883/tillsynsmail/A 47935-2023 tillsynsbegäran mail.docx", "A 47935-2023")</f>
        <v/>
      </c>
    </row>
    <row r="137" ht="15" customHeight="1">
      <c r="A137" t="inlineStr">
        <is>
          <t>A 54360-2023</t>
        </is>
      </c>
      <c r="B137" s="1" t="n">
        <v>45233</v>
      </c>
      <c r="C137" s="1" t="n">
        <v>45565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Spindelört
Mattlummer</t>
        </is>
      </c>
      <c r="S137">
        <f>HYPERLINK("https://klasma.github.io/Logging_0883/artfynd/A 54360-2023 artfynd.xlsx", "A 54360-2023")</f>
        <v/>
      </c>
      <c r="T137">
        <f>HYPERLINK("https://klasma.github.io/Logging_0883/kartor/A 54360-2023 karta.png", "A 54360-2023")</f>
        <v/>
      </c>
      <c r="V137">
        <f>HYPERLINK("https://klasma.github.io/Logging_0883/klagomål/A 54360-2023 FSC-klagomål.docx", "A 54360-2023")</f>
        <v/>
      </c>
      <c r="W137">
        <f>HYPERLINK("https://klasma.github.io/Logging_0883/klagomålsmail/A 54360-2023 FSC-klagomål mail.docx", "A 54360-2023")</f>
        <v/>
      </c>
      <c r="X137">
        <f>HYPERLINK("https://klasma.github.io/Logging_0883/tillsyn/A 54360-2023 tillsynsbegäran.docx", "A 54360-2023")</f>
        <v/>
      </c>
      <c r="Y137">
        <f>HYPERLINK("https://klasma.github.io/Logging_0883/tillsynsmail/A 54360-2023 tillsynsbegäran mail.docx", "A 54360-2023")</f>
        <v/>
      </c>
    </row>
    <row r="138" ht="15" customHeight="1">
      <c r="A138" t="inlineStr">
        <is>
          <t>A 54800-2023</t>
        </is>
      </c>
      <c r="B138" s="1" t="n">
        <v>45236</v>
      </c>
      <c r="C138" s="1" t="n">
        <v>45565</v>
      </c>
      <c r="D138" t="inlineStr">
        <is>
          <t>KALMAR LÄN</t>
        </is>
      </c>
      <c r="E138" t="inlineStr">
        <is>
          <t>VÄSTERVIK</t>
        </is>
      </c>
      <c r="G138" t="n">
        <v>0.7</v>
      </c>
      <c r="H138" t="n">
        <v>2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Spillkråka</t>
        </is>
      </c>
      <c r="S138">
        <f>HYPERLINK("https://klasma.github.io/Logging_0883/artfynd/A 54800-2023 artfynd.xlsx", "A 54800-2023")</f>
        <v/>
      </c>
      <c r="T138">
        <f>HYPERLINK("https://klasma.github.io/Logging_0883/kartor/A 54800-2023 karta.png", "A 54800-2023")</f>
        <v/>
      </c>
      <c r="U138">
        <f>HYPERLINK("https://klasma.github.io/Logging_0883/knärot/A 54800-2023 karta knärot.png", "A 54800-2023")</f>
        <v/>
      </c>
      <c r="V138">
        <f>HYPERLINK("https://klasma.github.io/Logging_0883/klagomål/A 54800-2023 FSC-klagomål.docx", "A 54800-2023")</f>
        <v/>
      </c>
      <c r="W138">
        <f>HYPERLINK("https://klasma.github.io/Logging_0883/klagomålsmail/A 54800-2023 FSC-klagomål mail.docx", "A 54800-2023")</f>
        <v/>
      </c>
      <c r="X138">
        <f>HYPERLINK("https://klasma.github.io/Logging_0883/tillsyn/A 54800-2023 tillsynsbegäran.docx", "A 54800-2023")</f>
        <v/>
      </c>
      <c r="Y138">
        <f>HYPERLINK("https://klasma.github.io/Logging_0883/tillsynsmail/A 54800-2023 tillsynsbegäran mail.docx", "A 54800-2023")</f>
        <v/>
      </c>
      <c r="Z138">
        <f>HYPERLINK("https://klasma.github.io/Logging_0883/fåglar/A 54800-2023 prioriterade fågelarter.docx", "A 54800-2023")</f>
        <v/>
      </c>
    </row>
    <row r="139" ht="15" customHeight="1">
      <c r="A139" t="inlineStr">
        <is>
          <t>A 55408-2023</t>
        </is>
      </c>
      <c r="B139" s="1" t="n">
        <v>45238</v>
      </c>
      <c r="C139" s="1" t="n">
        <v>45565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Ekticka
Tallticka</t>
        </is>
      </c>
      <c r="S139">
        <f>HYPERLINK("https://klasma.github.io/Logging_0883/artfynd/A 55408-2023 artfynd.xlsx", "A 55408-2023")</f>
        <v/>
      </c>
      <c r="T139">
        <f>HYPERLINK("https://klasma.github.io/Logging_0883/kartor/A 55408-2023 karta.png", "A 55408-2023")</f>
        <v/>
      </c>
      <c r="V139">
        <f>HYPERLINK("https://klasma.github.io/Logging_0883/klagomål/A 55408-2023 FSC-klagomål.docx", "A 55408-2023")</f>
        <v/>
      </c>
      <c r="W139">
        <f>HYPERLINK("https://klasma.github.io/Logging_0883/klagomålsmail/A 55408-2023 FSC-klagomål mail.docx", "A 55408-2023")</f>
        <v/>
      </c>
      <c r="X139">
        <f>HYPERLINK("https://klasma.github.io/Logging_0883/tillsyn/A 55408-2023 tillsynsbegäran.docx", "A 55408-2023")</f>
        <v/>
      </c>
      <c r="Y139">
        <f>HYPERLINK("https://klasma.github.io/Logging_0883/tillsynsmail/A 55408-2023 tillsynsbegäran mail.docx", "A 55408-2023")</f>
        <v/>
      </c>
    </row>
    <row r="140" ht="15" customHeight="1">
      <c r="A140" t="inlineStr">
        <is>
          <t>A 56857-2023</t>
        </is>
      </c>
      <c r="B140" s="1" t="n">
        <v>45244</v>
      </c>
      <c r="C140" s="1" t="n">
        <v>45565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7.5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56857-2023 artfynd.xlsx", "A 56857-2023")</f>
        <v/>
      </c>
      <c r="T140">
        <f>HYPERLINK("https://klasma.github.io/Logging_0883/kartor/A 56857-2023 karta.png", "A 56857-2023")</f>
        <v/>
      </c>
      <c r="U140">
        <f>HYPERLINK("https://klasma.github.io/Logging_0883/knärot/A 56857-2023 karta knärot.png", "A 56857-2023")</f>
        <v/>
      </c>
      <c r="V140">
        <f>HYPERLINK("https://klasma.github.io/Logging_0883/klagomål/A 56857-2023 FSC-klagomål.docx", "A 56857-2023")</f>
        <v/>
      </c>
      <c r="W140">
        <f>HYPERLINK("https://klasma.github.io/Logging_0883/klagomålsmail/A 56857-2023 FSC-klagomål mail.docx", "A 56857-2023")</f>
        <v/>
      </c>
      <c r="X140">
        <f>HYPERLINK("https://klasma.github.io/Logging_0883/tillsyn/A 56857-2023 tillsynsbegäran.docx", "A 56857-2023")</f>
        <v/>
      </c>
      <c r="Y140">
        <f>HYPERLINK("https://klasma.github.io/Logging_0883/tillsynsmail/A 56857-2023 tillsynsbegäran mail.docx", "A 56857-2023")</f>
        <v/>
      </c>
    </row>
    <row r="141" ht="15" customHeight="1">
      <c r="A141" t="inlineStr">
        <is>
          <t>A 60631-2023</t>
        </is>
      </c>
      <c r="B141" s="1" t="n">
        <v>45260</v>
      </c>
      <c r="C141" s="1" t="n">
        <v>45565</v>
      </c>
      <c r="D141" t="inlineStr">
        <is>
          <t>KALMAR LÄN</t>
        </is>
      </c>
      <c r="E141" t="inlineStr">
        <is>
          <t>VÄSTERVIK</t>
        </is>
      </c>
      <c r="G141" t="n">
        <v>4.5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Revlummer</t>
        </is>
      </c>
      <c r="S141">
        <f>HYPERLINK("https://klasma.github.io/Logging_0883/artfynd/A 60631-2023 artfynd.xlsx", "A 60631-2023")</f>
        <v/>
      </c>
      <c r="T141">
        <f>HYPERLINK("https://klasma.github.io/Logging_0883/kartor/A 60631-2023 karta.png", "A 60631-2023")</f>
        <v/>
      </c>
      <c r="V141">
        <f>HYPERLINK("https://klasma.github.io/Logging_0883/klagomål/A 60631-2023 FSC-klagomål.docx", "A 60631-2023")</f>
        <v/>
      </c>
      <c r="W141">
        <f>HYPERLINK("https://klasma.github.io/Logging_0883/klagomålsmail/A 60631-2023 FSC-klagomål mail.docx", "A 60631-2023")</f>
        <v/>
      </c>
      <c r="X141">
        <f>HYPERLINK("https://klasma.github.io/Logging_0883/tillsyn/A 60631-2023 tillsynsbegäran.docx", "A 60631-2023")</f>
        <v/>
      </c>
      <c r="Y141">
        <f>HYPERLINK("https://klasma.github.io/Logging_0883/tillsynsmail/A 60631-2023 tillsynsbegäran mail.docx", "A 60631-2023")</f>
        <v/>
      </c>
    </row>
    <row r="142" ht="15" customHeight="1">
      <c r="A142" t="inlineStr">
        <is>
          <t>A 60920-2023</t>
        </is>
      </c>
      <c r="B142" s="1" t="n">
        <v>45261</v>
      </c>
      <c r="C142" s="1" t="n">
        <v>45565</v>
      </c>
      <c r="D142" t="inlineStr">
        <is>
          <t>KALMAR LÄN</t>
        </is>
      </c>
      <c r="E142" t="inlineStr">
        <is>
          <t>VÄSTERVIK</t>
        </is>
      </c>
      <c r="G142" t="n">
        <v>10.1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Solvända
Spindelört</t>
        </is>
      </c>
      <c r="S142">
        <f>HYPERLINK("https://klasma.github.io/Logging_0883/artfynd/A 60920-2023 artfynd.xlsx", "A 60920-2023")</f>
        <v/>
      </c>
      <c r="T142">
        <f>HYPERLINK("https://klasma.github.io/Logging_0883/kartor/A 60920-2023 karta.png", "A 60920-2023")</f>
        <v/>
      </c>
      <c r="V142">
        <f>HYPERLINK("https://klasma.github.io/Logging_0883/klagomål/A 60920-2023 FSC-klagomål.docx", "A 60920-2023")</f>
        <v/>
      </c>
      <c r="W142">
        <f>HYPERLINK("https://klasma.github.io/Logging_0883/klagomålsmail/A 60920-2023 FSC-klagomål mail.docx", "A 60920-2023")</f>
        <v/>
      </c>
      <c r="X142">
        <f>HYPERLINK("https://klasma.github.io/Logging_0883/tillsyn/A 60920-2023 tillsynsbegäran.docx", "A 60920-2023")</f>
        <v/>
      </c>
      <c r="Y142">
        <f>HYPERLINK("https://klasma.github.io/Logging_0883/tillsynsmail/A 60920-2023 tillsynsbegäran mail.docx", "A 60920-2023")</f>
        <v/>
      </c>
    </row>
    <row r="143" ht="15" customHeight="1">
      <c r="A143" t="inlineStr">
        <is>
          <t>A 61804-2023</t>
        </is>
      </c>
      <c r="B143" s="1" t="n">
        <v>45266</v>
      </c>
      <c r="C143" s="1" t="n">
        <v>45565</v>
      </c>
      <c r="D143" t="inlineStr">
        <is>
          <t>KALMAR LÄN</t>
        </is>
      </c>
      <c r="E143" t="inlineStr">
        <is>
          <t>VÄSTERVIK</t>
        </is>
      </c>
      <c r="G143" t="n">
        <v>2.3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Smalsprötad bastardsvärmare</t>
        </is>
      </c>
      <c r="S143">
        <f>HYPERLINK("https://klasma.github.io/Logging_0883/artfynd/A 61804-2023 artfynd.xlsx", "A 61804-2023")</f>
        <v/>
      </c>
      <c r="T143">
        <f>HYPERLINK("https://klasma.github.io/Logging_0883/kartor/A 61804-2023 karta.png", "A 61804-2023")</f>
        <v/>
      </c>
      <c r="V143">
        <f>HYPERLINK("https://klasma.github.io/Logging_0883/klagomål/A 61804-2023 FSC-klagomål.docx", "A 61804-2023")</f>
        <v/>
      </c>
      <c r="W143">
        <f>HYPERLINK("https://klasma.github.io/Logging_0883/klagomålsmail/A 61804-2023 FSC-klagomål mail.docx", "A 61804-2023")</f>
        <v/>
      </c>
      <c r="X143">
        <f>HYPERLINK("https://klasma.github.io/Logging_0883/tillsyn/A 61804-2023 tillsynsbegäran.docx", "A 61804-2023")</f>
        <v/>
      </c>
      <c r="Y143">
        <f>HYPERLINK("https://klasma.github.io/Logging_0883/tillsynsmail/A 61804-2023 tillsynsbegäran mail.docx", "A 61804-2023")</f>
        <v/>
      </c>
    </row>
    <row r="144" ht="15" customHeight="1">
      <c r="A144" t="inlineStr">
        <is>
          <t>A 62008-2023</t>
        </is>
      </c>
      <c r="B144" s="1" t="n">
        <v>45266</v>
      </c>
      <c r="C144" s="1" t="n">
        <v>45565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Talltita</t>
        </is>
      </c>
      <c r="S144">
        <f>HYPERLINK("https://klasma.github.io/Logging_0883/artfynd/A 62008-2023 artfynd.xlsx", "A 62008-2023")</f>
        <v/>
      </c>
      <c r="T144">
        <f>HYPERLINK("https://klasma.github.io/Logging_0883/kartor/A 62008-2023 karta.png", "A 62008-2023")</f>
        <v/>
      </c>
      <c r="U144">
        <f>HYPERLINK("https://klasma.github.io/Logging_0883/knärot/A 62008-2023 karta knärot.png", "A 62008-2023")</f>
        <v/>
      </c>
      <c r="V144">
        <f>HYPERLINK("https://klasma.github.io/Logging_0883/klagomål/A 62008-2023 FSC-klagomål.docx", "A 62008-2023")</f>
        <v/>
      </c>
      <c r="W144">
        <f>HYPERLINK("https://klasma.github.io/Logging_0883/klagomålsmail/A 62008-2023 FSC-klagomål mail.docx", "A 62008-2023")</f>
        <v/>
      </c>
      <c r="X144">
        <f>HYPERLINK("https://klasma.github.io/Logging_0883/tillsyn/A 62008-2023 tillsynsbegäran.docx", "A 62008-2023")</f>
        <v/>
      </c>
      <c r="Y144">
        <f>HYPERLINK("https://klasma.github.io/Logging_0883/tillsynsmail/A 62008-2023 tillsynsbegäran mail.docx", "A 62008-2023")</f>
        <v/>
      </c>
      <c r="Z144">
        <f>HYPERLINK("https://klasma.github.io/Logging_0883/fåglar/A 62008-2023 prioriterade fågelarter.docx", "A 62008-2023")</f>
        <v/>
      </c>
    </row>
    <row r="145" ht="15" customHeight="1">
      <c r="A145" t="inlineStr">
        <is>
          <t>A 62029-2023</t>
        </is>
      </c>
      <c r="B145" s="1" t="n">
        <v>45266</v>
      </c>
      <c r="C145" s="1" t="n">
        <v>45565</v>
      </c>
      <c r="D145" t="inlineStr">
        <is>
          <t>KALMAR LÄN</t>
        </is>
      </c>
      <c r="E145" t="inlineStr">
        <is>
          <t>VÄSTERVIK</t>
        </is>
      </c>
      <c r="G145" t="n">
        <v>4.8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Tallticka
Talltita</t>
        </is>
      </c>
      <c r="S145">
        <f>HYPERLINK("https://klasma.github.io/Logging_0883/artfynd/A 62029-2023 artfynd.xlsx", "A 62029-2023")</f>
        <v/>
      </c>
      <c r="T145">
        <f>HYPERLINK("https://klasma.github.io/Logging_0883/kartor/A 62029-2023 karta.png", "A 62029-2023")</f>
        <v/>
      </c>
      <c r="V145">
        <f>HYPERLINK("https://klasma.github.io/Logging_0883/klagomål/A 62029-2023 FSC-klagomål.docx", "A 62029-2023")</f>
        <v/>
      </c>
      <c r="W145">
        <f>HYPERLINK("https://klasma.github.io/Logging_0883/klagomålsmail/A 62029-2023 FSC-klagomål mail.docx", "A 62029-2023")</f>
        <v/>
      </c>
      <c r="X145">
        <f>HYPERLINK("https://klasma.github.io/Logging_0883/tillsyn/A 62029-2023 tillsynsbegäran.docx", "A 62029-2023")</f>
        <v/>
      </c>
      <c r="Y145">
        <f>HYPERLINK("https://klasma.github.io/Logging_0883/tillsynsmail/A 62029-2023 tillsynsbegäran mail.docx", "A 62029-2023")</f>
        <v/>
      </c>
      <c r="Z145">
        <f>HYPERLINK("https://klasma.github.io/Logging_0883/fåglar/A 62029-2023 prioriterade fågelarter.docx", "A 62029-2023")</f>
        <v/>
      </c>
    </row>
    <row r="146" ht="15" customHeight="1">
      <c r="A146" t="inlineStr">
        <is>
          <t>A 64761-2023</t>
        </is>
      </c>
      <c r="B146" s="1" t="n">
        <v>45282</v>
      </c>
      <c r="C146" s="1" t="n">
        <v>45565</v>
      </c>
      <c r="D146" t="inlineStr">
        <is>
          <t>KALMAR LÄN</t>
        </is>
      </c>
      <c r="E146" t="inlineStr">
        <is>
          <t>VÄSTERVIK</t>
        </is>
      </c>
      <c r="F146" t="inlineStr">
        <is>
          <t>Övriga Aktiebolag</t>
        </is>
      </c>
      <c r="G146" t="n">
        <v>5.8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Spillkråka</t>
        </is>
      </c>
      <c r="S146">
        <f>HYPERLINK("https://klasma.github.io/Logging_0883/artfynd/A 64761-2023 artfynd.xlsx", "A 64761-2023")</f>
        <v/>
      </c>
      <c r="T146">
        <f>HYPERLINK("https://klasma.github.io/Logging_0883/kartor/A 64761-2023 karta.png", "A 64761-2023")</f>
        <v/>
      </c>
      <c r="U146">
        <f>HYPERLINK("https://klasma.github.io/Logging_0883/knärot/A 64761-2023 karta knärot.png", "A 64761-2023")</f>
        <v/>
      </c>
      <c r="V146">
        <f>HYPERLINK("https://klasma.github.io/Logging_0883/klagomål/A 64761-2023 FSC-klagomål.docx", "A 64761-2023")</f>
        <v/>
      </c>
      <c r="W146">
        <f>HYPERLINK("https://klasma.github.io/Logging_0883/klagomålsmail/A 64761-2023 FSC-klagomål mail.docx", "A 64761-2023")</f>
        <v/>
      </c>
      <c r="X146">
        <f>HYPERLINK("https://klasma.github.io/Logging_0883/tillsyn/A 64761-2023 tillsynsbegäran.docx", "A 64761-2023")</f>
        <v/>
      </c>
      <c r="Y146">
        <f>HYPERLINK("https://klasma.github.io/Logging_0883/tillsynsmail/A 64761-2023 tillsynsbegäran mail.docx", "A 64761-2023")</f>
        <v/>
      </c>
      <c r="Z146">
        <f>HYPERLINK("https://klasma.github.io/Logging_0883/fåglar/A 64761-2023 prioriterade fågelarter.docx", "A 64761-2023")</f>
        <v/>
      </c>
    </row>
    <row r="147" ht="15" customHeight="1">
      <c r="A147" t="inlineStr">
        <is>
          <t>A 932-2024</t>
        </is>
      </c>
      <c r="B147" s="1" t="n">
        <v>45301</v>
      </c>
      <c r="C147" s="1" t="n">
        <v>45565</v>
      </c>
      <c r="D147" t="inlineStr">
        <is>
          <t>KALMAR LÄN</t>
        </is>
      </c>
      <c r="E147" t="inlineStr">
        <is>
          <t>VÄSTERVIK</t>
        </is>
      </c>
      <c r="G147" t="n">
        <v>3.7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Grovticka</t>
        </is>
      </c>
      <c r="S147">
        <f>HYPERLINK("https://klasma.github.io/Logging_0883/artfynd/A 932-2024 artfynd.xlsx", "A 932-2024")</f>
        <v/>
      </c>
      <c r="T147">
        <f>HYPERLINK("https://klasma.github.io/Logging_0883/kartor/A 932-2024 karta.png", "A 932-2024")</f>
        <v/>
      </c>
      <c r="V147">
        <f>HYPERLINK("https://klasma.github.io/Logging_0883/klagomål/A 932-2024 FSC-klagomål.docx", "A 932-2024")</f>
        <v/>
      </c>
      <c r="W147">
        <f>HYPERLINK("https://klasma.github.io/Logging_0883/klagomålsmail/A 932-2024 FSC-klagomål mail.docx", "A 932-2024")</f>
        <v/>
      </c>
      <c r="X147">
        <f>HYPERLINK("https://klasma.github.io/Logging_0883/tillsyn/A 932-2024 tillsynsbegäran.docx", "A 932-2024")</f>
        <v/>
      </c>
      <c r="Y147">
        <f>HYPERLINK("https://klasma.github.io/Logging_0883/tillsynsmail/A 932-2024 tillsynsbegäran mail.docx", "A 932-2024")</f>
        <v/>
      </c>
      <c r="Z147">
        <f>HYPERLINK("https://klasma.github.io/Logging_0883/fåglar/A 932-2024 prioriterade fågelarter.docx", "A 932-2024")</f>
        <v/>
      </c>
    </row>
    <row r="148" ht="15" customHeight="1">
      <c r="A148" t="inlineStr">
        <is>
          <t>A 948-2024</t>
        </is>
      </c>
      <c r="B148" s="1" t="n">
        <v>45301</v>
      </c>
      <c r="C148" s="1" t="n">
        <v>45565</v>
      </c>
      <c r="D148" t="inlineStr">
        <is>
          <t>KALMAR LÄN</t>
        </is>
      </c>
      <c r="E148" t="inlineStr">
        <is>
          <t>VÄSTERVIK</t>
        </is>
      </c>
      <c r="G148" t="n">
        <v>4.5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Tjäder</t>
        </is>
      </c>
      <c r="S148">
        <f>HYPERLINK("https://klasma.github.io/Logging_0883/artfynd/A 948-2024 artfynd.xlsx", "A 948-2024")</f>
        <v/>
      </c>
      <c r="T148">
        <f>HYPERLINK("https://klasma.github.io/Logging_0883/kartor/A 948-2024 karta.png", "A 948-2024")</f>
        <v/>
      </c>
      <c r="V148">
        <f>HYPERLINK("https://klasma.github.io/Logging_0883/klagomål/A 948-2024 FSC-klagomål.docx", "A 948-2024")</f>
        <v/>
      </c>
      <c r="W148">
        <f>HYPERLINK("https://klasma.github.io/Logging_0883/klagomålsmail/A 948-2024 FSC-klagomål mail.docx", "A 948-2024")</f>
        <v/>
      </c>
      <c r="X148">
        <f>HYPERLINK("https://klasma.github.io/Logging_0883/tillsyn/A 948-2024 tillsynsbegäran.docx", "A 948-2024")</f>
        <v/>
      </c>
      <c r="Y148">
        <f>HYPERLINK("https://klasma.github.io/Logging_0883/tillsynsmail/A 948-2024 tillsynsbegäran mail.docx", "A 948-2024")</f>
        <v/>
      </c>
      <c r="Z148">
        <f>HYPERLINK("https://klasma.github.io/Logging_0883/fåglar/A 948-2024 prioriterade fågelarter.docx", "A 948-2024")</f>
        <v/>
      </c>
    </row>
    <row r="149" ht="15" customHeight="1">
      <c r="A149" t="inlineStr">
        <is>
          <t>A 911-2024</t>
        </is>
      </c>
      <c r="B149" s="1" t="n">
        <v>45301</v>
      </c>
      <c r="C149" s="1" t="n">
        <v>45565</v>
      </c>
      <c r="D149" t="inlineStr">
        <is>
          <t>KALMAR LÄN</t>
        </is>
      </c>
      <c r="E149" t="inlineStr">
        <is>
          <t>VÄSTERVIK</t>
        </is>
      </c>
      <c r="G149" t="n">
        <v>5.6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Talltita
Blodticka</t>
        </is>
      </c>
      <c r="S149">
        <f>HYPERLINK("https://klasma.github.io/Logging_0883/artfynd/A 911-2024 artfynd.xlsx", "A 911-2024")</f>
        <v/>
      </c>
      <c r="T149">
        <f>HYPERLINK("https://klasma.github.io/Logging_0883/kartor/A 911-2024 karta.png", "A 911-2024")</f>
        <v/>
      </c>
      <c r="V149">
        <f>HYPERLINK("https://klasma.github.io/Logging_0883/klagomål/A 911-2024 FSC-klagomål.docx", "A 911-2024")</f>
        <v/>
      </c>
      <c r="W149">
        <f>HYPERLINK("https://klasma.github.io/Logging_0883/klagomålsmail/A 911-2024 FSC-klagomål mail.docx", "A 911-2024")</f>
        <v/>
      </c>
      <c r="X149">
        <f>HYPERLINK("https://klasma.github.io/Logging_0883/tillsyn/A 911-2024 tillsynsbegäran.docx", "A 911-2024")</f>
        <v/>
      </c>
      <c r="Y149">
        <f>HYPERLINK("https://klasma.github.io/Logging_0883/tillsynsmail/A 911-2024 tillsynsbegäran mail.docx", "A 911-2024")</f>
        <v/>
      </c>
      <c r="Z149">
        <f>HYPERLINK("https://klasma.github.io/Logging_0883/fåglar/A 911-2024 prioriterade fågelarter.docx", "A 911-2024")</f>
        <v/>
      </c>
    </row>
    <row r="150" ht="15" customHeight="1">
      <c r="A150" t="inlineStr">
        <is>
          <t>A 941-2024</t>
        </is>
      </c>
      <c r="B150" s="1" t="n">
        <v>45301</v>
      </c>
      <c r="C150" s="1" t="n">
        <v>45565</v>
      </c>
      <c r="D150" t="inlineStr">
        <is>
          <t>KALMAR LÄN</t>
        </is>
      </c>
      <c r="E150" t="inlineStr">
        <is>
          <t>VÄSTERVIK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Svinrot</t>
        </is>
      </c>
      <c r="S150">
        <f>HYPERLINK("https://klasma.github.io/Logging_0883/artfynd/A 941-2024 artfynd.xlsx", "A 941-2024")</f>
        <v/>
      </c>
      <c r="T150">
        <f>HYPERLINK("https://klasma.github.io/Logging_0883/kartor/A 941-2024 karta.png", "A 941-2024")</f>
        <v/>
      </c>
      <c r="U150">
        <f>HYPERLINK("https://klasma.github.io/Logging_0883/knärot/A 941-2024 karta knärot.png", "A 941-2024")</f>
        <v/>
      </c>
      <c r="V150">
        <f>HYPERLINK("https://klasma.github.io/Logging_0883/klagomål/A 941-2024 FSC-klagomål.docx", "A 941-2024")</f>
        <v/>
      </c>
      <c r="W150">
        <f>HYPERLINK("https://klasma.github.io/Logging_0883/klagomålsmail/A 941-2024 FSC-klagomål mail.docx", "A 941-2024")</f>
        <v/>
      </c>
      <c r="X150">
        <f>HYPERLINK("https://klasma.github.io/Logging_0883/tillsyn/A 941-2024 tillsynsbegäran.docx", "A 941-2024")</f>
        <v/>
      </c>
      <c r="Y150">
        <f>HYPERLINK("https://klasma.github.io/Logging_0883/tillsynsmail/A 941-2024 tillsynsbegäran mail.docx", "A 941-2024")</f>
        <v/>
      </c>
    </row>
    <row r="151" ht="15" customHeight="1">
      <c r="A151" t="inlineStr">
        <is>
          <t>A 1373-2024</t>
        </is>
      </c>
      <c r="B151" s="1" t="n">
        <v>45303</v>
      </c>
      <c r="C151" s="1" t="n">
        <v>45565</v>
      </c>
      <c r="D151" t="inlineStr">
        <is>
          <t>KALMAR LÄN</t>
        </is>
      </c>
      <c r="E151" t="inlineStr">
        <is>
          <t>VÄSTERVIK</t>
        </is>
      </c>
      <c r="G151" t="n">
        <v>3.7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Talltita</t>
        </is>
      </c>
      <c r="S151">
        <f>HYPERLINK("https://klasma.github.io/Logging_0883/artfynd/A 1373-2024 artfynd.xlsx", "A 1373-2024")</f>
        <v/>
      </c>
      <c r="T151">
        <f>HYPERLINK("https://klasma.github.io/Logging_0883/kartor/A 1373-2024 karta.png", "A 1373-2024")</f>
        <v/>
      </c>
      <c r="U151">
        <f>HYPERLINK("https://klasma.github.io/Logging_0883/knärot/A 1373-2024 karta knärot.png", "A 1373-2024")</f>
        <v/>
      </c>
      <c r="V151">
        <f>HYPERLINK("https://klasma.github.io/Logging_0883/klagomål/A 1373-2024 FSC-klagomål.docx", "A 1373-2024")</f>
        <v/>
      </c>
      <c r="W151">
        <f>HYPERLINK("https://klasma.github.io/Logging_0883/klagomålsmail/A 1373-2024 FSC-klagomål mail.docx", "A 1373-2024")</f>
        <v/>
      </c>
      <c r="X151">
        <f>HYPERLINK("https://klasma.github.io/Logging_0883/tillsyn/A 1373-2024 tillsynsbegäran.docx", "A 1373-2024")</f>
        <v/>
      </c>
      <c r="Y151">
        <f>HYPERLINK("https://klasma.github.io/Logging_0883/tillsynsmail/A 1373-2024 tillsynsbegäran mail.docx", "A 1373-2024")</f>
        <v/>
      </c>
      <c r="Z151">
        <f>HYPERLINK("https://klasma.github.io/Logging_0883/fåglar/A 1373-2024 prioriterade fågelarter.docx", "A 1373-2024")</f>
        <v/>
      </c>
    </row>
    <row r="152" ht="15" customHeight="1">
      <c r="A152" t="inlineStr">
        <is>
          <t>A 2126-2024</t>
        </is>
      </c>
      <c r="B152" s="1" t="n">
        <v>45309</v>
      </c>
      <c r="C152" s="1" t="n">
        <v>45565</v>
      </c>
      <c r="D152" t="inlineStr">
        <is>
          <t>KALMAR LÄN</t>
        </is>
      </c>
      <c r="E152" t="inlineStr">
        <is>
          <t>VÄSTERVIK</t>
        </is>
      </c>
      <c r="G152" t="n">
        <v>3.8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Talltita</t>
        </is>
      </c>
      <c r="S152">
        <f>HYPERLINK("https://klasma.github.io/Logging_0883/artfynd/A 2126-2024 artfynd.xlsx", "A 2126-2024")</f>
        <v/>
      </c>
      <c r="T152">
        <f>HYPERLINK("https://klasma.github.io/Logging_0883/kartor/A 2126-2024 karta.png", "A 2126-2024")</f>
        <v/>
      </c>
      <c r="U152">
        <f>HYPERLINK("https://klasma.github.io/Logging_0883/knärot/A 2126-2024 karta knärot.png", "A 2126-2024")</f>
        <v/>
      </c>
      <c r="V152">
        <f>HYPERLINK("https://klasma.github.io/Logging_0883/klagomål/A 2126-2024 FSC-klagomål.docx", "A 2126-2024")</f>
        <v/>
      </c>
      <c r="W152">
        <f>HYPERLINK("https://klasma.github.io/Logging_0883/klagomålsmail/A 2126-2024 FSC-klagomål mail.docx", "A 2126-2024")</f>
        <v/>
      </c>
      <c r="X152">
        <f>HYPERLINK("https://klasma.github.io/Logging_0883/tillsyn/A 2126-2024 tillsynsbegäran.docx", "A 2126-2024")</f>
        <v/>
      </c>
      <c r="Y152">
        <f>HYPERLINK("https://klasma.github.io/Logging_0883/tillsynsmail/A 2126-2024 tillsynsbegäran mail.docx", "A 2126-2024")</f>
        <v/>
      </c>
      <c r="Z152">
        <f>HYPERLINK("https://klasma.github.io/Logging_0883/fåglar/A 2126-2024 prioriterade fågelarter.docx", "A 2126-2024")</f>
        <v/>
      </c>
    </row>
    <row r="153" ht="15" customHeight="1">
      <c r="A153" t="inlineStr">
        <is>
          <t>A 2809-2024</t>
        </is>
      </c>
      <c r="B153" s="1" t="n">
        <v>45314</v>
      </c>
      <c r="C153" s="1" t="n">
        <v>45565</v>
      </c>
      <c r="D153" t="inlineStr">
        <is>
          <t>KALMAR LÄN</t>
        </is>
      </c>
      <c r="E153" t="inlineStr">
        <is>
          <t>VÄSTERVIK</t>
        </is>
      </c>
      <c r="G153" t="n">
        <v>4.7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Tjäder</t>
        </is>
      </c>
      <c r="S153">
        <f>HYPERLINK("https://klasma.github.io/Logging_0883/artfynd/A 2809-2024 artfynd.xlsx", "A 2809-2024")</f>
        <v/>
      </c>
      <c r="T153">
        <f>HYPERLINK("https://klasma.github.io/Logging_0883/kartor/A 2809-2024 karta.png", "A 2809-2024")</f>
        <v/>
      </c>
      <c r="U153">
        <f>HYPERLINK("https://klasma.github.io/Logging_0883/knärot/A 2809-2024 karta knärot.png", "A 2809-2024")</f>
        <v/>
      </c>
      <c r="V153">
        <f>HYPERLINK("https://klasma.github.io/Logging_0883/klagomål/A 2809-2024 FSC-klagomål.docx", "A 2809-2024")</f>
        <v/>
      </c>
      <c r="W153">
        <f>HYPERLINK("https://klasma.github.io/Logging_0883/klagomålsmail/A 2809-2024 FSC-klagomål mail.docx", "A 2809-2024")</f>
        <v/>
      </c>
      <c r="X153">
        <f>HYPERLINK("https://klasma.github.io/Logging_0883/tillsyn/A 2809-2024 tillsynsbegäran.docx", "A 2809-2024")</f>
        <v/>
      </c>
      <c r="Y153">
        <f>HYPERLINK("https://klasma.github.io/Logging_0883/tillsynsmail/A 2809-2024 tillsynsbegäran mail.docx", "A 2809-2024")</f>
        <v/>
      </c>
      <c r="Z153">
        <f>HYPERLINK("https://klasma.github.io/Logging_0883/fåglar/A 2809-2024 prioriterade fågelarter.docx", "A 2809-2024")</f>
        <v/>
      </c>
    </row>
    <row r="154" ht="15" customHeight="1">
      <c r="A154" t="inlineStr">
        <is>
          <t>A 3264-2024</t>
        </is>
      </c>
      <c r="B154" s="1" t="n">
        <v>45317</v>
      </c>
      <c r="C154" s="1" t="n">
        <v>45565</v>
      </c>
      <c r="D154" t="inlineStr">
        <is>
          <t>KALMAR LÄN</t>
        </is>
      </c>
      <c r="E154" t="inlineStr">
        <is>
          <t>VÄSTERVIK</t>
        </is>
      </c>
      <c r="G154" t="n">
        <v>6.5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Blåmossa</t>
        </is>
      </c>
      <c r="S154">
        <f>HYPERLINK("https://klasma.github.io/Logging_0883/artfynd/A 3264-2024 artfynd.xlsx", "A 3264-2024")</f>
        <v/>
      </c>
      <c r="T154">
        <f>HYPERLINK("https://klasma.github.io/Logging_0883/kartor/A 3264-2024 karta.png", "A 3264-2024")</f>
        <v/>
      </c>
      <c r="V154">
        <f>HYPERLINK("https://klasma.github.io/Logging_0883/klagomål/A 3264-2024 FSC-klagomål.docx", "A 3264-2024")</f>
        <v/>
      </c>
      <c r="W154">
        <f>HYPERLINK("https://klasma.github.io/Logging_0883/klagomålsmail/A 3264-2024 FSC-klagomål mail.docx", "A 3264-2024")</f>
        <v/>
      </c>
      <c r="X154">
        <f>HYPERLINK("https://klasma.github.io/Logging_0883/tillsyn/A 3264-2024 tillsynsbegäran.docx", "A 3264-2024")</f>
        <v/>
      </c>
      <c r="Y154">
        <f>HYPERLINK("https://klasma.github.io/Logging_0883/tillsynsmail/A 3264-2024 tillsynsbegäran mail.docx", "A 3264-2024")</f>
        <v/>
      </c>
      <c r="Z154">
        <f>HYPERLINK("https://klasma.github.io/Logging_0883/fåglar/A 3264-2024 prioriterade fågelarter.docx", "A 3264-2024")</f>
        <v/>
      </c>
    </row>
    <row r="155" ht="15" customHeight="1">
      <c r="A155" t="inlineStr">
        <is>
          <t>A 3658-2024</t>
        </is>
      </c>
      <c r="B155" s="1" t="n">
        <v>45321</v>
      </c>
      <c r="C155" s="1" t="n">
        <v>45565</v>
      </c>
      <c r="D155" t="inlineStr">
        <is>
          <t>KALMAR LÄN</t>
        </is>
      </c>
      <c r="E155" t="inlineStr">
        <is>
          <t>VÄSTERVIK</t>
        </is>
      </c>
      <c r="G155" t="n">
        <v>2.6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3658-2024 artfynd.xlsx", "A 3658-2024")</f>
        <v/>
      </c>
      <c r="T155">
        <f>HYPERLINK("https://klasma.github.io/Logging_0883/kartor/A 3658-2024 karta.png", "A 3658-2024")</f>
        <v/>
      </c>
      <c r="U155">
        <f>HYPERLINK("https://klasma.github.io/Logging_0883/knärot/A 3658-2024 karta knärot.png", "A 3658-2024")</f>
        <v/>
      </c>
      <c r="V155">
        <f>HYPERLINK("https://klasma.github.io/Logging_0883/klagomål/A 3658-2024 FSC-klagomål.docx", "A 3658-2024")</f>
        <v/>
      </c>
      <c r="W155">
        <f>HYPERLINK("https://klasma.github.io/Logging_0883/klagomålsmail/A 3658-2024 FSC-klagomål mail.docx", "A 3658-2024")</f>
        <v/>
      </c>
      <c r="X155">
        <f>HYPERLINK("https://klasma.github.io/Logging_0883/tillsyn/A 3658-2024 tillsynsbegäran.docx", "A 3658-2024")</f>
        <v/>
      </c>
      <c r="Y155">
        <f>HYPERLINK("https://klasma.github.io/Logging_0883/tillsynsmail/A 3658-2024 tillsynsbegäran mail.docx", "A 3658-2024")</f>
        <v/>
      </c>
    </row>
    <row r="156" ht="15" customHeight="1">
      <c r="A156" t="inlineStr">
        <is>
          <t>A 8618-2024</t>
        </is>
      </c>
      <c r="B156" s="1" t="n">
        <v>45355</v>
      </c>
      <c r="C156" s="1" t="n">
        <v>45565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8618-2024 artfynd.xlsx", "A 8618-2024")</f>
        <v/>
      </c>
      <c r="T156">
        <f>HYPERLINK("https://klasma.github.io/Logging_0883/kartor/A 8618-2024 karta.png", "A 8618-2024")</f>
        <v/>
      </c>
      <c r="U156">
        <f>HYPERLINK("https://klasma.github.io/Logging_0883/knärot/A 8618-2024 karta knärot.png", "A 8618-2024")</f>
        <v/>
      </c>
      <c r="V156">
        <f>HYPERLINK("https://klasma.github.io/Logging_0883/klagomål/A 8618-2024 FSC-klagomål.docx", "A 8618-2024")</f>
        <v/>
      </c>
      <c r="W156">
        <f>HYPERLINK("https://klasma.github.io/Logging_0883/klagomålsmail/A 8618-2024 FSC-klagomål mail.docx", "A 8618-2024")</f>
        <v/>
      </c>
      <c r="X156">
        <f>HYPERLINK("https://klasma.github.io/Logging_0883/tillsyn/A 8618-2024 tillsynsbegäran.docx", "A 8618-2024")</f>
        <v/>
      </c>
      <c r="Y156">
        <f>HYPERLINK("https://klasma.github.io/Logging_0883/tillsynsmail/A 8618-2024 tillsynsbegäran mail.docx", "A 8618-2024")</f>
        <v/>
      </c>
    </row>
    <row r="157" ht="15" customHeight="1">
      <c r="A157" t="inlineStr">
        <is>
          <t>A 9770-2024</t>
        </is>
      </c>
      <c r="B157" s="1" t="n">
        <v>45362</v>
      </c>
      <c r="C157" s="1" t="n">
        <v>45565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Talltita
Tjäder</t>
        </is>
      </c>
      <c r="S157">
        <f>HYPERLINK("https://klasma.github.io/Logging_0883/artfynd/A 9770-2024 artfynd.xlsx", "A 9770-2024")</f>
        <v/>
      </c>
      <c r="T157">
        <f>HYPERLINK("https://klasma.github.io/Logging_0883/kartor/A 9770-2024 karta.png", "A 9770-2024")</f>
        <v/>
      </c>
      <c r="V157">
        <f>HYPERLINK("https://klasma.github.io/Logging_0883/klagomål/A 9770-2024 FSC-klagomål.docx", "A 9770-2024")</f>
        <v/>
      </c>
      <c r="W157">
        <f>HYPERLINK("https://klasma.github.io/Logging_0883/klagomålsmail/A 9770-2024 FSC-klagomål mail.docx", "A 9770-2024")</f>
        <v/>
      </c>
      <c r="X157">
        <f>HYPERLINK("https://klasma.github.io/Logging_0883/tillsyn/A 9770-2024 tillsynsbegäran.docx", "A 9770-2024")</f>
        <v/>
      </c>
      <c r="Y157">
        <f>HYPERLINK("https://klasma.github.io/Logging_0883/tillsynsmail/A 9770-2024 tillsynsbegäran mail.docx", "A 9770-2024")</f>
        <v/>
      </c>
      <c r="Z157">
        <f>HYPERLINK("https://klasma.github.io/Logging_0883/fåglar/A 9770-2024 prioriterade fågelarter.docx", "A 9770-2024")</f>
        <v/>
      </c>
    </row>
    <row r="158" ht="15" customHeight="1">
      <c r="A158" t="inlineStr">
        <is>
          <t>A 11849-2024</t>
        </is>
      </c>
      <c r="B158" s="1" t="n">
        <v>45376</v>
      </c>
      <c r="C158" s="1" t="n">
        <v>45565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5.3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Mattlummer
Revlummer</t>
        </is>
      </c>
      <c r="S158">
        <f>HYPERLINK("https://klasma.github.io/Logging_0883/artfynd/A 11849-2024 artfynd.xlsx", "A 11849-2024")</f>
        <v/>
      </c>
      <c r="T158">
        <f>HYPERLINK("https://klasma.github.io/Logging_0883/kartor/A 11849-2024 karta.png", "A 11849-2024")</f>
        <v/>
      </c>
      <c r="V158">
        <f>HYPERLINK("https://klasma.github.io/Logging_0883/klagomål/A 11849-2024 FSC-klagomål.docx", "A 11849-2024")</f>
        <v/>
      </c>
      <c r="W158">
        <f>HYPERLINK("https://klasma.github.io/Logging_0883/klagomålsmail/A 11849-2024 FSC-klagomål mail.docx", "A 11849-2024")</f>
        <v/>
      </c>
      <c r="X158">
        <f>HYPERLINK("https://klasma.github.io/Logging_0883/tillsyn/A 11849-2024 tillsynsbegäran.docx", "A 11849-2024")</f>
        <v/>
      </c>
      <c r="Y158">
        <f>HYPERLINK("https://klasma.github.io/Logging_0883/tillsynsmail/A 11849-2024 tillsynsbegäran mail.docx", "A 11849-2024")</f>
        <v/>
      </c>
    </row>
    <row r="159" ht="15" customHeight="1">
      <c r="A159" t="inlineStr">
        <is>
          <t>A 12212-2024</t>
        </is>
      </c>
      <c r="B159" s="1" t="n">
        <v>45378</v>
      </c>
      <c r="C159" s="1" t="n">
        <v>45565</v>
      </c>
      <c r="D159" t="inlineStr">
        <is>
          <t>KALMAR LÄN</t>
        </is>
      </c>
      <c r="E159" t="inlineStr">
        <is>
          <t>VÄSTERVIK</t>
        </is>
      </c>
      <c r="G159" t="n">
        <v>0.8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Spillkråka
Talltita</t>
        </is>
      </c>
      <c r="S159">
        <f>HYPERLINK("https://klasma.github.io/Logging_0883/artfynd/A 12212-2024 artfynd.xlsx", "A 12212-2024")</f>
        <v/>
      </c>
      <c r="T159">
        <f>HYPERLINK("https://klasma.github.io/Logging_0883/kartor/A 12212-2024 karta.png", "A 12212-2024")</f>
        <v/>
      </c>
      <c r="V159">
        <f>HYPERLINK("https://klasma.github.io/Logging_0883/klagomål/A 12212-2024 FSC-klagomål.docx", "A 12212-2024")</f>
        <v/>
      </c>
      <c r="W159">
        <f>HYPERLINK("https://klasma.github.io/Logging_0883/klagomålsmail/A 12212-2024 FSC-klagomål mail.docx", "A 12212-2024")</f>
        <v/>
      </c>
      <c r="X159">
        <f>HYPERLINK("https://klasma.github.io/Logging_0883/tillsyn/A 12212-2024 tillsynsbegäran.docx", "A 12212-2024")</f>
        <v/>
      </c>
      <c r="Y159">
        <f>HYPERLINK("https://klasma.github.io/Logging_0883/tillsynsmail/A 12212-2024 tillsynsbegäran mail.docx", "A 12212-2024")</f>
        <v/>
      </c>
      <c r="Z159">
        <f>HYPERLINK("https://klasma.github.io/Logging_0883/fåglar/A 12212-2024 prioriterade fågelarter.docx", "A 12212-2024")</f>
        <v/>
      </c>
    </row>
    <row r="160" ht="15" customHeight="1">
      <c r="A160" t="inlineStr">
        <is>
          <t>A 12598-2024</t>
        </is>
      </c>
      <c r="B160" s="1" t="n">
        <v>45380</v>
      </c>
      <c r="C160" s="1" t="n">
        <v>45565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12598-2024 artfynd.xlsx", "A 12598-2024")</f>
        <v/>
      </c>
      <c r="T160">
        <f>HYPERLINK("https://klasma.github.io/Logging_0883/kartor/A 12598-2024 karta.png", "A 12598-2024")</f>
        <v/>
      </c>
      <c r="U160">
        <f>HYPERLINK("https://klasma.github.io/Logging_0883/knärot/A 12598-2024 karta knärot.png", "A 12598-2024")</f>
        <v/>
      </c>
      <c r="V160">
        <f>HYPERLINK("https://klasma.github.io/Logging_0883/klagomål/A 12598-2024 FSC-klagomål.docx", "A 12598-2024")</f>
        <v/>
      </c>
      <c r="W160">
        <f>HYPERLINK("https://klasma.github.io/Logging_0883/klagomålsmail/A 12598-2024 FSC-klagomål mail.docx", "A 12598-2024")</f>
        <v/>
      </c>
      <c r="X160">
        <f>HYPERLINK("https://klasma.github.io/Logging_0883/tillsyn/A 12598-2024 tillsynsbegäran.docx", "A 12598-2024")</f>
        <v/>
      </c>
      <c r="Y160">
        <f>HYPERLINK("https://klasma.github.io/Logging_0883/tillsynsmail/A 12598-2024 tillsynsbegäran mail.docx", "A 12598-2024")</f>
        <v/>
      </c>
    </row>
    <row r="161" ht="15" customHeight="1">
      <c r="A161" t="inlineStr">
        <is>
          <t>A 15534-2024</t>
        </is>
      </c>
      <c r="B161" s="1" t="n">
        <v>45401</v>
      </c>
      <c r="C161" s="1" t="n">
        <v>45565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5.1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15534-2024 artfynd.xlsx", "A 15534-2024")</f>
        <v/>
      </c>
      <c r="T161">
        <f>HYPERLINK("https://klasma.github.io/Logging_0883/kartor/A 15534-2024 karta.png", "A 15534-2024")</f>
        <v/>
      </c>
      <c r="U161">
        <f>HYPERLINK("https://klasma.github.io/Logging_0883/knärot/A 15534-2024 karta knärot.png", "A 15534-2024")</f>
        <v/>
      </c>
      <c r="V161">
        <f>HYPERLINK("https://klasma.github.io/Logging_0883/klagomål/A 15534-2024 FSC-klagomål.docx", "A 15534-2024")</f>
        <v/>
      </c>
      <c r="W161">
        <f>HYPERLINK("https://klasma.github.io/Logging_0883/klagomålsmail/A 15534-2024 FSC-klagomål mail.docx", "A 15534-2024")</f>
        <v/>
      </c>
      <c r="X161">
        <f>HYPERLINK("https://klasma.github.io/Logging_0883/tillsyn/A 15534-2024 tillsynsbegäran.docx", "A 15534-2024")</f>
        <v/>
      </c>
      <c r="Y161">
        <f>HYPERLINK("https://klasma.github.io/Logging_0883/tillsynsmail/A 15534-2024 tillsynsbegäran mail.docx", "A 15534-2024")</f>
        <v/>
      </c>
    </row>
    <row r="162" ht="15" customHeight="1">
      <c r="A162" t="inlineStr">
        <is>
          <t>A 16419-2024</t>
        </is>
      </c>
      <c r="B162" s="1" t="n">
        <v>45407</v>
      </c>
      <c r="C162" s="1" t="n">
        <v>45565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HYPERLINK("https://klasma.github.io/Logging_0883/artfynd/A 16419-2024 artfynd.xlsx", "A 16419-2024")</f>
        <v/>
      </c>
      <c r="T162">
        <f>HYPERLINK("https://klasma.github.io/Logging_0883/kartor/A 16419-2024 karta.png", "A 16419-2024")</f>
        <v/>
      </c>
      <c r="U162">
        <f>HYPERLINK("https://klasma.github.io/Logging_0883/knärot/A 16419-2024 karta knärot.png", "A 16419-2024")</f>
        <v/>
      </c>
      <c r="V162">
        <f>HYPERLINK("https://klasma.github.io/Logging_0883/klagomål/A 16419-2024 FSC-klagomål.docx", "A 16419-2024")</f>
        <v/>
      </c>
      <c r="W162">
        <f>HYPERLINK("https://klasma.github.io/Logging_0883/klagomålsmail/A 16419-2024 FSC-klagomål mail.docx", "A 16419-2024")</f>
        <v/>
      </c>
      <c r="X162">
        <f>HYPERLINK("https://klasma.github.io/Logging_0883/tillsyn/A 16419-2024 tillsynsbegäran.docx", "A 16419-2024")</f>
        <v/>
      </c>
      <c r="Y162">
        <f>HYPERLINK("https://klasma.github.io/Logging_0883/tillsynsmail/A 16419-2024 tillsynsbegäran mail.docx", "A 16419-2024")</f>
        <v/>
      </c>
      <c r="Z162">
        <f>HYPERLINK("https://klasma.github.io/Logging_0883/fåglar/A 16419-2024 prioriterade fågelarter.docx", "A 16419-2024")</f>
        <v/>
      </c>
    </row>
    <row r="163" ht="15" customHeight="1">
      <c r="A163" t="inlineStr">
        <is>
          <t>A 17438-2024</t>
        </is>
      </c>
      <c r="B163" s="1" t="n">
        <v>45415</v>
      </c>
      <c r="C163" s="1" t="n">
        <v>45565</v>
      </c>
      <c r="D163" t="inlineStr">
        <is>
          <t>KALMAR LÄN</t>
        </is>
      </c>
      <c r="E163" t="inlineStr">
        <is>
          <t>VÄSTERVIK</t>
        </is>
      </c>
      <c r="G163" t="n">
        <v>3.8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17438-2024 artfynd.xlsx", "A 17438-2024")</f>
        <v/>
      </c>
      <c r="T163">
        <f>HYPERLINK("https://klasma.github.io/Logging_0883/kartor/A 17438-2024 karta.png", "A 17438-2024")</f>
        <v/>
      </c>
      <c r="U163">
        <f>HYPERLINK("https://klasma.github.io/Logging_0883/knärot/A 17438-2024 karta knärot.png", "A 17438-2024")</f>
        <v/>
      </c>
      <c r="V163">
        <f>HYPERLINK("https://klasma.github.io/Logging_0883/klagomål/A 17438-2024 FSC-klagomål.docx", "A 17438-2024")</f>
        <v/>
      </c>
      <c r="W163">
        <f>HYPERLINK("https://klasma.github.io/Logging_0883/klagomålsmail/A 17438-2024 FSC-klagomål mail.docx", "A 17438-2024")</f>
        <v/>
      </c>
      <c r="X163">
        <f>HYPERLINK("https://klasma.github.io/Logging_0883/tillsyn/A 17438-2024 tillsynsbegäran.docx", "A 17438-2024")</f>
        <v/>
      </c>
      <c r="Y163">
        <f>HYPERLINK("https://klasma.github.io/Logging_0883/tillsynsmail/A 17438-2024 tillsynsbegäran mail.docx", "A 17438-2024")</f>
        <v/>
      </c>
      <c r="Z163">
        <f>HYPERLINK("https://klasma.github.io/Logging_0883/fåglar/A 17438-2024 prioriterade fågelarter.docx", "A 17438-2024")</f>
        <v/>
      </c>
    </row>
    <row r="164" ht="15" customHeight="1">
      <c r="A164" t="inlineStr">
        <is>
          <t>A 23220-2024</t>
        </is>
      </c>
      <c r="B164" s="1" t="n">
        <v>45452</v>
      </c>
      <c r="C164" s="1" t="n">
        <v>45565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Grönpyrola</t>
        </is>
      </c>
      <c r="S164">
        <f>HYPERLINK("https://klasma.github.io/Logging_0883/artfynd/A 23220-2024 artfynd.xlsx", "A 23220-2024")</f>
        <v/>
      </c>
      <c r="T164">
        <f>HYPERLINK("https://klasma.github.io/Logging_0883/kartor/A 23220-2024 karta.png", "A 23220-2024")</f>
        <v/>
      </c>
      <c r="V164">
        <f>HYPERLINK("https://klasma.github.io/Logging_0883/klagomål/A 23220-2024 FSC-klagomål.docx", "A 23220-2024")</f>
        <v/>
      </c>
      <c r="W164">
        <f>HYPERLINK("https://klasma.github.io/Logging_0883/klagomålsmail/A 23220-2024 FSC-klagomål mail.docx", "A 23220-2024")</f>
        <v/>
      </c>
      <c r="X164">
        <f>HYPERLINK("https://klasma.github.io/Logging_0883/tillsyn/A 23220-2024 tillsynsbegäran.docx", "A 23220-2024")</f>
        <v/>
      </c>
      <c r="Y164">
        <f>HYPERLINK("https://klasma.github.io/Logging_0883/tillsynsmail/A 23220-2024 tillsynsbegäran mail.docx", "A 23220-2024")</f>
        <v/>
      </c>
    </row>
    <row r="165" ht="15" customHeight="1">
      <c r="A165" t="inlineStr">
        <is>
          <t>A 23791-2024</t>
        </is>
      </c>
      <c r="B165" s="1" t="n">
        <v>45455</v>
      </c>
      <c r="C165" s="1" t="n">
        <v>45565</v>
      </c>
      <c r="D165" t="inlineStr">
        <is>
          <t>KALMAR LÄN</t>
        </is>
      </c>
      <c r="E165" t="inlineStr">
        <is>
          <t>VÄSTERVIK</t>
        </is>
      </c>
      <c r="G165" t="n">
        <v>1.1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Tjockfotad fingersvamp</t>
        </is>
      </c>
      <c r="S165">
        <f>HYPERLINK("https://klasma.github.io/Logging_0883/artfynd/A 23791-2024 artfynd.xlsx", "A 23791-2024")</f>
        <v/>
      </c>
      <c r="T165">
        <f>HYPERLINK("https://klasma.github.io/Logging_0883/kartor/A 23791-2024 karta.png", "A 23791-2024")</f>
        <v/>
      </c>
      <c r="U165">
        <f>HYPERLINK("https://klasma.github.io/Logging_0883/knärot/A 23791-2024 karta knärot.png", "A 23791-2024")</f>
        <v/>
      </c>
      <c r="V165">
        <f>HYPERLINK("https://klasma.github.io/Logging_0883/klagomål/A 23791-2024 FSC-klagomål.docx", "A 23791-2024")</f>
        <v/>
      </c>
      <c r="W165">
        <f>HYPERLINK("https://klasma.github.io/Logging_0883/klagomålsmail/A 23791-2024 FSC-klagomål mail.docx", "A 23791-2024")</f>
        <v/>
      </c>
      <c r="X165">
        <f>HYPERLINK("https://klasma.github.io/Logging_0883/tillsyn/A 23791-2024 tillsynsbegäran.docx", "A 23791-2024")</f>
        <v/>
      </c>
      <c r="Y165">
        <f>HYPERLINK("https://klasma.github.io/Logging_0883/tillsynsmail/A 23791-2024 tillsynsbegäran mail.docx", "A 23791-2024")</f>
        <v/>
      </c>
    </row>
    <row r="166" ht="15" customHeight="1">
      <c r="A166" t="inlineStr">
        <is>
          <t>A 26992-2024</t>
        </is>
      </c>
      <c r="B166" s="1" t="n">
        <v>45471</v>
      </c>
      <c r="C166" s="1" t="n">
        <v>45565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4.6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Mindre hackspett
Talltita</t>
        </is>
      </c>
      <c r="S166">
        <f>HYPERLINK("https://klasma.github.io/Logging_0883/artfynd/A 26992-2024 artfynd.xlsx", "A 26992-2024")</f>
        <v/>
      </c>
      <c r="T166">
        <f>HYPERLINK("https://klasma.github.io/Logging_0883/kartor/A 26992-2024 karta.png", "A 26992-2024")</f>
        <v/>
      </c>
      <c r="V166">
        <f>HYPERLINK("https://klasma.github.io/Logging_0883/klagomål/A 26992-2024 FSC-klagomål.docx", "A 26992-2024")</f>
        <v/>
      </c>
      <c r="W166">
        <f>HYPERLINK("https://klasma.github.io/Logging_0883/klagomålsmail/A 26992-2024 FSC-klagomål mail.docx", "A 26992-2024")</f>
        <v/>
      </c>
      <c r="X166">
        <f>HYPERLINK("https://klasma.github.io/Logging_0883/tillsyn/A 26992-2024 tillsynsbegäran.docx", "A 26992-2024")</f>
        <v/>
      </c>
      <c r="Y166">
        <f>HYPERLINK("https://klasma.github.io/Logging_0883/tillsynsmail/A 26992-2024 tillsynsbegäran mail.docx", "A 26992-2024")</f>
        <v/>
      </c>
      <c r="Z166">
        <f>HYPERLINK("https://klasma.github.io/Logging_0883/fåglar/A 26992-2024 prioriterade fågelarter.docx", "A 26992-2024")</f>
        <v/>
      </c>
    </row>
    <row r="167" ht="15" customHeight="1">
      <c r="A167" t="inlineStr">
        <is>
          <t>A 28401-2024</t>
        </is>
      </c>
      <c r="B167" s="1" t="n">
        <v>45477</v>
      </c>
      <c r="C167" s="1" t="n">
        <v>45565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2.4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Talltita
Revlummer</t>
        </is>
      </c>
      <c r="S167">
        <f>HYPERLINK("https://klasma.github.io/Logging_0883/artfynd/A 28401-2024 artfynd.xlsx", "A 28401-2024")</f>
        <v/>
      </c>
      <c r="T167">
        <f>HYPERLINK("https://klasma.github.io/Logging_0883/kartor/A 28401-2024 karta.png", "A 28401-2024")</f>
        <v/>
      </c>
      <c r="V167">
        <f>HYPERLINK("https://klasma.github.io/Logging_0883/klagomål/A 28401-2024 FSC-klagomål.docx", "A 28401-2024")</f>
        <v/>
      </c>
      <c r="W167">
        <f>HYPERLINK("https://klasma.github.io/Logging_0883/klagomålsmail/A 28401-2024 FSC-klagomål mail.docx", "A 28401-2024")</f>
        <v/>
      </c>
      <c r="X167">
        <f>HYPERLINK("https://klasma.github.io/Logging_0883/tillsyn/A 28401-2024 tillsynsbegäran.docx", "A 28401-2024")</f>
        <v/>
      </c>
      <c r="Y167">
        <f>HYPERLINK("https://klasma.github.io/Logging_0883/tillsynsmail/A 28401-2024 tillsynsbegäran mail.docx", "A 28401-2024")</f>
        <v/>
      </c>
      <c r="Z167">
        <f>HYPERLINK("https://klasma.github.io/Logging_0883/fåglar/A 28401-2024 prioriterade fågelarter.docx", "A 28401-2024")</f>
        <v/>
      </c>
    </row>
    <row r="168" ht="15" customHeight="1">
      <c r="A168" t="inlineStr">
        <is>
          <t>A 31435-2024</t>
        </is>
      </c>
      <c r="B168" s="1" t="n">
        <v>45505</v>
      </c>
      <c r="C168" s="1" t="n">
        <v>45565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Oxtungssvamp
Blomkålssvamp</t>
        </is>
      </c>
      <c r="S168">
        <f>HYPERLINK("https://klasma.github.io/Logging_0883/artfynd/A 31435-2024 artfynd.xlsx", "A 31435-2024")</f>
        <v/>
      </c>
      <c r="T168">
        <f>HYPERLINK("https://klasma.github.io/Logging_0883/kartor/A 31435-2024 karta.png", "A 31435-2024")</f>
        <v/>
      </c>
      <c r="V168">
        <f>HYPERLINK("https://klasma.github.io/Logging_0883/klagomål/A 31435-2024 FSC-klagomål.docx", "A 31435-2024")</f>
        <v/>
      </c>
      <c r="W168">
        <f>HYPERLINK("https://klasma.github.io/Logging_0883/klagomålsmail/A 31435-2024 FSC-klagomål mail.docx", "A 31435-2024")</f>
        <v/>
      </c>
      <c r="X168">
        <f>HYPERLINK("https://klasma.github.io/Logging_0883/tillsyn/A 31435-2024 tillsynsbegäran.docx", "A 31435-2024")</f>
        <v/>
      </c>
      <c r="Y168">
        <f>HYPERLINK("https://klasma.github.io/Logging_0883/tillsynsmail/A 31435-2024 tillsynsbegäran mail.docx", "A 31435-2024")</f>
        <v/>
      </c>
    </row>
    <row r="169" ht="15" customHeight="1">
      <c r="A169" t="inlineStr">
        <is>
          <t>A 34834-2024</t>
        </is>
      </c>
      <c r="B169" s="1" t="n">
        <v>45526</v>
      </c>
      <c r="C169" s="1" t="n">
        <v>45565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4.2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Brunag
Tvåblad</t>
        </is>
      </c>
      <c r="S169">
        <f>HYPERLINK("https://klasma.github.io/Logging_0883/artfynd/A 34834-2024 artfynd.xlsx", "A 34834-2024")</f>
        <v/>
      </c>
      <c r="T169">
        <f>HYPERLINK("https://klasma.github.io/Logging_0883/kartor/A 34834-2024 karta.png", "A 34834-2024")</f>
        <v/>
      </c>
      <c r="V169">
        <f>HYPERLINK("https://klasma.github.io/Logging_0883/klagomål/A 34834-2024 FSC-klagomål.docx", "A 34834-2024")</f>
        <v/>
      </c>
      <c r="W169">
        <f>HYPERLINK("https://klasma.github.io/Logging_0883/klagomålsmail/A 34834-2024 FSC-klagomål mail.docx", "A 34834-2024")</f>
        <v/>
      </c>
      <c r="X169">
        <f>HYPERLINK("https://klasma.github.io/Logging_0883/tillsyn/A 34834-2024 tillsynsbegäran.docx", "A 34834-2024")</f>
        <v/>
      </c>
      <c r="Y169">
        <f>HYPERLINK("https://klasma.github.io/Logging_0883/tillsynsmail/A 34834-2024 tillsynsbegäran mail.docx", "A 34834-2024")</f>
        <v/>
      </c>
    </row>
    <row r="170" ht="15" customHeight="1">
      <c r="A170" t="inlineStr">
        <is>
          <t>A 35236-2024</t>
        </is>
      </c>
      <c r="B170" s="1" t="n">
        <v>45530</v>
      </c>
      <c r="C170" s="1" t="n">
        <v>45565</v>
      </c>
      <c r="D170" t="inlineStr">
        <is>
          <t>KALMAR LÄN</t>
        </is>
      </c>
      <c r="E170" t="inlineStr">
        <is>
          <t>VÄSTERVIK</t>
        </is>
      </c>
      <c r="G170" t="n">
        <v>0.9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Blåmossa</t>
        </is>
      </c>
      <c r="S170">
        <f>HYPERLINK("https://klasma.github.io/Logging_0883/artfynd/A 35236-2024 artfynd.xlsx", "A 35236-2024")</f>
        <v/>
      </c>
      <c r="T170">
        <f>HYPERLINK("https://klasma.github.io/Logging_0883/kartor/A 35236-2024 karta.png", "A 35236-2024")</f>
        <v/>
      </c>
      <c r="U170">
        <f>HYPERLINK("https://klasma.github.io/Logging_0883/knärot/A 35236-2024 karta knärot.png", "A 35236-2024")</f>
        <v/>
      </c>
      <c r="V170">
        <f>HYPERLINK("https://klasma.github.io/Logging_0883/klagomål/A 35236-2024 FSC-klagomål.docx", "A 35236-2024")</f>
        <v/>
      </c>
      <c r="W170">
        <f>HYPERLINK("https://klasma.github.io/Logging_0883/klagomålsmail/A 35236-2024 FSC-klagomål mail.docx", "A 35236-2024")</f>
        <v/>
      </c>
      <c r="X170">
        <f>HYPERLINK("https://klasma.github.io/Logging_0883/tillsyn/A 35236-2024 tillsynsbegäran.docx", "A 35236-2024")</f>
        <v/>
      </c>
      <c r="Y170">
        <f>HYPERLINK("https://klasma.github.io/Logging_0883/tillsynsmail/A 35236-2024 tillsynsbegäran mail.docx", "A 35236-2024")</f>
        <v/>
      </c>
    </row>
    <row r="171" ht="15" customHeight="1">
      <c r="A171" t="inlineStr">
        <is>
          <t>A 35930-2024</t>
        </is>
      </c>
      <c r="B171" s="1" t="n">
        <v>45533</v>
      </c>
      <c r="C171" s="1" t="n">
        <v>45565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Talltita</t>
        </is>
      </c>
      <c r="S171">
        <f>HYPERLINK("https://klasma.github.io/Logging_0883/artfynd/A 35930-2024 artfynd.xlsx", "A 35930-2024")</f>
        <v/>
      </c>
      <c r="T171">
        <f>HYPERLINK("https://klasma.github.io/Logging_0883/kartor/A 35930-2024 karta.png", "A 35930-2024")</f>
        <v/>
      </c>
      <c r="V171">
        <f>HYPERLINK("https://klasma.github.io/Logging_0883/klagomål/A 35930-2024 FSC-klagomål.docx", "A 35930-2024")</f>
        <v/>
      </c>
      <c r="W171">
        <f>HYPERLINK("https://klasma.github.io/Logging_0883/klagomålsmail/A 35930-2024 FSC-klagomål mail.docx", "A 35930-2024")</f>
        <v/>
      </c>
      <c r="X171">
        <f>HYPERLINK("https://klasma.github.io/Logging_0883/tillsyn/A 35930-2024 tillsynsbegäran.docx", "A 35930-2024")</f>
        <v/>
      </c>
      <c r="Y171">
        <f>HYPERLINK("https://klasma.github.io/Logging_0883/tillsynsmail/A 35930-2024 tillsynsbegäran mail.docx", "A 35930-2024")</f>
        <v/>
      </c>
      <c r="Z171">
        <f>HYPERLINK("https://klasma.github.io/Logging_0883/fåglar/A 35930-2024 prioriterade fågelarter.docx", "A 35930-2024")</f>
        <v/>
      </c>
    </row>
    <row r="172" ht="15" customHeight="1">
      <c r="A172" t="inlineStr">
        <is>
          <t>A 37106-2024</t>
        </is>
      </c>
      <c r="B172" s="1" t="n">
        <v>45539</v>
      </c>
      <c r="C172" s="1" t="n">
        <v>45565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8.5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Mindre hackspett</t>
        </is>
      </c>
      <c r="S172">
        <f>HYPERLINK("https://klasma.github.io/Logging_0883/artfynd/A 37106-2024 artfynd.xlsx", "A 37106-2024")</f>
        <v/>
      </c>
      <c r="T172">
        <f>HYPERLINK("https://klasma.github.io/Logging_0883/kartor/A 37106-2024 karta.png", "A 37106-2024")</f>
        <v/>
      </c>
      <c r="U172">
        <f>HYPERLINK("https://klasma.github.io/Logging_0883/knärot/A 37106-2024 karta knärot.png", "A 37106-2024")</f>
        <v/>
      </c>
      <c r="V172">
        <f>HYPERLINK("https://klasma.github.io/Logging_0883/klagomål/A 37106-2024 FSC-klagomål.docx", "A 37106-2024")</f>
        <v/>
      </c>
      <c r="W172">
        <f>HYPERLINK("https://klasma.github.io/Logging_0883/klagomålsmail/A 37106-2024 FSC-klagomål mail.docx", "A 37106-2024")</f>
        <v/>
      </c>
      <c r="X172">
        <f>HYPERLINK("https://klasma.github.io/Logging_0883/tillsyn/A 37106-2024 tillsynsbegäran.docx", "A 37106-2024")</f>
        <v/>
      </c>
      <c r="Y172">
        <f>HYPERLINK("https://klasma.github.io/Logging_0883/tillsynsmail/A 37106-2024 tillsynsbegäran mail.docx", "A 37106-2024")</f>
        <v/>
      </c>
      <c r="Z172">
        <f>HYPERLINK("https://klasma.github.io/Logging_0883/fåglar/A 37106-2024 prioriterade fågelarter.docx", "A 37106-2024")</f>
        <v/>
      </c>
    </row>
    <row r="173" ht="15" customHeight="1">
      <c r="A173" t="inlineStr">
        <is>
          <t>A 39256-2024</t>
        </is>
      </c>
      <c r="B173" s="1" t="n">
        <v>45551</v>
      </c>
      <c r="C173" s="1" t="n">
        <v>45565</v>
      </c>
      <c r="D173" t="inlineStr">
        <is>
          <t>KALMAR LÄN</t>
        </is>
      </c>
      <c r="E173" t="inlineStr">
        <is>
          <t>VÄSTERVIK</t>
        </is>
      </c>
      <c r="G173" t="n">
        <v>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HYPERLINK("https://klasma.github.io/Logging_0883/artfynd/A 39256-2024 artfynd.xlsx", "A 39256-2024")</f>
        <v/>
      </c>
      <c r="T173">
        <f>HYPERLINK("https://klasma.github.io/Logging_0883/kartor/A 39256-2024 karta.png", "A 39256-2024")</f>
        <v/>
      </c>
      <c r="U173">
        <f>HYPERLINK("https://klasma.github.io/Logging_0883/knärot/A 39256-2024 karta knärot.png", "A 39256-2024")</f>
        <v/>
      </c>
      <c r="V173">
        <f>HYPERLINK("https://klasma.github.io/Logging_0883/klagomål/A 39256-2024 FSC-klagomål.docx", "A 39256-2024")</f>
        <v/>
      </c>
      <c r="W173">
        <f>HYPERLINK("https://klasma.github.io/Logging_0883/klagomålsmail/A 39256-2024 FSC-klagomål mail.docx", "A 39256-2024")</f>
        <v/>
      </c>
      <c r="X173">
        <f>HYPERLINK("https://klasma.github.io/Logging_0883/tillsyn/A 39256-2024 tillsynsbegäran.docx", "A 39256-2024")</f>
        <v/>
      </c>
      <c r="Y173">
        <f>HYPERLINK("https://klasma.github.io/Logging_0883/tillsynsmail/A 39256-2024 tillsynsbegäran mail.docx", "A 39256-2024")</f>
        <v/>
      </c>
      <c r="Z173">
        <f>HYPERLINK("https://klasma.github.io/Logging_0883/fåglar/A 39256-2024 prioriterade fågelarter.docx", "A 39256-2024")</f>
        <v/>
      </c>
    </row>
    <row r="174" ht="15" customHeight="1">
      <c r="A174" t="inlineStr">
        <is>
          <t>A 40331-2024</t>
        </is>
      </c>
      <c r="B174" s="1" t="n">
        <v>45555</v>
      </c>
      <c r="C174" s="1" t="n">
        <v>45565</v>
      </c>
      <c r="D174" t="inlineStr">
        <is>
          <t>KALMAR LÄN</t>
        </is>
      </c>
      <c r="E174" t="inlineStr">
        <is>
          <t>VÄSTERVIK</t>
        </is>
      </c>
      <c r="G174" t="n">
        <v>1.5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Murgröna
Blåsippa</t>
        </is>
      </c>
      <c r="S174">
        <f>HYPERLINK("https://klasma.github.io/Logging_0883/artfynd/A 40331-2024 artfynd.xlsx", "A 40331-2024")</f>
        <v/>
      </c>
      <c r="T174">
        <f>HYPERLINK("https://klasma.github.io/Logging_0883/kartor/A 40331-2024 karta.png", "A 40331-2024")</f>
        <v/>
      </c>
      <c r="V174">
        <f>HYPERLINK("https://klasma.github.io/Logging_0883/klagomål/A 40331-2024 FSC-klagomål.docx", "A 40331-2024")</f>
        <v/>
      </c>
      <c r="W174">
        <f>HYPERLINK("https://klasma.github.io/Logging_0883/klagomålsmail/A 40331-2024 FSC-klagomål mail.docx", "A 40331-2024")</f>
        <v/>
      </c>
      <c r="X174">
        <f>HYPERLINK("https://klasma.github.io/Logging_0883/tillsyn/A 40331-2024 tillsynsbegäran.docx", "A 40331-2024")</f>
        <v/>
      </c>
      <c r="Y174">
        <f>HYPERLINK("https://klasma.github.io/Logging_0883/tillsynsmail/A 40331-2024 tillsynsbegäran mail.docx", "A 40331-2024")</f>
        <v/>
      </c>
    </row>
    <row r="175" ht="15" customHeight="1">
      <c r="A175" t="inlineStr">
        <is>
          <t>A 27200-2019</t>
        </is>
      </c>
      <c r="B175" s="1" t="n">
        <v>43614</v>
      </c>
      <c r="C175" s="1" t="n">
        <v>45565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Myskmadra</t>
        </is>
      </c>
      <c r="S175">
        <f>HYPERLINK("https://klasma.github.io/Logging_0883/artfynd/A 27200-2019 artfynd.xlsx", "A 27200-2019")</f>
        <v/>
      </c>
      <c r="T175">
        <f>HYPERLINK("https://klasma.github.io/Logging_0883/kartor/A 27200-2019 karta.png", "A 27200-2019")</f>
        <v/>
      </c>
      <c r="V175">
        <f>HYPERLINK("https://klasma.github.io/Logging_0883/klagomål/A 27200-2019 FSC-klagomål.docx", "A 27200-2019")</f>
        <v/>
      </c>
      <c r="W175">
        <f>HYPERLINK("https://klasma.github.io/Logging_0883/klagomålsmail/A 27200-2019 FSC-klagomål mail.docx", "A 27200-2019")</f>
        <v/>
      </c>
      <c r="X175">
        <f>HYPERLINK("https://klasma.github.io/Logging_0883/tillsyn/A 27200-2019 tillsynsbegäran.docx", "A 27200-2019")</f>
        <v/>
      </c>
      <c r="Y175">
        <f>HYPERLINK("https://klasma.github.io/Logging_0883/tillsynsmail/A 27200-2019 tillsynsbegäran mail.docx", "A 27200-2019")</f>
        <v/>
      </c>
    </row>
    <row r="176" ht="15" customHeight="1">
      <c r="A176" t="inlineStr">
        <is>
          <t>A 27204-2019</t>
        </is>
      </c>
      <c r="B176" s="1" t="n">
        <v>43614</v>
      </c>
      <c r="C176" s="1" t="n">
        <v>45565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 fjädermossa</t>
        </is>
      </c>
      <c r="S176">
        <f>HYPERLINK("https://klasma.github.io/Logging_0883/artfynd/A 27204-2019 artfynd.xlsx", "A 27204-2019")</f>
        <v/>
      </c>
      <c r="T176">
        <f>HYPERLINK("https://klasma.github.io/Logging_0883/kartor/A 27204-2019 karta.png", "A 27204-2019")</f>
        <v/>
      </c>
      <c r="V176">
        <f>HYPERLINK("https://klasma.github.io/Logging_0883/klagomål/A 27204-2019 FSC-klagomål.docx", "A 27204-2019")</f>
        <v/>
      </c>
      <c r="W176">
        <f>HYPERLINK("https://klasma.github.io/Logging_0883/klagomålsmail/A 27204-2019 FSC-klagomål mail.docx", "A 27204-2019")</f>
        <v/>
      </c>
      <c r="X176">
        <f>HYPERLINK("https://klasma.github.io/Logging_0883/tillsyn/A 27204-2019 tillsynsbegäran.docx", "A 27204-2019")</f>
        <v/>
      </c>
      <c r="Y176">
        <f>HYPERLINK("https://klasma.github.io/Logging_0883/tillsynsmail/A 27204-2019 tillsynsbegäran mail.docx", "A 27204-2019")</f>
        <v/>
      </c>
    </row>
    <row r="177" ht="15" customHeight="1">
      <c r="A177" t="inlineStr">
        <is>
          <t>A 27203-2019</t>
        </is>
      </c>
      <c r="B177" s="1" t="n">
        <v>43614</v>
      </c>
      <c r="C177" s="1" t="n">
        <v>45565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Blomskägglav</t>
        </is>
      </c>
      <c r="S177">
        <f>HYPERLINK("https://klasma.github.io/Logging_0883/artfynd/A 27203-2019 artfynd.xlsx", "A 27203-2019")</f>
        <v/>
      </c>
      <c r="T177">
        <f>HYPERLINK("https://klasma.github.io/Logging_0883/kartor/A 27203-2019 karta.png", "A 27203-2019")</f>
        <v/>
      </c>
      <c r="V177">
        <f>HYPERLINK("https://klasma.github.io/Logging_0883/klagomål/A 27203-2019 FSC-klagomål.docx", "A 27203-2019")</f>
        <v/>
      </c>
      <c r="W177">
        <f>HYPERLINK("https://klasma.github.io/Logging_0883/klagomålsmail/A 27203-2019 FSC-klagomål mail.docx", "A 27203-2019")</f>
        <v/>
      </c>
      <c r="X177">
        <f>HYPERLINK("https://klasma.github.io/Logging_0883/tillsyn/A 27203-2019 tillsynsbegäran.docx", "A 27203-2019")</f>
        <v/>
      </c>
      <c r="Y177">
        <f>HYPERLINK("https://klasma.github.io/Logging_0883/tillsynsmail/A 27203-2019 tillsynsbegäran mail.docx", "A 27203-2019")</f>
        <v/>
      </c>
    </row>
    <row r="178" ht="15" customHeight="1">
      <c r="A178" t="inlineStr">
        <is>
          <t>A 59193-2019</t>
        </is>
      </c>
      <c r="B178" s="1" t="n">
        <v>43775</v>
      </c>
      <c r="C178" s="1" t="n">
        <v>45565</v>
      </c>
      <c r="D178" t="inlineStr">
        <is>
          <t>KALMAR LÄN</t>
        </is>
      </c>
      <c r="E178" t="inlineStr">
        <is>
          <t>VÄSTERVIK</t>
        </is>
      </c>
      <c r="G178" t="n">
        <v>3.8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Åkerkulla</t>
        </is>
      </c>
      <c r="S178">
        <f>HYPERLINK("https://klasma.github.io/Logging_0883/artfynd/A 59193-2019 artfynd.xlsx", "A 59193-2019")</f>
        <v/>
      </c>
      <c r="T178">
        <f>HYPERLINK("https://klasma.github.io/Logging_0883/kartor/A 59193-2019 karta.png", "A 59193-2019")</f>
        <v/>
      </c>
      <c r="V178">
        <f>HYPERLINK("https://klasma.github.io/Logging_0883/klagomål/A 59193-2019 FSC-klagomål.docx", "A 59193-2019")</f>
        <v/>
      </c>
      <c r="W178">
        <f>HYPERLINK("https://klasma.github.io/Logging_0883/klagomålsmail/A 59193-2019 FSC-klagomål mail.docx", "A 59193-2019")</f>
        <v/>
      </c>
      <c r="X178">
        <f>HYPERLINK("https://klasma.github.io/Logging_0883/tillsyn/A 59193-2019 tillsynsbegäran.docx", "A 59193-2019")</f>
        <v/>
      </c>
      <c r="Y178">
        <f>HYPERLINK("https://klasma.github.io/Logging_0883/tillsynsmail/A 59193-2019 tillsynsbegäran mail.docx", "A 59193-2019")</f>
        <v/>
      </c>
    </row>
    <row r="179" ht="15" customHeight="1">
      <c r="A179" t="inlineStr">
        <is>
          <t>A 16608-2020</t>
        </is>
      </c>
      <c r="B179" s="1" t="n">
        <v>43908</v>
      </c>
      <c r="C179" s="1" t="n">
        <v>45565</v>
      </c>
      <c r="D179" t="inlineStr">
        <is>
          <t>KALMAR LÄN</t>
        </is>
      </c>
      <c r="E179" t="inlineStr">
        <is>
          <t>VÄSTERVIK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Skogsklocka</t>
        </is>
      </c>
      <c r="S179">
        <f>HYPERLINK("https://klasma.github.io/Logging_0883/artfynd/A 16608-2020 artfynd.xlsx", "A 16608-2020")</f>
        <v/>
      </c>
      <c r="T179">
        <f>HYPERLINK("https://klasma.github.io/Logging_0883/kartor/A 16608-2020 karta.png", "A 16608-2020")</f>
        <v/>
      </c>
      <c r="V179">
        <f>HYPERLINK("https://klasma.github.io/Logging_0883/klagomål/A 16608-2020 FSC-klagomål.docx", "A 16608-2020")</f>
        <v/>
      </c>
      <c r="W179">
        <f>HYPERLINK("https://klasma.github.io/Logging_0883/klagomålsmail/A 16608-2020 FSC-klagomål mail.docx", "A 16608-2020")</f>
        <v/>
      </c>
      <c r="X179">
        <f>HYPERLINK("https://klasma.github.io/Logging_0883/tillsyn/A 16608-2020 tillsynsbegäran.docx", "A 16608-2020")</f>
        <v/>
      </c>
      <c r="Y179">
        <f>HYPERLINK("https://klasma.github.io/Logging_0883/tillsynsmail/A 16608-2020 tillsynsbegäran mail.docx", "A 16608-2020")</f>
        <v/>
      </c>
    </row>
    <row r="180" ht="15" customHeight="1">
      <c r="A180" t="inlineStr">
        <is>
          <t>A 15357-2020</t>
        </is>
      </c>
      <c r="B180" s="1" t="n">
        <v>43913</v>
      </c>
      <c r="C180" s="1" t="n">
        <v>45565</v>
      </c>
      <c r="D180" t="inlineStr">
        <is>
          <t>KALMAR LÄN</t>
        </is>
      </c>
      <c r="E180" t="inlineStr">
        <is>
          <t>VÄSTERVIK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HYPERLINK("https://klasma.github.io/Logging_0883/artfynd/A 15357-2020 artfynd.xlsx", "A 15357-2020")</f>
        <v/>
      </c>
      <c r="T180">
        <f>HYPERLINK("https://klasma.github.io/Logging_0883/kartor/A 15357-2020 karta.png", "A 15357-2020")</f>
        <v/>
      </c>
      <c r="U180">
        <f>HYPERLINK("https://klasma.github.io/Logging_0883/knärot/A 15357-2020 karta knärot.png", "A 15357-2020")</f>
        <v/>
      </c>
      <c r="V180">
        <f>HYPERLINK("https://klasma.github.io/Logging_0883/klagomål/A 15357-2020 FSC-klagomål.docx", "A 15357-2020")</f>
        <v/>
      </c>
      <c r="W180">
        <f>HYPERLINK("https://klasma.github.io/Logging_0883/klagomålsmail/A 15357-2020 FSC-klagomål mail.docx", "A 15357-2020")</f>
        <v/>
      </c>
      <c r="X180">
        <f>HYPERLINK("https://klasma.github.io/Logging_0883/tillsyn/A 15357-2020 tillsynsbegäran.docx", "A 15357-2020")</f>
        <v/>
      </c>
      <c r="Y180">
        <f>HYPERLINK("https://klasma.github.io/Logging_0883/tillsynsmail/A 15357-2020 tillsynsbegäran mail.docx", "A 15357-2020")</f>
        <v/>
      </c>
    </row>
    <row r="181" ht="15" customHeight="1">
      <c r="A181" t="inlineStr">
        <is>
          <t>A 39836-2020</t>
        </is>
      </c>
      <c r="B181" s="1" t="n">
        <v>44064</v>
      </c>
      <c r="C181" s="1" t="n">
        <v>45565</v>
      </c>
      <c r="D181" t="inlineStr">
        <is>
          <t>KALMAR LÄN</t>
        </is>
      </c>
      <c r="E181" t="inlineStr">
        <is>
          <t>VÄSTERVIK</t>
        </is>
      </c>
      <c r="G181" t="n">
        <v>13.4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Havsörn</t>
        </is>
      </c>
      <c r="S181">
        <f>HYPERLINK("https://klasma.github.io/Logging_0883/artfynd/A 39836-2020 artfynd.xlsx", "A 39836-2020")</f>
        <v/>
      </c>
      <c r="T181">
        <f>HYPERLINK("https://klasma.github.io/Logging_0883/kartor/A 39836-2020 karta.png", "A 39836-2020")</f>
        <v/>
      </c>
      <c r="V181">
        <f>HYPERLINK("https://klasma.github.io/Logging_0883/klagomål/A 39836-2020 FSC-klagomål.docx", "A 39836-2020")</f>
        <v/>
      </c>
      <c r="W181">
        <f>HYPERLINK("https://klasma.github.io/Logging_0883/klagomålsmail/A 39836-2020 FSC-klagomål mail.docx", "A 39836-2020")</f>
        <v/>
      </c>
      <c r="X181">
        <f>HYPERLINK("https://klasma.github.io/Logging_0883/tillsyn/A 39836-2020 tillsynsbegäran.docx", "A 39836-2020")</f>
        <v/>
      </c>
      <c r="Y181">
        <f>HYPERLINK("https://klasma.github.io/Logging_0883/tillsynsmail/A 39836-2020 tillsynsbegäran mail.docx", "A 39836-2020")</f>
        <v/>
      </c>
      <c r="Z181">
        <f>HYPERLINK("https://klasma.github.io/Logging_0883/fåglar/A 39836-2020 prioriterade fågelarter.docx", "A 39836-2020")</f>
        <v/>
      </c>
    </row>
    <row r="182" ht="15" customHeight="1">
      <c r="A182" t="inlineStr">
        <is>
          <t>A 66752-2020</t>
        </is>
      </c>
      <c r="B182" s="1" t="n">
        <v>44175</v>
      </c>
      <c r="C182" s="1" t="n">
        <v>45565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66752-2020 artfynd.xlsx", "A 66752-2020")</f>
        <v/>
      </c>
      <c r="T182">
        <f>HYPERLINK("https://klasma.github.io/Logging_0883/kartor/A 66752-2020 karta.png", "A 66752-2020")</f>
        <v/>
      </c>
      <c r="V182">
        <f>HYPERLINK("https://klasma.github.io/Logging_0883/klagomål/A 66752-2020 FSC-klagomål.docx", "A 66752-2020")</f>
        <v/>
      </c>
      <c r="W182">
        <f>HYPERLINK("https://klasma.github.io/Logging_0883/klagomålsmail/A 66752-2020 FSC-klagomål mail.docx", "A 66752-2020")</f>
        <v/>
      </c>
      <c r="X182">
        <f>HYPERLINK("https://klasma.github.io/Logging_0883/tillsyn/A 66752-2020 tillsynsbegäran.docx", "A 66752-2020")</f>
        <v/>
      </c>
      <c r="Y182">
        <f>HYPERLINK("https://klasma.github.io/Logging_0883/tillsynsmail/A 66752-2020 tillsynsbegäran mail.docx", "A 66752-2020")</f>
        <v/>
      </c>
    </row>
    <row r="183" ht="15" customHeight="1">
      <c r="A183" t="inlineStr">
        <is>
          <t>A 69632-2020</t>
        </is>
      </c>
      <c r="B183" s="1" t="n">
        <v>44195</v>
      </c>
      <c r="C183" s="1" t="n">
        <v>45565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69632-2020 artfynd.xlsx", "A 69632-2020")</f>
        <v/>
      </c>
      <c r="T183">
        <f>HYPERLINK("https://klasma.github.io/Logging_0883/kartor/A 69632-2020 karta.png", "A 69632-2020")</f>
        <v/>
      </c>
      <c r="V183">
        <f>HYPERLINK("https://klasma.github.io/Logging_0883/klagomål/A 69632-2020 FSC-klagomål.docx", "A 69632-2020")</f>
        <v/>
      </c>
      <c r="W183">
        <f>HYPERLINK("https://klasma.github.io/Logging_0883/klagomålsmail/A 69632-2020 FSC-klagomål mail.docx", "A 69632-2020")</f>
        <v/>
      </c>
      <c r="X183">
        <f>HYPERLINK("https://klasma.github.io/Logging_0883/tillsyn/A 69632-2020 tillsynsbegäran.docx", "A 69632-2020")</f>
        <v/>
      </c>
      <c r="Y183">
        <f>HYPERLINK("https://klasma.github.io/Logging_0883/tillsynsmail/A 69632-2020 tillsynsbegäran mail.docx", "A 69632-2020")</f>
        <v/>
      </c>
    </row>
    <row r="184" ht="15" customHeight="1">
      <c r="A184" t="inlineStr">
        <is>
          <t>A 20233-2021</t>
        </is>
      </c>
      <c r="B184" s="1" t="n">
        <v>44314</v>
      </c>
      <c r="C184" s="1" t="n">
        <v>45565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11.8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Skogsklocka</t>
        </is>
      </c>
      <c r="S184">
        <f>HYPERLINK("https://klasma.github.io/Logging_0883/artfynd/A 20233-2021 artfynd.xlsx", "A 20233-2021")</f>
        <v/>
      </c>
      <c r="T184">
        <f>HYPERLINK("https://klasma.github.io/Logging_0883/kartor/A 20233-2021 karta.png", "A 20233-2021")</f>
        <v/>
      </c>
      <c r="V184">
        <f>HYPERLINK("https://klasma.github.io/Logging_0883/klagomål/A 20233-2021 FSC-klagomål.docx", "A 20233-2021")</f>
        <v/>
      </c>
      <c r="W184">
        <f>HYPERLINK("https://klasma.github.io/Logging_0883/klagomålsmail/A 20233-2021 FSC-klagomål mail.docx", "A 20233-2021")</f>
        <v/>
      </c>
      <c r="X184">
        <f>HYPERLINK("https://klasma.github.io/Logging_0883/tillsyn/A 20233-2021 tillsynsbegäran.docx", "A 20233-2021")</f>
        <v/>
      </c>
      <c r="Y184">
        <f>HYPERLINK("https://klasma.github.io/Logging_0883/tillsynsmail/A 20233-2021 tillsynsbegäran mail.docx", "A 20233-2021")</f>
        <v/>
      </c>
    </row>
    <row r="185" ht="15" customHeight="1">
      <c r="A185" t="inlineStr">
        <is>
          <t>A 24048-2021</t>
        </is>
      </c>
      <c r="B185" s="1" t="n">
        <v>44336</v>
      </c>
      <c r="C185" s="1" t="n">
        <v>45565</v>
      </c>
      <c r="D185" t="inlineStr">
        <is>
          <t>KALMAR LÄN</t>
        </is>
      </c>
      <c r="E185" t="inlineStr">
        <is>
          <t>VÄSTERVIK</t>
        </is>
      </c>
      <c r="G185" t="n">
        <v>3.5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24048-2021 artfynd.xlsx", "A 24048-2021")</f>
        <v/>
      </c>
      <c r="T185">
        <f>HYPERLINK("https://klasma.github.io/Logging_0883/kartor/A 24048-2021 karta.png", "A 24048-2021")</f>
        <v/>
      </c>
      <c r="U185">
        <f>HYPERLINK("https://klasma.github.io/Logging_0883/knärot/A 24048-2021 karta knärot.png", "A 24048-2021")</f>
        <v/>
      </c>
      <c r="V185">
        <f>HYPERLINK("https://klasma.github.io/Logging_0883/klagomål/A 24048-2021 FSC-klagomål.docx", "A 24048-2021")</f>
        <v/>
      </c>
      <c r="W185">
        <f>HYPERLINK("https://klasma.github.io/Logging_0883/klagomålsmail/A 24048-2021 FSC-klagomål mail.docx", "A 24048-2021")</f>
        <v/>
      </c>
      <c r="X185">
        <f>HYPERLINK("https://klasma.github.io/Logging_0883/tillsyn/A 24048-2021 tillsynsbegäran.docx", "A 24048-2021")</f>
        <v/>
      </c>
      <c r="Y185">
        <f>HYPERLINK("https://klasma.github.io/Logging_0883/tillsynsmail/A 24048-2021 tillsynsbegäran mail.docx", "A 24048-2021")</f>
        <v/>
      </c>
    </row>
    <row r="186" ht="15" customHeight="1">
      <c r="A186" t="inlineStr">
        <is>
          <t>A 25447-2021</t>
        </is>
      </c>
      <c r="B186" s="1" t="n">
        <v>44342</v>
      </c>
      <c r="C186" s="1" t="n">
        <v>45565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25447-2021 artfynd.xlsx", "A 25447-2021")</f>
        <v/>
      </c>
      <c r="T186">
        <f>HYPERLINK("https://klasma.github.io/Logging_0883/kartor/A 25447-2021 karta.png", "A 25447-2021")</f>
        <v/>
      </c>
      <c r="U186">
        <f>HYPERLINK("https://klasma.github.io/Logging_0883/knärot/A 25447-2021 karta knärot.png", "A 25447-2021")</f>
        <v/>
      </c>
      <c r="V186">
        <f>HYPERLINK("https://klasma.github.io/Logging_0883/klagomål/A 25447-2021 FSC-klagomål.docx", "A 25447-2021")</f>
        <v/>
      </c>
      <c r="W186">
        <f>HYPERLINK("https://klasma.github.io/Logging_0883/klagomålsmail/A 25447-2021 FSC-klagomål mail.docx", "A 25447-2021")</f>
        <v/>
      </c>
      <c r="X186">
        <f>HYPERLINK("https://klasma.github.io/Logging_0883/tillsyn/A 25447-2021 tillsynsbegäran.docx", "A 25447-2021")</f>
        <v/>
      </c>
      <c r="Y186">
        <f>HYPERLINK("https://klasma.github.io/Logging_0883/tillsynsmail/A 25447-2021 tillsynsbegäran mail.docx", "A 25447-2021")</f>
        <v/>
      </c>
    </row>
    <row r="187" ht="15" customHeight="1">
      <c r="A187" t="inlineStr">
        <is>
          <t>A 25594-2021</t>
        </is>
      </c>
      <c r="B187" s="1" t="n">
        <v>44343</v>
      </c>
      <c r="C187" s="1" t="n">
        <v>45565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25594-2021 artfynd.xlsx", "A 25594-2021")</f>
        <v/>
      </c>
      <c r="T187">
        <f>HYPERLINK("https://klasma.github.io/Logging_0883/kartor/A 25594-2021 karta.png", "A 25594-2021")</f>
        <v/>
      </c>
      <c r="U187">
        <f>HYPERLINK("https://klasma.github.io/Logging_0883/knärot/A 25594-2021 karta knärot.png", "A 25594-2021")</f>
        <v/>
      </c>
      <c r="V187">
        <f>HYPERLINK("https://klasma.github.io/Logging_0883/klagomål/A 25594-2021 FSC-klagomål.docx", "A 25594-2021")</f>
        <v/>
      </c>
      <c r="W187">
        <f>HYPERLINK("https://klasma.github.io/Logging_0883/klagomålsmail/A 25594-2021 FSC-klagomål mail.docx", "A 25594-2021")</f>
        <v/>
      </c>
      <c r="X187">
        <f>HYPERLINK("https://klasma.github.io/Logging_0883/tillsyn/A 25594-2021 tillsynsbegäran.docx", "A 25594-2021")</f>
        <v/>
      </c>
      <c r="Y187">
        <f>HYPERLINK("https://klasma.github.io/Logging_0883/tillsynsmail/A 25594-2021 tillsynsbegäran mail.docx", "A 25594-2021")</f>
        <v/>
      </c>
    </row>
    <row r="188" ht="15" customHeight="1">
      <c r="A188" t="inlineStr">
        <is>
          <t>A 29455-2021</t>
        </is>
      </c>
      <c r="B188" s="1" t="n">
        <v>44361</v>
      </c>
      <c r="C188" s="1" t="n">
        <v>45565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3.1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29455-2021 artfynd.xlsx", "A 29455-2021")</f>
        <v/>
      </c>
      <c r="T188">
        <f>HYPERLINK("https://klasma.github.io/Logging_0883/kartor/A 29455-2021 karta.png", "A 29455-2021")</f>
        <v/>
      </c>
      <c r="U188">
        <f>HYPERLINK("https://klasma.github.io/Logging_0883/knärot/A 29455-2021 karta knärot.png", "A 29455-2021")</f>
        <v/>
      </c>
      <c r="V188">
        <f>HYPERLINK("https://klasma.github.io/Logging_0883/klagomål/A 29455-2021 FSC-klagomål.docx", "A 29455-2021")</f>
        <v/>
      </c>
      <c r="W188">
        <f>HYPERLINK("https://klasma.github.io/Logging_0883/klagomålsmail/A 29455-2021 FSC-klagomål mail.docx", "A 29455-2021")</f>
        <v/>
      </c>
      <c r="X188">
        <f>HYPERLINK("https://klasma.github.io/Logging_0883/tillsyn/A 29455-2021 tillsynsbegäran.docx", "A 29455-2021")</f>
        <v/>
      </c>
      <c r="Y188">
        <f>HYPERLINK("https://klasma.github.io/Logging_0883/tillsynsmail/A 29455-2021 tillsynsbegäran mail.docx", "A 29455-2021")</f>
        <v/>
      </c>
    </row>
    <row r="189" ht="15" customHeight="1">
      <c r="A189" t="inlineStr">
        <is>
          <t>A 31315-2021</t>
        </is>
      </c>
      <c r="B189" s="1" t="n">
        <v>44368</v>
      </c>
      <c r="C189" s="1" t="n">
        <v>45565</v>
      </c>
      <c r="D189" t="inlineStr">
        <is>
          <t>KALMAR LÄN</t>
        </is>
      </c>
      <c r="E189" t="inlineStr">
        <is>
          <t>VÄSTERVIK</t>
        </is>
      </c>
      <c r="G189" t="n">
        <v>3.3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31315-2021 artfynd.xlsx", "A 31315-2021")</f>
        <v/>
      </c>
      <c r="T189">
        <f>HYPERLINK("https://klasma.github.io/Logging_0883/kartor/A 31315-2021 karta.png", "A 31315-2021")</f>
        <v/>
      </c>
      <c r="U189">
        <f>HYPERLINK("https://klasma.github.io/Logging_0883/knärot/A 31315-2021 karta knärot.png", "A 31315-2021")</f>
        <v/>
      </c>
      <c r="V189">
        <f>HYPERLINK("https://klasma.github.io/Logging_0883/klagomål/A 31315-2021 FSC-klagomål.docx", "A 31315-2021")</f>
        <v/>
      </c>
      <c r="W189">
        <f>HYPERLINK("https://klasma.github.io/Logging_0883/klagomålsmail/A 31315-2021 FSC-klagomål mail.docx", "A 31315-2021")</f>
        <v/>
      </c>
      <c r="X189">
        <f>HYPERLINK("https://klasma.github.io/Logging_0883/tillsyn/A 31315-2021 tillsynsbegäran.docx", "A 31315-2021")</f>
        <v/>
      </c>
      <c r="Y189">
        <f>HYPERLINK("https://klasma.github.io/Logging_0883/tillsynsmail/A 31315-2021 tillsynsbegäran mail.docx", "A 31315-2021")</f>
        <v/>
      </c>
    </row>
    <row r="190" ht="15" customHeight="1">
      <c r="A190" t="inlineStr">
        <is>
          <t>A 44635-2021</t>
        </is>
      </c>
      <c r="B190" s="1" t="n">
        <v>44437</v>
      </c>
      <c r="C190" s="1" t="n">
        <v>45565</v>
      </c>
      <c r="D190" t="inlineStr">
        <is>
          <t>KALMAR LÄN</t>
        </is>
      </c>
      <c r="E190" t="inlineStr">
        <is>
          <t>VÄSTERVIK</t>
        </is>
      </c>
      <c r="G190" t="n">
        <v>0.9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Brandticka</t>
        </is>
      </c>
      <c r="S190">
        <f>HYPERLINK("https://klasma.github.io/Logging_0883/artfynd/A 44635-2021 artfynd.xlsx", "A 44635-2021")</f>
        <v/>
      </c>
      <c r="T190">
        <f>HYPERLINK("https://klasma.github.io/Logging_0883/kartor/A 44635-2021 karta.png", "A 44635-2021")</f>
        <v/>
      </c>
      <c r="V190">
        <f>HYPERLINK("https://klasma.github.io/Logging_0883/klagomål/A 44635-2021 FSC-klagomål.docx", "A 44635-2021")</f>
        <v/>
      </c>
      <c r="W190">
        <f>HYPERLINK("https://klasma.github.io/Logging_0883/klagomålsmail/A 44635-2021 FSC-klagomål mail.docx", "A 44635-2021")</f>
        <v/>
      </c>
      <c r="X190">
        <f>HYPERLINK("https://klasma.github.io/Logging_0883/tillsyn/A 44635-2021 tillsynsbegäran.docx", "A 44635-2021")</f>
        <v/>
      </c>
      <c r="Y190">
        <f>HYPERLINK("https://klasma.github.io/Logging_0883/tillsynsmail/A 44635-2021 tillsynsbegäran mail.docx", "A 44635-2021")</f>
        <v/>
      </c>
    </row>
    <row r="191" ht="15" customHeight="1">
      <c r="A191" t="inlineStr">
        <is>
          <t>A 47860-2021</t>
        </is>
      </c>
      <c r="B191" s="1" t="n">
        <v>44448</v>
      </c>
      <c r="C191" s="1" t="n">
        <v>45565</v>
      </c>
      <c r="D191" t="inlineStr">
        <is>
          <t>KALMAR LÄN</t>
        </is>
      </c>
      <c r="E191" t="inlineStr">
        <is>
          <t>VÄSTERVIK</t>
        </is>
      </c>
      <c r="G191" t="n">
        <v>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47860-2021 artfynd.xlsx", "A 47860-2021")</f>
        <v/>
      </c>
      <c r="T191">
        <f>HYPERLINK("https://klasma.github.io/Logging_0883/kartor/A 47860-2021 karta.png", "A 47860-2021")</f>
        <v/>
      </c>
      <c r="V191">
        <f>HYPERLINK("https://klasma.github.io/Logging_0883/klagomål/A 47860-2021 FSC-klagomål.docx", "A 47860-2021")</f>
        <v/>
      </c>
      <c r="W191">
        <f>HYPERLINK("https://klasma.github.io/Logging_0883/klagomålsmail/A 47860-2021 FSC-klagomål mail.docx", "A 47860-2021")</f>
        <v/>
      </c>
      <c r="X191">
        <f>HYPERLINK("https://klasma.github.io/Logging_0883/tillsyn/A 47860-2021 tillsynsbegäran.docx", "A 47860-2021")</f>
        <v/>
      </c>
      <c r="Y191">
        <f>HYPERLINK("https://klasma.github.io/Logging_0883/tillsynsmail/A 47860-2021 tillsynsbegäran mail.docx", "A 47860-2021")</f>
        <v/>
      </c>
    </row>
    <row r="192" ht="15" customHeight="1">
      <c r="A192" t="inlineStr">
        <is>
          <t>A 52831-2021</t>
        </is>
      </c>
      <c r="B192" s="1" t="n">
        <v>44467</v>
      </c>
      <c r="C192" s="1" t="n">
        <v>45565</v>
      </c>
      <c r="D192" t="inlineStr">
        <is>
          <t>KALMAR LÄN</t>
        </is>
      </c>
      <c r="E192" t="inlineStr">
        <is>
          <t>VÄSTERVIK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52831-2021 artfynd.xlsx", "A 52831-2021")</f>
        <v/>
      </c>
      <c r="T192">
        <f>HYPERLINK("https://klasma.github.io/Logging_0883/kartor/A 52831-2021 karta.png", "A 52831-2021")</f>
        <v/>
      </c>
      <c r="V192">
        <f>HYPERLINK("https://klasma.github.io/Logging_0883/klagomål/A 52831-2021 FSC-klagomål.docx", "A 52831-2021")</f>
        <v/>
      </c>
      <c r="W192">
        <f>HYPERLINK("https://klasma.github.io/Logging_0883/klagomålsmail/A 52831-2021 FSC-klagomål mail.docx", "A 52831-2021")</f>
        <v/>
      </c>
      <c r="X192">
        <f>HYPERLINK("https://klasma.github.io/Logging_0883/tillsyn/A 52831-2021 tillsynsbegäran.docx", "A 52831-2021")</f>
        <v/>
      </c>
      <c r="Y192">
        <f>HYPERLINK("https://klasma.github.io/Logging_0883/tillsynsmail/A 52831-2021 tillsynsbegäran mail.docx", "A 52831-2021")</f>
        <v/>
      </c>
    </row>
    <row r="193" ht="15" customHeight="1">
      <c r="A193" t="inlineStr">
        <is>
          <t>A 53738-2021</t>
        </is>
      </c>
      <c r="B193" s="1" t="n">
        <v>44467</v>
      </c>
      <c r="C193" s="1" t="n">
        <v>45565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53738-2021 artfynd.xlsx", "A 53738-2021")</f>
        <v/>
      </c>
      <c r="T193">
        <f>HYPERLINK("https://klasma.github.io/Logging_0883/kartor/A 53738-2021 karta.png", "A 53738-2021")</f>
        <v/>
      </c>
      <c r="U193">
        <f>HYPERLINK("https://klasma.github.io/Logging_0883/knärot/A 53738-2021 karta knärot.png", "A 53738-2021")</f>
        <v/>
      </c>
      <c r="V193">
        <f>HYPERLINK("https://klasma.github.io/Logging_0883/klagomål/A 53738-2021 FSC-klagomål.docx", "A 53738-2021")</f>
        <v/>
      </c>
      <c r="W193">
        <f>HYPERLINK("https://klasma.github.io/Logging_0883/klagomålsmail/A 53738-2021 FSC-klagomål mail.docx", "A 53738-2021")</f>
        <v/>
      </c>
      <c r="X193">
        <f>HYPERLINK("https://klasma.github.io/Logging_0883/tillsyn/A 53738-2021 tillsynsbegäran.docx", "A 53738-2021")</f>
        <v/>
      </c>
      <c r="Y193">
        <f>HYPERLINK("https://klasma.github.io/Logging_0883/tillsynsmail/A 53738-2021 tillsynsbegäran mail.docx", "A 53738-2021")</f>
        <v/>
      </c>
    </row>
    <row r="194" ht="15" customHeight="1">
      <c r="A194" t="inlineStr">
        <is>
          <t>A 56618-2021</t>
        </is>
      </c>
      <c r="B194" s="1" t="n">
        <v>44480</v>
      </c>
      <c r="C194" s="1" t="n">
        <v>45565</v>
      </c>
      <c r="D194" t="inlineStr">
        <is>
          <t>KALMAR LÄN</t>
        </is>
      </c>
      <c r="E194" t="inlineStr">
        <is>
          <t>VÄSTERVIK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56618-2021 artfynd.xlsx", "A 56618-2021")</f>
        <v/>
      </c>
      <c r="T194">
        <f>HYPERLINK("https://klasma.github.io/Logging_0883/kartor/A 56618-2021 karta.png", "A 56618-2021")</f>
        <v/>
      </c>
      <c r="V194">
        <f>HYPERLINK("https://klasma.github.io/Logging_0883/klagomål/A 56618-2021 FSC-klagomål.docx", "A 56618-2021")</f>
        <v/>
      </c>
      <c r="W194">
        <f>HYPERLINK("https://klasma.github.io/Logging_0883/klagomålsmail/A 56618-2021 FSC-klagomål mail.docx", "A 56618-2021")</f>
        <v/>
      </c>
      <c r="X194">
        <f>HYPERLINK("https://klasma.github.io/Logging_0883/tillsyn/A 56618-2021 tillsynsbegäran.docx", "A 56618-2021")</f>
        <v/>
      </c>
      <c r="Y194">
        <f>HYPERLINK("https://klasma.github.io/Logging_0883/tillsynsmail/A 56618-2021 tillsynsbegäran mail.docx", "A 56618-2021")</f>
        <v/>
      </c>
    </row>
    <row r="195" ht="15" customHeight="1">
      <c r="A195" t="inlineStr">
        <is>
          <t>A 61319-2021</t>
        </is>
      </c>
      <c r="B195" s="1" t="n">
        <v>44498</v>
      </c>
      <c r="C195" s="1" t="n">
        <v>45565</v>
      </c>
      <c r="D195" t="inlineStr">
        <is>
          <t>KALMAR LÄN</t>
        </is>
      </c>
      <c r="E195" t="inlineStr">
        <is>
          <t>VÄSTERVIK</t>
        </is>
      </c>
      <c r="G195" t="n">
        <v>2.2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HYPERLINK("https://klasma.github.io/Logging_0883/artfynd/A 61319-2021 artfynd.xlsx", "A 61319-2021")</f>
        <v/>
      </c>
      <c r="T195">
        <f>HYPERLINK("https://klasma.github.io/Logging_0883/kartor/A 61319-2021 karta.png", "A 61319-2021")</f>
        <v/>
      </c>
      <c r="V195">
        <f>HYPERLINK("https://klasma.github.io/Logging_0883/klagomål/A 61319-2021 FSC-klagomål.docx", "A 61319-2021")</f>
        <v/>
      </c>
      <c r="W195">
        <f>HYPERLINK("https://klasma.github.io/Logging_0883/klagomålsmail/A 61319-2021 FSC-klagomål mail.docx", "A 61319-2021")</f>
        <v/>
      </c>
      <c r="X195">
        <f>HYPERLINK("https://klasma.github.io/Logging_0883/tillsyn/A 61319-2021 tillsynsbegäran.docx", "A 61319-2021")</f>
        <v/>
      </c>
      <c r="Y195">
        <f>HYPERLINK("https://klasma.github.io/Logging_0883/tillsynsmail/A 61319-2021 tillsynsbegäran mail.docx", "A 61319-2021")</f>
        <v/>
      </c>
    </row>
    <row r="196" ht="15" customHeight="1">
      <c r="A196" t="inlineStr">
        <is>
          <t>A 1677-2022</t>
        </is>
      </c>
      <c r="B196" s="1" t="n">
        <v>44574</v>
      </c>
      <c r="C196" s="1" t="n">
        <v>45565</v>
      </c>
      <c r="D196" t="inlineStr">
        <is>
          <t>KALMAR LÄN</t>
        </is>
      </c>
      <c r="E196" t="inlineStr">
        <is>
          <t>VÄSTERVIK</t>
        </is>
      </c>
      <c r="G196" t="n">
        <v>3.3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1677-2022 artfynd.xlsx", "A 1677-2022")</f>
        <v/>
      </c>
      <c r="T196">
        <f>HYPERLINK("https://klasma.github.io/Logging_0883/kartor/A 1677-2022 karta.png", "A 1677-2022")</f>
        <v/>
      </c>
      <c r="U196">
        <f>HYPERLINK("https://klasma.github.io/Logging_0883/knärot/A 1677-2022 karta knärot.png", "A 1677-2022")</f>
        <v/>
      </c>
      <c r="V196">
        <f>HYPERLINK("https://klasma.github.io/Logging_0883/klagomål/A 1677-2022 FSC-klagomål.docx", "A 1677-2022")</f>
        <v/>
      </c>
      <c r="W196">
        <f>HYPERLINK("https://klasma.github.io/Logging_0883/klagomålsmail/A 1677-2022 FSC-klagomål mail.docx", "A 1677-2022")</f>
        <v/>
      </c>
      <c r="X196">
        <f>HYPERLINK("https://klasma.github.io/Logging_0883/tillsyn/A 1677-2022 tillsynsbegäran.docx", "A 1677-2022")</f>
        <v/>
      </c>
      <c r="Y196">
        <f>HYPERLINK("https://klasma.github.io/Logging_0883/tillsynsmail/A 1677-2022 tillsynsbegäran mail.docx", "A 1677-2022")</f>
        <v/>
      </c>
    </row>
    <row r="197" ht="15" customHeight="1">
      <c r="A197" t="inlineStr">
        <is>
          <t>A 11609-2022</t>
        </is>
      </c>
      <c r="B197" s="1" t="n">
        <v>44631</v>
      </c>
      <c r="C197" s="1" t="n">
        <v>45565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11609-2022 artfynd.xlsx", "A 11609-2022")</f>
        <v/>
      </c>
      <c r="T197">
        <f>HYPERLINK("https://klasma.github.io/Logging_0883/kartor/A 11609-2022 karta.png", "A 11609-2022")</f>
        <v/>
      </c>
      <c r="U197">
        <f>HYPERLINK("https://klasma.github.io/Logging_0883/knärot/A 11609-2022 karta knärot.png", "A 11609-2022")</f>
        <v/>
      </c>
      <c r="V197">
        <f>HYPERLINK("https://klasma.github.io/Logging_0883/klagomål/A 11609-2022 FSC-klagomål.docx", "A 11609-2022")</f>
        <v/>
      </c>
      <c r="W197">
        <f>HYPERLINK("https://klasma.github.io/Logging_0883/klagomålsmail/A 11609-2022 FSC-klagomål mail.docx", "A 11609-2022")</f>
        <v/>
      </c>
      <c r="X197">
        <f>HYPERLINK("https://klasma.github.io/Logging_0883/tillsyn/A 11609-2022 tillsynsbegäran.docx", "A 11609-2022")</f>
        <v/>
      </c>
      <c r="Y197">
        <f>HYPERLINK("https://klasma.github.io/Logging_0883/tillsynsmail/A 11609-2022 tillsynsbegäran mail.docx", "A 11609-2022")</f>
        <v/>
      </c>
    </row>
    <row r="198" ht="15" customHeight="1">
      <c r="A198" t="inlineStr">
        <is>
          <t>A 12662-2022</t>
        </is>
      </c>
      <c r="B198" s="1" t="n">
        <v>44641</v>
      </c>
      <c r="C198" s="1" t="n">
        <v>45565</v>
      </c>
      <c r="D198" t="inlineStr">
        <is>
          <t>KALMAR LÄN</t>
        </is>
      </c>
      <c r="E198" t="inlineStr">
        <is>
          <t>VÄSTERVIK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HYPERLINK("https://klasma.github.io/Logging_0883/artfynd/A 12662-2022 artfynd.xlsx", "A 12662-2022")</f>
        <v/>
      </c>
      <c r="T198">
        <f>HYPERLINK("https://klasma.github.io/Logging_0883/kartor/A 12662-2022 karta.png", "A 12662-2022")</f>
        <v/>
      </c>
      <c r="V198">
        <f>HYPERLINK("https://klasma.github.io/Logging_0883/klagomål/A 12662-2022 FSC-klagomål.docx", "A 12662-2022")</f>
        <v/>
      </c>
      <c r="W198">
        <f>HYPERLINK("https://klasma.github.io/Logging_0883/klagomålsmail/A 12662-2022 FSC-klagomål mail.docx", "A 12662-2022")</f>
        <v/>
      </c>
      <c r="X198">
        <f>HYPERLINK("https://klasma.github.io/Logging_0883/tillsyn/A 12662-2022 tillsynsbegäran.docx", "A 12662-2022")</f>
        <v/>
      </c>
      <c r="Y198">
        <f>HYPERLINK("https://klasma.github.io/Logging_0883/tillsynsmail/A 12662-2022 tillsynsbegäran mail.docx", "A 12662-2022")</f>
        <v/>
      </c>
    </row>
    <row r="199" ht="15" customHeight="1">
      <c r="A199" t="inlineStr">
        <is>
          <t>A 15378-2022</t>
        </is>
      </c>
      <c r="B199" s="1" t="n">
        <v>44659</v>
      </c>
      <c r="C199" s="1" t="n">
        <v>45565</v>
      </c>
      <c r="D199" t="inlineStr">
        <is>
          <t>KALMAR LÄN</t>
        </is>
      </c>
      <c r="E199" t="inlineStr">
        <is>
          <t>VÄSTERVIK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Klofibbla</t>
        </is>
      </c>
      <c r="S199">
        <f>HYPERLINK("https://klasma.github.io/Logging_0883/artfynd/A 15378-2022 artfynd.xlsx", "A 15378-2022")</f>
        <v/>
      </c>
      <c r="T199">
        <f>HYPERLINK("https://klasma.github.io/Logging_0883/kartor/A 15378-2022 karta.png", "A 15378-2022")</f>
        <v/>
      </c>
      <c r="V199">
        <f>HYPERLINK("https://klasma.github.io/Logging_0883/klagomål/A 15378-2022 FSC-klagomål.docx", "A 15378-2022")</f>
        <v/>
      </c>
      <c r="W199">
        <f>HYPERLINK("https://klasma.github.io/Logging_0883/klagomålsmail/A 15378-2022 FSC-klagomål mail.docx", "A 15378-2022")</f>
        <v/>
      </c>
      <c r="X199">
        <f>HYPERLINK("https://klasma.github.io/Logging_0883/tillsyn/A 15378-2022 tillsynsbegäran.docx", "A 15378-2022")</f>
        <v/>
      </c>
      <c r="Y199">
        <f>HYPERLINK("https://klasma.github.io/Logging_0883/tillsynsmail/A 15378-2022 tillsynsbegäran mail.docx", "A 15378-2022")</f>
        <v/>
      </c>
    </row>
    <row r="200" ht="15" customHeight="1">
      <c r="A200" t="inlineStr">
        <is>
          <t>A 19900-2022</t>
        </is>
      </c>
      <c r="B200" s="1" t="n">
        <v>44697</v>
      </c>
      <c r="C200" s="1" t="n">
        <v>45565</v>
      </c>
      <c r="D200" t="inlineStr">
        <is>
          <t>KALMAR LÄN</t>
        </is>
      </c>
      <c r="E200" t="inlineStr">
        <is>
          <t>VÄSTERVIK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HYPERLINK("https://klasma.github.io/Logging_0883/artfynd/A 19900-2022 artfynd.xlsx", "A 19900-2022")</f>
        <v/>
      </c>
      <c r="T200">
        <f>HYPERLINK("https://klasma.github.io/Logging_0883/kartor/A 19900-2022 karta.png", "A 19900-2022")</f>
        <v/>
      </c>
      <c r="U200">
        <f>HYPERLINK("https://klasma.github.io/Logging_0883/knärot/A 19900-2022 karta knärot.png", "A 19900-2022")</f>
        <v/>
      </c>
      <c r="V200">
        <f>HYPERLINK("https://klasma.github.io/Logging_0883/klagomål/A 19900-2022 FSC-klagomål.docx", "A 19900-2022")</f>
        <v/>
      </c>
      <c r="W200">
        <f>HYPERLINK("https://klasma.github.io/Logging_0883/klagomålsmail/A 19900-2022 FSC-klagomål mail.docx", "A 19900-2022")</f>
        <v/>
      </c>
      <c r="X200">
        <f>HYPERLINK("https://klasma.github.io/Logging_0883/tillsyn/A 19900-2022 tillsynsbegäran.docx", "A 19900-2022")</f>
        <v/>
      </c>
      <c r="Y200">
        <f>HYPERLINK("https://klasma.github.io/Logging_0883/tillsynsmail/A 19900-2022 tillsynsbegäran mail.docx", "A 19900-2022")</f>
        <v/>
      </c>
    </row>
    <row r="201" ht="15" customHeight="1">
      <c r="A201" t="inlineStr">
        <is>
          <t>A 26056-2022</t>
        </is>
      </c>
      <c r="B201" s="1" t="n">
        <v>44734</v>
      </c>
      <c r="C201" s="1" t="n">
        <v>45565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HYPERLINK("https://klasma.github.io/Logging_0883/artfynd/A 26056-2022 artfynd.xlsx", "A 26056-2022")</f>
        <v/>
      </c>
      <c r="T201">
        <f>HYPERLINK("https://klasma.github.io/Logging_0883/kartor/A 26056-2022 karta.png", "A 26056-2022")</f>
        <v/>
      </c>
      <c r="V201">
        <f>HYPERLINK("https://klasma.github.io/Logging_0883/klagomål/A 26056-2022 FSC-klagomål.docx", "A 26056-2022")</f>
        <v/>
      </c>
      <c r="W201">
        <f>HYPERLINK("https://klasma.github.io/Logging_0883/klagomålsmail/A 26056-2022 FSC-klagomål mail.docx", "A 26056-2022")</f>
        <v/>
      </c>
      <c r="X201">
        <f>HYPERLINK("https://klasma.github.io/Logging_0883/tillsyn/A 26056-2022 tillsynsbegäran.docx", "A 26056-2022")</f>
        <v/>
      </c>
      <c r="Y201">
        <f>HYPERLINK("https://klasma.github.io/Logging_0883/tillsynsmail/A 26056-2022 tillsynsbegäran mail.docx", "A 26056-2022")</f>
        <v/>
      </c>
    </row>
    <row r="202" ht="15" customHeight="1">
      <c r="A202" t="inlineStr">
        <is>
          <t>A 33209-2022</t>
        </is>
      </c>
      <c r="B202" s="1" t="n">
        <v>44785</v>
      </c>
      <c r="C202" s="1" t="n">
        <v>45565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33209-2022 artfynd.xlsx", "A 33209-2022")</f>
        <v/>
      </c>
      <c r="T202">
        <f>HYPERLINK("https://klasma.github.io/Logging_0883/kartor/A 33209-2022 karta.png", "A 33209-2022")</f>
        <v/>
      </c>
      <c r="V202">
        <f>HYPERLINK("https://klasma.github.io/Logging_0883/klagomål/A 33209-2022 FSC-klagomål.docx", "A 33209-2022")</f>
        <v/>
      </c>
      <c r="W202">
        <f>HYPERLINK("https://klasma.github.io/Logging_0883/klagomålsmail/A 33209-2022 FSC-klagomål mail.docx", "A 33209-2022")</f>
        <v/>
      </c>
      <c r="X202">
        <f>HYPERLINK("https://klasma.github.io/Logging_0883/tillsyn/A 33209-2022 tillsynsbegäran.docx", "A 33209-2022")</f>
        <v/>
      </c>
      <c r="Y202">
        <f>HYPERLINK("https://klasma.github.io/Logging_0883/tillsynsmail/A 33209-2022 tillsynsbegäran mail.docx", "A 33209-2022")</f>
        <v/>
      </c>
    </row>
    <row r="203" ht="15" customHeight="1">
      <c r="A203" t="inlineStr">
        <is>
          <t>A 40924-2022</t>
        </is>
      </c>
      <c r="B203" s="1" t="n">
        <v>44825</v>
      </c>
      <c r="C203" s="1" t="n">
        <v>45565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0.5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Barbastell</t>
        </is>
      </c>
      <c r="S203">
        <f>HYPERLINK("https://klasma.github.io/Logging_0883/artfynd/A 40924-2022 artfynd.xlsx", "A 40924-2022")</f>
        <v/>
      </c>
      <c r="T203">
        <f>HYPERLINK("https://klasma.github.io/Logging_0883/kartor/A 40924-2022 karta.png", "A 40924-2022")</f>
        <v/>
      </c>
      <c r="V203">
        <f>HYPERLINK("https://klasma.github.io/Logging_0883/klagomål/A 40924-2022 FSC-klagomål.docx", "A 40924-2022")</f>
        <v/>
      </c>
      <c r="W203">
        <f>HYPERLINK("https://klasma.github.io/Logging_0883/klagomålsmail/A 40924-2022 FSC-klagomål mail.docx", "A 40924-2022")</f>
        <v/>
      </c>
      <c r="X203">
        <f>HYPERLINK("https://klasma.github.io/Logging_0883/tillsyn/A 40924-2022 tillsynsbegäran.docx", "A 40924-2022")</f>
        <v/>
      </c>
      <c r="Y203">
        <f>HYPERLINK("https://klasma.github.io/Logging_0883/tillsynsmail/A 40924-2022 tillsynsbegäran mail.docx", "A 40924-2022")</f>
        <v/>
      </c>
    </row>
    <row r="204" ht="15" customHeight="1">
      <c r="A204" t="inlineStr">
        <is>
          <t>A 46559-2022</t>
        </is>
      </c>
      <c r="B204" s="1" t="n">
        <v>44848</v>
      </c>
      <c r="C204" s="1" t="n">
        <v>45565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HYPERLINK("https://klasma.github.io/Logging_0883/artfynd/A 46559-2022 artfynd.xlsx", "A 46559-2022")</f>
        <v/>
      </c>
      <c r="T204">
        <f>HYPERLINK("https://klasma.github.io/Logging_0883/kartor/A 46559-2022 karta.png", "A 46559-2022")</f>
        <v/>
      </c>
      <c r="V204">
        <f>HYPERLINK("https://klasma.github.io/Logging_0883/klagomål/A 46559-2022 FSC-klagomål.docx", "A 46559-2022")</f>
        <v/>
      </c>
      <c r="W204">
        <f>HYPERLINK("https://klasma.github.io/Logging_0883/klagomålsmail/A 46559-2022 FSC-klagomål mail.docx", "A 46559-2022")</f>
        <v/>
      </c>
      <c r="X204">
        <f>HYPERLINK("https://klasma.github.io/Logging_0883/tillsyn/A 46559-2022 tillsynsbegäran.docx", "A 46559-2022")</f>
        <v/>
      </c>
      <c r="Y204">
        <f>HYPERLINK("https://klasma.github.io/Logging_0883/tillsynsmail/A 46559-2022 tillsynsbegäran mail.docx", "A 46559-2022")</f>
        <v/>
      </c>
    </row>
    <row r="205" ht="15" customHeight="1">
      <c r="A205" t="inlineStr">
        <is>
          <t>A 46556-2022</t>
        </is>
      </c>
      <c r="B205" s="1" t="n">
        <v>44848</v>
      </c>
      <c r="C205" s="1" t="n">
        <v>45565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HYPERLINK("https://klasma.github.io/Logging_0883/artfynd/A 46556-2022 artfynd.xlsx", "A 46556-2022")</f>
        <v/>
      </c>
      <c r="T205">
        <f>HYPERLINK("https://klasma.github.io/Logging_0883/kartor/A 46556-2022 karta.png", "A 46556-2022")</f>
        <v/>
      </c>
      <c r="V205">
        <f>HYPERLINK("https://klasma.github.io/Logging_0883/klagomål/A 46556-2022 FSC-klagomål.docx", "A 46556-2022")</f>
        <v/>
      </c>
      <c r="W205">
        <f>HYPERLINK("https://klasma.github.io/Logging_0883/klagomålsmail/A 46556-2022 FSC-klagomål mail.docx", "A 46556-2022")</f>
        <v/>
      </c>
      <c r="X205">
        <f>HYPERLINK("https://klasma.github.io/Logging_0883/tillsyn/A 46556-2022 tillsynsbegäran.docx", "A 46556-2022")</f>
        <v/>
      </c>
      <c r="Y205">
        <f>HYPERLINK("https://klasma.github.io/Logging_0883/tillsynsmail/A 46556-2022 tillsynsbegäran mail.docx", "A 46556-2022")</f>
        <v/>
      </c>
    </row>
    <row r="206" ht="15" customHeight="1">
      <c r="A206" t="inlineStr">
        <is>
          <t>A 51024-2022</t>
        </is>
      </c>
      <c r="B206" s="1" t="n">
        <v>44867</v>
      </c>
      <c r="C206" s="1" t="n">
        <v>45565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7.6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HYPERLINK("https://klasma.github.io/Logging_0883/artfynd/A 51024-2022 artfynd.xlsx", "A 51024-2022")</f>
        <v/>
      </c>
      <c r="T206">
        <f>HYPERLINK("https://klasma.github.io/Logging_0883/kartor/A 51024-2022 karta.png", "A 51024-2022")</f>
        <v/>
      </c>
      <c r="V206">
        <f>HYPERLINK("https://klasma.github.io/Logging_0883/klagomål/A 51024-2022 FSC-klagomål.docx", "A 51024-2022")</f>
        <v/>
      </c>
      <c r="W206">
        <f>HYPERLINK("https://klasma.github.io/Logging_0883/klagomålsmail/A 51024-2022 FSC-klagomål mail.docx", "A 51024-2022")</f>
        <v/>
      </c>
      <c r="X206">
        <f>HYPERLINK("https://klasma.github.io/Logging_0883/tillsyn/A 51024-2022 tillsynsbegäran.docx", "A 51024-2022")</f>
        <v/>
      </c>
      <c r="Y206">
        <f>HYPERLINK("https://klasma.github.io/Logging_0883/tillsynsmail/A 51024-2022 tillsynsbegäran mail.docx", "A 51024-2022")</f>
        <v/>
      </c>
      <c r="Z206">
        <f>HYPERLINK("https://klasma.github.io/Logging_0883/fåglar/A 51024-2022 prioriterade fågelarter.docx", "A 51024-2022")</f>
        <v/>
      </c>
    </row>
    <row r="207" ht="15" customHeight="1">
      <c r="A207" t="inlineStr">
        <is>
          <t>A 54193-2022</t>
        </is>
      </c>
      <c r="B207" s="1" t="n">
        <v>44881</v>
      </c>
      <c r="C207" s="1" t="n">
        <v>45565</v>
      </c>
      <c r="D207" t="inlineStr">
        <is>
          <t>KALMAR LÄN</t>
        </is>
      </c>
      <c r="E207" t="inlineStr">
        <is>
          <t>VÄSTERVIK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Murgröna</t>
        </is>
      </c>
      <c r="S207">
        <f>HYPERLINK("https://klasma.github.io/Logging_0883/artfynd/A 54193-2022 artfynd.xlsx", "A 54193-2022")</f>
        <v/>
      </c>
      <c r="T207">
        <f>HYPERLINK("https://klasma.github.io/Logging_0883/kartor/A 54193-2022 karta.png", "A 54193-2022")</f>
        <v/>
      </c>
      <c r="U207">
        <f>HYPERLINK("https://klasma.github.io/Logging_0883/knärot/A 54193-2022 karta knärot.png", "A 54193-2022")</f>
        <v/>
      </c>
      <c r="V207">
        <f>HYPERLINK("https://klasma.github.io/Logging_0883/klagomål/A 54193-2022 FSC-klagomål.docx", "A 54193-2022")</f>
        <v/>
      </c>
      <c r="W207">
        <f>HYPERLINK("https://klasma.github.io/Logging_0883/klagomålsmail/A 54193-2022 FSC-klagomål mail.docx", "A 54193-2022")</f>
        <v/>
      </c>
      <c r="X207">
        <f>HYPERLINK("https://klasma.github.io/Logging_0883/tillsyn/A 54193-2022 tillsynsbegäran.docx", "A 54193-2022")</f>
        <v/>
      </c>
      <c r="Y207">
        <f>HYPERLINK("https://klasma.github.io/Logging_0883/tillsynsmail/A 54193-2022 tillsynsbegäran mail.docx", "A 54193-2022")</f>
        <v/>
      </c>
    </row>
    <row r="208" ht="15" customHeight="1">
      <c r="A208" t="inlineStr">
        <is>
          <t>A 59178-2022</t>
        </is>
      </c>
      <c r="B208" s="1" t="n">
        <v>44904</v>
      </c>
      <c r="C208" s="1" t="n">
        <v>45565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59178-2022 artfynd.xlsx", "A 59178-2022")</f>
        <v/>
      </c>
      <c r="T208">
        <f>HYPERLINK("https://klasma.github.io/Logging_0883/kartor/A 59178-2022 karta.png", "A 59178-2022")</f>
        <v/>
      </c>
      <c r="V208">
        <f>HYPERLINK("https://klasma.github.io/Logging_0883/klagomål/A 59178-2022 FSC-klagomål.docx", "A 59178-2022")</f>
        <v/>
      </c>
      <c r="W208">
        <f>HYPERLINK("https://klasma.github.io/Logging_0883/klagomålsmail/A 59178-2022 FSC-klagomål mail.docx", "A 59178-2022")</f>
        <v/>
      </c>
      <c r="X208">
        <f>HYPERLINK("https://klasma.github.io/Logging_0883/tillsyn/A 59178-2022 tillsynsbegäran.docx", "A 59178-2022")</f>
        <v/>
      </c>
      <c r="Y208">
        <f>HYPERLINK("https://klasma.github.io/Logging_0883/tillsynsmail/A 59178-2022 tillsynsbegäran mail.docx", "A 59178-2022")</f>
        <v/>
      </c>
    </row>
    <row r="209" ht="15" customHeight="1">
      <c r="A209" t="inlineStr">
        <is>
          <t>A 59231-2022</t>
        </is>
      </c>
      <c r="B209" s="1" t="n">
        <v>44904</v>
      </c>
      <c r="C209" s="1" t="n">
        <v>45565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HYPERLINK("https://klasma.github.io/Logging_0883/artfynd/A 59231-2022 artfynd.xlsx", "A 59231-2022")</f>
        <v/>
      </c>
      <c r="T209">
        <f>HYPERLINK("https://klasma.github.io/Logging_0883/kartor/A 59231-2022 karta.png", "A 59231-2022")</f>
        <v/>
      </c>
      <c r="V209">
        <f>HYPERLINK("https://klasma.github.io/Logging_0883/klagomål/A 59231-2022 FSC-klagomål.docx", "A 59231-2022")</f>
        <v/>
      </c>
      <c r="W209">
        <f>HYPERLINK("https://klasma.github.io/Logging_0883/klagomålsmail/A 59231-2022 FSC-klagomål mail.docx", "A 59231-2022")</f>
        <v/>
      </c>
      <c r="X209">
        <f>HYPERLINK("https://klasma.github.io/Logging_0883/tillsyn/A 59231-2022 tillsynsbegäran.docx", "A 59231-2022")</f>
        <v/>
      </c>
      <c r="Y209">
        <f>HYPERLINK("https://klasma.github.io/Logging_0883/tillsynsmail/A 59231-2022 tillsynsbegäran mail.docx", "A 59231-2022")</f>
        <v/>
      </c>
    </row>
    <row r="210" ht="15" customHeight="1">
      <c r="A210" t="inlineStr">
        <is>
          <t>A 975-2023</t>
        </is>
      </c>
      <c r="B210" s="1" t="n">
        <v>44935</v>
      </c>
      <c r="C210" s="1" t="n">
        <v>45565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Läderbagge</t>
        </is>
      </c>
      <c r="S210">
        <f>HYPERLINK("https://klasma.github.io/Logging_0883/artfynd/A 975-2023 artfynd.xlsx", "A 975-2023")</f>
        <v/>
      </c>
      <c r="T210">
        <f>HYPERLINK("https://klasma.github.io/Logging_0883/kartor/A 975-2023 karta.png", "A 975-2023")</f>
        <v/>
      </c>
      <c r="V210">
        <f>HYPERLINK("https://klasma.github.io/Logging_0883/klagomål/A 975-2023 FSC-klagomål.docx", "A 975-2023")</f>
        <v/>
      </c>
      <c r="W210">
        <f>HYPERLINK("https://klasma.github.io/Logging_0883/klagomålsmail/A 975-2023 FSC-klagomål mail.docx", "A 975-2023")</f>
        <v/>
      </c>
      <c r="X210">
        <f>HYPERLINK("https://klasma.github.io/Logging_0883/tillsyn/A 975-2023 tillsynsbegäran.docx", "A 975-2023")</f>
        <v/>
      </c>
      <c r="Y210">
        <f>HYPERLINK("https://klasma.github.io/Logging_0883/tillsynsmail/A 975-2023 tillsynsbegäran mail.docx", "A 975-2023")</f>
        <v/>
      </c>
    </row>
    <row r="211" ht="15" customHeight="1">
      <c r="A211" t="inlineStr">
        <is>
          <t>A 1024-2023</t>
        </is>
      </c>
      <c r="B211" s="1" t="n">
        <v>44935</v>
      </c>
      <c r="C211" s="1" t="n">
        <v>45565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Ekticka</t>
        </is>
      </c>
      <c r="S211">
        <f>HYPERLINK("https://klasma.github.io/Logging_0883/artfynd/A 1024-2023 artfynd.xlsx", "A 1024-2023")</f>
        <v/>
      </c>
      <c r="T211">
        <f>HYPERLINK("https://klasma.github.io/Logging_0883/kartor/A 1024-2023 karta.png", "A 1024-2023")</f>
        <v/>
      </c>
      <c r="V211">
        <f>HYPERLINK("https://klasma.github.io/Logging_0883/klagomål/A 1024-2023 FSC-klagomål.docx", "A 1024-2023")</f>
        <v/>
      </c>
      <c r="W211">
        <f>HYPERLINK("https://klasma.github.io/Logging_0883/klagomålsmail/A 1024-2023 FSC-klagomål mail.docx", "A 1024-2023")</f>
        <v/>
      </c>
      <c r="X211">
        <f>HYPERLINK("https://klasma.github.io/Logging_0883/tillsyn/A 1024-2023 tillsynsbegäran.docx", "A 1024-2023")</f>
        <v/>
      </c>
      <c r="Y211">
        <f>HYPERLINK("https://klasma.github.io/Logging_0883/tillsynsmail/A 1024-2023 tillsynsbegäran mail.docx", "A 1024-2023")</f>
        <v/>
      </c>
    </row>
    <row r="212" ht="15" customHeight="1">
      <c r="A212" t="inlineStr">
        <is>
          <t>A 11589-2023</t>
        </is>
      </c>
      <c r="B212" s="1" t="n">
        <v>44994</v>
      </c>
      <c r="C212" s="1" t="n">
        <v>45565</v>
      </c>
      <c r="D212" t="inlineStr">
        <is>
          <t>KALMAR LÄN</t>
        </is>
      </c>
      <c r="E212" t="inlineStr">
        <is>
          <t>VÄSTERVIK</t>
        </is>
      </c>
      <c r="G212" t="n">
        <v>7.7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HYPERLINK("https://klasma.github.io/Logging_0883/artfynd/A 11589-2023 artfynd.xlsx", "A 11589-2023")</f>
        <v/>
      </c>
      <c r="T212">
        <f>HYPERLINK("https://klasma.github.io/Logging_0883/kartor/A 11589-2023 karta.png", "A 11589-2023")</f>
        <v/>
      </c>
      <c r="V212">
        <f>HYPERLINK("https://klasma.github.io/Logging_0883/klagomål/A 11589-2023 FSC-klagomål.docx", "A 11589-2023")</f>
        <v/>
      </c>
      <c r="W212">
        <f>HYPERLINK("https://klasma.github.io/Logging_0883/klagomålsmail/A 11589-2023 FSC-klagomål mail.docx", "A 11589-2023")</f>
        <v/>
      </c>
      <c r="X212">
        <f>HYPERLINK("https://klasma.github.io/Logging_0883/tillsyn/A 11589-2023 tillsynsbegäran.docx", "A 11589-2023")</f>
        <v/>
      </c>
      <c r="Y212">
        <f>HYPERLINK("https://klasma.github.io/Logging_0883/tillsynsmail/A 11589-2023 tillsynsbegäran mail.docx", "A 11589-2023")</f>
        <v/>
      </c>
    </row>
    <row r="213" ht="15" customHeight="1">
      <c r="A213" t="inlineStr">
        <is>
          <t>A 11729-2023</t>
        </is>
      </c>
      <c r="B213" s="1" t="n">
        <v>44994</v>
      </c>
      <c r="C213" s="1" t="n">
        <v>45565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Bredbrämad bastardsvärmare</t>
        </is>
      </c>
      <c r="S213">
        <f>HYPERLINK("https://klasma.github.io/Logging_0883/artfynd/A 11729-2023 artfynd.xlsx", "A 11729-2023")</f>
        <v/>
      </c>
      <c r="T213">
        <f>HYPERLINK("https://klasma.github.io/Logging_0883/kartor/A 11729-2023 karta.png", "A 11729-2023")</f>
        <v/>
      </c>
      <c r="V213">
        <f>HYPERLINK("https://klasma.github.io/Logging_0883/klagomål/A 11729-2023 FSC-klagomål.docx", "A 11729-2023")</f>
        <v/>
      </c>
      <c r="W213">
        <f>HYPERLINK("https://klasma.github.io/Logging_0883/klagomålsmail/A 11729-2023 FSC-klagomål mail.docx", "A 11729-2023")</f>
        <v/>
      </c>
      <c r="X213">
        <f>HYPERLINK("https://klasma.github.io/Logging_0883/tillsyn/A 11729-2023 tillsynsbegäran.docx", "A 11729-2023")</f>
        <v/>
      </c>
      <c r="Y213">
        <f>HYPERLINK("https://klasma.github.io/Logging_0883/tillsynsmail/A 11729-2023 tillsynsbegäran mail.docx", "A 11729-2023")</f>
        <v/>
      </c>
    </row>
    <row r="214" ht="15" customHeight="1">
      <c r="A214" t="inlineStr">
        <is>
          <t>A 14720-2023</t>
        </is>
      </c>
      <c r="B214" s="1" t="n">
        <v>45014</v>
      </c>
      <c r="C214" s="1" t="n">
        <v>45565</v>
      </c>
      <c r="D214" t="inlineStr">
        <is>
          <t>KALMAR LÄN</t>
        </is>
      </c>
      <c r="E214" t="inlineStr">
        <is>
          <t>VÄSTERVIK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14720-2023 artfynd.xlsx", "A 14720-2023")</f>
        <v/>
      </c>
      <c r="T214">
        <f>HYPERLINK("https://klasma.github.io/Logging_0883/kartor/A 14720-2023 karta.png", "A 14720-2023")</f>
        <v/>
      </c>
      <c r="U214">
        <f>HYPERLINK("https://klasma.github.io/Logging_0883/knärot/A 14720-2023 karta knärot.png", "A 14720-2023")</f>
        <v/>
      </c>
      <c r="V214">
        <f>HYPERLINK("https://klasma.github.io/Logging_0883/klagomål/A 14720-2023 FSC-klagomål.docx", "A 14720-2023")</f>
        <v/>
      </c>
      <c r="W214">
        <f>HYPERLINK("https://klasma.github.io/Logging_0883/klagomålsmail/A 14720-2023 FSC-klagomål mail.docx", "A 14720-2023")</f>
        <v/>
      </c>
      <c r="X214">
        <f>HYPERLINK("https://klasma.github.io/Logging_0883/tillsyn/A 14720-2023 tillsynsbegäran.docx", "A 14720-2023")</f>
        <v/>
      </c>
      <c r="Y214">
        <f>HYPERLINK("https://klasma.github.io/Logging_0883/tillsynsmail/A 14720-2023 tillsynsbegäran mail.docx", "A 14720-2023")</f>
        <v/>
      </c>
    </row>
    <row r="215" ht="15" customHeight="1">
      <c r="A215" t="inlineStr">
        <is>
          <t>A 21828-2023</t>
        </is>
      </c>
      <c r="B215" s="1" t="n">
        <v>45068</v>
      </c>
      <c r="C215" s="1" t="n">
        <v>45565</v>
      </c>
      <c r="D215" t="inlineStr">
        <is>
          <t>KALMAR LÄN</t>
        </is>
      </c>
      <c r="E215" t="inlineStr">
        <is>
          <t>VÄSTERVIK</t>
        </is>
      </c>
      <c r="G215" t="n">
        <v>0.7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HYPERLINK("https://klasma.github.io/Logging_0883/artfynd/A 21828-2023 artfynd.xlsx", "A 21828-2023")</f>
        <v/>
      </c>
      <c r="T215">
        <f>HYPERLINK("https://klasma.github.io/Logging_0883/kartor/A 21828-2023 karta.png", "A 21828-2023")</f>
        <v/>
      </c>
      <c r="V215">
        <f>HYPERLINK("https://klasma.github.io/Logging_0883/klagomål/A 21828-2023 FSC-klagomål.docx", "A 21828-2023")</f>
        <v/>
      </c>
      <c r="W215">
        <f>HYPERLINK("https://klasma.github.io/Logging_0883/klagomålsmail/A 21828-2023 FSC-klagomål mail.docx", "A 21828-2023")</f>
        <v/>
      </c>
      <c r="X215">
        <f>HYPERLINK("https://klasma.github.io/Logging_0883/tillsyn/A 21828-2023 tillsynsbegäran.docx", "A 21828-2023")</f>
        <v/>
      </c>
      <c r="Y215">
        <f>HYPERLINK("https://klasma.github.io/Logging_0883/tillsynsmail/A 21828-2023 tillsynsbegäran mail.docx", "A 21828-2023")</f>
        <v/>
      </c>
    </row>
    <row r="216" ht="15" customHeight="1">
      <c r="A216" t="inlineStr">
        <is>
          <t>A 25436-2023</t>
        </is>
      </c>
      <c r="B216" s="1" t="n">
        <v>45089</v>
      </c>
      <c r="C216" s="1" t="n">
        <v>45565</v>
      </c>
      <c r="D216" t="inlineStr">
        <is>
          <t>KALMAR LÄN</t>
        </is>
      </c>
      <c r="E216" t="inlineStr">
        <is>
          <t>VÄSTERVIK</t>
        </is>
      </c>
      <c r="G216" t="n">
        <v>1.6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25436-2023 artfynd.xlsx", "A 25436-2023")</f>
        <v/>
      </c>
      <c r="T216">
        <f>HYPERLINK("https://klasma.github.io/Logging_0883/kartor/A 25436-2023 karta.png", "A 25436-2023")</f>
        <v/>
      </c>
      <c r="U216">
        <f>HYPERLINK("https://klasma.github.io/Logging_0883/knärot/A 25436-2023 karta knärot.png", "A 25436-2023")</f>
        <v/>
      </c>
      <c r="V216">
        <f>HYPERLINK("https://klasma.github.io/Logging_0883/klagomål/A 25436-2023 FSC-klagomål.docx", "A 25436-2023")</f>
        <v/>
      </c>
      <c r="W216">
        <f>HYPERLINK("https://klasma.github.io/Logging_0883/klagomålsmail/A 25436-2023 FSC-klagomål mail.docx", "A 25436-2023")</f>
        <v/>
      </c>
      <c r="X216">
        <f>HYPERLINK("https://klasma.github.io/Logging_0883/tillsyn/A 25436-2023 tillsynsbegäran.docx", "A 25436-2023")</f>
        <v/>
      </c>
      <c r="Y216">
        <f>HYPERLINK("https://klasma.github.io/Logging_0883/tillsynsmail/A 25436-2023 tillsynsbegäran mail.docx", "A 25436-2023")</f>
        <v/>
      </c>
    </row>
    <row r="217" ht="15" customHeight="1">
      <c r="A217" t="inlineStr">
        <is>
          <t>A 25433-2023</t>
        </is>
      </c>
      <c r="B217" s="1" t="n">
        <v>45089</v>
      </c>
      <c r="C217" s="1" t="n">
        <v>45565</v>
      </c>
      <c r="D217" t="inlineStr">
        <is>
          <t>KALMAR LÄN</t>
        </is>
      </c>
      <c r="E217" t="inlineStr">
        <is>
          <t>VÄSTERVIK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25433-2023 artfynd.xlsx", "A 25433-2023")</f>
        <v/>
      </c>
      <c r="T217">
        <f>HYPERLINK("https://klasma.github.io/Logging_0883/kartor/A 25433-2023 karta.png", "A 25433-2023")</f>
        <v/>
      </c>
      <c r="U217">
        <f>HYPERLINK("https://klasma.github.io/Logging_0883/knärot/A 25433-2023 karta knärot.png", "A 25433-2023")</f>
        <v/>
      </c>
      <c r="V217">
        <f>HYPERLINK("https://klasma.github.io/Logging_0883/klagomål/A 25433-2023 FSC-klagomål.docx", "A 25433-2023")</f>
        <v/>
      </c>
      <c r="W217">
        <f>HYPERLINK("https://klasma.github.io/Logging_0883/klagomålsmail/A 25433-2023 FSC-klagomål mail.docx", "A 25433-2023")</f>
        <v/>
      </c>
      <c r="X217">
        <f>HYPERLINK("https://klasma.github.io/Logging_0883/tillsyn/A 25433-2023 tillsynsbegäran.docx", "A 25433-2023")</f>
        <v/>
      </c>
      <c r="Y217">
        <f>HYPERLINK("https://klasma.github.io/Logging_0883/tillsynsmail/A 25433-2023 tillsynsbegäran mail.docx", "A 25433-2023")</f>
        <v/>
      </c>
    </row>
    <row r="218" ht="15" customHeight="1">
      <c r="A218" t="inlineStr">
        <is>
          <t>A 25563-2023</t>
        </is>
      </c>
      <c r="B218" s="1" t="n">
        <v>45089</v>
      </c>
      <c r="C218" s="1" t="n">
        <v>45565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25563-2023 artfynd.xlsx", "A 25563-2023")</f>
        <v/>
      </c>
      <c r="T218">
        <f>HYPERLINK("https://klasma.github.io/Logging_0883/kartor/A 25563-2023 karta.png", "A 25563-2023")</f>
        <v/>
      </c>
      <c r="V218">
        <f>HYPERLINK("https://klasma.github.io/Logging_0883/klagomål/A 25563-2023 FSC-klagomål.docx", "A 25563-2023")</f>
        <v/>
      </c>
      <c r="W218">
        <f>HYPERLINK("https://klasma.github.io/Logging_0883/klagomålsmail/A 25563-2023 FSC-klagomål mail.docx", "A 25563-2023")</f>
        <v/>
      </c>
      <c r="X218">
        <f>HYPERLINK("https://klasma.github.io/Logging_0883/tillsyn/A 25563-2023 tillsynsbegäran.docx", "A 25563-2023")</f>
        <v/>
      </c>
      <c r="Y218">
        <f>HYPERLINK("https://klasma.github.io/Logging_0883/tillsynsmail/A 25563-2023 tillsynsbegäran mail.docx", "A 25563-2023")</f>
        <v/>
      </c>
      <c r="Z218">
        <f>HYPERLINK("https://klasma.github.io/Logging_0883/fåglar/A 25563-2023 prioriterade fågelarter.docx", "A 25563-2023")</f>
        <v/>
      </c>
    </row>
    <row r="219" ht="15" customHeight="1">
      <c r="A219" t="inlineStr">
        <is>
          <t>A 26278-2023</t>
        </is>
      </c>
      <c r="B219" s="1" t="n">
        <v>45091</v>
      </c>
      <c r="C219" s="1" t="n">
        <v>45565</v>
      </c>
      <c r="D219" t="inlineStr">
        <is>
          <t>KALMAR LÄN</t>
        </is>
      </c>
      <c r="E219" t="inlineStr">
        <is>
          <t>VÄSTERVIK</t>
        </is>
      </c>
      <c r="G219" t="n">
        <v>3.1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26278-2023 artfynd.xlsx", "A 26278-2023")</f>
        <v/>
      </c>
      <c r="T219">
        <f>HYPERLINK("https://klasma.github.io/Logging_0883/kartor/A 26278-2023 karta.png", "A 26278-2023")</f>
        <v/>
      </c>
      <c r="U219">
        <f>HYPERLINK("https://klasma.github.io/Logging_0883/knärot/A 26278-2023 karta knärot.png", "A 26278-2023")</f>
        <v/>
      </c>
      <c r="V219">
        <f>HYPERLINK("https://klasma.github.io/Logging_0883/klagomål/A 26278-2023 FSC-klagomål.docx", "A 26278-2023")</f>
        <v/>
      </c>
      <c r="W219">
        <f>HYPERLINK("https://klasma.github.io/Logging_0883/klagomålsmail/A 26278-2023 FSC-klagomål mail.docx", "A 26278-2023")</f>
        <v/>
      </c>
      <c r="X219">
        <f>HYPERLINK("https://klasma.github.io/Logging_0883/tillsyn/A 26278-2023 tillsynsbegäran.docx", "A 26278-2023")</f>
        <v/>
      </c>
      <c r="Y219">
        <f>HYPERLINK("https://klasma.github.io/Logging_0883/tillsynsmail/A 26278-2023 tillsynsbegäran mail.docx", "A 26278-2023")</f>
        <v/>
      </c>
    </row>
    <row r="220" ht="15" customHeight="1">
      <c r="A220" t="inlineStr">
        <is>
          <t>A 28495-2023</t>
        </is>
      </c>
      <c r="B220" s="1" t="n">
        <v>45103</v>
      </c>
      <c r="C220" s="1" t="n">
        <v>45565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28495-2023 artfynd.xlsx", "A 28495-2023")</f>
        <v/>
      </c>
      <c r="T220">
        <f>HYPERLINK("https://klasma.github.io/Logging_0883/kartor/A 28495-2023 karta.png", "A 28495-2023")</f>
        <v/>
      </c>
      <c r="U220">
        <f>HYPERLINK("https://klasma.github.io/Logging_0883/knärot/A 28495-2023 karta knärot.png", "A 28495-2023")</f>
        <v/>
      </c>
      <c r="V220">
        <f>HYPERLINK("https://klasma.github.io/Logging_0883/klagomål/A 28495-2023 FSC-klagomål.docx", "A 28495-2023")</f>
        <v/>
      </c>
      <c r="W220">
        <f>HYPERLINK("https://klasma.github.io/Logging_0883/klagomålsmail/A 28495-2023 FSC-klagomål mail.docx", "A 28495-2023")</f>
        <v/>
      </c>
      <c r="X220">
        <f>HYPERLINK("https://klasma.github.io/Logging_0883/tillsyn/A 28495-2023 tillsynsbegäran.docx", "A 28495-2023")</f>
        <v/>
      </c>
      <c r="Y220">
        <f>HYPERLINK("https://klasma.github.io/Logging_0883/tillsynsmail/A 28495-2023 tillsynsbegäran mail.docx", "A 28495-2023")</f>
        <v/>
      </c>
    </row>
    <row r="221" ht="15" customHeight="1">
      <c r="A221" t="inlineStr">
        <is>
          <t>A 32653-2023</t>
        </is>
      </c>
      <c r="B221" s="1" t="n">
        <v>45121</v>
      </c>
      <c r="C221" s="1" t="n">
        <v>45565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32653-2023 artfynd.xlsx", "A 32653-2023")</f>
        <v/>
      </c>
      <c r="T221">
        <f>HYPERLINK("https://klasma.github.io/Logging_0883/kartor/A 32653-2023 karta.png", "A 32653-2023")</f>
        <v/>
      </c>
      <c r="U221">
        <f>HYPERLINK("https://klasma.github.io/Logging_0883/knärot/A 32653-2023 karta knärot.png", "A 32653-2023")</f>
        <v/>
      </c>
      <c r="V221">
        <f>HYPERLINK("https://klasma.github.io/Logging_0883/klagomål/A 32653-2023 FSC-klagomål.docx", "A 32653-2023")</f>
        <v/>
      </c>
      <c r="W221">
        <f>HYPERLINK("https://klasma.github.io/Logging_0883/klagomålsmail/A 32653-2023 FSC-klagomål mail.docx", "A 32653-2023")</f>
        <v/>
      </c>
      <c r="X221">
        <f>HYPERLINK("https://klasma.github.io/Logging_0883/tillsyn/A 32653-2023 tillsynsbegäran.docx", "A 32653-2023")</f>
        <v/>
      </c>
      <c r="Y221">
        <f>HYPERLINK("https://klasma.github.io/Logging_0883/tillsynsmail/A 32653-2023 tillsynsbegäran mail.docx", "A 32653-2023")</f>
        <v/>
      </c>
    </row>
    <row r="222" ht="15" customHeight="1">
      <c r="A222" t="inlineStr">
        <is>
          <t>A 33816-2023</t>
        </is>
      </c>
      <c r="B222" s="1" t="n">
        <v>45133</v>
      </c>
      <c r="C222" s="1" t="n">
        <v>45565</v>
      </c>
      <c r="D222" t="inlineStr">
        <is>
          <t>KALMAR LÄN</t>
        </is>
      </c>
      <c r="E222" t="inlineStr">
        <is>
          <t>VÄSTERVIK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33816-2023 artfynd.xlsx", "A 33816-2023")</f>
        <v/>
      </c>
      <c r="T222">
        <f>HYPERLINK("https://klasma.github.io/Logging_0883/kartor/A 33816-2023 karta.png", "A 33816-2023")</f>
        <v/>
      </c>
      <c r="V222">
        <f>HYPERLINK("https://klasma.github.io/Logging_0883/klagomål/A 33816-2023 FSC-klagomål.docx", "A 33816-2023")</f>
        <v/>
      </c>
      <c r="W222">
        <f>HYPERLINK("https://klasma.github.io/Logging_0883/klagomålsmail/A 33816-2023 FSC-klagomål mail.docx", "A 33816-2023")</f>
        <v/>
      </c>
      <c r="X222">
        <f>HYPERLINK("https://klasma.github.io/Logging_0883/tillsyn/A 33816-2023 tillsynsbegäran.docx", "A 33816-2023")</f>
        <v/>
      </c>
      <c r="Y222">
        <f>HYPERLINK("https://klasma.github.io/Logging_0883/tillsynsmail/A 33816-2023 tillsynsbegäran mail.docx", "A 33816-2023")</f>
        <v/>
      </c>
    </row>
    <row r="223" ht="15" customHeight="1">
      <c r="A223" t="inlineStr">
        <is>
          <t>A 33815-2023</t>
        </is>
      </c>
      <c r="B223" s="1" t="n">
        <v>45133</v>
      </c>
      <c r="C223" s="1" t="n">
        <v>45565</v>
      </c>
      <c r="D223" t="inlineStr">
        <is>
          <t>KALMAR LÄN</t>
        </is>
      </c>
      <c r="E223" t="inlineStr">
        <is>
          <t>VÄSTERVIK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HYPERLINK("https://klasma.github.io/Logging_0883/artfynd/A 33815-2023 artfynd.xlsx", "A 33815-2023")</f>
        <v/>
      </c>
      <c r="T223">
        <f>HYPERLINK("https://klasma.github.io/Logging_0883/kartor/A 33815-2023 karta.png", "A 33815-2023")</f>
        <v/>
      </c>
      <c r="V223">
        <f>HYPERLINK("https://klasma.github.io/Logging_0883/klagomål/A 33815-2023 FSC-klagomål.docx", "A 33815-2023")</f>
        <v/>
      </c>
      <c r="W223">
        <f>HYPERLINK("https://klasma.github.io/Logging_0883/klagomålsmail/A 33815-2023 FSC-klagomål mail.docx", "A 33815-2023")</f>
        <v/>
      </c>
      <c r="X223">
        <f>HYPERLINK("https://klasma.github.io/Logging_0883/tillsyn/A 33815-2023 tillsynsbegäran.docx", "A 33815-2023")</f>
        <v/>
      </c>
      <c r="Y223">
        <f>HYPERLINK("https://klasma.github.io/Logging_0883/tillsynsmail/A 33815-2023 tillsynsbegäran mail.docx", "A 33815-2023")</f>
        <v/>
      </c>
    </row>
    <row r="224" ht="15" customHeight="1">
      <c r="A224" t="inlineStr">
        <is>
          <t>A 34563-2023</t>
        </is>
      </c>
      <c r="B224" s="1" t="n">
        <v>45140</v>
      </c>
      <c r="C224" s="1" t="n">
        <v>45565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34563-2023 artfynd.xlsx", "A 34563-2023")</f>
        <v/>
      </c>
      <c r="T224">
        <f>HYPERLINK("https://klasma.github.io/Logging_0883/kartor/A 34563-2023 karta.png", "A 34563-2023")</f>
        <v/>
      </c>
      <c r="U224">
        <f>HYPERLINK("https://klasma.github.io/Logging_0883/knärot/A 34563-2023 karta knärot.png", "A 34563-2023")</f>
        <v/>
      </c>
      <c r="V224">
        <f>HYPERLINK("https://klasma.github.io/Logging_0883/klagomål/A 34563-2023 FSC-klagomål.docx", "A 34563-2023")</f>
        <v/>
      </c>
      <c r="W224">
        <f>HYPERLINK("https://klasma.github.io/Logging_0883/klagomålsmail/A 34563-2023 FSC-klagomål mail.docx", "A 34563-2023")</f>
        <v/>
      </c>
      <c r="X224">
        <f>HYPERLINK("https://klasma.github.io/Logging_0883/tillsyn/A 34563-2023 tillsynsbegäran.docx", "A 34563-2023")</f>
        <v/>
      </c>
      <c r="Y224">
        <f>HYPERLINK("https://klasma.github.io/Logging_0883/tillsynsmail/A 34563-2023 tillsynsbegäran mail.docx", "A 34563-2023")</f>
        <v/>
      </c>
    </row>
    <row r="225" ht="15" customHeight="1">
      <c r="A225" t="inlineStr">
        <is>
          <t>A 36400-2023</t>
        </is>
      </c>
      <c r="B225" s="1" t="n">
        <v>45152</v>
      </c>
      <c r="C225" s="1" t="n">
        <v>45565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36400-2023 artfynd.xlsx", "A 36400-2023")</f>
        <v/>
      </c>
      <c r="T225">
        <f>HYPERLINK("https://klasma.github.io/Logging_0883/kartor/A 36400-2023 karta.png", "A 36400-2023")</f>
        <v/>
      </c>
      <c r="U225">
        <f>HYPERLINK("https://klasma.github.io/Logging_0883/knärot/A 36400-2023 karta knärot.png", "A 36400-2023")</f>
        <v/>
      </c>
      <c r="V225">
        <f>HYPERLINK("https://klasma.github.io/Logging_0883/klagomål/A 36400-2023 FSC-klagomål.docx", "A 36400-2023")</f>
        <v/>
      </c>
      <c r="W225">
        <f>HYPERLINK("https://klasma.github.io/Logging_0883/klagomålsmail/A 36400-2023 FSC-klagomål mail.docx", "A 36400-2023")</f>
        <v/>
      </c>
      <c r="X225">
        <f>HYPERLINK("https://klasma.github.io/Logging_0883/tillsyn/A 36400-2023 tillsynsbegäran.docx", "A 36400-2023")</f>
        <v/>
      </c>
      <c r="Y225">
        <f>HYPERLINK("https://klasma.github.io/Logging_0883/tillsynsmail/A 36400-2023 tillsynsbegäran mail.docx", "A 36400-2023")</f>
        <v/>
      </c>
    </row>
    <row r="226" ht="15" customHeight="1">
      <c r="A226" t="inlineStr">
        <is>
          <t>A 43788-2023</t>
        </is>
      </c>
      <c r="B226" s="1" t="n">
        <v>45187</v>
      </c>
      <c r="C226" s="1" t="n">
        <v>45565</v>
      </c>
      <c r="D226" t="inlineStr">
        <is>
          <t>KALMAR LÄN</t>
        </is>
      </c>
      <c r="E226" t="inlineStr">
        <is>
          <t>VÄSTERVIK</t>
        </is>
      </c>
      <c r="G226" t="n">
        <v>4.5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Motaggsvamp</t>
        </is>
      </c>
      <c r="S226">
        <f>HYPERLINK("https://klasma.github.io/Logging_0883/artfynd/A 43788-2023 artfynd.xlsx", "A 43788-2023")</f>
        <v/>
      </c>
      <c r="T226">
        <f>HYPERLINK("https://klasma.github.io/Logging_0883/kartor/A 43788-2023 karta.png", "A 43788-2023")</f>
        <v/>
      </c>
      <c r="V226">
        <f>HYPERLINK("https://klasma.github.io/Logging_0883/klagomål/A 43788-2023 FSC-klagomål.docx", "A 43788-2023")</f>
        <v/>
      </c>
      <c r="W226">
        <f>HYPERLINK("https://klasma.github.io/Logging_0883/klagomålsmail/A 43788-2023 FSC-klagomål mail.docx", "A 43788-2023")</f>
        <v/>
      </c>
      <c r="X226">
        <f>HYPERLINK("https://klasma.github.io/Logging_0883/tillsyn/A 43788-2023 tillsynsbegäran.docx", "A 43788-2023")</f>
        <v/>
      </c>
      <c r="Y226">
        <f>HYPERLINK("https://klasma.github.io/Logging_0883/tillsynsmail/A 43788-2023 tillsynsbegäran mail.docx", "A 43788-2023")</f>
        <v/>
      </c>
    </row>
    <row r="227" ht="15" customHeight="1">
      <c r="A227" t="inlineStr">
        <is>
          <t>A 46722-2023</t>
        </is>
      </c>
      <c r="B227" s="1" t="n">
        <v>45194</v>
      </c>
      <c r="C227" s="1" t="n">
        <v>45565</v>
      </c>
      <c r="D227" t="inlineStr">
        <is>
          <t>KALMAR LÄN</t>
        </is>
      </c>
      <c r="E227" t="inlineStr">
        <is>
          <t>VÄSTERVIK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46722-2023 artfynd.xlsx", "A 46722-2023")</f>
        <v/>
      </c>
      <c r="T227">
        <f>HYPERLINK("https://klasma.github.io/Logging_0883/kartor/A 46722-2023 karta.png", "A 46722-2023")</f>
        <v/>
      </c>
      <c r="U227">
        <f>HYPERLINK("https://klasma.github.io/Logging_0883/knärot/A 46722-2023 karta knärot.png", "A 46722-2023")</f>
        <v/>
      </c>
      <c r="V227">
        <f>HYPERLINK("https://klasma.github.io/Logging_0883/klagomål/A 46722-2023 FSC-klagomål.docx", "A 46722-2023")</f>
        <v/>
      </c>
      <c r="W227">
        <f>HYPERLINK("https://klasma.github.io/Logging_0883/klagomålsmail/A 46722-2023 FSC-klagomål mail.docx", "A 46722-2023")</f>
        <v/>
      </c>
      <c r="X227">
        <f>HYPERLINK("https://klasma.github.io/Logging_0883/tillsyn/A 46722-2023 tillsynsbegäran.docx", "A 46722-2023")</f>
        <v/>
      </c>
      <c r="Y227">
        <f>HYPERLINK("https://klasma.github.io/Logging_0883/tillsynsmail/A 46722-2023 tillsynsbegäran mail.docx", "A 46722-2023")</f>
        <v/>
      </c>
    </row>
    <row r="228" ht="15" customHeight="1">
      <c r="A228" t="inlineStr">
        <is>
          <t>A 47112-2023</t>
        </is>
      </c>
      <c r="B228" s="1" t="n">
        <v>45201</v>
      </c>
      <c r="C228" s="1" t="n">
        <v>45565</v>
      </c>
      <c r="D228" t="inlineStr">
        <is>
          <t>KALMAR LÄN</t>
        </is>
      </c>
      <c r="E228" t="inlineStr">
        <is>
          <t>VÄSTERVIK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47112-2023 artfynd.xlsx", "A 47112-2023")</f>
        <v/>
      </c>
      <c r="T228">
        <f>HYPERLINK("https://klasma.github.io/Logging_0883/kartor/A 47112-2023 karta.png", "A 47112-2023")</f>
        <v/>
      </c>
      <c r="V228">
        <f>HYPERLINK("https://klasma.github.io/Logging_0883/klagomål/A 47112-2023 FSC-klagomål.docx", "A 47112-2023")</f>
        <v/>
      </c>
      <c r="W228">
        <f>HYPERLINK("https://klasma.github.io/Logging_0883/klagomålsmail/A 47112-2023 FSC-klagomål mail.docx", "A 47112-2023")</f>
        <v/>
      </c>
      <c r="X228">
        <f>HYPERLINK("https://klasma.github.io/Logging_0883/tillsyn/A 47112-2023 tillsynsbegäran.docx", "A 47112-2023")</f>
        <v/>
      </c>
      <c r="Y228">
        <f>HYPERLINK("https://klasma.github.io/Logging_0883/tillsynsmail/A 47112-2023 tillsynsbegäran mail.docx", "A 47112-2023")</f>
        <v/>
      </c>
    </row>
    <row r="229" ht="15" customHeight="1">
      <c r="A229" t="inlineStr">
        <is>
          <t>A 49680-2023</t>
        </is>
      </c>
      <c r="B229" s="1" t="n">
        <v>45212</v>
      </c>
      <c r="C229" s="1" t="n">
        <v>45565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HYPERLINK("https://klasma.github.io/Logging_0883/artfynd/A 49680-2023 artfynd.xlsx", "A 49680-2023")</f>
        <v/>
      </c>
      <c r="T229">
        <f>HYPERLINK("https://klasma.github.io/Logging_0883/kartor/A 49680-2023 karta.png", "A 49680-2023")</f>
        <v/>
      </c>
      <c r="V229">
        <f>HYPERLINK("https://klasma.github.io/Logging_0883/klagomål/A 49680-2023 FSC-klagomål.docx", "A 49680-2023")</f>
        <v/>
      </c>
      <c r="W229">
        <f>HYPERLINK("https://klasma.github.io/Logging_0883/klagomålsmail/A 49680-2023 FSC-klagomål mail.docx", "A 49680-2023")</f>
        <v/>
      </c>
      <c r="X229">
        <f>HYPERLINK("https://klasma.github.io/Logging_0883/tillsyn/A 49680-2023 tillsynsbegäran.docx", "A 49680-2023")</f>
        <v/>
      </c>
      <c r="Y229">
        <f>HYPERLINK("https://klasma.github.io/Logging_0883/tillsynsmail/A 49680-2023 tillsynsbegäran mail.docx", "A 49680-2023")</f>
        <v/>
      </c>
    </row>
    <row r="230" ht="15" customHeight="1">
      <c r="A230" t="inlineStr">
        <is>
          <t>A 54272-2023</t>
        </is>
      </c>
      <c r="B230" s="1" t="n">
        <v>45232</v>
      </c>
      <c r="C230" s="1" t="n">
        <v>45565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Aprikosfingersvamp</t>
        </is>
      </c>
      <c r="S230">
        <f>HYPERLINK("https://klasma.github.io/Logging_0883/artfynd/A 54272-2023 artfynd.xlsx", "A 54272-2023")</f>
        <v/>
      </c>
      <c r="T230">
        <f>HYPERLINK("https://klasma.github.io/Logging_0883/kartor/A 54272-2023 karta.png", "A 54272-2023")</f>
        <v/>
      </c>
      <c r="V230">
        <f>HYPERLINK("https://klasma.github.io/Logging_0883/klagomål/A 54272-2023 FSC-klagomål.docx", "A 54272-2023")</f>
        <v/>
      </c>
      <c r="W230">
        <f>HYPERLINK("https://klasma.github.io/Logging_0883/klagomålsmail/A 54272-2023 FSC-klagomål mail.docx", "A 54272-2023")</f>
        <v/>
      </c>
      <c r="X230">
        <f>HYPERLINK("https://klasma.github.io/Logging_0883/tillsyn/A 54272-2023 tillsynsbegäran.docx", "A 54272-2023")</f>
        <v/>
      </c>
      <c r="Y230">
        <f>HYPERLINK("https://klasma.github.io/Logging_0883/tillsynsmail/A 54272-2023 tillsynsbegäran mail.docx", "A 54272-2023")</f>
        <v/>
      </c>
    </row>
    <row r="231" ht="15" customHeight="1">
      <c r="A231" t="inlineStr">
        <is>
          <t>A 55575-2023</t>
        </is>
      </c>
      <c r="B231" s="1" t="n">
        <v>45238</v>
      </c>
      <c r="C231" s="1" t="n">
        <v>45565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55575-2023 artfynd.xlsx", "A 55575-2023")</f>
        <v/>
      </c>
      <c r="T231">
        <f>HYPERLINK("https://klasma.github.io/Logging_0883/kartor/A 55575-2023 karta.png", "A 55575-2023")</f>
        <v/>
      </c>
      <c r="U231">
        <f>HYPERLINK("https://klasma.github.io/Logging_0883/knärot/A 55575-2023 karta knärot.png", "A 55575-2023")</f>
        <v/>
      </c>
      <c r="V231">
        <f>HYPERLINK("https://klasma.github.io/Logging_0883/klagomål/A 55575-2023 FSC-klagomål.docx", "A 55575-2023")</f>
        <v/>
      </c>
      <c r="W231">
        <f>HYPERLINK("https://klasma.github.io/Logging_0883/klagomålsmail/A 55575-2023 FSC-klagomål mail.docx", "A 55575-2023")</f>
        <v/>
      </c>
      <c r="X231">
        <f>HYPERLINK("https://klasma.github.io/Logging_0883/tillsyn/A 55575-2023 tillsynsbegäran.docx", "A 55575-2023")</f>
        <v/>
      </c>
      <c r="Y231">
        <f>HYPERLINK("https://klasma.github.io/Logging_0883/tillsynsmail/A 55575-2023 tillsynsbegäran mail.docx", "A 55575-2023")</f>
        <v/>
      </c>
    </row>
    <row r="232" ht="15" customHeight="1">
      <c r="A232" t="inlineStr">
        <is>
          <t>A 56186-2023</t>
        </is>
      </c>
      <c r="B232" s="1" t="n">
        <v>45240</v>
      </c>
      <c r="C232" s="1" t="n">
        <v>45565</v>
      </c>
      <c r="D232" t="inlineStr">
        <is>
          <t>KALMAR LÄN</t>
        </is>
      </c>
      <c r="E232" t="inlineStr">
        <is>
          <t>VÄSTERVIK</t>
        </is>
      </c>
      <c r="G232" t="n">
        <v>2.7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56186-2023 artfynd.xlsx", "A 56186-2023")</f>
        <v/>
      </c>
      <c r="T232">
        <f>HYPERLINK("https://klasma.github.io/Logging_0883/kartor/A 56186-2023 karta.png", "A 56186-2023")</f>
        <v/>
      </c>
      <c r="V232">
        <f>HYPERLINK("https://klasma.github.io/Logging_0883/klagomål/A 56186-2023 FSC-klagomål.docx", "A 56186-2023")</f>
        <v/>
      </c>
      <c r="W232">
        <f>HYPERLINK("https://klasma.github.io/Logging_0883/klagomålsmail/A 56186-2023 FSC-klagomål mail.docx", "A 56186-2023")</f>
        <v/>
      </c>
      <c r="X232">
        <f>HYPERLINK("https://klasma.github.io/Logging_0883/tillsyn/A 56186-2023 tillsynsbegäran.docx", "A 56186-2023")</f>
        <v/>
      </c>
      <c r="Y232">
        <f>HYPERLINK("https://klasma.github.io/Logging_0883/tillsynsmail/A 56186-2023 tillsynsbegäran mail.docx", "A 56186-2023")</f>
        <v/>
      </c>
    </row>
    <row r="233" ht="15" customHeight="1">
      <c r="A233" t="inlineStr">
        <is>
          <t>A 59368-2023</t>
        </is>
      </c>
      <c r="B233" s="1" t="n">
        <v>45253</v>
      </c>
      <c r="C233" s="1" t="n">
        <v>45565</v>
      </c>
      <c r="D233" t="inlineStr">
        <is>
          <t>KALMAR LÄN</t>
        </is>
      </c>
      <c r="E233" t="inlineStr">
        <is>
          <t>VÄSTERVIK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59368-2023 artfynd.xlsx", "A 59368-2023")</f>
        <v/>
      </c>
      <c r="T233">
        <f>HYPERLINK("https://klasma.github.io/Logging_0883/kartor/A 59368-2023 karta.png", "A 59368-2023")</f>
        <v/>
      </c>
      <c r="U233">
        <f>HYPERLINK("https://klasma.github.io/Logging_0883/knärot/A 59368-2023 karta knärot.png", "A 59368-2023")</f>
        <v/>
      </c>
      <c r="V233">
        <f>HYPERLINK("https://klasma.github.io/Logging_0883/klagomål/A 59368-2023 FSC-klagomål.docx", "A 59368-2023")</f>
        <v/>
      </c>
      <c r="W233">
        <f>HYPERLINK("https://klasma.github.io/Logging_0883/klagomålsmail/A 59368-2023 FSC-klagomål mail.docx", "A 59368-2023")</f>
        <v/>
      </c>
      <c r="X233">
        <f>HYPERLINK("https://klasma.github.io/Logging_0883/tillsyn/A 59368-2023 tillsynsbegäran.docx", "A 59368-2023")</f>
        <v/>
      </c>
      <c r="Y233">
        <f>HYPERLINK("https://klasma.github.io/Logging_0883/tillsynsmail/A 59368-2023 tillsynsbegäran mail.docx", "A 59368-2023")</f>
        <v/>
      </c>
    </row>
    <row r="234" ht="15" customHeight="1">
      <c r="A234" t="inlineStr">
        <is>
          <t>A 60633-2023</t>
        </is>
      </c>
      <c r="B234" s="1" t="n">
        <v>45260</v>
      </c>
      <c r="C234" s="1" t="n">
        <v>45565</v>
      </c>
      <c r="D234" t="inlineStr">
        <is>
          <t>KALMAR LÄN</t>
        </is>
      </c>
      <c r="E234" t="inlineStr">
        <is>
          <t>VÄSTERVIK</t>
        </is>
      </c>
      <c r="G234" t="n">
        <v>1.4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HYPERLINK("https://klasma.github.io/Logging_0883/artfynd/A 60633-2023 artfynd.xlsx", "A 60633-2023")</f>
        <v/>
      </c>
      <c r="T234">
        <f>HYPERLINK("https://klasma.github.io/Logging_0883/kartor/A 60633-2023 karta.png", "A 60633-2023")</f>
        <v/>
      </c>
      <c r="V234">
        <f>HYPERLINK("https://klasma.github.io/Logging_0883/klagomål/A 60633-2023 FSC-klagomål.docx", "A 60633-2023")</f>
        <v/>
      </c>
      <c r="W234">
        <f>HYPERLINK("https://klasma.github.io/Logging_0883/klagomålsmail/A 60633-2023 FSC-klagomål mail.docx", "A 60633-2023")</f>
        <v/>
      </c>
      <c r="X234">
        <f>HYPERLINK("https://klasma.github.io/Logging_0883/tillsyn/A 60633-2023 tillsynsbegäran.docx", "A 60633-2023")</f>
        <v/>
      </c>
      <c r="Y234">
        <f>HYPERLINK("https://klasma.github.io/Logging_0883/tillsynsmail/A 60633-2023 tillsynsbegäran mail.docx", "A 60633-2023")</f>
        <v/>
      </c>
      <c r="Z234">
        <f>HYPERLINK("https://klasma.github.io/Logging_0883/fåglar/A 60633-2023 prioriterade fågelarter.docx", "A 60633-2023")</f>
        <v/>
      </c>
    </row>
    <row r="235" ht="15" customHeight="1">
      <c r="A235" t="inlineStr">
        <is>
          <t>A 61806-2023</t>
        </is>
      </c>
      <c r="B235" s="1" t="n">
        <v>45266</v>
      </c>
      <c r="C235" s="1" t="n">
        <v>45565</v>
      </c>
      <c r="D235" t="inlineStr">
        <is>
          <t>KALMAR LÄN</t>
        </is>
      </c>
      <c r="E235" t="inlineStr">
        <is>
          <t>VÄSTERVIK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Veckticka</t>
        </is>
      </c>
      <c r="S235">
        <f>HYPERLINK("https://klasma.github.io/Logging_0883/artfynd/A 61806-2023 artfynd.xlsx", "A 61806-2023")</f>
        <v/>
      </c>
      <c r="T235">
        <f>HYPERLINK("https://klasma.github.io/Logging_0883/kartor/A 61806-2023 karta.png", "A 61806-2023")</f>
        <v/>
      </c>
      <c r="V235">
        <f>HYPERLINK("https://klasma.github.io/Logging_0883/klagomål/A 61806-2023 FSC-klagomål.docx", "A 61806-2023")</f>
        <v/>
      </c>
      <c r="W235">
        <f>HYPERLINK("https://klasma.github.io/Logging_0883/klagomålsmail/A 61806-2023 FSC-klagomål mail.docx", "A 61806-2023")</f>
        <v/>
      </c>
      <c r="X235">
        <f>HYPERLINK("https://klasma.github.io/Logging_0883/tillsyn/A 61806-2023 tillsynsbegäran.docx", "A 61806-2023")</f>
        <v/>
      </c>
      <c r="Y235">
        <f>HYPERLINK("https://klasma.github.io/Logging_0883/tillsynsmail/A 61806-2023 tillsynsbegäran mail.docx", "A 61806-2023")</f>
        <v/>
      </c>
    </row>
    <row r="236" ht="15" customHeight="1">
      <c r="A236" t="inlineStr">
        <is>
          <t>A 1176-2024</t>
        </is>
      </c>
      <c r="B236" s="1" t="n">
        <v>45302</v>
      </c>
      <c r="C236" s="1" t="n">
        <v>45565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1176-2024 artfynd.xlsx", "A 1176-2024")</f>
        <v/>
      </c>
      <c r="T236">
        <f>HYPERLINK("https://klasma.github.io/Logging_0883/kartor/A 1176-2024 karta.png", "A 1176-2024")</f>
        <v/>
      </c>
      <c r="V236">
        <f>HYPERLINK("https://klasma.github.io/Logging_0883/klagomål/A 1176-2024 FSC-klagomål.docx", "A 1176-2024")</f>
        <v/>
      </c>
      <c r="W236">
        <f>HYPERLINK("https://klasma.github.io/Logging_0883/klagomålsmail/A 1176-2024 FSC-klagomål mail.docx", "A 1176-2024")</f>
        <v/>
      </c>
      <c r="X236">
        <f>HYPERLINK("https://klasma.github.io/Logging_0883/tillsyn/A 1176-2024 tillsynsbegäran.docx", "A 1176-2024")</f>
        <v/>
      </c>
      <c r="Y236">
        <f>HYPERLINK("https://klasma.github.io/Logging_0883/tillsynsmail/A 1176-2024 tillsynsbegäran mail.docx", "A 1176-2024")</f>
        <v/>
      </c>
    </row>
    <row r="237" ht="15" customHeight="1">
      <c r="A237" t="inlineStr">
        <is>
          <t>A 2804-2024</t>
        </is>
      </c>
      <c r="B237" s="1" t="n">
        <v>45314</v>
      </c>
      <c r="C237" s="1" t="n">
        <v>45565</v>
      </c>
      <c r="D237" t="inlineStr">
        <is>
          <t>KALMAR LÄN</t>
        </is>
      </c>
      <c r="E237" t="inlineStr">
        <is>
          <t>VÄSTERVIK</t>
        </is>
      </c>
      <c r="G237" t="n">
        <v>2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2804-2024 artfynd.xlsx", "A 2804-2024")</f>
        <v/>
      </c>
      <c r="T237">
        <f>HYPERLINK("https://klasma.github.io/Logging_0883/kartor/A 2804-2024 karta.png", "A 2804-2024")</f>
        <v/>
      </c>
      <c r="U237">
        <f>HYPERLINK("https://klasma.github.io/Logging_0883/knärot/A 2804-2024 karta knärot.png", "A 2804-2024")</f>
        <v/>
      </c>
      <c r="V237">
        <f>HYPERLINK("https://klasma.github.io/Logging_0883/klagomål/A 2804-2024 FSC-klagomål.docx", "A 2804-2024")</f>
        <v/>
      </c>
      <c r="W237">
        <f>HYPERLINK("https://klasma.github.io/Logging_0883/klagomålsmail/A 2804-2024 FSC-klagomål mail.docx", "A 2804-2024")</f>
        <v/>
      </c>
      <c r="X237">
        <f>HYPERLINK("https://klasma.github.io/Logging_0883/tillsyn/A 2804-2024 tillsynsbegäran.docx", "A 2804-2024")</f>
        <v/>
      </c>
      <c r="Y237">
        <f>HYPERLINK("https://klasma.github.io/Logging_0883/tillsynsmail/A 2804-2024 tillsynsbegäran mail.docx", "A 2804-2024")</f>
        <v/>
      </c>
    </row>
    <row r="238" ht="15" customHeight="1">
      <c r="A238" t="inlineStr">
        <is>
          <t>A 6025-2024</t>
        </is>
      </c>
      <c r="B238" s="1" t="n">
        <v>45336</v>
      </c>
      <c r="C238" s="1" t="n">
        <v>45565</v>
      </c>
      <c r="D238" t="inlineStr">
        <is>
          <t>KALMAR LÄN</t>
        </is>
      </c>
      <c r="E238" t="inlineStr">
        <is>
          <t>VÄSTERVIK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6025-2024 artfynd.xlsx", "A 6025-2024")</f>
        <v/>
      </c>
      <c r="T238">
        <f>HYPERLINK("https://klasma.github.io/Logging_0883/kartor/A 6025-2024 karta.png", "A 6025-2024")</f>
        <v/>
      </c>
      <c r="V238">
        <f>HYPERLINK("https://klasma.github.io/Logging_0883/klagomål/A 6025-2024 FSC-klagomål.docx", "A 6025-2024")</f>
        <v/>
      </c>
      <c r="W238">
        <f>HYPERLINK("https://klasma.github.io/Logging_0883/klagomålsmail/A 6025-2024 FSC-klagomål mail.docx", "A 6025-2024")</f>
        <v/>
      </c>
      <c r="X238">
        <f>HYPERLINK("https://klasma.github.io/Logging_0883/tillsyn/A 6025-2024 tillsynsbegäran.docx", "A 6025-2024")</f>
        <v/>
      </c>
      <c r="Y238">
        <f>HYPERLINK("https://klasma.github.io/Logging_0883/tillsynsmail/A 6025-2024 tillsynsbegäran mail.docx", "A 6025-2024")</f>
        <v/>
      </c>
    </row>
    <row r="239" ht="15" customHeight="1">
      <c r="A239" t="inlineStr">
        <is>
          <t>A 11165-2024</t>
        </is>
      </c>
      <c r="B239" s="1" t="n">
        <v>45371</v>
      </c>
      <c r="C239" s="1" t="n">
        <v>45565</v>
      </c>
      <c r="D239" t="inlineStr">
        <is>
          <t>KALMAR LÄN</t>
        </is>
      </c>
      <c r="E239" t="inlineStr">
        <is>
          <t>VÄSTERVIK</t>
        </is>
      </c>
      <c r="G239" t="n">
        <v>3.7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HYPERLINK("https://klasma.github.io/Logging_0883/artfynd/A 11165-2024 artfynd.xlsx", "A 11165-2024")</f>
        <v/>
      </c>
      <c r="T239">
        <f>HYPERLINK("https://klasma.github.io/Logging_0883/kartor/A 11165-2024 karta.png", "A 11165-2024")</f>
        <v/>
      </c>
      <c r="V239">
        <f>HYPERLINK("https://klasma.github.io/Logging_0883/klagomål/A 11165-2024 FSC-klagomål.docx", "A 11165-2024")</f>
        <v/>
      </c>
      <c r="W239">
        <f>HYPERLINK("https://klasma.github.io/Logging_0883/klagomålsmail/A 11165-2024 FSC-klagomål mail.docx", "A 11165-2024")</f>
        <v/>
      </c>
      <c r="X239">
        <f>HYPERLINK("https://klasma.github.io/Logging_0883/tillsyn/A 11165-2024 tillsynsbegäran.docx", "A 11165-2024")</f>
        <v/>
      </c>
      <c r="Y239">
        <f>HYPERLINK("https://klasma.github.io/Logging_0883/tillsynsmail/A 11165-2024 tillsynsbegäran mail.docx", "A 11165-2024")</f>
        <v/>
      </c>
      <c r="Z239">
        <f>HYPERLINK("https://klasma.github.io/Logging_0883/fåglar/A 11165-2024 prioriterade fågelarter.docx", "A 11165-2024")</f>
        <v/>
      </c>
    </row>
    <row r="240" ht="15" customHeight="1">
      <c r="A240" t="inlineStr">
        <is>
          <t>A 11195-2024</t>
        </is>
      </c>
      <c r="B240" s="1" t="n">
        <v>45371</v>
      </c>
      <c r="C240" s="1" t="n">
        <v>45565</v>
      </c>
      <c r="D240" t="inlineStr">
        <is>
          <t>KALMAR LÄN</t>
        </is>
      </c>
      <c r="E240" t="inlineStr">
        <is>
          <t>VÄSTERVIK</t>
        </is>
      </c>
      <c r="G240" t="n">
        <v>1.9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11195-2024 artfynd.xlsx", "A 11195-2024")</f>
        <v/>
      </c>
      <c r="T240">
        <f>HYPERLINK("https://klasma.github.io/Logging_0883/kartor/A 11195-2024 karta.png", "A 11195-2024")</f>
        <v/>
      </c>
      <c r="U240">
        <f>HYPERLINK("https://klasma.github.io/Logging_0883/knärot/A 11195-2024 karta knärot.png", "A 11195-2024")</f>
        <v/>
      </c>
      <c r="V240">
        <f>HYPERLINK("https://klasma.github.io/Logging_0883/klagomål/A 11195-2024 FSC-klagomål.docx", "A 11195-2024")</f>
        <v/>
      </c>
      <c r="W240">
        <f>HYPERLINK("https://klasma.github.io/Logging_0883/klagomålsmail/A 11195-2024 FSC-klagomål mail.docx", "A 11195-2024")</f>
        <v/>
      </c>
      <c r="X240">
        <f>HYPERLINK("https://klasma.github.io/Logging_0883/tillsyn/A 11195-2024 tillsynsbegäran.docx", "A 11195-2024")</f>
        <v/>
      </c>
      <c r="Y240">
        <f>HYPERLINK("https://klasma.github.io/Logging_0883/tillsynsmail/A 11195-2024 tillsynsbegäran mail.docx", "A 11195-2024")</f>
        <v/>
      </c>
    </row>
    <row r="241" ht="15" customHeight="1">
      <c r="A241" t="inlineStr">
        <is>
          <t>A 13745-2024</t>
        </is>
      </c>
      <c r="B241" s="1" t="n">
        <v>45390</v>
      </c>
      <c r="C241" s="1" t="n">
        <v>45565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2.7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HYPERLINK("https://klasma.github.io/Logging_0883/artfynd/A 13745-2024 artfynd.xlsx", "A 13745-2024")</f>
        <v/>
      </c>
      <c r="T241">
        <f>HYPERLINK("https://klasma.github.io/Logging_0883/kartor/A 13745-2024 karta.png", "A 13745-2024")</f>
        <v/>
      </c>
      <c r="U241">
        <f>HYPERLINK("https://klasma.github.io/Logging_0883/knärot/A 13745-2024 karta knärot.png", "A 13745-2024")</f>
        <v/>
      </c>
      <c r="V241">
        <f>HYPERLINK("https://klasma.github.io/Logging_0883/klagomål/A 13745-2024 FSC-klagomål.docx", "A 13745-2024")</f>
        <v/>
      </c>
      <c r="W241">
        <f>HYPERLINK("https://klasma.github.io/Logging_0883/klagomålsmail/A 13745-2024 FSC-klagomål mail.docx", "A 13745-2024")</f>
        <v/>
      </c>
      <c r="X241">
        <f>HYPERLINK("https://klasma.github.io/Logging_0883/tillsyn/A 13745-2024 tillsynsbegäran.docx", "A 13745-2024")</f>
        <v/>
      </c>
      <c r="Y241">
        <f>HYPERLINK("https://klasma.github.io/Logging_0883/tillsynsmail/A 13745-2024 tillsynsbegäran mail.docx", "A 13745-2024")</f>
        <v/>
      </c>
      <c r="Z241">
        <f>HYPERLINK("https://klasma.github.io/Logging_0883/fåglar/A 13745-2024 prioriterade fågelarter.docx", "A 13745-2024")</f>
        <v/>
      </c>
    </row>
    <row r="242" ht="15" customHeight="1">
      <c r="A242" t="inlineStr">
        <is>
          <t>A 14231-2024</t>
        </is>
      </c>
      <c r="B242" s="1" t="n">
        <v>45393</v>
      </c>
      <c r="C242" s="1" t="n">
        <v>45565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14231-2024 artfynd.xlsx", "A 14231-2024")</f>
        <v/>
      </c>
      <c r="T242">
        <f>HYPERLINK("https://klasma.github.io/Logging_0883/kartor/A 14231-2024 karta.png", "A 14231-2024")</f>
        <v/>
      </c>
      <c r="U242">
        <f>HYPERLINK("https://klasma.github.io/Logging_0883/knärot/A 14231-2024 karta knärot.png", "A 14231-2024")</f>
        <v/>
      </c>
      <c r="V242">
        <f>HYPERLINK("https://klasma.github.io/Logging_0883/klagomål/A 14231-2024 FSC-klagomål.docx", "A 14231-2024")</f>
        <v/>
      </c>
      <c r="W242">
        <f>HYPERLINK("https://klasma.github.io/Logging_0883/klagomålsmail/A 14231-2024 FSC-klagomål mail.docx", "A 14231-2024")</f>
        <v/>
      </c>
      <c r="X242">
        <f>HYPERLINK("https://klasma.github.io/Logging_0883/tillsyn/A 14231-2024 tillsynsbegäran.docx", "A 14231-2024")</f>
        <v/>
      </c>
      <c r="Y242">
        <f>HYPERLINK("https://klasma.github.io/Logging_0883/tillsynsmail/A 14231-2024 tillsynsbegäran mail.docx", "A 14231-2024")</f>
        <v/>
      </c>
    </row>
    <row r="243" ht="15" customHeight="1">
      <c r="A243" t="inlineStr">
        <is>
          <t>A 16011-2024</t>
        </is>
      </c>
      <c r="B243" s="1" t="n">
        <v>45405</v>
      </c>
      <c r="C243" s="1" t="n">
        <v>45565</v>
      </c>
      <c r="D243" t="inlineStr">
        <is>
          <t>KALMAR LÄN</t>
        </is>
      </c>
      <c r="E243" t="inlineStr">
        <is>
          <t>VÄSTERVIK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Lopplummer</t>
        </is>
      </c>
      <c r="S243">
        <f>HYPERLINK("https://klasma.github.io/Logging_0883/artfynd/A 16011-2024 artfynd.xlsx", "A 16011-2024")</f>
        <v/>
      </c>
      <c r="T243">
        <f>HYPERLINK("https://klasma.github.io/Logging_0883/kartor/A 16011-2024 karta.png", "A 16011-2024")</f>
        <v/>
      </c>
      <c r="V243">
        <f>HYPERLINK("https://klasma.github.io/Logging_0883/klagomål/A 16011-2024 FSC-klagomål.docx", "A 16011-2024")</f>
        <v/>
      </c>
      <c r="W243">
        <f>HYPERLINK("https://klasma.github.io/Logging_0883/klagomålsmail/A 16011-2024 FSC-klagomål mail.docx", "A 16011-2024")</f>
        <v/>
      </c>
      <c r="X243">
        <f>HYPERLINK("https://klasma.github.io/Logging_0883/tillsyn/A 16011-2024 tillsynsbegäran.docx", "A 16011-2024")</f>
        <v/>
      </c>
      <c r="Y243">
        <f>HYPERLINK("https://klasma.github.io/Logging_0883/tillsynsmail/A 16011-2024 tillsynsbegäran mail.docx", "A 16011-2024")</f>
        <v/>
      </c>
    </row>
    <row r="244" ht="15" customHeight="1">
      <c r="A244" t="inlineStr">
        <is>
          <t>A 16406-2024</t>
        </is>
      </c>
      <c r="B244" s="1" t="n">
        <v>45407</v>
      </c>
      <c r="C244" s="1" t="n">
        <v>45565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4.9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HYPERLINK("https://klasma.github.io/Logging_0883/artfynd/A 16406-2024 artfynd.xlsx", "A 16406-2024")</f>
        <v/>
      </c>
      <c r="T244">
        <f>HYPERLINK("https://klasma.github.io/Logging_0883/kartor/A 16406-2024 karta.png", "A 16406-2024")</f>
        <v/>
      </c>
      <c r="V244">
        <f>HYPERLINK("https://klasma.github.io/Logging_0883/klagomål/A 16406-2024 FSC-klagomål.docx", "A 16406-2024")</f>
        <v/>
      </c>
      <c r="W244">
        <f>HYPERLINK("https://klasma.github.io/Logging_0883/klagomålsmail/A 16406-2024 FSC-klagomål mail.docx", "A 16406-2024")</f>
        <v/>
      </c>
      <c r="X244">
        <f>HYPERLINK("https://klasma.github.io/Logging_0883/tillsyn/A 16406-2024 tillsynsbegäran.docx", "A 16406-2024")</f>
        <v/>
      </c>
      <c r="Y244">
        <f>HYPERLINK("https://klasma.github.io/Logging_0883/tillsynsmail/A 16406-2024 tillsynsbegäran mail.docx", "A 16406-2024")</f>
        <v/>
      </c>
    </row>
    <row r="245" ht="15" customHeight="1">
      <c r="A245" t="inlineStr">
        <is>
          <t>A 17424-2024</t>
        </is>
      </c>
      <c r="B245" s="1" t="n">
        <v>45415</v>
      </c>
      <c r="C245" s="1" t="n">
        <v>45565</v>
      </c>
      <c r="D245" t="inlineStr">
        <is>
          <t>KALMAR LÄN</t>
        </is>
      </c>
      <c r="E245" t="inlineStr">
        <is>
          <t>VÄSTERVIK</t>
        </is>
      </c>
      <c r="F245" t="inlineStr">
        <is>
          <t>Sveaskog</t>
        </is>
      </c>
      <c r="G245" t="n">
        <v>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HYPERLINK("https://klasma.github.io/Logging_0883/artfynd/A 17424-2024 artfynd.xlsx", "A 17424-2024")</f>
        <v/>
      </c>
      <c r="T245">
        <f>HYPERLINK("https://klasma.github.io/Logging_0883/kartor/A 17424-2024 karta.png", "A 17424-2024")</f>
        <v/>
      </c>
      <c r="V245">
        <f>HYPERLINK("https://klasma.github.io/Logging_0883/klagomål/A 17424-2024 FSC-klagomål.docx", "A 17424-2024")</f>
        <v/>
      </c>
      <c r="W245">
        <f>HYPERLINK("https://klasma.github.io/Logging_0883/klagomålsmail/A 17424-2024 FSC-klagomål mail.docx", "A 17424-2024")</f>
        <v/>
      </c>
      <c r="X245">
        <f>HYPERLINK("https://klasma.github.io/Logging_0883/tillsyn/A 17424-2024 tillsynsbegäran.docx", "A 17424-2024")</f>
        <v/>
      </c>
      <c r="Y245">
        <f>HYPERLINK("https://klasma.github.io/Logging_0883/tillsynsmail/A 17424-2024 tillsynsbegäran mail.docx", "A 17424-2024")</f>
        <v/>
      </c>
    </row>
    <row r="246" ht="15" customHeight="1">
      <c r="A246" t="inlineStr">
        <is>
          <t>A 18396-2024</t>
        </is>
      </c>
      <c r="B246" s="1" t="n">
        <v>45425</v>
      </c>
      <c r="C246" s="1" t="n">
        <v>45565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3.5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HYPERLINK("https://klasma.github.io/Logging_0883/artfynd/A 18396-2024 artfynd.xlsx", "A 18396-2024")</f>
        <v/>
      </c>
      <c r="T246">
        <f>HYPERLINK("https://klasma.github.io/Logging_0883/kartor/A 18396-2024 karta.png", "A 18396-2024")</f>
        <v/>
      </c>
      <c r="V246">
        <f>HYPERLINK("https://klasma.github.io/Logging_0883/klagomål/A 18396-2024 FSC-klagomål.docx", "A 18396-2024")</f>
        <v/>
      </c>
      <c r="W246">
        <f>HYPERLINK("https://klasma.github.io/Logging_0883/klagomålsmail/A 18396-2024 FSC-klagomål mail.docx", "A 18396-2024")</f>
        <v/>
      </c>
      <c r="X246">
        <f>HYPERLINK("https://klasma.github.io/Logging_0883/tillsyn/A 18396-2024 tillsynsbegäran.docx", "A 18396-2024")</f>
        <v/>
      </c>
      <c r="Y246">
        <f>HYPERLINK("https://klasma.github.io/Logging_0883/tillsynsmail/A 18396-2024 tillsynsbegäran mail.docx", "A 18396-2024")</f>
        <v/>
      </c>
    </row>
    <row r="247" ht="15" customHeight="1">
      <c r="A247" t="inlineStr">
        <is>
          <t>A 22885-2024</t>
        </is>
      </c>
      <c r="B247" s="1" t="n">
        <v>45448</v>
      </c>
      <c r="C247" s="1" t="n">
        <v>45565</v>
      </c>
      <c r="D247" t="inlineStr">
        <is>
          <t>KALMAR LÄN</t>
        </is>
      </c>
      <c r="E247" t="inlineStr">
        <is>
          <t>VÄSTERVIK</t>
        </is>
      </c>
      <c r="G247" t="n">
        <v>7.1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22885-2024 artfynd.xlsx", "A 22885-2024")</f>
        <v/>
      </c>
      <c r="T247">
        <f>HYPERLINK("https://klasma.github.io/Logging_0883/kartor/A 22885-2024 karta.png", "A 22885-2024")</f>
        <v/>
      </c>
      <c r="V247">
        <f>HYPERLINK("https://klasma.github.io/Logging_0883/klagomål/A 22885-2024 FSC-klagomål.docx", "A 22885-2024")</f>
        <v/>
      </c>
      <c r="W247">
        <f>HYPERLINK("https://klasma.github.io/Logging_0883/klagomålsmail/A 22885-2024 FSC-klagomål mail.docx", "A 22885-2024")</f>
        <v/>
      </c>
      <c r="X247">
        <f>HYPERLINK("https://klasma.github.io/Logging_0883/tillsyn/A 22885-2024 tillsynsbegäran.docx", "A 22885-2024")</f>
        <v/>
      </c>
      <c r="Y247">
        <f>HYPERLINK("https://klasma.github.io/Logging_0883/tillsynsmail/A 22885-2024 tillsynsbegäran mail.docx", "A 22885-2024")</f>
        <v/>
      </c>
    </row>
    <row r="248" ht="15" customHeight="1">
      <c r="A248" t="inlineStr">
        <is>
          <t>A 27708-2024</t>
        </is>
      </c>
      <c r="B248" s="1" t="n">
        <v>45475</v>
      </c>
      <c r="C248" s="1" t="n">
        <v>45565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HYPERLINK("https://klasma.github.io/Logging_0883/artfynd/A 27708-2024 artfynd.xlsx", "A 27708-2024")</f>
        <v/>
      </c>
      <c r="T248">
        <f>HYPERLINK("https://klasma.github.io/Logging_0883/kartor/A 27708-2024 karta.png", "A 27708-2024")</f>
        <v/>
      </c>
      <c r="V248">
        <f>HYPERLINK("https://klasma.github.io/Logging_0883/klagomål/A 27708-2024 FSC-klagomål.docx", "A 27708-2024")</f>
        <v/>
      </c>
      <c r="W248">
        <f>HYPERLINK("https://klasma.github.io/Logging_0883/klagomålsmail/A 27708-2024 FSC-klagomål mail.docx", "A 27708-2024")</f>
        <v/>
      </c>
      <c r="X248">
        <f>HYPERLINK("https://klasma.github.io/Logging_0883/tillsyn/A 27708-2024 tillsynsbegäran.docx", "A 27708-2024")</f>
        <v/>
      </c>
      <c r="Y248">
        <f>HYPERLINK("https://klasma.github.io/Logging_0883/tillsynsmail/A 27708-2024 tillsynsbegäran mail.docx", "A 27708-2024")</f>
        <v/>
      </c>
      <c r="Z248">
        <f>HYPERLINK("https://klasma.github.io/Logging_0883/fåglar/A 27708-2024 prioriterade fågelarter.docx", "A 27708-2024")</f>
        <v/>
      </c>
    </row>
    <row r="249" ht="15" customHeight="1">
      <c r="A249" t="inlineStr">
        <is>
          <t>A 29398-2024</t>
        </is>
      </c>
      <c r="B249" s="1" t="n">
        <v>45483</v>
      </c>
      <c r="C249" s="1" t="n">
        <v>45565</v>
      </c>
      <c r="D249" t="inlineStr">
        <is>
          <t>KALMAR LÄN</t>
        </is>
      </c>
      <c r="E249" t="inlineStr">
        <is>
          <t>VÄSTERVIK</t>
        </is>
      </c>
      <c r="G249" t="n">
        <v>2.7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29398-2024 artfynd.xlsx", "A 29398-2024")</f>
        <v/>
      </c>
      <c r="T249">
        <f>HYPERLINK("https://klasma.github.io/Logging_0883/kartor/A 29398-2024 karta.png", "A 29398-2024")</f>
        <v/>
      </c>
      <c r="V249">
        <f>HYPERLINK("https://klasma.github.io/Logging_0883/klagomål/A 29398-2024 FSC-klagomål.docx", "A 29398-2024")</f>
        <v/>
      </c>
      <c r="W249">
        <f>HYPERLINK("https://klasma.github.io/Logging_0883/klagomålsmail/A 29398-2024 FSC-klagomål mail.docx", "A 29398-2024")</f>
        <v/>
      </c>
      <c r="X249">
        <f>HYPERLINK("https://klasma.github.io/Logging_0883/tillsyn/A 29398-2024 tillsynsbegäran.docx", "A 29398-2024")</f>
        <v/>
      </c>
      <c r="Y249">
        <f>HYPERLINK("https://klasma.github.io/Logging_0883/tillsynsmail/A 29398-2024 tillsynsbegäran mail.docx", "A 29398-2024")</f>
        <v/>
      </c>
    </row>
    <row r="250" ht="15" customHeight="1">
      <c r="A250" t="inlineStr">
        <is>
          <t>A 30386-2024</t>
        </is>
      </c>
      <c r="B250" s="1" t="n">
        <v>45491</v>
      </c>
      <c r="C250" s="1" t="n">
        <v>45565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HYPERLINK("https://klasma.github.io/Logging_0883/artfynd/A 30386-2024 artfynd.xlsx", "A 30386-2024")</f>
        <v/>
      </c>
      <c r="T250">
        <f>HYPERLINK("https://klasma.github.io/Logging_0883/kartor/A 30386-2024 karta.png", "A 30386-2024")</f>
        <v/>
      </c>
      <c r="V250">
        <f>HYPERLINK("https://klasma.github.io/Logging_0883/klagomål/A 30386-2024 FSC-klagomål.docx", "A 30386-2024")</f>
        <v/>
      </c>
      <c r="W250">
        <f>HYPERLINK("https://klasma.github.io/Logging_0883/klagomålsmail/A 30386-2024 FSC-klagomål mail.docx", "A 30386-2024")</f>
        <v/>
      </c>
      <c r="X250">
        <f>HYPERLINK("https://klasma.github.io/Logging_0883/tillsyn/A 30386-2024 tillsynsbegäran.docx", "A 30386-2024")</f>
        <v/>
      </c>
      <c r="Y250">
        <f>HYPERLINK("https://klasma.github.io/Logging_0883/tillsynsmail/A 30386-2024 tillsynsbegäran mail.docx", "A 30386-2024")</f>
        <v/>
      </c>
    </row>
    <row r="251" ht="15" customHeight="1">
      <c r="A251" t="inlineStr">
        <is>
          <t>A 34357-2024</t>
        </is>
      </c>
      <c r="B251" s="1" t="n">
        <v>45525</v>
      </c>
      <c r="C251" s="1" t="n">
        <v>45565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14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Havsörn</t>
        </is>
      </c>
      <c r="S251">
        <f>HYPERLINK("https://klasma.github.io/Logging_0883/artfynd/A 34357-2024 artfynd.xlsx", "A 34357-2024")</f>
        <v/>
      </c>
      <c r="T251">
        <f>HYPERLINK("https://klasma.github.io/Logging_0883/kartor/A 34357-2024 karta.png", "A 34357-2024")</f>
        <v/>
      </c>
      <c r="V251">
        <f>HYPERLINK("https://klasma.github.io/Logging_0883/klagomål/A 34357-2024 FSC-klagomål.docx", "A 34357-2024")</f>
        <v/>
      </c>
      <c r="W251">
        <f>HYPERLINK("https://klasma.github.io/Logging_0883/klagomålsmail/A 34357-2024 FSC-klagomål mail.docx", "A 34357-2024")</f>
        <v/>
      </c>
      <c r="X251">
        <f>HYPERLINK("https://klasma.github.io/Logging_0883/tillsyn/A 34357-2024 tillsynsbegäran.docx", "A 34357-2024")</f>
        <v/>
      </c>
      <c r="Y251">
        <f>HYPERLINK("https://klasma.github.io/Logging_0883/tillsynsmail/A 34357-2024 tillsynsbegäran mail.docx", "A 34357-2024")</f>
        <v/>
      </c>
      <c r="Z251">
        <f>HYPERLINK("https://klasma.github.io/Logging_0883/fåglar/A 34357-2024 prioriterade fågelarter.docx", "A 34357-2024")</f>
        <v/>
      </c>
    </row>
    <row r="252" ht="15" customHeight="1">
      <c r="A252" t="inlineStr">
        <is>
          <t>A 35028-2024</t>
        </is>
      </c>
      <c r="B252" s="1" t="n">
        <v>45527</v>
      </c>
      <c r="C252" s="1" t="n">
        <v>45565</v>
      </c>
      <c r="D252" t="inlineStr">
        <is>
          <t>KALMAR LÄN</t>
        </is>
      </c>
      <c r="E252" t="inlineStr">
        <is>
          <t>VÄSTERVIK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HYPERLINK("https://klasma.github.io/Logging_0883/artfynd/A 35028-2024 artfynd.xlsx", "A 35028-2024")</f>
        <v/>
      </c>
      <c r="T252">
        <f>HYPERLINK("https://klasma.github.io/Logging_0883/kartor/A 35028-2024 karta.png", "A 35028-2024")</f>
        <v/>
      </c>
      <c r="V252">
        <f>HYPERLINK("https://klasma.github.io/Logging_0883/klagomål/A 35028-2024 FSC-klagomål.docx", "A 35028-2024")</f>
        <v/>
      </c>
      <c r="W252">
        <f>HYPERLINK("https://klasma.github.io/Logging_0883/klagomålsmail/A 35028-2024 FSC-klagomål mail.docx", "A 35028-2024")</f>
        <v/>
      </c>
      <c r="X252">
        <f>HYPERLINK("https://klasma.github.io/Logging_0883/tillsyn/A 35028-2024 tillsynsbegäran.docx", "A 35028-2024")</f>
        <v/>
      </c>
      <c r="Y252">
        <f>HYPERLINK("https://klasma.github.io/Logging_0883/tillsynsmail/A 35028-2024 tillsynsbegäran mail.docx", "A 35028-2024")</f>
        <v/>
      </c>
    </row>
    <row r="253" ht="15" customHeight="1">
      <c r="A253" t="inlineStr">
        <is>
          <t>A 35959-2024</t>
        </is>
      </c>
      <c r="B253" s="1" t="n">
        <v>45533</v>
      </c>
      <c r="C253" s="1" t="n">
        <v>45565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Smalsprötad bastardsvärmare</t>
        </is>
      </c>
      <c r="S253">
        <f>HYPERLINK("https://klasma.github.io/Logging_0883/artfynd/A 35959-2024 artfynd.xlsx", "A 35959-2024")</f>
        <v/>
      </c>
      <c r="T253">
        <f>HYPERLINK("https://klasma.github.io/Logging_0883/kartor/A 35959-2024 karta.png", "A 35959-2024")</f>
        <v/>
      </c>
      <c r="V253">
        <f>HYPERLINK("https://klasma.github.io/Logging_0883/klagomål/A 35959-2024 FSC-klagomål.docx", "A 35959-2024")</f>
        <v/>
      </c>
      <c r="W253">
        <f>HYPERLINK("https://klasma.github.io/Logging_0883/klagomålsmail/A 35959-2024 FSC-klagomål mail.docx", "A 35959-2024")</f>
        <v/>
      </c>
      <c r="X253">
        <f>HYPERLINK("https://klasma.github.io/Logging_0883/tillsyn/A 35959-2024 tillsynsbegäran.docx", "A 35959-2024")</f>
        <v/>
      </c>
      <c r="Y253">
        <f>HYPERLINK("https://klasma.github.io/Logging_0883/tillsynsmail/A 35959-2024 tillsynsbegäran mail.docx", "A 35959-2024")</f>
        <v/>
      </c>
    </row>
    <row r="254" ht="15" customHeight="1">
      <c r="A254" t="inlineStr">
        <is>
          <t>A 17794-2019</t>
        </is>
      </c>
      <c r="B254" s="1" t="n">
        <v>43556</v>
      </c>
      <c r="C254" s="1" t="n">
        <v>45565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18417-2019</t>
        </is>
      </c>
      <c r="B255" s="1" t="n">
        <v>43559</v>
      </c>
      <c r="C255" s="1" t="n">
        <v>45565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18552-2019</t>
        </is>
      </c>
      <c r="B256" s="1" t="n">
        <v>43559</v>
      </c>
      <c r="C256" s="1" t="n">
        <v>45565</v>
      </c>
      <c r="D256" t="inlineStr">
        <is>
          <t>KALMAR LÄN</t>
        </is>
      </c>
      <c r="E256" t="inlineStr">
        <is>
          <t>VÄSTERVIK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18419-2019</t>
        </is>
      </c>
      <c r="B257" s="1" t="n">
        <v>43559</v>
      </c>
      <c r="C257" s="1" t="n">
        <v>45565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18768-2019</t>
        </is>
      </c>
      <c r="B258" s="1" t="n">
        <v>43560</v>
      </c>
      <c r="C258" s="1" t="n">
        <v>45565</v>
      </c>
      <c r="D258" t="inlineStr">
        <is>
          <t>KALMAR LÄN</t>
        </is>
      </c>
      <c r="E258" t="inlineStr">
        <is>
          <t>VÄSTERVIK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19141-2019</t>
        </is>
      </c>
      <c r="B259" s="1" t="n">
        <v>43564</v>
      </c>
      <c r="C259" s="1" t="n">
        <v>45565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19414-2019</t>
        </is>
      </c>
      <c r="B260" s="1" t="n">
        <v>43565</v>
      </c>
      <c r="C260" s="1" t="n">
        <v>45565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19653-2019</t>
        </is>
      </c>
      <c r="B261" s="1" t="n">
        <v>43566</v>
      </c>
      <c r="C261" s="1" t="n">
        <v>45565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19819-2019</t>
        </is>
      </c>
      <c r="B262" s="1" t="n">
        <v>43567</v>
      </c>
      <c r="C262" s="1" t="n">
        <v>45565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19825-2019</t>
        </is>
      </c>
      <c r="B263" s="1" t="n">
        <v>43567</v>
      </c>
      <c r="C263" s="1" t="n">
        <v>45565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20371-2019</t>
        </is>
      </c>
      <c r="B264" s="1" t="n">
        <v>43571</v>
      </c>
      <c r="C264" s="1" t="n">
        <v>45565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24133-2019</t>
        </is>
      </c>
      <c r="B265" s="1" t="n">
        <v>43598</v>
      </c>
      <c r="C265" s="1" t="n">
        <v>45565</v>
      </c>
      <c r="D265" t="inlineStr">
        <is>
          <t>KALMAR LÄN</t>
        </is>
      </c>
      <c r="E265" t="inlineStr">
        <is>
          <t>VÄSTERVIK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24356-2019</t>
        </is>
      </c>
      <c r="B266" s="1" t="n">
        <v>43599</v>
      </c>
      <c r="C266" s="1" t="n">
        <v>45565</v>
      </c>
      <c r="D266" t="inlineStr">
        <is>
          <t>KALMAR LÄN</t>
        </is>
      </c>
      <c r="E266" t="inlineStr">
        <is>
          <t>VÄSTERVIK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24358-2019</t>
        </is>
      </c>
      <c r="B267" s="1" t="n">
        <v>43599</v>
      </c>
      <c r="C267" s="1" t="n">
        <v>45565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24316-2019</t>
        </is>
      </c>
      <c r="B268" s="1" t="n">
        <v>43599</v>
      </c>
      <c r="C268" s="1" t="n">
        <v>45565</v>
      </c>
      <c r="D268" t="inlineStr">
        <is>
          <t>KALMAR LÄN</t>
        </is>
      </c>
      <c r="E268" t="inlineStr">
        <is>
          <t>VÄSTERVIK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24318-2019</t>
        </is>
      </c>
      <c r="B269" s="1" t="n">
        <v>43599</v>
      </c>
      <c r="C269" s="1" t="n">
        <v>45565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24354-2019</t>
        </is>
      </c>
      <c r="B270" s="1" t="n">
        <v>43599</v>
      </c>
      <c r="C270" s="1" t="n">
        <v>45565</v>
      </c>
      <c r="D270" t="inlineStr">
        <is>
          <t>KALMAR LÄN</t>
        </is>
      </c>
      <c r="E270" t="inlineStr">
        <is>
          <t>VÄSTERVIK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24550-2019</t>
        </is>
      </c>
      <c r="B271" s="1" t="n">
        <v>43600</v>
      </c>
      <c r="C271" s="1" t="n">
        <v>45565</v>
      </c>
      <c r="D271" t="inlineStr">
        <is>
          <t>KALMAR LÄN</t>
        </is>
      </c>
      <c r="E271" t="inlineStr">
        <is>
          <t>VÄSTERVIK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24683-2019</t>
        </is>
      </c>
      <c r="B272" s="1" t="n">
        <v>43601</v>
      </c>
      <c r="C272" s="1" t="n">
        <v>45565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24944-2019</t>
        </is>
      </c>
      <c r="B273" s="1" t="n">
        <v>43602</v>
      </c>
      <c r="C273" s="1" t="n">
        <v>45565</v>
      </c>
      <c r="D273" t="inlineStr">
        <is>
          <t>KALMAR LÄN</t>
        </is>
      </c>
      <c r="E273" t="inlineStr">
        <is>
          <t>VÄSTERVIK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26470-2019</t>
        </is>
      </c>
      <c r="B274" s="1" t="n">
        <v>43606</v>
      </c>
      <c r="C274" s="1" t="n">
        <v>45565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26834-2019</t>
        </is>
      </c>
      <c r="B275" s="1" t="n">
        <v>43608</v>
      </c>
      <c r="C275" s="1" t="n">
        <v>45565</v>
      </c>
      <c r="D275" t="inlineStr">
        <is>
          <t>KALMAR LÄN</t>
        </is>
      </c>
      <c r="E275" t="inlineStr">
        <is>
          <t>VÄSTERVIK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26833-2019</t>
        </is>
      </c>
      <c r="B276" s="1" t="n">
        <v>43608</v>
      </c>
      <c r="C276" s="1" t="n">
        <v>45565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26567-2019</t>
        </is>
      </c>
      <c r="B277" s="1" t="n">
        <v>43612</v>
      </c>
      <c r="C277" s="1" t="n">
        <v>45565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26590-2019</t>
        </is>
      </c>
      <c r="B278" s="1" t="n">
        <v>43612</v>
      </c>
      <c r="C278" s="1" t="n">
        <v>45565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26585-2019</t>
        </is>
      </c>
      <c r="B279" s="1" t="n">
        <v>43612</v>
      </c>
      <c r="C279" s="1" t="n">
        <v>45565</v>
      </c>
      <c r="D279" t="inlineStr">
        <is>
          <t>KALMAR LÄN</t>
        </is>
      </c>
      <c r="E279" t="inlineStr">
        <is>
          <t>VÄSTERVIK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26578-2019</t>
        </is>
      </c>
      <c r="B280" s="1" t="n">
        <v>43612</v>
      </c>
      <c r="C280" s="1" t="n">
        <v>45565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27206-2019</t>
        </is>
      </c>
      <c r="B281" s="1" t="n">
        <v>43614</v>
      </c>
      <c r="C281" s="1" t="n">
        <v>45565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28970-2019</t>
        </is>
      </c>
      <c r="B282" s="1" t="n">
        <v>43619</v>
      </c>
      <c r="C282" s="1" t="n">
        <v>45565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27654-2019</t>
        </is>
      </c>
      <c r="B283" s="1" t="n">
        <v>43619</v>
      </c>
      <c r="C283" s="1" t="n">
        <v>45565</v>
      </c>
      <c r="D283" t="inlineStr">
        <is>
          <t>KALMAR LÄN</t>
        </is>
      </c>
      <c r="E283" t="inlineStr">
        <is>
          <t>VÄSTERVIK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28347-2019</t>
        </is>
      </c>
      <c r="B284" s="1" t="n">
        <v>43624</v>
      </c>
      <c r="C284" s="1" t="n">
        <v>45565</v>
      </c>
      <c r="D284" t="inlineStr">
        <is>
          <t>KALMAR LÄN</t>
        </is>
      </c>
      <c r="E284" t="inlineStr">
        <is>
          <t>VÄSTERVIK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28594-2019</t>
        </is>
      </c>
      <c r="B285" s="1" t="n">
        <v>43626</v>
      </c>
      <c r="C285" s="1" t="n">
        <v>45565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28590-2019</t>
        </is>
      </c>
      <c r="B286" s="1" t="n">
        <v>43626</v>
      </c>
      <c r="C286" s="1" t="n">
        <v>45565</v>
      </c>
      <c r="D286" t="inlineStr">
        <is>
          <t>KALMAR LÄN</t>
        </is>
      </c>
      <c r="E286" t="inlineStr">
        <is>
          <t>VÄSTERVIK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29519-2019</t>
        </is>
      </c>
      <c r="B287" s="1" t="n">
        <v>43627</v>
      </c>
      <c r="C287" s="1" t="n">
        <v>45565</v>
      </c>
      <c r="D287" t="inlineStr">
        <is>
          <t>KALMAR LÄN</t>
        </is>
      </c>
      <c r="E287" t="inlineStr">
        <is>
          <t>VÄSTERVIK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30058-2019</t>
        </is>
      </c>
      <c r="B288" s="1" t="n">
        <v>43633</v>
      </c>
      <c r="C288" s="1" t="n">
        <v>45565</v>
      </c>
      <c r="D288" t="inlineStr">
        <is>
          <t>KALMAR LÄN</t>
        </is>
      </c>
      <c r="E288" t="inlineStr">
        <is>
          <t>VÄSTERVIK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30057-2019</t>
        </is>
      </c>
      <c r="B289" s="1" t="n">
        <v>43633</v>
      </c>
      <c r="C289" s="1" t="n">
        <v>45565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29922-2019</t>
        </is>
      </c>
      <c r="B290" s="1" t="n">
        <v>43633</v>
      </c>
      <c r="C290" s="1" t="n">
        <v>45565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31072-2019</t>
        </is>
      </c>
      <c r="B291" s="1" t="n">
        <v>43640</v>
      </c>
      <c r="C291" s="1" t="n">
        <v>45565</v>
      </c>
      <c r="D291" t="inlineStr">
        <is>
          <t>KALMAR LÄN</t>
        </is>
      </c>
      <c r="E291" t="inlineStr">
        <is>
          <t>VÄSTERVIK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32045-2019</t>
        </is>
      </c>
      <c r="B292" s="1" t="n">
        <v>43643</v>
      </c>
      <c r="C292" s="1" t="n">
        <v>45565</v>
      </c>
      <c r="D292" t="inlineStr">
        <is>
          <t>KALMAR LÄN</t>
        </is>
      </c>
      <c r="E292" t="inlineStr">
        <is>
          <t>VÄSTERVIK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32052-2019</t>
        </is>
      </c>
      <c r="B293" s="1" t="n">
        <v>43643</v>
      </c>
      <c r="C293" s="1" t="n">
        <v>45565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32048-2019</t>
        </is>
      </c>
      <c r="B294" s="1" t="n">
        <v>43643</v>
      </c>
      <c r="C294" s="1" t="n">
        <v>45565</v>
      </c>
      <c r="D294" t="inlineStr">
        <is>
          <t>KALMAR LÄN</t>
        </is>
      </c>
      <c r="E294" t="inlineStr">
        <is>
          <t>VÄSTERVIK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32522-2019</t>
        </is>
      </c>
      <c r="B295" s="1" t="n">
        <v>43646</v>
      </c>
      <c r="C295" s="1" t="n">
        <v>45565</v>
      </c>
      <c r="D295" t="inlineStr">
        <is>
          <t>KALMAR LÄN</t>
        </is>
      </c>
      <c r="E295" t="inlineStr">
        <is>
          <t>VÄSTERVIK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32521-2019</t>
        </is>
      </c>
      <c r="B296" s="1" t="n">
        <v>43646</v>
      </c>
      <c r="C296" s="1" t="n">
        <v>45565</v>
      </c>
      <c r="D296" t="inlineStr">
        <is>
          <t>KALMAR LÄN</t>
        </is>
      </c>
      <c r="E296" t="inlineStr">
        <is>
          <t>VÄSTERVIK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32524-2019</t>
        </is>
      </c>
      <c r="B297" s="1" t="n">
        <v>43646</v>
      </c>
      <c r="C297" s="1" t="n">
        <v>45565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32523-2019</t>
        </is>
      </c>
      <c r="B298" s="1" t="n">
        <v>43646</v>
      </c>
      <c r="C298" s="1" t="n">
        <v>45565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33752-2019</t>
        </is>
      </c>
      <c r="B299" s="1" t="n">
        <v>43651</v>
      </c>
      <c r="C299" s="1" t="n">
        <v>45565</v>
      </c>
      <c r="D299" t="inlineStr">
        <is>
          <t>KALMAR LÄN</t>
        </is>
      </c>
      <c r="E299" t="inlineStr">
        <is>
          <t>VÄSTERVIK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33738-2019</t>
        </is>
      </c>
      <c r="B300" s="1" t="n">
        <v>43651</v>
      </c>
      <c r="C300" s="1" t="n">
        <v>45565</v>
      </c>
      <c r="D300" t="inlineStr">
        <is>
          <t>KALMAR LÄN</t>
        </is>
      </c>
      <c r="E300" t="inlineStr">
        <is>
          <t>VÄSTERVIK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33741-2019</t>
        </is>
      </c>
      <c r="B301" s="1" t="n">
        <v>43651</v>
      </c>
      <c r="C301" s="1" t="n">
        <v>45565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35283-2019</t>
        </is>
      </c>
      <c r="B302" s="1" t="n">
        <v>43656</v>
      </c>
      <c r="C302" s="1" t="n">
        <v>45565</v>
      </c>
      <c r="D302" t="inlineStr">
        <is>
          <t>KALMAR LÄN</t>
        </is>
      </c>
      <c r="E302" t="inlineStr">
        <is>
          <t>VÄSTERVIK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35284-2019</t>
        </is>
      </c>
      <c r="B303" s="1" t="n">
        <v>43656</v>
      </c>
      <c r="C303" s="1" t="n">
        <v>45565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35285-2019</t>
        </is>
      </c>
      <c r="B304" s="1" t="n">
        <v>43656</v>
      </c>
      <c r="C304" s="1" t="n">
        <v>45565</v>
      </c>
      <c r="D304" t="inlineStr">
        <is>
          <t>KALMAR LÄN</t>
        </is>
      </c>
      <c r="E304" t="inlineStr">
        <is>
          <t>VÄSTERVIK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37615-2019</t>
        </is>
      </c>
      <c r="B305" s="1" t="n">
        <v>43681</v>
      </c>
      <c r="C305" s="1" t="n">
        <v>45565</v>
      </c>
      <c r="D305" t="inlineStr">
        <is>
          <t>KALMAR LÄN</t>
        </is>
      </c>
      <c r="E305" t="inlineStr">
        <is>
          <t>VÄSTERVIK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37983-2019</t>
        </is>
      </c>
      <c r="B306" s="1" t="n">
        <v>43683</v>
      </c>
      <c r="C306" s="1" t="n">
        <v>45565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37920-2019</t>
        </is>
      </c>
      <c r="B307" s="1" t="n">
        <v>43683</v>
      </c>
      <c r="C307" s="1" t="n">
        <v>45565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38229-2019</t>
        </is>
      </c>
      <c r="B308" s="1" t="n">
        <v>43684</v>
      </c>
      <c r="C308" s="1" t="n">
        <v>45565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38239-2019</t>
        </is>
      </c>
      <c r="B309" s="1" t="n">
        <v>43684</v>
      </c>
      <c r="C309" s="1" t="n">
        <v>45565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38904-2019</t>
        </is>
      </c>
      <c r="B310" s="1" t="n">
        <v>43689</v>
      </c>
      <c r="C310" s="1" t="n">
        <v>45565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39696-2019</t>
        </is>
      </c>
      <c r="B311" s="1" t="n">
        <v>43691</v>
      </c>
      <c r="C311" s="1" t="n">
        <v>45565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39745-2019</t>
        </is>
      </c>
      <c r="B312" s="1" t="n">
        <v>43691</v>
      </c>
      <c r="C312" s="1" t="n">
        <v>45565</v>
      </c>
      <c r="D312" t="inlineStr">
        <is>
          <t>KALMAR LÄN</t>
        </is>
      </c>
      <c r="E312" t="inlineStr">
        <is>
          <t>VÄSTERVIK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41961-2019</t>
        </is>
      </c>
      <c r="B313" s="1" t="n">
        <v>43698</v>
      </c>
      <c r="C313" s="1" t="n">
        <v>45565</v>
      </c>
      <c r="D313" t="inlineStr">
        <is>
          <t>KALMAR LÄN</t>
        </is>
      </c>
      <c r="E313" t="inlineStr">
        <is>
          <t>VÄSTERVIK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41728-2019</t>
        </is>
      </c>
      <c r="B314" s="1" t="n">
        <v>43699</v>
      </c>
      <c r="C314" s="1" t="n">
        <v>45565</v>
      </c>
      <c r="D314" t="inlineStr">
        <is>
          <t>KALMAR LÄN</t>
        </is>
      </c>
      <c r="E314" t="inlineStr">
        <is>
          <t>VÄSTERVIK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44467-2019</t>
        </is>
      </c>
      <c r="B315" s="1" t="n">
        <v>43711</v>
      </c>
      <c r="C315" s="1" t="n">
        <v>45565</v>
      </c>
      <c r="D315" t="inlineStr">
        <is>
          <t>KALMAR LÄN</t>
        </is>
      </c>
      <c r="E315" t="inlineStr">
        <is>
          <t>VÄSTERVIK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44639-2019</t>
        </is>
      </c>
      <c r="B316" s="1" t="n">
        <v>43712</v>
      </c>
      <c r="C316" s="1" t="n">
        <v>45565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46173-2019</t>
        </is>
      </c>
      <c r="B317" s="1" t="n">
        <v>43712</v>
      </c>
      <c r="C317" s="1" t="n">
        <v>45565</v>
      </c>
      <c r="D317" t="inlineStr">
        <is>
          <t>KALMAR LÄN</t>
        </is>
      </c>
      <c r="E317" t="inlineStr">
        <is>
          <t>VÄSTERVIK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45162-2019</t>
        </is>
      </c>
      <c r="B318" s="1" t="n">
        <v>43713</v>
      </c>
      <c r="C318" s="1" t="n">
        <v>45565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45379-2019</t>
        </is>
      </c>
      <c r="B319" s="1" t="n">
        <v>43713</v>
      </c>
      <c r="C319" s="1" t="n">
        <v>45565</v>
      </c>
      <c r="D319" t="inlineStr">
        <is>
          <t>KALMAR LÄN</t>
        </is>
      </c>
      <c r="E319" t="inlineStr">
        <is>
          <t>VÄSTERVIK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45386-2019</t>
        </is>
      </c>
      <c r="B320" s="1" t="n">
        <v>43713</v>
      </c>
      <c r="C320" s="1" t="n">
        <v>45565</v>
      </c>
      <c r="D320" t="inlineStr">
        <is>
          <t>KALMAR LÄN</t>
        </is>
      </c>
      <c r="E320" t="inlineStr">
        <is>
          <t>VÄSTERVIK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45757-2019</t>
        </is>
      </c>
      <c r="B321" s="1" t="n">
        <v>43717</v>
      </c>
      <c r="C321" s="1" t="n">
        <v>45565</v>
      </c>
      <c r="D321" t="inlineStr">
        <is>
          <t>KALMAR LÄN</t>
        </is>
      </c>
      <c r="E321" t="inlineStr">
        <is>
          <t>VÄSTERVIK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45772-2019</t>
        </is>
      </c>
      <c r="B322" s="1" t="n">
        <v>43717</v>
      </c>
      <c r="C322" s="1" t="n">
        <v>45565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45897-2019</t>
        </is>
      </c>
      <c r="B323" s="1" t="n">
        <v>43717</v>
      </c>
      <c r="C323" s="1" t="n">
        <v>45565</v>
      </c>
      <c r="D323" t="inlineStr">
        <is>
          <t>KALMAR LÄN</t>
        </is>
      </c>
      <c r="E323" t="inlineStr">
        <is>
          <t>VÄSTERVIK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46333-2019</t>
        </is>
      </c>
      <c r="B324" s="1" t="n">
        <v>43718</v>
      </c>
      <c r="C324" s="1" t="n">
        <v>45565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46942-2019</t>
        </is>
      </c>
      <c r="B325" s="1" t="n">
        <v>43719</v>
      </c>
      <c r="C325" s="1" t="n">
        <v>45565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47434-2019</t>
        </is>
      </c>
      <c r="B326" s="1" t="n">
        <v>43723</v>
      </c>
      <c r="C326" s="1" t="n">
        <v>45565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47435-2019</t>
        </is>
      </c>
      <c r="B327" s="1" t="n">
        <v>43723</v>
      </c>
      <c r="C327" s="1" t="n">
        <v>45565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47438-2019</t>
        </is>
      </c>
      <c r="B328" s="1" t="n">
        <v>43723</v>
      </c>
      <c r="C328" s="1" t="n">
        <v>45565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47956-2019</t>
        </is>
      </c>
      <c r="B329" s="1" t="n">
        <v>43725</v>
      </c>
      <c r="C329" s="1" t="n">
        <v>45565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47954-2019</t>
        </is>
      </c>
      <c r="B330" s="1" t="n">
        <v>43725</v>
      </c>
      <c r="C330" s="1" t="n">
        <v>45565</v>
      </c>
      <c r="D330" t="inlineStr">
        <is>
          <t>KALMAR LÄN</t>
        </is>
      </c>
      <c r="E330" t="inlineStr">
        <is>
          <t>VÄSTERVIK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48357-2019</t>
        </is>
      </c>
      <c r="B331" s="1" t="n">
        <v>43726</v>
      </c>
      <c r="C331" s="1" t="n">
        <v>45565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48982-2019</t>
        </is>
      </c>
      <c r="B332" s="1" t="n">
        <v>43729</v>
      </c>
      <c r="C332" s="1" t="n">
        <v>45565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48981-2019</t>
        </is>
      </c>
      <c r="B333" s="1" t="n">
        <v>43729</v>
      </c>
      <c r="C333" s="1" t="n">
        <v>45565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48983-2019</t>
        </is>
      </c>
      <c r="B334" s="1" t="n">
        <v>43729</v>
      </c>
      <c r="C334" s="1" t="n">
        <v>45565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50461-2019</t>
        </is>
      </c>
      <c r="B335" s="1" t="n">
        <v>43735</v>
      </c>
      <c r="C335" s="1" t="n">
        <v>45565</v>
      </c>
      <c r="D335" t="inlineStr">
        <is>
          <t>KALMAR LÄN</t>
        </is>
      </c>
      <c r="E335" t="inlineStr">
        <is>
          <t>VÄSTERVIK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50627-2019</t>
        </is>
      </c>
      <c r="B336" s="1" t="n">
        <v>43736</v>
      </c>
      <c r="C336" s="1" t="n">
        <v>45565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50626-2019</t>
        </is>
      </c>
      <c r="B337" s="1" t="n">
        <v>43736</v>
      </c>
      <c r="C337" s="1" t="n">
        <v>45565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51408-2019</t>
        </is>
      </c>
      <c r="B338" s="1" t="n">
        <v>43740</v>
      </c>
      <c r="C338" s="1" t="n">
        <v>45565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52292-2019</t>
        </is>
      </c>
      <c r="B339" s="1" t="n">
        <v>43744</v>
      </c>
      <c r="C339" s="1" t="n">
        <v>45565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52527-2019</t>
        </is>
      </c>
      <c r="B340" s="1" t="n">
        <v>43745</v>
      </c>
      <c r="C340" s="1" t="n">
        <v>45565</v>
      </c>
      <c r="D340" t="inlineStr">
        <is>
          <t>KALMAR LÄN</t>
        </is>
      </c>
      <c r="E340" t="inlineStr">
        <is>
          <t>VÄSTERVIK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53714-2019</t>
        </is>
      </c>
      <c r="B341" s="1" t="n">
        <v>43749</v>
      </c>
      <c r="C341" s="1" t="n">
        <v>45565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53546-2019</t>
        </is>
      </c>
      <c r="B342" s="1" t="n">
        <v>43749</v>
      </c>
      <c r="C342" s="1" t="n">
        <v>45565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54591-2019</t>
        </is>
      </c>
      <c r="B343" s="1" t="n">
        <v>43754</v>
      </c>
      <c r="C343" s="1" t="n">
        <v>45565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54597-2019</t>
        </is>
      </c>
      <c r="B344" s="1" t="n">
        <v>43754</v>
      </c>
      <c r="C344" s="1" t="n">
        <v>45565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57650-2019</t>
        </is>
      </c>
      <c r="B345" s="1" t="n">
        <v>43761</v>
      </c>
      <c r="C345" s="1" t="n">
        <v>45565</v>
      </c>
      <c r="D345" t="inlineStr">
        <is>
          <t>KALMAR LÄN</t>
        </is>
      </c>
      <c r="E345" t="inlineStr">
        <is>
          <t>VÄSTERVIK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57654-2019</t>
        </is>
      </c>
      <c r="B346" s="1" t="n">
        <v>43761</v>
      </c>
      <c r="C346" s="1" t="n">
        <v>45565</v>
      </c>
      <c r="D346" t="inlineStr">
        <is>
          <t>KALMAR LÄN</t>
        </is>
      </c>
      <c r="E346" t="inlineStr">
        <is>
          <t>VÄSTERVIK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56580-2019</t>
        </is>
      </c>
      <c r="B347" s="1" t="n">
        <v>43763</v>
      </c>
      <c r="C347" s="1" t="n">
        <v>45565</v>
      </c>
      <c r="D347" t="inlineStr">
        <is>
          <t>KALMAR LÄN</t>
        </is>
      </c>
      <c r="E347" t="inlineStr">
        <is>
          <t>VÄSTERVIK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57770-2019</t>
        </is>
      </c>
      <c r="B348" s="1" t="n">
        <v>43768</v>
      </c>
      <c r="C348" s="1" t="n">
        <v>45565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58323-2019</t>
        </is>
      </c>
      <c r="B349" s="1" t="n">
        <v>43770</v>
      </c>
      <c r="C349" s="1" t="n">
        <v>45565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58386-2019</t>
        </is>
      </c>
      <c r="B350" s="1" t="n">
        <v>43772</v>
      </c>
      <c r="C350" s="1" t="n">
        <v>45565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58658-2019</t>
        </is>
      </c>
      <c r="B351" s="1" t="n">
        <v>43773</v>
      </c>
      <c r="C351" s="1" t="n">
        <v>45565</v>
      </c>
      <c r="D351" t="inlineStr">
        <is>
          <t>KALMAR LÄN</t>
        </is>
      </c>
      <c r="E351" t="inlineStr">
        <is>
          <t>VÄSTERVIK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59753-2019</t>
        </is>
      </c>
      <c r="B352" s="1" t="n">
        <v>43776</v>
      </c>
      <c r="C352" s="1" t="n">
        <v>45565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59898-2019</t>
        </is>
      </c>
      <c r="B353" s="1" t="n">
        <v>43777</v>
      </c>
      <c r="C353" s="1" t="n">
        <v>45565</v>
      </c>
      <c r="D353" t="inlineStr">
        <is>
          <t>KALMAR LÄN</t>
        </is>
      </c>
      <c r="E353" t="inlineStr">
        <is>
          <t>VÄSTERVIK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59892-2019</t>
        </is>
      </c>
      <c r="B354" s="1" t="n">
        <v>43777</v>
      </c>
      <c r="C354" s="1" t="n">
        <v>45565</v>
      </c>
      <c r="D354" t="inlineStr">
        <is>
          <t>KALMAR LÄN</t>
        </is>
      </c>
      <c r="E354" t="inlineStr">
        <is>
          <t>VÄSTERVIK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59937-2019</t>
        </is>
      </c>
      <c r="B355" s="1" t="n">
        <v>43777</v>
      </c>
      <c r="C355" s="1" t="n">
        <v>45565</v>
      </c>
      <c r="D355" t="inlineStr">
        <is>
          <t>KALMAR LÄN</t>
        </is>
      </c>
      <c r="E355" t="inlineStr">
        <is>
          <t>VÄSTERVIK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60707-2019</t>
        </is>
      </c>
      <c r="B356" s="1" t="n">
        <v>43781</v>
      </c>
      <c r="C356" s="1" t="n">
        <v>45565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61055-2019</t>
        </is>
      </c>
      <c r="B357" s="1" t="n">
        <v>43782</v>
      </c>
      <c r="C357" s="1" t="n">
        <v>45565</v>
      </c>
      <c r="D357" t="inlineStr">
        <is>
          <t>KALMAR LÄN</t>
        </is>
      </c>
      <c r="E357" t="inlineStr">
        <is>
          <t>VÄSTERVIK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61708-2019</t>
        </is>
      </c>
      <c r="B358" s="1" t="n">
        <v>43784</v>
      </c>
      <c r="C358" s="1" t="n">
        <v>45565</v>
      </c>
      <c r="D358" t="inlineStr">
        <is>
          <t>KALMAR LÄN</t>
        </is>
      </c>
      <c r="E358" t="inlineStr">
        <is>
          <t>VÄSTERVIK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62093-2019</t>
        </is>
      </c>
      <c r="B359" s="1" t="n">
        <v>43787</v>
      </c>
      <c r="C359" s="1" t="n">
        <v>45565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62046-2019</t>
        </is>
      </c>
      <c r="B360" s="1" t="n">
        <v>43787</v>
      </c>
      <c r="C360" s="1" t="n">
        <v>45565</v>
      </c>
      <c r="D360" t="inlineStr">
        <is>
          <t>KALMAR LÄN</t>
        </is>
      </c>
      <c r="E360" t="inlineStr">
        <is>
          <t>VÄSTERVIK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62473-2019</t>
        </is>
      </c>
      <c r="B361" s="1" t="n">
        <v>43788</v>
      </c>
      <c r="C361" s="1" t="n">
        <v>45565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62660-2019</t>
        </is>
      </c>
      <c r="B362" s="1" t="n">
        <v>43789</v>
      </c>
      <c r="C362" s="1" t="n">
        <v>45565</v>
      </c>
      <c r="D362" t="inlineStr">
        <is>
          <t>KALMAR LÄN</t>
        </is>
      </c>
      <c r="E362" t="inlineStr">
        <is>
          <t>VÄSTERVIK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63090-2019</t>
        </is>
      </c>
      <c r="B363" s="1" t="n">
        <v>43791</v>
      </c>
      <c r="C363" s="1" t="n">
        <v>45565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63385-2019</t>
        </is>
      </c>
      <c r="B364" s="1" t="n">
        <v>43794</v>
      </c>
      <c r="C364" s="1" t="n">
        <v>45565</v>
      </c>
      <c r="D364" t="inlineStr">
        <is>
          <t>KALMAR LÄN</t>
        </is>
      </c>
      <c r="E364" t="inlineStr">
        <is>
          <t>VÄSTERVIK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64610-2019</t>
        </is>
      </c>
      <c r="B365" s="1" t="n">
        <v>43798</v>
      </c>
      <c r="C365" s="1" t="n">
        <v>45565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65604-2019</t>
        </is>
      </c>
      <c r="B366" s="1" t="n">
        <v>43804</v>
      </c>
      <c r="C366" s="1" t="n">
        <v>45565</v>
      </c>
      <c r="D366" t="inlineStr">
        <is>
          <t>KALMAR LÄN</t>
        </is>
      </c>
      <c r="E366" t="inlineStr">
        <is>
          <t>VÄSTERVIK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66743-2019</t>
        </is>
      </c>
      <c r="B367" s="1" t="n">
        <v>43804</v>
      </c>
      <c r="C367" s="1" t="n">
        <v>45565</v>
      </c>
      <c r="D367" t="inlineStr">
        <is>
          <t>KALMAR LÄN</t>
        </is>
      </c>
      <c r="E367" t="inlineStr">
        <is>
          <t>VÄSTERVIK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HYPERLINK("https://klasma.github.io/Logging_0883/knärot/A 66743-2019 karta knärot.png", "A 66743-2019")</f>
        <v/>
      </c>
      <c r="V367">
        <f>HYPERLINK("https://klasma.github.io/Logging_0883/klagomål/A 66743-2019 FSC-klagomål.docx", "A 66743-2019")</f>
        <v/>
      </c>
      <c r="W367">
        <f>HYPERLINK("https://klasma.github.io/Logging_0883/klagomålsmail/A 66743-2019 FSC-klagomål mail.docx", "A 66743-2019")</f>
        <v/>
      </c>
      <c r="X367">
        <f>HYPERLINK("https://klasma.github.io/Logging_0883/tillsyn/A 66743-2019 tillsynsbegäran.docx", "A 66743-2019")</f>
        <v/>
      </c>
      <c r="Y367">
        <f>HYPERLINK("https://klasma.github.io/Logging_0883/tillsynsmail/A 66743-2019 tillsynsbegäran mail.docx", "A 66743-2019")</f>
        <v/>
      </c>
    </row>
    <row r="368" ht="15" customHeight="1">
      <c r="A368" t="inlineStr">
        <is>
          <t>A 66279-2019</t>
        </is>
      </c>
      <c r="B368" s="1" t="n">
        <v>43808</v>
      </c>
      <c r="C368" s="1" t="n">
        <v>45565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66232-2019</t>
        </is>
      </c>
      <c r="B369" s="1" t="n">
        <v>43808</v>
      </c>
      <c r="C369" s="1" t="n">
        <v>45565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67407-2019</t>
        </is>
      </c>
      <c r="B370" s="1" t="n">
        <v>43812</v>
      </c>
      <c r="C370" s="1" t="n">
        <v>45565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68494-2019</t>
        </is>
      </c>
      <c r="B371" s="1" t="n">
        <v>43818</v>
      </c>
      <c r="C371" s="1" t="n">
        <v>45565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68764-2019</t>
        </is>
      </c>
      <c r="B372" s="1" t="n">
        <v>43819</v>
      </c>
      <c r="C372" s="1" t="n">
        <v>45565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483-2020</t>
        </is>
      </c>
      <c r="B373" s="1" t="n">
        <v>43837</v>
      </c>
      <c r="C373" s="1" t="n">
        <v>45565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777-2020</t>
        </is>
      </c>
      <c r="B374" s="1" t="n">
        <v>43838</v>
      </c>
      <c r="C374" s="1" t="n">
        <v>45565</v>
      </c>
      <c r="D374" t="inlineStr">
        <is>
          <t>KALMAR LÄN</t>
        </is>
      </c>
      <c r="E374" t="inlineStr">
        <is>
          <t>VÄSTERVIK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776-2020</t>
        </is>
      </c>
      <c r="B375" s="1" t="n">
        <v>43838</v>
      </c>
      <c r="C375" s="1" t="n">
        <v>45565</v>
      </c>
      <c r="D375" t="inlineStr">
        <is>
          <t>KALMAR LÄN</t>
        </is>
      </c>
      <c r="E375" t="inlineStr">
        <is>
          <t>VÄSTERVIK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1989-2020</t>
        </is>
      </c>
      <c r="B376" s="1" t="n">
        <v>43838</v>
      </c>
      <c r="C376" s="1" t="n">
        <v>45565</v>
      </c>
      <c r="D376" t="inlineStr">
        <is>
          <t>KALMAR LÄN</t>
        </is>
      </c>
      <c r="E376" t="inlineStr">
        <is>
          <t>VÄSTERVIK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2494-2020</t>
        </is>
      </c>
      <c r="B377" s="1" t="n">
        <v>43847</v>
      </c>
      <c r="C377" s="1" t="n">
        <v>45565</v>
      </c>
      <c r="D377" t="inlineStr">
        <is>
          <t>KALMAR LÄN</t>
        </is>
      </c>
      <c r="E377" t="inlineStr">
        <is>
          <t>VÄSTERVIK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3739-2020</t>
        </is>
      </c>
      <c r="B378" s="1" t="n">
        <v>43853</v>
      </c>
      <c r="C378" s="1" t="n">
        <v>45565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3934-2020</t>
        </is>
      </c>
      <c r="B379" s="1" t="n">
        <v>43854</v>
      </c>
      <c r="C379" s="1" t="n">
        <v>45565</v>
      </c>
      <c r="D379" t="inlineStr">
        <is>
          <t>KALMAR LÄN</t>
        </is>
      </c>
      <c r="E379" t="inlineStr">
        <is>
          <t>VÄSTERVIK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4786-2020</t>
        </is>
      </c>
      <c r="B380" s="1" t="n">
        <v>43859</v>
      </c>
      <c r="C380" s="1" t="n">
        <v>45565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4954-2020</t>
        </is>
      </c>
      <c r="B381" s="1" t="n">
        <v>43859</v>
      </c>
      <c r="C381" s="1" t="n">
        <v>45565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4992-2020</t>
        </is>
      </c>
      <c r="B382" s="1" t="n">
        <v>43859</v>
      </c>
      <c r="C382" s="1" t="n">
        <v>45565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4939-2020</t>
        </is>
      </c>
      <c r="B383" s="1" t="n">
        <v>43859</v>
      </c>
      <c r="C383" s="1" t="n">
        <v>45565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5622-2020</t>
        </is>
      </c>
      <c r="B384" s="1" t="n">
        <v>43860</v>
      </c>
      <c r="C384" s="1" t="n">
        <v>45565</v>
      </c>
      <c r="D384" t="inlineStr">
        <is>
          <t>KALMAR LÄN</t>
        </is>
      </c>
      <c r="E384" t="inlineStr">
        <is>
          <t>VÄSTERVIK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5637-2020</t>
        </is>
      </c>
      <c r="B385" s="1" t="n">
        <v>43860</v>
      </c>
      <c r="C385" s="1" t="n">
        <v>45565</v>
      </c>
      <c r="D385" t="inlineStr">
        <is>
          <t>KALMAR LÄN</t>
        </is>
      </c>
      <c r="E385" t="inlineStr">
        <is>
          <t>VÄSTERVIK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5629-2020</t>
        </is>
      </c>
      <c r="B386" s="1" t="n">
        <v>43860</v>
      </c>
      <c r="C386" s="1" t="n">
        <v>45565</v>
      </c>
      <c r="D386" t="inlineStr">
        <is>
          <t>KALMAR LÄN</t>
        </is>
      </c>
      <c r="E386" t="inlineStr">
        <is>
          <t>VÄSTERVIK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5583-2020</t>
        </is>
      </c>
      <c r="B387" s="1" t="n">
        <v>43861</v>
      </c>
      <c r="C387" s="1" t="n">
        <v>45565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5594-2020</t>
        </is>
      </c>
      <c r="B388" s="1" t="n">
        <v>43861</v>
      </c>
      <c r="C388" s="1" t="n">
        <v>45565</v>
      </c>
      <c r="D388" t="inlineStr">
        <is>
          <t>KALMAR LÄN</t>
        </is>
      </c>
      <c r="E388" t="inlineStr">
        <is>
          <t>VÄSTERVIK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5697-2020</t>
        </is>
      </c>
      <c r="B389" s="1" t="n">
        <v>43861</v>
      </c>
      <c r="C389" s="1" t="n">
        <v>45565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5822-2020</t>
        </is>
      </c>
      <c r="B390" s="1" t="n">
        <v>43864</v>
      </c>
      <c r="C390" s="1" t="n">
        <v>45565</v>
      </c>
      <c r="D390" t="inlineStr">
        <is>
          <t>KALMAR LÄN</t>
        </is>
      </c>
      <c r="E390" t="inlineStr">
        <is>
          <t>VÄSTERVIK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6425-2020</t>
        </is>
      </c>
      <c r="B391" s="1" t="n">
        <v>43865</v>
      </c>
      <c r="C391" s="1" t="n">
        <v>45565</v>
      </c>
      <c r="D391" t="inlineStr">
        <is>
          <t>KALMAR LÄN</t>
        </is>
      </c>
      <c r="E391" t="inlineStr">
        <is>
          <t>VÄSTERVIK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6391-2020</t>
        </is>
      </c>
      <c r="B392" s="1" t="n">
        <v>43866</v>
      </c>
      <c r="C392" s="1" t="n">
        <v>45565</v>
      </c>
      <c r="D392" t="inlineStr">
        <is>
          <t>KALMAR LÄN</t>
        </is>
      </c>
      <c r="E392" t="inlineStr">
        <is>
          <t>VÄSTERVIK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6387-2020</t>
        </is>
      </c>
      <c r="B393" s="1" t="n">
        <v>43866</v>
      </c>
      <c r="C393" s="1" t="n">
        <v>45565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7290-2020</t>
        </is>
      </c>
      <c r="B394" s="1" t="n">
        <v>43871</v>
      </c>
      <c r="C394" s="1" t="n">
        <v>45565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7660-2020</t>
        </is>
      </c>
      <c r="B395" s="1" t="n">
        <v>43872</v>
      </c>
      <c r="C395" s="1" t="n">
        <v>45565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7652-2020</t>
        </is>
      </c>
      <c r="B396" s="1" t="n">
        <v>43872</v>
      </c>
      <c r="C396" s="1" t="n">
        <v>45565</v>
      </c>
      <c r="D396" t="inlineStr">
        <is>
          <t>KALMAR LÄN</t>
        </is>
      </c>
      <c r="E396" t="inlineStr">
        <is>
          <t>VÄSTERVIK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7727-2020</t>
        </is>
      </c>
      <c r="B397" s="1" t="n">
        <v>43872</v>
      </c>
      <c r="C397" s="1" t="n">
        <v>45565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8075-2020</t>
        </is>
      </c>
      <c r="B398" s="1" t="n">
        <v>43874</v>
      </c>
      <c r="C398" s="1" t="n">
        <v>45565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8072-2020</t>
        </is>
      </c>
      <c r="B399" s="1" t="n">
        <v>43874</v>
      </c>
      <c r="C399" s="1" t="n">
        <v>45565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9168-2020</t>
        </is>
      </c>
      <c r="B400" s="1" t="n">
        <v>43879</v>
      </c>
      <c r="C400" s="1" t="n">
        <v>45565</v>
      </c>
      <c r="D400" t="inlineStr">
        <is>
          <t>KALMAR LÄN</t>
        </is>
      </c>
      <c r="E400" t="inlineStr">
        <is>
          <t>VÄSTERVIK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9166-2020</t>
        </is>
      </c>
      <c r="B401" s="1" t="n">
        <v>43879</v>
      </c>
      <c r="C401" s="1" t="n">
        <v>45565</v>
      </c>
      <c r="D401" t="inlineStr">
        <is>
          <t>KALMAR LÄN</t>
        </is>
      </c>
      <c r="E401" t="inlineStr">
        <is>
          <t>VÄSTERVIK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9332-2020</t>
        </is>
      </c>
      <c r="B402" s="1" t="n">
        <v>43880</v>
      </c>
      <c r="C402" s="1" t="n">
        <v>45565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10373-2020</t>
        </is>
      </c>
      <c r="B403" s="1" t="n">
        <v>43885</v>
      </c>
      <c r="C403" s="1" t="n">
        <v>45565</v>
      </c>
      <c r="D403" t="inlineStr">
        <is>
          <t>KALMAR LÄN</t>
        </is>
      </c>
      <c r="E403" t="inlineStr">
        <is>
          <t>VÄSTERVIK</t>
        </is>
      </c>
      <c r="F403" t="inlineStr">
        <is>
          <t>Kyrkan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11067-2020</t>
        </is>
      </c>
      <c r="B404" s="1" t="n">
        <v>43885</v>
      </c>
      <c r="C404" s="1" t="n">
        <v>45565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10482-2020</t>
        </is>
      </c>
      <c r="B405" s="1" t="n">
        <v>43886</v>
      </c>
      <c r="C405" s="1" t="n">
        <v>45565</v>
      </c>
      <c r="D405" t="inlineStr">
        <is>
          <t>KALMAR LÄN</t>
        </is>
      </c>
      <c r="E405" t="inlineStr">
        <is>
          <t>VÄSTERVIK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10173-2020</t>
        </is>
      </c>
      <c r="B406" s="1" t="n">
        <v>43886</v>
      </c>
      <c r="C406" s="1" t="n">
        <v>45565</v>
      </c>
      <c r="D406" t="inlineStr">
        <is>
          <t>KALMAR LÄN</t>
        </is>
      </c>
      <c r="E406" t="inlineStr">
        <is>
          <t>VÄSTERVIK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11253-2020</t>
        </is>
      </c>
      <c r="B407" s="1" t="n">
        <v>43892</v>
      </c>
      <c r="C407" s="1" t="n">
        <v>45565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11248-2020</t>
        </is>
      </c>
      <c r="B408" s="1" t="n">
        <v>43892</v>
      </c>
      <c r="C408" s="1" t="n">
        <v>45565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11246-2020</t>
        </is>
      </c>
      <c r="B409" s="1" t="n">
        <v>43892</v>
      </c>
      <c r="C409" s="1" t="n">
        <v>45565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12430-2020</t>
        </is>
      </c>
      <c r="B410" s="1" t="n">
        <v>43896</v>
      </c>
      <c r="C410" s="1" t="n">
        <v>45565</v>
      </c>
      <c r="D410" t="inlineStr">
        <is>
          <t>KALMAR LÄN</t>
        </is>
      </c>
      <c r="E410" t="inlineStr">
        <is>
          <t>VÄSTERVIK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12965-2020</t>
        </is>
      </c>
      <c r="B411" s="1" t="n">
        <v>43900</v>
      </c>
      <c r="C411" s="1" t="n">
        <v>45565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13514-2020</t>
        </is>
      </c>
      <c r="B412" s="1" t="n">
        <v>43902</v>
      </c>
      <c r="C412" s="1" t="n">
        <v>45565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13526-2020</t>
        </is>
      </c>
      <c r="B413" s="1" t="n">
        <v>43902</v>
      </c>
      <c r="C413" s="1" t="n">
        <v>45565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18.6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13523-2020</t>
        </is>
      </c>
      <c r="B414" s="1" t="n">
        <v>43902</v>
      </c>
      <c r="C414" s="1" t="n">
        <v>45565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14889-2020</t>
        </is>
      </c>
      <c r="B415" s="1" t="n">
        <v>43906</v>
      </c>
      <c r="C415" s="1" t="n">
        <v>45565</v>
      </c>
      <c r="D415" t="inlineStr">
        <is>
          <t>KALMAR LÄN</t>
        </is>
      </c>
      <c r="E415" t="inlineStr">
        <is>
          <t>VÄSTERVIK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14887-2020</t>
        </is>
      </c>
      <c r="B416" s="1" t="n">
        <v>43906</v>
      </c>
      <c r="C416" s="1" t="n">
        <v>45565</v>
      </c>
      <c r="D416" t="inlineStr">
        <is>
          <t>KALMAR LÄN</t>
        </is>
      </c>
      <c r="E416" t="inlineStr">
        <is>
          <t>VÄSTERVIK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14891-2020</t>
        </is>
      </c>
      <c r="B417" s="1" t="n">
        <v>43906</v>
      </c>
      <c r="C417" s="1" t="n">
        <v>45565</v>
      </c>
      <c r="D417" t="inlineStr">
        <is>
          <t>KALMAR LÄN</t>
        </is>
      </c>
      <c r="E417" t="inlineStr">
        <is>
          <t>VÄSTERVIK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14456-2020</t>
        </is>
      </c>
      <c r="B418" s="1" t="n">
        <v>43908</v>
      </c>
      <c r="C418" s="1" t="n">
        <v>45565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16580-2020</t>
        </is>
      </c>
      <c r="B419" s="1" t="n">
        <v>43908</v>
      </c>
      <c r="C419" s="1" t="n">
        <v>45565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19422-2020</t>
        </is>
      </c>
      <c r="B420" s="1" t="n">
        <v>43938</v>
      </c>
      <c r="C420" s="1" t="n">
        <v>45565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19437-2020</t>
        </is>
      </c>
      <c r="B421" s="1" t="n">
        <v>43938</v>
      </c>
      <c r="C421" s="1" t="n">
        <v>45565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19829-2020</t>
        </is>
      </c>
      <c r="B422" s="1" t="n">
        <v>43942</v>
      </c>
      <c r="C422" s="1" t="n">
        <v>45565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20408-2020</t>
        </is>
      </c>
      <c r="B423" s="1" t="n">
        <v>43945</v>
      </c>
      <c r="C423" s="1" t="n">
        <v>45565</v>
      </c>
      <c r="D423" t="inlineStr">
        <is>
          <t>KALMAR LÄN</t>
        </is>
      </c>
      <c r="E423" t="inlineStr">
        <is>
          <t>VÄSTERVIK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20411-2020</t>
        </is>
      </c>
      <c r="B424" s="1" t="n">
        <v>43945</v>
      </c>
      <c r="C424" s="1" t="n">
        <v>45565</v>
      </c>
      <c r="D424" t="inlineStr">
        <is>
          <t>KALMAR LÄN</t>
        </is>
      </c>
      <c r="E424" t="inlineStr">
        <is>
          <t>VÄSTERVIK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20694-2020</t>
        </is>
      </c>
      <c r="B425" s="1" t="n">
        <v>43949</v>
      </c>
      <c r="C425" s="1" t="n">
        <v>45565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22643-2020</t>
        </is>
      </c>
      <c r="B426" s="1" t="n">
        <v>43963</v>
      </c>
      <c r="C426" s="1" t="n">
        <v>45565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22882-2020</t>
        </is>
      </c>
      <c r="B427" s="1" t="n">
        <v>43964</v>
      </c>
      <c r="C427" s="1" t="n">
        <v>45565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22880-2020</t>
        </is>
      </c>
      <c r="B428" s="1" t="n">
        <v>43964</v>
      </c>
      <c r="C428" s="1" t="n">
        <v>45565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22803-2020</t>
        </is>
      </c>
      <c r="B429" s="1" t="n">
        <v>43964</v>
      </c>
      <c r="C429" s="1" t="n">
        <v>45565</v>
      </c>
      <c r="D429" t="inlineStr">
        <is>
          <t>KALMAR LÄN</t>
        </is>
      </c>
      <c r="E429" t="inlineStr">
        <is>
          <t>VÄSTERVIK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24366-2020</t>
        </is>
      </c>
      <c r="B430" s="1" t="n">
        <v>43973</v>
      </c>
      <c r="C430" s="1" t="n">
        <v>45565</v>
      </c>
      <c r="D430" t="inlineStr">
        <is>
          <t>KALMAR LÄN</t>
        </is>
      </c>
      <c r="E430" t="inlineStr">
        <is>
          <t>VÄSTERVIK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24575-2020</t>
        </is>
      </c>
      <c r="B431" s="1" t="n">
        <v>43977</v>
      </c>
      <c r="C431" s="1" t="n">
        <v>45565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24570-2020</t>
        </is>
      </c>
      <c r="B432" s="1" t="n">
        <v>43977</v>
      </c>
      <c r="C432" s="1" t="n">
        <v>45565</v>
      </c>
      <c r="D432" t="inlineStr">
        <is>
          <t>KALMAR LÄN</t>
        </is>
      </c>
      <c r="E432" t="inlineStr">
        <is>
          <t>VÄSTERVIK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24677-2020</t>
        </is>
      </c>
      <c r="B433" s="1" t="n">
        <v>43978</v>
      </c>
      <c r="C433" s="1" t="n">
        <v>45565</v>
      </c>
      <c r="D433" t="inlineStr">
        <is>
          <t>KALMAR LÄN</t>
        </is>
      </c>
      <c r="E433" t="inlineStr">
        <is>
          <t>VÄSTERVIK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25241-2020</t>
        </is>
      </c>
      <c r="B434" s="1" t="n">
        <v>43980</v>
      </c>
      <c r="C434" s="1" t="n">
        <v>45565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26226-2020</t>
        </is>
      </c>
      <c r="B435" s="1" t="n">
        <v>43985</v>
      </c>
      <c r="C435" s="1" t="n">
        <v>45565</v>
      </c>
      <c r="D435" t="inlineStr">
        <is>
          <t>KALMAR LÄN</t>
        </is>
      </c>
      <c r="E435" t="inlineStr">
        <is>
          <t>VÄSTERVIK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26129-2020</t>
        </is>
      </c>
      <c r="B436" s="1" t="n">
        <v>43985</v>
      </c>
      <c r="C436" s="1" t="n">
        <v>45565</v>
      </c>
      <c r="D436" t="inlineStr">
        <is>
          <t>KALMAR LÄN</t>
        </is>
      </c>
      <c r="E436" t="inlineStr">
        <is>
          <t>VÄSTERVIK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26842-2020</t>
        </is>
      </c>
      <c r="B437" s="1" t="n">
        <v>43987</v>
      </c>
      <c r="C437" s="1" t="n">
        <v>45565</v>
      </c>
      <c r="D437" t="inlineStr">
        <is>
          <t>KALMAR LÄN</t>
        </is>
      </c>
      <c r="E437" t="inlineStr">
        <is>
          <t>VÄSTERVIK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29093-2020</t>
        </is>
      </c>
      <c r="B438" s="1" t="n">
        <v>44002</v>
      </c>
      <c r="C438" s="1" t="n">
        <v>45565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29264-2020</t>
        </is>
      </c>
      <c r="B439" s="1" t="n">
        <v>44004</v>
      </c>
      <c r="C439" s="1" t="n">
        <v>45565</v>
      </c>
      <c r="D439" t="inlineStr">
        <is>
          <t>KALMAR LÄN</t>
        </is>
      </c>
      <c r="E439" t="inlineStr">
        <is>
          <t>VÄSTERVIK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30581-2020</t>
        </is>
      </c>
      <c r="B440" s="1" t="n">
        <v>44008</v>
      </c>
      <c r="C440" s="1" t="n">
        <v>45565</v>
      </c>
      <c r="D440" t="inlineStr">
        <is>
          <t>KALMAR LÄN</t>
        </is>
      </c>
      <c r="E440" t="inlineStr">
        <is>
          <t>VÄSTERVIK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30578-2020</t>
        </is>
      </c>
      <c r="B441" s="1" t="n">
        <v>44008</v>
      </c>
      <c r="C441" s="1" t="n">
        <v>45565</v>
      </c>
      <c r="D441" t="inlineStr">
        <is>
          <t>KALMAR LÄN</t>
        </is>
      </c>
      <c r="E441" t="inlineStr">
        <is>
          <t>VÄSTERVIK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31587-2020</t>
        </is>
      </c>
      <c r="B442" s="1" t="n">
        <v>44012</v>
      </c>
      <c r="C442" s="1" t="n">
        <v>45565</v>
      </c>
      <c r="D442" t="inlineStr">
        <is>
          <t>KALMAR LÄN</t>
        </is>
      </c>
      <c r="E442" t="inlineStr">
        <is>
          <t>VÄSTERVIK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32807-2020</t>
        </is>
      </c>
      <c r="B443" s="1" t="n">
        <v>44018</v>
      </c>
      <c r="C443" s="1" t="n">
        <v>45565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33137-2020</t>
        </is>
      </c>
      <c r="B444" s="1" t="n">
        <v>44021</v>
      </c>
      <c r="C444" s="1" t="n">
        <v>45565</v>
      </c>
      <c r="D444" t="inlineStr">
        <is>
          <t>KALMAR LÄN</t>
        </is>
      </c>
      <c r="E444" t="inlineStr">
        <is>
          <t>VÄSTERVIK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34775-2020</t>
        </is>
      </c>
      <c r="B445" s="1" t="n">
        <v>44035</v>
      </c>
      <c r="C445" s="1" t="n">
        <v>45565</v>
      </c>
      <c r="D445" t="inlineStr">
        <is>
          <t>KALMAR LÄN</t>
        </is>
      </c>
      <c r="E445" t="inlineStr">
        <is>
          <t>VÄSTERVIK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35150-2020</t>
        </is>
      </c>
      <c r="B446" s="1" t="n">
        <v>44040</v>
      </c>
      <c r="C446" s="1" t="n">
        <v>45565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35655-2020</t>
        </is>
      </c>
      <c r="B447" s="1" t="n">
        <v>44046</v>
      </c>
      <c r="C447" s="1" t="n">
        <v>45565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35689-2020</t>
        </is>
      </c>
      <c r="B448" s="1" t="n">
        <v>44046</v>
      </c>
      <c r="C448" s="1" t="n">
        <v>45565</v>
      </c>
      <c r="D448" t="inlineStr">
        <is>
          <t>KALMAR LÄN</t>
        </is>
      </c>
      <c r="E448" t="inlineStr">
        <is>
          <t>VÄSTERVIK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35868-2020</t>
        </is>
      </c>
      <c r="B449" s="1" t="n">
        <v>44047</v>
      </c>
      <c r="C449" s="1" t="n">
        <v>45565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37146-2020</t>
        </is>
      </c>
      <c r="B450" s="1" t="n">
        <v>44054</v>
      </c>
      <c r="C450" s="1" t="n">
        <v>45565</v>
      </c>
      <c r="D450" t="inlineStr">
        <is>
          <t>KALMAR LÄN</t>
        </is>
      </c>
      <c r="E450" t="inlineStr">
        <is>
          <t>VÄSTERVIK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37156-2020</t>
        </is>
      </c>
      <c r="B451" s="1" t="n">
        <v>44054</v>
      </c>
      <c r="C451" s="1" t="n">
        <v>45565</v>
      </c>
      <c r="D451" t="inlineStr">
        <is>
          <t>KALMAR LÄN</t>
        </is>
      </c>
      <c r="E451" t="inlineStr">
        <is>
          <t>VÄSTERVIK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37163-2020</t>
        </is>
      </c>
      <c r="B452" s="1" t="n">
        <v>44054</v>
      </c>
      <c r="C452" s="1" t="n">
        <v>45565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37162-2020</t>
        </is>
      </c>
      <c r="B453" s="1" t="n">
        <v>44054</v>
      </c>
      <c r="C453" s="1" t="n">
        <v>45565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37113-2020</t>
        </is>
      </c>
      <c r="B454" s="1" t="n">
        <v>44054</v>
      </c>
      <c r="C454" s="1" t="n">
        <v>45565</v>
      </c>
      <c r="D454" t="inlineStr">
        <is>
          <t>KALMAR LÄN</t>
        </is>
      </c>
      <c r="E454" t="inlineStr">
        <is>
          <t>VÄSTERVIK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37122-2020</t>
        </is>
      </c>
      <c r="B455" s="1" t="n">
        <v>44054</v>
      </c>
      <c r="C455" s="1" t="n">
        <v>45565</v>
      </c>
      <c r="D455" t="inlineStr">
        <is>
          <t>KALMAR LÄN</t>
        </is>
      </c>
      <c r="E455" t="inlineStr">
        <is>
          <t>VÄSTERVIK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37149-2020</t>
        </is>
      </c>
      <c r="B456" s="1" t="n">
        <v>44054</v>
      </c>
      <c r="C456" s="1" t="n">
        <v>45565</v>
      </c>
      <c r="D456" t="inlineStr">
        <is>
          <t>KALMAR LÄN</t>
        </is>
      </c>
      <c r="E456" t="inlineStr">
        <is>
          <t>VÄSTERVIK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37166-2020</t>
        </is>
      </c>
      <c r="B457" s="1" t="n">
        <v>44054</v>
      </c>
      <c r="C457" s="1" t="n">
        <v>45565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37114-2020</t>
        </is>
      </c>
      <c r="B458" s="1" t="n">
        <v>44054</v>
      </c>
      <c r="C458" s="1" t="n">
        <v>45565</v>
      </c>
      <c r="D458" t="inlineStr">
        <is>
          <t>KALMAR LÄN</t>
        </is>
      </c>
      <c r="E458" t="inlineStr">
        <is>
          <t>VÄSTERVIK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39153-2020</t>
        </is>
      </c>
      <c r="B459" s="1" t="n">
        <v>44063</v>
      </c>
      <c r="C459" s="1" t="n">
        <v>45565</v>
      </c>
      <c r="D459" t="inlineStr">
        <is>
          <t>KALMAR LÄN</t>
        </is>
      </c>
      <c r="E459" t="inlineStr">
        <is>
          <t>VÄSTERVIK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39779-2020</t>
        </is>
      </c>
      <c r="B460" s="1" t="n">
        <v>44064</v>
      </c>
      <c r="C460" s="1" t="n">
        <v>45565</v>
      </c>
      <c r="D460" t="inlineStr">
        <is>
          <t>KALMAR LÄN</t>
        </is>
      </c>
      <c r="E460" t="inlineStr">
        <is>
          <t>VÄSTERVIK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39859-2020</t>
        </is>
      </c>
      <c r="B461" s="1" t="n">
        <v>44064</v>
      </c>
      <c r="C461" s="1" t="n">
        <v>45565</v>
      </c>
      <c r="D461" t="inlineStr">
        <is>
          <t>KALMAR LÄN</t>
        </is>
      </c>
      <c r="E461" t="inlineStr">
        <is>
          <t>VÄSTERVIK</t>
        </is>
      </c>
      <c r="G461" t="n">
        <v>29.6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39857-2020</t>
        </is>
      </c>
      <c r="B462" s="1" t="n">
        <v>44064</v>
      </c>
      <c r="C462" s="1" t="n">
        <v>45565</v>
      </c>
      <c r="D462" t="inlineStr">
        <is>
          <t>KALMAR LÄN</t>
        </is>
      </c>
      <c r="E462" t="inlineStr">
        <is>
          <t>VÄSTERVIK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42113-2020</t>
        </is>
      </c>
      <c r="B463" s="1" t="n">
        <v>44071</v>
      </c>
      <c r="C463" s="1" t="n">
        <v>45565</v>
      </c>
      <c r="D463" t="inlineStr">
        <is>
          <t>KALMAR LÄN</t>
        </is>
      </c>
      <c r="E463" t="inlineStr">
        <is>
          <t>VÄSTERVIK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43730-2020</t>
        </is>
      </c>
      <c r="B464" s="1" t="n">
        <v>44082</v>
      </c>
      <c r="C464" s="1" t="n">
        <v>45565</v>
      </c>
      <c r="D464" t="inlineStr">
        <is>
          <t>KALMAR LÄN</t>
        </is>
      </c>
      <c r="E464" t="inlineStr">
        <is>
          <t>VÄSTERVIK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44466-2020</t>
        </is>
      </c>
      <c r="B465" s="1" t="n">
        <v>44084</v>
      </c>
      <c r="C465" s="1" t="n">
        <v>45565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45537-2020</t>
        </is>
      </c>
      <c r="B466" s="1" t="n">
        <v>44089</v>
      </c>
      <c r="C466" s="1" t="n">
        <v>45565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45877-2020</t>
        </is>
      </c>
      <c r="B467" s="1" t="n">
        <v>44091</v>
      </c>
      <c r="C467" s="1" t="n">
        <v>45565</v>
      </c>
      <c r="D467" t="inlineStr">
        <is>
          <t>KALMAR LÄN</t>
        </is>
      </c>
      <c r="E467" t="inlineStr">
        <is>
          <t>VÄSTERVIK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46214-2020</t>
        </is>
      </c>
      <c r="B468" s="1" t="n">
        <v>44092</v>
      </c>
      <c r="C468" s="1" t="n">
        <v>45565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46822-2020</t>
        </is>
      </c>
      <c r="B469" s="1" t="n">
        <v>44096</v>
      </c>
      <c r="C469" s="1" t="n">
        <v>45565</v>
      </c>
      <c r="D469" t="inlineStr">
        <is>
          <t>KALMAR LÄN</t>
        </is>
      </c>
      <c r="E469" t="inlineStr">
        <is>
          <t>VÄSTERVIK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47907-2020</t>
        </is>
      </c>
      <c r="B470" s="1" t="n">
        <v>44099</v>
      </c>
      <c r="C470" s="1" t="n">
        <v>45565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48135-2020</t>
        </is>
      </c>
      <c r="B471" s="1" t="n">
        <v>44099</v>
      </c>
      <c r="C471" s="1" t="n">
        <v>45565</v>
      </c>
      <c r="D471" t="inlineStr">
        <is>
          <t>KALMAR LÄN</t>
        </is>
      </c>
      <c r="E471" t="inlineStr">
        <is>
          <t>VÄSTERVIK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50821-2020</t>
        </is>
      </c>
      <c r="B472" s="1" t="n">
        <v>44111</v>
      </c>
      <c r="C472" s="1" t="n">
        <v>45565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50800-2020</t>
        </is>
      </c>
      <c r="B473" s="1" t="n">
        <v>44111</v>
      </c>
      <c r="C473" s="1" t="n">
        <v>45565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51264-2020</t>
        </is>
      </c>
      <c r="B474" s="1" t="n">
        <v>44112</v>
      </c>
      <c r="C474" s="1" t="n">
        <v>45565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54164-2020</t>
        </is>
      </c>
      <c r="B475" s="1" t="n">
        <v>44125</v>
      </c>
      <c r="C475" s="1" t="n">
        <v>45565</v>
      </c>
      <c r="D475" t="inlineStr">
        <is>
          <t>KALMAR LÄN</t>
        </is>
      </c>
      <c r="E475" t="inlineStr">
        <is>
          <t>VÄSTERVIK</t>
        </is>
      </c>
      <c r="F475" t="inlineStr">
        <is>
          <t>Sveaskog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55240-2020</t>
        </is>
      </c>
      <c r="B476" s="1" t="n">
        <v>44130</v>
      </c>
      <c r="C476" s="1" t="n">
        <v>45565</v>
      </c>
      <c r="D476" t="inlineStr">
        <is>
          <t>KALMAR LÄN</t>
        </is>
      </c>
      <c r="E476" t="inlineStr">
        <is>
          <t>VÄSTERVIK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56127-2020</t>
        </is>
      </c>
      <c r="B477" s="1" t="n">
        <v>44132</v>
      </c>
      <c r="C477" s="1" t="n">
        <v>45565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57009-2020</t>
        </is>
      </c>
      <c r="B478" s="1" t="n">
        <v>44138</v>
      </c>
      <c r="C478" s="1" t="n">
        <v>45565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HYPERLINK("https://klasma.github.io/Logging_0883/knärot/A 57009-2020 karta knärot.png", "A 57009-2020")</f>
        <v/>
      </c>
      <c r="V478">
        <f>HYPERLINK("https://klasma.github.io/Logging_0883/klagomål/A 57009-2020 FSC-klagomål.docx", "A 57009-2020")</f>
        <v/>
      </c>
      <c r="W478">
        <f>HYPERLINK("https://klasma.github.io/Logging_0883/klagomålsmail/A 57009-2020 FSC-klagomål mail.docx", "A 57009-2020")</f>
        <v/>
      </c>
      <c r="X478">
        <f>HYPERLINK("https://klasma.github.io/Logging_0883/tillsyn/A 57009-2020 tillsynsbegäran.docx", "A 57009-2020")</f>
        <v/>
      </c>
      <c r="Y478">
        <f>HYPERLINK("https://klasma.github.io/Logging_0883/tillsynsmail/A 57009-2020 tillsynsbegäran mail.docx", "A 57009-2020")</f>
        <v/>
      </c>
    </row>
    <row r="479" ht="15" customHeight="1">
      <c r="A479" t="inlineStr">
        <is>
          <t>A 57065-2020</t>
        </is>
      </c>
      <c r="B479" s="1" t="n">
        <v>44138</v>
      </c>
      <c r="C479" s="1" t="n">
        <v>45565</v>
      </c>
      <c r="D479" t="inlineStr">
        <is>
          <t>KALMAR LÄN</t>
        </is>
      </c>
      <c r="E479" t="inlineStr">
        <is>
          <t>VÄSTERVIK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58041-2020</t>
        </is>
      </c>
      <c r="B480" s="1" t="n">
        <v>44140</v>
      </c>
      <c r="C480" s="1" t="n">
        <v>45565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57922-2020</t>
        </is>
      </c>
      <c r="B481" s="1" t="n">
        <v>44141</v>
      </c>
      <c r="C481" s="1" t="n">
        <v>45565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58800-2020</t>
        </is>
      </c>
      <c r="B482" s="1" t="n">
        <v>44146</v>
      </c>
      <c r="C482" s="1" t="n">
        <v>45565</v>
      </c>
      <c r="D482" t="inlineStr">
        <is>
          <t>KALMAR LÄN</t>
        </is>
      </c>
      <c r="E482" t="inlineStr">
        <is>
          <t>VÄSTERVIK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59421-2020</t>
        </is>
      </c>
      <c r="B483" s="1" t="n">
        <v>44148</v>
      </c>
      <c r="C483" s="1" t="n">
        <v>45565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59634-2020</t>
        </is>
      </c>
      <c r="B484" s="1" t="n">
        <v>44150</v>
      </c>
      <c r="C484" s="1" t="n">
        <v>45565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61682-2020</t>
        </is>
      </c>
      <c r="B485" s="1" t="n">
        <v>44154</v>
      </c>
      <c r="C485" s="1" t="n">
        <v>45565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61696-2020</t>
        </is>
      </c>
      <c r="B486" s="1" t="n">
        <v>44158</v>
      </c>
      <c r="C486" s="1" t="n">
        <v>45565</v>
      </c>
      <c r="D486" t="inlineStr">
        <is>
          <t>KALMAR LÄN</t>
        </is>
      </c>
      <c r="E486" t="inlineStr">
        <is>
          <t>VÄSTERVIK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61799-2020</t>
        </is>
      </c>
      <c r="B487" s="1" t="n">
        <v>44158</v>
      </c>
      <c r="C487" s="1" t="n">
        <v>45565</v>
      </c>
      <c r="D487" t="inlineStr">
        <is>
          <t>KALMAR LÄN</t>
        </is>
      </c>
      <c r="E487" t="inlineStr">
        <is>
          <t>VÄSTERVIK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63635-2020</t>
        </is>
      </c>
      <c r="B488" s="1" t="n">
        <v>44162</v>
      </c>
      <c r="C488" s="1" t="n">
        <v>45565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63212-2020</t>
        </is>
      </c>
      <c r="B489" s="1" t="n">
        <v>44163</v>
      </c>
      <c r="C489" s="1" t="n">
        <v>45565</v>
      </c>
      <c r="D489" t="inlineStr">
        <is>
          <t>KALMAR LÄN</t>
        </is>
      </c>
      <c r="E489" t="inlineStr">
        <is>
          <t>VÄSTERVIK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64399-2020</t>
        </is>
      </c>
      <c r="B490" s="1" t="n">
        <v>44168</v>
      </c>
      <c r="C490" s="1" t="n">
        <v>45565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66149-2020</t>
        </is>
      </c>
      <c r="B491" s="1" t="n">
        <v>44173</v>
      </c>
      <c r="C491" s="1" t="n">
        <v>45565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65647-2020</t>
        </is>
      </c>
      <c r="B492" s="1" t="n">
        <v>44174</v>
      </c>
      <c r="C492" s="1" t="n">
        <v>45565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66748-2020</t>
        </is>
      </c>
      <c r="B493" s="1" t="n">
        <v>44175</v>
      </c>
      <c r="C493" s="1" t="n">
        <v>45565</v>
      </c>
      <c r="D493" t="inlineStr">
        <is>
          <t>KALMAR LÄN</t>
        </is>
      </c>
      <c r="E493" t="inlineStr">
        <is>
          <t>VÄSTERVIK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66757-2020</t>
        </is>
      </c>
      <c r="B494" s="1" t="n">
        <v>44175</v>
      </c>
      <c r="C494" s="1" t="n">
        <v>45565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66328-2020</t>
        </is>
      </c>
      <c r="B495" s="1" t="n">
        <v>44176</v>
      </c>
      <c r="C495" s="1" t="n">
        <v>45565</v>
      </c>
      <c r="D495" t="inlineStr">
        <is>
          <t>KALMAR LÄN</t>
        </is>
      </c>
      <c r="E495" t="inlineStr">
        <is>
          <t>VÄSTERVIK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66292-2020</t>
        </is>
      </c>
      <c r="B496" s="1" t="n">
        <v>44176</v>
      </c>
      <c r="C496" s="1" t="n">
        <v>45565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66888-2020</t>
        </is>
      </c>
      <c r="B497" s="1" t="n">
        <v>44179</v>
      </c>
      <c r="C497" s="1" t="n">
        <v>45565</v>
      </c>
      <c r="D497" t="inlineStr">
        <is>
          <t>KALMAR LÄN</t>
        </is>
      </c>
      <c r="E497" t="inlineStr">
        <is>
          <t>VÄSTERVIK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67133-2020</t>
        </is>
      </c>
      <c r="B498" s="1" t="n">
        <v>44180</v>
      </c>
      <c r="C498" s="1" t="n">
        <v>45565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68811-2020</t>
        </is>
      </c>
      <c r="B499" s="1" t="n">
        <v>44187</v>
      </c>
      <c r="C499" s="1" t="n">
        <v>45565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69098-2020</t>
        </is>
      </c>
      <c r="B500" s="1" t="n">
        <v>44187</v>
      </c>
      <c r="C500" s="1" t="n">
        <v>45565</v>
      </c>
      <c r="D500" t="inlineStr">
        <is>
          <t>KALMAR LÄN</t>
        </is>
      </c>
      <c r="E500" t="inlineStr">
        <is>
          <t>VÄSTERVIK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69064-2020</t>
        </is>
      </c>
      <c r="B501" s="1" t="n">
        <v>44188</v>
      </c>
      <c r="C501" s="1" t="n">
        <v>45565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119-2021</t>
        </is>
      </c>
      <c r="B502" s="1" t="n">
        <v>44200</v>
      </c>
      <c r="C502" s="1" t="n">
        <v>45565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401-2021</t>
        </is>
      </c>
      <c r="B503" s="1" t="n">
        <v>44201</v>
      </c>
      <c r="C503" s="1" t="n">
        <v>45565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410-2021</t>
        </is>
      </c>
      <c r="B504" s="1" t="n">
        <v>44201</v>
      </c>
      <c r="C504" s="1" t="n">
        <v>45565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578-2021</t>
        </is>
      </c>
      <c r="B505" s="1" t="n">
        <v>44203</v>
      </c>
      <c r="C505" s="1" t="n">
        <v>45565</v>
      </c>
      <c r="D505" t="inlineStr">
        <is>
          <t>KALMAR LÄN</t>
        </is>
      </c>
      <c r="E505" t="inlineStr">
        <is>
          <t>VÄSTERVIK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809-2021</t>
        </is>
      </c>
      <c r="B506" s="1" t="n">
        <v>44204</v>
      </c>
      <c r="C506" s="1" t="n">
        <v>45565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789-2021</t>
        </is>
      </c>
      <c r="B507" s="1" t="n">
        <v>44204</v>
      </c>
      <c r="C507" s="1" t="n">
        <v>45565</v>
      </c>
      <c r="D507" t="inlineStr">
        <is>
          <t>KALMAR LÄN</t>
        </is>
      </c>
      <c r="E507" t="inlineStr">
        <is>
          <t>VÄSTERVIK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1959-2021</t>
        </is>
      </c>
      <c r="B508" s="1" t="n">
        <v>44210</v>
      </c>
      <c r="C508" s="1" t="n">
        <v>45565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2106-2021</t>
        </is>
      </c>
      <c r="B509" s="1" t="n">
        <v>44211</v>
      </c>
      <c r="C509" s="1" t="n">
        <v>45565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3555-2021</t>
        </is>
      </c>
      <c r="B510" s="1" t="n">
        <v>44218</v>
      </c>
      <c r="C510" s="1" t="n">
        <v>45565</v>
      </c>
      <c r="D510" t="inlineStr">
        <is>
          <t>KALMAR LÄN</t>
        </is>
      </c>
      <c r="E510" t="inlineStr">
        <is>
          <t>VÄSTERVIK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3553-2021</t>
        </is>
      </c>
      <c r="B511" s="1" t="n">
        <v>44218</v>
      </c>
      <c r="C511" s="1" t="n">
        <v>45565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3492-2021</t>
        </is>
      </c>
      <c r="B512" s="1" t="n">
        <v>44218</v>
      </c>
      <c r="C512" s="1" t="n">
        <v>45565</v>
      </c>
      <c r="D512" t="inlineStr">
        <is>
          <t>KALMAR LÄN</t>
        </is>
      </c>
      <c r="E512" t="inlineStr">
        <is>
          <t>VÄSTERVIK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3669-2021</t>
        </is>
      </c>
      <c r="B513" s="1" t="n">
        <v>44221</v>
      </c>
      <c r="C513" s="1" t="n">
        <v>45565</v>
      </c>
      <c r="D513" t="inlineStr">
        <is>
          <t>KALMAR LÄN</t>
        </is>
      </c>
      <c r="E513" t="inlineStr">
        <is>
          <t>VÄSTERVIK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5510-2021</t>
        </is>
      </c>
      <c r="B514" s="1" t="n">
        <v>44230</v>
      </c>
      <c r="C514" s="1" t="n">
        <v>45565</v>
      </c>
      <c r="D514" t="inlineStr">
        <is>
          <t>KALMAR LÄN</t>
        </is>
      </c>
      <c r="E514" t="inlineStr">
        <is>
          <t>VÄSTERVIK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5575-2021</t>
        </is>
      </c>
      <c r="B515" s="1" t="n">
        <v>44230</v>
      </c>
      <c r="C515" s="1" t="n">
        <v>45565</v>
      </c>
      <c r="D515" t="inlineStr">
        <is>
          <t>KALMAR LÄN</t>
        </is>
      </c>
      <c r="E515" t="inlineStr">
        <is>
          <t>VÄSTERVIK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6627-2021</t>
        </is>
      </c>
      <c r="B516" s="1" t="n">
        <v>44236</v>
      </c>
      <c r="C516" s="1" t="n">
        <v>45565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6616-2021</t>
        </is>
      </c>
      <c r="B517" s="1" t="n">
        <v>44236</v>
      </c>
      <c r="C517" s="1" t="n">
        <v>45565</v>
      </c>
      <c r="D517" t="inlineStr">
        <is>
          <t>KALMAR LÄN</t>
        </is>
      </c>
      <c r="E517" t="inlineStr">
        <is>
          <t>VÄSTERVIK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6974-2021</t>
        </is>
      </c>
      <c r="B518" s="1" t="n">
        <v>44237</v>
      </c>
      <c r="C518" s="1" t="n">
        <v>45565</v>
      </c>
      <c r="D518" t="inlineStr">
        <is>
          <t>KALMAR LÄN</t>
        </is>
      </c>
      <c r="E518" t="inlineStr">
        <is>
          <t>VÄSTERVIK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7754-2021</t>
        </is>
      </c>
      <c r="B519" s="1" t="n">
        <v>44239</v>
      </c>
      <c r="C519" s="1" t="n">
        <v>45565</v>
      </c>
      <c r="D519" t="inlineStr">
        <is>
          <t>KALMAR LÄN</t>
        </is>
      </c>
      <c r="E519" t="inlineStr">
        <is>
          <t>VÄSTERVIK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8074-2021</t>
        </is>
      </c>
      <c r="B520" s="1" t="n">
        <v>44243</v>
      </c>
      <c r="C520" s="1" t="n">
        <v>45565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8196-2021</t>
        </is>
      </c>
      <c r="B521" s="1" t="n">
        <v>44244</v>
      </c>
      <c r="C521" s="1" t="n">
        <v>45565</v>
      </c>
      <c r="D521" t="inlineStr">
        <is>
          <t>KALMAR LÄN</t>
        </is>
      </c>
      <c r="E521" t="inlineStr">
        <is>
          <t>VÄSTERVIK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8788-2021</t>
        </is>
      </c>
      <c r="B522" s="1" t="n">
        <v>44246</v>
      </c>
      <c r="C522" s="1" t="n">
        <v>45565</v>
      </c>
      <c r="D522" t="inlineStr">
        <is>
          <t>KALMAR LÄN</t>
        </is>
      </c>
      <c r="E522" t="inlineStr">
        <is>
          <t>VÄSTERVIK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9091-2021</t>
        </is>
      </c>
      <c r="B523" s="1" t="n">
        <v>44249</v>
      </c>
      <c r="C523" s="1" t="n">
        <v>45565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9125-2021</t>
        </is>
      </c>
      <c r="B524" s="1" t="n">
        <v>44249</v>
      </c>
      <c r="C524" s="1" t="n">
        <v>45565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10020-2021</t>
        </is>
      </c>
      <c r="B525" s="1" t="n">
        <v>44256</v>
      </c>
      <c r="C525" s="1" t="n">
        <v>45565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10517-2021</t>
        </is>
      </c>
      <c r="B526" s="1" t="n">
        <v>44258</v>
      </c>
      <c r="C526" s="1" t="n">
        <v>45565</v>
      </c>
      <c r="D526" t="inlineStr">
        <is>
          <t>KALMAR LÄN</t>
        </is>
      </c>
      <c r="E526" t="inlineStr">
        <is>
          <t>VÄSTERVIK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12123-2021</t>
        </is>
      </c>
      <c r="B527" s="1" t="n">
        <v>44266</v>
      </c>
      <c r="C527" s="1" t="n">
        <v>45565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12520-2021</t>
        </is>
      </c>
      <c r="B528" s="1" t="n">
        <v>44269</v>
      </c>
      <c r="C528" s="1" t="n">
        <v>45565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13036-2021</t>
        </is>
      </c>
      <c r="B529" s="1" t="n">
        <v>44271</v>
      </c>
      <c r="C529" s="1" t="n">
        <v>45565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13230-2021</t>
        </is>
      </c>
      <c r="B530" s="1" t="n">
        <v>44272</v>
      </c>
      <c r="C530" s="1" t="n">
        <v>45565</v>
      </c>
      <c r="D530" t="inlineStr">
        <is>
          <t>KALMAR LÄN</t>
        </is>
      </c>
      <c r="E530" t="inlineStr">
        <is>
          <t>VÄSTERVIK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13761-2021</t>
        </is>
      </c>
      <c r="B531" s="1" t="n">
        <v>44274</v>
      </c>
      <c r="C531" s="1" t="n">
        <v>45565</v>
      </c>
      <c r="D531" t="inlineStr">
        <is>
          <t>KALMAR LÄN</t>
        </is>
      </c>
      <c r="E531" t="inlineStr">
        <is>
          <t>VÄSTERVIK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13626-2021</t>
        </is>
      </c>
      <c r="B532" s="1" t="n">
        <v>44274</v>
      </c>
      <c r="C532" s="1" t="n">
        <v>45565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14151-2021</t>
        </is>
      </c>
      <c r="B533" s="1" t="n">
        <v>44278</v>
      </c>
      <c r="C533" s="1" t="n">
        <v>45565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14149-2021</t>
        </is>
      </c>
      <c r="B534" s="1" t="n">
        <v>44278</v>
      </c>
      <c r="C534" s="1" t="n">
        <v>45565</v>
      </c>
      <c r="D534" t="inlineStr">
        <is>
          <t>KALMAR LÄN</t>
        </is>
      </c>
      <c r="E534" t="inlineStr">
        <is>
          <t>VÄSTERVIK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14317-2021</t>
        </is>
      </c>
      <c r="B535" s="1" t="n">
        <v>44278</v>
      </c>
      <c r="C535" s="1" t="n">
        <v>45565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15595-2021</t>
        </is>
      </c>
      <c r="B536" s="1" t="n">
        <v>44285</v>
      </c>
      <c r="C536" s="1" t="n">
        <v>45565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15598-2021</t>
        </is>
      </c>
      <c r="B537" s="1" t="n">
        <v>44285</v>
      </c>
      <c r="C537" s="1" t="n">
        <v>45565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15591-2021</t>
        </is>
      </c>
      <c r="B538" s="1" t="n">
        <v>44285</v>
      </c>
      <c r="C538" s="1" t="n">
        <v>45565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15834-2021</t>
        </is>
      </c>
      <c r="B539" s="1" t="n">
        <v>44286</v>
      </c>
      <c r="C539" s="1" t="n">
        <v>45565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16729-2021</t>
        </is>
      </c>
      <c r="B540" s="1" t="n">
        <v>44294</v>
      </c>
      <c r="C540" s="1" t="n">
        <v>45565</v>
      </c>
      <c r="D540" t="inlineStr">
        <is>
          <t>KALMAR LÄN</t>
        </is>
      </c>
      <c r="E540" t="inlineStr">
        <is>
          <t>VÄSTERVIK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16697-2021</t>
        </is>
      </c>
      <c r="B541" s="1" t="n">
        <v>44294</v>
      </c>
      <c r="C541" s="1" t="n">
        <v>45565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16728-2021</t>
        </is>
      </c>
      <c r="B542" s="1" t="n">
        <v>44294</v>
      </c>
      <c r="C542" s="1" t="n">
        <v>45565</v>
      </c>
      <c r="D542" t="inlineStr">
        <is>
          <t>KALMAR LÄN</t>
        </is>
      </c>
      <c r="E542" t="inlineStr">
        <is>
          <t>VÄSTERVIK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16734-2021</t>
        </is>
      </c>
      <c r="B543" s="1" t="n">
        <v>44294</v>
      </c>
      <c r="C543" s="1" t="n">
        <v>45565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16726-2021</t>
        </is>
      </c>
      <c r="B544" s="1" t="n">
        <v>44294</v>
      </c>
      <c r="C544" s="1" t="n">
        <v>45565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16992-2021</t>
        </is>
      </c>
      <c r="B545" s="1" t="n">
        <v>44295</v>
      </c>
      <c r="C545" s="1" t="n">
        <v>45565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17124-2021</t>
        </is>
      </c>
      <c r="B546" s="1" t="n">
        <v>44298</v>
      </c>
      <c r="C546" s="1" t="n">
        <v>45565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17200-2021</t>
        </is>
      </c>
      <c r="B547" s="1" t="n">
        <v>44298</v>
      </c>
      <c r="C547" s="1" t="n">
        <v>45565</v>
      </c>
      <c r="D547" t="inlineStr">
        <is>
          <t>KALMAR LÄN</t>
        </is>
      </c>
      <c r="E547" t="inlineStr">
        <is>
          <t>VÄSTERVIK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17277-2021</t>
        </is>
      </c>
      <c r="B548" s="1" t="n">
        <v>44298</v>
      </c>
      <c r="C548" s="1" t="n">
        <v>45565</v>
      </c>
      <c r="D548" t="inlineStr">
        <is>
          <t>KALMAR LÄN</t>
        </is>
      </c>
      <c r="E548" t="inlineStr">
        <is>
          <t>VÄSTERVIK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17216-2021</t>
        </is>
      </c>
      <c r="B549" s="1" t="n">
        <v>44298</v>
      </c>
      <c r="C549" s="1" t="n">
        <v>45565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17253-2021</t>
        </is>
      </c>
      <c r="B550" s="1" t="n">
        <v>44298</v>
      </c>
      <c r="C550" s="1" t="n">
        <v>45565</v>
      </c>
      <c r="D550" t="inlineStr">
        <is>
          <t>KALMAR LÄN</t>
        </is>
      </c>
      <c r="E550" t="inlineStr">
        <is>
          <t>VÄSTERVIK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18013-2021</t>
        </is>
      </c>
      <c r="B551" s="1" t="n">
        <v>44302</v>
      </c>
      <c r="C551" s="1" t="n">
        <v>45565</v>
      </c>
      <c r="D551" t="inlineStr">
        <is>
          <t>KALMAR LÄN</t>
        </is>
      </c>
      <c r="E551" t="inlineStr">
        <is>
          <t>VÄSTERVIK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18470-2021</t>
        </is>
      </c>
      <c r="B552" s="1" t="n">
        <v>44306</v>
      </c>
      <c r="C552" s="1" t="n">
        <v>45565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18837-2021</t>
        </is>
      </c>
      <c r="B553" s="1" t="n">
        <v>44307</v>
      </c>
      <c r="C553" s="1" t="n">
        <v>45565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18900-2021</t>
        </is>
      </c>
      <c r="B554" s="1" t="n">
        <v>44308</v>
      </c>
      <c r="C554" s="1" t="n">
        <v>45565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18915-2021</t>
        </is>
      </c>
      <c r="B555" s="1" t="n">
        <v>44308</v>
      </c>
      <c r="C555" s="1" t="n">
        <v>45565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19219-2021</t>
        </is>
      </c>
      <c r="B556" s="1" t="n">
        <v>44309</v>
      </c>
      <c r="C556" s="1" t="n">
        <v>45565</v>
      </c>
      <c r="D556" t="inlineStr">
        <is>
          <t>KALMAR LÄN</t>
        </is>
      </c>
      <c r="E556" t="inlineStr">
        <is>
          <t>VÄSTERVIK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19644-2021</t>
        </is>
      </c>
      <c r="B557" s="1" t="n">
        <v>44312</v>
      </c>
      <c r="C557" s="1" t="n">
        <v>45565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19660-2021</t>
        </is>
      </c>
      <c r="B558" s="1" t="n">
        <v>44312</v>
      </c>
      <c r="C558" s="1" t="n">
        <v>45565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20204-2021</t>
        </is>
      </c>
      <c r="B559" s="1" t="n">
        <v>44314</v>
      </c>
      <c r="C559" s="1" t="n">
        <v>45565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20772-2021</t>
        </is>
      </c>
      <c r="B560" s="1" t="n">
        <v>44316</v>
      </c>
      <c r="C560" s="1" t="n">
        <v>45565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20945-2021</t>
        </is>
      </c>
      <c r="B561" s="1" t="n">
        <v>44319</v>
      </c>
      <c r="C561" s="1" t="n">
        <v>45565</v>
      </c>
      <c r="D561" t="inlineStr">
        <is>
          <t>KALMAR LÄN</t>
        </is>
      </c>
      <c r="E561" t="inlineStr">
        <is>
          <t>VÄSTERVIK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21036-2021</t>
        </is>
      </c>
      <c r="B562" s="1" t="n">
        <v>44319</v>
      </c>
      <c r="C562" s="1" t="n">
        <v>45565</v>
      </c>
      <c r="D562" t="inlineStr">
        <is>
          <t>KALMAR LÄN</t>
        </is>
      </c>
      <c r="E562" t="inlineStr">
        <is>
          <t>VÄSTERVIK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21057-2021</t>
        </is>
      </c>
      <c r="B563" s="1" t="n">
        <v>44319</v>
      </c>
      <c r="C563" s="1" t="n">
        <v>45565</v>
      </c>
      <c r="D563" t="inlineStr">
        <is>
          <t>KALMAR LÄN</t>
        </is>
      </c>
      <c r="E563" t="inlineStr">
        <is>
          <t>VÄSTERVIK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21255-2021</t>
        </is>
      </c>
      <c r="B564" s="1" t="n">
        <v>44320</v>
      </c>
      <c r="C564" s="1" t="n">
        <v>45565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23090-2021</t>
        </is>
      </c>
      <c r="B565" s="1" t="n">
        <v>44330</v>
      </c>
      <c r="C565" s="1" t="n">
        <v>45565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23097-2021</t>
        </is>
      </c>
      <c r="B566" s="1" t="n">
        <v>44330</v>
      </c>
      <c r="C566" s="1" t="n">
        <v>45565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23150-2021</t>
        </is>
      </c>
      <c r="B567" s="1" t="n">
        <v>44331</v>
      </c>
      <c r="C567" s="1" t="n">
        <v>45565</v>
      </c>
      <c r="D567" t="inlineStr">
        <is>
          <t>KALMAR LÄN</t>
        </is>
      </c>
      <c r="E567" t="inlineStr">
        <is>
          <t>VÄSTERVIK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23504-2021</t>
        </is>
      </c>
      <c r="B568" s="1" t="n">
        <v>44334</v>
      </c>
      <c r="C568" s="1" t="n">
        <v>45565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23628-2021</t>
        </is>
      </c>
      <c r="B569" s="1" t="n">
        <v>44334</v>
      </c>
      <c r="C569" s="1" t="n">
        <v>45565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23626-2021</t>
        </is>
      </c>
      <c r="B570" s="1" t="n">
        <v>44334</v>
      </c>
      <c r="C570" s="1" t="n">
        <v>45565</v>
      </c>
      <c r="D570" t="inlineStr">
        <is>
          <t>KALMAR LÄN</t>
        </is>
      </c>
      <c r="E570" t="inlineStr">
        <is>
          <t>VÄSTERVIK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23995-2021</t>
        </is>
      </c>
      <c r="B571" s="1" t="n">
        <v>44335</v>
      </c>
      <c r="C571" s="1" t="n">
        <v>45565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23993-2021</t>
        </is>
      </c>
      <c r="B572" s="1" t="n">
        <v>44335</v>
      </c>
      <c r="C572" s="1" t="n">
        <v>45565</v>
      </c>
      <c r="D572" t="inlineStr">
        <is>
          <t>KALMAR LÄN</t>
        </is>
      </c>
      <c r="E572" t="inlineStr">
        <is>
          <t>VÄSTERVIK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23998-2021</t>
        </is>
      </c>
      <c r="B573" s="1" t="n">
        <v>44335</v>
      </c>
      <c r="C573" s="1" t="n">
        <v>45565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23992-2021</t>
        </is>
      </c>
      <c r="B574" s="1" t="n">
        <v>44335</v>
      </c>
      <c r="C574" s="1" t="n">
        <v>45565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23997-2021</t>
        </is>
      </c>
      <c r="B575" s="1" t="n">
        <v>44335</v>
      </c>
      <c r="C575" s="1" t="n">
        <v>45565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24000-2021</t>
        </is>
      </c>
      <c r="B576" s="1" t="n">
        <v>44335</v>
      </c>
      <c r="C576" s="1" t="n">
        <v>45565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23996-2021</t>
        </is>
      </c>
      <c r="B577" s="1" t="n">
        <v>44335</v>
      </c>
      <c r="C577" s="1" t="n">
        <v>45565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24570-2021</t>
        </is>
      </c>
      <c r="B578" s="1" t="n">
        <v>44339</v>
      </c>
      <c r="C578" s="1" t="n">
        <v>45565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25238-2021</t>
        </is>
      </c>
      <c r="B579" s="1" t="n">
        <v>44342</v>
      </c>
      <c r="C579" s="1" t="n">
        <v>45565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25418-2021</t>
        </is>
      </c>
      <c r="B580" s="1" t="n">
        <v>44342</v>
      </c>
      <c r="C580" s="1" t="n">
        <v>45565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25408-2021</t>
        </is>
      </c>
      <c r="B581" s="1" t="n">
        <v>44342</v>
      </c>
      <c r="C581" s="1" t="n">
        <v>45565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27183-2021</t>
        </is>
      </c>
      <c r="B582" s="1" t="n">
        <v>44350</v>
      </c>
      <c r="C582" s="1" t="n">
        <v>45565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29460-2021</t>
        </is>
      </c>
      <c r="B583" s="1" t="n">
        <v>44361</v>
      </c>
      <c r="C583" s="1" t="n">
        <v>45565</v>
      </c>
      <c r="D583" t="inlineStr">
        <is>
          <t>KALMAR LÄN</t>
        </is>
      </c>
      <c r="E583" t="inlineStr">
        <is>
          <t>VÄSTERVIK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31061-2021</t>
        </is>
      </c>
      <c r="B584" s="1" t="n">
        <v>44368</v>
      </c>
      <c r="C584" s="1" t="n">
        <v>45565</v>
      </c>
      <c r="D584" t="inlineStr">
        <is>
          <t>KALMAR LÄN</t>
        </is>
      </c>
      <c r="E584" t="inlineStr">
        <is>
          <t>VÄSTERVIK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31318-2021</t>
        </is>
      </c>
      <c r="B585" s="1" t="n">
        <v>44368</v>
      </c>
      <c r="C585" s="1" t="n">
        <v>45565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31319-2021</t>
        </is>
      </c>
      <c r="B586" s="1" t="n">
        <v>44368</v>
      </c>
      <c r="C586" s="1" t="n">
        <v>45565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31317-2021</t>
        </is>
      </c>
      <c r="B587" s="1" t="n">
        <v>44368</v>
      </c>
      <c r="C587" s="1" t="n">
        <v>45565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31479-2021</t>
        </is>
      </c>
      <c r="B588" s="1" t="n">
        <v>44369</v>
      </c>
      <c r="C588" s="1" t="n">
        <v>45565</v>
      </c>
      <c r="D588" t="inlineStr">
        <is>
          <t>KALMAR LÄN</t>
        </is>
      </c>
      <c r="E588" t="inlineStr">
        <is>
          <t>VÄSTERVIK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31558-2021</t>
        </is>
      </c>
      <c r="B589" s="1" t="n">
        <v>44369</v>
      </c>
      <c r="C589" s="1" t="n">
        <v>45565</v>
      </c>
      <c r="D589" t="inlineStr">
        <is>
          <t>KALMAR LÄN</t>
        </is>
      </c>
      <c r="E589" t="inlineStr">
        <is>
          <t>VÄSTERVIK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31545-2021</t>
        </is>
      </c>
      <c r="B590" s="1" t="n">
        <v>44369</v>
      </c>
      <c r="C590" s="1" t="n">
        <v>45565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31633-2021</t>
        </is>
      </c>
      <c r="B591" s="1" t="n">
        <v>44369</v>
      </c>
      <c r="C591" s="1" t="n">
        <v>45565</v>
      </c>
      <c r="D591" t="inlineStr">
        <is>
          <t>KALMAR LÄN</t>
        </is>
      </c>
      <c r="E591" t="inlineStr">
        <is>
          <t>VÄSTERVIK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31592-2021</t>
        </is>
      </c>
      <c r="B592" s="1" t="n">
        <v>44369</v>
      </c>
      <c r="C592" s="1" t="n">
        <v>45565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31952-2021</t>
        </is>
      </c>
      <c r="B593" s="1" t="n">
        <v>44370</v>
      </c>
      <c r="C593" s="1" t="n">
        <v>45565</v>
      </c>
      <c r="D593" t="inlineStr">
        <is>
          <t>KALMAR LÄN</t>
        </is>
      </c>
      <c r="E593" t="inlineStr">
        <is>
          <t>VÄSTERVIK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32394-2021</t>
        </is>
      </c>
      <c r="B594" s="1" t="n">
        <v>44371</v>
      </c>
      <c r="C594" s="1" t="n">
        <v>45565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32583-2021</t>
        </is>
      </c>
      <c r="B595" s="1" t="n">
        <v>44375</v>
      </c>
      <c r="C595" s="1" t="n">
        <v>45565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32822-2021</t>
        </is>
      </c>
      <c r="B596" s="1" t="n">
        <v>44375</v>
      </c>
      <c r="C596" s="1" t="n">
        <v>45565</v>
      </c>
      <c r="D596" t="inlineStr">
        <is>
          <t>KALMAR LÄN</t>
        </is>
      </c>
      <c r="E596" t="inlineStr">
        <is>
          <t>VÄSTERVIK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34125-2021</t>
        </is>
      </c>
      <c r="B597" s="1" t="n">
        <v>44379</v>
      </c>
      <c r="C597" s="1" t="n">
        <v>45565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34118-2021</t>
        </is>
      </c>
      <c r="B598" s="1" t="n">
        <v>44379</v>
      </c>
      <c r="C598" s="1" t="n">
        <v>45565</v>
      </c>
      <c r="D598" t="inlineStr">
        <is>
          <t>KALMAR LÄN</t>
        </is>
      </c>
      <c r="E598" t="inlineStr">
        <is>
          <t>VÄSTERVIK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34493-2021</t>
        </is>
      </c>
      <c r="B599" s="1" t="n">
        <v>44382</v>
      </c>
      <c r="C599" s="1" t="n">
        <v>45565</v>
      </c>
      <c r="D599" t="inlineStr">
        <is>
          <t>KALMAR LÄN</t>
        </is>
      </c>
      <c r="E599" t="inlineStr">
        <is>
          <t>VÄSTERVIK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34953-2021</t>
        </is>
      </c>
      <c r="B600" s="1" t="n">
        <v>44383</v>
      </c>
      <c r="C600" s="1" t="n">
        <v>45565</v>
      </c>
      <c r="D600" t="inlineStr">
        <is>
          <t>KALMAR LÄN</t>
        </is>
      </c>
      <c r="E600" t="inlineStr">
        <is>
          <t>VÄSTERVIK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34958-2021</t>
        </is>
      </c>
      <c r="B601" s="1" t="n">
        <v>44383</v>
      </c>
      <c r="C601" s="1" t="n">
        <v>45565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36125-2021</t>
        </is>
      </c>
      <c r="B602" s="1" t="n">
        <v>44386</v>
      </c>
      <c r="C602" s="1" t="n">
        <v>45565</v>
      </c>
      <c r="D602" t="inlineStr">
        <is>
          <t>KALMAR LÄN</t>
        </is>
      </c>
      <c r="E602" t="inlineStr">
        <is>
          <t>VÄSTERVIK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35906-2021</t>
        </is>
      </c>
      <c r="B603" s="1" t="n">
        <v>44387</v>
      </c>
      <c r="C603" s="1" t="n">
        <v>45565</v>
      </c>
      <c r="D603" t="inlineStr">
        <is>
          <t>KALMAR LÄN</t>
        </is>
      </c>
      <c r="E603" t="inlineStr">
        <is>
          <t>VÄSTERVIK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37036-2021</t>
        </is>
      </c>
      <c r="B604" s="1" t="n">
        <v>44393</v>
      </c>
      <c r="C604" s="1" t="n">
        <v>45565</v>
      </c>
      <c r="D604" t="inlineStr">
        <is>
          <t>KALMAR LÄN</t>
        </is>
      </c>
      <c r="E604" t="inlineStr">
        <is>
          <t>VÄSTERVIK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37033-2021</t>
        </is>
      </c>
      <c r="B605" s="1" t="n">
        <v>44393</v>
      </c>
      <c r="C605" s="1" t="n">
        <v>45565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37441-2021</t>
        </is>
      </c>
      <c r="B606" s="1" t="n">
        <v>44398</v>
      </c>
      <c r="C606" s="1" t="n">
        <v>45565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37545-2021</t>
        </is>
      </c>
      <c r="B607" s="1" t="n">
        <v>44399</v>
      </c>
      <c r="C607" s="1" t="n">
        <v>45565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37550-2021</t>
        </is>
      </c>
      <c r="B608" s="1" t="n">
        <v>44399</v>
      </c>
      <c r="C608" s="1" t="n">
        <v>45565</v>
      </c>
      <c r="D608" t="inlineStr">
        <is>
          <t>KALMAR LÄN</t>
        </is>
      </c>
      <c r="E608" t="inlineStr">
        <is>
          <t>VÄSTERVIK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37717-2021</t>
        </is>
      </c>
      <c r="B609" s="1" t="n">
        <v>44400</v>
      </c>
      <c r="C609" s="1" t="n">
        <v>45565</v>
      </c>
      <c r="D609" t="inlineStr">
        <is>
          <t>KALMAR LÄN</t>
        </is>
      </c>
      <c r="E609" t="inlineStr">
        <is>
          <t>VÄSTERVIK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37748-2021</t>
        </is>
      </c>
      <c r="B610" s="1" t="n">
        <v>44400</v>
      </c>
      <c r="C610" s="1" t="n">
        <v>45565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37753-2021</t>
        </is>
      </c>
      <c r="B611" s="1" t="n">
        <v>44400</v>
      </c>
      <c r="C611" s="1" t="n">
        <v>45565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38613-2021</t>
        </is>
      </c>
      <c r="B612" s="1" t="n">
        <v>44409</v>
      </c>
      <c r="C612" s="1" t="n">
        <v>45565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42052-2021</t>
        </is>
      </c>
      <c r="B613" s="1" t="n">
        <v>44426</v>
      </c>
      <c r="C613" s="1" t="n">
        <v>45565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42112-2021</t>
        </is>
      </c>
      <c r="B614" s="1" t="n">
        <v>44426</v>
      </c>
      <c r="C614" s="1" t="n">
        <v>45565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42131-2021</t>
        </is>
      </c>
      <c r="B615" s="1" t="n">
        <v>44426</v>
      </c>
      <c r="C615" s="1" t="n">
        <v>45565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42150-2021</t>
        </is>
      </c>
      <c r="B616" s="1" t="n">
        <v>44426</v>
      </c>
      <c r="C616" s="1" t="n">
        <v>45565</v>
      </c>
      <c r="D616" t="inlineStr">
        <is>
          <t>KALMAR LÄN</t>
        </is>
      </c>
      <c r="E616" t="inlineStr">
        <is>
          <t>VÄSTERVIK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42137-2021</t>
        </is>
      </c>
      <c r="B617" s="1" t="n">
        <v>44426</v>
      </c>
      <c r="C617" s="1" t="n">
        <v>45565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42164-2021</t>
        </is>
      </c>
      <c r="B618" s="1" t="n">
        <v>44426</v>
      </c>
      <c r="C618" s="1" t="n">
        <v>45565</v>
      </c>
      <c r="D618" t="inlineStr">
        <is>
          <t>KALMAR LÄN</t>
        </is>
      </c>
      <c r="E618" t="inlineStr">
        <is>
          <t>VÄSTERVIK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HYPERLINK("https://klasma.github.io/Logging_0883/knärot/A 42164-2021 karta knärot.png", "A 42164-2021")</f>
        <v/>
      </c>
      <c r="V618">
        <f>HYPERLINK("https://klasma.github.io/Logging_0883/klagomål/A 42164-2021 FSC-klagomål.docx", "A 42164-2021")</f>
        <v/>
      </c>
      <c r="W618">
        <f>HYPERLINK("https://klasma.github.io/Logging_0883/klagomålsmail/A 42164-2021 FSC-klagomål mail.docx", "A 42164-2021")</f>
        <v/>
      </c>
      <c r="X618">
        <f>HYPERLINK("https://klasma.github.io/Logging_0883/tillsyn/A 42164-2021 tillsynsbegäran.docx", "A 42164-2021")</f>
        <v/>
      </c>
      <c r="Y618">
        <f>HYPERLINK("https://klasma.github.io/Logging_0883/tillsynsmail/A 42164-2021 tillsynsbegäran mail.docx", "A 42164-2021")</f>
        <v/>
      </c>
    </row>
    <row r="619" ht="15" customHeight="1">
      <c r="A619" t="inlineStr">
        <is>
          <t>A 42353-2021</t>
        </is>
      </c>
      <c r="B619" s="1" t="n">
        <v>44427</v>
      </c>
      <c r="C619" s="1" t="n">
        <v>45565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43759-2021</t>
        </is>
      </c>
      <c r="B620" s="1" t="n">
        <v>44433</v>
      </c>
      <c r="C620" s="1" t="n">
        <v>45565</v>
      </c>
      <c r="D620" t="inlineStr">
        <is>
          <t>KALMAR LÄN</t>
        </is>
      </c>
      <c r="E620" t="inlineStr">
        <is>
          <t>VÄSTERVIK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43828-2021</t>
        </is>
      </c>
      <c r="B621" s="1" t="n">
        <v>44433</v>
      </c>
      <c r="C621" s="1" t="n">
        <v>45565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43805-2021</t>
        </is>
      </c>
      <c r="B622" s="1" t="n">
        <v>44433</v>
      </c>
      <c r="C622" s="1" t="n">
        <v>45565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43810-2021</t>
        </is>
      </c>
      <c r="B623" s="1" t="n">
        <v>44433</v>
      </c>
      <c r="C623" s="1" t="n">
        <v>45565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43826-2021</t>
        </is>
      </c>
      <c r="B624" s="1" t="n">
        <v>44433</v>
      </c>
      <c r="C624" s="1" t="n">
        <v>45565</v>
      </c>
      <c r="D624" t="inlineStr">
        <is>
          <t>KALMAR LÄN</t>
        </is>
      </c>
      <c r="E624" t="inlineStr">
        <is>
          <t>VÄSTERVIK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43803-2021</t>
        </is>
      </c>
      <c r="B625" s="1" t="n">
        <v>44433</v>
      </c>
      <c r="C625" s="1" t="n">
        <v>45565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43802-2021</t>
        </is>
      </c>
      <c r="B626" s="1" t="n">
        <v>44433</v>
      </c>
      <c r="C626" s="1" t="n">
        <v>45565</v>
      </c>
      <c r="D626" t="inlineStr">
        <is>
          <t>KALMAR LÄN</t>
        </is>
      </c>
      <c r="E626" t="inlineStr">
        <is>
          <t>VÄSTERVIK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43808-2021</t>
        </is>
      </c>
      <c r="B627" s="1" t="n">
        <v>44433</v>
      </c>
      <c r="C627" s="1" t="n">
        <v>45565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43807-2021</t>
        </is>
      </c>
      <c r="B628" s="1" t="n">
        <v>44433</v>
      </c>
      <c r="C628" s="1" t="n">
        <v>45565</v>
      </c>
      <c r="D628" t="inlineStr">
        <is>
          <t>KALMAR LÄN</t>
        </is>
      </c>
      <c r="E628" t="inlineStr">
        <is>
          <t>VÄSTERVIK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43953-2021</t>
        </is>
      </c>
      <c r="B629" s="1" t="n">
        <v>44434</v>
      </c>
      <c r="C629" s="1" t="n">
        <v>45565</v>
      </c>
      <c r="D629" t="inlineStr">
        <is>
          <t>KALMAR LÄN</t>
        </is>
      </c>
      <c r="E629" t="inlineStr">
        <is>
          <t>VÄSTERVIK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44454-2021</t>
        </is>
      </c>
      <c r="B630" s="1" t="n">
        <v>44435</v>
      </c>
      <c r="C630" s="1" t="n">
        <v>45565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HYPERLINK("https://klasma.github.io/Logging_0883/knärot/A 44454-2021 karta knärot.png", "A 44454-2021")</f>
        <v/>
      </c>
      <c r="V630">
        <f>HYPERLINK("https://klasma.github.io/Logging_0883/klagomål/A 44454-2021 FSC-klagomål.docx", "A 44454-2021")</f>
        <v/>
      </c>
      <c r="W630">
        <f>HYPERLINK("https://klasma.github.io/Logging_0883/klagomålsmail/A 44454-2021 FSC-klagomål mail.docx", "A 44454-2021")</f>
        <v/>
      </c>
      <c r="X630">
        <f>HYPERLINK("https://klasma.github.io/Logging_0883/tillsyn/A 44454-2021 tillsynsbegäran.docx", "A 44454-2021")</f>
        <v/>
      </c>
      <c r="Y630">
        <f>HYPERLINK("https://klasma.github.io/Logging_0883/tillsynsmail/A 44454-2021 tillsynsbegäran mail.docx", "A 44454-2021")</f>
        <v/>
      </c>
    </row>
    <row r="631" ht="15" customHeight="1">
      <c r="A631" t="inlineStr">
        <is>
          <t>A 44668-2021</t>
        </is>
      </c>
      <c r="B631" s="1" t="n">
        <v>44438</v>
      </c>
      <c r="C631" s="1" t="n">
        <v>45565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47404-2021</t>
        </is>
      </c>
      <c r="B632" s="1" t="n">
        <v>44447</v>
      </c>
      <c r="C632" s="1" t="n">
        <v>45565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47527-2021</t>
        </is>
      </c>
      <c r="B633" s="1" t="n">
        <v>44447</v>
      </c>
      <c r="C633" s="1" t="n">
        <v>45565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47525-2021</t>
        </is>
      </c>
      <c r="B634" s="1" t="n">
        <v>44447</v>
      </c>
      <c r="C634" s="1" t="n">
        <v>45565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47530-2021</t>
        </is>
      </c>
      <c r="B635" s="1" t="n">
        <v>44447</v>
      </c>
      <c r="C635" s="1" t="n">
        <v>45565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48021-2021</t>
        </is>
      </c>
      <c r="B636" s="1" t="n">
        <v>44449</v>
      </c>
      <c r="C636" s="1" t="n">
        <v>45565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48018-2021</t>
        </is>
      </c>
      <c r="B637" s="1" t="n">
        <v>44449</v>
      </c>
      <c r="C637" s="1" t="n">
        <v>45565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48041-2021</t>
        </is>
      </c>
      <c r="B638" s="1" t="n">
        <v>44449</v>
      </c>
      <c r="C638" s="1" t="n">
        <v>45565</v>
      </c>
      <c r="D638" t="inlineStr">
        <is>
          <t>KALMAR LÄN</t>
        </is>
      </c>
      <c r="E638" t="inlineStr">
        <is>
          <t>VÄSTERVIK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48254-2021</t>
        </is>
      </c>
      <c r="B639" s="1" t="n">
        <v>44449</v>
      </c>
      <c r="C639" s="1" t="n">
        <v>45565</v>
      </c>
      <c r="D639" t="inlineStr">
        <is>
          <t>KALMAR LÄN</t>
        </is>
      </c>
      <c r="E639" t="inlineStr">
        <is>
          <t>VÄSTERVIK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49402-2021</t>
        </is>
      </c>
      <c r="B640" s="1" t="n">
        <v>44454</v>
      </c>
      <c r="C640" s="1" t="n">
        <v>45565</v>
      </c>
      <c r="D640" t="inlineStr">
        <is>
          <t>KALMAR LÄN</t>
        </is>
      </c>
      <c r="E640" t="inlineStr">
        <is>
          <t>VÄSTERVIK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49407-2021</t>
        </is>
      </c>
      <c r="B641" s="1" t="n">
        <v>44454</v>
      </c>
      <c r="C641" s="1" t="n">
        <v>45565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49398-2021</t>
        </is>
      </c>
      <c r="B642" s="1" t="n">
        <v>44454</v>
      </c>
      <c r="C642" s="1" t="n">
        <v>45565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49404-2021</t>
        </is>
      </c>
      <c r="B643" s="1" t="n">
        <v>44454</v>
      </c>
      <c r="C643" s="1" t="n">
        <v>45565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50977-2021</t>
        </is>
      </c>
      <c r="B644" s="1" t="n">
        <v>44460</v>
      </c>
      <c r="C644" s="1" t="n">
        <v>45565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51504-2021</t>
        </is>
      </c>
      <c r="B645" s="1" t="n">
        <v>44461</v>
      </c>
      <c r="C645" s="1" t="n">
        <v>45565</v>
      </c>
      <c r="D645" t="inlineStr">
        <is>
          <t>KALMAR LÄN</t>
        </is>
      </c>
      <c r="E645" t="inlineStr">
        <is>
          <t>VÄSTERVIK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51883-2021</t>
        </is>
      </c>
      <c r="B646" s="1" t="n">
        <v>44462</v>
      </c>
      <c r="C646" s="1" t="n">
        <v>45565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51884-2021</t>
        </is>
      </c>
      <c r="B647" s="1" t="n">
        <v>44462</v>
      </c>
      <c r="C647" s="1" t="n">
        <v>45565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52155-2021</t>
        </is>
      </c>
      <c r="B648" s="1" t="n">
        <v>44463</v>
      </c>
      <c r="C648" s="1" t="n">
        <v>45565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52645-2021</t>
        </is>
      </c>
      <c r="B649" s="1" t="n">
        <v>44466</v>
      </c>
      <c r="C649" s="1" t="n">
        <v>45565</v>
      </c>
      <c r="D649" t="inlineStr">
        <is>
          <t>KALMAR LÄN</t>
        </is>
      </c>
      <c r="E649" t="inlineStr">
        <is>
          <t>VÄSTERVIK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53259-2021</t>
        </is>
      </c>
      <c r="B650" s="1" t="n">
        <v>44468</v>
      </c>
      <c r="C650" s="1" t="n">
        <v>45565</v>
      </c>
      <c r="D650" t="inlineStr">
        <is>
          <t>KALMAR LÄN</t>
        </is>
      </c>
      <c r="E650" t="inlineStr">
        <is>
          <t>VÄSTERVIK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53254-2021</t>
        </is>
      </c>
      <c r="B651" s="1" t="n">
        <v>44468</v>
      </c>
      <c r="C651" s="1" t="n">
        <v>45565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53913-2021</t>
        </is>
      </c>
      <c r="B652" s="1" t="n">
        <v>44469</v>
      </c>
      <c r="C652" s="1" t="n">
        <v>45565</v>
      </c>
      <c r="D652" t="inlineStr">
        <is>
          <t>KALMAR LÄN</t>
        </is>
      </c>
      <c r="E652" t="inlineStr">
        <is>
          <t>VÄSTERVIK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55008-2021</t>
        </is>
      </c>
      <c r="B653" s="1" t="n">
        <v>44474</v>
      </c>
      <c r="C653" s="1" t="n">
        <v>45565</v>
      </c>
      <c r="D653" t="inlineStr">
        <is>
          <t>KALMAR LÄN</t>
        </is>
      </c>
      <c r="E653" t="inlineStr">
        <is>
          <t>VÄSTERVIK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55023-2021</t>
        </is>
      </c>
      <c r="B654" s="1" t="n">
        <v>44474</v>
      </c>
      <c r="C654" s="1" t="n">
        <v>45565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56617-2021</t>
        </is>
      </c>
      <c r="B655" s="1" t="n">
        <v>44480</v>
      </c>
      <c r="C655" s="1" t="n">
        <v>45565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56620-2021</t>
        </is>
      </c>
      <c r="B656" s="1" t="n">
        <v>44480</v>
      </c>
      <c r="C656" s="1" t="n">
        <v>45565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56619-2021</t>
        </is>
      </c>
      <c r="B657" s="1" t="n">
        <v>44480</v>
      </c>
      <c r="C657" s="1" t="n">
        <v>45565</v>
      </c>
      <c r="D657" t="inlineStr">
        <is>
          <t>KALMAR LÄN</t>
        </is>
      </c>
      <c r="E657" t="inlineStr">
        <is>
          <t>VÄSTERVIK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57804-2021</t>
        </is>
      </c>
      <c r="B658" s="1" t="n">
        <v>44484</v>
      </c>
      <c r="C658" s="1" t="n">
        <v>45565</v>
      </c>
      <c r="D658" t="inlineStr">
        <is>
          <t>KALMAR LÄN</t>
        </is>
      </c>
      <c r="E658" t="inlineStr">
        <is>
          <t>VÄSTERVIK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57808-2021</t>
        </is>
      </c>
      <c r="B659" s="1" t="n">
        <v>44484</v>
      </c>
      <c r="C659" s="1" t="n">
        <v>45565</v>
      </c>
      <c r="D659" t="inlineStr">
        <is>
          <t>KALMAR LÄN</t>
        </is>
      </c>
      <c r="E659" t="inlineStr">
        <is>
          <t>VÄSTERVIK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57983-2021</t>
        </is>
      </c>
      <c r="B660" s="1" t="n">
        <v>44487</v>
      </c>
      <c r="C660" s="1" t="n">
        <v>45565</v>
      </c>
      <c r="D660" t="inlineStr">
        <is>
          <t>KALMAR LÄN</t>
        </is>
      </c>
      <c r="E660" t="inlineStr">
        <is>
          <t>VÄSTERVIK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57928-2021</t>
        </is>
      </c>
      <c r="B661" s="1" t="n">
        <v>44487</v>
      </c>
      <c r="C661" s="1" t="n">
        <v>45565</v>
      </c>
      <c r="D661" t="inlineStr">
        <is>
          <t>KALMAR LÄN</t>
        </is>
      </c>
      <c r="E661" t="inlineStr">
        <is>
          <t>VÄSTERVIK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57937-2021</t>
        </is>
      </c>
      <c r="B662" s="1" t="n">
        <v>44487</v>
      </c>
      <c r="C662" s="1" t="n">
        <v>45565</v>
      </c>
      <c r="D662" t="inlineStr">
        <is>
          <t>KALMAR LÄN</t>
        </is>
      </c>
      <c r="E662" t="inlineStr">
        <is>
          <t>VÄSTERVIK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58090-2021</t>
        </is>
      </c>
      <c r="B663" s="1" t="n">
        <v>44487</v>
      </c>
      <c r="C663" s="1" t="n">
        <v>45565</v>
      </c>
      <c r="D663" t="inlineStr">
        <is>
          <t>KALMAR LÄN</t>
        </is>
      </c>
      <c r="E663" t="inlineStr">
        <is>
          <t>VÄSTERVIK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58555-2021</t>
        </is>
      </c>
      <c r="B664" s="1" t="n">
        <v>44488</v>
      </c>
      <c r="C664" s="1" t="n">
        <v>45565</v>
      </c>
      <c r="D664" t="inlineStr">
        <is>
          <t>KALMAR LÄN</t>
        </is>
      </c>
      <c r="E664" t="inlineStr">
        <is>
          <t>VÄSTERVIK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61317-2021</t>
        </is>
      </c>
      <c r="B665" s="1" t="n">
        <v>44498</v>
      </c>
      <c r="C665" s="1" t="n">
        <v>45565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61584-2021</t>
        </is>
      </c>
      <c r="B666" s="1" t="n">
        <v>44501</v>
      </c>
      <c r="C666" s="1" t="n">
        <v>45565</v>
      </c>
      <c r="D666" t="inlineStr">
        <is>
          <t>KALMAR LÄN</t>
        </is>
      </c>
      <c r="E666" t="inlineStr">
        <is>
          <t>VÄSTERVIK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62930-2021</t>
        </is>
      </c>
      <c r="B667" s="1" t="n">
        <v>44504</v>
      </c>
      <c r="C667" s="1" t="n">
        <v>45565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63812-2021</t>
        </is>
      </c>
      <c r="B668" s="1" t="n">
        <v>44509</v>
      </c>
      <c r="C668" s="1" t="n">
        <v>45565</v>
      </c>
      <c r="D668" t="inlineStr">
        <is>
          <t>KALMAR LÄN</t>
        </is>
      </c>
      <c r="E668" t="inlineStr">
        <is>
          <t>VÄSTERVIK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64497-2021</t>
        </is>
      </c>
      <c r="B669" s="1" t="n">
        <v>44511</v>
      </c>
      <c r="C669" s="1" t="n">
        <v>45565</v>
      </c>
      <c r="D669" t="inlineStr">
        <is>
          <t>KALMAR LÄN</t>
        </is>
      </c>
      <c r="E669" t="inlineStr">
        <is>
          <t>VÄSTERVIK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64558-2021</t>
        </is>
      </c>
      <c r="B670" s="1" t="n">
        <v>44511</v>
      </c>
      <c r="C670" s="1" t="n">
        <v>45565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64822-2021</t>
        </is>
      </c>
      <c r="B671" s="1" t="n">
        <v>44512</v>
      </c>
      <c r="C671" s="1" t="n">
        <v>45565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64920-2021</t>
        </is>
      </c>
      <c r="B672" s="1" t="n">
        <v>44512</v>
      </c>
      <c r="C672" s="1" t="n">
        <v>45565</v>
      </c>
      <c r="D672" t="inlineStr">
        <is>
          <t>KALMAR LÄN</t>
        </is>
      </c>
      <c r="E672" t="inlineStr">
        <is>
          <t>VÄSTERVIK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HYPERLINK("https://klasma.github.io/Logging_0883/knärot/A 64920-2021 karta knärot.png", "A 64920-2021")</f>
        <v/>
      </c>
      <c r="V672">
        <f>HYPERLINK("https://klasma.github.io/Logging_0883/klagomål/A 64920-2021 FSC-klagomål.docx", "A 64920-2021")</f>
        <v/>
      </c>
      <c r="W672">
        <f>HYPERLINK("https://klasma.github.io/Logging_0883/klagomålsmail/A 64920-2021 FSC-klagomål mail.docx", "A 64920-2021")</f>
        <v/>
      </c>
      <c r="X672">
        <f>HYPERLINK("https://klasma.github.io/Logging_0883/tillsyn/A 64920-2021 tillsynsbegäran.docx", "A 64920-2021")</f>
        <v/>
      </c>
      <c r="Y672">
        <f>HYPERLINK("https://klasma.github.io/Logging_0883/tillsynsmail/A 64920-2021 tillsynsbegäran mail.docx", "A 64920-2021")</f>
        <v/>
      </c>
    </row>
    <row r="673" ht="15" customHeight="1">
      <c r="A673" t="inlineStr">
        <is>
          <t>A 65408-2021</t>
        </is>
      </c>
      <c r="B673" s="1" t="n">
        <v>44515</v>
      </c>
      <c r="C673" s="1" t="n">
        <v>45565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68920-2021</t>
        </is>
      </c>
      <c r="B674" s="1" t="n">
        <v>44530</v>
      </c>
      <c r="C674" s="1" t="n">
        <v>45565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69328-2021</t>
        </is>
      </c>
      <c r="B675" s="1" t="n">
        <v>44531</v>
      </c>
      <c r="C675" s="1" t="n">
        <v>45565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69702-2021</t>
        </is>
      </c>
      <c r="B676" s="1" t="n">
        <v>44532</v>
      </c>
      <c r="C676" s="1" t="n">
        <v>45565</v>
      </c>
      <c r="D676" t="inlineStr">
        <is>
          <t>KALMAR LÄN</t>
        </is>
      </c>
      <c r="E676" t="inlineStr">
        <is>
          <t>VÄSTERVIK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69750-2021</t>
        </is>
      </c>
      <c r="B677" s="1" t="n">
        <v>44532</v>
      </c>
      <c r="C677" s="1" t="n">
        <v>45565</v>
      </c>
      <c r="D677" t="inlineStr">
        <is>
          <t>KALMAR LÄN</t>
        </is>
      </c>
      <c r="E677" t="inlineStr">
        <is>
          <t>VÄSTERVIK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69753-2021</t>
        </is>
      </c>
      <c r="B678" s="1" t="n">
        <v>44532</v>
      </c>
      <c r="C678" s="1" t="n">
        <v>45565</v>
      </c>
      <c r="D678" t="inlineStr">
        <is>
          <t>KALMAR LÄN</t>
        </is>
      </c>
      <c r="E678" t="inlineStr">
        <is>
          <t>VÄSTERVIK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71114-2021</t>
        </is>
      </c>
      <c r="B679" s="1" t="n">
        <v>44539</v>
      </c>
      <c r="C679" s="1" t="n">
        <v>45565</v>
      </c>
      <c r="D679" t="inlineStr">
        <is>
          <t>KALMAR LÄN</t>
        </is>
      </c>
      <c r="E679" t="inlineStr">
        <is>
          <t>VÄSTERVIK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72378-2021</t>
        </is>
      </c>
      <c r="B680" s="1" t="n">
        <v>44545</v>
      </c>
      <c r="C680" s="1" t="n">
        <v>45565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72733-2021</t>
        </is>
      </c>
      <c r="B681" s="1" t="n">
        <v>44546</v>
      </c>
      <c r="C681" s="1" t="n">
        <v>45565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73640-2021</t>
        </is>
      </c>
      <c r="B682" s="1" t="n">
        <v>44552</v>
      </c>
      <c r="C682" s="1" t="n">
        <v>45565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73638-2021</t>
        </is>
      </c>
      <c r="B683" s="1" t="n">
        <v>44552</v>
      </c>
      <c r="C683" s="1" t="n">
        <v>45565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166-2022</t>
        </is>
      </c>
      <c r="B684" s="1" t="n">
        <v>44564</v>
      </c>
      <c r="C684" s="1" t="n">
        <v>45565</v>
      </c>
      <c r="D684" t="inlineStr">
        <is>
          <t>KALMAR LÄN</t>
        </is>
      </c>
      <c r="E684" t="inlineStr">
        <is>
          <t>VÄSTERVIK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174-2022</t>
        </is>
      </c>
      <c r="B685" s="1" t="n">
        <v>44564</v>
      </c>
      <c r="C685" s="1" t="n">
        <v>45565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170-2022</t>
        </is>
      </c>
      <c r="B686" s="1" t="n">
        <v>44564</v>
      </c>
      <c r="C686" s="1" t="n">
        <v>45565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358-2022</t>
        </is>
      </c>
      <c r="B687" s="1" t="n">
        <v>44565</v>
      </c>
      <c r="C687" s="1" t="n">
        <v>45565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320-2022</t>
        </is>
      </c>
      <c r="B688" s="1" t="n">
        <v>44565</v>
      </c>
      <c r="C688" s="1" t="n">
        <v>45565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360-2022</t>
        </is>
      </c>
      <c r="B689" s="1" t="n">
        <v>44565</v>
      </c>
      <c r="C689" s="1" t="n">
        <v>45565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959-2022</t>
        </is>
      </c>
      <c r="B690" s="1" t="n">
        <v>44571</v>
      </c>
      <c r="C690" s="1" t="n">
        <v>45565</v>
      </c>
      <c r="D690" t="inlineStr">
        <is>
          <t>KALMAR LÄN</t>
        </is>
      </c>
      <c r="E690" t="inlineStr">
        <is>
          <t>VÄSTERVIK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1585-2022</t>
        </is>
      </c>
      <c r="B691" s="1" t="n">
        <v>44573</v>
      </c>
      <c r="C691" s="1" t="n">
        <v>45565</v>
      </c>
      <c r="D691" t="inlineStr">
        <is>
          <t>KALMAR LÄN</t>
        </is>
      </c>
      <c r="E691" t="inlineStr">
        <is>
          <t>VÄSTERVIK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1843-2022</t>
        </is>
      </c>
      <c r="B692" s="1" t="n">
        <v>44574</v>
      </c>
      <c r="C692" s="1" t="n">
        <v>45565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3145-2022</t>
        </is>
      </c>
      <c r="B693" s="1" t="n">
        <v>44582</v>
      </c>
      <c r="C693" s="1" t="n">
        <v>45565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3718-2022</t>
        </is>
      </c>
      <c r="B694" s="1" t="n">
        <v>44586</v>
      </c>
      <c r="C694" s="1" t="n">
        <v>45565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4463-2022</t>
        </is>
      </c>
      <c r="B695" s="1" t="n">
        <v>44589</v>
      </c>
      <c r="C695" s="1" t="n">
        <v>45565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4490-2022</t>
        </is>
      </c>
      <c r="B696" s="1" t="n">
        <v>44589</v>
      </c>
      <c r="C696" s="1" t="n">
        <v>45565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4812-2022</t>
        </is>
      </c>
      <c r="B697" s="1" t="n">
        <v>44592</v>
      </c>
      <c r="C697" s="1" t="n">
        <v>45565</v>
      </c>
      <c r="D697" t="inlineStr">
        <is>
          <t>KALMAR LÄN</t>
        </is>
      </c>
      <c r="E697" t="inlineStr">
        <is>
          <t>VÄSTERVIK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5450-2022</t>
        </is>
      </c>
      <c r="B698" s="1" t="n">
        <v>44595</v>
      </c>
      <c r="C698" s="1" t="n">
        <v>45565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5551-2022</t>
        </is>
      </c>
      <c r="B699" s="1" t="n">
        <v>44595</v>
      </c>
      <c r="C699" s="1" t="n">
        <v>45565</v>
      </c>
      <c r="D699" t="inlineStr">
        <is>
          <t>KALMAR LÄN</t>
        </is>
      </c>
      <c r="E699" t="inlineStr">
        <is>
          <t>VÄSTERVIK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5761-2022</t>
        </is>
      </c>
      <c r="B700" s="1" t="n">
        <v>44596</v>
      </c>
      <c r="C700" s="1" t="n">
        <v>45565</v>
      </c>
      <c r="D700" t="inlineStr">
        <is>
          <t>KALMAR LÄN</t>
        </is>
      </c>
      <c r="E700" t="inlineStr">
        <is>
          <t>VÄSTERVIK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7580-2022</t>
        </is>
      </c>
      <c r="B701" s="1" t="n">
        <v>44607</v>
      </c>
      <c r="C701" s="1" t="n">
        <v>45565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7826-2022</t>
        </is>
      </c>
      <c r="B702" s="1" t="n">
        <v>44608</v>
      </c>
      <c r="C702" s="1" t="n">
        <v>45565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8355-2022</t>
        </is>
      </c>
      <c r="B703" s="1" t="n">
        <v>44610</v>
      </c>
      <c r="C703" s="1" t="n">
        <v>45565</v>
      </c>
      <c r="D703" t="inlineStr">
        <is>
          <t>KALMAR LÄN</t>
        </is>
      </c>
      <c r="E703" t="inlineStr">
        <is>
          <t>VÄSTERVIK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9025-2022</t>
        </is>
      </c>
      <c r="B704" s="1" t="n">
        <v>44615</v>
      </c>
      <c r="C704" s="1" t="n">
        <v>45565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9605-2022</t>
        </is>
      </c>
      <c r="B705" s="1" t="n">
        <v>44617</v>
      </c>
      <c r="C705" s="1" t="n">
        <v>45565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9605-2022 karta knärot.png", "A 9605-2022")</f>
        <v/>
      </c>
      <c r="V705">
        <f>HYPERLINK("https://klasma.github.io/Logging_0883/klagomål/A 9605-2022 FSC-klagomål.docx", "A 9605-2022")</f>
        <v/>
      </c>
      <c r="W705">
        <f>HYPERLINK("https://klasma.github.io/Logging_0883/klagomålsmail/A 9605-2022 FSC-klagomål mail.docx", "A 9605-2022")</f>
        <v/>
      </c>
      <c r="X705">
        <f>HYPERLINK("https://klasma.github.io/Logging_0883/tillsyn/A 9605-2022 tillsynsbegäran.docx", "A 9605-2022")</f>
        <v/>
      </c>
      <c r="Y705">
        <f>HYPERLINK("https://klasma.github.io/Logging_0883/tillsynsmail/A 9605-2022 tillsynsbegäran mail.docx", "A 9605-2022")</f>
        <v/>
      </c>
    </row>
    <row r="706" ht="15" customHeight="1">
      <c r="A706" t="inlineStr">
        <is>
          <t>A 10071-2022</t>
        </is>
      </c>
      <c r="B706" s="1" t="n">
        <v>44621</v>
      </c>
      <c r="C706" s="1" t="n">
        <v>45565</v>
      </c>
      <c r="D706" t="inlineStr">
        <is>
          <t>KALMAR LÄN</t>
        </is>
      </c>
      <c r="E706" t="inlineStr">
        <is>
          <t>VÄSTERVIK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10119-2022</t>
        </is>
      </c>
      <c r="B707" s="1" t="n">
        <v>44621</v>
      </c>
      <c r="C707" s="1" t="n">
        <v>45565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10117-2022</t>
        </is>
      </c>
      <c r="B708" s="1" t="n">
        <v>44621</v>
      </c>
      <c r="C708" s="1" t="n">
        <v>45565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10116-2022</t>
        </is>
      </c>
      <c r="B709" s="1" t="n">
        <v>44621</v>
      </c>
      <c r="C709" s="1" t="n">
        <v>45565</v>
      </c>
      <c r="D709" t="inlineStr">
        <is>
          <t>KALMAR LÄN</t>
        </is>
      </c>
      <c r="E709" t="inlineStr">
        <is>
          <t>VÄSTERVIK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10406-2022</t>
        </is>
      </c>
      <c r="B710" s="1" t="n">
        <v>44623</v>
      </c>
      <c r="C710" s="1" t="n">
        <v>45565</v>
      </c>
      <c r="D710" t="inlineStr">
        <is>
          <t>KALMAR LÄN</t>
        </is>
      </c>
      <c r="E710" t="inlineStr">
        <is>
          <t>VÄSTERVIK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10441-2022</t>
        </is>
      </c>
      <c r="B711" s="1" t="n">
        <v>44623</v>
      </c>
      <c r="C711" s="1" t="n">
        <v>45565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10452-2022</t>
        </is>
      </c>
      <c r="B712" s="1" t="n">
        <v>44623</v>
      </c>
      <c r="C712" s="1" t="n">
        <v>45565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11988-2022</t>
        </is>
      </c>
      <c r="B713" s="1" t="n">
        <v>44635</v>
      </c>
      <c r="C713" s="1" t="n">
        <v>45565</v>
      </c>
      <c r="D713" t="inlineStr">
        <is>
          <t>KALMAR LÄN</t>
        </is>
      </c>
      <c r="E713" t="inlineStr">
        <is>
          <t>VÄSTERVIK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12652-2022</t>
        </is>
      </c>
      <c r="B714" s="1" t="n">
        <v>44641</v>
      </c>
      <c r="C714" s="1" t="n">
        <v>45565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13023-2022</t>
        </is>
      </c>
      <c r="B715" s="1" t="n">
        <v>44643</v>
      </c>
      <c r="C715" s="1" t="n">
        <v>45565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13375-2022</t>
        </is>
      </c>
      <c r="B716" s="1" t="n">
        <v>44645</v>
      </c>
      <c r="C716" s="1" t="n">
        <v>45565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13491-2022</t>
        </is>
      </c>
      <c r="B717" s="1" t="n">
        <v>44646</v>
      </c>
      <c r="C717" s="1" t="n">
        <v>45565</v>
      </c>
      <c r="D717" t="inlineStr">
        <is>
          <t>KALMAR LÄN</t>
        </is>
      </c>
      <c r="E717" t="inlineStr">
        <is>
          <t>VÄSTERVIK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13489-2022</t>
        </is>
      </c>
      <c r="B718" s="1" t="n">
        <v>44646</v>
      </c>
      <c r="C718" s="1" t="n">
        <v>45565</v>
      </c>
      <c r="D718" t="inlineStr">
        <is>
          <t>KALMAR LÄN</t>
        </is>
      </c>
      <c r="E718" t="inlineStr">
        <is>
          <t>VÄSTERVIK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13490-2022</t>
        </is>
      </c>
      <c r="B719" s="1" t="n">
        <v>44646</v>
      </c>
      <c r="C719" s="1" t="n">
        <v>45565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13765-2022</t>
        </is>
      </c>
      <c r="B720" s="1" t="n">
        <v>44649</v>
      </c>
      <c r="C720" s="1" t="n">
        <v>45565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14038-2022</t>
        </is>
      </c>
      <c r="B721" s="1" t="n">
        <v>44650</v>
      </c>
      <c r="C721" s="1" t="n">
        <v>45565</v>
      </c>
      <c r="D721" t="inlineStr">
        <is>
          <t>KALMAR LÄN</t>
        </is>
      </c>
      <c r="E721" t="inlineStr">
        <is>
          <t>VÄSTERVIK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14212-2022</t>
        </is>
      </c>
      <c r="B722" s="1" t="n">
        <v>44651</v>
      </c>
      <c r="C722" s="1" t="n">
        <v>45565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14529-2022</t>
        </is>
      </c>
      <c r="B723" s="1" t="n">
        <v>44655</v>
      </c>
      <c r="C723" s="1" t="n">
        <v>45565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15379-2022</t>
        </is>
      </c>
      <c r="B724" s="1" t="n">
        <v>44659</v>
      </c>
      <c r="C724" s="1" t="n">
        <v>45565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16207-2022</t>
        </is>
      </c>
      <c r="B725" s="1" t="n">
        <v>44669</v>
      </c>
      <c r="C725" s="1" t="n">
        <v>45565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16587-2022</t>
        </is>
      </c>
      <c r="B726" s="1" t="n">
        <v>44672</v>
      </c>
      <c r="C726" s="1" t="n">
        <v>45565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16586-2022</t>
        </is>
      </c>
      <c r="B727" s="1" t="n">
        <v>44672</v>
      </c>
      <c r="C727" s="1" t="n">
        <v>45565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16765-2022</t>
        </is>
      </c>
      <c r="B728" s="1" t="n">
        <v>44673</v>
      </c>
      <c r="C728" s="1" t="n">
        <v>45565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17953-2022</t>
        </is>
      </c>
      <c r="B729" s="1" t="n">
        <v>44683</v>
      </c>
      <c r="C729" s="1" t="n">
        <v>45565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17954-2022</t>
        </is>
      </c>
      <c r="B730" s="1" t="n">
        <v>44683</v>
      </c>
      <c r="C730" s="1" t="n">
        <v>45565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19648-2022</t>
        </is>
      </c>
      <c r="B731" s="1" t="n">
        <v>44694</v>
      </c>
      <c r="C731" s="1" t="n">
        <v>45565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19656-2022</t>
        </is>
      </c>
      <c r="B732" s="1" t="n">
        <v>44694</v>
      </c>
      <c r="C732" s="1" t="n">
        <v>45565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19653-2022</t>
        </is>
      </c>
      <c r="B733" s="1" t="n">
        <v>44694</v>
      </c>
      <c r="C733" s="1" t="n">
        <v>45565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23167-2022</t>
        </is>
      </c>
      <c r="B734" s="1" t="n">
        <v>44719</v>
      </c>
      <c r="C734" s="1" t="n">
        <v>45565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23411-2022</t>
        </is>
      </c>
      <c r="B735" s="1" t="n">
        <v>44720</v>
      </c>
      <c r="C735" s="1" t="n">
        <v>45565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23589-2022</t>
        </is>
      </c>
      <c r="B736" s="1" t="n">
        <v>44721</v>
      </c>
      <c r="C736" s="1" t="n">
        <v>45565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23743-2022</t>
        </is>
      </c>
      <c r="B737" s="1" t="n">
        <v>44722</v>
      </c>
      <c r="C737" s="1" t="n">
        <v>45565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24040-2022</t>
        </is>
      </c>
      <c r="B738" s="1" t="n">
        <v>44724</v>
      </c>
      <c r="C738" s="1" t="n">
        <v>45565</v>
      </c>
      <c r="D738" t="inlineStr">
        <is>
          <t>KALMAR LÄN</t>
        </is>
      </c>
      <c r="E738" t="inlineStr">
        <is>
          <t>VÄSTERVIK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24830-2022</t>
        </is>
      </c>
      <c r="B739" s="1" t="n">
        <v>44728</v>
      </c>
      <c r="C739" s="1" t="n">
        <v>45565</v>
      </c>
      <c r="D739" t="inlineStr">
        <is>
          <t>KALMAR LÄN</t>
        </is>
      </c>
      <c r="E739" t="inlineStr">
        <is>
          <t>VÄSTERVIK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24829-2022</t>
        </is>
      </c>
      <c r="B740" s="1" t="n">
        <v>44728</v>
      </c>
      <c r="C740" s="1" t="n">
        <v>45565</v>
      </c>
      <c r="D740" t="inlineStr">
        <is>
          <t>KALMAR LÄN</t>
        </is>
      </c>
      <c r="E740" t="inlineStr">
        <is>
          <t>VÄSTERVIK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26059-2022</t>
        </is>
      </c>
      <c r="B741" s="1" t="n">
        <v>44734</v>
      </c>
      <c r="C741" s="1" t="n">
        <v>45565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27552-2022</t>
        </is>
      </c>
      <c r="B742" s="1" t="n">
        <v>44742</v>
      </c>
      <c r="C742" s="1" t="n">
        <v>45565</v>
      </c>
      <c r="D742" t="inlineStr">
        <is>
          <t>KALMAR LÄN</t>
        </is>
      </c>
      <c r="E742" t="inlineStr">
        <is>
          <t>VÄSTERVIK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28426-2022</t>
        </is>
      </c>
      <c r="B743" s="1" t="n">
        <v>44747</v>
      </c>
      <c r="C743" s="1" t="n">
        <v>45565</v>
      </c>
      <c r="D743" t="inlineStr">
        <is>
          <t>KALMAR LÄN</t>
        </is>
      </c>
      <c r="E743" t="inlineStr">
        <is>
          <t>VÄSTERVIK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28588-2022</t>
        </is>
      </c>
      <c r="B744" s="1" t="n">
        <v>44748</v>
      </c>
      <c r="C744" s="1" t="n">
        <v>45565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28679-2022</t>
        </is>
      </c>
      <c r="B745" s="1" t="n">
        <v>44748</v>
      </c>
      <c r="C745" s="1" t="n">
        <v>45565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28798-2022</t>
        </is>
      </c>
      <c r="B746" s="1" t="n">
        <v>44749</v>
      </c>
      <c r="C746" s="1" t="n">
        <v>45565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29816-2022</t>
        </is>
      </c>
      <c r="B747" s="1" t="n">
        <v>44755</v>
      </c>
      <c r="C747" s="1" t="n">
        <v>45565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29909-2022</t>
        </is>
      </c>
      <c r="B748" s="1" t="n">
        <v>44756</v>
      </c>
      <c r="C748" s="1" t="n">
        <v>45565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29952-2022</t>
        </is>
      </c>
      <c r="B749" s="1" t="n">
        <v>44756</v>
      </c>
      <c r="C749" s="1" t="n">
        <v>45565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30186-2022</t>
        </is>
      </c>
      <c r="B750" s="1" t="n">
        <v>44757</v>
      </c>
      <c r="C750" s="1" t="n">
        <v>45565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31825-2022</t>
        </is>
      </c>
      <c r="B751" s="1" t="n">
        <v>44776</v>
      </c>
      <c r="C751" s="1" t="n">
        <v>45565</v>
      </c>
      <c r="D751" t="inlineStr">
        <is>
          <t>KALMAR LÄN</t>
        </is>
      </c>
      <c r="E751" t="inlineStr">
        <is>
          <t>VÄSTERVIK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32104-2022</t>
        </is>
      </c>
      <c r="B752" s="1" t="n">
        <v>44778</v>
      </c>
      <c r="C752" s="1" t="n">
        <v>45565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32702-2022</t>
        </is>
      </c>
      <c r="B753" s="1" t="n">
        <v>44783</v>
      </c>
      <c r="C753" s="1" t="n">
        <v>45565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32763-2022</t>
        </is>
      </c>
      <c r="B754" s="1" t="n">
        <v>44783</v>
      </c>
      <c r="C754" s="1" t="n">
        <v>45565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32764-2022</t>
        </is>
      </c>
      <c r="B755" s="1" t="n">
        <v>44783</v>
      </c>
      <c r="C755" s="1" t="n">
        <v>45565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32934-2022</t>
        </is>
      </c>
      <c r="B756" s="1" t="n">
        <v>44784</v>
      </c>
      <c r="C756" s="1" t="n">
        <v>45565</v>
      </c>
      <c r="D756" t="inlineStr">
        <is>
          <t>KALMAR LÄN</t>
        </is>
      </c>
      <c r="E756" t="inlineStr">
        <is>
          <t>VÄSTERVIK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33206-2022</t>
        </is>
      </c>
      <c r="B757" s="1" t="n">
        <v>44785</v>
      </c>
      <c r="C757" s="1" t="n">
        <v>45565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33204-2022</t>
        </is>
      </c>
      <c r="B758" s="1" t="n">
        <v>44785</v>
      </c>
      <c r="C758" s="1" t="n">
        <v>45565</v>
      </c>
      <c r="D758" t="inlineStr">
        <is>
          <t>KALMAR LÄN</t>
        </is>
      </c>
      <c r="E758" t="inlineStr">
        <is>
          <t>VÄSTERVIK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33208-2022</t>
        </is>
      </c>
      <c r="B759" s="1" t="n">
        <v>44785</v>
      </c>
      <c r="C759" s="1" t="n">
        <v>45565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33210-2022</t>
        </is>
      </c>
      <c r="B760" s="1" t="n">
        <v>44785</v>
      </c>
      <c r="C760" s="1" t="n">
        <v>45565</v>
      </c>
      <c r="D760" t="inlineStr">
        <is>
          <t>KALMAR LÄN</t>
        </is>
      </c>
      <c r="E760" t="inlineStr">
        <is>
          <t>VÄSTERVIK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33207-2022</t>
        </is>
      </c>
      <c r="B761" s="1" t="n">
        <v>44785</v>
      </c>
      <c r="C761" s="1" t="n">
        <v>45565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33211-2022</t>
        </is>
      </c>
      <c r="B762" s="1" t="n">
        <v>44785</v>
      </c>
      <c r="C762" s="1" t="n">
        <v>45565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34241-2022</t>
        </is>
      </c>
      <c r="B763" s="1" t="n">
        <v>44791</v>
      </c>
      <c r="C763" s="1" t="n">
        <v>45565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34644-2022</t>
        </is>
      </c>
      <c r="B764" s="1" t="n">
        <v>44795</v>
      </c>
      <c r="C764" s="1" t="n">
        <v>45565</v>
      </c>
      <c r="D764" t="inlineStr">
        <is>
          <t>KALMAR LÄN</t>
        </is>
      </c>
      <c r="E764" t="inlineStr">
        <is>
          <t>VÄSTERVIK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34675-2022</t>
        </is>
      </c>
      <c r="B765" s="1" t="n">
        <v>44795</v>
      </c>
      <c r="C765" s="1" t="n">
        <v>45565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34672-2022</t>
        </is>
      </c>
      <c r="B766" s="1" t="n">
        <v>44795</v>
      </c>
      <c r="C766" s="1" t="n">
        <v>45565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34836-2022</t>
        </is>
      </c>
      <c r="B767" s="1" t="n">
        <v>44796</v>
      </c>
      <c r="C767" s="1" t="n">
        <v>45565</v>
      </c>
      <c r="D767" t="inlineStr">
        <is>
          <t>KALMAR LÄN</t>
        </is>
      </c>
      <c r="E767" t="inlineStr">
        <is>
          <t>VÄSTERVIK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35417-2022</t>
        </is>
      </c>
      <c r="B768" s="1" t="n">
        <v>44798</v>
      </c>
      <c r="C768" s="1" t="n">
        <v>45565</v>
      </c>
      <c r="D768" t="inlineStr">
        <is>
          <t>KALMAR LÄN</t>
        </is>
      </c>
      <c r="E768" t="inlineStr">
        <is>
          <t>VÄSTERVIK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37936-2022</t>
        </is>
      </c>
      <c r="B769" s="1" t="n">
        <v>44811</v>
      </c>
      <c r="C769" s="1" t="n">
        <v>45565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38069-2022</t>
        </is>
      </c>
      <c r="B770" s="1" t="n">
        <v>44811</v>
      </c>
      <c r="C770" s="1" t="n">
        <v>45565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38399-2022</t>
        </is>
      </c>
      <c r="B771" s="1" t="n">
        <v>44812</v>
      </c>
      <c r="C771" s="1" t="n">
        <v>45565</v>
      </c>
      <c r="D771" t="inlineStr">
        <is>
          <t>KALMAR LÄN</t>
        </is>
      </c>
      <c r="E771" t="inlineStr">
        <is>
          <t>VÄSTERVIK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40062-2022</t>
        </is>
      </c>
      <c r="B772" s="1" t="n">
        <v>44820</v>
      </c>
      <c r="C772" s="1" t="n">
        <v>45565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40050-2022</t>
        </is>
      </c>
      <c r="B773" s="1" t="n">
        <v>44820</v>
      </c>
      <c r="C773" s="1" t="n">
        <v>45565</v>
      </c>
      <c r="D773" t="inlineStr">
        <is>
          <t>KALMAR LÄN</t>
        </is>
      </c>
      <c r="E773" t="inlineStr">
        <is>
          <t>VÄSTERVIK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40925-2022</t>
        </is>
      </c>
      <c r="B774" s="1" t="n">
        <v>44825</v>
      </c>
      <c r="C774" s="1" t="n">
        <v>45565</v>
      </c>
      <c r="D774" t="inlineStr">
        <is>
          <t>KALMAR LÄN</t>
        </is>
      </c>
      <c r="E774" t="inlineStr">
        <is>
          <t>VÄSTERVIK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40920-2022</t>
        </is>
      </c>
      <c r="B775" s="1" t="n">
        <v>44825</v>
      </c>
      <c r="C775" s="1" t="n">
        <v>45565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42122-2022</t>
        </is>
      </c>
      <c r="B776" s="1" t="n">
        <v>44830</v>
      </c>
      <c r="C776" s="1" t="n">
        <v>45565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42130-2022</t>
        </is>
      </c>
      <c r="B777" s="1" t="n">
        <v>44830</v>
      </c>
      <c r="C777" s="1" t="n">
        <v>45565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42119-2022</t>
        </is>
      </c>
      <c r="B778" s="1" t="n">
        <v>44830</v>
      </c>
      <c r="C778" s="1" t="n">
        <v>45565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43965-2022</t>
        </is>
      </c>
      <c r="B779" s="1" t="n">
        <v>44838</v>
      </c>
      <c r="C779" s="1" t="n">
        <v>45565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45721-2022</t>
        </is>
      </c>
      <c r="B780" s="1" t="n">
        <v>44845</v>
      </c>
      <c r="C780" s="1" t="n">
        <v>45565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45721-2022 karta knärot.png", "A 45721-2022")</f>
        <v/>
      </c>
      <c r="V780">
        <f>HYPERLINK("https://klasma.github.io/Logging_0883/klagomål/A 45721-2022 FSC-klagomål.docx", "A 45721-2022")</f>
        <v/>
      </c>
      <c r="W780">
        <f>HYPERLINK("https://klasma.github.io/Logging_0883/klagomålsmail/A 45721-2022 FSC-klagomål mail.docx", "A 45721-2022")</f>
        <v/>
      </c>
      <c r="X780">
        <f>HYPERLINK("https://klasma.github.io/Logging_0883/tillsyn/A 45721-2022 tillsynsbegäran.docx", "A 45721-2022")</f>
        <v/>
      </c>
      <c r="Y780">
        <f>HYPERLINK("https://klasma.github.io/Logging_0883/tillsynsmail/A 45721-2022 tillsynsbegäran mail.docx", "A 45721-2022")</f>
        <v/>
      </c>
    </row>
    <row r="781" ht="15" customHeight="1">
      <c r="A781" t="inlineStr">
        <is>
          <t>A 45806-2022</t>
        </is>
      </c>
      <c r="B781" s="1" t="n">
        <v>44846</v>
      </c>
      <c r="C781" s="1" t="n">
        <v>45565</v>
      </c>
      <c r="D781" t="inlineStr">
        <is>
          <t>KALMAR LÄN</t>
        </is>
      </c>
      <c r="E781" t="inlineStr">
        <is>
          <t>VÄSTERVIK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46018-2022</t>
        </is>
      </c>
      <c r="B782" s="1" t="n">
        <v>44846</v>
      </c>
      <c r="C782" s="1" t="n">
        <v>45565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46267-2022</t>
        </is>
      </c>
      <c r="B783" s="1" t="n">
        <v>44847</v>
      </c>
      <c r="C783" s="1" t="n">
        <v>45565</v>
      </c>
      <c r="D783" t="inlineStr">
        <is>
          <t>KALMAR LÄN</t>
        </is>
      </c>
      <c r="E783" t="inlineStr">
        <is>
          <t>VÄSTERVIK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46135-2022</t>
        </is>
      </c>
      <c r="B784" s="1" t="n">
        <v>44847</v>
      </c>
      <c r="C784" s="1" t="n">
        <v>45565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46354-2022</t>
        </is>
      </c>
      <c r="B785" s="1" t="n">
        <v>44848</v>
      </c>
      <c r="C785" s="1" t="n">
        <v>45565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46527-2022</t>
        </is>
      </c>
      <c r="B786" s="1" t="n">
        <v>44848</v>
      </c>
      <c r="C786" s="1" t="n">
        <v>45565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46560-2022</t>
        </is>
      </c>
      <c r="B787" s="1" t="n">
        <v>44848</v>
      </c>
      <c r="C787" s="1" t="n">
        <v>45565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46561-2022</t>
        </is>
      </c>
      <c r="B788" s="1" t="n">
        <v>44848</v>
      </c>
      <c r="C788" s="1" t="n">
        <v>45565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46596-2022</t>
        </is>
      </c>
      <c r="B789" s="1" t="n">
        <v>44848</v>
      </c>
      <c r="C789" s="1" t="n">
        <v>45565</v>
      </c>
      <c r="D789" t="inlineStr">
        <is>
          <t>KALMAR LÄN</t>
        </is>
      </c>
      <c r="E789" t="inlineStr">
        <is>
          <t>VÄSTERVIK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46562-2022</t>
        </is>
      </c>
      <c r="B790" s="1" t="n">
        <v>44848</v>
      </c>
      <c r="C790" s="1" t="n">
        <v>45565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46781-2022</t>
        </is>
      </c>
      <c r="B791" s="1" t="n">
        <v>44851</v>
      </c>
      <c r="C791" s="1" t="n">
        <v>45565</v>
      </c>
      <c r="D791" t="inlineStr">
        <is>
          <t>KALMAR LÄN</t>
        </is>
      </c>
      <c r="E791" t="inlineStr">
        <is>
          <t>VÄSTERVIK</t>
        </is>
      </c>
      <c r="G791" t="n">
        <v>13.2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46783-2022</t>
        </is>
      </c>
      <c r="B792" s="1" t="n">
        <v>44851</v>
      </c>
      <c r="C792" s="1" t="n">
        <v>45565</v>
      </c>
      <c r="D792" t="inlineStr">
        <is>
          <t>KALMAR LÄN</t>
        </is>
      </c>
      <c r="E792" t="inlineStr">
        <is>
          <t>VÄSTERVIK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46790-2022</t>
        </is>
      </c>
      <c r="B793" s="1" t="n">
        <v>44851</v>
      </c>
      <c r="C793" s="1" t="n">
        <v>45565</v>
      </c>
      <c r="D793" t="inlineStr">
        <is>
          <t>KALMAR LÄN</t>
        </is>
      </c>
      <c r="E793" t="inlineStr">
        <is>
          <t>VÄSTERVIK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47323-2022</t>
        </is>
      </c>
      <c r="B794" s="1" t="n">
        <v>44853</v>
      </c>
      <c r="C794" s="1" t="n">
        <v>45565</v>
      </c>
      <c r="D794" t="inlineStr">
        <is>
          <t>KALMAR LÄN</t>
        </is>
      </c>
      <c r="E794" t="inlineStr">
        <is>
          <t>VÄSTERVIK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47325-2022</t>
        </is>
      </c>
      <c r="B795" s="1" t="n">
        <v>44853</v>
      </c>
      <c r="C795" s="1" t="n">
        <v>45565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47705-2022</t>
        </is>
      </c>
      <c r="B796" s="1" t="n">
        <v>44854</v>
      </c>
      <c r="C796" s="1" t="n">
        <v>45565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49276-2022</t>
        </is>
      </c>
      <c r="B797" s="1" t="n">
        <v>44858</v>
      </c>
      <c r="C797" s="1" t="n">
        <v>45565</v>
      </c>
      <c r="D797" t="inlineStr">
        <is>
          <t>KALMAR LÄN</t>
        </is>
      </c>
      <c r="E797" t="inlineStr">
        <is>
          <t>VÄSTERVIK</t>
        </is>
      </c>
      <c r="F797" t="inlineStr">
        <is>
          <t>Övriga Aktiebolag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48553-2022</t>
        </is>
      </c>
      <c r="B798" s="1" t="n">
        <v>44859</v>
      </c>
      <c r="C798" s="1" t="n">
        <v>45565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48888-2022</t>
        </is>
      </c>
      <c r="B799" s="1" t="n">
        <v>44859</v>
      </c>
      <c r="C799" s="1" t="n">
        <v>45565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49205-2022</t>
        </is>
      </c>
      <c r="B800" s="1" t="n">
        <v>44860</v>
      </c>
      <c r="C800" s="1" t="n">
        <v>45565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50253-2022</t>
        </is>
      </c>
      <c r="B801" s="1" t="n">
        <v>44860</v>
      </c>
      <c r="C801" s="1" t="n">
        <v>45565</v>
      </c>
      <c r="D801" t="inlineStr">
        <is>
          <t>KALMAR LÄN</t>
        </is>
      </c>
      <c r="E801" t="inlineStr">
        <is>
          <t>VÄSTERVIK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49286-2022</t>
        </is>
      </c>
      <c r="B802" s="1" t="n">
        <v>44861</v>
      </c>
      <c r="C802" s="1" t="n">
        <v>45565</v>
      </c>
      <c r="D802" t="inlineStr">
        <is>
          <t>KALMAR LÄN</t>
        </is>
      </c>
      <c r="E802" t="inlineStr">
        <is>
          <t>VÄSTERVIK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49377-2022</t>
        </is>
      </c>
      <c r="B803" s="1" t="n">
        <v>44861</v>
      </c>
      <c r="C803" s="1" t="n">
        <v>45565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49916-2022</t>
        </is>
      </c>
      <c r="B804" s="1" t="n">
        <v>44865</v>
      </c>
      <c r="C804" s="1" t="n">
        <v>45565</v>
      </c>
      <c r="D804" t="inlineStr">
        <is>
          <t>KALMAR LÄN</t>
        </is>
      </c>
      <c r="E804" t="inlineStr">
        <is>
          <t>VÄSTERVIK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50691-2022</t>
        </is>
      </c>
      <c r="B805" s="1" t="n">
        <v>44867</v>
      </c>
      <c r="C805" s="1" t="n">
        <v>45565</v>
      </c>
      <c r="D805" t="inlineStr">
        <is>
          <t>KALMAR LÄN</t>
        </is>
      </c>
      <c r="E805" t="inlineStr">
        <is>
          <t>VÄSTERVIK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50911-2022</t>
        </is>
      </c>
      <c r="B806" s="1" t="n">
        <v>44867</v>
      </c>
      <c r="C806" s="1" t="n">
        <v>45565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50990-2022</t>
        </is>
      </c>
      <c r="B807" s="1" t="n">
        <v>44867</v>
      </c>
      <c r="C807" s="1" t="n">
        <v>45565</v>
      </c>
      <c r="D807" t="inlineStr">
        <is>
          <t>KALMAR LÄN</t>
        </is>
      </c>
      <c r="E807" t="inlineStr">
        <is>
          <t>VÄSTERVIK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52289-2022</t>
        </is>
      </c>
      <c r="B808" s="1" t="n">
        <v>44873</v>
      </c>
      <c r="C808" s="1" t="n">
        <v>45565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53108-2022</t>
        </is>
      </c>
      <c r="B809" s="1" t="n">
        <v>44876</v>
      </c>
      <c r="C809" s="1" t="n">
        <v>45565</v>
      </c>
      <c r="D809" t="inlineStr">
        <is>
          <t>KALMAR LÄN</t>
        </is>
      </c>
      <c r="E809" t="inlineStr">
        <is>
          <t>VÄSTERVIK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53333-2022</t>
        </is>
      </c>
      <c r="B810" s="1" t="n">
        <v>44879</v>
      </c>
      <c r="C810" s="1" t="n">
        <v>45565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54190-2022</t>
        </is>
      </c>
      <c r="B811" s="1" t="n">
        <v>44881</v>
      </c>
      <c r="C811" s="1" t="n">
        <v>45565</v>
      </c>
      <c r="D811" t="inlineStr">
        <is>
          <t>KALMAR LÄN</t>
        </is>
      </c>
      <c r="E811" t="inlineStr">
        <is>
          <t>VÄSTERVIK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55382-2022</t>
        </is>
      </c>
      <c r="B812" s="1" t="n">
        <v>44887</v>
      </c>
      <c r="C812" s="1" t="n">
        <v>45565</v>
      </c>
      <c r="D812" t="inlineStr">
        <is>
          <t>KALMAR LÄN</t>
        </is>
      </c>
      <c r="E812" t="inlineStr">
        <is>
          <t>VÄSTERVIK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55828-2022</t>
        </is>
      </c>
      <c r="B813" s="1" t="n">
        <v>44888</v>
      </c>
      <c r="C813" s="1" t="n">
        <v>45565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55922-2022</t>
        </is>
      </c>
      <c r="B814" s="1" t="n">
        <v>44889</v>
      </c>
      <c r="C814" s="1" t="n">
        <v>45565</v>
      </c>
      <c r="D814" t="inlineStr">
        <is>
          <t>KALMAR LÄN</t>
        </is>
      </c>
      <c r="E814" t="inlineStr">
        <is>
          <t>VÄSTERVIK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56610-2022</t>
        </is>
      </c>
      <c r="B815" s="1" t="n">
        <v>44893</v>
      </c>
      <c r="C815" s="1" t="n">
        <v>45565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57023-2022</t>
        </is>
      </c>
      <c r="B816" s="1" t="n">
        <v>44895</v>
      </c>
      <c r="C816" s="1" t="n">
        <v>45565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58927-2022</t>
        </is>
      </c>
      <c r="B817" s="1" t="n">
        <v>44896</v>
      </c>
      <c r="C817" s="1" t="n">
        <v>45565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57997-2022</t>
        </is>
      </c>
      <c r="B818" s="1" t="n">
        <v>44900</v>
      </c>
      <c r="C818" s="1" t="n">
        <v>45565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58217-2022</t>
        </is>
      </c>
      <c r="B819" s="1" t="n">
        <v>44901</v>
      </c>
      <c r="C819" s="1" t="n">
        <v>45565</v>
      </c>
      <c r="D819" t="inlineStr">
        <is>
          <t>KALMAR LÄN</t>
        </is>
      </c>
      <c r="E819" t="inlineStr">
        <is>
          <t>VÄSTERVIK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58216-2022</t>
        </is>
      </c>
      <c r="B820" s="1" t="n">
        <v>44901</v>
      </c>
      <c r="C820" s="1" t="n">
        <v>45565</v>
      </c>
      <c r="D820" t="inlineStr">
        <is>
          <t>KALMAR LÄN</t>
        </is>
      </c>
      <c r="E820" t="inlineStr">
        <is>
          <t>VÄSTERVIK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58209-2022</t>
        </is>
      </c>
      <c r="B821" s="1" t="n">
        <v>44901</v>
      </c>
      <c r="C821" s="1" t="n">
        <v>45565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58214-2022</t>
        </is>
      </c>
      <c r="B822" s="1" t="n">
        <v>44901</v>
      </c>
      <c r="C822" s="1" t="n">
        <v>45565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58707-2022</t>
        </is>
      </c>
      <c r="B823" s="1" t="n">
        <v>44902</v>
      </c>
      <c r="C823" s="1" t="n">
        <v>45565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58826-2022</t>
        </is>
      </c>
      <c r="B824" s="1" t="n">
        <v>44903</v>
      </c>
      <c r="C824" s="1" t="n">
        <v>45565</v>
      </c>
      <c r="D824" t="inlineStr">
        <is>
          <t>KALMAR LÄN</t>
        </is>
      </c>
      <c r="E824" t="inlineStr">
        <is>
          <t>VÄSTERVIK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59212-2022</t>
        </is>
      </c>
      <c r="B825" s="1" t="n">
        <v>44904</v>
      </c>
      <c r="C825" s="1" t="n">
        <v>45565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59227-2022</t>
        </is>
      </c>
      <c r="B826" s="1" t="n">
        <v>44904</v>
      </c>
      <c r="C826" s="1" t="n">
        <v>45565</v>
      </c>
      <c r="D826" t="inlineStr">
        <is>
          <t>KALMAR LÄN</t>
        </is>
      </c>
      <c r="E826" t="inlineStr">
        <is>
          <t>VÄSTERVIK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59210-2022</t>
        </is>
      </c>
      <c r="B827" s="1" t="n">
        <v>44904</v>
      </c>
      <c r="C827" s="1" t="n">
        <v>45565</v>
      </c>
      <c r="D827" t="inlineStr">
        <is>
          <t>KALMAR LÄN</t>
        </is>
      </c>
      <c r="E827" t="inlineStr">
        <is>
          <t>VÄSTERVIK</t>
        </is>
      </c>
      <c r="G827" t="n">
        <v>21.2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59221-2022</t>
        </is>
      </c>
      <c r="B828" s="1" t="n">
        <v>44904</v>
      </c>
      <c r="C828" s="1" t="n">
        <v>45565</v>
      </c>
      <c r="D828" t="inlineStr">
        <is>
          <t>KALMAR LÄN</t>
        </is>
      </c>
      <c r="E828" t="inlineStr">
        <is>
          <t>VÄSTERVIK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59156-2022</t>
        </is>
      </c>
      <c r="B829" s="1" t="n">
        <v>44904</v>
      </c>
      <c r="C829" s="1" t="n">
        <v>45565</v>
      </c>
      <c r="D829" t="inlineStr">
        <is>
          <t>KALMAR LÄN</t>
        </is>
      </c>
      <c r="E829" t="inlineStr">
        <is>
          <t>VÄSTERVIK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59170-2022</t>
        </is>
      </c>
      <c r="B830" s="1" t="n">
        <v>44904</v>
      </c>
      <c r="C830" s="1" t="n">
        <v>45565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59202-2022</t>
        </is>
      </c>
      <c r="B831" s="1" t="n">
        <v>44904</v>
      </c>
      <c r="C831" s="1" t="n">
        <v>45565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59220-2022</t>
        </is>
      </c>
      <c r="B832" s="1" t="n">
        <v>44904</v>
      </c>
      <c r="C832" s="1" t="n">
        <v>45565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59498-2022</t>
        </is>
      </c>
      <c r="B833" s="1" t="n">
        <v>44907</v>
      </c>
      <c r="C833" s="1" t="n">
        <v>45565</v>
      </c>
      <c r="D833" t="inlineStr">
        <is>
          <t>KALMAR LÄN</t>
        </is>
      </c>
      <c r="E833" t="inlineStr">
        <is>
          <t>VÄSTERVIK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59675-2022</t>
        </is>
      </c>
      <c r="B834" s="1" t="n">
        <v>44908</v>
      </c>
      <c r="C834" s="1" t="n">
        <v>45565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59871-2022</t>
        </is>
      </c>
      <c r="B835" s="1" t="n">
        <v>44908</v>
      </c>
      <c r="C835" s="1" t="n">
        <v>45565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60263-2022</t>
        </is>
      </c>
      <c r="B836" s="1" t="n">
        <v>44910</v>
      </c>
      <c r="C836" s="1" t="n">
        <v>45565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60402-2022</t>
        </is>
      </c>
      <c r="B837" s="1" t="n">
        <v>44910</v>
      </c>
      <c r="C837" s="1" t="n">
        <v>45565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60409-2022</t>
        </is>
      </c>
      <c r="B838" s="1" t="n">
        <v>44910</v>
      </c>
      <c r="C838" s="1" t="n">
        <v>45565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61529-2022</t>
        </is>
      </c>
      <c r="B839" s="1" t="n">
        <v>44910</v>
      </c>
      <c r="C839" s="1" t="n">
        <v>45565</v>
      </c>
      <c r="D839" t="inlineStr">
        <is>
          <t>KALMAR LÄN</t>
        </is>
      </c>
      <c r="E839" t="inlineStr">
        <is>
          <t>VÄSTERVIK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60710-2022</t>
        </is>
      </c>
      <c r="B840" s="1" t="n">
        <v>44912</v>
      </c>
      <c r="C840" s="1" t="n">
        <v>45565</v>
      </c>
      <c r="D840" t="inlineStr">
        <is>
          <t>KALMAR LÄN</t>
        </is>
      </c>
      <c r="E840" t="inlineStr">
        <is>
          <t>VÄSTERVIK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60713-2022</t>
        </is>
      </c>
      <c r="B841" s="1" t="n">
        <v>44912</v>
      </c>
      <c r="C841" s="1" t="n">
        <v>45565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60711-2022</t>
        </is>
      </c>
      <c r="B842" s="1" t="n">
        <v>44912</v>
      </c>
      <c r="C842" s="1" t="n">
        <v>45565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61580-2022</t>
        </is>
      </c>
      <c r="B843" s="1" t="n">
        <v>44916</v>
      </c>
      <c r="C843" s="1" t="n">
        <v>45565</v>
      </c>
      <c r="D843" t="inlineStr">
        <is>
          <t>KALMAR LÄN</t>
        </is>
      </c>
      <c r="E843" t="inlineStr">
        <is>
          <t>VÄSTERVIK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61649-2022</t>
        </is>
      </c>
      <c r="B844" s="1" t="n">
        <v>44916</v>
      </c>
      <c r="C844" s="1" t="n">
        <v>45565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62005-2022</t>
        </is>
      </c>
      <c r="B845" s="1" t="n">
        <v>44918</v>
      </c>
      <c r="C845" s="1" t="n">
        <v>45565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62306-2022</t>
        </is>
      </c>
      <c r="B846" s="1" t="n">
        <v>44923</v>
      </c>
      <c r="C846" s="1" t="n">
        <v>45565</v>
      </c>
      <c r="D846" t="inlineStr">
        <is>
          <t>KALMAR LÄN</t>
        </is>
      </c>
      <c r="E846" t="inlineStr">
        <is>
          <t>VÄSTERVIK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62422-2022</t>
        </is>
      </c>
      <c r="B847" s="1" t="n">
        <v>44924</v>
      </c>
      <c r="C847" s="1" t="n">
        <v>45565</v>
      </c>
      <c r="D847" t="inlineStr">
        <is>
          <t>KALMAR LÄN</t>
        </is>
      </c>
      <c r="E847" t="inlineStr">
        <is>
          <t>VÄSTERVIK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65-2023</t>
        </is>
      </c>
      <c r="B848" s="1" t="n">
        <v>44928</v>
      </c>
      <c r="C848" s="1" t="n">
        <v>45565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352-2023</t>
        </is>
      </c>
      <c r="B849" s="1" t="n">
        <v>44929</v>
      </c>
      <c r="C849" s="1" t="n">
        <v>45565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351-2023</t>
        </is>
      </c>
      <c r="B850" s="1" t="n">
        <v>44929</v>
      </c>
      <c r="C850" s="1" t="n">
        <v>45565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562-2023</t>
        </is>
      </c>
      <c r="B851" s="1" t="n">
        <v>44930</v>
      </c>
      <c r="C851" s="1" t="n">
        <v>45565</v>
      </c>
      <c r="D851" t="inlineStr">
        <is>
          <t>KALMAR LÄN</t>
        </is>
      </c>
      <c r="E851" t="inlineStr">
        <is>
          <t>VÄSTERVIK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740-2023</t>
        </is>
      </c>
      <c r="B852" s="1" t="n">
        <v>44931</v>
      </c>
      <c r="C852" s="1" t="n">
        <v>45565</v>
      </c>
      <c r="D852" t="inlineStr">
        <is>
          <t>KALMAR LÄN</t>
        </is>
      </c>
      <c r="E852" t="inlineStr">
        <is>
          <t>VÄSTERVIK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792-2023</t>
        </is>
      </c>
      <c r="B853" s="1" t="n">
        <v>44931</v>
      </c>
      <c r="C853" s="1" t="n">
        <v>45565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808-2023</t>
        </is>
      </c>
      <c r="B854" s="1" t="n">
        <v>44931</v>
      </c>
      <c r="C854" s="1" t="n">
        <v>45565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843-2023</t>
        </is>
      </c>
      <c r="B855" s="1" t="n">
        <v>44931</v>
      </c>
      <c r="C855" s="1" t="n">
        <v>45565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1079-2023</t>
        </is>
      </c>
      <c r="B856" s="1" t="n">
        <v>44935</v>
      </c>
      <c r="C856" s="1" t="n">
        <v>45565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1699-2023</t>
        </is>
      </c>
      <c r="B857" s="1" t="n">
        <v>44935</v>
      </c>
      <c r="C857" s="1" t="n">
        <v>45565</v>
      </c>
      <c r="D857" t="inlineStr">
        <is>
          <t>KALMAR LÄN</t>
        </is>
      </c>
      <c r="E857" t="inlineStr">
        <is>
          <t>VÄSTERVIK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1568-2023</t>
        </is>
      </c>
      <c r="B858" s="1" t="n">
        <v>44937</v>
      </c>
      <c r="C858" s="1" t="n">
        <v>45565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1798-2023</t>
        </is>
      </c>
      <c r="B859" s="1" t="n">
        <v>44938</v>
      </c>
      <c r="C859" s="1" t="n">
        <v>45565</v>
      </c>
      <c r="D859" t="inlineStr">
        <is>
          <t>KALMAR LÄN</t>
        </is>
      </c>
      <c r="E859" t="inlineStr">
        <is>
          <t>VÄSTERVIK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1961-2023</t>
        </is>
      </c>
      <c r="B860" s="1" t="n">
        <v>44939</v>
      </c>
      <c r="C860" s="1" t="n">
        <v>45565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2098-2023</t>
        </is>
      </c>
      <c r="B861" s="1" t="n">
        <v>44939</v>
      </c>
      <c r="C861" s="1" t="n">
        <v>45565</v>
      </c>
      <c r="D861" t="inlineStr">
        <is>
          <t>KALMAR LÄN</t>
        </is>
      </c>
      <c r="E861" t="inlineStr">
        <is>
          <t>VÄSTERVIK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2314-2023</t>
        </is>
      </c>
      <c r="B862" s="1" t="n">
        <v>44942</v>
      </c>
      <c r="C862" s="1" t="n">
        <v>45565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2738-2023</t>
        </is>
      </c>
      <c r="B863" s="1" t="n">
        <v>44944</v>
      </c>
      <c r="C863" s="1" t="n">
        <v>45565</v>
      </c>
      <c r="D863" t="inlineStr">
        <is>
          <t>KALMAR LÄN</t>
        </is>
      </c>
      <c r="E863" t="inlineStr">
        <is>
          <t>VÄSTERVIK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2741-2023</t>
        </is>
      </c>
      <c r="B864" s="1" t="n">
        <v>44944</v>
      </c>
      <c r="C864" s="1" t="n">
        <v>45565</v>
      </c>
      <c r="D864" t="inlineStr">
        <is>
          <t>KALMAR LÄN</t>
        </is>
      </c>
      <c r="E864" t="inlineStr">
        <is>
          <t>VÄSTERVIK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2746-2023</t>
        </is>
      </c>
      <c r="B865" s="1" t="n">
        <v>44944</v>
      </c>
      <c r="C865" s="1" t="n">
        <v>45565</v>
      </c>
      <c r="D865" t="inlineStr">
        <is>
          <t>KALMAR LÄN</t>
        </is>
      </c>
      <c r="E865" t="inlineStr">
        <is>
          <t>VÄSTERVIK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3075-2023</t>
        </is>
      </c>
      <c r="B866" s="1" t="n">
        <v>44946</v>
      </c>
      <c r="C866" s="1" t="n">
        <v>45565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3187-2023</t>
        </is>
      </c>
      <c r="B867" s="1" t="n">
        <v>44946</v>
      </c>
      <c r="C867" s="1" t="n">
        <v>45565</v>
      </c>
      <c r="D867" t="inlineStr">
        <is>
          <t>KALMAR LÄN</t>
        </is>
      </c>
      <c r="E867" t="inlineStr">
        <is>
          <t>VÄSTERVIK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3185-2023</t>
        </is>
      </c>
      <c r="B868" s="1" t="n">
        <v>44946</v>
      </c>
      <c r="C868" s="1" t="n">
        <v>45565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3190-2023</t>
        </is>
      </c>
      <c r="B869" s="1" t="n">
        <v>44946</v>
      </c>
      <c r="C869" s="1" t="n">
        <v>45565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3867-2023</t>
        </is>
      </c>
      <c r="B870" s="1" t="n">
        <v>44951</v>
      </c>
      <c r="C870" s="1" t="n">
        <v>45565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4508-2023</t>
        </is>
      </c>
      <c r="B871" s="1" t="n">
        <v>44956</v>
      </c>
      <c r="C871" s="1" t="n">
        <v>45565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4624-2023</t>
        </is>
      </c>
      <c r="B872" s="1" t="n">
        <v>44956</v>
      </c>
      <c r="C872" s="1" t="n">
        <v>45565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4579-2023</t>
        </is>
      </c>
      <c r="B873" s="1" t="n">
        <v>44956</v>
      </c>
      <c r="C873" s="1" t="n">
        <v>45565</v>
      </c>
      <c r="D873" t="inlineStr">
        <is>
          <t>KALMAR LÄN</t>
        </is>
      </c>
      <c r="E873" t="inlineStr">
        <is>
          <t>VÄSTERVIK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4583-2023</t>
        </is>
      </c>
      <c r="B874" s="1" t="n">
        <v>44956</v>
      </c>
      <c r="C874" s="1" t="n">
        <v>45565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4951-2023</t>
        </is>
      </c>
      <c r="B875" s="1" t="n">
        <v>44958</v>
      </c>
      <c r="C875" s="1" t="n">
        <v>45565</v>
      </c>
      <c r="D875" t="inlineStr">
        <is>
          <t>KALMAR LÄN</t>
        </is>
      </c>
      <c r="E875" t="inlineStr">
        <is>
          <t>VÄSTERVIK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5684-2023</t>
        </is>
      </c>
      <c r="B876" s="1" t="n">
        <v>44960</v>
      </c>
      <c r="C876" s="1" t="n">
        <v>45565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6346-2023</t>
        </is>
      </c>
      <c r="B877" s="1" t="n">
        <v>44960</v>
      </c>
      <c r="C877" s="1" t="n">
        <v>45565</v>
      </c>
      <c r="D877" t="inlineStr">
        <is>
          <t>KALMAR LÄN</t>
        </is>
      </c>
      <c r="E877" t="inlineStr">
        <is>
          <t>VÄSTERVIK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5775-2023</t>
        </is>
      </c>
      <c r="B878" s="1" t="n">
        <v>44963</v>
      </c>
      <c r="C878" s="1" t="n">
        <v>45565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5769-2023</t>
        </is>
      </c>
      <c r="B879" s="1" t="n">
        <v>44963</v>
      </c>
      <c r="C879" s="1" t="n">
        <v>45565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5774-2023</t>
        </is>
      </c>
      <c r="B880" s="1" t="n">
        <v>44963</v>
      </c>
      <c r="C880" s="1" t="n">
        <v>45565</v>
      </c>
      <c r="D880" t="inlineStr">
        <is>
          <t>KALMAR LÄN</t>
        </is>
      </c>
      <c r="E880" t="inlineStr">
        <is>
          <t>VÄSTERVIK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6042-2023</t>
        </is>
      </c>
      <c r="B881" s="1" t="n">
        <v>44964</v>
      </c>
      <c r="C881" s="1" t="n">
        <v>45565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5982-2023</t>
        </is>
      </c>
      <c r="B882" s="1" t="n">
        <v>44964</v>
      </c>
      <c r="C882" s="1" t="n">
        <v>45565</v>
      </c>
      <c r="D882" t="inlineStr">
        <is>
          <t>KALMAR LÄN</t>
        </is>
      </c>
      <c r="E882" t="inlineStr">
        <is>
          <t>VÄSTERVIK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6126-2023</t>
        </is>
      </c>
      <c r="B883" s="1" t="n">
        <v>44964</v>
      </c>
      <c r="C883" s="1" t="n">
        <v>45565</v>
      </c>
      <c r="D883" t="inlineStr">
        <is>
          <t>KALMAR LÄN</t>
        </is>
      </c>
      <c r="E883" t="inlineStr">
        <is>
          <t>VÄSTERVIK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6319-2023</t>
        </is>
      </c>
      <c r="B884" s="1" t="n">
        <v>44965</v>
      </c>
      <c r="C884" s="1" t="n">
        <v>45565</v>
      </c>
      <c r="D884" t="inlineStr">
        <is>
          <t>KALMAR LÄN</t>
        </is>
      </c>
      <c r="E884" t="inlineStr">
        <is>
          <t>VÄSTERVIK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7126-2023</t>
        </is>
      </c>
      <c r="B885" s="1" t="n">
        <v>44970</v>
      </c>
      <c r="C885" s="1" t="n">
        <v>45565</v>
      </c>
      <c r="D885" t="inlineStr">
        <is>
          <t>KALMAR LÄN</t>
        </is>
      </c>
      <c r="E885" t="inlineStr">
        <is>
          <t>VÄSTERVIK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7080-2023</t>
        </is>
      </c>
      <c r="B886" s="1" t="n">
        <v>44970</v>
      </c>
      <c r="C886" s="1" t="n">
        <v>45565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7098-2023</t>
        </is>
      </c>
      <c r="B887" s="1" t="n">
        <v>44970</v>
      </c>
      <c r="C887" s="1" t="n">
        <v>45565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7255-2023</t>
        </is>
      </c>
      <c r="B888" s="1" t="n">
        <v>44970</v>
      </c>
      <c r="C888" s="1" t="n">
        <v>45565</v>
      </c>
      <c r="D888" t="inlineStr">
        <is>
          <t>KALMAR LÄN</t>
        </is>
      </c>
      <c r="E888" t="inlineStr">
        <is>
          <t>VÄSTERVIK</t>
        </is>
      </c>
      <c r="F888" t="inlineStr">
        <is>
          <t>Naturvårdsverket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HYPERLINK("https://klasma.github.io/Logging_0883/knärot/A 7255-2023 karta knärot.png", "A 7255-2023")</f>
        <v/>
      </c>
      <c r="V888">
        <f>HYPERLINK("https://klasma.github.io/Logging_0883/klagomål/A 7255-2023 FSC-klagomål.docx", "A 7255-2023")</f>
        <v/>
      </c>
      <c r="W888">
        <f>HYPERLINK("https://klasma.github.io/Logging_0883/klagomålsmail/A 7255-2023 FSC-klagomål mail.docx", "A 7255-2023")</f>
        <v/>
      </c>
      <c r="X888">
        <f>HYPERLINK("https://klasma.github.io/Logging_0883/tillsyn/A 7255-2023 tillsynsbegäran.docx", "A 7255-2023")</f>
        <v/>
      </c>
      <c r="Y888">
        <f>HYPERLINK("https://klasma.github.io/Logging_0883/tillsynsmail/A 7255-2023 tillsynsbegäran mail.docx", "A 7255-2023")</f>
        <v/>
      </c>
    </row>
    <row r="889" ht="15" customHeight="1">
      <c r="A889" t="inlineStr">
        <is>
          <t>A 7100-2023</t>
        </is>
      </c>
      <c r="B889" s="1" t="n">
        <v>44970</v>
      </c>
      <c r="C889" s="1" t="n">
        <v>45565</v>
      </c>
      <c r="D889" t="inlineStr">
        <is>
          <t>KALMAR LÄN</t>
        </is>
      </c>
      <c r="E889" t="inlineStr">
        <is>
          <t>VÄSTERVIK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7360-2023</t>
        </is>
      </c>
      <c r="B890" s="1" t="n">
        <v>44971</v>
      </c>
      <c r="C890" s="1" t="n">
        <v>45565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7779-2023</t>
        </is>
      </c>
      <c r="B891" s="1" t="n">
        <v>44973</v>
      </c>
      <c r="C891" s="1" t="n">
        <v>45565</v>
      </c>
      <c r="D891" t="inlineStr">
        <is>
          <t>KALMAR LÄN</t>
        </is>
      </c>
      <c r="E891" t="inlineStr">
        <is>
          <t>VÄSTERVIK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8005-2023</t>
        </is>
      </c>
      <c r="B892" s="1" t="n">
        <v>44973</v>
      </c>
      <c r="C892" s="1" t="n">
        <v>45565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7925-2023</t>
        </is>
      </c>
      <c r="B893" s="1" t="n">
        <v>44973</v>
      </c>
      <c r="C893" s="1" t="n">
        <v>45565</v>
      </c>
      <c r="D893" t="inlineStr">
        <is>
          <t>KALMAR LÄN</t>
        </is>
      </c>
      <c r="E893" t="inlineStr">
        <is>
          <t>VÄSTERVIK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7934-2023</t>
        </is>
      </c>
      <c r="B894" s="1" t="n">
        <v>44973</v>
      </c>
      <c r="C894" s="1" t="n">
        <v>45565</v>
      </c>
      <c r="D894" t="inlineStr">
        <is>
          <t>KALMAR LÄN</t>
        </is>
      </c>
      <c r="E894" t="inlineStr">
        <is>
          <t>VÄSTERVIK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7938-2023</t>
        </is>
      </c>
      <c r="B895" s="1" t="n">
        <v>44973</v>
      </c>
      <c r="C895" s="1" t="n">
        <v>45565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8014-2023</t>
        </is>
      </c>
      <c r="B896" s="1" t="n">
        <v>44973</v>
      </c>
      <c r="C896" s="1" t="n">
        <v>45565</v>
      </c>
      <c r="D896" t="inlineStr">
        <is>
          <t>KALMAR LÄN</t>
        </is>
      </c>
      <c r="E896" t="inlineStr">
        <is>
          <t>VÄSTERVIK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8007-2023</t>
        </is>
      </c>
      <c r="B897" s="1" t="n">
        <v>44973</v>
      </c>
      <c r="C897" s="1" t="n">
        <v>45565</v>
      </c>
      <c r="D897" t="inlineStr">
        <is>
          <t>KALMAR LÄN</t>
        </is>
      </c>
      <c r="E897" t="inlineStr">
        <is>
          <t>VÄSTERVIK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8283-2023</t>
        </is>
      </c>
      <c r="B898" s="1" t="n">
        <v>44974</v>
      </c>
      <c r="C898" s="1" t="n">
        <v>45565</v>
      </c>
      <c r="D898" t="inlineStr">
        <is>
          <t>KALMAR LÄN</t>
        </is>
      </c>
      <c r="E898" t="inlineStr">
        <is>
          <t>VÄSTERVIK</t>
        </is>
      </c>
      <c r="F898" t="inlineStr">
        <is>
          <t>Kyrkan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8289-2023</t>
        </is>
      </c>
      <c r="B899" s="1" t="n">
        <v>44974</v>
      </c>
      <c r="C899" s="1" t="n">
        <v>45565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8456-2023</t>
        </is>
      </c>
      <c r="B900" s="1" t="n">
        <v>44977</v>
      </c>
      <c r="C900" s="1" t="n">
        <v>45565</v>
      </c>
      <c r="D900" t="inlineStr">
        <is>
          <t>KALMAR LÄN</t>
        </is>
      </c>
      <c r="E900" t="inlineStr">
        <is>
          <t>VÄSTERVIK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8382-2023</t>
        </is>
      </c>
      <c r="B901" s="1" t="n">
        <v>44977</v>
      </c>
      <c r="C901" s="1" t="n">
        <v>45565</v>
      </c>
      <c r="D901" t="inlineStr">
        <is>
          <t>KALMAR LÄN</t>
        </is>
      </c>
      <c r="E901" t="inlineStr">
        <is>
          <t>VÄSTERVIK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8440-2023</t>
        </is>
      </c>
      <c r="B902" s="1" t="n">
        <v>44977</v>
      </c>
      <c r="C902" s="1" t="n">
        <v>45565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8593-2023</t>
        </is>
      </c>
      <c r="B903" s="1" t="n">
        <v>44977</v>
      </c>
      <c r="C903" s="1" t="n">
        <v>45565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8597-2023</t>
        </is>
      </c>
      <c r="B904" s="1" t="n">
        <v>44977</v>
      </c>
      <c r="C904" s="1" t="n">
        <v>45565</v>
      </c>
      <c r="D904" t="inlineStr">
        <is>
          <t>KALMAR LÄN</t>
        </is>
      </c>
      <c r="E904" t="inlineStr">
        <is>
          <t>VÄSTERVIK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8594-2023</t>
        </is>
      </c>
      <c r="B905" s="1" t="n">
        <v>44977</v>
      </c>
      <c r="C905" s="1" t="n">
        <v>45565</v>
      </c>
      <c r="D905" t="inlineStr">
        <is>
          <t>KALMAR LÄN</t>
        </is>
      </c>
      <c r="E905" t="inlineStr">
        <is>
          <t>VÄSTERVIK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8513-2023</t>
        </is>
      </c>
      <c r="B906" s="1" t="n">
        <v>44977</v>
      </c>
      <c r="C906" s="1" t="n">
        <v>45565</v>
      </c>
      <c r="D906" t="inlineStr">
        <is>
          <t>KALMAR LÄN</t>
        </is>
      </c>
      <c r="E906" t="inlineStr">
        <is>
          <t>VÄSTERVIK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8561-2023</t>
        </is>
      </c>
      <c r="B907" s="1" t="n">
        <v>44977</v>
      </c>
      <c r="C907" s="1" t="n">
        <v>45565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8896-2023</t>
        </is>
      </c>
      <c r="B908" s="1" t="n">
        <v>44979</v>
      </c>
      <c r="C908" s="1" t="n">
        <v>45565</v>
      </c>
      <c r="D908" t="inlineStr">
        <is>
          <t>KALMAR LÄN</t>
        </is>
      </c>
      <c r="E908" t="inlineStr">
        <is>
          <t>VÄSTERVIK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9037-2023</t>
        </is>
      </c>
      <c r="B909" s="1" t="n">
        <v>44979</v>
      </c>
      <c r="C909" s="1" t="n">
        <v>45565</v>
      </c>
      <c r="D909" t="inlineStr">
        <is>
          <t>KALMAR LÄN</t>
        </is>
      </c>
      <c r="E909" t="inlineStr">
        <is>
          <t>VÄSTERVIK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9111-2023</t>
        </is>
      </c>
      <c r="B910" s="1" t="n">
        <v>44980</v>
      </c>
      <c r="C910" s="1" t="n">
        <v>45565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9042-2023</t>
        </is>
      </c>
      <c r="B911" s="1" t="n">
        <v>44979</v>
      </c>
      <c r="C911" s="1" t="n">
        <v>45565</v>
      </c>
      <c r="D911" t="inlineStr">
        <is>
          <t>KALMAR LÄN</t>
        </is>
      </c>
      <c r="E911" t="inlineStr">
        <is>
          <t>VÄSTERVIK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9112-2023</t>
        </is>
      </c>
      <c r="B912" s="1" t="n">
        <v>44979</v>
      </c>
      <c r="C912" s="1" t="n">
        <v>45565</v>
      </c>
      <c r="D912" t="inlineStr">
        <is>
          <t>KALMAR LÄN</t>
        </is>
      </c>
      <c r="E912" t="inlineStr">
        <is>
          <t>VÄSTERVIK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9110-2023</t>
        </is>
      </c>
      <c r="B913" s="1" t="n">
        <v>44979</v>
      </c>
      <c r="C913" s="1" t="n">
        <v>45565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9223-2023</t>
        </is>
      </c>
      <c r="B914" s="1" t="n">
        <v>44980</v>
      </c>
      <c r="C914" s="1" t="n">
        <v>45565</v>
      </c>
      <c r="D914" t="inlineStr">
        <is>
          <t>KALMAR LÄN</t>
        </is>
      </c>
      <c r="E914" t="inlineStr">
        <is>
          <t>VÄSTERVIK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9222-2023</t>
        </is>
      </c>
      <c r="B915" s="1" t="n">
        <v>44980</v>
      </c>
      <c r="C915" s="1" t="n">
        <v>45565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9220-2023</t>
        </is>
      </c>
      <c r="B916" s="1" t="n">
        <v>44980</v>
      </c>
      <c r="C916" s="1" t="n">
        <v>45565</v>
      </c>
      <c r="D916" t="inlineStr">
        <is>
          <t>KALMAR LÄN</t>
        </is>
      </c>
      <c r="E916" t="inlineStr">
        <is>
          <t>VÄSTERVIK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9631-2023</t>
        </is>
      </c>
      <c r="B917" s="1" t="n">
        <v>44984</v>
      </c>
      <c r="C917" s="1" t="n">
        <v>45565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9771-2023</t>
        </is>
      </c>
      <c r="B918" s="1" t="n">
        <v>44984</v>
      </c>
      <c r="C918" s="1" t="n">
        <v>45565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9770-2023</t>
        </is>
      </c>
      <c r="B919" s="1" t="n">
        <v>44984</v>
      </c>
      <c r="C919" s="1" t="n">
        <v>45565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9792-2023</t>
        </is>
      </c>
      <c r="B920" s="1" t="n">
        <v>44984</v>
      </c>
      <c r="C920" s="1" t="n">
        <v>45565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10419-2023</t>
        </is>
      </c>
      <c r="B921" s="1" t="n">
        <v>44987</v>
      </c>
      <c r="C921" s="1" t="n">
        <v>45565</v>
      </c>
      <c r="D921" t="inlineStr">
        <is>
          <t>KALMAR LÄN</t>
        </is>
      </c>
      <c r="E921" t="inlineStr">
        <is>
          <t>VÄSTERVIK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10421-2023</t>
        </is>
      </c>
      <c r="B922" s="1" t="n">
        <v>44987</v>
      </c>
      <c r="C922" s="1" t="n">
        <v>45565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10665-2023</t>
        </is>
      </c>
      <c r="B923" s="1" t="n">
        <v>44988</v>
      </c>
      <c r="C923" s="1" t="n">
        <v>45565</v>
      </c>
      <c r="D923" t="inlineStr">
        <is>
          <t>KALMAR LÄN</t>
        </is>
      </c>
      <c r="E923" t="inlineStr">
        <is>
          <t>VÄSTERVIK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10725-2023</t>
        </is>
      </c>
      <c r="B924" s="1" t="n">
        <v>44988</v>
      </c>
      <c r="C924" s="1" t="n">
        <v>45565</v>
      </c>
      <c r="D924" t="inlineStr">
        <is>
          <t>KALMAR LÄN</t>
        </is>
      </c>
      <c r="E924" t="inlineStr">
        <is>
          <t>VÄSTERVIK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10807-2023</t>
        </is>
      </c>
      <c r="B925" s="1" t="n">
        <v>44989</v>
      </c>
      <c r="C925" s="1" t="n">
        <v>45565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10801-2023</t>
        </is>
      </c>
      <c r="B926" s="1" t="n">
        <v>44989</v>
      </c>
      <c r="C926" s="1" t="n">
        <v>45565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11210-2023</t>
        </is>
      </c>
      <c r="B927" s="1" t="n">
        <v>44992</v>
      </c>
      <c r="C927" s="1" t="n">
        <v>45565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11276-2023</t>
        </is>
      </c>
      <c r="B928" s="1" t="n">
        <v>44992</v>
      </c>
      <c r="C928" s="1" t="n">
        <v>45565</v>
      </c>
      <c r="D928" t="inlineStr">
        <is>
          <t>KALMAR LÄN</t>
        </is>
      </c>
      <c r="E928" t="inlineStr">
        <is>
          <t>VÄSTERVIK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11577-2023</t>
        </is>
      </c>
      <c r="B929" s="1" t="n">
        <v>44994</v>
      </c>
      <c r="C929" s="1" t="n">
        <v>45565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11583-2023</t>
        </is>
      </c>
      <c r="B930" s="1" t="n">
        <v>44994</v>
      </c>
      <c r="C930" s="1" t="n">
        <v>45565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11579-2023</t>
        </is>
      </c>
      <c r="B931" s="1" t="n">
        <v>44994</v>
      </c>
      <c r="C931" s="1" t="n">
        <v>45565</v>
      </c>
      <c r="D931" t="inlineStr">
        <is>
          <t>KALMAR LÄN</t>
        </is>
      </c>
      <c r="E931" t="inlineStr">
        <is>
          <t>VÄSTERVIK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11584-2023</t>
        </is>
      </c>
      <c r="B932" s="1" t="n">
        <v>44994</v>
      </c>
      <c r="C932" s="1" t="n">
        <v>45565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11586-2023</t>
        </is>
      </c>
      <c r="B933" s="1" t="n">
        <v>44994</v>
      </c>
      <c r="C933" s="1" t="n">
        <v>45565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11804-2023</t>
        </is>
      </c>
      <c r="B934" s="1" t="n">
        <v>44994</v>
      </c>
      <c r="C934" s="1" t="n">
        <v>45565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11727-2023</t>
        </is>
      </c>
      <c r="B935" s="1" t="n">
        <v>44994</v>
      </c>
      <c r="C935" s="1" t="n">
        <v>45565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11741-2023</t>
        </is>
      </c>
      <c r="B936" s="1" t="n">
        <v>44994</v>
      </c>
      <c r="C936" s="1" t="n">
        <v>45565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11730-2023</t>
        </is>
      </c>
      <c r="B937" s="1" t="n">
        <v>44994</v>
      </c>
      <c r="C937" s="1" t="n">
        <v>45565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12504-2023</t>
        </is>
      </c>
      <c r="B938" s="1" t="n">
        <v>44999</v>
      </c>
      <c r="C938" s="1" t="n">
        <v>45565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12595-2023</t>
        </is>
      </c>
      <c r="B939" s="1" t="n">
        <v>45000</v>
      </c>
      <c r="C939" s="1" t="n">
        <v>45565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13275-2023</t>
        </is>
      </c>
      <c r="B940" s="1" t="n">
        <v>45003</v>
      </c>
      <c r="C940" s="1" t="n">
        <v>45565</v>
      </c>
      <c r="D940" t="inlineStr">
        <is>
          <t>KALMAR LÄN</t>
        </is>
      </c>
      <c r="E940" t="inlineStr">
        <is>
          <t>VÄSTERVIK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HYPERLINK("https://klasma.github.io/Logging_0883/knärot/A 13275-2023 karta knärot.png", "A 13275-2023")</f>
        <v/>
      </c>
      <c r="V940">
        <f>HYPERLINK("https://klasma.github.io/Logging_0883/klagomål/A 13275-2023 FSC-klagomål.docx", "A 13275-2023")</f>
        <v/>
      </c>
      <c r="W940">
        <f>HYPERLINK("https://klasma.github.io/Logging_0883/klagomålsmail/A 13275-2023 FSC-klagomål mail.docx", "A 13275-2023")</f>
        <v/>
      </c>
      <c r="X940">
        <f>HYPERLINK("https://klasma.github.io/Logging_0883/tillsyn/A 13275-2023 tillsynsbegäran.docx", "A 13275-2023")</f>
        <v/>
      </c>
      <c r="Y940">
        <f>HYPERLINK("https://klasma.github.io/Logging_0883/tillsynsmail/A 13275-2023 tillsynsbegäran mail.docx", "A 13275-2023")</f>
        <v/>
      </c>
    </row>
    <row r="941" ht="15" customHeight="1">
      <c r="A941" t="inlineStr">
        <is>
          <t>A 13761-2023</t>
        </is>
      </c>
      <c r="B941" s="1" t="n">
        <v>45007</v>
      </c>
      <c r="C941" s="1" t="n">
        <v>45565</v>
      </c>
      <c r="D941" t="inlineStr">
        <is>
          <t>KALMAR LÄN</t>
        </is>
      </c>
      <c r="E941" t="inlineStr">
        <is>
          <t>VÄSTERVIK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13770-2023</t>
        </is>
      </c>
      <c r="B942" s="1" t="n">
        <v>45007</v>
      </c>
      <c r="C942" s="1" t="n">
        <v>45565</v>
      </c>
      <c r="D942" t="inlineStr">
        <is>
          <t>KALMAR LÄN</t>
        </is>
      </c>
      <c r="E942" t="inlineStr">
        <is>
          <t>VÄSTERVIK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13841-2023</t>
        </is>
      </c>
      <c r="B943" s="1" t="n">
        <v>45007</v>
      </c>
      <c r="C943" s="1" t="n">
        <v>45565</v>
      </c>
      <c r="D943" t="inlineStr">
        <is>
          <t>KALMAR LÄN</t>
        </is>
      </c>
      <c r="E943" t="inlineStr">
        <is>
          <t>VÄSTERVIK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13838-2023</t>
        </is>
      </c>
      <c r="B944" s="1" t="n">
        <v>45007</v>
      </c>
      <c r="C944" s="1" t="n">
        <v>45565</v>
      </c>
      <c r="D944" t="inlineStr">
        <is>
          <t>KALMAR LÄN</t>
        </is>
      </c>
      <c r="E944" t="inlineStr">
        <is>
          <t>VÄSTERVIK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13995-2023</t>
        </is>
      </c>
      <c r="B945" s="1" t="n">
        <v>45008</v>
      </c>
      <c r="C945" s="1" t="n">
        <v>45565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14388-2023</t>
        </is>
      </c>
      <c r="B946" s="1" t="n">
        <v>45012</v>
      </c>
      <c r="C946" s="1" t="n">
        <v>45565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14387-2023</t>
        </is>
      </c>
      <c r="B947" s="1" t="n">
        <v>45012</v>
      </c>
      <c r="C947" s="1" t="n">
        <v>45565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14385-2023</t>
        </is>
      </c>
      <c r="B948" s="1" t="n">
        <v>45012</v>
      </c>
      <c r="C948" s="1" t="n">
        <v>45565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15099-2023</t>
        </is>
      </c>
      <c r="B949" s="1" t="n">
        <v>45016</v>
      </c>
      <c r="C949" s="1" t="n">
        <v>45565</v>
      </c>
      <c r="D949" t="inlineStr">
        <is>
          <t>KALMAR LÄN</t>
        </is>
      </c>
      <c r="E949" t="inlineStr">
        <is>
          <t>VÄSTERVIK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15106-2023</t>
        </is>
      </c>
      <c r="B950" s="1" t="n">
        <v>45016</v>
      </c>
      <c r="C950" s="1" t="n">
        <v>45565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15097-2023</t>
        </is>
      </c>
      <c r="B951" s="1" t="n">
        <v>45016</v>
      </c>
      <c r="C951" s="1" t="n">
        <v>45565</v>
      </c>
      <c r="D951" t="inlineStr">
        <is>
          <t>KALMAR LÄN</t>
        </is>
      </c>
      <c r="E951" t="inlineStr">
        <is>
          <t>VÄSTERVIK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15103-2023</t>
        </is>
      </c>
      <c r="B952" s="1" t="n">
        <v>45016</v>
      </c>
      <c r="C952" s="1" t="n">
        <v>45565</v>
      </c>
      <c r="D952" t="inlineStr">
        <is>
          <t>KALMAR LÄN</t>
        </is>
      </c>
      <c r="E952" t="inlineStr">
        <is>
          <t>VÄSTERVIK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15270-2023</t>
        </is>
      </c>
      <c r="B953" s="1" t="n">
        <v>45019</v>
      </c>
      <c r="C953" s="1" t="n">
        <v>45565</v>
      </c>
      <c r="D953" t="inlineStr">
        <is>
          <t>KALMAR LÄN</t>
        </is>
      </c>
      <c r="E953" t="inlineStr">
        <is>
          <t>VÄSTERVIK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15438-2023</t>
        </is>
      </c>
      <c r="B954" s="1" t="n">
        <v>45020</v>
      </c>
      <c r="C954" s="1" t="n">
        <v>45565</v>
      </c>
      <c r="D954" t="inlineStr">
        <is>
          <t>KALMAR LÄN</t>
        </is>
      </c>
      <c r="E954" t="inlineStr">
        <is>
          <t>VÄSTERVIK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15761-2023</t>
        </is>
      </c>
      <c r="B955" s="1" t="n">
        <v>45021</v>
      </c>
      <c r="C955" s="1" t="n">
        <v>45565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15765-2023</t>
        </is>
      </c>
      <c r="B956" s="1" t="n">
        <v>45021</v>
      </c>
      <c r="C956" s="1" t="n">
        <v>45565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15875-2023</t>
        </is>
      </c>
      <c r="B957" s="1" t="n">
        <v>45022</v>
      </c>
      <c r="C957" s="1" t="n">
        <v>45565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16485-2023</t>
        </is>
      </c>
      <c r="B958" s="1" t="n">
        <v>45029</v>
      </c>
      <c r="C958" s="1" t="n">
        <v>45565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16506-2023</t>
        </is>
      </c>
      <c r="B959" s="1" t="n">
        <v>45029</v>
      </c>
      <c r="C959" s="1" t="n">
        <v>45565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16507-2023</t>
        </is>
      </c>
      <c r="B960" s="1" t="n">
        <v>45029</v>
      </c>
      <c r="C960" s="1" t="n">
        <v>45565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16617-2023</t>
        </is>
      </c>
      <c r="B961" s="1" t="n">
        <v>45030</v>
      </c>
      <c r="C961" s="1" t="n">
        <v>45565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16834-2023</t>
        </is>
      </c>
      <c r="B962" s="1" t="n">
        <v>45033</v>
      </c>
      <c r="C962" s="1" t="n">
        <v>45565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16819-2023</t>
        </is>
      </c>
      <c r="B963" s="1" t="n">
        <v>45033</v>
      </c>
      <c r="C963" s="1" t="n">
        <v>45565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17307-2023</t>
        </is>
      </c>
      <c r="B964" s="1" t="n">
        <v>45035</v>
      </c>
      <c r="C964" s="1" t="n">
        <v>45565</v>
      </c>
      <c r="D964" t="inlineStr">
        <is>
          <t>KALMAR LÄN</t>
        </is>
      </c>
      <c r="E964" t="inlineStr">
        <is>
          <t>VÄSTERVIK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17314-2023</t>
        </is>
      </c>
      <c r="B965" s="1" t="n">
        <v>45035</v>
      </c>
      <c r="C965" s="1" t="n">
        <v>45565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17315-2023</t>
        </is>
      </c>
      <c r="B966" s="1" t="n">
        <v>45035</v>
      </c>
      <c r="C966" s="1" t="n">
        <v>45565</v>
      </c>
      <c r="D966" t="inlineStr">
        <is>
          <t>KALMAR LÄN</t>
        </is>
      </c>
      <c r="E966" t="inlineStr">
        <is>
          <t>VÄSTERVIK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17306-2023</t>
        </is>
      </c>
      <c r="B967" s="1" t="n">
        <v>45035</v>
      </c>
      <c r="C967" s="1" t="n">
        <v>45565</v>
      </c>
      <c r="D967" t="inlineStr">
        <is>
          <t>KALMAR LÄN</t>
        </is>
      </c>
      <c r="E967" t="inlineStr">
        <is>
          <t>VÄSTERVIK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17313-2023</t>
        </is>
      </c>
      <c r="B968" s="1" t="n">
        <v>45035</v>
      </c>
      <c r="C968" s="1" t="n">
        <v>45565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17317-2023</t>
        </is>
      </c>
      <c r="B969" s="1" t="n">
        <v>45035</v>
      </c>
      <c r="C969" s="1" t="n">
        <v>45565</v>
      </c>
      <c r="D969" t="inlineStr">
        <is>
          <t>KALMAR LÄN</t>
        </is>
      </c>
      <c r="E969" t="inlineStr">
        <is>
          <t>VÄSTERVIK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17317-2023 karta knärot.png", "A 17317-2023")</f>
        <v/>
      </c>
      <c r="V969">
        <f>HYPERLINK("https://klasma.github.io/Logging_0883/klagomål/A 17317-2023 FSC-klagomål.docx", "A 17317-2023")</f>
        <v/>
      </c>
      <c r="W969">
        <f>HYPERLINK("https://klasma.github.io/Logging_0883/klagomålsmail/A 17317-2023 FSC-klagomål mail.docx", "A 17317-2023")</f>
        <v/>
      </c>
      <c r="X969">
        <f>HYPERLINK("https://klasma.github.io/Logging_0883/tillsyn/A 17317-2023 tillsynsbegäran.docx", "A 17317-2023")</f>
        <v/>
      </c>
      <c r="Y969">
        <f>HYPERLINK("https://klasma.github.io/Logging_0883/tillsynsmail/A 17317-2023 tillsynsbegäran mail.docx", "A 17317-2023")</f>
        <v/>
      </c>
    </row>
    <row r="970" ht="15" customHeight="1">
      <c r="A970" t="inlineStr">
        <is>
          <t>A 17467-2023</t>
        </is>
      </c>
      <c r="B970" s="1" t="n">
        <v>45036</v>
      </c>
      <c r="C970" s="1" t="n">
        <v>45565</v>
      </c>
      <c r="D970" t="inlineStr">
        <is>
          <t>KALMAR LÄN</t>
        </is>
      </c>
      <c r="E970" t="inlineStr">
        <is>
          <t>VÄSTERVIK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17642-2023</t>
        </is>
      </c>
      <c r="B971" s="1" t="n">
        <v>45036</v>
      </c>
      <c r="C971" s="1" t="n">
        <v>45565</v>
      </c>
      <c r="D971" t="inlineStr">
        <is>
          <t>KALMAR LÄN</t>
        </is>
      </c>
      <c r="E971" t="inlineStr">
        <is>
          <t>VÄSTERVIK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17644-2023</t>
        </is>
      </c>
      <c r="B972" s="1" t="n">
        <v>45036</v>
      </c>
      <c r="C972" s="1" t="n">
        <v>45565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17650-2023</t>
        </is>
      </c>
      <c r="B973" s="1" t="n">
        <v>45036</v>
      </c>
      <c r="C973" s="1" t="n">
        <v>45565</v>
      </c>
      <c r="D973" t="inlineStr">
        <is>
          <t>KALMAR LÄN</t>
        </is>
      </c>
      <c r="E973" t="inlineStr">
        <is>
          <t>VÄSTERVIK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17645-2023</t>
        </is>
      </c>
      <c r="B974" s="1" t="n">
        <v>45036</v>
      </c>
      <c r="C974" s="1" t="n">
        <v>45565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17652-2023</t>
        </is>
      </c>
      <c r="B975" s="1" t="n">
        <v>45036</v>
      </c>
      <c r="C975" s="1" t="n">
        <v>45565</v>
      </c>
      <c r="D975" t="inlineStr">
        <is>
          <t>KALMAR LÄN</t>
        </is>
      </c>
      <c r="E975" t="inlineStr">
        <is>
          <t>VÄSTERVIK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17643-2023</t>
        </is>
      </c>
      <c r="B976" s="1" t="n">
        <v>45036</v>
      </c>
      <c r="C976" s="1" t="n">
        <v>45565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17648-2023</t>
        </is>
      </c>
      <c r="B977" s="1" t="n">
        <v>45036</v>
      </c>
      <c r="C977" s="1" t="n">
        <v>45565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18051-2023</t>
        </is>
      </c>
      <c r="B978" s="1" t="n">
        <v>45040</v>
      </c>
      <c r="C978" s="1" t="n">
        <v>45565</v>
      </c>
      <c r="D978" t="inlineStr">
        <is>
          <t>KALMAR LÄN</t>
        </is>
      </c>
      <c r="E978" t="inlineStr">
        <is>
          <t>VÄSTERVIK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18071-2023</t>
        </is>
      </c>
      <c r="B979" s="1" t="n">
        <v>45040</v>
      </c>
      <c r="C979" s="1" t="n">
        <v>45565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18068-2023</t>
        </is>
      </c>
      <c r="B980" s="1" t="n">
        <v>45040</v>
      </c>
      <c r="C980" s="1" t="n">
        <v>45565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18079-2023</t>
        </is>
      </c>
      <c r="B981" s="1" t="n">
        <v>45040</v>
      </c>
      <c r="C981" s="1" t="n">
        <v>45565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18048-2023</t>
        </is>
      </c>
      <c r="B982" s="1" t="n">
        <v>45040</v>
      </c>
      <c r="C982" s="1" t="n">
        <v>45565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18081-2023</t>
        </is>
      </c>
      <c r="B983" s="1" t="n">
        <v>45040</v>
      </c>
      <c r="C983" s="1" t="n">
        <v>45565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18858-2023</t>
        </is>
      </c>
      <c r="B984" s="1" t="n">
        <v>45044</v>
      </c>
      <c r="C984" s="1" t="n">
        <v>45565</v>
      </c>
      <c r="D984" t="inlineStr">
        <is>
          <t>KALMAR LÄN</t>
        </is>
      </c>
      <c r="E984" t="inlineStr">
        <is>
          <t>VÄSTERVIK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18859-2023</t>
        </is>
      </c>
      <c r="B985" s="1" t="n">
        <v>45044</v>
      </c>
      <c r="C985" s="1" t="n">
        <v>45565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18960-2023</t>
        </is>
      </c>
      <c r="B986" s="1" t="n">
        <v>45044</v>
      </c>
      <c r="C986" s="1" t="n">
        <v>45565</v>
      </c>
      <c r="D986" t="inlineStr">
        <is>
          <t>KALMAR LÄN</t>
        </is>
      </c>
      <c r="E986" t="inlineStr">
        <is>
          <t>VÄSTERVIK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19110-2023</t>
        </is>
      </c>
      <c r="B987" s="1" t="n">
        <v>45048</v>
      </c>
      <c r="C987" s="1" t="n">
        <v>45565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19212-2023</t>
        </is>
      </c>
      <c r="B988" s="1" t="n">
        <v>45048</v>
      </c>
      <c r="C988" s="1" t="n">
        <v>45565</v>
      </c>
      <c r="D988" t="inlineStr">
        <is>
          <t>KALMAR LÄN</t>
        </is>
      </c>
      <c r="E988" t="inlineStr">
        <is>
          <t>VÄSTERVIK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19365-2023</t>
        </is>
      </c>
      <c r="B989" s="1" t="n">
        <v>45049</v>
      </c>
      <c r="C989" s="1" t="n">
        <v>45565</v>
      </c>
      <c r="D989" t="inlineStr">
        <is>
          <t>KALMAR LÄN</t>
        </is>
      </c>
      <c r="E989" t="inlineStr">
        <is>
          <t>VÄSTERVIK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19365-2023 karta knärot.png", "A 19365-2023")</f>
        <v/>
      </c>
      <c r="V989">
        <f>HYPERLINK("https://klasma.github.io/Logging_0883/klagomål/A 19365-2023 FSC-klagomål.docx", "A 19365-2023")</f>
        <v/>
      </c>
      <c r="W989">
        <f>HYPERLINK("https://klasma.github.io/Logging_0883/klagomålsmail/A 19365-2023 FSC-klagomål mail.docx", "A 19365-2023")</f>
        <v/>
      </c>
      <c r="X989">
        <f>HYPERLINK("https://klasma.github.io/Logging_0883/tillsyn/A 19365-2023 tillsynsbegäran.docx", "A 19365-2023")</f>
        <v/>
      </c>
      <c r="Y989">
        <f>HYPERLINK("https://klasma.github.io/Logging_0883/tillsynsmail/A 19365-2023 tillsynsbegäran mail.docx", "A 19365-2023")</f>
        <v/>
      </c>
    </row>
    <row r="990" ht="15" customHeight="1">
      <c r="A990" t="inlineStr">
        <is>
          <t>A 19333-2023</t>
        </is>
      </c>
      <c r="B990" s="1" t="n">
        <v>45049</v>
      </c>
      <c r="C990" s="1" t="n">
        <v>45565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19551-2023</t>
        </is>
      </c>
      <c r="B991" s="1" t="n">
        <v>45049</v>
      </c>
      <c r="C991" s="1" t="n">
        <v>45565</v>
      </c>
      <c r="D991" t="inlineStr">
        <is>
          <t>KALMAR LÄN</t>
        </is>
      </c>
      <c r="E991" t="inlineStr">
        <is>
          <t>VÄSTERVIK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19638-2023</t>
        </is>
      </c>
      <c r="B992" s="1" t="n">
        <v>45051</v>
      </c>
      <c r="C992" s="1" t="n">
        <v>45565</v>
      </c>
      <c r="D992" t="inlineStr">
        <is>
          <t>KALMAR LÄN</t>
        </is>
      </c>
      <c r="E992" t="inlineStr">
        <is>
          <t>VÄSTERVIK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19660-2023</t>
        </is>
      </c>
      <c r="B993" s="1" t="n">
        <v>45051</v>
      </c>
      <c r="C993" s="1" t="n">
        <v>45565</v>
      </c>
      <c r="D993" t="inlineStr">
        <is>
          <t>KALMAR LÄN</t>
        </is>
      </c>
      <c r="E993" t="inlineStr">
        <is>
          <t>VÄSTERVIK</t>
        </is>
      </c>
      <c r="F993" t="inlineStr">
        <is>
          <t>Övriga Aktiebolag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19639-2023</t>
        </is>
      </c>
      <c r="B994" s="1" t="n">
        <v>45051</v>
      </c>
      <c r="C994" s="1" t="n">
        <v>45565</v>
      </c>
      <c r="D994" t="inlineStr">
        <is>
          <t>KALMAR LÄN</t>
        </is>
      </c>
      <c r="E994" t="inlineStr">
        <is>
          <t>VÄSTERVIK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19640-2023</t>
        </is>
      </c>
      <c r="B995" s="1" t="n">
        <v>45051</v>
      </c>
      <c r="C995" s="1" t="n">
        <v>45565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19864-2023</t>
        </is>
      </c>
      <c r="B996" s="1" t="n">
        <v>45053</v>
      </c>
      <c r="C996" s="1" t="n">
        <v>45565</v>
      </c>
      <c r="D996" t="inlineStr">
        <is>
          <t>KALMAR LÄN</t>
        </is>
      </c>
      <c r="E996" t="inlineStr">
        <is>
          <t>VÄSTERVIK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20637-2023</t>
        </is>
      </c>
      <c r="B997" s="1" t="n">
        <v>45057</v>
      </c>
      <c r="C997" s="1" t="n">
        <v>45565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20774-2023</t>
        </is>
      </c>
      <c r="B998" s="1" t="n">
        <v>45058</v>
      </c>
      <c r="C998" s="1" t="n">
        <v>45565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21122-2023</t>
        </is>
      </c>
      <c r="B999" s="1" t="n">
        <v>45062</v>
      </c>
      <c r="C999" s="1" t="n">
        <v>45565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21286-2023</t>
        </is>
      </c>
      <c r="B1000" s="1" t="n">
        <v>45062</v>
      </c>
      <c r="C1000" s="1" t="n">
        <v>45565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21447-2023</t>
        </is>
      </c>
      <c r="B1001" s="1" t="n">
        <v>45063</v>
      </c>
      <c r="C1001" s="1" t="n">
        <v>45565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21826-2023</t>
        </is>
      </c>
      <c r="B1002" s="1" t="n">
        <v>45068</v>
      </c>
      <c r="C1002" s="1" t="n">
        <v>45565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21831-2023</t>
        </is>
      </c>
      <c r="B1003" s="1" t="n">
        <v>45068</v>
      </c>
      <c r="C1003" s="1" t="n">
        <v>45565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21939-2023</t>
        </is>
      </c>
      <c r="B1004" s="1" t="n">
        <v>45068</v>
      </c>
      <c r="C1004" s="1" t="n">
        <v>45565</v>
      </c>
      <c r="D1004" t="inlineStr">
        <is>
          <t>KALMAR LÄN</t>
        </is>
      </c>
      <c r="E1004" t="inlineStr">
        <is>
          <t>VÄSTERVIK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21823-2023</t>
        </is>
      </c>
      <c r="B1005" s="1" t="n">
        <v>45068</v>
      </c>
      <c r="C1005" s="1" t="n">
        <v>45565</v>
      </c>
      <c r="D1005" t="inlineStr">
        <is>
          <t>KALMAR LÄN</t>
        </is>
      </c>
      <c r="E1005" t="inlineStr">
        <is>
          <t>VÄSTERVIK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21830-2023</t>
        </is>
      </c>
      <c r="B1006" s="1" t="n">
        <v>45068</v>
      </c>
      <c r="C1006" s="1" t="n">
        <v>45565</v>
      </c>
      <c r="D1006" t="inlineStr">
        <is>
          <t>KALMAR LÄN</t>
        </is>
      </c>
      <c r="E1006" t="inlineStr">
        <is>
          <t>VÄSTERVIK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21824-2023</t>
        </is>
      </c>
      <c r="B1007" s="1" t="n">
        <v>45068</v>
      </c>
      <c r="C1007" s="1" t="n">
        <v>45565</v>
      </c>
      <c r="D1007" t="inlineStr">
        <is>
          <t>KALMAR LÄN</t>
        </is>
      </c>
      <c r="E1007" t="inlineStr">
        <is>
          <t>VÄSTERVIK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21829-2023</t>
        </is>
      </c>
      <c r="B1008" s="1" t="n">
        <v>45068</v>
      </c>
      <c r="C1008" s="1" t="n">
        <v>45565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21942-2023</t>
        </is>
      </c>
      <c r="B1009" s="1" t="n">
        <v>45068</v>
      </c>
      <c r="C1009" s="1" t="n">
        <v>45565</v>
      </c>
      <c r="D1009" t="inlineStr">
        <is>
          <t>KALMAR LÄN</t>
        </is>
      </c>
      <c r="E1009" t="inlineStr">
        <is>
          <t>VÄSTERVIK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21940-2023</t>
        </is>
      </c>
      <c r="B1010" s="1" t="n">
        <v>45068</v>
      </c>
      <c r="C1010" s="1" t="n">
        <v>45565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23439-2023</t>
        </is>
      </c>
      <c r="B1011" s="1" t="n">
        <v>45072</v>
      </c>
      <c r="C1011" s="1" t="n">
        <v>45565</v>
      </c>
      <c r="D1011" t="inlineStr">
        <is>
          <t>KALMAR LÄN</t>
        </is>
      </c>
      <c r="E1011" t="inlineStr">
        <is>
          <t>VÄSTERVIK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23080-2023</t>
        </is>
      </c>
      <c r="B1012" s="1" t="n">
        <v>45075</v>
      </c>
      <c r="C1012" s="1" t="n">
        <v>45565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23317-2023</t>
        </is>
      </c>
      <c r="B1013" s="1" t="n">
        <v>45076</v>
      </c>
      <c r="C1013" s="1" t="n">
        <v>45565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23316-2023</t>
        </is>
      </c>
      <c r="B1014" s="1" t="n">
        <v>45076</v>
      </c>
      <c r="C1014" s="1" t="n">
        <v>45565</v>
      </c>
      <c r="D1014" t="inlineStr">
        <is>
          <t>KALMAR LÄN</t>
        </is>
      </c>
      <c r="E1014" t="inlineStr">
        <is>
          <t>VÄSTERVIK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23580-2023</t>
        </is>
      </c>
      <c r="B1015" s="1" t="n">
        <v>45077</v>
      </c>
      <c r="C1015" s="1" t="n">
        <v>45565</v>
      </c>
      <c r="D1015" t="inlineStr">
        <is>
          <t>KALMAR LÄN</t>
        </is>
      </c>
      <c r="E1015" t="inlineStr">
        <is>
          <t>VÄSTERVIK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25403-2023</t>
        </is>
      </c>
      <c r="B1016" s="1" t="n">
        <v>45079</v>
      </c>
      <c r="C1016" s="1" t="n">
        <v>45565</v>
      </c>
      <c r="D1016" t="inlineStr">
        <is>
          <t>KALMAR LÄN</t>
        </is>
      </c>
      <c r="E1016" t="inlineStr">
        <is>
          <t>VÄSTERVIK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24877-2023</t>
        </is>
      </c>
      <c r="B1017" s="1" t="n">
        <v>45085</v>
      </c>
      <c r="C1017" s="1" t="n">
        <v>45565</v>
      </c>
      <c r="D1017" t="inlineStr">
        <is>
          <t>KALMAR LÄN</t>
        </is>
      </c>
      <c r="E1017" t="inlineStr">
        <is>
          <t>VÄSTERVIK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24881-2023</t>
        </is>
      </c>
      <c r="B1018" s="1" t="n">
        <v>45085</v>
      </c>
      <c r="C1018" s="1" t="n">
        <v>45565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24893-2023</t>
        </is>
      </c>
      <c r="B1019" s="1" t="n">
        <v>45085</v>
      </c>
      <c r="C1019" s="1" t="n">
        <v>45565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25180-2023</t>
        </is>
      </c>
      <c r="B1020" s="1" t="n">
        <v>45086</v>
      </c>
      <c r="C1020" s="1" t="n">
        <v>45565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25434-2023</t>
        </is>
      </c>
      <c r="B1021" s="1" t="n">
        <v>45089</v>
      </c>
      <c r="C1021" s="1" t="n">
        <v>45565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25440-2023</t>
        </is>
      </c>
      <c r="B1022" s="1" t="n">
        <v>45089</v>
      </c>
      <c r="C1022" s="1" t="n">
        <v>45565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25568-2023</t>
        </is>
      </c>
      <c r="B1023" s="1" t="n">
        <v>45089</v>
      </c>
      <c r="C1023" s="1" t="n">
        <v>45565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25488-2023</t>
        </is>
      </c>
      <c r="B1024" s="1" t="n">
        <v>45089</v>
      </c>
      <c r="C1024" s="1" t="n">
        <v>45565</v>
      </c>
      <c r="D1024" t="inlineStr">
        <is>
          <t>KALMAR LÄN</t>
        </is>
      </c>
      <c r="E1024" t="inlineStr">
        <is>
          <t>VÄSTERVIK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25518-2023</t>
        </is>
      </c>
      <c r="B1025" s="1" t="n">
        <v>45089</v>
      </c>
      <c r="C1025" s="1" t="n">
        <v>45565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25714-2023</t>
        </is>
      </c>
      <c r="B1026" s="1" t="n">
        <v>45089</v>
      </c>
      <c r="C1026" s="1" t="n">
        <v>45565</v>
      </c>
      <c r="D1026" t="inlineStr">
        <is>
          <t>KALMAR LÄN</t>
        </is>
      </c>
      <c r="E1026" t="inlineStr">
        <is>
          <t>VÄSTERVIK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25801-2023</t>
        </is>
      </c>
      <c r="B1027" s="1" t="n">
        <v>45090</v>
      </c>
      <c r="C1027" s="1" t="n">
        <v>45565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26244-2023</t>
        </is>
      </c>
      <c r="B1028" s="1" t="n">
        <v>45091</v>
      </c>
      <c r="C1028" s="1" t="n">
        <v>45565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26073-2023</t>
        </is>
      </c>
      <c r="B1029" s="1" t="n">
        <v>45091</v>
      </c>
      <c r="C1029" s="1" t="n">
        <v>45565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21.2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26773-2023</t>
        </is>
      </c>
      <c r="B1030" s="1" t="n">
        <v>45093</v>
      </c>
      <c r="C1030" s="1" t="n">
        <v>45565</v>
      </c>
      <c r="D1030" t="inlineStr">
        <is>
          <t>KALMAR LÄN</t>
        </is>
      </c>
      <c r="E1030" t="inlineStr">
        <is>
          <t>VÄSTERVIK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26772-2023</t>
        </is>
      </c>
      <c r="B1031" s="1" t="n">
        <v>45093</v>
      </c>
      <c r="C1031" s="1" t="n">
        <v>45565</v>
      </c>
      <c r="D1031" t="inlineStr">
        <is>
          <t>KALMAR LÄN</t>
        </is>
      </c>
      <c r="E1031" t="inlineStr">
        <is>
          <t>VÄSTERVIK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26776-2023</t>
        </is>
      </c>
      <c r="B1032" s="1" t="n">
        <v>45093</v>
      </c>
      <c r="C1032" s="1" t="n">
        <v>45565</v>
      </c>
      <c r="D1032" t="inlineStr">
        <is>
          <t>KALMAR LÄN</t>
        </is>
      </c>
      <c r="E1032" t="inlineStr">
        <is>
          <t>VÄSTERVIK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26770-2023</t>
        </is>
      </c>
      <c r="B1033" s="1" t="n">
        <v>45093</v>
      </c>
      <c r="C1033" s="1" t="n">
        <v>45565</v>
      </c>
      <c r="D1033" t="inlineStr">
        <is>
          <t>KALMAR LÄN</t>
        </is>
      </c>
      <c r="E1033" t="inlineStr">
        <is>
          <t>VÄSTERVIK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26775-2023</t>
        </is>
      </c>
      <c r="B1034" s="1" t="n">
        <v>45093</v>
      </c>
      <c r="C1034" s="1" t="n">
        <v>45565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27485-2023</t>
        </is>
      </c>
      <c r="B1035" s="1" t="n">
        <v>45097</v>
      </c>
      <c r="C1035" s="1" t="n">
        <v>45565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27491-2023</t>
        </is>
      </c>
      <c r="B1036" s="1" t="n">
        <v>45097</v>
      </c>
      <c r="C1036" s="1" t="n">
        <v>45565</v>
      </c>
      <c r="D1036" t="inlineStr">
        <is>
          <t>KALMAR LÄN</t>
        </is>
      </c>
      <c r="E1036" t="inlineStr">
        <is>
          <t>VÄSTERVIK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27482-2023</t>
        </is>
      </c>
      <c r="B1037" s="1" t="n">
        <v>45097</v>
      </c>
      <c r="C1037" s="1" t="n">
        <v>45565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27662-2023</t>
        </is>
      </c>
      <c r="B1038" s="1" t="n">
        <v>45097</v>
      </c>
      <c r="C1038" s="1" t="n">
        <v>45565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28895-2023</t>
        </is>
      </c>
      <c r="B1039" s="1" t="n">
        <v>45104</v>
      </c>
      <c r="C1039" s="1" t="n">
        <v>45565</v>
      </c>
      <c r="D1039" t="inlineStr">
        <is>
          <t>KALMAR LÄN</t>
        </is>
      </c>
      <c r="E1039" t="inlineStr">
        <is>
          <t>VÄSTERVIK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28894-2023</t>
        </is>
      </c>
      <c r="B1040" s="1" t="n">
        <v>45104</v>
      </c>
      <c r="C1040" s="1" t="n">
        <v>45565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28939-2023</t>
        </is>
      </c>
      <c r="B1041" s="1" t="n">
        <v>45104</v>
      </c>
      <c r="C1041" s="1" t="n">
        <v>45565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28952-2023</t>
        </is>
      </c>
      <c r="B1042" s="1" t="n">
        <v>45104</v>
      </c>
      <c r="C1042" s="1" t="n">
        <v>45565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29907-2023</t>
        </is>
      </c>
      <c r="B1043" s="1" t="n">
        <v>45107</v>
      </c>
      <c r="C1043" s="1" t="n">
        <v>45565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29905-2023</t>
        </is>
      </c>
      <c r="B1044" s="1" t="n">
        <v>45107</v>
      </c>
      <c r="C1044" s="1" t="n">
        <v>45565</v>
      </c>
      <c r="D1044" t="inlineStr">
        <is>
          <t>KALMAR LÄN</t>
        </is>
      </c>
      <c r="E1044" t="inlineStr">
        <is>
          <t>VÄSTERVIK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29904-2023</t>
        </is>
      </c>
      <c r="B1045" s="1" t="n">
        <v>45107</v>
      </c>
      <c r="C1045" s="1" t="n">
        <v>45565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30029-2023</t>
        </is>
      </c>
      <c r="B1046" s="1" t="n">
        <v>45110</v>
      </c>
      <c r="C1046" s="1" t="n">
        <v>45565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30035-2023</t>
        </is>
      </c>
      <c r="B1047" s="1" t="n">
        <v>45110</v>
      </c>
      <c r="C1047" s="1" t="n">
        <v>45565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32418-2023</t>
        </is>
      </c>
      <c r="B1048" s="1" t="n">
        <v>45110</v>
      </c>
      <c r="C1048" s="1" t="n">
        <v>45565</v>
      </c>
      <c r="D1048" t="inlineStr">
        <is>
          <t>KALMAR LÄN</t>
        </is>
      </c>
      <c r="E1048" t="inlineStr">
        <is>
          <t>VÄSTERVIK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30431-2023</t>
        </is>
      </c>
      <c r="B1049" s="1" t="n">
        <v>45111</v>
      </c>
      <c r="C1049" s="1" t="n">
        <v>45565</v>
      </c>
      <c r="D1049" t="inlineStr">
        <is>
          <t>KALMAR LÄN</t>
        </is>
      </c>
      <c r="E1049" t="inlineStr">
        <is>
          <t>VÄSTERVIK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30692-2023</t>
        </is>
      </c>
      <c r="B1050" s="1" t="n">
        <v>45112</v>
      </c>
      <c r="C1050" s="1" t="n">
        <v>45565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31437-2023</t>
        </is>
      </c>
      <c r="B1051" s="1" t="n">
        <v>45114</v>
      </c>
      <c r="C1051" s="1" t="n">
        <v>45565</v>
      </c>
      <c r="D1051" t="inlineStr">
        <is>
          <t>KALMAR LÄN</t>
        </is>
      </c>
      <c r="E1051" t="inlineStr">
        <is>
          <t>VÄSTERVIK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33277-2023</t>
        </is>
      </c>
      <c r="B1052" s="1" t="n">
        <v>45114</v>
      </c>
      <c r="C1052" s="1" t="n">
        <v>45565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31686-2023</t>
        </is>
      </c>
      <c r="B1053" s="1" t="n">
        <v>45117</v>
      </c>
      <c r="C1053" s="1" t="n">
        <v>45565</v>
      </c>
      <c r="D1053" t="inlineStr">
        <is>
          <t>KALMAR LÄN</t>
        </is>
      </c>
      <c r="E1053" t="inlineStr">
        <is>
          <t>VÄSTERVIK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31691-2023</t>
        </is>
      </c>
      <c r="B1054" s="1" t="n">
        <v>45117</v>
      </c>
      <c r="C1054" s="1" t="n">
        <v>45565</v>
      </c>
      <c r="D1054" t="inlineStr">
        <is>
          <t>KALMAR LÄN</t>
        </is>
      </c>
      <c r="E1054" t="inlineStr">
        <is>
          <t>VÄSTERVIK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32647-2023</t>
        </is>
      </c>
      <c r="B1055" s="1" t="n">
        <v>45121</v>
      </c>
      <c r="C1055" s="1" t="n">
        <v>45565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32813-2023</t>
        </is>
      </c>
      <c r="B1056" s="1" t="n">
        <v>45124</v>
      </c>
      <c r="C1056" s="1" t="n">
        <v>45565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32812-2023</t>
        </is>
      </c>
      <c r="B1057" s="1" t="n">
        <v>45124</v>
      </c>
      <c r="C1057" s="1" t="n">
        <v>45565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32811-2023</t>
        </is>
      </c>
      <c r="B1058" s="1" t="n">
        <v>45124</v>
      </c>
      <c r="C1058" s="1" t="n">
        <v>45565</v>
      </c>
      <c r="D1058" t="inlineStr">
        <is>
          <t>KALMAR LÄN</t>
        </is>
      </c>
      <c r="E1058" t="inlineStr">
        <is>
          <t>VÄSTERVIK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33271-2023</t>
        </is>
      </c>
      <c r="B1059" s="1" t="n">
        <v>45127</v>
      </c>
      <c r="C1059" s="1" t="n">
        <v>45565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33272-2023</t>
        </is>
      </c>
      <c r="B1060" s="1" t="n">
        <v>45127</v>
      </c>
      <c r="C1060" s="1" t="n">
        <v>45565</v>
      </c>
      <c r="D1060" t="inlineStr">
        <is>
          <t>KALMAR LÄN</t>
        </is>
      </c>
      <c r="E1060" t="inlineStr">
        <is>
          <t>VÄSTERVIK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33489-2023</t>
        </is>
      </c>
      <c r="B1061" s="1" t="n">
        <v>45131</v>
      </c>
      <c r="C1061" s="1" t="n">
        <v>45565</v>
      </c>
      <c r="D1061" t="inlineStr">
        <is>
          <t>KALMAR LÄN</t>
        </is>
      </c>
      <c r="E1061" t="inlineStr">
        <is>
          <t>VÄSTERVIK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33648-2023</t>
        </is>
      </c>
      <c r="B1062" s="1" t="n">
        <v>45132</v>
      </c>
      <c r="C1062" s="1" t="n">
        <v>45565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33647-2023</t>
        </is>
      </c>
      <c r="B1063" s="1" t="n">
        <v>45132</v>
      </c>
      <c r="C1063" s="1" t="n">
        <v>45565</v>
      </c>
      <c r="D1063" t="inlineStr">
        <is>
          <t>KALMAR LÄN</t>
        </is>
      </c>
      <c r="E1063" t="inlineStr">
        <is>
          <t>VÄSTERVIK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33722-2023</t>
        </is>
      </c>
      <c r="B1064" s="1" t="n">
        <v>45133</v>
      </c>
      <c r="C1064" s="1" t="n">
        <v>45565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33828-2023</t>
        </is>
      </c>
      <c r="B1065" s="1" t="n">
        <v>45133</v>
      </c>
      <c r="C1065" s="1" t="n">
        <v>45565</v>
      </c>
      <c r="D1065" t="inlineStr">
        <is>
          <t>KALMAR LÄN</t>
        </is>
      </c>
      <c r="E1065" t="inlineStr">
        <is>
          <t>VÄSTERVIK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33814-2023</t>
        </is>
      </c>
      <c r="B1066" s="1" t="n">
        <v>45133</v>
      </c>
      <c r="C1066" s="1" t="n">
        <v>45565</v>
      </c>
      <c r="D1066" t="inlineStr">
        <is>
          <t>KALMAR LÄN</t>
        </is>
      </c>
      <c r="E1066" t="inlineStr">
        <is>
          <t>VÄSTERVIK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33990-2023</t>
        </is>
      </c>
      <c r="B1067" s="1" t="n">
        <v>45134</v>
      </c>
      <c r="C1067" s="1" t="n">
        <v>45565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34121-2023</t>
        </is>
      </c>
      <c r="B1068" s="1" t="n">
        <v>45135</v>
      </c>
      <c r="C1068" s="1" t="n">
        <v>45565</v>
      </c>
      <c r="D1068" t="inlineStr">
        <is>
          <t>KALMAR LÄN</t>
        </is>
      </c>
      <c r="E1068" t="inlineStr">
        <is>
          <t>VÄSTERVIK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34121-2023 karta knärot.png", "A 34121-2023")</f>
        <v/>
      </c>
      <c r="V1068">
        <f>HYPERLINK("https://klasma.github.io/Logging_0883/klagomål/A 34121-2023 FSC-klagomål.docx", "A 34121-2023")</f>
        <v/>
      </c>
      <c r="W1068">
        <f>HYPERLINK("https://klasma.github.io/Logging_0883/klagomålsmail/A 34121-2023 FSC-klagomål mail.docx", "A 34121-2023")</f>
        <v/>
      </c>
      <c r="X1068">
        <f>HYPERLINK("https://klasma.github.io/Logging_0883/tillsyn/A 34121-2023 tillsynsbegäran.docx", "A 34121-2023")</f>
        <v/>
      </c>
      <c r="Y1068">
        <f>HYPERLINK("https://klasma.github.io/Logging_0883/tillsynsmail/A 34121-2023 tillsynsbegäran mail.docx", "A 34121-2023")</f>
        <v/>
      </c>
    </row>
    <row r="1069" ht="15" customHeight="1">
      <c r="A1069" t="inlineStr">
        <is>
          <t>A 34643-2023</t>
        </is>
      </c>
      <c r="B1069" s="1" t="n">
        <v>45140</v>
      </c>
      <c r="C1069" s="1" t="n">
        <v>45565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34648-2023</t>
        </is>
      </c>
      <c r="B1070" s="1" t="n">
        <v>45140</v>
      </c>
      <c r="C1070" s="1" t="n">
        <v>45565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34641-2023</t>
        </is>
      </c>
      <c r="B1071" s="1" t="n">
        <v>45140</v>
      </c>
      <c r="C1071" s="1" t="n">
        <v>45565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34646-2023</t>
        </is>
      </c>
      <c r="B1072" s="1" t="n">
        <v>45140</v>
      </c>
      <c r="C1072" s="1" t="n">
        <v>45565</v>
      </c>
      <c r="D1072" t="inlineStr">
        <is>
          <t>KALMAR LÄN</t>
        </is>
      </c>
      <c r="E1072" t="inlineStr">
        <is>
          <t>VÄSTERVIK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34655-2023</t>
        </is>
      </c>
      <c r="B1073" s="1" t="n">
        <v>45140</v>
      </c>
      <c r="C1073" s="1" t="n">
        <v>45565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34650-2023</t>
        </is>
      </c>
      <c r="B1074" s="1" t="n">
        <v>45140</v>
      </c>
      <c r="C1074" s="1" t="n">
        <v>45565</v>
      </c>
      <c r="D1074" t="inlineStr">
        <is>
          <t>KALMAR LÄN</t>
        </is>
      </c>
      <c r="E1074" t="inlineStr">
        <is>
          <t>VÄSTERVIK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34953-2023</t>
        </is>
      </c>
      <c r="B1075" s="1" t="n">
        <v>45142</v>
      </c>
      <c r="C1075" s="1" t="n">
        <v>45565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35171-2023</t>
        </is>
      </c>
      <c r="B1076" s="1" t="n">
        <v>45145</v>
      </c>
      <c r="C1076" s="1" t="n">
        <v>45565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35160-2023</t>
        </is>
      </c>
      <c r="B1077" s="1" t="n">
        <v>45145</v>
      </c>
      <c r="C1077" s="1" t="n">
        <v>45565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35180-2023</t>
        </is>
      </c>
      <c r="B1078" s="1" t="n">
        <v>45145</v>
      </c>
      <c r="C1078" s="1" t="n">
        <v>45565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35502-2023</t>
        </is>
      </c>
      <c r="B1079" s="1" t="n">
        <v>45146</v>
      </c>
      <c r="C1079" s="1" t="n">
        <v>45565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35484-2023</t>
        </is>
      </c>
      <c r="B1080" s="1" t="n">
        <v>45146</v>
      </c>
      <c r="C1080" s="1" t="n">
        <v>45565</v>
      </c>
      <c r="D1080" t="inlineStr">
        <is>
          <t>KALMAR LÄN</t>
        </is>
      </c>
      <c r="E1080" t="inlineStr">
        <is>
          <t>VÄSTERVIK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35485-2023</t>
        </is>
      </c>
      <c r="B1081" s="1" t="n">
        <v>45146</v>
      </c>
      <c r="C1081" s="1" t="n">
        <v>45565</v>
      </c>
      <c r="D1081" t="inlineStr">
        <is>
          <t>KALMAR LÄN</t>
        </is>
      </c>
      <c r="E1081" t="inlineStr">
        <is>
          <t>VÄSTERVIK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35658-2023</t>
        </is>
      </c>
      <c r="B1082" s="1" t="n">
        <v>45147</v>
      </c>
      <c r="C1082" s="1" t="n">
        <v>45565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35662-2023</t>
        </is>
      </c>
      <c r="B1083" s="1" t="n">
        <v>45147</v>
      </c>
      <c r="C1083" s="1" t="n">
        <v>45565</v>
      </c>
      <c r="D1083" t="inlineStr">
        <is>
          <t>KALMAR LÄN</t>
        </is>
      </c>
      <c r="E1083" t="inlineStr">
        <is>
          <t>VÄSTERVIK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35666-2023</t>
        </is>
      </c>
      <c r="B1084" s="1" t="n">
        <v>45147</v>
      </c>
      <c r="C1084" s="1" t="n">
        <v>45565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35606-2023</t>
        </is>
      </c>
      <c r="B1085" s="1" t="n">
        <v>45147</v>
      </c>
      <c r="C1085" s="1" t="n">
        <v>45565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35770-2023</t>
        </is>
      </c>
      <c r="B1086" s="1" t="n">
        <v>45147</v>
      </c>
      <c r="C1086" s="1" t="n">
        <v>45565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35655-2023</t>
        </is>
      </c>
      <c r="B1087" s="1" t="n">
        <v>45147</v>
      </c>
      <c r="C1087" s="1" t="n">
        <v>45565</v>
      </c>
      <c r="D1087" t="inlineStr">
        <is>
          <t>KALMAR LÄN</t>
        </is>
      </c>
      <c r="E1087" t="inlineStr">
        <is>
          <t>VÄSTERVIK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35667-2023</t>
        </is>
      </c>
      <c r="B1088" s="1" t="n">
        <v>45147</v>
      </c>
      <c r="C1088" s="1" t="n">
        <v>45565</v>
      </c>
      <c r="D1088" t="inlineStr">
        <is>
          <t>KALMAR LÄN</t>
        </is>
      </c>
      <c r="E1088" t="inlineStr">
        <is>
          <t>VÄSTERVIK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35652-2023</t>
        </is>
      </c>
      <c r="B1089" s="1" t="n">
        <v>45147</v>
      </c>
      <c r="C1089" s="1" t="n">
        <v>45565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35660-2023</t>
        </is>
      </c>
      <c r="B1090" s="1" t="n">
        <v>45147</v>
      </c>
      <c r="C1090" s="1" t="n">
        <v>45565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35619-2023</t>
        </is>
      </c>
      <c r="B1091" s="1" t="n">
        <v>45147</v>
      </c>
      <c r="C1091" s="1" t="n">
        <v>45565</v>
      </c>
      <c r="D1091" t="inlineStr">
        <is>
          <t>KALMAR LÄN</t>
        </is>
      </c>
      <c r="E1091" t="inlineStr">
        <is>
          <t>VÄSTERVIK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35653-2023</t>
        </is>
      </c>
      <c r="B1092" s="1" t="n">
        <v>45147</v>
      </c>
      <c r="C1092" s="1" t="n">
        <v>45565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35665-2023</t>
        </is>
      </c>
      <c r="B1093" s="1" t="n">
        <v>45147</v>
      </c>
      <c r="C1093" s="1" t="n">
        <v>45565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35960-2023</t>
        </is>
      </c>
      <c r="B1094" s="1" t="n">
        <v>45148</v>
      </c>
      <c r="C1094" s="1" t="n">
        <v>45565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35959-2023</t>
        </is>
      </c>
      <c r="B1095" s="1" t="n">
        <v>45148</v>
      </c>
      <c r="C1095" s="1" t="n">
        <v>45565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35962-2023</t>
        </is>
      </c>
      <c r="B1096" s="1" t="n">
        <v>45148</v>
      </c>
      <c r="C1096" s="1" t="n">
        <v>45565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35961-2023</t>
        </is>
      </c>
      <c r="B1097" s="1" t="n">
        <v>45148</v>
      </c>
      <c r="C1097" s="1" t="n">
        <v>45565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36418-2023</t>
        </is>
      </c>
      <c r="B1098" s="1" t="n">
        <v>45152</v>
      </c>
      <c r="C1098" s="1" t="n">
        <v>45565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HYPERLINK("https://klasma.github.io/Logging_0883/knärot/A 36418-2023 karta knärot.png", "A 36418-2023")</f>
        <v/>
      </c>
      <c r="V1098">
        <f>HYPERLINK("https://klasma.github.io/Logging_0883/klagomål/A 36418-2023 FSC-klagomål.docx", "A 36418-2023")</f>
        <v/>
      </c>
      <c r="W1098">
        <f>HYPERLINK("https://klasma.github.io/Logging_0883/klagomålsmail/A 36418-2023 FSC-klagomål mail.docx", "A 36418-2023")</f>
        <v/>
      </c>
      <c r="X1098">
        <f>HYPERLINK("https://klasma.github.io/Logging_0883/tillsyn/A 36418-2023 tillsynsbegäran.docx", "A 36418-2023")</f>
        <v/>
      </c>
      <c r="Y1098">
        <f>HYPERLINK("https://klasma.github.io/Logging_0883/tillsynsmail/A 36418-2023 tillsynsbegäran mail.docx", "A 36418-2023")</f>
        <v/>
      </c>
    </row>
    <row r="1099" ht="15" customHeight="1">
      <c r="A1099" t="inlineStr">
        <is>
          <t>A 36572-2023</t>
        </is>
      </c>
      <c r="B1099" s="1" t="n">
        <v>45153</v>
      </c>
      <c r="C1099" s="1" t="n">
        <v>45565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36643-2023</t>
        </is>
      </c>
      <c r="B1100" s="1" t="n">
        <v>45153</v>
      </c>
      <c r="C1100" s="1" t="n">
        <v>45565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37349-2023</t>
        </is>
      </c>
      <c r="B1101" s="1" t="n">
        <v>45156</v>
      </c>
      <c r="C1101" s="1" t="n">
        <v>45565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37352-2023</t>
        </is>
      </c>
      <c r="B1102" s="1" t="n">
        <v>45156</v>
      </c>
      <c r="C1102" s="1" t="n">
        <v>45565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37354-2023</t>
        </is>
      </c>
      <c r="B1103" s="1" t="n">
        <v>45156</v>
      </c>
      <c r="C1103" s="1" t="n">
        <v>45565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37351-2023</t>
        </is>
      </c>
      <c r="B1104" s="1" t="n">
        <v>45156</v>
      </c>
      <c r="C1104" s="1" t="n">
        <v>45565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37642-2023</t>
        </is>
      </c>
      <c r="B1105" s="1" t="n">
        <v>45159</v>
      </c>
      <c r="C1105" s="1" t="n">
        <v>45565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37643-2023</t>
        </is>
      </c>
      <c r="B1106" s="1" t="n">
        <v>45159</v>
      </c>
      <c r="C1106" s="1" t="n">
        <v>45565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37644-2023</t>
        </is>
      </c>
      <c r="B1107" s="1" t="n">
        <v>45159</v>
      </c>
      <c r="C1107" s="1" t="n">
        <v>45565</v>
      </c>
      <c r="D1107" t="inlineStr">
        <is>
          <t>KALMAR LÄN</t>
        </is>
      </c>
      <c r="E1107" t="inlineStr">
        <is>
          <t>VÄSTERVIK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37661-2023</t>
        </is>
      </c>
      <c r="B1108" s="1" t="n">
        <v>45159</v>
      </c>
      <c r="C1108" s="1" t="n">
        <v>45565</v>
      </c>
      <c r="D1108" t="inlineStr">
        <is>
          <t>KALMAR LÄN</t>
        </is>
      </c>
      <c r="E1108" t="inlineStr">
        <is>
          <t>VÄSTERVIK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37716-2023</t>
        </is>
      </c>
      <c r="B1109" s="1" t="n">
        <v>45159</v>
      </c>
      <c r="C1109" s="1" t="n">
        <v>45565</v>
      </c>
      <c r="D1109" t="inlineStr">
        <is>
          <t>KALMAR LÄN</t>
        </is>
      </c>
      <c r="E1109" t="inlineStr">
        <is>
          <t>VÄSTERVIK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37858-2023</t>
        </is>
      </c>
      <c r="B1110" s="1" t="n">
        <v>45160</v>
      </c>
      <c r="C1110" s="1" t="n">
        <v>45565</v>
      </c>
      <c r="D1110" t="inlineStr">
        <is>
          <t>KALMAR LÄN</t>
        </is>
      </c>
      <c r="E1110" t="inlineStr">
        <is>
          <t>VÄSTERVIK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37956-2023</t>
        </is>
      </c>
      <c r="B1111" s="1" t="n">
        <v>45160</v>
      </c>
      <c r="C1111" s="1" t="n">
        <v>45565</v>
      </c>
      <c r="D1111" t="inlineStr">
        <is>
          <t>KALMAR LÄN</t>
        </is>
      </c>
      <c r="E1111" t="inlineStr">
        <is>
          <t>VÄSTERVIK</t>
        </is>
      </c>
      <c r="F1111" t="inlineStr">
        <is>
          <t>Sveaskog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38040-2023</t>
        </is>
      </c>
      <c r="B1112" s="1" t="n">
        <v>45160</v>
      </c>
      <c r="C1112" s="1" t="n">
        <v>45565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38045-2023</t>
        </is>
      </c>
      <c r="B1113" s="1" t="n">
        <v>45160</v>
      </c>
      <c r="C1113" s="1" t="n">
        <v>45565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37952-2023</t>
        </is>
      </c>
      <c r="B1114" s="1" t="n">
        <v>45160</v>
      </c>
      <c r="C1114" s="1" t="n">
        <v>45565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37986-2023</t>
        </is>
      </c>
      <c r="B1115" s="1" t="n">
        <v>45160</v>
      </c>
      <c r="C1115" s="1" t="n">
        <v>45565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37991-2023</t>
        </is>
      </c>
      <c r="B1116" s="1" t="n">
        <v>45160</v>
      </c>
      <c r="C1116" s="1" t="n">
        <v>45565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38047-2023</t>
        </is>
      </c>
      <c r="B1117" s="1" t="n">
        <v>45160</v>
      </c>
      <c r="C1117" s="1" t="n">
        <v>45565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37987-2023</t>
        </is>
      </c>
      <c r="B1118" s="1" t="n">
        <v>45160</v>
      </c>
      <c r="C1118" s="1" t="n">
        <v>45565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37997-2023</t>
        </is>
      </c>
      <c r="B1119" s="1" t="n">
        <v>45160</v>
      </c>
      <c r="C1119" s="1" t="n">
        <v>45565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37957-2023</t>
        </is>
      </c>
      <c r="B1120" s="1" t="n">
        <v>45160</v>
      </c>
      <c r="C1120" s="1" t="n">
        <v>45565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37963-2023</t>
        </is>
      </c>
      <c r="B1121" s="1" t="n">
        <v>45160</v>
      </c>
      <c r="C1121" s="1" t="n">
        <v>45565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37989-2023</t>
        </is>
      </c>
      <c r="B1122" s="1" t="n">
        <v>45160</v>
      </c>
      <c r="C1122" s="1" t="n">
        <v>45565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37995-2023</t>
        </is>
      </c>
      <c r="B1123" s="1" t="n">
        <v>45160</v>
      </c>
      <c r="C1123" s="1" t="n">
        <v>45565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38037-2023</t>
        </is>
      </c>
      <c r="B1124" s="1" t="n">
        <v>45160</v>
      </c>
      <c r="C1124" s="1" t="n">
        <v>45565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38041-2023</t>
        </is>
      </c>
      <c r="B1125" s="1" t="n">
        <v>45160</v>
      </c>
      <c r="C1125" s="1" t="n">
        <v>45565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38046-2023</t>
        </is>
      </c>
      <c r="B1126" s="1" t="n">
        <v>45160</v>
      </c>
      <c r="C1126" s="1" t="n">
        <v>45565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38048-2023</t>
        </is>
      </c>
      <c r="B1127" s="1" t="n">
        <v>45160</v>
      </c>
      <c r="C1127" s="1" t="n">
        <v>45565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38174-2023</t>
        </is>
      </c>
      <c r="B1128" s="1" t="n">
        <v>45161</v>
      </c>
      <c r="C1128" s="1" t="n">
        <v>45565</v>
      </c>
      <c r="D1128" t="inlineStr">
        <is>
          <t>KALMAR LÄN</t>
        </is>
      </c>
      <c r="E1128" t="inlineStr">
        <is>
          <t>VÄSTERVIK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39299-2023</t>
        </is>
      </c>
      <c r="B1129" s="1" t="n">
        <v>45166</v>
      </c>
      <c r="C1129" s="1" t="n">
        <v>45565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39630-2023</t>
        </is>
      </c>
      <c r="B1130" s="1" t="n">
        <v>45167</v>
      </c>
      <c r="C1130" s="1" t="n">
        <v>45565</v>
      </c>
      <c r="D1130" t="inlineStr">
        <is>
          <t>KALMAR LÄN</t>
        </is>
      </c>
      <c r="E1130" t="inlineStr">
        <is>
          <t>VÄSTERVIK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39892-2023</t>
        </is>
      </c>
      <c r="B1131" s="1" t="n">
        <v>45168</v>
      </c>
      <c r="C1131" s="1" t="n">
        <v>45565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40677-2023</t>
        </is>
      </c>
      <c r="B1132" s="1" t="n">
        <v>45170</v>
      </c>
      <c r="C1132" s="1" t="n">
        <v>45565</v>
      </c>
      <c r="D1132" t="inlineStr">
        <is>
          <t>KALMAR LÄN</t>
        </is>
      </c>
      <c r="E1132" t="inlineStr">
        <is>
          <t>VÄSTERVIK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40451-2023</t>
        </is>
      </c>
      <c r="B1133" s="1" t="n">
        <v>45170</v>
      </c>
      <c r="C1133" s="1" t="n">
        <v>45565</v>
      </c>
      <c r="D1133" t="inlineStr">
        <is>
          <t>KALMAR LÄN</t>
        </is>
      </c>
      <c r="E1133" t="inlineStr">
        <is>
          <t>VÄSTERVIK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40674-2023</t>
        </is>
      </c>
      <c r="B1134" s="1" t="n">
        <v>45170</v>
      </c>
      <c r="C1134" s="1" t="n">
        <v>45565</v>
      </c>
      <c r="D1134" t="inlineStr">
        <is>
          <t>KALMAR LÄN</t>
        </is>
      </c>
      <c r="E1134" t="inlineStr">
        <is>
          <t>VÄSTERVIK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40973-2023</t>
        </is>
      </c>
      <c r="B1135" s="1" t="n">
        <v>45173</v>
      </c>
      <c r="C1135" s="1" t="n">
        <v>45565</v>
      </c>
      <c r="D1135" t="inlineStr">
        <is>
          <t>KALMAR LÄN</t>
        </is>
      </c>
      <c r="E1135" t="inlineStr">
        <is>
          <t>VÄSTERVIK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40935-2023</t>
        </is>
      </c>
      <c r="B1136" s="1" t="n">
        <v>45173</v>
      </c>
      <c r="C1136" s="1" t="n">
        <v>45565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40977-2023</t>
        </is>
      </c>
      <c r="B1137" s="1" t="n">
        <v>45173</v>
      </c>
      <c r="C1137" s="1" t="n">
        <v>45565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41342-2023</t>
        </is>
      </c>
      <c r="B1138" s="1" t="n">
        <v>45174</v>
      </c>
      <c r="C1138" s="1" t="n">
        <v>45565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41994-2023</t>
        </is>
      </c>
      <c r="B1139" s="1" t="n">
        <v>45177</v>
      </c>
      <c r="C1139" s="1" t="n">
        <v>45565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42415-2023</t>
        </is>
      </c>
      <c r="B1140" s="1" t="n">
        <v>45180</v>
      </c>
      <c r="C1140" s="1" t="n">
        <v>45565</v>
      </c>
      <c r="D1140" t="inlineStr">
        <is>
          <t>KALMAR LÄN</t>
        </is>
      </c>
      <c r="E1140" t="inlineStr">
        <is>
          <t>VÄSTERVIK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42331-2023</t>
        </is>
      </c>
      <c r="B1141" s="1" t="n">
        <v>45180</v>
      </c>
      <c r="C1141" s="1" t="n">
        <v>45565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42348-2023</t>
        </is>
      </c>
      <c r="B1142" s="1" t="n">
        <v>45180</v>
      </c>
      <c r="C1142" s="1" t="n">
        <v>45565</v>
      </c>
      <c r="D1142" t="inlineStr">
        <is>
          <t>KALMAR LÄN</t>
        </is>
      </c>
      <c r="E1142" t="inlineStr">
        <is>
          <t>VÄSTERVIK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43660-2023</t>
        </is>
      </c>
      <c r="B1143" s="1" t="n">
        <v>45187</v>
      </c>
      <c r="C1143" s="1" t="n">
        <v>45565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43759-2023</t>
        </is>
      </c>
      <c r="B1144" s="1" t="n">
        <v>45187</v>
      </c>
      <c r="C1144" s="1" t="n">
        <v>45565</v>
      </c>
      <c r="D1144" t="inlineStr">
        <is>
          <t>KALMAR LÄN</t>
        </is>
      </c>
      <c r="E1144" t="inlineStr">
        <is>
          <t>VÄSTERVIK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43900-2023</t>
        </is>
      </c>
      <c r="B1145" s="1" t="n">
        <v>45187</v>
      </c>
      <c r="C1145" s="1" t="n">
        <v>45565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44705-2023</t>
        </is>
      </c>
      <c r="B1146" s="1" t="n">
        <v>45190</v>
      </c>
      <c r="C1146" s="1" t="n">
        <v>45565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44714-2023</t>
        </is>
      </c>
      <c r="B1147" s="1" t="n">
        <v>45190</v>
      </c>
      <c r="C1147" s="1" t="n">
        <v>45565</v>
      </c>
      <c r="D1147" t="inlineStr">
        <is>
          <t>KALMAR LÄN</t>
        </is>
      </c>
      <c r="E1147" t="inlineStr">
        <is>
          <t>VÄSTERVIK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44749-2023</t>
        </is>
      </c>
      <c r="B1148" s="1" t="n">
        <v>45190</v>
      </c>
      <c r="C1148" s="1" t="n">
        <v>45565</v>
      </c>
      <c r="D1148" t="inlineStr">
        <is>
          <t>KALMAR LÄN</t>
        </is>
      </c>
      <c r="E1148" t="inlineStr">
        <is>
          <t>VÄSTERVIK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44721-2023</t>
        </is>
      </c>
      <c r="B1149" s="1" t="n">
        <v>45190</v>
      </c>
      <c r="C1149" s="1" t="n">
        <v>45565</v>
      </c>
      <c r="D1149" t="inlineStr">
        <is>
          <t>KALMAR LÄN</t>
        </is>
      </c>
      <c r="E1149" t="inlineStr">
        <is>
          <t>VÄSTERVIK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45192-2023</t>
        </is>
      </c>
      <c r="B1150" s="1" t="n">
        <v>45191</v>
      </c>
      <c r="C1150" s="1" t="n">
        <v>45565</v>
      </c>
      <c r="D1150" t="inlineStr">
        <is>
          <t>KALMAR LÄN</t>
        </is>
      </c>
      <c r="E1150" t="inlineStr">
        <is>
          <t>VÄSTERVIK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45202-2023</t>
        </is>
      </c>
      <c r="B1151" s="1" t="n">
        <v>45191</v>
      </c>
      <c r="C1151" s="1" t="n">
        <v>45565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45190-2023</t>
        </is>
      </c>
      <c r="B1152" s="1" t="n">
        <v>45191</v>
      </c>
      <c r="C1152" s="1" t="n">
        <v>45565</v>
      </c>
      <c r="D1152" t="inlineStr">
        <is>
          <t>KALMAR LÄN</t>
        </is>
      </c>
      <c r="E1152" t="inlineStr">
        <is>
          <t>VÄSTERVIK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45396-2023</t>
        </is>
      </c>
      <c r="B1153" s="1" t="n">
        <v>45194</v>
      </c>
      <c r="C1153" s="1" t="n">
        <v>45565</v>
      </c>
      <c r="D1153" t="inlineStr">
        <is>
          <t>KALMAR LÄN</t>
        </is>
      </c>
      <c r="E1153" t="inlineStr">
        <is>
          <t>VÄSTERVIK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45474-2023</t>
        </is>
      </c>
      <c r="B1154" s="1" t="n">
        <v>45194</v>
      </c>
      <c r="C1154" s="1" t="n">
        <v>45565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45450-2023</t>
        </is>
      </c>
      <c r="B1155" s="1" t="n">
        <v>45194</v>
      </c>
      <c r="C1155" s="1" t="n">
        <v>45565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45460-2023</t>
        </is>
      </c>
      <c r="B1156" s="1" t="n">
        <v>45194</v>
      </c>
      <c r="C1156" s="1" t="n">
        <v>45565</v>
      </c>
      <c r="D1156" t="inlineStr">
        <is>
          <t>KALMAR LÄN</t>
        </is>
      </c>
      <c r="E1156" t="inlineStr">
        <is>
          <t>VÄSTERVIK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45921-2023</t>
        </is>
      </c>
      <c r="B1157" s="1" t="n">
        <v>45195</v>
      </c>
      <c r="C1157" s="1" t="n">
        <v>45565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46088-2023</t>
        </is>
      </c>
      <c r="B1158" s="1" t="n">
        <v>45196</v>
      </c>
      <c r="C1158" s="1" t="n">
        <v>45565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46124-2023</t>
        </is>
      </c>
      <c r="B1159" s="1" t="n">
        <v>45196</v>
      </c>
      <c r="C1159" s="1" t="n">
        <v>45565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46129-2023</t>
        </is>
      </c>
      <c r="B1160" s="1" t="n">
        <v>45196</v>
      </c>
      <c r="C1160" s="1" t="n">
        <v>45565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46067-2023</t>
        </is>
      </c>
      <c r="B1161" s="1" t="n">
        <v>45196</v>
      </c>
      <c r="C1161" s="1" t="n">
        <v>45565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46064-2023</t>
        </is>
      </c>
      <c r="B1162" s="1" t="n">
        <v>45196</v>
      </c>
      <c r="C1162" s="1" t="n">
        <v>45565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46069-2023</t>
        </is>
      </c>
      <c r="B1163" s="1" t="n">
        <v>45196</v>
      </c>
      <c r="C1163" s="1" t="n">
        <v>45565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46130-2023</t>
        </is>
      </c>
      <c r="B1164" s="1" t="n">
        <v>45196</v>
      </c>
      <c r="C1164" s="1" t="n">
        <v>45565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46066-2023</t>
        </is>
      </c>
      <c r="B1165" s="1" t="n">
        <v>45196</v>
      </c>
      <c r="C1165" s="1" t="n">
        <v>45565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46070-2023</t>
        </is>
      </c>
      <c r="B1166" s="1" t="n">
        <v>45196</v>
      </c>
      <c r="C1166" s="1" t="n">
        <v>45565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46121-2023</t>
        </is>
      </c>
      <c r="B1167" s="1" t="n">
        <v>45196</v>
      </c>
      <c r="C1167" s="1" t="n">
        <v>45565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46126-2023</t>
        </is>
      </c>
      <c r="B1168" s="1" t="n">
        <v>45196</v>
      </c>
      <c r="C1168" s="1" t="n">
        <v>45565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46131-2023</t>
        </is>
      </c>
      <c r="B1169" s="1" t="n">
        <v>45196</v>
      </c>
      <c r="C1169" s="1" t="n">
        <v>45565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46598-2023</t>
        </is>
      </c>
      <c r="B1170" s="1" t="n">
        <v>45198</v>
      </c>
      <c r="C1170" s="1" t="n">
        <v>45565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46717-2023</t>
        </is>
      </c>
      <c r="B1171" s="1" t="n">
        <v>45198</v>
      </c>
      <c r="C1171" s="1" t="n">
        <v>45565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46718-2023</t>
        </is>
      </c>
      <c r="B1172" s="1" t="n">
        <v>45198</v>
      </c>
      <c r="C1172" s="1" t="n">
        <v>45565</v>
      </c>
      <c r="D1172" t="inlineStr">
        <is>
          <t>KALMAR LÄN</t>
        </is>
      </c>
      <c r="E1172" t="inlineStr">
        <is>
          <t>VÄSTERVIK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47123-2023</t>
        </is>
      </c>
      <c r="B1173" s="1" t="n">
        <v>45201</v>
      </c>
      <c r="C1173" s="1" t="n">
        <v>45565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46920-2023</t>
        </is>
      </c>
      <c r="B1174" s="1" t="n">
        <v>45201</v>
      </c>
      <c r="C1174" s="1" t="n">
        <v>45565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47111-2023</t>
        </is>
      </c>
      <c r="B1175" s="1" t="n">
        <v>45201</v>
      </c>
      <c r="C1175" s="1" t="n">
        <v>45565</v>
      </c>
      <c r="D1175" t="inlineStr">
        <is>
          <t>KALMAR LÄN</t>
        </is>
      </c>
      <c r="E1175" t="inlineStr">
        <is>
          <t>VÄSTERVIK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47120-2023</t>
        </is>
      </c>
      <c r="B1176" s="1" t="n">
        <v>45201</v>
      </c>
      <c r="C1176" s="1" t="n">
        <v>45565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47124-2023</t>
        </is>
      </c>
      <c r="B1177" s="1" t="n">
        <v>45201</v>
      </c>
      <c r="C1177" s="1" t="n">
        <v>45565</v>
      </c>
      <c r="D1177" t="inlineStr">
        <is>
          <t>KALMAR LÄN</t>
        </is>
      </c>
      <c r="E1177" t="inlineStr">
        <is>
          <t>VÄSTERVIK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46970-2023</t>
        </is>
      </c>
      <c r="B1178" s="1" t="n">
        <v>45201</v>
      </c>
      <c r="C1178" s="1" t="n">
        <v>45565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46968-2023</t>
        </is>
      </c>
      <c r="B1179" s="1" t="n">
        <v>45201</v>
      </c>
      <c r="C1179" s="1" t="n">
        <v>45565</v>
      </c>
      <c r="D1179" t="inlineStr">
        <is>
          <t>KALMAR LÄN</t>
        </is>
      </c>
      <c r="E1179" t="inlineStr">
        <is>
          <t>VÄSTERVIK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47414-2023</t>
        </is>
      </c>
      <c r="B1180" s="1" t="n">
        <v>45202</v>
      </c>
      <c r="C1180" s="1" t="n">
        <v>45565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47267-2023</t>
        </is>
      </c>
      <c r="B1181" s="1" t="n">
        <v>45202</v>
      </c>
      <c r="C1181" s="1" t="n">
        <v>45565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47363-2023</t>
        </is>
      </c>
      <c r="B1182" s="1" t="n">
        <v>45202</v>
      </c>
      <c r="C1182" s="1" t="n">
        <v>45565</v>
      </c>
      <c r="D1182" t="inlineStr">
        <is>
          <t>KALMAR LÄN</t>
        </is>
      </c>
      <c r="E1182" t="inlineStr">
        <is>
          <t>VÄSTERVIK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47964-2023</t>
        </is>
      </c>
      <c r="B1183" s="1" t="n">
        <v>45204</v>
      </c>
      <c r="C1183" s="1" t="n">
        <v>45565</v>
      </c>
      <c r="D1183" t="inlineStr">
        <is>
          <t>KALMAR LÄN</t>
        </is>
      </c>
      <c r="E1183" t="inlineStr">
        <is>
          <t>VÄSTERVIK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47945-2023</t>
        </is>
      </c>
      <c r="B1184" s="1" t="n">
        <v>45204</v>
      </c>
      <c r="C1184" s="1" t="n">
        <v>45565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47939-2023</t>
        </is>
      </c>
      <c r="B1185" s="1" t="n">
        <v>45204</v>
      </c>
      <c r="C1185" s="1" t="n">
        <v>45565</v>
      </c>
      <c r="D1185" t="inlineStr">
        <is>
          <t>KALMAR LÄN</t>
        </is>
      </c>
      <c r="E1185" t="inlineStr">
        <is>
          <t>VÄSTERVIK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48039-2023</t>
        </is>
      </c>
      <c r="B1186" s="1" t="n">
        <v>45204</v>
      </c>
      <c r="C1186" s="1" t="n">
        <v>45565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48043-2023</t>
        </is>
      </c>
      <c r="B1187" s="1" t="n">
        <v>45204</v>
      </c>
      <c r="C1187" s="1" t="n">
        <v>45565</v>
      </c>
      <c r="D1187" t="inlineStr">
        <is>
          <t>KALMAR LÄN</t>
        </is>
      </c>
      <c r="E1187" t="inlineStr">
        <is>
          <t>VÄSTERVIK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48041-2023</t>
        </is>
      </c>
      <c r="B1188" s="1" t="n">
        <v>45204</v>
      </c>
      <c r="C1188" s="1" t="n">
        <v>45565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47967-2023</t>
        </is>
      </c>
      <c r="B1189" s="1" t="n">
        <v>45204</v>
      </c>
      <c r="C1189" s="1" t="n">
        <v>45565</v>
      </c>
      <c r="D1189" t="inlineStr">
        <is>
          <t>KALMAR LÄN</t>
        </is>
      </c>
      <c r="E1189" t="inlineStr">
        <is>
          <t>VÄSTERVIK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48511-2023</t>
        </is>
      </c>
      <c r="B1190" s="1" t="n">
        <v>45208</v>
      </c>
      <c r="C1190" s="1" t="n">
        <v>45565</v>
      </c>
      <c r="D1190" t="inlineStr">
        <is>
          <t>KALMAR LÄN</t>
        </is>
      </c>
      <c r="E1190" t="inlineStr">
        <is>
          <t>VÄSTERVIK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49177-2023</t>
        </is>
      </c>
      <c r="B1191" s="1" t="n">
        <v>45210</v>
      </c>
      <c r="C1191" s="1" t="n">
        <v>45565</v>
      </c>
      <c r="D1191" t="inlineStr">
        <is>
          <t>KALMAR LÄN</t>
        </is>
      </c>
      <c r="E1191" t="inlineStr">
        <is>
          <t>VÄSTERVIK</t>
        </is>
      </c>
      <c r="G1191" t="n">
        <v>16.7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49351-2023</t>
        </is>
      </c>
      <c r="B1192" s="1" t="n">
        <v>45211</v>
      </c>
      <c r="C1192" s="1" t="n">
        <v>45565</v>
      </c>
      <c r="D1192" t="inlineStr">
        <is>
          <t>KALMAR LÄN</t>
        </is>
      </c>
      <c r="E1192" t="inlineStr">
        <is>
          <t>VÄSTERVIK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49355-2023</t>
        </is>
      </c>
      <c r="B1193" s="1" t="n">
        <v>45211</v>
      </c>
      <c r="C1193" s="1" t="n">
        <v>45565</v>
      </c>
      <c r="D1193" t="inlineStr">
        <is>
          <t>KALMAR LÄN</t>
        </is>
      </c>
      <c r="E1193" t="inlineStr">
        <is>
          <t>VÄSTERVIK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49369-2023</t>
        </is>
      </c>
      <c r="B1194" s="1" t="n">
        <v>45211</v>
      </c>
      <c r="C1194" s="1" t="n">
        <v>45565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49452-2023</t>
        </is>
      </c>
      <c r="B1195" s="1" t="n">
        <v>45211</v>
      </c>
      <c r="C1195" s="1" t="n">
        <v>45565</v>
      </c>
      <c r="D1195" t="inlineStr">
        <is>
          <t>KALMAR LÄN</t>
        </is>
      </c>
      <c r="E1195" t="inlineStr">
        <is>
          <t>VÄSTERVIK</t>
        </is>
      </c>
      <c r="F1195" t="inlineStr">
        <is>
          <t>Övriga Aktiebolag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49479-2023</t>
        </is>
      </c>
      <c r="B1196" s="1" t="n">
        <v>45211</v>
      </c>
      <c r="C1196" s="1" t="n">
        <v>45565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49507-2023</t>
        </is>
      </c>
      <c r="B1197" s="1" t="n">
        <v>45211</v>
      </c>
      <c r="C1197" s="1" t="n">
        <v>45565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49516-2023</t>
        </is>
      </c>
      <c r="B1198" s="1" t="n">
        <v>45211</v>
      </c>
      <c r="C1198" s="1" t="n">
        <v>45565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49442-2023</t>
        </is>
      </c>
      <c r="B1199" s="1" t="n">
        <v>45211</v>
      </c>
      <c r="C1199" s="1" t="n">
        <v>45565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49468-2023</t>
        </is>
      </c>
      <c r="B1200" s="1" t="n">
        <v>45211</v>
      </c>
      <c r="C1200" s="1" t="n">
        <v>45565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49580-2023</t>
        </is>
      </c>
      <c r="B1201" s="1" t="n">
        <v>45211</v>
      </c>
      <c r="C1201" s="1" t="n">
        <v>45565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50042-2023</t>
        </is>
      </c>
      <c r="B1202" s="1" t="n">
        <v>45215</v>
      </c>
      <c r="C1202" s="1" t="n">
        <v>45565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50127-2023</t>
        </is>
      </c>
      <c r="B1203" s="1" t="n">
        <v>45215</v>
      </c>
      <c r="C1203" s="1" t="n">
        <v>45565</v>
      </c>
      <c r="D1203" t="inlineStr">
        <is>
          <t>KALMAR LÄN</t>
        </is>
      </c>
      <c r="E1203" t="inlineStr">
        <is>
          <t>VÄSTERVIK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50001-2023</t>
        </is>
      </c>
      <c r="B1204" s="1" t="n">
        <v>45215</v>
      </c>
      <c r="C1204" s="1" t="n">
        <v>45565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50045-2023</t>
        </is>
      </c>
      <c r="B1205" s="1" t="n">
        <v>45215</v>
      </c>
      <c r="C1205" s="1" t="n">
        <v>45565</v>
      </c>
      <c r="D1205" t="inlineStr">
        <is>
          <t>KALMAR LÄN</t>
        </is>
      </c>
      <c r="E1205" t="inlineStr">
        <is>
          <t>VÄSTERVIK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50086-2023</t>
        </is>
      </c>
      <c r="B1206" s="1" t="n">
        <v>45215</v>
      </c>
      <c r="C1206" s="1" t="n">
        <v>45565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52043-2023</t>
        </is>
      </c>
      <c r="B1207" s="1" t="n">
        <v>45216</v>
      </c>
      <c r="C1207" s="1" t="n">
        <v>45565</v>
      </c>
      <c r="D1207" t="inlineStr">
        <is>
          <t>KALMAR LÄN</t>
        </is>
      </c>
      <c r="E1207" t="inlineStr">
        <is>
          <t>VÄSTERVIK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52049-2023</t>
        </is>
      </c>
      <c r="B1208" s="1" t="n">
        <v>45216</v>
      </c>
      <c r="C1208" s="1" t="n">
        <v>45565</v>
      </c>
      <c r="D1208" t="inlineStr">
        <is>
          <t>KALMAR LÄN</t>
        </is>
      </c>
      <c r="E1208" t="inlineStr">
        <is>
          <t>VÄSTERVIK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52035-2023</t>
        </is>
      </c>
      <c r="B1209" s="1" t="n">
        <v>45216</v>
      </c>
      <c r="C1209" s="1" t="n">
        <v>45565</v>
      </c>
      <c r="D1209" t="inlineStr">
        <is>
          <t>KALMAR LÄN</t>
        </is>
      </c>
      <c r="E1209" t="inlineStr">
        <is>
          <t>VÄSTERVIK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51524-2023</t>
        </is>
      </c>
      <c r="B1210" s="1" t="n">
        <v>45222</v>
      </c>
      <c r="C1210" s="1" t="n">
        <v>45565</v>
      </c>
      <c r="D1210" t="inlineStr">
        <is>
          <t>KALMAR LÄN</t>
        </is>
      </c>
      <c r="E1210" t="inlineStr">
        <is>
          <t>VÄSTERVIK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51640-2023</t>
        </is>
      </c>
      <c r="B1211" s="1" t="n">
        <v>45222</v>
      </c>
      <c r="C1211" s="1" t="n">
        <v>45565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51645-2023</t>
        </is>
      </c>
      <c r="B1212" s="1" t="n">
        <v>45222</v>
      </c>
      <c r="C1212" s="1" t="n">
        <v>45565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51581-2023</t>
        </is>
      </c>
      <c r="B1213" s="1" t="n">
        <v>45222</v>
      </c>
      <c r="C1213" s="1" t="n">
        <v>45565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52189-2023</t>
        </is>
      </c>
      <c r="B1214" s="1" t="n">
        <v>45224</v>
      </c>
      <c r="C1214" s="1" t="n">
        <v>45565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52325-2023</t>
        </is>
      </c>
      <c r="B1215" s="1" t="n">
        <v>45224</v>
      </c>
      <c r="C1215" s="1" t="n">
        <v>45565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52468-2023</t>
        </is>
      </c>
      <c r="B1216" s="1" t="n">
        <v>45225</v>
      </c>
      <c r="C1216" s="1" t="n">
        <v>45565</v>
      </c>
      <c r="D1216" t="inlineStr">
        <is>
          <t>KALMAR LÄN</t>
        </is>
      </c>
      <c r="E1216" t="inlineStr">
        <is>
          <t>VÄSTERVIK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52845-2023</t>
        </is>
      </c>
      <c r="B1217" s="1" t="n">
        <v>45226</v>
      </c>
      <c r="C1217" s="1" t="n">
        <v>45565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52844-2023</t>
        </is>
      </c>
      <c r="B1218" s="1" t="n">
        <v>45226</v>
      </c>
      <c r="C1218" s="1" t="n">
        <v>45565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54124-2023</t>
        </is>
      </c>
      <c r="B1219" s="1" t="n">
        <v>45232</v>
      </c>
      <c r="C1219" s="1" t="n">
        <v>45565</v>
      </c>
      <c r="D1219" t="inlineStr">
        <is>
          <t>KALMAR LÄN</t>
        </is>
      </c>
      <c r="E1219" t="inlineStr">
        <is>
          <t>VÄSTERVIK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54135-2023</t>
        </is>
      </c>
      <c r="B1220" s="1" t="n">
        <v>45232</v>
      </c>
      <c r="C1220" s="1" t="n">
        <v>45565</v>
      </c>
      <c r="D1220" t="inlineStr">
        <is>
          <t>KALMAR LÄN</t>
        </is>
      </c>
      <c r="E1220" t="inlineStr">
        <is>
          <t>VÄSTERVIK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54232-2023</t>
        </is>
      </c>
      <c r="B1221" s="1" t="n">
        <v>45232</v>
      </c>
      <c r="C1221" s="1" t="n">
        <v>45565</v>
      </c>
      <c r="D1221" t="inlineStr">
        <is>
          <t>KALMAR LÄN</t>
        </is>
      </c>
      <c r="E1221" t="inlineStr">
        <is>
          <t>VÄSTERVIK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54569-2023</t>
        </is>
      </c>
      <c r="B1222" s="1" t="n">
        <v>45233</v>
      </c>
      <c r="C1222" s="1" t="n">
        <v>45565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54358-2023</t>
        </is>
      </c>
      <c r="B1223" s="1" t="n">
        <v>45233</v>
      </c>
      <c r="C1223" s="1" t="n">
        <v>45565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54778-2023</t>
        </is>
      </c>
      <c r="B1224" s="1" t="n">
        <v>45236</v>
      </c>
      <c r="C1224" s="1" t="n">
        <v>45565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54951-2023</t>
        </is>
      </c>
      <c r="B1225" s="1" t="n">
        <v>45236</v>
      </c>
      <c r="C1225" s="1" t="n">
        <v>45565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55007-2023</t>
        </is>
      </c>
      <c r="B1226" s="1" t="n">
        <v>45237</v>
      </c>
      <c r="C1226" s="1" t="n">
        <v>45565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54950-2023</t>
        </is>
      </c>
      <c r="B1227" s="1" t="n">
        <v>45236</v>
      </c>
      <c r="C1227" s="1" t="n">
        <v>45565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54784-2023</t>
        </is>
      </c>
      <c r="B1228" s="1" t="n">
        <v>45236</v>
      </c>
      <c r="C1228" s="1" t="n">
        <v>45565</v>
      </c>
      <c r="D1228" t="inlineStr">
        <is>
          <t>KALMAR LÄN</t>
        </is>
      </c>
      <c r="E1228" t="inlineStr">
        <is>
          <t>VÄSTERVIK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54953-2023</t>
        </is>
      </c>
      <c r="B1229" s="1" t="n">
        <v>45236</v>
      </c>
      <c r="C1229" s="1" t="n">
        <v>45565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55287-2023</t>
        </is>
      </c>
      <c r="B1230" s="1" t="n">
        <v>45237</v>
      </c>
      <c r="C1230" s="1" t="n">
        <v>45565</v>
      </c>
      <c r="D1230" t="inlineStr">
        <is>
          <t>KALMAR LÄN</t>
        </is>
      </c>
      <c r="E1230" t="inlineStr">
        <is>
          <t>VÄSTERVIK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55289-2023</t>
        </is>
      </c>
      <c r="B1231" s="1" t="n">
        <v>45237</v>
      </c>
      <c r="C1231" s="1" t="n">
        <v>45565</v>
      </c>
      <c r="D1231" t="inlineStr">
        <is>
          <t>KALMAR LÄN</t>
        </is>
      </c>
      <c r="E1231" t="inlineStr">
        <is>
          <t>VÄSTERVIK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55403-2023</t>
        </is>
      </c>
      <c r="B1232" s="1" t="n">
        <v>45238</v>
      </c>
      <c r="C1232" s="1" t="n">
        <v>45565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55578-2023</t>
        </is>
      </c>
      <c r="B1233" s="1" t="n">
        <v>45238</v>
      </c>
      <c r="C1233" s="1" t="n">
        <v>45565</v>
      </c>
      <c r="D1233" t="inlineStr">
        <is>
          <t>KALMAR LÄN</t>
        </is>
      </c>
      <c r="E1233" t="inlineStr">
        <is>
          <t>VÄSTERVIK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56719-2023</t>
        </is>
      </c>
      <c r="B1234" s="1" t="n">
        <v>45238</v>
      </c>
      <c r="C1234" s="1" t="n">
        <v>45565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55866-2023</t>
        </is>
      </c>
      <c r="B1235" s="1" t="n">
        <v>45239</v>
      </c>
      <c r="C1235" s="1" t="n">
        <v>45565</v>
      </c>
      <c r="D1235" t="inlineStr">
        <is>
          <t>KALMAR LÄN</t>
        </is>
      </c>
      <c r="E1235" t="inlineStr">
        <is>
          <t>VÄSTERVIK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55958-2023</t>
        </is>
      </c>
      <c r="B1236" s="1" t="n">
        <v>45240</v>
      </c>
      <c r="C1236" s="1" t="n">
        <v>45565</v>
      </c>
      <c r="D1236" t="inlineStr">
        <is>
          <t>KALMAR LÄN</t>
        </is>
      </c>
      <c r="E1236" t="inlineStr">
        <is>
          <t>VÄSTERVIK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56188-2023</t>
        </is>
      </c>
      <c r="B1237" s="1" t="n">
        <v>45240</v>
      </c>
      <c r="C1237" s="1" t="n">
        <v>45565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56033-2023</t>
        </is>
      </c>
      <c r="B1238" s="1" t="n">
        <v>45240</v>
      </c>
      <c r="C1238" s="1" t="n">
        <v>45565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56187-2023</t>
        </is>
      </c>
      <c r="B1239" s="1" t="n">
        <v>45240</v>
      </c>
      <c r="C1239" s="1" t="n">
        <v>45565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HYPERLINK("https://klasma.github.io/Logging_0883/knärot/A 56187-2023 karta knärot.png", "A 56187-2023")</f>
        <v/>
      </c>
      <c r="V1239">
        <f>HYPERLINK("https://klasma.github.io/Logging_0883/klagomål/A 56187-2023 FSC-klagomål.docx", "A 56187-2023")</f>
        <v/>
      </c>
      <c r="W1239">
        <f>HYPERLINK("https://klasma.github.io/Logging_0883/klagomålsmail/A 56187-2023 FSC-klagomål mail.docx", "A 56187-2023")</f>
        <v/>
      </c>
      <c r="X1239">
        <f>HYPERLINK("https://klasma.github.io/Logging_0883/tillsyn/A 56187-2023 tillsynsbegäran.docx", "A 56187-2023")</f>
        <v/>
      </c>
      <c r="Y1239">
        <f>HYPERLINK("https://klasma.github.io/Logging_0883/tillsynsmail/A 56187-2023 tillsynsbegäran mail.docx", "A 56187-2023")</f>
        <v/>
      </c>
    </row>
    <row r="1240" ht="15" customHeight="1">
      <c r="A1240" t="inlineStr">
        <is>
          <t>A 56042-2023</t>
        </is>
      </c>
      <c r="B1240" s="1" t="n">
        <v>45240</v>
      </c>
      <c r="C1240" s="1" t="n">
        <v>45565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56046-2023</t>
        </is>
      </c>
      <c r="B1241" s="1" t="n">
        <v>45240</v>
      </c>
      <c r="C1241" s="1" t="n">
        <v>45565</v>
      </c>
      <c r="D1241" t="inlineStr">
        <is>
          <t>KALMAR LÄN</t>
        </is>
      </c>
      <c r="E1241" t="inlineStr">
        <is>
          <t>VÄSTERVIK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57019-2023</t>
        </is>
      </c>
      <c r="B1242" s="1" t="n">
        <v>45244</v>
      </c>
      <c r="C1242" s="1" t="n">
        <v>45565</v>
      </c>
      <c r="D1242" t="inlineStr">
        <is>
          <t>KALMAR LÄN</t>
        </is>
      </c>
      <c r="E1242" t="inlineStr">
        <is>
          <t>VÄSTERVIK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57025-2023</t>
        </is>
      </c>
      <c r="B1243" s="1" t="n">
        <v>45244</v>
      </c>
      <c r="C1243" s="1" t="n">
        <v>45565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57367-2023</t>
        </is>
      </c>
      <c r="B1244" s="1" t="n">
        <v>45245</v>
      </c>
      <c r="C1244" s="1" t="n">
        <v>45565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57162-2023</t>
        </is>
      </c>
      <c r="B1245" s="1" t="n">
        <v>45245</v>
      </c>
      <c r="C1245" s="1" t="n">
        <v>45565</v>
      </c>
      <c r="D1245" t="inlineStr">
        <is>
          <t>KALMAR LÄN</t>
        </is>
      </c>
      <c r="E1245" t="inlineStr">
        <is>
          <t>VÄSTERVIK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57369-2023</t>
        </is>
      </c>
      <c r="B1246" s="1" t="n">
        <v>45245</v>
      </c>
      <c r="C1246" s="1" t="n">
        <v>45565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57368-2023</t>
        </is>
      </c>
      <c r="B1247" s="1" t="n">
        <v>45245</v>
      </c>
      <c r="C1247" s="1" t="n">
        <v>45565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57366-2023</t>
        </is>
      </c>
      <c r="B1248" s="1" t="n">
        <v>45245</v>
      </c>
      <c r="C1248" s="1" t="n">
        <v>45565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57757-2023</t>
        </is>
      </c>
      <c r="B1249" s="1" t="n">
        <v>45246</v>
      </c>
      <c r="C1249" s="1" t="n">
        <v>45565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58454-2023</t>
        </is>
      </c>
      <c r="B1250" s="1" t="n">
        <v>45250</v>
      </c>
      <c r="C1250" s="1" t="n">
        <v>45565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58703-2023</t>
        </is>
      </c>
      <c r="B1251" s="1" t="n">
        <v>45251</v>
      </c>
      <c r="C1251" s="1" t="n">
        <v>45565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59331-2023</t>
        </is>
      </c>
      <c r="B1252" s="1" t="n">
        <v>45253</v>
      </c>
      <c r="C1252" s="1" t="n">
        <v>45565</v>
      </c>
      <c r="D1252" t="inlineStr">
        <is>
          <t>KALMAR LÄN</t>
        </is>
      </c>
      <c r="E1252" t="inlineStr">
        <is>
          <t>VÄSTERVIK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59539-2023</t>
        </is>
      </c>
      <c r="B1253" s="1" t="n">
        <v>45254</v>
      </c>
      <c r="C1253" s="1" t="n">
        <v>45565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59696-2023</t>
        </is>
      </c>
      <c r="B1254" s="1" t="n">
        <v>45256</v>
      </c>
      <c r="C1254" s="1" t="n">
        <v>45565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59695-2023</t>
        </is>
      </c>
      <c r="B1255" s="1" t="n">
        <v>45256</v>
      </c>
      <c r="C1255" s="1" t="n">
        <v>45565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59732-2023</t>
        </is>
      </c>
      <c r="B1256" s="1" t="n">
        <v>45257</v>
      </c>
      <c r="C1256" s="1" t="n">
        <v>45565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59844-2023</t>
        </is>
      </c>
      <c r="B1257" s="1" t="n">
        <v>45257</v>
      </c>
      <c r="C1257" s="1" t="n">
        <v>45565</v>
      </c>
      <c r="D1257" t="inlineStr">
        <is>
          <t>KALMAR LÄN</t>
        </is>
      </c>
      <c r="E1257" t="inlineStr">
        <is>
          <t>VÄSTERVIK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59847-2023</t>
        </is>
      </c>
      <c r="B1258" s="1" t="n">
        <v>45257</v>
      </c>
      <c r="C1258" s="1" t="n">
        <v>45565</v>
      </c>
      <c r="D1258" t="inlineStr">
        <is>
          <t>KALMAR LÄN</t>
        </is>
      </c>
      <c r="E1258" t="inlineStr">
        <is>
          <t>VÄSTERVIK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60056-2023</t>
        </is>
      </c>
      <c r="B1259" s="1" t="n">
        <v>45258</v>
      </c>
      <c r="C1259" s="1" t="n">
        <v>45565</v>
      </c>
      <c r="D1259" t="inlineStr">
        <is>
          <t>KALMAR LÄN</t>
        </is>
      </c>
      <c r="E1259" t="inlineStr">
        <is>
          <t>VÄSTERVIK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60196-2023</t>
        </is>
      </c>
      <c r="B1260" s="1" t="n">
        <v>45258</v>
      </c>
      <c r="C1260" s="1" t="n">
        <v>45565</v>
      </c>
      <c r="D1260" t="inlineStr">
        <is>
          <t>KALMAR LÄN</t>
        </is>
      </c>
      <c r="E1260" t="inlineStr">
        <is>
          <t>VÄSTERVIK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60179-2023</t>
        </is>
      </c>
      <c r="B1261" s="1" t="n">
        <v>45258</v>
      </c>
      <c r="C1261" s="1" t="n">
        <v>45565</v>
      </c>
      <c r="D1261" t="inlineStr">
        <is>
          <t>KALMAR LÄN</t>
        </is>
      </c>
      <c r="E1261" t="inlineStr">
        <is>
          <t>VÄSTERVIK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60187-2023</t>
        </is>
      </c>
      <c r="B1262" s="1" t="n">
        <v>45258</v>
      </c>
      <c r="C1262" s="1" t="n">
        <v>45565</v>
      </c>
      <c r="D1262" t="inlineStr">
        <is>
          <t>KALMAR LÄN</t>
        </is>
      </c>
      <c r="E1262" t="inlineStr">
        <is>
          <t>VÄSTERVIK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60300-2023</t>
        </is>
      </c>
      <c r="B1263" s="1" t="n">
        <v>45258</v>
      </c>
      <c r="C1263" s="1" t="n">
        <v>45565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60634-2023</t>
        </is>
      </c>
      <c r="B1264" s="1" t="n">
        <v>45260</v>
      </c>
      <c r="C1264" s="1" t="n">
        <v>45565</v>
      </c>
      <c r="D1264" t="inlineStr">
        <is>
          <t>KALMAR LÄN</t>
        </is>
      </c>
      <c r="E1264" t="inlineStr">
        <is>
          <t>VÄSTERVIK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60921-2023</t>
        </is>
      </c>
      <c r="B1265" s="1" t="n">
        <v>45261</v>
      </c>
      <c r="C1265" s="1" t="n">
        <v>45565</v>
      </c>
      <c r="D1265" t="inlineStr">
        <is>
          <t>KALMAR LÄN</t>
        </is>
      </c>
      <c r="E1265" t="inlineStr">
        <is>
          <t>VÄSTERVIK</t>
        </is>
      </c>
      <c r="G1265" t="n">
        <v>11.1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61556-2023</t>
        </is>
      </c>
      <c r="B1266" s="1" t="n">
        <v>45261</v>
      </c>
      <c r="C1266" s="1" t="n">
        <v>45565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61450-2023</t>
        </is>
      </c>
      <c r="B1267" s="1" t="n">
        <v>45264</v>
      </c>
      <c r="C1267" s="1" t="n">
        <v>45565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61449-2023</t>
        </is>
      </c>
      <c r="B1268" s="1" t="n">
        <v>45264</v>
      </c>
      <c r="C1268" s="1" t="n">
        <v>45565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61448-2023</t>
        </is>
      </c>
      <c r="B1269" s="1" t="n">
        <v>45264</v>
      </c>
      <c r="C1269" s="1" t="n">
        <v>45565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61728-2023</t>
        </is>
      </c>
      <c r="B1270" s="1" t="n">
        <v>45265</v>
      </c>
      <c r="C1270" s="1" t="n">
        <v>45565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61746-2023</t>
        </is>
      </c>
      <c r="B1271" s="1" t="n">
        <v>45265</v>
      </c>
      <c r="C1271" s="1" t="n">
        <v>45565</v>
      </c>
      <c r="D1271" t="inlineStr">
        <is>
          <t>KALMAR LÄN</t>
        </is>
      </c>
      <c r="E1271" t="inlineStr">
        <is>
          <t>VÄSTERVIK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61807-2023</t>
        </is>
      </c>
      <c r="B1272" s="1" t="n">
        <v>45266</v>
      </c>
      <c r="C1272" s="1" t="n">
        <v>45565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61999-2023</t>
        </is>
      </c>
      <c r="B1273" s="1" t="n">
        <v>45266</v>
      </c>
      <c r="C1273" s="1" t="n">
        <v>45565</v>
      </c>
      <c r="D1273" t="inlineStr">
        <is>
          <t>KALMAR LÄN</t>
        </is>
      </c>
      <c r="E1273" t="inlineStr">
        <is>
          <t>VÄSTERVIK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62003-2023</t>
        </is>
      </c>
      <c r="B1274" s="1" t="n">
        <v>45266</v>
      </c>
      <c r="C1274" s="1" t="n">
        <v>45565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62017-2023</t>
        </is>
      </c>
      <c r="B1275" s="1" t="n">
        <v>45266</v>
      </c>
      <c r="C1275" s="1" t="n">
        <v>45565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62027-2023</t>
        </is>
      </c>
      <c r="B1276" s="1" t="n">
        <v>45266</v>
      </c>
      <c r="C1276" s="1" t="n">
        <v>45565</v>
      </c>
      <c r="D1276" t="inlineStr">
        <is>
          <t>KALMAR LÄN</t>
        </is>
      </c>
      <c r="E1276" t="inlineStr">
        <is>
          <t>VÄSTERVIK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62034-2023</t>
        </is>
      </c>
      <c r="B1277" s="1" t="n">
        <v>45266</v>
      </c>
      <c r="C1277" s="1" t="n">
        <v>45565</v>
      </c>
      <c r="D1277" t="inlineStr">
        <is>
          <t>KALMAR LÄN</t>
        </is>
      </c>
      <c r="E1277" t="inlineStr">
        <is>
          <t>VÄSTERVIK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62340-2023</t>
        </is>
      </c>
      <c r="B1278" s="1" t="n">
        <v>45267</v>
      </c>
      <c r="C1278" s="1" t="n">
        <v>45565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62589-2023</t>
        </is>
      </c>
      <c r="B1279" s="1" t="n">
        <v>45270</v>
      </c>
      <c r="C1279" s="1" t="n">
        <v>45565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HYPERLINK("https://klasma.github.io/Logging_0883/knärot/A 62589-2023 karta knärot.png", "A 62589-2023")</f>
        <v/>
      </c>
      <c r="V1279">
        <f>HYPERLINK("https://klasma.github.io/Logging_0883/klagomål/A 62589-2023 FSC-klagomål.docx", "A 62589-2023")</f>
        <v/>
      </c>
      <c r="W1279">
        <f>HYPERLINK("https://klasma.github.io/Logging_0883/klagomålsmail/A 62589-2023 FSC-klagomål mail.docx", "A 62589-2023")</f>
        <v/>
      </c>
      <c r="X1279">
        <f>HYPERLINK("https://klasma.github.io/Logging_0883/tillsyn/A 62589-2023 tillsynsbegäran.docx", "A 62589-2023")</f>
        <v/>
      </c>
      <c r="Y1279">
        <f>HYPERLINK("https://klasma.github.io/Logging_0883/tillsynsmail/A 62589-2023 tillsynsbegäran mail.docx", "A 62589-2023")</f>
        <v/>
      </c>
    </row>
    <row r="1280" ht="15" customHeight="1">
      <c r="A1280" t="inlineStr">
        <is>
          <t>A 62898-2023</t>
        </is>
      </c>
      <c r="B1280" s="1" t="n">
        <v>45271</v>
      </c>
      <c r="C1280" s="1" t="n">
        <v>45565</v>
      </c>
      <c r="D1280" t="inlineStr">
        <is>
          <t>KALMAR LÄN</t>
        </is>
      </c>
      <c r="E1280" t="inlineStr">
        <is>
          <t>VÄSTERVIK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62888-2023</t>
        </is>
      </c>
      <c r="B1281" s="1" t="n">
        <v>45272</v>
      </c>
      <c r="C1281" s="1" t="n">
        <v>45565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63018-2023</t>
        </is>
      </c>
      <c r="B1282" s="1" t="n">
        <v>45272</v>
      </c>
      <c r="C1282" s="1" t="n">
        <v>45565</v>
      </c>
      <c r="D1282" t="inlineStr">
        <is>
          <t>KALMAR LÄN</t>
        </is>
      </c>
      <c r="E1282" t="inlineStr">
        <is>
          <t>VÄSTERVIK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62873-2023</t>
        </is>
      </c>
      <c r="B1283" s="1" t="n">
        <v>45272</v>
      </c>
      <c r="C1283" s="1" t="n">
        <v>45565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62887-2023</t>
        </is>
      </c>
      <c r="B1284" s="1" t="n">
        <v>45272</v>
      </c>
      <c r="C1284" s="1" t="n">
        <v>45565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62850-2023</t>
        </is>
      </c>
      <c r="B1285" s="1" t="n">
        <v>45272</v>
      </c>
      <c r="C1285" s="1" t="n">
        <v>45565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62876-2023</t>
        </is>
      </c>
      <c r="B1286" s="1" t="n">
        <v>45272</v>
      </c>
      <c r="C1286" s="1" t="n">
        <v>45565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63023-2023</t>
        </is>
      </c>
      <c r="B1287" s="1" t="n">
        <v>45272</v>
      </c>
      <c r="C1287" s="1" t="n">
        <v>45565</v>
      </c>
      <c r="D1287" t="inlineStr">
        <is>
          <t>KALMAR LÄN</t>
        </is>
      </c>
      <c r="E1287" t="inlineStr">
        <is>
          <t>VÄSTERVIK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63043-2023</t>
        </is>
      </c>
      <c r="B1288" s="1" t="n">
        <v>45272</v>
      </c>
      <c r="C1288" s="1" t="n">
        <v>45565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62921-2023</t>
        </is>
      </c>
      <c r="B1289" s="1" t="n">
        <v>45272</v>
      </c>
      <c r="C1289" s="1" t="n">
        <v>45565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63017-2023</t>
        </is>
      </c>
      <c r="B1290" s="1" t="n">
        <v>45272</v>
      </c>
      <c r="C1290" s="1" t="n">
        <v>45565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63021-2023</t>
        </is>
      </c>
      <c r="B1291" s="1" t="n">
        <v>45272</v>
      </c>
      <c r="C1291" s="1" t="n">
        <v>45565</v>
      </c>
      <c r="D1291" t="inlineStr">
        <is>
          <t>KALMAR LÄN</t>
        </is>
      </c>
      <c r="E1291" t="inlineStr">
        <is>
          <t>VÄSTERVIK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63041-2023</t>
        </is>
      </c>
      <c r="B1292" s="1" t="n">
        <v>45272</v>
      </c>
      <c r="C1292" s="1" t="n">
        <v>45565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63361-2023</t>
        </is>
      </c>
      <c r="B1293" s="1" t="n">
        <v>45274</v>
      </c>
      <c r="C1293" s="1" t="n">
        <v>45565</v>
      </c>
      <c r="D1293" t="inlineStr">
        <is>
          <t>KALMAR LÄN</t>
        </is>
      </c>
      <c r="E1293" t="inlineStr">
        <is>
          <t>VÄSTERVIK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63606-2023</t>
        </is>
      </c>
      <c r="B1294" s="1" t="n">
        <v>45275</v>
      </c>
      <c r="C1294" s="1" t="n">
        <v>45565</v>
      </c>
      <c r="D1294" t="inlineStr">
        <is>
          <t>KALMAR LÄN</t>
        </is>
      </c>
      <c r="E1294" t="inlineStr">
        <is>
          <t>VÄSTERVIK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63890-2023</t>
        </is>
      </c>
      <c r="B1295" s="1" t="n">
        <v>45278</v>
      </c>
      <c r="C1295" s="1" t="n">
        <v>45565</v>
      </c>
      <c r="D1295" t="inlineStr">
        <is>
          <t>KALMAR LÄN</t>
        </is>
      </c>
      <c r="E1295" t="inlineStr">
        <is>
          <t>VÄSTERVIK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63859-2023</t>
        </is>
      </c>
      <c r="B1296" s="1" t="n">
        <v>45278</v>
      </c>
      <c r="C1296" s="1" t="n">
        <v>45565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64040-2023</t>
        </is>
      </c>
      <c r="B1297" s="1" t="n">
        <v>45279</v>
      </c>
      <c r="C1297" s="1" t="n">
        <v>45565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64580-2023</t>
        </is>
      </c>
      <c r="B1298" s="1" t="n">
        <v>45281</v>
      </c>
      <c r="C1298" s="1" t="n">
        <v>45565</v>
      </c>
      <c r="D1298" t="inlineStr">
        <is>
          <t>KALMAR LÄN</t>
        </is>
      </c>
      <c r="E1298" t="inlineStr">
        <is>
          <t>VÄSTERVIK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64762-2023</t>
        </is>
      </c>
      <c r="B1299" s="1" t="n">
        <v>45282</v>
      </c>
      <c r="C1299" s="1" t="n">
        <v>45565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64763-2023</t>
        </is>
      </c>
      <c r="B1300" s="1" t="n">
        <v>45282</v>
      </c>
      <c r="C1300" s="1" t="n">
        <v>45565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64760-2023</t>
        </is>
      </c>
      <c r="B1301" s="1" t="n">
        <v>45282</v>
      </c>
      <c r="C1301" s="1" t="n">
        <v>45565</v>
      </c>
      <c r="D1301" t="inlineStr">
        <is>
          <t>KALMAR LÄN</t>
        </is>
      </c>
      <c r="E1301" t="inlineStr">
        <is>
          <t>VÄSTERVIK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64886-2023</t>
        </is>
      </c>
      <c r="B1302" s="1" t="n">
        <v>45282</v>
      </c>
      <c r="C1302" s="1" t="n">
        <v>45565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65046-2023</t>
        </is>
      </c>
      <c r="B1303" s="1" t="n">
        <v>45287</v>
      </c>
      <c r="C1303" s="1" t="n">
        <v>45565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65028-2023</t>
        </is>
      </c>
      <c r="B1304" s="1" t="n">
        <v>45287</v>
      </c>
      <c r="C1304" s="1" t="n">
        <v>45565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65059-2023</t>
        </is>
      </c>
      <c r="B1305" s="1" t="n">
        <v>45287</v>
      </c>
      <c r="C1305" s="1" t="n">
        <v>45565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338-2024</t>
        </is>
      </c>
      <c r="B1306" s="1" t="n">
        <v>45295</v>
      </c>
      <c r="C1306" s="1" t="n">
        <v>45565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340-2024</t>
        </is>
      </c>
      <c r="B1307" s="1" t="n">
        <v>45295</v>
      </c>
      <c r="C1307" s="1" t="n">
        <v>45565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492-2024</t>
        </is>
      </c>
      <c r="B1308" s="1" t="n">
        <v>45299</v>
      </c>
      <c r="C1308" s="1" t="n">
        <v>45565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782-2024</t>
        </is>
      </c>
      <c r="B1309" s="1" t="n">
        <v>45300</v>
      </c>
      <c r="C1309" s="1" t="n">
        <v>45565</v>
      </c>
      <c r="D1309" t="inlineStr">
        <is>
          <t>KALMAR LÄN</t>
        </is>
      </c>
      <c r="E1309" t="inlineStr">
        <is>
          <t>VÄSTERVIK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928-2024</t>
        </is>
      </c>
      <c r="B1310" s="1" t="n">
        <v>45301</v>
      </c>
      <c r="C1310" s="1" t="n">
        <v>45565</v>
      </c>
      <c r="D1310" t="inlineStr">
        <is>
          <t>KALMAR LÄN</t>
        </is>
      </c>
      <c r="E1310" t="inlineStr">
        <is>
          <t>VÄSTERVIK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936-2024</t>
        </is>
      </c>
      <c r="B1311" s="1" t="n">
        <v>45301</v>
      </c>
      <c r="C1311" s="1" t="n">
        <v>45565</v>
      </c>
      <c r="D1311" t="inlineStr">
        <is>
          <t>KALMAR LÄN</t>
        </is>
      </c>
      <c r="E1311" t="inlineStr">
        <is>
          <t>VÄSTERVIK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944-2024</t>
        </is>
      </c>
      <c r="B1312" s="1" t="n">
        <v>45301</v>
      </c>
      <c r="C1312" s="1" t="n">
        <v>45565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901-2024</t>
        </is>
      </c>
      <c r="B1313" s="1" t="n">
        <v>45301</v>
      </c>
      <c r="C1313" s="1" t="n">
        <v>45565</v>
      </c>
      <c r="D1313" t="inlineStr">
        <is>
          <t>KALMAR LÄN</t>
        </is>
      </c>
      <c r="E1313" t="inlineStr">
        <is>
          <t>VÄSTERVIK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925-2024</t>
        </is>
      </c>
      <c r="B1314" s="1" t="n">
        <v>45301</v>
      </c>
      <c r="C1314" s="1" t="n">
        <v>45565</v>
      </c>
      <c r="D1314" t="inlineStr">
        <is>
          <t>KALMAR LÄN</t>
        </is>
      </c>
      <c r="E1314" t="inlineStr">
        <is>
          <t>VÄSTERVIK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949-2024</t>
        </is>
      </c>
      <c r="B1315" s="1" t="n">
        <v>45301</v>
      </c>
      <c r="C1315" s="1" t="n">
        <v>45565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934-2024</t>
        </is>
      </c>
      <c r="B1316" s="1" t="n">
        <v>45301</v>
      </c>
      <c r="C1316" s="1" t="n">
        <v>45565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942-2024</t>
        </is>
      </c>
      <c r="B1317" s="1" t="n">
        <v>45301</v>
      </c>
      <c r="C1317" s="1" t="n">
        <v>45565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946-2024</t>
        </is>
      </c>
      <c r="B1318" s="1" t="n">
        <v>45301</v>
      </c>
      <c r="C1318" s="1" t="n">
        <v>45565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1098-2024</t>
        </is>
      </c>
      <c r="B1319" s="1" t="n">
        <v>45302</v>
      </c>
      <c r="C1319" s="1" t="n">
        <v>45565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1096-2024</t>
        </is>
      </c>
      <c r="B1320" s="1" t="n">
        <v>45302</v>
      </c>
      <c r="C1320" s="1" t="n">
        <v>45565</v>
      </c>
      <c r="D1320" t="inlineStr">
        <is>
          <t>KALMAR LÄN</t>
        </is>
      </c>
      <c r="E1320" t="inlineStr">
        <is>
          <t>VÄSTERVIK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1665-2024</t>
        </is>
      </c>
      <c r="B1321" s="1" t="n">
        <v>45306</v>
      </c>
      <c r="C1321" s="1" t="n">
        <v>45565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1568-2024</t>
        </is>
      </c>
      <c r="B1322" s="1" t="n">
        <v>45306</v>
      </c>
      <c r="C1322" s="1" t="n">
        <v>45565</v>
      </c>
      <c r="D1322" t="inlineStr">
        <is>
          <t>KALMAR LÄN</t>
        </is>
      </c>
      <c r="E1322" t="inlineStr">
        <is>
          <t>VÄSTERVIK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1572-2024</t>
        </is>
      </c>
      <c r="B1323" s="1" t="n">
        <v>45306</v>
      </c>
      <c r="C1323" s="1" t="n">
        <v>45565</v>
      </c>
      <c r="D1323" t="inlineStr">
        <is>
          <t>KALMAR LÄN</t>
        </is>
      </c>
      <c r="E1323" t="inlineStr">
        <is>
          <t>VÄSTERVIK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1664-2024</t>
        </is>
      </c>
      <c r="B1324" s="1" t="n">
        <v>45306</v>
      </c>
      <c r="C1324" s="1" t="n">
        <v>45565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2153-2024</t>
        </is>
      </c>
      <c r="B1325" s="1" t="n">
        <v>45309</v>
      </c>
      <c r="C1325" s="1" t="n">
        <v>45565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2082-2024</t>
        </is>
      </c>
      <c r="B1326" s="1" t="n">
        <v>45309</v>
      </c>
      <c r="C1326" s="1" t="n">
        <v>45565</v>
      </c>
      <c r="D1326" t="inlineStr">
        <is>
          <t>KALMAR LÄN</t>
        </is>
      </c>
      <c r="E1326" t="inlineStr">
        <is>
          <t>VÄSTERVIK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2144-2024</t>
        </is>
      </c>
      <c r="B1327" s="1" t="n">
        <v>45309</v>
      </c>
      <c r="C1327" s="1" t="n">
        <v>45565</v>
      </c>
      <c r="D1327" t="inlineStr">
        <is>
          <t>KALMAR LÄN</t>
        </is>
      </c>
      <c r="E1327" t="inlineStr">
        <is>
          <t>VÄSTERVIK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2168-2024</t>
        </is>
      </c>
      <c r="B1328" s="1" t="n">
        <v>45309</v>
      </c>
      <c r="C1328" s="1" t="n">
        <v>45565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2520-2024</t>
        </is>
      </c>
      <c r="B1329" s="1" t="n">
        <v>45313</v>
      </c>
      <c r="C1329" s="1" t="n">
        <v>45565</v>
      </c>
      <c r="D1329" t="inlineStr">
        <is>
          <t>KALMAR LÄN</t>
        </is>
      </c>
      <c r="E1329" t="inlineStr">
        <is>
          <t>VÄSTERVIK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2507-2024</t>
        </is>
      </c>
      <c r="B1330" s="1" t="n">
        <v>45313</v>
      </c>
      <c r="C1330" s="1" t="n">
        <v>45565</v>
      </c>
      <c r="D1330" t="inlineStr">
        <is>
          <t>KALMAR LÄN</t>
        </is>
      </c>
      <c r="E1330" t="inlineStr">
        <is>
          <t>VÄSTERVIK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2543-2024</t>
        </is>
      </c>
      <c r="B1331" s="1" t="n">
        <v>45313</v>
      </c>
      <c r="C1331" s="1" t="n">
        <v>45565</v>
      </c>
      <c r="D1331" t="inlineStr">
        <is>
          <t>KALMAR LÄN</t>
        </is>
      </c>
      <c r="E1331" t="inlineStr">
        <is>
          <t>VÄSTERVIK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2634-2024</t>
        </is>
      </c>
      <c r="B1332" s="1" t="n">
        <v>45314</v>
      </c>
      <c r="C1332" s="1" t="n">
        <v>45565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2726-2024</t>
        </is>
      </c>
      <c r="B1333" s="1" t="n">
        <v>45314</v>
      </c>
      <c r="C1333" s="1" t="n">
        <v>45565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3157-2024</t>
        </is>
      </c>
      <c r="B1334" s="1" t="n">
        <v>45316</v>
      </c>
      <c r="C1334" s="1" t="n">
        <v>45565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3429-2024</t>
        </is>
      </c>
      <c r="B1335" s="1" t="n">
        <v>45320</v>
      </c>
      <c r="C1335" s="1" t="n">
        <v>45565</v>
      </c>
      <c r="D1335" t="inlineStr">
        <is>
          <t>KALMAR LÄN</t>
        </is>
      </c>
      <c r="E1335" t="inlineStr">
        <is>
          <t>VÄSTERVIK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3557-2024</t>
        </is>
      </c>
      <c r="B1336" s="1" t="n">
        <v>45320</v>
      </c>
      <c r="C1336" s="1" t="n">
        <v>45565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3818-2024</t>
        </is>
      </c>
      <c r="B1337" s="1" t="n">
        <v>45321</v>
      </c>
      <c r="C1337" s="1" t="n">
        <v>45565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3826-2024</t>
        </is>
      </c>
      <c r="B1338" s="1" t="n">
        <v>45321</v>
      </c>
      <c r="C1338" s="1" t="n">
        <v>45565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3830-2024</t>
        </is>
      </c>
      <c r="B1339" s="1" t="n">
        <v>45321</v>
      </c>
      <c r="C1339" s="1" t="n">
        <v>45565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3776-2024</t>
        </is>
      </c>
      <c r="B1340" s="1" t="n">
        <v>45321</v>
      </c>
      <c r="C1340" s="1" t="n">
        <v>45565</v>
      </c>
      <c r="D1340" t="inlineStr">
        <is>
          <t>KALMAR LÄN</t>
        </is>
      </c>
      <c r="E1340" t="inlineStr">
        <is>
          <t>VÄSTERVIK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3817-2024</t>
        </is>
      </c>
      <c r="B1341" s="1" t="n">
        <v>45321</v>
      </c>
      <c r="C1341" s="1" t="n">
        <v>45565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3829-2024</t>
        </is>
      </c>
      <c r="B1342" s="1" t="n">
        <v>45321</v>
      </c>
      <c r="C1342" s="1" t="n">
        <v>45565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3828-2024</t>
        </is>
      </c>
      <c r="B1343" s="1" t="n">
        <v>45321</v>
      </c>
      <c r="C1343" s="1" t="n">
        <v>45565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4520-2024</t>
        </is>
      </c>
      <c r="B1344" s="1" t="n">
        <v>45327</v>
      </c>
      <c r="C1344" s="1" t="n">
        <v>45565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4540-2024</t>
        </is>
      </c>
      <c r="B1345" s="1" t="n">
        <v>45327</v>
      </c>
      <c r="C1345" s="1" t="n">
        <v>45565</v>
      </c>
      <c r="D1345" t="inlineStr">
        <is>
          <t>KALMAR LÄN</t>
        </is>
      </c>
      <c r="E1345" t="inlineStr">
        <is>
          <t>VÄSTERVIK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4858-2024</t>
        </is>
      </c>
      <c r="B1346" s="1" t="n">
        <v>45329</v>
      </c>
      <c r="C1346" s="1" t="n">
        <v>45565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4950-2024</t>
        </is>
      </c>
      <c r="B1347" s="1" t="n">
        <v>45329</v>
      </c>
      <c r="C1347" s="1" t="n">
        <v>45565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5004-2024</t>
        </is>
      </c>
      <c r="B1348" s="1" t="n">
        <v>45329</v>
      </c>
      <c r="C1348" s="1" t="n">
        <v>45565</v>
      </c>
      <c r="D1348" t="inlineStr">
        <is>
          <t>KALMAR LÄN</t>
        </is>
      </c>
      <c r="E1348" t="inlineStr">
        <is>
          <t>VÄSTERVIK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4945-2024</t>
        </is>
      </c>
      <c r="B1349" s="1" t="n">
        <v>45329</v>
      </c>
      <c r="C1349" s="1" t="n">
        <v>45565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4965-2024</t>
        </is>
      </c>
      <c r="B1350" s="1" t="n">
        <v>45329</v>
      </c>
      <c r="C1350" s="1" t="n">
        <v>45565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5234-2024</t>
        </is>
      </c>
      <c r="B1351" s="1" t="n">
        <v>45330</v>
      </c>
      <c r="C1351" s="1" t="n">
        <v>45565</v>
      </c>
      <c r="D1351" t="inlineStr">
        <is>
          <t>KALMAR LÄN</t>
        </is>
      </c>
      <c r="E1351" t="inlineStr">
        <is>
          <t>VÄSTERVIK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5300-2024</t>
        </is>
      </c>
      <c r="B1352" s="1" t="n">
        <v>45331</v>
      </c>
      <c r="C1352" s="1" t="n">
        <v>45565</v>
      </c>
      <c r="D1352" t="inlineStr">
        <is>
          <t>KALMAR LÄN</t>
        </is>
      </c>
      <c r="E1352" t="inlineStr">
        <is>
          <t>VÄSTERVIK</t>
        </is>
      </c>
      <c r="F1352" t="inlineStr">
        <is>
          <t>Övriga Aktiebolag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5348-2024</t>
        </is>
      </c>
      <c r="B1353" s="1" t="n">
        <v>45331</v>
      </c>
      <c r="C1353" s="1" t="n">
        <v>45565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5355-2024</t>
        </is>
      </c>
      <c r="B1354" s="1" t="n">
        <v>45331</v>
      </c>
      <c r="C1354" s="1" t="n">
        <v>45565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5923-2024</t>
        </is>
      </c>
      <c r="B1355" s="1" t="n">
        <v>45335</v>
      </c>
      <c r="C1355" s="1" t="n">
        <v>45565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5924-2024</t>
        </is>
      </c>
      <c r="B1356" s="1" t="n">
        <v>45335</v>
      </c>
      <c r="C1356" s="1" t="n">
        <v>45565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5925-2024</t>
        </is>
      </c>
      <c r="B1357" s="1" t="n">
        <v>45336</v>
      </c>
      <c r="C1357" s="1" t="n">
        <v>45565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6019-2024</t>
        </is>
      </c>
      <c r="B1358" s="1" t="n">
        <v>45336</v>
      </c>
      <c r="C1358" s="1" t="n">
        <v>45565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6017-2024</t>
        </is>
      </c>
      <c r="B1359" s="1" t="n">
        <v>45336</v>
      </c>
      <c r="C1359" s="1" t="n">
        <v>45565</v>
      </c>
      <c r="D1359" t="inlineStr">
        <is>
          <t>KALMAR LÄN</t>
        </is>
      </c>
      <c r="E1359" t="inlineStr">
        <is>
          <t>VÄSTERVIK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6021-2024</t>
        </is>
      </c>
      <c r="B1360" s="1" t="n">
        <v>45336</v>
      </c>
      <c r="C1360" s="1" t="n">
        <v>45565</v>
      </c>
      <c r="D1360" t="inlineStr">
        <is>
          <t>KALMAR LÄN</t>
        </is>
      </c>
      <c r="E1360" t="inlineStr">
        <is>
          <t>VÄSTERVIK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6148-2024</t>
        </is>
      </c>
      <c r="B1361" s="1" t="n">
        <v>45337</v>
      </c>
      <c r="C1361" s="1" t="n">
        <v>45565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6289-2024</t>
        </is>
      </c>
      <c r="B1362" s="1" t="n">
        <v>45338</v>
      </c>
      <c r="C1362" s="1" t="n">
        <v>45565</v>
      </c>
      <c r="D1362" t="inlineStr">
        <is>
          <t>KALMAR LÄN</t>
        </is>
      </c>
      <c r="E1362" t="inlineStr">
        <is>
          <t>VÄSTERVIK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6426-2024</t>
        </is>
      </c>
      <c r="B1363" s="1" t="n">
        <v>45338</v>
      </c>
      <c r="C1363" s="1" t="n">
        <v>45565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6312-2024</t>
        </is>
      </c>
      <c r="B1364" s="1" t="n">
        <v>45338</v>
      </c>
      <c r="C1364" s="1" t="n">
        <v>45565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6406-2024</t>
        </is>
      </c>
      <c r="B1365" s="1" t="n">
        <v>45338</v>
      </c>
      <c r="C1365" s="1" t="n">
        <v>45565</v>
      </c>
      <c r="D1365" t="inlineStr">
        <is>
          <t>KALMAR LÄN</t>
        </is>
      </c>
      <c r="E1365" t="inlineStr">
        <is>
          <t>VÄSTERVIK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HYPERLINK("https://klasma.github.io/Logging_0883/knärot/A 6406-2024 karta knärot.png", "A 6406-2024")</f>
        <v/>
      </c>
      <c r="V1365">
        <f>HYPERLINK("https://klasma.github.io/Logging_0883/klagomål/A 6406-2024 FSC-klagomål.docx", "A 6406-2024")</f>
        <v/>
      </c>
      <c r="W1365">
        <f>HYPERLINK("https://klasma.github.io/Logging_0883/klagomålsmail/A 6406-2024 FSC-klagomål mail.docx", "A 6406-2024")</f>
        <v/>
      </c>
      <c r="X1365">
        <f>HYPERLINK("https://klasma.github.io/Logging_0883/tillsyn/A 6406-2024 tillsynsbegäran.docx", "A 6406-2024")</f>
        <v/>
      </c>
      <c r="Y1365">
        <f>HYPERLINK("https://klasma.github.io/Logging_0883/tillsynsmail/A 6406-2024 tillsynsbegäran mail.docx", "A 6406-2024")</f>
        <v/>
      </c>
    </row>
    <row r="1366" ht="15" customHeight="1">
      <c r="A1366" t="inlineStr">
        <is>
          <t>A 6731-2024</t>
        </is>
      </c>
      <c r="B1366" s="1" t="n">
        <v>45342</v>
      </c>
      <c r="C1366" s="1" t="n">
        <v>45565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6746-2024</t>
        </is>
      </c>
      <c r="B1367" s="1" t="n">
        <v>45342</v>
      </c>
      <c r="C1367" s="1" t="n">
        <v>45565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8.699999999999999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7089-2024</t>
        </is>
      </c>
      <c r="B1368" s="1" t="n">
        <v>45343</v>
      </c>
      <c r="C1368" s="1" t="n">
        <v>45565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7090-2024</t>
        </is>
      </c>
      <c r="B1369" s="1" t="n">
        <v>45343</v>
      </c>
      <c r="C1369" s="1" t="n">
        <v>45565</v>
      </c>
      <c r="D1369" t="inlineStr">
        <is>
          <t>KALMAR LÄN</t>
        </is>
      </c>
      <c r="E1369" t="inlineStr">
        <is>
          <t>VÄSTERVIK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7512-2024</t>
        </is>
      </c>
      <c r="B1370" s="1" t="n">
        <v>45348</v>
      </c>
      <c r="C1370" s="1" t="n">
        <v>45565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7536-2024</t>
        </is>
      </c>
      <c r="B1371" s="1" t="n">
        <v>45348</v>
      </c>
      <c r="C1371" s="1" t="n">
        <v>45565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7548-2024</t>
        </is>
      </c>
      <c r="B1372" s="1" t="n">
        <v>45348</v>
      </c>
      <c r="C1372" s="1" t="n">
        <v>45565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7688-2024</t>
        </is>
      </c>
      <c r="B1373" s="1" t="n">
        <v>45349</v>
      </c>
      <c r="C1373" s="1" t="n">
        <v>45565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7687-2024</t>
        </is>
      </c>
      <c r="B1374" s="1" t="n">
        <v>45349</v>
      </c>
      <c r="C1374" s="1" t="n">
        <v>45565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8089-2024</t>
        </is>
      </c>
      <c r="B1375" s="1" t="n">
        <v>45351</v>
      </c>
      <c r="C1375" s="1" t="n">
        <v>45565</v>
      </c>
      <c r="D1375" t="inlineStr">
        <is>
          <t>KALMAR LÄN</t>
        </is>
      </c>
      <c r="E1375" t="inlineStr">
        <is>
          <t>VÄSTERVIK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8619-2024</t>
        </is>
      </c>
      <c r="B1376" s="1" t="n">
        <v>45355</v>
      </c>
      <c r="C1376" s="1" t="n">
        <v>45565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8731-2024</t>
        </is>
      </c>
      <c r="B1377" s="1" t="n">
        <v>45356</v>
      </c>
      <c r="C1377" s="1" t="n">
        <v>45565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8732-2024</t>
        </is>
      </c>
      <c r="B1378" s="1" t="n">
        <v>45356</v>
      </c>
      <c r="C1378" s="1" t="n">
        <v>45565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9.199999999999999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9107-2024</t>
        </is>
      </c>
      <c r="B1379" s="1" t="n">
        <v>45357</v>
      </c>
      <c r="C1379" s="1" t="n">
        <v>45565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9124-2024</t>
        </is>
      </c>
      <c r="B1380" s="1" t="n">
        <v>45358</v>
      </c>
      <c r="C1380" s="1" t="n">
        <v>45565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9249-2024</t>
        </is>
      </c>
      <c r="B1381" s="1" t="n">
        <v>45358</v>
      </c>
      <c r="C1381" s="1" t="n">
        <v>45565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9140-2024</t>
        </is>
      </c>
      <c r="B1382" s="1" t="n">
        <v>45358</v>
      </c>
      <c r="C1382" s="1" t="n">
        <v>45565</v>
      </c>
      <c r="D1382" t="inlineStr">
        <is>
          <t>KALMAR LÄN</t>
        </is>
      </c>
      <c r="E1382" t="inlineStr">
        <is>
          <t>VÄSTERVIK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9549-2024</t>
        </is>
      </c>
      <c r="B1383" s="1" t="n">
        <v>45359</v>
      </c>
      <c r="C1383" s="1" t="n">
        <v>45565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9760-2024</t>
        </is>
      </c>
      <c r="B1384" s="1" t="n">
        <v>45362</v>
      </c>
      <c r="C1384" s="1" t="n">
        <v>45565</v>
      </c>
      <c r="D1384" t="inlineStr">
        <is>
          <t>KALMAR LÄN</t>
        </is>
      </c>
      <c r="E1384" t="inlineStr">
        <is>
          <t>VÄSTERVIK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9753-2024</t>
        </is>
      </c>
      <c r="B1385" s="1" t="n">
        <v>45362</v>
      </c>
      <c r="C1385" s="1" t="n">
        <v>45565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9985-2024</t>
        </is>
      </c>
      <c r="B1386" s="1" t="n">
        <v>45363</v>
      </c>
      <c r="C1386" s="1" t="n">
        <v>45565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10515-2024</t>
        </is>
      </c>
      <c r="B1387" s="1" t="n">
        <v>45366</v>
      </c>
      <c r="C1387" s="1" t="n">
        <v>45565</v>
      </c>
      <c r="D1387" t="inlineStr">
        <is>
          <t>KALMAR LÄN</t>
        </is>
      </c>
      <c r="E1387" t="inlineStr">
        <is>
          <t>VÄSTERVIK</t>
        </is>
      </c>
      <c r="F1387" t="inlineStr">
        <is>
          <t>Kyrkan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10521-2024</t>
        </is>
      </c>
      <c r="B1388" s="1" t="n">
        <v>45366</v>
      </c>
      <c r="C1388" s="1" t="n">
        <v>45565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10727-2024</t>
        </is>
      </c>
      <c r="B1389" s="1" t="n">
        <v>45369</v>
      </c>
      <c r="C1389" s="1" t="n">
        <v>45565</v>
      </c>
      <c r="D1389" t="inlineStr">
        <is>
          <t>KALMAR LÄN</t>
        </is>
      </c>
      <c r="E1389" t="inlineStr">
        <is>
          <t>VÄSTERVIK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10688-2024</t>
        </is>
      </c>
      <c r="B1390" s="1" t="n">
        <v>45369</v>
      </c>
      <c r="C1390" s="1" t="n">
        <v>45565</v>
      </c>
      <c r="D1390" t="inlineStr">
        <is>
          <t>KALMAR LÄN</t>
        </is>
      </c>
      <c r="E1390" t="inlineStr">
        <is>
          <t>VÄSTERVIK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10942-2024</t>
        </is>
      </c>
      <c r="B1391" s="1" t="n">
        <v>45370</v>
      </c>
      <c r="C1391" s="1" t="n">
        <v>45565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11189-2024</t>
        </is>
      </c>
      <c r="B1392" s="1" t="n">
        <v>45371</v>
      </c>
      <c r="C1392" s="1" t="n">
        <v>45565</v>
      </c>
      <c r="D1392" t="inlineStr">
        <is>
          <t>KALMAR LÄN</t>
        </is>
      </c>
      <c r="E1392" t="inlineStr">
        <is>
          <t>VÄSTERVIK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11167-2024</t>
        </is>
      </c>
      <c r="B1393" s="1" t="n">
        <v>45371</v>
      </c>
      <c r="C1393" s="1" t="n">
        <v>45565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11183-2024</t>
        </is>
      </c>
      <c r="B1394" s="1" t="n">
        <v>45371</v>
      </c>
      <c r="C1394" s="1" t="n">
        <v>45565</v>
      </c>
      <c r="D1394" t="inlineStr">
        <is>
          <t>KALMAR LÄN</t>
        </is>
      </c>
      <c r="E1394" t="inlineStr">
        <is>
          <t>VÄSTERVIK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11198-2024</t>
        </is>
      </c>
      <c r="B1395" s="1" t="n">
        <v>45371</v>
      </c>
      <c r="C1395" s="1" t="n">
        <v>45565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11750-2024</t>
        </is>
      </c>
      <c r="B1396" s="1" t="n">
        <v>45373</v>
      </c>
      <c r="C1396" s="1" t="n">
        <v>45565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11746-2024</t>
        </is>
      </c>
      <c r="B1397" s="1" t="n">
        <v>45373</v>
      </c>
      <c r="C1397" s="1" t="n">
        <v>45565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11611-2024</t>
        </is>
      </c>
      <c r="B1398" s="1" t="n">
        <v>45373</v>
      </c>
      <c r="C1398" s="1" t="n">
        <v>45565</v>
      </c>
      <c r="D1398" t="inlineStr">
        <is>
          <t>KALMAR LÄN</t>
        </is>
      </c>
      <c r="E1398" t="inlineStr">
        <is>
          <t>VÄSTERVIK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11791-2024</t>
        </is>
      </c>
      <c r="B1399" s="1" t="n">
        <v>45375</v>
      </c>
      <c r="C1399" s="1" t="n">
        <v>45565</v>
      </c>
      <c r="D1399" t="inlineStr">
        <is>
          <t>KALMAR LÄN</t>
        </is>
      </c>
      <c r="E1399" t="inlineStr">
        <is>
          <t>VÄSTERVIK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11848-2024</t>
        </is>
      </c>
      <c r="B1400" s="1" t="n">
        <v>45376</v>
      </c>
      <c r="C1400" s="1" t="n">
        <v>45565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11856-2024</t>
        </is>
      </c>
      <c r="B1401" s="1" t="n">
        <v>45376</v>
      </c>
      <c r="C1401" s="1" t="n">
        <v>45565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11864-2024</t>
        </is>
      </c>
      <c r="B1402" s="1" t="n">
        <v>45376</v>
      </c>
      <c r="C1402" s="1" t="n">
        <v>45565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11854-2024</t>
        </is>
      </c>
      <c r="B1403" s="1" t="n">
        <v>45376</v>
      </c>
      <c r="C1403" s="1" t="n">
        <v>45565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12009-2024</t>
        </is>
      </c>
      <c r="B1404" s="1" t="n">
        <v>45377</v>
      </c>
      <c r="C1404" s="1" t="n">
        <v>45565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12433-2024</t>
        </is>
      </c>
      <c r="B1405" s="1" t="n">
        <v>45379</v>
      </c>
      <c r="C1405" s="1" t="n">
        <v>45565</v>
      </c>
      <c r="D1405" t="inlineStr">
        <is>
          <t>KALMAR LÄN</t>
        </is>
      </c>
      <c r="E1405" t="inlineStr">
        <is>
          <t>VÄSTERVIK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12643-2024</t>
        </is>
      </c>
      <c r="B1406" s="1" t="n">
        <v>45379</v>
      </c>
      <c r="C1406" s="1" t="n">
        <v>45565</v>
      </c>
      <c r="D1406" t="inlineStr">
        <is>
          <t>KALMAR LÄN</t>
        </is>
      </c>
      <c r="E1406" t="inlineStr">
        <is>
          <t>VÄSTERVIK</t>
        </is>
      </c>
      <c r="F1406" t="inlineStr">
        <is>
          <t>Kommuner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12431-2024</t>
        </is>
      </c>
      <c r="B1407" s="1" t="n">
        <v>45379</v>
      </c>
      <c r="C1407" s="1" t="n">
        <v>45565</v>
      </c>
      <c r="D1407" t="inlineStr">
        <is>
          <t>KALMAR LÄN</t>
        </is>
      </c>
      <c r="E1407" t="inlineStr">
        <is>
          <t>VÄSTERVIK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12435-2024</t>
        </is>
      </c>
      <c r="B1408" s="1" t="n">
        <v>45379</v>
      </c>
      <c r="C1408" s="1" t="n">
        <v>45565</v>
      </c>
      <c r="D1408" t="inlineStr">
        <is>
          <t>KALMAR LÄN</t>
        </is>
      </c>
      <c r="E1408" t="inlineStr">
        <is>
          <t>VÄSTERVIK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12446-2024</t>
        </is>
      </c>
      <c r="B1409" s="1" t="n">
        <v>45379</v>
      </c>
      <c r="C1409" s="1" t="n">
        <v>45565</v>
      </c>
      <c r="D1409" t="inlineStr">
        <is>
          <t>KALMAR LÄN</t>
        </is>
      </c>
      <c r="E1409" t="inlineStr">
        <is>
          <t>VÄSTERVIK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12852-2024</t>
        </is>
      </c>
      <c r="B1410" s="1" t="n">
        <v>45384</v>
      </c>
      <c r="C1410" s="1" t="n">
        <v>45565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13400-2024</t>
        </is>
      </c>
      <c r="B1411" s="1" t="n">
        <v>45387</v>
      </c>
      <c r="C1411" s="1" t="n">
        <v>45565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13753-2024</t>
        </is>
      </c>
      <c r="B1412" s="1" t="n">
        <v>45390</v>
      </c>
      <c r="C1412" s="1" t="n">
        <v>45565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13743-2024</t>
        </is>
      </c>
      <c r="B1413" s="1" t="n">
        <v>45390</v>
      </c>
      <c r="C1413" s="1" t="n">
        <v>45565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13748-2024</t>
        </is>
      </c>
      <c r="B1414" s="1" t="n">
        <v>45390</v>
      </c>
      <c r="C1414" s="1" t="n">
        <v>45565</v>
      </c>
      <c r="D1414" t="inlineStr">
        <is>
          <t>KALMAR LÄN</t>
        </is>
      </c>
      <c r="E1414" t="inlineStr">
        <is>
          <t>VÄSTERVIK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13747-2024</t>
        </is>
      </c>
      <c r="B1415" s="1" t="n">
        <v>45390</v>
      </c>
      <c r="C1415" s="1" t="n">
        <v>45565</v>
      </c>
      <c r="D1415" t="inlineStr">
        <is>
          <t>KALMAR LÄN</t>
        </is>
      </c>
      <c r="E1415" t="inlineStr">
        <is>
          <t>VÄSTERVIK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13751-2024</t>
        </is>
      </c>
      <c r="B1416" s="1" t="n">
        <v>45390</v>
      </c>
      <c r="C1416" s="1" t="n">
        <v>45565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13742-2024</t>
        </is>
      </c>
      <c r="B1417" s="1" t="n">
        <v>45390</v>
      </c>
      <c r="C1417" s="1" t="n">
        <v>45565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13746-2024</t>
        </is>
      </c>
      <c r="B1418" s="1" t="n">
        <v>45390</v>
      </c>
      <c r="C1418" s="1" t="n">
        <v>45565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13750-2024</t>
        </is>
      </c>
      <c r="B1419" s="1" t="n">
        <v>45390</v>
      </c>
      <c r="C1419" s="1" t="n">
        <v>45565</v>
      </c>
      <c r="D1419" t="inlineStr">
        <is>
          <t>KALMAR LÄN</t>
        </is>
      </c>
      <c r="E1419" t="inlineStr">
        <is>
          <t>VÄSTERVIK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13825-2024</t>
        </is>
      </c>
      <c r="B1420" s="1" t="n">
        <v>45391</v>
      </c>
      <c r="C1420" s="1" t="n">
        <v>45565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13836-2024</t>
        </is>
      </c>
      <c r="B1421" s="1" t="n">
        <v>45391</v>
      </c>
      <c r="C1421" s="1" t="n">
        <v>45565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13840-2024</t>
        </is>
      </c>
      <c r="B1422" s="1" t="n">
        <v>45391</v>
      </c>
      <c r="C1422" s="1" t="n">
        <v>45565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13823-2024</t>
        </is>
      </c>
      <c r="B1423" s="1" t="n">
        <v>45391</v>
      </c>
      <c r="C1423" s="1" t="n">
        <v>45565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13827-2024</t>
        </is>
      </c>
      <c r="B1424" s="1" t="n">
        <v>45391</v>
      </c>
      <c r="C1424" s="1" t="n">
        <v>45565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13838-2024</t>
        </is>
      </c>
      <c r="B1425" s="1" t="n">
        <v>45391</v>
      </c>
      <c r="C1425" s="1" t="n">
        <v>45565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13837-2024</t>
        </is>
      </c>
      <c r="B1426" s="1" t="n">
        <v>45391</v>
      </c>
      <c r="C1426" s="1" t="n">
        <v>45565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13843-2024</t>
        </is>
      </c>
      <c r="B1427" s="1" t="n">
        <v>45391</v>
      </c>
      <c r="C1427" s="1" t="n">
        <v>45565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13839-2024</t>
        </is>
      </c>
      <c r="B1428" s="1" t="n">
        <v>45391</v>
      </c>
      <c r="C1428" s="1" t="n">
        <v>45565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14024-2024</t>
        </is>
      </c>
      <c r="B1429" s="1" t="n">
        <v>45392</v>
      </c>
      <c r="C1429" s="1" t="n">
        <v>45565</v>
      </c>
      <c r="D1429" t="inlineStr">
        <is>
          <t>KALMAR LÄN</t>
        </is>
      </c>
      <c r="E1429" t="inlineStr">
        <is>
          <t>VÄSTERVIK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14147-2024</t>
        </is>
      </c>
      <c r="B1430" s="1" t="n">
        <v>45392</v>
      </c>
      <c r="C1430" s="1" t="n">
        <v>45565</v>
      </c>
      <c r="D1430" t="inlineStr">
        <is>
          <t>KALMAR LÄN</t>
        </is>
      </c>
      <c r="E1430" t="inlineStr">
        <is>
          <t>VÄSTERVIK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14146-2024</t>
        </is>
      </c>
      <c r="B1431" s="1" t="n">
        <v>45392</v>
      </c>
      <c r="C1431" s="1" t="n">
        <v>45565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14145-2024</t>
        </is>
      </c>
      <c r="B1432" s="1" t="n">
        <v>45392</v>
      </c>
      <c r="C1432" s="1" t="n">
        <v>45565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14281-2024</t>
        </is>
      </c>
      <c r="B1433" s="1" t="n">
        <v>45393</v>
      </c>
      <c r="C1433" s="1" t="n">
        <v>45565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14282-2024</t>
        </is>
      </c>
      <c r="B1434" s="1" t="n">
        <v>45393</v>
      </c>
      <c r="C1434" s="1" t="n">
        <v>45565</v>
      </c>
      <c r="D1434" t="inlineStr">
        <is>
          <t>KALMAR LÄN</t>
        </is>
      </c>
      <c r="E1434" t="inlineStr">
        <is>
          <t>VÄSTERVIK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14237-2024</t>
        </is>
      </c>
      <c r="B1435" s="1" t="n">
        <v>45393</v>
      </c>
      <c r="C1435" s="1" t="n">
        <v>45565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14452-2024</t>
        </is>
      </c>
      <c r="B1436" s="1" t="n">
        <v>45394</v>
      </c>
      <c r="C1436" s="1" t="n">
        <v>45565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15356-2024</t>
        </is>
      </c>
      <c r="B1437" s="1" t="n">
        <v>45400</v>
      </c>
      <c r="C1437" s="1" t="n">
        <v>45565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15357-2024</t>
        </is>
      </c>
      <c r="B1438" s="1" t="n">
        <v>45400</v>
      </c>
      <c r="C1438" s="1" t="n">
        <v>45565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15553-2024</t>
        </is>
      </c>
      <c r="B1439" s="1" t="n">
        <v>45401</v>
      </c>
      <c r="C1439" s="1" t="n">
        <v>45565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16040-2024</t>
        </is>
      </c>
      <c r="B1440" s="1" t="n">
        <v>45405</v>
      </c>
      <c r="C1440" s="1" t="n">
        <v>45565</v>
      </c>
      <c r="D1440" t="inlineStr">
        <is>
          <t>KALMAR LÄN</t>
        </is>
      </c>
      <c r="E1440" t="inlineStr">
        <is>
          <t>VÄSTERVIK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15926-2024</t>
        </is>
      </c>
      <c r="B1441" s="1" t="n">
        <v>45405</v>
      </c>
      <c r="C1441" s="1" t="n">
        <v>45565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16395-2024</t>
        </is>
      </c>
      <c r="B1442" s="1" t="n">
        <v>45407</v>
      </c>
      <c r="C1442" s="1" t="n">
        <v>45565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  <c r="U1442">
        <f>HYPERLINK("https://klasma.github.io/Logging_0883/knärot/A 16395-2024 karta knärot.png", "A 16395-2024")</f>
        <v/>
      </c>
      <c r="V1442">
        <f>HYPERLINK("https://klasma.github.io/Logging_0883/klagomål/A 16395-2024 FSC-klagomål.docx", "A 16395-2024")</f>
        <v/>
      </c>
      <c r="W1442">
        <f>HYPERLINK("https://klasma.github.io/Logging_0883/klagomålsmail/A 16395-2024 FSC-klagomål mail.docx", "A 16395-2024")</f>
        <v/>
      </c>
      <c r="X1442">
        <f>HYPERLINK("https://klasma.github.io/Logging_0883/tillsyn/A 16395-2024 tillsynsbegäran.docx", "A 16395-2024")</f>
        <v/>
      </c>
      <c r="Y1442">
        <f>HYPERLINK("https://klasma.github.io/Logging_0883/tillsynsmail/A 16395-2024 tillsynsbegäran mail.docx", "A 16395-2024")</f>
        <v/>
      </c>
    </row>
    <row r="1443" ht="15" customHeight="1">
      <c r="A1443" t="inlineStr">
        <is>
          <t>A 16381-2024</t>
        </is>
      </c>
      <c r="B1443" s="1" t="n">
        <v>45407</v>
      </c>
      <c r="C1443" s="1" t="n">
        <v>45565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16385-2024</t>
        </is>
      </c>
      <c r="B1444" s="1" t="n">
        <v>45407</v>
      </c>
      <c r="C1444" s="1" t="n">
        <v>45565</v>
      </c>
      <c r="D1444" t="inlineStr">
        <is>
          <t>KALMAR LÄN</t>
        </is>
      </c>
      <c r="E1444" t="inlineStr">
        <is>
          <t>VÄSTERVIK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16386-2024</t>
        </is>
      </c>
      <c r="B1445" s="1" t="n">
        <v>45407</v>
      </c>
      <c r="C1445" s="1" t="n">
        <v>45565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16390-2024</t>
        </is>
      </c>
      <c r="B1446" s="1" t="n">
        <v>45407</v>
      </c>
      <c r="C1446" s="1" t="n">
        <v>45565</v>
      </c>
      <c r="D1446" t="inlineStr">
        <is>
          <t>KALMAR LÄN</t>
        </is>
      </c>
      <c r="E1446" t="inlineStr">
        <is>
          <t>VÄSTERVIK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16398-2024</t>
        </is>
      </c>
      <c r="B1447" s="1" t="n">
        <v>45407</v>
      </c>
      <c r="C1447" s="1" t="n">
        <v>45565</v>
      </c>
      <c r="D1447" t="inlineStr">
        <is>
          <t>KALMAR LÄN</t>
        </is>
      </c>
      <c r="E1447" t="inlineStr">
        <is>
          <t>VÄSTERVIK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16696-2024</t>
        </is>
      </c>
      <c r="B1448" s="1" t="n">
        <v>45409</v>
      </c>
      <c r="C1448" s="1" t="n">
        <v>45565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17216-2024</t>
        </is>
      </c>
      <c r="B1449" s="1" t="n">
        <v>45414</v>
      </c>
      <c r="C1449" s="1" t="n">
        <v>45565</v>
      </c>
      <c r="D1449" t="inlineStr">
        <is>
          <t>KALMAR LÄN</t>
        </is>
      </c>
      <c r="E1449" t="inlineStr">
        <is>
          <t>VÄSTERVIK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17214-2024</t>
        </is>
      </c>
      <c r="B1450" s="1" t="n">
        <v>45414</v>
      </c>
      <c r="C1450" s="1" t="n">
        <v>45565</v>
      </c>
      <c r="D1450" t="inlineStr">
        <is>
          <t>KALMAR LÄN</t>
        </is>
      </c>
      <c r="E1450" t="inlineStr">
        <is>
          <t>VÄSTERVIK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17427-2024</t>
        </is>
      </c>
      <c r="B1451" s="1" t="n">
        <v>45415</v>
      </c>
      <c r="C1451" s="1" t="n">
        <v>45565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17425-2024</t>
        </is>
      </c>
      <c r="B1452" s="1" t="n">
        <v>45415</v>
      </c>
      <c r="C1452" s="1" t="n">
        <v>45565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17426-2024</t>
        </is>
      </c>
      <c r="B1453" s="1" t="n">
        <v>45415</v>
      </c>
      <c r="C1453" s="1" t="n">
        <v>45565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18034-2024</t>
        </is>
      </c>
      <c r="B1454" s="1" t="n">
        <v>45420</v>
      </c>
      <c r="C1454" s="1" t="n">
        <v>45565</v>
      </c>
      <c r="D1454" t="inlineStr">
        <is>
          <t>KALMAR LÄN</t>
        </is>
      </c>
      <c r="E1454" t="inlineStr">
        <is>
          <t>VÄSTERVIK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18143-2024</t>
        </is>
      </c>
      <c r="B1455" s="1" t="n">
        <v>45420</v>
      </c>
      <c r="C1455" s="1" t="n">
        <v>45565</v>
      </c>
      <c r="D1455" t="inlineStr">
        <is>
          <t>KALMAR LÄN</t>
        </is>
      </c>
      <c r="E1455" t="inlineStr">
        <is>
          <t>VÄSTERVIK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18395-2024</t>
        </is>
      </c>
      <c r="B1456" s="1" t="n">
        <v>45425</v>
      </c>
      <c r="C1456" s="1" t="n">
        <v>45565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18434-2024</t>
        </is>
      </c>
      <c r="B1457" s="1" t="n">
        <v>45425</v>
      </c>
      <c r="C1457" s="1" t="n">
        <v>45565</v>
      </c>
      <c r="D1457" t="inlineStr">
        <is>
          <t>KALMAR LÄN</t>
        </is>
      </c>
      <c r="E1457" t="inlineStr">
        <is>
          <t>VÄSTERVIK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20368-2024</t>
        </is>
      </c>
      <c r="B1458" s="1" t="n">
        <v>45435</v>
      </c>
      <c r="C1458" s="1" t="n">
        <v>45565</v>
      </c>
      <c r="D1458" t="inlineStr">
        <is>
          <t>KALMAR LÄN</t>
        </is>
      </c>
      <c r="E1458" t="inlineStr">
        <is>
          <t>VÄSTERVIK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20365-2024</t>
        </is>
      </c>
      <c r="B1459" s="1" t="n">
        <v>45435</v>
      </c>
      <c r="C1459" s="1" t="n">
        <v>45565</v>
      </c>
      <c r="D1459" t="inlineStr">
        <is>
          <t>KALMAR LÄN</t>
        </is>
      </c>
      <c r="E1459" t="inlineStr">
        <is>
          <t>VÄSTERVIK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20370-2024</t>
        </is>
      </c>
      <c r="B1460" s="1" t="n">
        <v>45435</v>
      </c>
      <c r="C1460" s="1" t="n">
        <v>45565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21648-2024</t>
        </is>
      </c>
      <c r="B1461" s="1" t="n">
        <v>45442</v>
      </c>
      <c r="C1461" s="1" t="n">
        <v>45565</v>
      </c>
      <c r="D1461" t="inlineStr">
        <is>
          <t>KALMAR LÄN</t>
        </is>
      </c>
      <c r="E1461" t="inlineStr">
        <is>
          <t>VÄSTERVIK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21752-2024</t>
        </is>
      </c>
      <c r="B1462" s="1" t="n">
        <v>45442</v>
      </c>
      <c r="C1462" s="1" t="n">
        <v>45565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22266-2024</t>
        </is>
      </c>
      <c r="B1463" s="1" t="n">
        <v>45446</v>
      </c>
      <c r="C1463" s="1" t="n">
        <v>45565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22740-2024</t>
        </is>
      </c>
      <c r="B1464" s="1" t="n">
        <v>45448</v>
      </c>
      <c r="C1464" s="1" t="n">
        <v>45565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23221-2024</t>
        </is>
      </c>
      <c r="B1465" s="1" t="n">
        <v>45452</v>
      </c>
      <c r="C1465" s="1" t="n">
        <v>45565</v>
      </c>
      <c r="D1465" t="inlineStr">
        <is>
          <t>KALMAR LÄN</t>
        </is>
      </c>
      <c r="E1465" t="inlineStr">
        <is>
          <t>VÄSTERVIK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23248-2024</t>
        </is>
      </c>
      <c r="B1466" s="1" t="n">
        <v>45453</v>
      </c>
      <c r="C1466" s="1" t="n">
        <v>45565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23626-2024</t>
        </is>
      </c>
      <c r="B1467" s="1" t="n">
        <v>45454</v>
      </c>
      <c r="C1467" s="1" t="n">
        <v>45565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23873-2024</t>
        </is>
      </c>
      <c r="B1468" s="1" t="n">
        <v>45455</v>
      </c>
      <c r="C1468" s="1" t="n">
        <v>45565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23983-2024</t>
        </is>
      </c>
      <c r="B1469" s="1" t="n">
        <v>45456</v>
      </c>
      <c r="C1469" s="1" t="n">
        <v>45565</v>
      </c>
      <c r="D1469" t="inlineStr">
        <is>
          <t>KALMAR LÄN</t>
        </is>
      </c>
      <c r="E1469" t="inlineStr">
        <is>
          <t>VÄSTERVIK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24600-2024</t>
        </is>
      </c>
      <c r="B1470" s="1" t="n">
        <v>45460</v>
      </c>
      <c r="C1470" s="1" t="n">
        <v>45565</v>
      </c>
      <c r="D1470" t="inlineStr">
        <is>
          <t>KALMAR LÄN</t>
        </is>
      </c>
      <c r="E1470" t="inlineStr">
        <is>
          <t>VÄSTERVIK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24596-2024</t>
        </is>
      </c>
      <c r="B1471" s="1" t="n">
        <v>45460</v>
      </c>
      <c r="C1471" s="1" t="n">
        <v>45565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24592-2024</t>
        </is>
      </c>
      <c r="B1472" s="1" t="n">
        <v>45460</v>
      </c>
      <c r="C1472" s="1" t="n">
        <v>45565</v>
      </c>
      <c r="D1472" t="inlineStr">
        <is>
          <t>KALMAR LÄN</t>
        </is>
      </c>
      <c r="E1472" t="inlineStr">
        <is>
          <t>VÄSTERVIK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24584-2024</t>
        </is>
      </c>
      <c r="B1473" s="1" t="n">
        <v>45460</v>
      </c>
      <c r="C1473" s="1" t="n">
        <v>45565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24571-2024</t>
        </is>
      </c>
      <c r="B1474" s="1" t="n">
        <v>45460</v>
      </c>
      <c r="C1474" s="1" t="n">
        <v>45565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24567-2024</t>
        </is>
      </c>
      <c r="B1475" s="1" t="n">
        <v>45460</v>
      </c>
      <c r="C1475" s="1" t="n">
        <v>45565</v>
      </c>
      <c r="D1475" t="inlineStr">
        <is>
          <t>KALMAR LÄN</t>
        </is>
      </c>
      <c r="E1475" t="inlineStr">
        <is>
          <t>VÄSTERVIK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24536-2024</t>
        </is>
      </c>
      <c r="B1476" s="1" t="n">
        <v>45460</v>
      </c>
      <c r="C1476" s="1" t="n">
        <v>45565</v>
      </c>
      <c r="D1476" t="inlineStr">
        <is>
          <t>KALMAR LÄN</t>
        </is>
      </c>
      <c r="E1476" t="inlineStr">
        <is>
          <t>VÄSTERVIK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24578-2024</t>
        </is>
      </c>
      <c r="B1477" s="1" t="n">
        <v>45460</v>
      </c>
      <c r="C1477" s="1" t="n">
        <v>45565</v>
      </c>
      <c r="D1477" t="inlineStr">
        <is>
          <t>KALMAR LÄN</t>
        </is>
      </c>
      <c r="E1477" t="inlineStr">
        <is>
          <t>VÄSTERVIK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24562-2024</t>
        </is>
      </c>
      <c r="B1478" s="1" t="n">
        <v>45460</v>
      </c>
      <c r="C1478" s="1" t="n">
        <v>45565</v>
      </c>
      <c r="D1478" t="inlineStr">
        <is>
          <t>KALMAR LÄN</t>
        </is>
      </c>
      <c r="E1478" t="inlineStr">
        <is>
          <t>VÄSTERVIK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24572-2024</t>
        </is>
      </c>
      <c r="B1479" s="1" t="n">
        <v>45460</v>
      </c>
      <c r="C1479" s="1" t="n">
        <v>45565</v>
      </c>
      <c r="D1479" t="inlineStr">
        <is>
          <t>KALMAR LÄN</t>
        </is>
      </c>
      <c r="E1479" t="inlineStr">
        <is>
          <t>VÄSTERVIK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24988-2024</t>
        </is>
      </c>
      <c r="B1480" s="1" t="n">
        <v>45461</v>
      </c>
      <c r="C1480" s="1" t="n">
        <v>45565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25561-2024</t>
        </is>
      </c>
      <c r="B1481" s="1" t="n">
        <v>45463</v>
      </c>
      <c r="C1481" s="1" t="n">
        <v>45565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25429-2024</t>
        </is>
      </c>
      <c r="B1482" s="1" t="n">
        <v>45463</v>
      </c>
      <c r="C1482" s="1" t="n">
        <v>45565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25882-2024</t>
        </is>
      </c>
      <c r="B1483" s="1" t="n">
        <v>45467</v>
      </c>
      <c r="C1483" s="1" t="n">
        <v>45565</v>
      </c>
      <c r="D1483" t="inlineStr">
        <is>
          <t>KALMAR LÄN</t>
        </is>
      </c>
      <c r="E1483" t="inlineStr">
        <is>
          <t>VÄSTERVIK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26285-2024</t>
        </is>
      </c>
      <c r="B1484" s="1" t="n">
        <v>45468</v>
      </c>
      <c r="C1484" s="1" t="n">
        <v>45565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26140-2024</t>
        </is>
      </c>
      <c r="B1485" s="1" t="n">
        <v>45468</v>
      </c>
      <c r="C1485" s="1" t="n">
        <v>45565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26066-2024</t>
        </is>
      </c>
      <c r="B1486" s="1" t="n">
        <v>45468</v>
      </c>
      <c r="C1486" s="1" t="n">
        <v>45565</v>
      </c>
      <c r="D1486" t="inlineStr">
        <is>
          <t>KALMAR LÄN</t>
        </is>
      </c>
      <c r="E1486" t="inlineStr">
        <is>
          <t>VÄSTERVIK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26061-2024</t>
        </is>
      </c>
      <c r="B1487" s="1" t="n">
        <v>45468</v>
      </c>
      <c r="C1487" s="1" t="n">
        <v>45565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26053-2024</t>
        </is>
      </c>
      <c r="B1488" s="1" t="n">
        <v>45468</v>
      </c>
      <c r="C1488" s="1" t="n">
        <v>45565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27094-2024</t>
        </is>
      </c>
      <c r="B1489" s="1" t="n">
        <v>45471</v>
      </c>
      <c r="C1489" s="1" t="n">
        <v>45565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  <c r="U1489">
        <f>HYPERLINK("https://klasma.github.io/Logging_0883/knärot/A 27094-2024 karta knärot.png", "A 27094-2024")</f>
        <v/>
      </c>
      <c r="V1489">
        <f>HYPERLINK("https://klasma.github.io/Logging_0883/klagomål/A 27094-2024 FSC-klagomål.docx", "A 27094-2024")</f>
        <v/>
      </c>
      <c r="W1489">
        <f>HYPERLINK("https://klasma.github.io/Logging_0883/klagomålsmail/A 27094-2024 FSC-klagomål mail.docx", "A 27094-2024")</f>
        <v/>
      </c>
      <c r="X1489">
        <f>HYPERLINK("https://klasma.github.io/Logging_0883/tillsyn/A 27094-2024 tillsynsbegäran.docx", "A 27094-2024")</f>
        <v/>
      </c>
      <c r="Y1489">
        <f>HYPERLINK("https://klasma.github.io/Logging_0883/tillsynsmail/A 27094-2024 tillsynsbegäran mail.docx", "A 27094-2024")</f>
        <v/>
      </c>
    </row>
    <row r="1490" ht="15" customHeight="1">
      <c r="A1490" t="inlineStr">
        <is>
          <t>A 27568-2024</t>
        </is>
      </c>
      <c r="B1490" s="1" t="n">
        <v>45474</v>
      </c>
      <c r="C1490" s="1" t="n">
        <v>45565</v>
      </c>
      <c r="D1490" t="inlineStr">
        <is>
          <t>KALMAR LÄN</t>
        </is>
      </c>
      <c r="E1490" t="inlineStr">
        <is>
          <t>VÄSTERVIK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28110-2024</t>
        </is>
      </c>
      <c r="B1491" s="1" t="n">
        <v>45476</v>
      </c>
      <c r="C1491" s="1" t="n">
        <v>45565</v>
      </c>
      <c r="D1491" t="inlineStr">
        <is>
          <t>KALMAR LÄN</t>
        </is>
      </c>
      <c r="E1491" t="inlineStr">
        <is>
          <t>VÄSTERVIK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28122-2024</t>
        </is>
      </c>
      <c r="B1492" s="1" t="n">
        <v>45476</v>
      </c>
      <c r="C1492" s="1" t="n">
        <v>45565</v>
      </c>
      <c r="D1492" t="inlineStr">
        <is>
          <t>KALMAR LÄN</t>
        </is>
      </c>
      <c r="E1492" t="inlineStr">
        <is>
          <t>VÄSTERVIK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28037-2024</t>
        </is>
      </c>
      <c r="B1493" s="1" t="n">
        <v>45476</v>
      </c>
      <c r="C1493" s="1" t="n">
        <v>45565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28404-2024</t>
        </is>
      </c>
      <c r="B1494" s="1" t="n">
        <v>45477</v>
      </c>
      <c r="C1494" s="1" t="n">
        <v>45565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28315-2024</t>
        </is>
      </c>
      <c r="B1495" s="1" t="n">
        <v>45477</v>
      </c>
      <c r="C1495" s="1" t="n">
        <v>45565</v>
      </c>
      <c r="D1495" t="inlineStr">
        <is>
          <t>KALMAR LÄN</t>
        </is>
      </c>
      <c r="E1495" t="inlineStr">
        <is>
          <t>VÄSTERVIK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28291-2024</t>
        </is>
      </c>
      <c r="B1496" s="1" t="n">
        <v>45477</v>
      </c>
      <c r="C1496" s="1" t="n">
        <v>45565</v>
      </c>
      <c r="D1496" t="inlineStr">
        <is>
          <t>KALMAR LÄN</t>
        </is>
      </c>
      <c r="E1496" t="inlineStr">
        <is>
          <t>VÄSTERVIK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28415-2024</t>
        </is>
      </c>
      <c r="B1497" s="1" t="n">
        <v>45477</v>
      </c>
      <c r="C1497" s="1" t="n">
        <v>45565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28390-2024</t>
        </is>
      </c>
      <c r="B1498" s="1" t="n">
        <v>45477</v>
      </c>
      <c r="C1498" s="1" t="n">
        <v>45565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28378-2024</t>
        </is>
      </c>
      <c r="B1499" s="1" t="n">
        <v>45477</v>
      </c>
      <c r="C1499" s="1" t="n">
        <v>45565</v>
      </c>
      <c r="D1499" t="inlineStr">
        <is>
          <t>KALMAR LÄN</t>
        </is>
      </c>
      <c r="E1499" t="inlineStr">
        <is>
          <t>VÄSTERVIK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28222-2024</t>
        </is>
      </c>
      <c r="B1500" s="1" t="n">
        <v>45477</v>
      </c>
      <c r="C1500" s="1" t="n">
        <v>45565</v>
      </c>
      <c r="D1500" t="inlineStr">
        <is>
          <t>KALMAR LÄN</t>
        </is>
      </c>
      <c r="E1500" t="inlineStr">
        <is>
          <t>VÄSTERVIK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28344-2024</t>
        </is>
      </c>
      <c r="B1501" s="1" t="n">
        <v>45477</v>
      </c>
      <c r="C1501" s="1" t="n">
        <v>45565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28667-2024</t>
        </is>
      </c>
      <c r="B1502" s="1" t="n">
        <v>45478</v>
      </c>
      <c r="C1502" s="1" t="n">
        <v>45565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28640-2024</t>
        </is>
      </c>
      <c r="B1503" s="1" t="n">
        <v>45478</v>
      </c>
      <c r="C1503" s="1" t="n">
        <v>45565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29400-2024</t>
        </is>
      </c>
      <c r="B1504" s="1" t="n">
        <v>45483</v>
      </c>
      <c r="C1504" s="1" t="n">
        <v>45565</v>
      </c>
      <c r="D1504" t="inlineStr">
        <is>
          <t>KALMAR LÄN</t>
        </is>
      </c>
      <c r="E1504" t="inlineStr">
        <is>
          <t>VÄSTERVIK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29404-2024</t>
        </is>
      </c>
      <c r="B1505" s="1" t="n">
        <v>45483</v>
      </c>
      <c r="C1505" s="1" t="n">
        <v>45565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29412-2024</t>
        </is>
      </c>
      <c r="B1506" s="1" t="n">
        <v>45483</v>
      </c>
      <c r="C1506" s="1" t="n">
        <v>45565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29420-2024</t>
        </is>
      </c>
      <c r="B1507" s="1" t="n">
        <v>45483</v>
      </c>
      <c r="C1507" s="1" t="n">
        <v>45565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29396-2024</t>
        </is>
      </c>
      <c r="B1508" s="1" t="n">
        <v>45483</v>
      </c>
      <c r="C1508" s="1" t="n">
        <v>45565</v>
      </c>
      <c r="D1508" t="inlineStr">
        <is>
          <t>KALMAR LÄN</t>
        </is>
      </c>
      <c r="E1508" t="inlineStr">
        <is>
          <t>VÄSTERVIK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29405-2024</t>
        </is>
      </c>
      <c r="B1509" s="1" t="n">
        <v>45483</v>
      </c>
      <c r="C1509" s="1" t="n">
        <v>45565</v>
      </c>
      <c r="D1509" t="inlineStr">
        <is>
          <t>KALMAR LÄN</t>
        </is>
      </c>
      <c r="E1509" t="inlineStr">
        <is>
          <t>VÄSTERVIK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29417-2024</t>
        </is>
      </c>
      <c r="B1510" s="1" t="n">
        <v>45483</v>
      </c>
      <c r="C1510" s="1" t="n">
        <v>45565</v>
      </c>
      <c r="D1510" t="inlineStr">
        <is>
          <t>KALMAR LÄN</t>
        </is>
      </c>
      <c r="E1510" t="inlineStr">
        <is>
          <t>VÄSTERVIK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29407-2024</t>
        </is>
      </c>
      <c r="B1511" s="1" t="n">
        <v>45483</v>
      </c>
      <c r="C1511" s="1" t="n">
        <v>45565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29414-2024</t>
        </is>
      </c>
      <c r="B1512" s="1" t="n">
        <v>45483</v>
      </c>
      <c r="C1512" s="1" t="n">
        <v>45565</v>
      </c>
      <c r="D1512" t="inlineStr">
        <is>
          <t>KALMAR LÄN</t>
        </is>
      </c>
      <c r="E1512" t="inlineStr">
        <is>
          <t>VÄSTERVIK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29418-2024</t>
        </is>
      </c>
      <c r="B1513" s="1" t="n">
        <v>45483</v>
      </c>
      <c r="C1513" s="1" t="n">
        <v>45565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29557-2024</t>
        </is>
      </c>
      <c r="B1514" s="1" t="n">
        <v>45484</v>
      </c>
      <c r="C1514" s="1" t="n">
        <v>45565</v>
      </c>
      <c r="D1514" t="inlineStr">
        <is>
          <t>KALMAR LÄN</t>
        </is>
      </c>
      <c r="E1514" t="inlineStr">
        <is>
          <t>VÄSTERVIK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29571-2024</t>
        </is>
      </c>
      <c r="B1515" s="1" t="n">
        <v>45484</v>
      </c>
      <c r="C1515" s="1" t="n">
        <v>45565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29786-2024</t>
        </is>
      </c>
      <c r="B1516" s="1" t="n">
        <v>45485</v>
      </c>
      <c r="C1516" s="1" t="n">
        <v>45565</v>
      </c>
      <c r="D1516" t="inlineStr">
        <is>
          <t>KALMAR LÄN</t>
        </is>
      </c>
      <c r="E1516" t="inlineStr">
        <is>
          <t>VÄSTERVIK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29784-2024</t>
        </is>
      </c>
      <c r="B1517" s="1" t="n">
        <v>45485</v>
      </c>
      <c r="C1517" s="1" t="n">
        <v>45565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29789-2024</t>
        </is>
      </c>
      <c r="B1518" s="1" t="n">
        <v>45485</v>
      </c>
      <c r="C1518" s="1" t="n">
        <v>45565</v>
      </c>
      <c r="D1518" t="inlineStr">
        <is>
          <t>KALMAR LÄN</t>
        </is>
      </c>
      <c r="E1518" t="inlineStr">
        <is>
          <t>VÄSTERVIK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30153-2024</t>
        </is>
      </c>
      <c r="B1519" s="1" t="n">
        <v>45489</v>
      </c>
      <c r="C1519" s="1" t="n">
        <v>45565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30148-2024</t>
        </is>
      </c>
      <c r="B1520" s="1" t="n">
        <v>45489</v>
      </c>
      <c r="C1520" s="1" t="n">
        <v>45565</v>
      </c>
      <c r="D1520" t="inlineStr">
        <is>
          <t>KALMAR LÄN</t>
        </is>
      </c>
      <c r="E1520" t="inlineStr">
        <is>
          <t>VÄSTERVIK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30149-2024</t>
        </is>
      </c>
      <c r="B1521" s="1" t="n">
        <v>45489</v>
      </c>
      <c r="C1521" s="1" t="n">
        <v>45565</v>
      </c>
      <c r="D1521" t="inlineStr">
        <is>
          <t>KALMAR LÄN</t>
        </is>
      </c>
      <c r="E1521" t="inlineStr">
        <is>
          <t>VÄSTERVIK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30157-2024</t>
        </is>
      </c>
      <c r="B1522" s="1" t="n">
        <v>45489</v>
      </c>
      <c r="C1522" s="1" t="n">
        <v>45565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30437-2024</t>
        </is>
      </c>
      <c r="B1523" s="1" t="n">
        <v>45491</v>
      </c>
      <c r="C1523" s="1" t="n">
        <v>45565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30525-2024</t>
        </is>
      </c>
      <c r="B1524" s="1" t="n">
        <v>45492</v>
      </c>
      <c r="C1524" s="1" t="n">
        <v>45565</v>
      </c>
      <c r="D1524" t="inlineStr">
        <is>
          <t>KALMAR LÄN</t>
        </is>
      </c>
      <c r="E1524" t="inlineStr">
        <is>
          <t>VÄSTERVIK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30523-2024</t>
        </is>
      </c>
      <c r="B1525" s="1" t="n">
        <v>45492</v>
      </c>
      <c r="C1525" s="1" t="n">
        <v>45565</v>
      </c>
      <c r="D1525" t="inlineStr">
        <is>
          <t>KALMAR LÄN</t>
        </is>
      </c>
      <c r="E1525" t="inlineStr">
        <is>
          <t>VÄSTERVIK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30511-2024</t>
        </is>
      </c>
      <c r="B1526" s="1" t="n">
        <v>45492</v>
      </c>
      <c r="C1526" s="1" t="n">
        <v>45565</v>
      </c>
      <c r="D1526" t="inlineStr">
        <is>
          <t>KALMAR LÄN</t>
        </is>
      </c>
      <c r="E1526" t="inlineStr">
        <is>
          <t>VÄSTERVIK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31147-2024</t>
        </is>
      </c>
      <c r="B1527" s="1" t="n">
        <v>45502</v>
      </c>
      <c r="C1527" s="1" t="n">
        <v>45565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31056-2024</t>
        </is>
      </c>
      <c r="B1528" s="1" t="n">
        <v>45502</v>
      </c>
      <c r="C1528" s="1" t="n">
        <v>45565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7.9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32009-2024</t>
        </is>
      </c>
      <c r="B1529" s="1" t="n">
        <v>45510</v>
      </c>
      <c r="C1529" s="1" t="n">
        <v>45565</v>
      </c>
      <c r="D1529" t="inlineStr">
        <is>
          <t>KALMAR LÄN</t>
        </is>
      </c>
      <c r="E1529" t="inlineStr">
        <is>
          <t>VÄSTERVIK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31999-2024</t>
        </is>
      </c>
      <c r="B1530" s="1" t="n">
        <v>45510</v>
      </c>
      <c r="C1530" s="1" t="n">
        <v>45565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32006-2024</t>
        </is>
      </c>
      <c r="B1531" s="1" t="n">
        <v>45510</v>
      </c>
      <c r="C1531" s="1" t="n">
        <v>45565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32159-2024</t>
        </is>
      </c>
      <c r="B1532" s="1" t="n">
        <v>45511</v>
      </c>
      <c r="C1532" s="1" t="n">
        <v>45565</v>
      </c>
      <c r="D1532" t="inlineStr">
        <is>
          <t>KALMAR LÄN</t>
        </is>
      </c>
      <c r="E1532" t="inlineStr">
        <is>
          <t>VÄSTERVIK</t>
        </is>
      </c>
      <c r="F1532" t="inlineStr">
        <is>
          <t>Övriga Aktiebolag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32146-2024</t>
        </is>
      </c>
      <c r="B1533" s="1" t="n">
        <v>45511</v>
      </c>
      <c r="C1533" s="1" t="n">
        <v>45565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32137-2024</t>
        </is>
      </c>
      <c r="B1534" s="1" t="n">
        <v>45511</v>
      </c>
      <c r="C1534" s="1" t="n">
        <v>45565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32386-2024</t>
        </is>
      </c>
      <c r="B1535" s="1" t="n">
        <v>45512</v>
      </c>
      <c r="C1535" s="1" t="n">
        <v>45565</v>
      </c>
      <c r="D1535" t="inlineStr">
        <is>
          <t>KALMAR LÄN</t>
        </is>
      </c>
      <c r="E1535" t="inlineStr">
        <is>
          <t>VÄSTERVIK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32388-2024</t>
        </is>
      </c>
      <c r="B1536" s="1" t="n">
        <v>45512</v>
      </c>
      <c r="C1536" s="1" t="n">
        <v>45565</v>
      </c>
      <c r="D1536" t="inlineStr">
        <is>
          <t>KALMAR LÄN</t>
        </is>
      </c>
      <c r="E1536" t="inlineStr">
        <is>
          <t>VÄSTERVIK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32389-2024</t>
        </is>
      </c>
      <c r="B1537" s="1" t="n">
        <v>45512</v>
      </c>
      <c r="C1537" s="1" t="n">
        <v>45565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32283-2024</t>
        </is>
      </c>
      <c r="B1538" s="1" t="n">
        <v>45512</v>
      </c>
      <c r="C1538" s="1" t="n">
        <v>45565</v>
      </c>
      <c r="D1538" t="inlineStr">
        <is>
          <t>KALMAR LÄN</t>
        </is>
      </c>
      <c r="E1538" t="inlineStr">
        <is>
          <t>VÄSTERVIK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33535-2024</t>
        </is>
      </c>
      <c r="B1539" s="1" t="n">
        <v>45519</v>
      </c>
      <c r="C1539" s="1" t="n">
        <v>45565</v>
      </c>
      <c r="D1539" t="inlineStr">
        <is>
          <t>KALMAR LÄN</t>
        </is>
      </c>
      <c r="E1539" t="inlineStr">
        <is>
          <t>VÄSTERVIK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33508-2024</t>
        </is>
      </c>
      <c r="B1540" s="1" t="n">
        <v>45519</v>
      </c>
      <c r="C1540" s="1" t="n">
        <v>45565</v>
      </c>
      <c r="D1540" t="inlineStr">
        <is>
          <t>KALMAR LÄN</t>
        </is>
      </c>
      <c r="E1540" t="inlineStr">
        <is>
          <t>VÄSTERVIK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33969-2024</t>
        </is>
      </c>
      <c r="B1541" s="1" t="n">
        <v>45523</v>
      </c>
      <c r="C1541" s="1" t="n">
        <v>45565</v>
      </c>
      <c r="D1541" t="inlineStr">
        <is>
          <t>KALMAR LÄN</t>
        </is>
      </c>
      <c r="E1541" t="inlineStr">
        <is>
          <t>VÄSTERVIK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33966-2024</t>
        </is>
      </c>
      <c r="B1542" s="1" t="n">
        <v>45523</v>
      </c>
      <c r="C1542" s="1" t="n">
        <v>45565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34461-2024</t>
        </is>
      </c>
      <c r="B1543" s="1" t="n">
        <v>45525</v>
      </c>
      <c r="C1543" s="1" t="n">
        <v>45565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34463-2024</t>
        </is>
      </c>
      <c r="B1544" s="1" t="n">
        <v>45525</v>
      </c>
      <c r="C1544" s="1" t="n">
        <v>45565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34471-2024</t>
        </is>
      </c>
      <c r="B1545" s="1" t="n">
        <v>45525</v>
      </c>
      <c r="C1545" s="1" t="n">
        <v>45565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34420-2024</t>
        </is>
      </c>
      <c r="B1546" s="1" t="n">
        <v>45525</v>
      </c>
      <c r="C1546" s="1" t="n">
        <v>45565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34795-2024</t>
        </is>
      </c>
      <c r="B1547" s="1" t="n">
        <v>45526</v>
      </c>
      <c r="C1547" s="1" t="n">
        <v>45565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34833-2024</t>
        </is>
      </c>
      <c r="B1548" s="1" t="n">
        <v>45526</v>
      </c>
      <c r="C1548" s="1" t="n">
        <v>45565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34788-2024</t>
        </is>
      </c>
      <c r="B1549" s="1" t="n">
        <v>45526</v>
      </c>
      <c r="C1549" s="1" t="n">
        <v>45565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34832-2024</t>
        </is>
      </c>
      <c r="B1550" s="1" t="n">
        <v>45526</v>
      </c>
      <c r="C1550" s="1" t="n">
        <v>45565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35018-2024</t>
        </is>
      </c>
      <c r="B1551" s="1" t="n">
        <v>45527</v>
      </c>
      <c r="C1551" s="1" t="n">
        <v>45565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35108-2024</t>
        </is>
      </c>
      <c r="B1552" s="1" t="n">
        <v>45529</v>
      </c>
      <c r="C1552" s="1" t="n">
        <v>45565</v>
      </c>
      <c r="D1552" t="inlineStr">
        <is>
          <t>KALMAR LÄN</t>
        </is>
      </c>
      <c r="E1552" t="inlineStr">
        <is>
          <t>VÄSTERVIK</t>
        </is>
      </c>
      <c r="G1552" t="n">
        <v>10.5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35162-2024</t>
        </is>
      </c>
      <c r="B1553" s="1" t="n">
        <v>45530</v>
      </c>
      <c r="C1553" s="1" t="n">
        <v>45565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35163-2024</t>
        </is>
      </c>
      <c r="B1554" s="1" t="n">
        <v>45530</v>
      </c>
      <c r="C1554" s="1" t="n">
        <v>45565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35137-2024</t>
        </is>
      </c>
      <c r="B1555" s="1" t="n">
        <v>45530</v>
      </c>
      <c r="C1555" s="1" t="n">
        <v>45565</v>
      </c>
      <c r="D1555" t="inlineStr">
        <is>
          <t>KALMAR LÄN</t>
        </is>
      </c>
      <c r="E1555" t="inlineStr">
        <is>
          <t>VÄSTERVIK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35456-2024</t>
        </is>
      </c>
      <c r="B1556" s="1" t="n">
        <v>45531</v>
      </c>
      <c r="C1556" s="1" t="n">
        <v>45565</v>
      </c>
      <c r="D1556" t="inlineStr">
        <is>
          <t>KALMAR LÄN</t>
        </is>
      </c>
      <c r="E1556" t="inlineStr">
        <is>
          <t>VÄSTERVIK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35951-2024</t>
        </is>
      </c>
      <c r="B1557" s="1" t="n">
        <v>45533</v>
      </c>
      <c r="C1557" s="1" t="n">
        <v>45565</v>
      </c>
      <c r="D1557" t="inlineStr">
        <is>
          <t>KALMAR LÄN</t>
        </is>
      </c>
      <c r="E1557" t="inlineStr">
        <is>
          <t>VÄSTERVIK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36050-2024</t>
        </is>
      </c>
      <c r="B1558" s="1" t="n">
        <v>45533</v>
      </c>
      <c r="C1558" s="1" t="n">
        <v>45565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35983-2024</t>
        </is>
      </c>
      <c r="B1559" s="1" t="n">
        <v>45533</v>
      </c>
      <c r="C1559" s="1" t="n">
        <v>45565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36259-2024</t>
        </is>
      </c>
      <c r="B1560" s="1" t="n">
        <v>45534</v>
      </c>
      <c r="C1560" s="1" t="n">
        <v>45565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36400-2024</t>
        </is>
      </c>
      <c r="B1561" s="1" t="n">
        <v>45535</v>
      </c>
      <c r="C1561" s="1" t="n">
        <v>45565</v>
      </c>
      <c r="D1561" t="inlineStr">
        <is>
          <t>KALMAR LÄN</t>
        </is>
      </c>
      <c r="E1561" t="inlineStr">
        <is>
          <t>VÄSTERVIK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36555-2024</t>
        </is>
      </c>
      <c r="B1562" s="1" t="n">
        <v>45537</v>
      </c>
      <c r="C1562" s="1" t="n">
        <v>45565</v>
      </c>
      <c r="D1562" t="inlineStr">
        <is>
          <t>KALMAR LÄN</t>
        </is>
      </c>
      <c r="E1562" t="inlineStr">
        <is>
          <t>VÄSTERVIK</t>
        </is>
      </c>
      <c r="F1562" t="inlineStr">
        <is>
          <t>Kommuner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36725-2024</t>
        </is>
      </c>
      <c r="B1563" s="1" t="n">
        <v>45537</v>
      </c>
      <c r="C1563" s="1" t="n">
        <v>45565</v>
      </c>
      <c r="D1563" t="inlineStr">
        <is>
          <t>KALMAR LÄN</t>
        </is>
      </c>
      <c r="E1563" t="inlineStr">
        <is>
          <t>VÄSTERVIK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36881-2024</t>
        </is>
      </c>
      <c r="B1564" s="1" t="n">
        <v>45538</v>
      </c>
      <c r="C1564" s="1" t="n">
        <v>45565</v>
      </c>
      <c r="D1564" t="inlineStr">
        <is>
          <t>KALMAR LÄN</t>
        </is>
      </c>
      <c r="E1564" t="inlineStr">
        <is>
          <t>VÄSTERVIK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36889-2024</t>
        </is>
      </c>
      <c r="B1565" s="1" t="n">
        <v>45538</v>
      </c>
      <c r="C1565" s="1" t="n">
        <v>45565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36888-2024</t>
        </is>
      </c>
      <c r="B1566" s="1" t="n">
        <v>45538</v>
      </c>
      <c r="C1566" s="1" t="n">
        <v>45565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36853-2024</t>
        </is>
      </c>
      <c r="B1567" s="1" t="n">
        <v>45538</v>
      </c>
      <c r="C1567" s="1" t="n">
        <v>45565</v>
      </c>
      <c r="D1567" t="inlineStr">
        <is>
          <t>KALMAR LÄN</t>
        </is>
      </c>
      <c r="E1567" t="inlineStr">
        <is>
          <t>VÄSTERVIK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36878-2024</t>
        </is>
      </c>
      <c r="B1568" s="1" t="n">
        <v>45538</v>
      </c>
      <c r="C1568" s="1" t="n">
        <v>45565</v>
      </c>
      <c r="D1568" t="inlineStr">
        <is>
          <t>KALMAR LÄN</t>
        </is>
      </c>
      <c r="E1568" t="inlineStr">
        <is>
          <t>VÄSTERVIK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36906-2024</t>
        </is>
      </c>
      <c r="B1569" s="1" t="n">
        <v>45538</v>
      </c>
      <c r="C1569" s="1" t="n">
        <v>45565</v>
      </c>
      <c r="D1569" t="inlineStr">
        <is>
          <t>KALMAR LÄN</t>
        </is>
      </c>
      <c r="E1569" t="inlineStr">
        <is>
          <t>VÄSTERVIK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37117-2024</t>
        </is>
      </c>
      <c r="B1570" s="1" t="n">
        <v>45539</v>
      </c>
      <c r="C1570" s="1" t="n">
        <v>45565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37326-2024</t>
        </is>
      </c>
      <c r="B1571" s="1" t="n">
        <v>45540</v>
      </c>
      <c r="C1571" s="1" t="n">
        <v>45565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38061-2024</t>
        </is>
      </c>
      <c r="B1572" s="1" t="n">
        <v>45544</v>
      </c>
      <c r="C1572" s="1" t="n">
        <v>45565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38545-2024</t>
        </is>
      </c>
      <c r="B1573" s="1" t="n">
        <v>45546</v>
      </c>
      <c r="C1573" s="1" t="n">
        <v>45565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39193-2024</t>
        </is>
      </c>
      <c r="B1574" s="1" t="n">
        <v>45548</v>
      </c>
      <c r="C1574" s="1" t="n">
        <v>45565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39258-2024</t>
        </is>
      </c>
      <c r="B1575" s="1" t="n">
        <v>45551</v>
      </c>
      <c r="C1575" s="1" t="n">
        <v>45565</v>
      </c>
      <c r="D1575" t="inlineStr">
        <is>
          <t>KALMAR LÄN</t>
        </is>
      </c>
      <c r="E1575" t="inlineStr">
        <is>
          <t>VÄSTERVIK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39259-2024</t>
        </is>
      </c>
      <c r="B1576" s="1" t="n">
        <v>45551</v>
      </c>
      <c r="C1576" s="1" t="n">
        <v>45565</v>
      </c>
      <c r="D1576" t="inlineStr">
        <is>
          <t>KALMAR LÄN</t>
        </is>
      </c>
      <c r="E1576" t="inlineStr">
        <is>
          <t>VÄSTERVIK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39296-2024</t>
        </is>
      </c>
      <c r="B1577" s="1" t="n">
        <v>45551</v>
      </c>
      <c r="C1577" s="1" t="n">
        <v>45565</v>
      </c>
      <c r="D1577" t="inlineStr">
        <is>
          <t>KALMAR LÄN</t>
        </is>
      </c>
      <c r="E1577" t="inlineStr">
        <is>
          <t>VÄSTERVIK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39308-2024</t>
        </is>
      </c>
      <c r="B1578" s="1" t="n">
        <v>45551</v>
      </c>
      <c r="C1578" s="1" t="n">
        <v>45565</v>
      </c>
      <c r="D1578" t="inlineStr">
        <is>
          <t>KALMAR LÄN</t>
        </is>
      </c>
      <c r="E1578" t="inlineStr">
        <is>
          <t>VÄSTERVIK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39295-2024</t>
        </is>
      </c>
      <c r="B1579" s="1" t="n">
        <v>45551</v>
      </c>
      <c r="C1579" s="1" t="n">
        <v>45565</v>
      </c>
      <c r="D1579" t="inlineStr">
        <is>
          <t>KALMAR LÄN</t>
        </is>
      </c>
      <c r="E1579" t="inlineStr">
        <is>
          <t>VÄSTERVIK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39287-2024</t>
        </is>
      </c>
      <c r="B1580" s="1" t="n">
        <v>45551</v>
      </c>
      <c r="C1580" s="1" t="n">
        <v>45565</v>
      </c>
      <c r="D1580" t="inlineStr">
        <is>
          <t>KALMAR LÄN</t>
        </is>
      </c>
      <c r="E1580" t="inlineStr">
        <is>
          <t>VÄSTERVIK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39278-2024</t>
        </is>
      </c>
      <c r="B1581" s="1" t="n">
        <v>45551</v>
      </c>
      <c r="C1581" s="1" t="n">
        <v>45565</v>
      </c>
      <c r="D1581" t="inlineStr">
        <is>
          <t>KALMAR LÄN</t>
        </is>
      </c>
      <c r="E1581" t="inlineStr">
        <is>
          <t>VÄSTERVIK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39301-2024</t>
        </is>
      </c>
      <c r="B1582" s="1" t="n">
        <v>45551</v>
      </c>
      <c r="C1582" s="1" t="n">
        <v>45565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39309-2024</t>
        </is>
      </c>
      <c r="B1583" s="1" t="n">
        <v>45551</v>
      </c>
      <c r="C1583" s="1" t="n">
        <v>45565</v>
      </c>
      <c r="D1583" t="inlineStr">
        <is>
          <t>KALMAR LÄN</t>
        </is>
      </c>
      <c r="E1583" t="inlineStr">
        <is>
          <t>VÄSTERVIK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39257-2024</t>
        </is>
      </c>
      <c r="B1584" s="1" t="n">
        <v>45551</v>
      </c>
      <c r="C1584" s="1" t="n">
        <v>45565</v>
      </c>
      <c r="D1584" t="inlineStr">
        <is>
          <t>KALMAR LÄN</t>
        </is>
      </c>
      <c r="E1584" t="inlineStr">
        <is>
          <t>VÄSTERVIK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39298-2024</t>
        </is>
      </c>
      <c r="B1585" s="1" t="n">
        <v>45551</v>
      </c>
      <c r="C1585" s="1" t="n">
        <v>45565</v>
      </c>
      <c r="D1585" t="inlineStr">
        <is>
          <t>KALMAR LÄN</t>
        </is>
      </c>
      <c r="E1585" t="inlineStr">
        <is>
          <t>VÄSTERVIK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39980-2024</t>
        </is>
      </c>
      <c r="B1586" s="1" t="n">
        <v>45553</v>
      </c>
      <c r="C1586" s="1" t="n">
        <v>45565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45565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45565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40320-2024</t>
        </is>
      </c>
      <c r="B1589" s="1" t="n">
        <v>45554</v>
      </c>
      <c r="C1589" s="1" t="n">
        <v>45565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40648-2024</t>
        </is>
      </c>
      <c r="B1590" s="1" t="n">
        <v>45558</v>
      </c>
      <c r="C1590" s="1" t="n">
        <v>45565</v>
      </c>
      <c r="D1590" t="inlineStr">
        <is>
          <t>KALMAR LÄN</t>
        </is>
      </c>
      <c r="E1590" t="inlineStr">
        <is>
          <t>VÄSTERVIK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45565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45565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41248-2024</t>
        </is>
      </c>
      <c r="B1593" s="1" t="n">
        <v>45559</v>
      </c>
      <c r="C1593" s="1" t="n">
        <v>45565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45565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41571-2024</t>
        </is>
      </c>
      <c r="B1595" s="1" t="n">
        <v>45560</v>
      </c>
      <c r="C1595" s="1" t="n">
        <v>45565</v>
      </c>
      <c r="D1595" t="inlineStr">
        <is>
          <t>KALMAR LÄN</t>
        </is>
      </c>
      <c r="E1595" t="inlineStr">
        <is>
          <t>VÄSTERVIK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45565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41926-2024</t>
        </is>
      </c>
      <c r="B1597" s="1" t="n">
        <v>45561</v>
      </c>
      <c r="C1597" s="1" t="n">
        <v>45565</v>
      </c>
      <c r="D1597" t="inlineStr">
        <is>
          <t>KALMAR LÄN</t>
        </is>
      </c>
      <c r="E1597" t="inlineStr">
        <is>
          <t>VÄSTERVIK</t>
        </is>
      </c>
      <c r="F1597" t="inlineStr">
        <is>
          <t>Kyrkan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42218-2024</t>
        </is>
      </c>
      <c r="B1598" s="1" t="n">
        <v>45562</v>
      </c>
      <c r="C1598" s="1" t="n">
        <v>45565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2024-09-30T16:53:30Z</dcterms:created>
  <dcterms:modified xmlns:dcterms="http://purl.org/dc/terms/" xmlns:xsi="http://www.w3.org/2001/XMLSchema-instance" xsi:type="dcterms:W3CDTF">2024-09-30T16:53:32Z</dcterms:modified>
</cp:coreProperties>
</file>