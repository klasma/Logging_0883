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45511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45511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45511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45511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45511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45511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45511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45511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45511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45511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45511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45511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45511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45511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45511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45511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45511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45511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45511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45511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63850-2021</t>
        </is>
      </c>
      <c r="B22" s="1" t="n">
        <v>44505</v>
      </c>
      <c r="C22" s="1" t="n">
        <v>45511</v>
      </c>
      <c r="D22" t="inlineStr">
        <is>
          <t>KALMAR LÄN</t>
        </is>
      </c>
      <c r="E22" t="inlineStr">
        <is>
          <t>VÄSTERVIK</t>
        </is>
      </c>
      <c r="G22" t="n">
        <v>2.7</v>
      </c>
      <c r="H22" t="n">
        <v>3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Tallticka
Talltita
Ullticka
Grovticka
Grön sköldmossa
Grönpyrola</t>
        </is>
      </c>
      <c r="S22">
        <f>HYPERLINK("https://klasma.github.io/Logging_0883/artfynd/A 63850-2021 artfynd.xlsx", "A 63850-2021")</f>
        <v/>
      </c>
      <c r="T22">
        <f>HYPERLINK("https://klasma.github.io/Logging_0883/kartor/A 63850-2021 karta.png", "A 63850-2021")</f>
        <v/>
      </c>
      <c r="U22">
        <f>HYPERLINK("https://klasma.github.io/Logging_0883/knärot/A 63850-2021 karta knärot.png", "A 63850-2021")</f>
        <v/>
      </c>
      <c r="V22">
        <f>HYPERLINK("https://klasma.github.io/Logging_0883/klagomål/A 63850-2021 FSC-klagomål.docx", "A 63850-2021")</f>
        <v/>
      </c>
      <c r="W22">
        <f>HYPERLINK("https://klasma.github.io/Logging_0883/klagomålsmail/A 63850-2021 FSC-klagomål mail.docx", "A 63850-2021")</f>
        <v/>
      </c>
      <c r="X22">
        <f>HYPERLINK("https://klasma.github.io/Logging_0883/tillsyn/A 63850-2021 tillsynsbegäran.docx", "A 63850-2021")</f>
        <v/>
      </c>
      <c r="Y22">
        <f>HYPERLINK("https://klasma.github.io/Logging_0883/tillsynsmail/A 63850-2021 tillsynsbegäran mail.docx", "A 63850-2021")</f>
        <v/>
      </c>
      <c r="Z22">
        <f>HYPERLINK("https://klasma.github.io/Logging_0883/fåglar/A 63850-2021 prioriterade fågelarter.docx", "A 63850-2021")</f>
        <v/>
      </c>
    </row>
    <row r="23" ht="15" customHeight="1">
      <c r="A23" t="inlineStr">
        <is>
          <t>A 34624-2022</t>
        </is>
      </c>
      <c r="B23" s="1" t="n">
        <v>44795</v>
      </c>
      <c r="C23" s="1" t="n">
        <v>45511</v>
      </c>
      <c r="D23" t="inlineStr">
        <is>
          <t>KALMAR LÄN</t>
        </is>
      </c>
      <c r="E23" t="inlineStr">
        <is>
          <t>VÄSTERVIK</t>
        </is>
      </c>
      <c r="G23" t="n">
        <v>14</v>
      </c>
      <c r="H23" t="n">
        <v>2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Svart taggsvamp
Tallticka
Talltita
Blomkålssvamp
Blåmossa
Grönpyrola</t>
        </is>
      </c>
      <c r="S23">
        <f>HYPERLINK("https://klasma.github.io/Logging_0883/artfynd/A 34624-2022 artfynd.xlsx", "A 34624-2022")</f>
        <v/>
      </c>
      <c r="T23">
        <f>HYPERLINK("https://klasma.github.io/Logging_0883/kartor/A 34624-2022 karta.png", "A 34624-2022")</f>
        <v/>
      </c>
      <c r="U23">
        <f>HYPERLINK("https://klasma.github.io/Logging_0883/knärot/A 34624-2022 karta knärot.png", "A 34624-2022")</f>
        <v/>
      </c>
      <c r="V23">
        <f>HYPERLINK("https://klasma.github.io/Logging_0883/klagomål/A 34624-2022 FSC-klagomål.docx", "A 34624-2022")</f>
        <v/>
      </c>
      <c r="W23">
        <f>HYPERLINK("https://klasma.github.io/Logging_0883/klagomålsmail/A 34624-2022 FSC-klagomål mail.docx", "A 34624-2022")</f>
        <v/>
      </c>
      <c r="X23">
        <f>HYPERLINK("https://klasma.github.io/Logging_0883/tillsyn/A 34624-2022 tillsynsbegäran.docx", "A 34624-2022")</f>
        <v/>
      </c>
      <c r="Y23">
        <f>HYPERLINK("https://klasma.github.io/Logging_0883/tillsynsmail/A 34624-2022 tillsynsbegäran mail.docx", "A 34624-2022")</f>
        <v/>
      </c>
      <c r="Z23">
        <f>HYPERLINK("https://klasma.github.io/Logging_0883/fåglar/A 34624-2022 prioriterade fågelarter.docx", "A 34624-2022")</f>
        <v/>
      </c>
    </row>
    <row r="24" ht="15" customHeight="1">
      <c r="A24" t="inlineStr">
        <is>
          <t>A 30190-2023</t>
        </is>
      </c>
      <c r="B24" s="1" t="n">
        <v>45110</v>
      </c>
      <c r="C24" s="1" t="n">
        <v>45511</v>
      </c>
      <c r="D24" t="inlineStr">
        <is>
          <t>KALMAR LÄN</t>
        </is>
      </c>
      <c r="E24" t="inlineStr">
        <is>
          <t>VÄSTERVIK</t>
        </is>
      </c>
      <c r="F24" t="inlineStr">
        <is>
          <t>Kyrkan</t>
        </is>
      </c>
      <c r="G24" t="n">
        <v>6.9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Motaggsvamp
Svart taggsvamp
Tallticka
Dropptaggsvamp
Grönpyrola
Zontaggsvamp</t>
        </is>
      </c>
      <c r="S24">
        <f>HYPERLINK("https://klasma.github.io/Logging_0883/artfynd/A 30190-2023 artfynd.xlsx", "A 30190-2023")</f>
        <v/>
      </c>
      <c r="T24">
        <f>HYPERLINK("https://klasma.github.io/Logging_0883/kartor/A 30190-2023 karta.png", "A 30190-2023")</f>
        <v/>
      </c>
      <c r="U24">
        <f>HYPERLINK("https://klasma.github.io/Logging_0883/knärot/A 30190-2023 karta knärot.png", "A 30190-2023")</f>
        <v/>
      </c>
      <c r="V24">
        <f>HYPERLINK("https://klasma.github.io/Logging_0883/klagomål/A 30190-2023 FSC-klagomål.docx", "A 30190-2023")</f>
        <v/>
      </c>
      <c r="W24">
        <f>HYPERLINK("https://klasma.github.io/Logging_0883/klagomålsmail/A 30190-2023 FSC-klagomål mail.docx", "A 30190-2023")</f>
        <v/>
      </c>
      <c r="X24">
        <f>HYPERLINK("https://klasma.github.io/Logging_0883/tillsyn/A 30190-2023 tillsynsbegäran.docx", "A 30190-2023")</f>
        <v/>
      </c>
      <c r="Y24">
        <f>HYPERLINK("https://klasma.github.io/Logging_0883/tillsynsmail/A 30190-2023 tillsynsbegäran mail.docx", "A 30190-2023")</f>
        <v/>
      </c>
    </row>
    <row r="25" ht="15" customHeight="1">
      <c r="A25" t="inlineStr">
        <is>
          <t>A 20094-2024</t>
        </is>
      </c>
      <c r="B25" s="1" t="n">
        <v>45434</v>
      </c>
      <c r="C25" s="1" t="n">
        <v>45511</v>
      </c>
      <c r="D25" t="inlineStr">
        <is>
          <t>KALMAR LÄN</t>
        </is>
      </c>
      <c r="E25" t="inlineStr">
        <is>
          <t>VÄSTERVIK</t>
        </is>
      </c>
      <c r="G25" t="n">
        <v>6.4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Granticka
Grönsångare
Tallticka
Ullticka
Blåmossa
Grönpyrola</t>
        </is>
      </c>
      <c r="S25">
        <f>HYPERLINK("https://klasma.github.io/Logging_0883/artfynd/A 20094-2024 artfynd.xlsx", "A 20094-2024")</f>
        <v/>
      </c>
      <c r="T25">
        <f>HYPERLINK("https://klasma.github.io/Logging_0883/kartor/A 20094-2024 karta.png", "A 20094-2024")</f>
        <v/>
      </c>
      <c r="U25">
        <f>HYPERLINK("https://klasma.github.io/Logging_0883/knärot/A 20094-2024 karta knärot.png", "A 20094-2024")</f>
        <v/>
      </c>
      <c r="V25">
        <f>HYPERLINK("https://klasma.github.io/Logging_0883/klagomål/A 20094-2024 FSC-klagomål.docx", "A 20094-2024")</f>
        <v/>
      </c>
      <c r="W25">
        <f>HYPERLINK("https://klasma.github.io/Logging_0883/klagomålsmail/A 20094-2024 FSC-klagomål mail.docx", "A 20094-2024")</f>
        <v/>
      </c>
      <c r="X25">
        <f>HYPERLINK("https://klasma.github.io/Logging_0883/tillsyn/A 20094-2024 tillsynsbegäran.docx", "A 20094-2024")</f>
        <v/>
      </c>
      <c r="Y25">
        <f>HYPERLINK("https://klasma.github.io/Logging_0883/tillsynsmail/A 20094-2024 tillsynsbegäran mail.docx", "A 20094-2024")</f>
        <v/>
      </c>
      <c r="Z25">
        <f>HYPERLINK("https://klasma.github.io/Logging_0883/fåglar/A 20094-2024 prioriterade fågelarter.docx", "A 20094-2024")</f>
        <v/>
      </c>
    </row>
    <row r="26" ht="15" customHeight="1">
      <c r="A26" t="inlineStr">
        <is>
          <t>A 52916-2020</t>
        </is>
      </c>
      <c r="B26" s="1" t="n">
        <v>44120</v>
      </c>
      <c r="C26" s="1" t="n">
        <v>45511</v>
      </c>
      <c r="D26" t="inlineStr">
        <is>
          <t>KALMAR LÄN</t>
        </is>
      </c>
      <c r="E26" t="inlineStr">
        <is>
          <t>VÄSTERVIK</t>
        </is>
      </c>
      <c r="G26" t="n">
        <v>1.2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Knärot
Orange taggsvamp
Svart taggsvamp
Talltita
Blomkålssvamp
Dropptaggsvamp</t>
        </is>
      </c>
      <c r="S26">
        <f>HYPERLINK("https://klasma.github.io/Logging_0883/artfynd/A 52916-2020 artfynd.xlsx", "A 52916-2020")</f>
        <v/>
      </c>
      <c r="T26">
        <f>HYPERLINK("https://klasma.github.io/Logging_0883/kartor/A 52916-2020 karta.png", "A 52916-2020")</f>
        <v/>
      </c>
      <c r="U26">
        <f>HYPERLINK("https://klasma.github.io/Logging_0883/knärot/A 52916-2020 karta knärot.png", "A 52916-2020")</f>
        <v/>
      </c>
      <c r="V26">
        <f>HYPERLINK("https://klasma.github.io/Logging_0883/klagomål/A 52916-2020 FSC-klagomål.docx", "A 52916-2020")</f>
        <v/>
      </c>
      <c r="W26">
        <f>HYPERLINK("https://klasma.github.io/Logging_0883/klagomålsmail/A 52916-2020 FSC-klagomål mail.docx", "A 52916-2020")</f>
        <v/>
      </c>
      <c r="X26">
        <f>HYPERLINK("https://klasma.github.io/Logging_0883/tillsyn/A 52916-2020 tillsynsbegäran.docx", "A 52916-2020")</f>
        <v/>
      </c>
      <c r="Y26">
        <f>HYPERLINK("https://klasma.github.io/Logging_0883/tillsynsmail/A 52916-2020 tillsynsbegäran mail.docx", "A 52916-2020")</f>
        <v/>
      </c>
      <c r="Z26">
        <f>HYPERLINK("https://klasma.github.io/Logging_0883/fåglar/A 52916-2020 prioriterade fågelarter.docx", "A 52916-2020")</f>
        <v/>
      </c>
    </row>
    <row r="27" ht="15" customHeight="1">
      <c r="A27" t="inlineStr">
        <is>
          <t>A 53760-2021</t>
        </is>
      </c>
      <c r="B27" s="1" t="n">
        <v>44467</v>
      </c>
      <c r="C27" s="1" t="n">
        <v>45511</v>
      </c>
      <c r="D27" t="inlineStr">
        <is>
          <t>KALMAR LÄN</t>
        </is>
      </c>
      <c r="E27" t="inlineStr">
        <is>
          <t>VÄSTERVIK</t>
        </is>
      </c>
      <c r="G27" t="n">
        <v>3.9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Brunlångöra
Nordfladdermus
Tallticka
Dvärgpipistrell
Större brunfladdermus
Trollpipistrell</t>
        </is>
      </c>
      <c r="S27">
        <f>HYPERLINK("https://klasma.github.io/Logging_0883/artfynd/A 53760-2021 artfynd.xlsx", "A 53760-2021")</f>
        <v/>
      </c>
      <c r="T27">
        <f>HYPERLINK("https://klasma.github.io/Logging_0883/kartor/A 53760-2021 karta.png", "A 53760-2021")</f>
        <v/>
      </c>
      <c r="V27">
        <f>HYPERLINK("https://klasma.github.io/Logging_0883/klagomål/A 53760-2021 FSC-klagomål.docx", "A 53760-2021")</f>
        <v/>
      </c>
      <c r="W27">
        <f>HYPERLINK("https://klasma.github.io/Logging_0883/klagomålsmail/A 53760-2021 FSC-klagomål mail.docx", "A 53760-2021")</f>
        <v/>
      </c>
      <c r="X27">
        <f>HYPERLINK("https://klasma.github.io/Logging_0883/tillsyn/A 53760-2021 tillsynsbegäran.docx", "A 53760-2021")</f>
        <v/>
      </c>
      <c r="Y27">
        <f>HYPERLINK("https://klasma.github.io/Logging_0883/tillsynsmail/A 53760-2021 tillsynsbegäran mail.docx", "A 53760-2021")</f>
        <v/>
      </c>
    </row>
    <row r="28" ht="15" customHeight="1">
      <c r="A28" t="inlineStr">
        <is>
          <t>A 60996-2021</t>
        </is>
      </c>
      <c r="B28" s="1" t="n">
        <v>44497</v>
      </c>
      <c r="C28" s="1" t="n">
        <v>45511</v>
      </c>
      <c r="D28" t="inlineStr">
        <is>
          <t>KALMAR LÄN</t>
        </is>
      </c>
      <c r="E28" t="inlineStr">
        <is>
          <t>VÄSTERVIK</t>
        </is>
      </c>
      <c r="F28" t="inlineStr">
        <is>
          <t>Kyrkan</t>
        </is>
      </c>
      <c r="G28" t="n">
        <v>7.2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Talltita
Vedtrappmossa
Grönpyrola
Platt fjädermossa
Revlummer</t>
        </is>
      </c>
      <c r="S28">
        <f>HYPERLINK("https://klasma.github.io/Logging_0883/artfynd/A 60996-2021 artfynd.xlsx", "A 60996-2021")</f>
        <v/>
      </c>
      <c r="T28">
        <f>HYPERLINK("https://klasma.github.io/Logging_0883/kartor/A 60996-2021 karta.png", "A 60996-2021")</f>
        <v/>
      </c>
      <c r="U28">
        <f>HYPERLINK("https://klasma.github.io/Logging_0883/knärot/A 60996-2021 karta knärot.png", "A 60996-2021")</f>
        <v/>
      </c>
      <c r="V28">
        <f>HYPERLINK("https://klasma.github.io/Logging_0883/klagomål/A 60996-2021 FSC-klagomål.docx", "A 60996-2021")</f>
        <v/>
      </c>
      <c r="W28">
        <f>HYPERLINK("https://klasma.github.io/Logging_0883/klagomålsmail/A 60996-2021 FSC-klagomål mail.docx", "A 60996-2021")</f>
        <v/>
      </c>
      <c r="X28">
        <f>HYPERLINK("https://klasma.github.io/Logging_0883/tillsyn/A 60996-2021 tillsynsbegäran.docx", "A 60996-2021")</f>
        <v/>
      </c>
      <c r="Y28">
        <f>HYPERLINK("https://klasma.github.io/Logging_0883/tillsynsmail/A 60996-2021 tillsynsbegäran mail.docx", "A 60996-2021")</f>
        <v/>
      </c>
      <c r="Z28">
        <f>HYPERLINK("https://klasma.github.io/Logging_0883/fåglar/A 60996-2021 prioriterade fågelarter.docx", "A 60996-2021")</f>
        <v/>
      </c>
    </row>
    <row r="29" ht="15" customHeight="1">
      <c r="A29" t="inlineStr">
        <is>
          <t>A 71188-2021</t>
        </is>
      </c>
      <c r="B29" s="1" t="n">
        <v>44539</v>
      </c>
      <c r="C29" s="1" t="n">
        <v>45511</v>
      </c>
      <c r="D29" t="inlineStr">
        <is>
          <t>KALMAR LÄN</t>
        </is>
      </c>
      <c r="E29" t="inlineStr">
        <is>
          <t>VÄSTERVIK</t>
        </is>
      </c>
      <c r="G29" t="n">
        <v>0.6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Motaggsvamp
Svartvit taggsvamp
Blomkålssvamp
Dropptaggsvamp
Grovticka</t>
        </is>
      </c>
      <c r="S29">
        <f>HYPERLINK("https://klasma.github.io/Logging_0883/artfynd/A 71188-2021 artfynd.xlsx", "A 71188-2021")</f>
        <v/>
      </c>
      <c r="T29">
        <f>HYPERLINK("https://klasma.github.io/Logging_0883/kartor/A 71188-2021 karta.png", "A 71188-2021")</f>
        <v/>
      </c>
      <c r="V29">
        <f>HYPERLINK("https://klasma.github.io/Logging_0883/klagomål/A 71188-2021 FSC-klagomål.docx", "A 71188-2021")</f>
        <v/>
      </c>
      <c r="W29">
        <f>HYPERLINK("https://klasma.github.io/Logging_0883/klagomålsmail/A 71188-2021 FSC-klagomål mail.docx", "A 71188-2021")</f>
        <v/>
      </c>
      <c r="X29">
        <f>HYPERLINK("https://klasma.github.io/Logging_0883/tillsyn/A 71188-2021 tillsynsbegäran.docx", "A 71188-2021")</f>
        <v/>
      </c>
      <c r="Y29">
        <f>HYPERLINK("https://klasma.github.io/Logging_0883/tillsynsmail/A 71188-2021 tillsynsbegäran mail.docx", "A 71188-2021")</f>
        <v/>
      </c>
    </row>
    <row r="30" ht="15" customHeight="1">
      <c r="A30" t="inlineStr">
        <is>
          <t>A 974-2023</t>
        </is>
      </c>
      <c r="B30" s="1" t="n">
        <v>44935</v>
      </c>
      <c r="C30" s="1" t="n">
        <v>45511</v>
      </c>
      <c r="D30" t="inlineStr">
        <is>
          <t>KALMAR LÄN</t>
        </is>
      </c>
      <c r="E30" t="inlineStr">
        <is>
          <t>VÄSTERVIK</t>
        </is>
      </c>
      <c r="G30" t="n">
        <v>7.2</v>
      </c>
      <c r="H30" t="n">
        <v>1</v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Läderbagge
Blanksvart trämyra
Fällmossa
Guldlockmossa
Gulpudrad spiklav
Myskmadra</t>
        </is>
      </c>
      <c r="S30">
        <f>HYPERLINK("https://klasma.github.io/Logging_0883/artfynd/A 974-2023 artfynd.xlsx", "A 974-2023")</f>
        <v/>
      </c>
      <c r="T30">
        <f>HYPERLINK("https://klasma.github.io/Logging_0883/kartor/A 974-2023 karta.png", "A 974-2023")</f>
        <v/>
      </c>
      <c r="V30">
        <f>HYPERLINK("https://klasma.github.io/Logging_0883/klagomål/A 974-2023 FSC-klagomål.docx", "A 974-2023")</f>
        <v/>
      </c>
      <c r="W30">
        <f>HYPERLINK("https://klasma.github.io/Logging_0883/klagomålsmail/A 974-2023 FSC-klagomål mail.docx", "A 974-2023")</f>
        <v/>
      </c>
      <c r="X30">
        <f>HYPERLINK("https://klasma.github.io/Logging_0883/tillsyn/A 974-2023 tillsynsbegäran.docx", "A 974-2023")</f>
        <v/>
      </c>
      <c r="Y30">
        <f>HYPERLINK("https://klasma.github.io/Logging_0883/tillsynsmail/A 974-2023 tillsynsbegäran mail.docx", "A 974-2023")</f>
        <v/>
      </c>
    </row>
    <row r="31" ht="15" customHeight="1">
      <c r="A31" t="inlineStr">
        <is>
          <t>A 11740-2023</t>
        </is>
      </c>
      <c r="B31" s="1" t="n">
        <v>44994</v>
      </c>
      <c r="C31" s="1" t="n">
        <v>45511</v>
      </c>
      <c r="D31" t="inlineStr">
        <is>
          <t>KALMAR LÄN</t>
        </is>
      </c>
      <c r="E31" t="inlineStr">
        <is>
          <t>VÄSTERVIK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Mindre bastardsvärmare
Skogsklocka
Smalsprötad bastardsvärmare
Tallticka
Fällmossa
Blåsippa</t>
        </is>
      </c>
      <c r="S31">
        <f>HYPERLINK("https://klasma.github.io/Logging_0883/artfynd/A 11740-2023 artfynd.xlsx", "A 11740-2023")</f>
        <v/>
      </c>
      <c r="T31">
        <f>HYPERLINK("https://klasma.github.io/Logging_0883/kartor/A 11740-2023 karta.png", "A 11740-2023")</f>
        <v/>
      </c>
      <c r="V31">
        <f>HYPERLINK("https://klasma.github.io/Logging_0883/klagomål/A 11740-2023 FSC-klagomål.docx", "A 11740-2023")</f>
        <v/>
      </c>
      <c r="W31">
        <f>HYPERLINK("https://klasma.github.io/Logging_0883/klagomålsmail/A 11740-2023 FSC-klagomål mail.docx", "A 11740-2023")</f>
        <v/>
      </c>
      <c r="X31">
        <f>HYPERLINK("https://klasma.github.io/Logging_0883/tillsyn/A 11740-2023 tillsynsbegäran.docx", "A 11740-2023")</f>
        <v/>
      </c>
      <c r="Y31">
        <f>HYPERLINK("https://klasma.github.io/Logging_0883/tillsynsmail/A 11740-2023 tillsynsbegäran mail.docx", "A 11740-2023")</f>
        <v/>
      </c>
    </row>
    <row r="32" ht="15" customHeight="1">
      <c r="A32" t="inlineStr">
        <is>
          <t>A 47936-2023</t>
        </is>
      </c>
      <c r="B32" s="1" t="n">
        <v>45204</v>
      </c>
      <c r="C32" s="1" t="n">
        <v>45511</v>
      </c>
      <c r="D32" t="inlineStr">
        <is>
          <t>KALMAR LÄN</t>
        </is>
      </c>
      <c r="E32" t="inlineStr">
        <is>
          <t>VÄSTERVIK</t>
        </is>
      </c>
      <c r="G32" t="n">
        <v>6.3</v>
      </c>
      <c r="H32" t="n">
        <v>2</v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Knärot
Talltita
Blomkålssvamp
Blåmossa
Grovticka
Grönpyrola</t>
        </is>
      </c>
      <c r="S32">
        <f>HYPERLINK("https://klasma.github.io/Logging_0883/artfynd/A 47936-2023 artfynd.xlsx", "A 47936-2023")</f>
        <v/>
      </c>
      <c r="T32">
        <f>HYPERLINK("https://klasma.github.io/Logging_0883/kartor/A 47936-2023 karta.png", "A 47936-2023")</f>
        <v/>
      </c>
      <c r="U32">
        <f>HYPERLINK("https://klasma.github.io/Logging_0883/knärot/A 47936-2023 karta knärot.png", "A 47936-2023")</f>
        <v/>
      </c>
      <c r="V32">
        <f>HYPERLINK("https://klasma.github.io/Logging_0883/klagomål/A 47936-2023 FSC-klagomål.docx", "A 47936-2023")</f>
        <v/>
      </c>
      <c r="W32">
        <f>HYPERLINK("https://klasma.github.io/Logging_0883/klagomålsmail/A 47936-2023 FSC-klagomål mail.docx", "A 47936-2023")</f>
        <v/>
      </c>
      <c r="X32">
        <f>HYPERLINK("https://klasma.github.io/Logging_0883/tillsyn/A 47936-2023 tillsynsbegäran.docx", "A 47936-2023")</f>
        <v/>
      </c>
      <c r="Y32">
        <f>HYPERLINK("https://klasma.github.io/Logging_0883/tillsynsmail/A 47936-2023 tillsynsbegäran mail.docx", "A 47936-2023")</f>
        <v/>
      </c>
      <c r="Z32">
        <f>HYPERLINK("https://klasma.github.io/Logging_0883/fåglar/A 47936-2023 prioriterade fågelarter.docx", "A 47936-2023")</f>
        <v/>
      </c>
    </row>
    <row r="33" ht="15" customHeight="1">
      <c r="A33" t="inlineStr">
        <is>
          <t>A 55286-2023</t>
        </is>
      </c>
      <c r="B33" s="1" t="n">
        <v>45237</v>
      </c>
      <c r="C33" s="1" t="n">
        <v>45511</v>
      </c>
      <c r="D33" t="inlineStr">
        <is>
          <t>KALMAR LÄN</t>
        </is>
      </c>
      <c r="E33" t="inlineStr">
        <is>
          <t>VÄSTERVIK</t>
        </is>
      </c>
      <c r="G33" t="n">
        <v>5.9</v>
      </c>
      <c r="H33" t="n">
        <v>2</v>
      </c>
      <c r="I33" t="n">
        <v>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6</v>
      </c>
      <c r="R33" s="2" t="inlineStr">
        <is>
          <t>Knärot
Koppartaggsvamp
Spillkråka
Blomskägglav
Blåmossa
Grovticka</t>
        </is>
      </c>
      <c r="S33">
        <f>HYPERLINK("https://klasma.github.io/Logging_0883/artfynd/A 55286-2023 artfynd.xlsx", "A 55286-2023")</f>
        <v/>
      </c>
      <c r="T33">
        <f>HYPERLINK("https://klasma.github.io/Logging_0883/kartor/A 55286-2023 karta.png", "A 55286-2023")</f>
        <v/>
      </c>
      <c r="U33">
        <f>HYPERLINK("https://klasma.github.io/Logging_0883/knärot/A 55286-2023 karta knärot.png", "A 55286-2023")</f>
        <v/>
      </c>
      <c r="V33">
        <f>HYPERLINK("https://klasma.github.io/Logging_0883/klagomål/A 55286-2023 FSC-klagomål.docx", "A 55286-2023")</f>
        <v/>
      </c>
      <c r="W33">
        <f>HYPERLINK("https://klasma.github.io/Logging_0883/klagomålsmail/A 55286-2023 FSC-klagomål mail.docx", "A 55286-2023")</f>
        <v/>
      </c>
      <c r="X33">
        <f>HYPERLINK("https://klasma.github.io/Logging_0883/tillsyn/A 55286-2023 tillsynsbegäran.docx", "A 55286-2023")</f>
        <v/>
      </c>
      <c r="Y33">
        <f>HYPERLINK("https://klasma.github.io/Logging_0883/tillsynsmail/A 55286-2023 tillsynsbegäran mail.docx", "A 55286-2023")</f>
        <v/>
      </c>
      <c r="Z33">
        <f>HYPERLINK("https://klasma.github.io/Logging_0883/fåglar/A 55286-2023 prioriterade fågelarter.docx", "A 55286-2023")</f>
        <v/>
      </c>
    </row>
    <row r="34" ht="15" customHeight="1">
      <c r="A34" t="inlineStr">
        <is>
          <t>A 5922-2024</t>
        </is>
      </c>
      <c r="B34" s="1" t="n">
        <v>45335</v>
      </c>
      <c r="C34" s="1" t="n">
        <v>45511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9</v>
      </c>
      <c r="H34" t="n">
        <v>2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Lungrot
Entita
Klubbsprötad bastardsvärmare
Smalsprötad bastardsvärmare
Tallticka
Talltita</t>
        </is>
      </c>
      <c r="S34">
        <f>HYPERLINK("https://klasma.github.io/Logging_0883/artfynd/A 5922-2024 artfynd.xlsx", "A 5922-2024")</f>
        <v/>
      </c>
      <c r="T34">
        <f>HYPERLINK("https://klasma.github.io/Logging_0883/kartor/A 5922-2024 karta.png", "A 5922-2024")</f>
        <v/>
      </c>
      <c r="V34">
        <f>HYPERLINK("https://klasma.github.io/Logging_0883/klagomål/A 5922-2024 FSC-klagomål.docx", "A 5922-2024")</f>
        <v/>
      </c>
      <c r="W34">
        <f>HYPERLINK("https://klasma.github.io/Logging_0883/klagomålsmail/A 5922-2024 FSC-klagomål mail.docx", "A 5922-2024")</f>
        <v/>
      </c>
      <c r="X34">
        <f>HYPERLINK("https://klasma.github.io/Logging_0883/tillsyn/A 5922-2024 tillsynsbegäran.docx", "A 5922-2024")</f>
        <v/>
      </c>
      <c r="Y34">
        <f>HYPERLINK("https://klasma.github.io/Logging_0883/tillsynsmail/A 5922-2024 tillsynsbegäran mail.docx", "A 5922-2024")</f>
        <v/>
      </c>
      <c r="Z34">
        <f>HYPERLINK("https://klasma.github.io/Logging_0883/fåglar/A 5922-2024 prioriterade fågelarter.docx", "A 5922-2024")</f>
        <v/>
      </c>
    </row>
    <row r="35" ht="15" customHeight="1">
      <c r="A35" t="inlineStr">
        <is>
          <t>A 27379-2024</t>
        </is>
      </c>
      <c r="B35" s="1" t="n">
        <v>45473</v>
      </c>
      <c r="C35" s="1" t="n">
        <v>45511</v>
      </c>
      <c r="D35" t="inlineStr">
        <is>
          <t>KALMAR LÄN</t>
        </is>
      </c>
      <c r="E35" t="inlineStr">
        <is>
          <t>VÄSTERVIK</t>
        </is>
      </c>
      <c r="G35" t="n">
        <v>3.4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Ullticka
Blåmossa
Grönpyrola
Revlummer</t>
        </is>
      </c>
      <c r="S35">
        <f>HYPERLINK("https://klasma.github.io/Logging_0883/artfynd/A 27379-2024 artfynd.xlsx", "A 27379-2024")</f>
        <v/>
      </c>
      <c r="T35">
        <f>HYPERLINK("https://klasma.github.io/Logging_0883/kartor/A 27379-2024 karta.png", "A 27379-2024")</f>
        <v/>
      </c>
      <c r="U35">
        <f>HYPERLINK("https://klasma.github.io/Logging_0883/knärot/A 27379-2024 karta knärot.png", "A 27379-2024")</f>
        <v/>
      </c>
      <c r="V35">
        <f>HYPERLINK("https://klasma.github.io/Logging_0883/klagomål/A 27379-2024 FSC-klagomål.docx", "A 27379-2024")</f>
        <v/>
      </c>
      <c r="W35">
        <f>HYPERLINK("https://klasma.github.io/Logging_0883/klagomålsmail/A 27379-2024 FSC-klagomål mail.docx", "A 27379-2024")</f>
        <v/>
      </c>
      <c r="X35">
        <f>HYPERLINK("https://klasma.github.io/Logging_0883/tillsyn/A 27379-2024 tillsynsbegäran.docx", "A 27379-2024")</f>
        <v/>
      </c>
      <c r="Y35">
        <f>HYPERLINK("https://klasma.github.io/Logging_0883/tillsynsmail/A 27379-2024 tillsynsbegäran mail.docx", "A 27379-2024")</f>
        <v/>
      </c>
      <c r="Z35">
        <f>HYPERLINK("https://klasma.github.io/Logging_0883/fåglar/A 27379-2024 prioriterade fågelarter.docx", "A 27379-2024")</f>
        <v/>
      </c>
    </row>
    <row r="36" ht="15" customHeight="1">
      <c r="A36" t="inlineStr">
        <is>
          <t>A 28241-2024</t>
        </is>
      </c>
      <c r="B36" s="1" t="n">
        <v>45477</v>
      </c>
      <c r="C36" s="1" t="n">
        <v>45511</v>
      </c>
      <c r="D36" t="inlineStr">
        <is>
          <t>KALMAR LÄN</t>
        </is>
      </c>
      <c r="E36" t="inlineStr">
        <is>
          <t>VÄSTERVIK</t>
        </is>
      </c>
      <c r="G36" t="n">
        <v>8.1</v>
      </c>
      <c r="H36" t="n">
        <v>3</v>
      </c>
      <c r="I36" t="n">
        <v>1</v>
      </c>
      <c r="J36" t="n">
        <v>3</v>
      </c>
      <c r="K36" t="n">
        <v>1</v>
      </c>
      <c r="L36" t="n">
        <v>1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Ryl
Knärot
Spillkråka
Tallticka
Talltita
Blåmossa</t>
        </is>
      </c>
      <c r="S36">
        <f>HYPERLINK("https://klasma.github.io/Logging_0883/artfynd/A 28241-2024 artfynd.xlsx", "A 28241-2024")</f>
        <v/>
      </c>
      <c r="T36">
        <f>HYPERLINK("https://klasma.github.io/Logging_0883/kartor/A 28241-2024 karta.png", "A 28241-2024")</f>
        <v/>
      </c>
      <c r="U36">
        <f>HYPERLINK("https://klasma.github.io/Logging_0883/knärot/A 28241-2024 karta knärot.png", "A 28241-2024")</f>
        <v/>
      </c>
      <c r="V36">
        <f>HYPERLINK("https://klasma.github.io/Logging_0883/klagomål/A 28241-2024 FSC-klagomål.docx", "A 28241-2024")</f>
        <v/>
      </c>
      <c r="W36">
        <f>HYPERLINK("https://klasma.github.io/Logging_0883/klagomålsmail/A 28241-2024 FSC-klagomål mail.docx", "A 28241-2024")</f>
        <v/>
      </c>
      <c r="X36">
        <f>HYPERLINK("https://klasma.github.io/Logging_0883/tillsyn/A 28241-2024 tillsynsbegäran.docx", "A 28241-2024")</f>
        <v/>
      </c>
      <c r="Y36">
        <f>HYPERLINK("https://klasma.github.io/Logging_0883/tillsynsmail/A 28241-2024 tillsynsbegäran mail.docx", "A 28241-2024")</f>
        <v/>
      </c>
      <c r="Z36">
        <f>HYPERLINK("https://klasma.github.io/Logging_0883/fåglar/A 28241-2024 prioriterade fågelarter.docx", "A 28241-2024")</f>
        <v/>
      </c>
    </row>
    <row r="37" ht="15" customHeight="1">
      <c r="A37" t="inlineStr">
        <is>
          <t>A 781-2023</t>
        </is>
      </c>
      <c r="B37" s="1" t="n">
        <v>44931</v>
      </c>
      <c r="C37" s="1" t="n">
        <v>45511</v>
      </c>
      <c r="D37" t="inlineStr">
        <is>
          <t>KALMAR LÄN</t>
        </is>
      </c>
      <c r="E37" t="inlineStr">
        <is>
          <t>VÄSTERVIK</t>
        </is>
      </c>
      <c r="F37" t="inlineStr">
        <is>
          <t>Holmen skog AB</t>
        </is>
      </c>
      <c r="G37" t="n">
        <v>4.3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Ekticka
Oxtungssvamp
Hasselticka
Läderskål
Stor aspticka</t>
        </is>
      </c>
      <c r="S37">
        <f>HYPERLINK("https://klasma.github.io/Logging_0883/artfynd/A 781-2023 artfynd.xlsx", "A 781-2023")</f>
        <v/>
      </c>
      <c r="T37">
        <f>HYPERLINK("https://klasma.github.io/Logging_0883/kartor/A 781-2023 karta.png", "A 781-2023")</f>
        <v/>
      </c>
      <c r="V37">
        <f>HYPERLINK("https://klasma.github.io/Logging_0883/klagomål/A 781-2023 FSC-klagomål.docx", "A 781-2023")</f>
        <v/>
      </c>
      <c r="W37">
        <f>HYPERLINK("https://klasma.github.io/Logging_0883/klagomålsmail/A 781-2023 FSC-klagomål mail.docx", "A 781-2023")</f>
        <v/>
      </c>
      <c r="X37">
        <f>HYPERLINK("https://klasma.github.io/Logging_0883/tillsyn/A 781-2023 tillsynsbegäran.docx", "A 781-2023")</f>
        <v/>
      </c>
      <c r="Y37">
        <f>HYPERLINK("https://klasma.github.io/Logging_0883/tillsynsmail/A 781-2023 tillsynsbegäran mail.docx", "A 781-2023")</f>
        <v/>
      </c>
    </row>
    <row r="38" ht="15" customHeight="1">
      <c r="A38" t="inlineStr">
        <is>
          <t>A 54271-2023</t>
        </is>
      </c>
      <c r="B38" s="1" t="n">
        <v>45232</v>
      </c>
      <c r="C38" s="1" t="n">
        <v>45511</v>
      </c>
      <c r="D38" t="inlineStr">
        <is>
          <t>KALMAR LÄN</t>
        </is>
      </c>
      <c r="E38" t="inlineStr">
        <is>
          <t>VÄSTERVIK</t>
        </is>
      </c>
      <c r="G38" t="n">
        <v>3.4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Motaggsvamp
Blomkålssvamp
Blåmossa
Grönpyrola</t>
        </is>
      </c>
      <c r="S38">
        <f>HYPERLINK("https://klasma.github.io/Logging_0883/artfynd/A 54271-2023 artfynd.xlsx", "A 54271-2023")</f>
        <v/>
      </c>
      <c r="T38">
        <f>HYPERLINK("https://klasma.github.io/Logging_0883/kartor/A 54271-2023 karta.png", "A 54271-2023")</f>
        <v/>
      </c>
      <c r="U38">
        <f>HYPERLINK("https://klasma.github.io/Logging_0883/knärot/A 54271-2023 karta knärot.png", "A 54271-2023")</f>
        <v/>
      </c>
      <c r="V38">
        <f>HYPERLINK("https://klasma.github.io/Logging_0883/klagomål/A 54271-2023 FSC-klagomål.docx", "A 54271-2023")</f>
        <v/>
      </c>
      <c r="W38">
        <f>HYPERLINK("https://klasma.github.io/Logging_0883/klagomålsmail/A 54271-2023 FSC-klagomål mail.docx", "A 54271-2023")</f>
        <v/>
      </c>
      <c r="X38">
        <f>HYPERLINK("https://klasma.github.io/Logging_0883/tillsyn/A 54271-2023 tillsynsbegäran.docx", "A 54271-2023")</f>
        <v/>
      </c>
      <c r="Y38">
        <f>HYPERLINK("https://klasma.github.io/Logging_0883/tillsynsmail/A 54271-2023 tillsynsbegäran mail.docx", "A 54271-2023")</f>
        <v/>
      </c>
    </row>
    <row r="39" ht="15" customHeight="1">
      <c r="A39" t="inlineStr">
        <is>
          <t>A 6423-2024</t>
        </is>
      </c>
      <c r="B39" s="1" t="n">
        <v>45338</v>
      </c>
      <c r="C39" s="1" t="n">
        <v>45511</v>
      </c>
      <c r="D39" t="inlineStr">
        <is>
          <t>KALMAR LÄN</t>
        </is>
      </c>
      <c r="E39" t="inlineStr">
        <is>
          <t>VÄSTERVIK</t>
        </is>
      </c>
      <c r="G39" t="n">
        <v>26.6</v>
      </c>
      <c r="H39" t="n">
        <v>2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Tallticka
Grovticka
Hasselticka
Mattlummer</t>
        </is>
      </c>
      <c r="S39">
        <f>HYPERLINK("https://klasma.github.io/Logging_0883/artfynd/A 6423-2024 artfynd.xlsx", "A 6423-2024")</f>
        <v/>
      </c>
      <c r="T39">
        <f>HYPERLINK("https://klasma.github.io/Logging_0883/kartor/A 6423-2024 karta.png", "A 6423-2024")</f>
        <v/>
      </c>
      <c r="U39">
        <f>HYPERLINK("https://klasma.github.io/Logging_0883/knärot/A 6423-2024 karta knärot.png", "A 6423-2024")</f>
        <v/>
      </c>
      <c r="V39">
        <f>HYPERLINK("https://klasma.github.io/Logging_0883/klagomål/A 6423-2024 FSC-klagomål.docx", "A 6423-2024")</f>
        <v/>
      </c>
      <c r="W39">
        <f>HYPERLINK("https://klasma.github.io/Logging_0883/klagomålsmail/A 6423-2024 FSC-klagomål mail.docx", "A 6423-2024")</f>
        <v/>
      </c>
      <c r="X39">
        <f>HYPERLINK("https://klasma.github.io/Logging_0883/tillsyn/A 6423-2024 tillsynsbegäran.docx", "A 6423-2024")</f>
        <v/>
      </c>
      <c r="Y39">
        <f>HYPERLINK("https://klasma.github.io/Logging_0883/tillsynsmail/A 6423-2024 tillsynsbegäran mail.docx", "A 6423-2024")</f>
        <v/>
      </c>
    </row>
    <row r="40" ht="15" customHeight="1">
      <c r="A40" t="inlineStr">
        <is>
          <t>A 27145-2024</t>
        </is>
      </c>
      <c r="B40" s="1" t="n">
        <v>45471</v>
      </c>
      <c r="C40" s="1" t="n">
        <v>45511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11.3</v>
      </c>
      <c r="H40" t="n">
        <v>2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Spillkråka
Talltita
Blomkålssvamp
Blåmossa
Grönpyrola</t>
        </is>
      </c>
      <c r="S40">
        <f>HYPERLINK("https://klasma.github.io/Logging_0883/artfynd/A 27145-2024 artfynd.xlsx", "A 27145-2024")</f>
        <v/>
      </c>
      <c r="T40">
        <f>HYPERLINK("https://klasma.github.io/Logging_0883/kartor/A 27145-2024 karta.png", "A 27145-2024")</f>
        <v/>
      </c>
      <c r="V40">
        <f>HYPERLINK("https://klasma.github.io/Logging_0883/klagomål/A 27145-2024 FSC-klagomål.docx", "A 27145-2024")</f>
        <v/>
      </c>
      <c r="W40">
        <f>HYPERLINK("https://klasma.github.io/Logging_0883/klagomålsmail/A 27145-2024 FSC-klagomål mail.docx", "A 27145-2024")</f>
        <v/>
      </c>
      <c r="X40">
        <f>HYPERLINK("https://klasma.github.io/Logging_0883/tillsyn/A 27145-2024 tillsynsbegäran.docx", "A 27145-2024")</f>
        <v/>
      </c>
      <c r="Y40">
        <f>HYPERLINK("https://klasma.github.io/Logging_0883/tillsynsmail/A 27145-2024 tillsynsbegäran mail.docx", "A 27145-2024")</f>
        <v/>
      </c>
      <c r="Z40">
        <f>HYPERLINK("https://klasma.github.io/Logging_0883/fåglar/A 27145-2024 prioriterade fågelarter.docx", "A 27145-2024")</f>
        <v/>
      </c>
    </row>
    <row r="41" ht="15" customHeight="1">
      <c r="A41" t="inlineStr">
        <is>
          <t>A 27378-2024</t>
        </is>
      </c>
      <c r="B41" s="1" t="n">
        <v>45473</v>
      </c>
      <c r="C41" s="1" t="n">
        <v>45511</v>
      </c>
      <c r="D41" t="inlineStr">
        <is>
          <t>KALMAR LÄN</t>
        </is>
      </c>
      <c r="E41" t="inlineStr">
        <is>
          <t>VÄSTERVIK</t>
        </is>
      </c>
      <c r="G41" t="n">
        <v>3</v>
      </c>
      <c r="H41" t="n">
        <v>3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5</v>
      </c>
      <c r="R41" s="2" t="inlineStr">
        <is>
          <t>Knärot
Rotfingersvamp
Talltita
Blåmossa
Mattlummer</t>
        </is>
      </c>
      <c r="S41">
        <f>HYPERLINK("https://klasma.github.io/Logging_0883/artfynd/A 27378-2024 artfynd.xlsx", "A 27378-2024")</f>
        <v/>
      </c>
      <c r="T41">
        <f>HYPERLINK("https://klasma.github.io/Logging_0883/kartor/A 27378-2024 karta.png", "A 27378-2024")</f>
        <v/>
      </c>
      <c r="U41">
        <f>HYPERLINK("https://klasma.github.io/Logging_0883/knärot/A 27378-2024 karta knärot.png", "A 27378-2024")</f>
        <v/>
      </c>
      <c r="V41">
        <f>HYPERLINK("https://klasma.github.io/Logging_0883/klagomål/A 27378-2024 FSC-klagomål.docx", "A 27378-2024")</f>
        <v/>
      </c>
      <c r="W41">
        <f>HYPERLINK("https://klasma.github.io/Logging_0883/klagomålsmail/A 27378-2024 FSC-klagomål mail.docx", "A 27378-2024")</f>
        <v/>
      </c>
      <c r="X41">
        <f>HYPERLINK("https://klasma.github.io/Logging_0883/tillsyn/A 27378-2024 tillsynsbegäran.docx", "A 27378-2024")</f>
        <v/>
      </c>
      <c r="Y41">
        <f>HYPERLINK("https://klasma.github.io/Logging_0883/tillsynsmail/A 27378-2024 tillsynsbegäran mail.docx", "A 27378-2024")</f>
        <v/>
      </c>
      <c r="Z41">
        <f>HYPERLINK("https://klasma.github.io/Logging_0883/fåglar/A 27378-2024 prioriterade fågelarter.docx", "A 27378-2024")</f>
        <v/>
      </c>
    </row>
    <row r="42" ht="15" customHeight="1">
      <c r="A42" t="inlineStr">
        <is>
          <t>A 31431-2024</t>
        </is>
      </c>
      <c r="B42" s="1" t="n">
        <v>45505</v>
      </c>
      <c r="C42" s="1" t="n">
        <v>45511</v>
      </c>
      <c r="D42" t="inlineStr">
        <is>
          <t>KALMAR LÄN</t>
        </is>
      </c>
      <c r="E42" t="inlineStr">
        <is>
          <t>VÄSTERVIK</t>
        </is>
      </c>
      <c r="G42" t="n">
        <v>1.3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Ekticka
Skeppsvarvsfluga
Fällmossa
Myskmadra
Trädporella</t>
        </is>
      </c>
      <c r="S42">
        <f>HYPERLINK("https://klasma.github.io/Logging_0883/artfynd/A 31431-2024 artfynd.xlsx", "A 31431-2024")</f>
        <v/>
      </c>
      <c r="T42">
        <f>HYPERLINK("https://klasma.github.io/Logging_0883/kartor/A 31431-2024 karta.png", "A 31431-2024")</f>
        <v/>
      </c>
      <c r="V42">
        <f>HYPERLINK("https://klasma.github.io/Logging_0883/klagomål/A 31431-2024 FSC-klagomål.docx", "A 31431-2024")</f>
        <v/>
      </c>
      <c r="W42">
        <f>HYPERLINK("https://klasma.github.io/Logging_0883/klagomålsmail/A 31431-2024 FSC-klagomål mail.docx", "A 31431-2024")</f>
        <v/>
      </c>
      <c r="X42">
        <f>HYPERLINK("https://klasma.github.io/Logging_0883/tillsyn/A 31431-2024 tillsynsbegäran.docx", "A 31431-2024")</f>
        <v/>
      </c>
      <c r="Y42">
        <f>HYPERLINK("https://klasma.github.io/Logging_0883/tillsynsmail/A 31431-2024 tillsynsbegäran mail.docx", "A 31431-2024")</f>
        <v/>
      </c>
    </row>
    <row r="43" ht="15" customHeight="1">
      <c r="A43" t="inlineStr">
        <is>
          <t>A 43862-2019</t>
        </is>
      </c>
      <c r="B43" s="1" t="n">
        <v>43707</v>
      </c>
      <c r="C43" s="1" t="n">
        <v>45511</v>
      </c>
      <c r="D43" t="inlineStr">
        <is>
          <t>KALMAR LÄN</t>
        </is>
      </c>
      <c r="E43" t="inlineStr">
        <is>
          <t>VÄSTERVIK</t>
        </is>
      </c>
      <c r="G43" t="n">
        <v>3.8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Orange taggsvamp
Tallticka
Blomkålssvamp</t>
        </is>
      </c>
      <c r="S43">
        <f>HYPERLINK("https://klasma.github.io/Logging_0883/artfynd/A 43862-2019 artfynd.xlsx", "A 43862-2019")</f>
        <v/>
      </c>
      <c r="T43">
        <f>HYPERLINK("https://klasma.github.io/Logging_0883/kartor/A 43862-2019 karta.png", "A 43862-2019")</f>
        <v/>
      </c>
      <c r="U43">
        <f>HYPERLINK("https://klasma.github.io/Logging_0883/knärot/A 43862-2019 karta knärot.png", "A 43862-2019")</f>
        <v/>
      </c>
      <c r="V43">
        <f>HYPERLINK("https://klasma.github.io/Logging_0883/klagomål/A 43862-2019 FSC-klagomål.docx", "A 43862-2019")</f>
        <v/>
      </c>
      <c r="W43">
        <f>HYPERLINK("https://klasma.github.io/Logging_0883/klagomålsmail/A 43862-2019 FSC-klagomål mail.docx", "A 43862-2019")</f>
        <v/>
      </c>
      <c r="X43">
        <f>HYPERLINK("https://klasma.github.io/Logging_0883/tillsyn/A 43862-2019 tillsynsbegäran.docx", "A 43862-2019")</f>
        <v/>
      </c>
      <c r="Y43">
        <f>HYPERLINK("https://klasma.github.io/Logging_0883/tillsynsmail/A 43862-2019 tillsynsbegäran mail.docx", "A 43862-2019")</f>
        <v/>
      </c>
    </row>
    <row r="44" ht="15" customHeight="1">
      <c r="A44" t="inlineStr">
        <is>
          <t>A 3470-2020</t>
        </is>
      </c>
      <c r="B44" s="1" t="n">
        <v>43852</v>
      </c>
      <c r="C44" s="1" t="n">
        <v>45511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Gammelekslav
Gul dropplav
Hjälmbrosklav
Skuggorangelav</t>
        </is>
      </c>
      <c r="S44">
        <f>HYPERLINK("https://klasma.github.io/Logging_0883/artfynd/A 3470-2020 artfynd.xlsx", "A 3470-2020")</f>
        <v/>
      </c>
      <c r="T44">
        <f>HYPERLINK("https://klasma.github.io/Logging_0883/kartor/A 3470-2020 karta.png", "A 3470-2020")</f>
        <v/>
      </c>
      <c r="V44">
        <f>HYPERLINK("https://klasma.github.io/Logging_0883/klagomål/A 3470-2020 FSC-klagomål.docx", "A 3470-2020")</f>
        <v/>
      </c>
      <c r="W44">
        <f>HYPERLINK("https://klasma.github.io/Logging_0883/klagomålsmail/A 3470-2020 FSC-klagomål mail.docx", "A 3470-2020")</f>
        <v/>
      </c>
      <c r="X44">
        <f>HYPERLINK("https://klasma.github.io/Logging_0883/tillsyn/A 3470-2020 tillsynsbegäran.docx", "A 3470-2020")</f>
        <v/>
      </c>
      <c r="Y44">
        <f>HYPERLINK("https://klasma.github.io/Logging_0883/tillsynsmail/A 3470-2020 tillsynsbegäran mail.docx", "A 3470-2020")</f>
        <v/>
      </c>
    </row>
    <row r="45" ht="15" customHeight="1">
      <c r="A45" t="inlineStr">
        <is>
          <t>A 15978-2020</t>
        </is>
      </c>
      <c r="B45" s="1" t="n">
        <v>43915</v>
      </c>
      <c r="C45" s="1" t="n">
        <v>45511</v>
      </c>
      <c r="D45" t="inlineStr">
        <is>
          <t>KALMAR LÄN</t>
        </is>
      </c>
      <c r="E45" t="inlineStr">
        <is>
          <t>VÄSTERVIK</t>
        </is>
      </c>
      <c r="G45" t="n">
        <v>3.8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Orange taggsvamp
Tallticka
Blomkålssvamp</t>
        </is>
      </c>
      <c r="S45">
        <f>HYPERLINK("https://klasma.github.io/Logging_0883/artfynd/A 15978-2020 artfynd.xlsx", "A 15978-2020")</f>
        <v/>
      </c>
      <c r="T45">
        <f>HYPERLINK("https://klasma.github.io/Logging_0883/kartor/A 15978-2020 karta.png", "A 15978-2020")</f>
        <v/>
      </c>
      <c r="U45">
        <f>HYPERLINK("https://klasma.github.io/Logging_0883/knärot/A 15978-2020 karta knärot.png", "A 15978-2020")</f>
        <v/>
      </c>
      <c r="V45">
        <f>HYPERLINK("https://klasma.github.io/Logging_0883/klagomål/A 15978-2020 FSC-klagomål.docx", "A 15978-2020")</f>
        <v/>
      </c>
      <c r="W45">
        <f>HYPERLINK("https://klasma.github.io/Logging_0883/klagomålsmail/A 15978-2020 FSC-klagomål mail.docx", "A 15978-2020")</f>
        <v/>
      </c>
      <c r="X45">
        <f>HYPERLINK("https://klasma.github.io/Logging_0883/tillsyn/A 15978-2020 tillsynsbegäran.docx", "A 15978-2020")</f>
        <v/>
      </c>
      <c r="Y45">
        <f>HYPERLINK("https://klasma.github.io/Logging_0883/tillsynsmail/A 15978-2020 tillsynsbegäran mail.docx", "A 15978-2020")</f>
        <v/>
      </c>
    </row>
    <row r="46" ht="15" customHeight="1">
      <c r="A46" t="inlineStr">
        <is>
          <t>A 25280-2021</t>
        </is>
      </c>
      <c r="B46" s="1" t="n">
        <v>44342</v>
      </c>
      <c r="C46" s="1" t="n">
        <v>45511</v>
      </c>
      <c r="D46" t="inlineStr">
        <is>
          <t>KALMAR LÄN</t>
        </is>
      </c>
      <c r="E46" t="inlineStr">
        <is>
          <t>VÄSTERVIK</t>
        </is>
      </c>
      <c r="G46" t="n">
        <v>6.5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Smalsprötad bastardsvärmare
Spillkråka
Talltita</t>
        </is>
      </c>
      <c r="S46">
        <f>HYPERLINK("https://klasma.github.io/Logging_0883/artfynd/A 25280-2021 artfynd.xlsx", "A 25280-2021")</f>
        <v/>
      </c>
      <c r="T46">
        <f>HYPERLINK("https://klasma.github.io/Logging_0883/kartor/A 25280-2021 karta.png", "A 25280-2021")</f>
        <v/>
      </c>
      <c r="U46">
        <f>HYPERLINK("https://klasma.github.io/Logging_0883/knärot/A 25280-2021 karta knärot.png", "A 25280-2021")</f>
        <v/>
      </c>
      <c r="V46">
        <f>HYPERLINK("https://klasma.github.io/Logging_0883/klagomål/A 25280-2021 FSC-klagomål.docx", "A 25280-2021")</f>
        <v/>
      </c>
      <c r="W46">
        <f>HYPERLINK("https://klasma.github.io/Logging_0883/klagomålsmail/A 25280-2021 FSC-klagomål mail.docx", "A 25280-2021")</f>
        <v/>
      </c>
      <c r="X46">
        <f>HYPERLINK("https://klasma.github.io/Logging_0883/tillsyn/A 25280-2021 tillsynsbegäran.docx", "A 25280-2021")</f>
        <v/>
      </c>
      <c r="Y46">
        <f>HYPERLINK("https://klasma.github.io/Logging_0883/tillsynsmail/A 25280-2021 tillsynsbegäran mail.docx", "A 25280-2021")</f>
        <v/>
      </c>
      <c r="Z46">
        <f>HYPERLINK("https://klasma.github.io/Logging_0883/fåglar/A 25280-2021 prioriterade fågelarter.docx", "A 25280-2021")</f>
        <v/>
      </c>
    </row>
    <row r="47" ht="15" customHeight="1">
      <c r="A47" t="inlineStr">
        <is>
          <t>A 37438-2021</t>
        </is>
      </c>
      <c r="B47" s="1" t="n">
        <v>44398</v>
      </c>
      <c r="C47" s="1" t="n">
        <v>45511</v>
      </c>
      <c r="D47" t="inlineStr">
        <is>
          <t>KALMAR LÄN</t>
        </is>
      </c>
      <c r="E47" t="inlineStr">
        <is>
          <t>VÄSTERVIK</t>
        </is>
      </c>
      <c r="G47" t="n">
        <v>14.3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Kambräken
Tjäder</t>
        </is>
      </c>
      <c r="S47">
        <f>HYPERLINK("https://klasma.github.io/Logging_0883/artfynd/A 37438-2021 artfynd.xlsx", "A 37438-2021")</f>
        <v/>
      </c>
      <c r="T47">
        <f>HYPERLINK("https://klasma.github.io/Logging_0883/kartor/A 37438-2021 karta.png", "A 37438-2021")</f>
        <v/>
      </c>
      <c r="U47">
        <f>HYPERLINK("https://klasma.github.io/Logging_0883/knärot/A 37438-2021 karta knärot.png", "A 37438-2021")</f>
        <v/>
      </c>
      <c r="V47">
        <f>HYPERLINK("https://klasma.github.io/Logging_0883/klagomål/A 37438-2021 FSC-klagomål.docx", "A 37438-2021")</f>
        <v/>
      </c>
      <c r="W47">
        <f>HYPERLINK("https://klasma.github.io/Logging_0883/klagomålsmail/A 37438-2021 FSC-klagomål mail.docx", "A 37438-2021")</f>
        <v/>
      </c>
      <c r="X47">
        <f>HYPERLINK("https://klasma.github.io/Logging_0883/tillsyn/A 37438-2021 tillsynsbegäran.docx", "A 37438-2021")</f>
        <v/>
      </c>
      <c r="Y47">
        <f>HYPERLINK("https://klasma.github.io/Logging_0883/tillsynsmail/A 37438-2021 tillsynsbegäran mail.docx", "A 37438-2021")</f>
        <v/>
      </c>
      <c r="Z47">
        <f>HYPERLINK("https://klasma.github.io/Logging_0883/fåglar/A 37438-2021 prioriterade fågelarter.docx", "A 37438-2021")</f>
        <v/>
      </c>
    </row>
    <row r="48" ht="15" customHeight="1">
      <c r="A48" t="inlineStr">
        <is>
          <t>A 51923-2022</t>
        </is>
      </c>
      <c r="B48" s="1" t="n">
        <v>44868</v>
      </c>
      <c r="C48" s="1" t="n">
        <v>45511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Hasselticka
Svart trolldruva
Vätteros
Blåsippa</t>
        </is>
      </c>
      <c r="S48">
        <f>HYPERLINK("https://klasma.github.io/Logging_0883/artfynd/A 51923-2022 artfynd.xlsx", "A 51923-2022")</f>
        <v/>
      </c>
      <c r="T48">
        <f>HYPERLINK("https://klasma.github.io/Logging_0883/kartor/A 51923-2022 karta.png", "A 51923-2022")</f>
        <v/>
      </c>
      <c r="V48">
        <f>HYPERLINK("https://klasma.github.io/Logging_0883/klagomål/A 51923-2022 FSC-klagomål.docx", "A 51923-2022")</f>
        <v/>
      </c>
      <c r="W48">
        <f>HYPERLINK("https://klasma.github.io/Logging_0883/klagomålsmail/A 51923-2022 FSC-klagomål mail.docx", "A 51923-2022")</f>
        <v/>
      </c>
      <c r="X48">
        <f>HYPERLINK("https://klasma.github.io/Logging_0883/tillsyn/A 51923-2022 tillsynsbegäran.docx", "A 51923-2022")</f>
        <v/>
      </c>
      <c r="Y48">
        <f>HYPERLINK("https://klasma.github.io/Logging_0883/tillsynsmail/A 51923-2022 tillsynsbegäran mail.docx", "A 51923-2022")</f>
        <v/>
      </c>
    </row>
    <row r="49" ht="15" customHeight="1">
      <c r="A49" t="inlineStr">
        <is>
          <t>A 58955-2022</t>
        </is>
      </c>
      <c r="B49" s="1" t="n">
        <v>44896</v>
      </c>
      <c r="C49" s="1" t="n">
        <v>45511</v>
      </c>
      <c r="D49" t="inlineStr">
        <is>
          <t>KALMAR LÄN</t>
        </is>
      </c>
      <c r="E49" t="inlineStr">
        <is>
          <t>VÄSTERVIK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Hasselticka
Blåsippa</t>
        </is>
      </c>
      <c r="S49">
        <f>HYPERLINK("https://klasma.github.io/Logging_0883/artfynd/A 58955-2022 artfynd.xlsx", "A 58955-2022")</f>
        <v/>
      </c>
      <c r="T49">
        <f>HYPERLINK("https://klasma.github.io/Logging_0883/kartor/A 58955-2022 karta.png", "A 58955-2022")</f>
        <v/>
      </c>
      <c r="U49">
        <f>HYPERLINK("https://klasma.github.io/Logging_0883/knärot/A 58955-2022 karta knärot.png", "A 58955-2022")</f>
        <v/>
      </c>
      <c r="V49">
        <f>HYPERLINK("https://klasma.github.io/Logging_0883/klagomål/A 58955-2022 FSC-klagomål.docx", "A 58955-2022")</f>
        <v/>
      </c>
      <c r="W49">
        <f>HYPERLINK("https://klasma.github.io/Logging_0883/klagomålsmail/A 58955-2022 FSC-klagomål mail.docx", "A 58955-2022")</f>
        <v/>
      </c>
      <c r="X49">
        <f>HYPERLINK("https://klasma.github.io/Logging_0883/tillsyn/A 58955-2022 tillsynsbegäran.docx", "A 58955-2022")</f>
        <v/>
      </c>
      <c r="Y49">
        <f>HYPERLINK("https://klasma.github.io/Logging_0883/tillsynsmail/A 58955-2022 tillsynsbegäran mail.docx", "A 58955-2022")</f>
        <v/>
      </c>
    </row>
    <row r="50" ht="15" customHeight="1">
      <c r="A50" t="inlineStr">
        <is>
          <t>A 34047-2023</t>
        </is>
      </c>
      <c r="B50" s="1" t="n">
        <v>45124</v>
      </c>
      <c r="C50" s="1" t="n">
        <v>45511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3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Kungsfiskare
Grön sköldmossa
Svart trolldruva</t>
        </is>
      </c>
      <c r="S50">
        <f>HYPERLINK("https://klasma.github.io/Logging_0883/artfynd/A 34047-2023 artfynd.xlsx", "A 34047-2023")</f>
        <v/>
      </c>
      <c r="T50">
        <f>HYPERLINK("https://klasma.github.io/Logging_0883/kartor/A 34047-2023 karta.png", "A 34047-2023")</f>
        <v/>
      </c>
      <c r="U50">
        <f>HYPERLINK("https://klasma.github.io/Logging_0883/knärot/A 34047-2023 karta knärot.png", "A 34047-2023")</f>
        <v/>
      </c>
      <c r="V50">
        <f>HYPERLINK("https://klasma.github.io/Logging_0883/klagomål/A 34047-2023 FSC-klagomål.docx", "A 34047-2023")</f>
        <v/>
      </c>
      <c r="W50">
        <f>HYPERLINK("https://klasma.github.io/Logging_0883/klagomålsmail/A 34047-2023 FSC-klagomål mail.docx", "A 34047-2023")</f>
        <v/>
      </c>
      <c r="X50">
        <f>HYPERLINK("https://klasma.github.io/Logging_0883/tillsyn/A 34047-2023 tillsynsbegäran.docx", "A 34047-2023")</f>
        <v/>
      </c>
      <c r="Y50">
        <f>HYPERLINK("https://klasma.github.io/Logging_0883/tillsynsmail/A 34047-2023 tillsynsbegäran mail.docx", "A 34047-2023")</f>
        <v/>
      </c>
    </row>
    <row r="51" ht="15" customHeight="1">
      <c r="A51" t="inlineStr">
        <is>
          <t>A 54233-2023</t>
        </is>
      </c>
      <c r="B51" s="1" t="n">
        <v>45232</v>
      </c>
      <c r="C51" s="1" t="n">
        <v>45511</v>
      </c>
      <c r="D51" t="inlineStr">
        <is>
          <t>KALMAR LÄN</t>
        </is>
      </c>
      <c r="E51" t="inlineStr">
        <is>
          <t>VÄSTERVIK</t>
        </is>
      </c>
      <c r="G51" t="n">
        <v>1.9</v>
      </c>
      <c r="H51" t="n">
        <v>2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Tallticka
Talltita
Blåmossa</t>
        </is>
      </c>
      <c r="S51">
        <f>HYPERLINK("https://klasma.github.io/Logging_0883/artfynd/A 54233-2023 artfynd.xlsx", "A 54233-2023")</f>
        <v/>
      </c>
      <c r="T51">
        <f>HYPERLINK("https://klasma.github.io/Logging_0883/kartor/A 54233-2023 karta.png", "A 54233-2023")</f>
        <v/>
      </c>
      <c r="U51">
        <f>HYPERLINK("https://klasma.github.io/Logging_0883/knärot/A 54233-2023 karta knärot.png", "A 54233-2023")</f>
        <v/>
      </c>
      <c r="V51">
        <f>HYPERLINK("https://klasma.github.io/Logging_0883/klagomål/A 54233-2023 FSC-klagomål.docx", "A 54233-2023")</f>
        <v/>
      </c>
      <c r="W51">
        <f>HYPERLINK("https://klasma.github.io/Logging_0883/klagomålsmail/A 54233-2023 FSC-klagomål mail.docx", "A 54233-2023")</f>
        <v/>
      </c>
      <c r="X51">
        <f>HYPERLINK("https://klasma.github.io/Logging_0883/tillsyn/A 54233-2023 tillsynsbegäran.docx", "A 54233-2023")</f>
        <v/>
      </c>
      <c r="Y51">
        <f>HYPERLINK("https://klasma.github.io/Logging_0883/tillsynsmail/A 54233-2023 tillsynsbegäran mail.docx", "A 54233-2023")</f>
        <v/>
      </c>
      <c r="Z51">
        <f>HYPERLINK("https://klasma.github.io/Logging_0883/fåglar/A 54233-2023 prioriterade fågelarter.docx", "A 54233-2023")</f>
        <v/>
      </c>
    </row>
    <row r="52" ht="15" customHeight="1">
      <c r="A52" t="inlineStr">
        <is>
          <t>A 59319-2023</t>
        </is>
      </c>
      <c r="B52" s="1" t="n">
        <v>45253</v>
      </c>
      <c r="C52" s="1" t="n">
        <v>45511</v>
      </c>
      <c r="D52" t="inlineStr">
        <is>
          <t>KALMAR LÄN</t>
        </is>
      </c>
      <c r="E52" t="inlineStr">
        <is>
          <t>VÄSTERVIK</t>
        </is>
      </c>
      <c r="G52" t="n">
        <v>1</v>
      </c>
      <c r="H52" t="n">
        <v>1</v>
      </c>
      <c r="I52" t="n">
        <v>2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Tallharticka
Knärot
Blomkålssvamp
Grönpyrola</t>
        </is>
      </c>
      <c r="S52">
        <f>HYPERLINK("https://klasma.github.io/Logging_0883/artfynd/A 59319-2023 artfynd.xlsx", "A 59319-2023")</f>
        <v/>
      </c>
      <c r="T52">
        <f>HYPERLINK("https://klasma.github.io/Logging_0883/kartor/A 59319-2023 karta.png", "A 59319-2023")</f>
        <v/>
      </c>
      <c r="U52">
        <f>HYPERLINK("https://klasma.github.io/Logging_0883/knärot/A 59319-2023 karta knärot.png", "A 59319-2023")</f>
        <v/>
      </c>
      <c r="V52">
        <f>HYPERLINK("https://klasma.github.io/Logging_0883/klagomål/A 59319-2023 FSC-klagomål.docx", "A 59319-2023")</f>
        <v/>
      </c>
      <c r="W52">
        <f>HYPERLINK("https://klasma.github.io/Logging_0883/klagomålsmail/A 59319-2023 FSC-klagomål mail.docx", "A 59319-2023")</f>
        <v/>
      </c>
      <c r="X52">
        <f>HYPERLINK("https://klasma.github.io/Logging_0883/tillsyn/A 59319-2023 tillsynsbegäran.docx", "A 59319-2023")</f>
        <v/>
      </c>
      <c r="Y52">
        <f>HYPERLINK("https://klasma.github.io/Logging_0883/tillsynsmail/A 59319-2023 tillsynsbegäran mail.docx", "A 59319-2023")</f>
        <v/>
      </c>
    </row>
    <row r="53" ht="15" customHeight="1">
      <c r="A53" t="inlineStr">
        <is>
          <t>A 62849-2023</t>
        </is>
      </c>
      <c r="B53" s="1" t="n">
        <v>45272</v>
      </c>
      <c r="C53" s="1" t="n">
        <v>45511</v>
      </c>
      <c r="D53" t="inlineStr">
        <is>
          <t>KALMAR LÄN</t>
        </is>
      </c>
      <c r="E53" t="inlineStr">
        <is>
          <t>VÄSTERVIK</t>
        </is>
      </c>
      <c r="G53" t="n">
        <v>2</v>
      </c>
      <c r="H53" t="n">
        <v>3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Murgröna</t>
        </is>
      </c>
      <c r="S53">
        <f>HYPERLINK("https://klasma.github.io/Logging_0883/artfynd/A 62849-2023 artfynd.xlsx", "A 62849-2023")</f>
        <v/>
      </c>
      <c r="T53">
        <f>HYPERLINK("https://klasma.github.io/Logging_0883/kartor/A 62849-2023 karta.png", "A 62849-2023")</f>
        <v/>
      </c>
      <c r="V53">
        <f>HYPERLINK("https://klasma.github.io/Logging_0883/klagomål/A 62849-2023 FSC-klagomål.docx", "A 62849-2023")</f>
        <v/>
      </c>
      <c r="W53">
        <f>HYPERLINK("https://klasma.github.io/Logging_0883/klagomålsmail/A 62849-2023 FSC-klagomål mail.docx", "A 62849-2023")</f>
        <v/>
      </c>
      <c r="X53">
        <f>HYPERLINK("https://klasma.github.io/Logging_0883/tillsyn/A 62849-2023 tillsynsbegäran.docx", "A 62849-2023")</f>
        <v/>
      </c>
      <c r="Y53">
        <f>HYPERLINK("https://klasma.github.io/Logging_0883/tillsynsmail/A 62849-2023 tillsynsbegäran mail.docx", "A 62849-2023")</f>
        <v/>
      </c>
      <c r="Z53">
        <f>HYPERLINK("https://klasma.github.io/Logging_0883/fåglar/A 62849-2023 prioriterade fågelarter.docx", "A 62849-2023")</f>
        <v/>
      </c>
    </row>
    <row r="54" ht="15" customHeight="1">
      <c r="A54" t="inlineStr">
        <is>
          <t>A 62847-2023</t>
        </is>
      </c>
      <c r="B54" s="1" t="n">
        <v>45272</v>
      </c>
      <c r="C54" s="1" t="n">
        <v>45511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4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Entita
Spillkråka
Talltita
Tjäder</t>
        </is>
      </c>
      <c r="S54">
        <f>HYPERLINK("https://klasma.github.io/Logging_0883/artfynd/A 62847-2023 artfynd.xlsx", "A 62847-2023")</f>
        <v/>
      </c>
      <c r="T54">
        <f>HYPERLINK("https://klasma.github.io/Logging_0883/kartor/A 62847-2023 karta.png", "A 62847-2023")</f>
        <v/>
      </c>
      <c r="U54">
        <f>HYPERLINK("https://klasma.github.io/Logging_0883/knärot/A 62847-2023 karta knärot.png", "A 62847-2023")</f>
        <v/>
      </c>
      <c r="V54">
        <f>HYPERLINK("https://klasma.github.io/Logging_0883/klagomål/A 62847-2023 FSC-klagomål.docx", "A 62847-2023")</f>
        <v/>
      </c>
      <c r="W54">
        <f>HYPERLINK("https://klasma.github.io/Logging_0883/klagomålsmail/A 62847-2023 FSC-klagomål mail.docx", "A 62847-2023")</f>
        <v/>
      </c>
      <c r="X54">
        <f>HYPERLINK("https://klasma.github.io/Logging_0883/tillsyn/A 62847-2023 tillsynsbegäran.docx", "A 62847-2023")</f>
        <v/>
      </c>
      <c r="Y54">
        <f>HYPERLINK("https://klasma.github.io/Logging_0883/tillsynsmail/A 62847-2023 tillsynsbegäran mail.docx", "A 62847-2023")</f>
        <v/>
      </c>
      <c r="Z54">
        <f>HYPERLINK("https://klasma.github.io/Logging_0883/fåglar/A 62847-2023 prioriterade fågelarter.docx", "A 62847-2023")</f>
        <v/>
      </c>
    </row>
    <row r="55" ht="15" customHeight="1">
      <c r="A55" t="inlineStr">
        <is>
          <t>A 63366-2023</t>
        </is>
      </c>
      <c r="B55" s="1" t="n">
        <v>45274</v>
      </c>
      <c r="C55" s="1" t="n">
        <v>45511</v>
      </c>
      <c r="D55" t="inlineStr">
        <is>
          <t>KALMAR LÄN</t>
        </is>
      </c>
      <c r="E55" t="inlineStr">
        <is>
          <t>VÄSTERVIK</t>
        </is>
      </c>
      <c r="G55" t="n">
        <v>4.1</v>
      </c>
      <c r="H55" t="n">
        <v>3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Knärot
Spillkråka
Tallticka
Talltita</t>
        </is>
      </c>
      <c r="S55">
        <f>HYPERLINK("https://klasma.github.io/Logging_0883/artfynd/A 63366-2023 artfynd.xlsx", "A 63366-2023")</f>
        <v/>
      </c>
      <c r="T55">
        <f>HYPERLINK("https://klasma.github.io/Logging_0883/kartor/A 63366-2023 karta.png", "A 63366-2023")</f>
        <v/>
      </c>
      <c r="U55">
        <f>HYPERLINK("https://klasma.github.io/Logging_0883/knärot/A 63366-2023 karta knärot.png", "A 63366-2023")</f>
        <v/>
      </c>
      <c r="V55">
        <f>HYPERLINK("https://klasma.github.io/Logging_0883/klagomål/A 63366-2023 FSC-klagomål.docx", "A 63366-2023")</f>
        <v/>
      </c>
      <c r="W55">
        <f>HYPERLINK("https://klasma.github.io/Logging_0883/klagomålsmail/A 63366-2023 FSC-klagomål mail.docx", "A 63366-2023")</f>
        <v/>
      </c>
      <c r="X55">
        <f>HYPERLINK("https://klasma.github.io/Logging_0883/tillsyn/A 63366-2023 tillsynsbegäran.docx", "A 63366-2023")</f>
        <v/>
      </c>
      <c r="Y55">
        <f>HYPERLINK("https://klasma.github.io/Logging_0883/tillsynsmail/A 63366-2023 tillsynsbegäran mail.docx", "A 63366-2023")</f>
        <v/>
      </c>
      <c r="Z55">
        <f>HYPERLINK("https://klasma.github.io/Logging_0883/fåglar/A 63366-2023 prioriterade fågelarter.docx", "A 63366-2023")</f>
        <v/>
      </c>
    </row>
    <row r="56" ht="15" customHeight="1">
      <c r="A56" t="inlineStr">
        <is>
          <t>A 64575-2023</t>
        </is>
      </c>
      <c r="B56" s="1" t="n">
        <v>45281</v>
      </c>
      <c r="C56" s="1" t="n">
        <v>45511</v>
      </c>
      <c r="D56" t="inlineStr">
        <is>
          <t>KALMAR LÄN</t>
        </is>
      </c>
      <c r="E56" t="inlineStr">
        <is>
          <t>VÄSTERVIK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Blek fingersvamp
Såpfingersvamp
Vanlig groda
Vanlig snok</t>
        </is>
      </c>
      <c r="S56">
        <f>HYPERLINK("https://klasma.github.io/Logging_0883/artfynd/A 64575-2023 artfynd.xlsx", "A 64575-2023")</f>
        <v/>
      </c>
      <c r="T56">
        <f>HYPERLINK("https://klasma.github.io/Logging_0883/kartor/A 64575-2023 karta.png", "A 64575-2023")</f>
        <v/>
      </c>
      <c r="V56">
        <f>HYPERLINK("https://klasma.github.io/Logging_0883/klagomål/A 64575-2023 FSC-klagomål.docx", "A 64575-2023")</f>
        <v/>
      </c>
      <c r="W56">
        <f>HYPERLINK("https://klasma.github.io/Logging_0883/klagomålsmail/A 64575-2023 FSC-klagomål mail.docx", "A 64575-2023")</f>
        <v/>
      </c>
      <c r="X56">
        <f>HYPERLINK("https://klasma.github.io/Logging_0883/tillsyn/A 64575-2023 tillsynsbegäran.docx", "A 64575-2023")</f>
        <v/>
      </c>
      <c r="Y56">
        <f>HYPERLINK("https://klasma.github.io/Logging_0883/tillsynsmail/A 64575-2023 tillsynsbegäran mail.docx", "A 64575-2023")</f>
        <v/>
      </c>
    </row>
    <row r="57" ht="15" customHeight="1">
      <c r="A57" t="inlineStr">
        <is>
          <t>A 636-2024</t>
        </is>
      </c>
      <c r="B57" s="1" t="n">
        <v>45299</v>
      </c>
      <c r="C57" s="1" t="n">
        <v>45511</v>
      </c>
      <c r="D57" t="inlineStr">
        <is>
          <t>KALMAR LÄN</t>
        </is>
      </c>
      <c r="E57" t="inlineStr">
        <is>
          <t>VÄSTERVIK</t>
        </is>
      </c>
      <c r="F57" t="inlineStr">
        <is>
          <t>Övriga Aktiebolag</t>
        </is>
      </c>
      <c r="G57" t="n">
        <v>5.7</v>
      </c>
      <c r="H57" t="n">
        <v>3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Talltita
Grönpyrola
Tjäder</t>
        </is>
      </c>
      <c r="S57">
        <f>HYPERLINK("https://klasma.github.io/Logging_0883/artfynd/A 636-2024 artfynd.xlsx", "A 636-2024")</f>
        <v/>
      </c>
      <c r="T57">
        <f>HYPERLINK("https://klasma.github.io/Logging_0883/kartor/A 636-2024 karta.png", "A 636-2024")</f>
        <v/>
      </c>
      <c r="U57">
        <f>HYPERLINK("https://klasma.github.io/Logging_0883/knärot/A 636-2024 karta knärot.png", "A 636-2024")</f>
        <v/>
      </c>
      <c r="V57">
        <f>HYPERLINK("https://klasma.github.io/Logging_0883/klagomål/A 636-2024 FSC-klagomål.docx", "A 636-2024")</f>
        <v/>
      </c>
      <c r="W57">
        <f>HYPERLINK("https://klasma.github.io/Logging_0883/klagomålsmail/A 636-2024 FSC-klagomål mail.docx", "A 636-2024")</f>
        <v/>
      </c>
      <c r="X57">
        <f>HYPERLINK("https://klasma.github.io/Logging_0883/tillsyn/A 636-2024 tillsynsbegäran.docx", "A 636-2024")</f>
        <v/>
      </c>
      <c r="Y57">
        <f>HYPERLINK("https://klasma.github.io/Logging_0883/tillsynsmail/A 636-2024 tillsynsbegäran mail.docx", "A 636-2024")</f>
        <v/>
      </c>
      <c r="Z57">
        <f>HYPERLINK("https://klasma.github.io/Logging_0883/fåglar/A 636-2024 prioriterade fågelarter.docx", "A 636-2024")</f>
        <v/>
      </c>
    </row>
    <row r="58" ht="15" customHeight="1">
      <c r="A58" t="inlineStr">
        <is>
          <t>A 938-2024</t>
        </is>
      </c>
      <c r="B58" s="1" t="n">
        <v>45301</v>
      </c>
      <c r="C58" s="1" t="n">
        <v>45511</v>
      </c>
      <c r="D58" t="inlineStr">
        <is>
          <t>KALMAR LÄN</t>
        </is>
      </c>
      <c r="E58" t="inlineStr">
        <is>
          <t>VÄSTERVIK</t>
        </is>
      </c>
      <c r="G58" t="n">
        <v>10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Reliktbock
Tallticka
Vintertagging
Tjäder</t>
        </is>
      </c>
      <c r="S58">
        <f>HYPERLINK("https://klasma.github.io/Logging_0883/artfynd/A 938-2024 artfynd.xlsx", "A 938-2024")</f>
        <v/>
      </c>
      <c r="T58">
        <f>HYPERLINK("https://klasma.github.io/Logging_0883/kartor/A 938-2024 karta.png", "A 938-2024")</f>
        <v/>
      </c>
      <c r="V58">
        <f>HYPERLINK("https://klasma.github.io/Logging_0883/klagomål/A 938-2024 FSC-klagomål.docx", "A 938-2024")</f>
        <v/>
      </c>
      <c r="W58">
        <f>HYPERLINK("https://klasma.github.io/Logging_0883/klagomålsmail/A 938-2024 FSC-klagomål mail.docx", "A 938-2024")</f>
        <v/>
      </c>
      <c r="X58">
        <f>HYPERLINK("https://klasma.github.io/Logging_0883/tillsyn/A 938-2024 tillsynsbegäran.docx", "A 938-2024")</f>
        <v/>
      </c>
      <c r="Y58">
        <f>HYPERLINK("https://klasma.github.io/Logging_0883/tillsynsmail/A 938-2024 tillsynsbegäran mail.docx", "A 938-2024")</f>
        <v/>
      </c>
      <c r="Z58">
        <f>HYPERLINK("https://klasma.github.io/Logging_0883/fåglar/A 938-2024 prioriterade fågelarter.docx", "A 938-2024")</f>
        <v/>
      </c>
    </row>
    <row r="59" ht="15" customHeight="1">
      <c r="A59" t="inlineStr">
        <is>
          <t>A 9129-2024</t>
        </is>
      </c>
      <c r="B59" s="1" t="n">
        <v>45358</v>
      </c>
      <c r="C59" s="1" t="n">
        <v>45511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Motaggsvamp
Tallticka
Grönpyrola</t>
        </is>
      </c>
      <c r="S59">
        <f>HYPERLINK("https://klasma.github.io/Logging_0883/artfynd/A 9129-2024 artfynd.xlsx", "A 9129-2024")</f>
        <v/>
      </c>
      <c r="T59">
        <f>HYPERLINK("https://klasma.github.io/Logging_0883/kartor/A 9129-2024 karta.png", "A 9129-2024")</f>
        <v/>
      </c>
      <c r="U59">
        <f>HYPERLINK("https://klasma.github.io/Logging_0883/knärot/A 9129-2024 karta knärot.png", "A 9129-2024")</f>
        <v/>
      </c>
      <c r="V59">
        <f>HYPERLINK("https://klasma.github.io/Logging_0883/klagomål/A 9129-2024 FSC-klagomål.docx", "A 9129-2024")</f>
        <v/>
      </c>
      <c r="W59">
        <f>HYPERLINK("https://klasma.github.io/Logging_0883/klagomålsmail/A 9129-2024 FSC-klagomål mail.docx", "A 9129-2024")</f>
        <v/>
      </c>
      <c r="X59">
        <f>HYPERLINK("https://klasma.github.io/Logging_0883/tillsyn/A 9129-2024 tillsynsbegäran.docx", "A 9129-2024")</f>
        <v/>
      </c>
      <c r="Y59">
        <f>HYPERLINK("https://klasma.github.io/Logging_0883/tillsynsmail/A 9129-2024 tillsynsbegäran mail.docx", "A 9129-2024")</f>
        <v/>
      </c>
    </row>
    <row r="60" ht="15" customHeight="1">
      <c r="A60" t="inlineStr">
        <is>
          <t>A 9975-2024</t>
        </is>
      </c>
      <c r="B60" s="1" t="n">
        <v>45363</v>
      </c>
      <c r="C60" s="1" t="n">
        <v>45511</v>
      </c>
      <c r="D60" t="inlineStr">
        <is>
          <t>KALMAR LÄN</t>
        </is>
      </c>
      <c r="E60" t="inlineStr">
        <is>
          <t>VÄSTERVIK</t>
        </is>
      </c>
      <c r="G60" t="n">
        <v>2.2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Spillkråka
Tallticka
Talltita</t>
        </is>
      </c>
      <c r="S60">
        <f>HYPERLINK("https://klasma.github.io/Logging_0883/artfynd/A 9975-2024 artfynd.xlsx", "A 9975-2024")</f>
        <v/>
      </c>
      <c r="T60">
        <f>HYPERLINK("https://klasma.github.io/Logging_0883/kartor/A 9975-2024 karta.png", "A 9975-2024")</f>
        <v/>
      </c>
      <c r="U60">
        <f>HYPERLINK("https://klasma.github.io/Logging_0883/knärot/A 9975-2024 karta knärot.png", "A 9975-2024")</f>
        <v/>
      </c>
      <c r="V60">
        <f>HYPERLINK("https://klasma.github.io/Logging_0883/klagomål/A 9975-2024 FSC-klagomål.docx", "A 9975-2024")</f>
        <v/>
      </c>
      <c r="W60">
        <f>HYPERLINK("https://klasma.github.io/Logging_0883/klagomålsmail/A 9975-2024 FSC-klagomål mail.docx", "A 9975-2024")</f>
        <v/>
      </c>
      <c r="X60">
        <f>HYPERLINK("https://klasma.github.io/Logging_0883/tillsyn/A 9975-2024 tillsynsbegäran.docx", "A 9975-2024")</f>
        <v/>
      </c>
      <c r="Y60">
        <f>HYPERLINK("https://klasma.github.io/Logging_0883/tillsynsmail/A 9975-2024 tillsynsbegäran mail.docx", "A 9975-2024")</f>
        <v/>
      </c>
      <c r="Z60">
        <f>HYPERLINK("https://klasma.github.io/Logging_0883/fåglar/A 9975-2024 prioriterade fågelarter.docx", "A 9975-2024")</f>
        <v/>
      </c>
    </row>
    <row r="61" ht="15" customHeight="1">
      <c r="A61" t="inlineStr">
        <is>
          <t>A 11862-2024</t>
        </is>
      </c>
      <c r="B61" s="1" t="n">
        <v>45376</v>
      </c>
      <c r="C61" s="1" t="n">
        <v>45511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Oxtungssvamp
Solvända
Svart trolldruva
Blåsippa</t>
        </is>
      </c>
      <c r="S61">
        <f>HYPERLINK("https://klasma.github.io/Logging_0883/artfynd/A 11862-2024 artfynd.xlsx", "A 11862-2024")</f>
        <v/>
      </c>
      <c r="T61">
        <f>HYPERLINK("https://klasma.github.io/Logging_0883/kartor/A 11862-2024 karta.png", "A 11862-2024")</f>
        <v/>
      </c>
      <c r="V61">
        <f>HYPERLINK("https://klasma.github.io/Logging_0883/klagomål/A 11862-2024 FSC-klagomål.docx", "A 11862-2024")</f>
        <v/>
      </c>
      <c r="W61">
        <f>HYPERLINK("https://klasma.github.io/Logging_0883/klagomålsmail/A 11862-2024 FSC-klagomål mail.docx", "A 11862-2024")</f>
        <v/>
      </c>
      <c r="X61">
        <f>HYPERLINK("https://klasma.github.io/Logging_0883/tillsyn/A 11862-2024 tillsynsbegäran.docx", "A 11862-2024")</f>
        <v/>
      </c>
      <c r="Y61">
        <f>HYPERLINK("https://klasma.github.io/Logging_0883/tillsynsmail/A 11862-2024 tillsynsbegäran mail.docx", "A 11862-2024")</f>
        <v/>
      </c>
    </row>
    <row r="62" ht="15" customHeight="1">
      <c r="A62" t="inlineStr">
        <is>
          <t>A 18397-2024</t>
        </is>
      </c>
      <c r="B62" s="1" t="n">
        <v>45425</v>
      </c>
      <c r="C62" s="1" t="n">
        <v>45511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3.5</v>
      </c>
      <c r="H62" t="n">
        <v>3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Spillkråka
Talltita
Grönpyrola</t>
        </is>
      </c>
      <c r="S62">
        <f>HYPERLINK("https://klasma.github.io/Logging_0883/artfynd/A 18397-2024 artfynd.xlsx", "A 18397-2024")</f>
        <v/>
      </c>
      <c r="T62">
        <f>HYPERLINK("https://klasma.github.io/Logging_0883/kartor/A 18397-2024 karta.png", "A 18397-2024")</f>
        <v/>
      </c>
      <c r="U62">
        <f>HYPERLINK("https://klasma.github.io/Logging_0883/knärot/A 18397-2024 karta knärot.png", "A 18397-2024")</f>
        <v/>
      </c>
      <c r="V62">
        <f>HYPERLINK("https://klasma.github.io/Logging_0883/klagomål/A 18397-2024 FSC-klagomål.docx", "A 18397-2024")</f>
        <v/>
      </c>
      <c r="W62">
        <f>HYPERLINK("https://klasma.github.io/Logging_0883/klagomålsmail/A 18397-2024 FSC-klagomål mail.docx", "A 18397-2024")</f>
        <v/>
      </c>
      <c r="X62">
        <f>HYPERLINK("https://klasma.github.io/Logging_0883/tillsyn/A 18397-2024 tillsynsbegäran.docx", "A 18397-2024")</f>
        <v/>
      </c>
      <c r="Y62">
        <f>HYPERLINK("https://klasma.github.io/Logging_0883/tillsynsmail/A 18397-2024 tillsynsbegäran mail.docx", "A 18397-2024")</f>
        <v/>
      </c>
      <c r="Z62">
        <f>HYPERLINK("https://klasma.github.io/Logging_0883/fåglar/A 18397-2024 prioriterade fågelarter.docx", "A 18397-2024")</f>
        <v/>
      </c>
    </row>
    <row r="63" ht="15" customHeight="1">
      <c r="A63" t="inlineStr">
        <is>
          <t>A 20366-2024</t>
        </is>
      </c>
      <c r="B63" s="1" t="n">
        <v>45435</v>
      </c>
      <c r="C63" s="1" t="n">
        <v>45511</v>
      </c>
      <c r="D63" t="inlineStr">
        <is>
          <t>KALMAR LÄN</t>
        </is>
      </c>
      <c r="E63" t="inlineStr">
        <is>
          <t>VÄSTERVIK</t>
        </is>
      </c>
      <c r="G63" t="n">
        <v>0.8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Tallticka
Purpurknipprot</t>
        </is>
      </c>
      <c r="S63">
        <f>HYPERLINK("https://klasma.github.io/Logging_0883/artfynd/A 20366-2024 artfynd.xlsx", "A 20366-2024")</f>
        <v/>
      </c>
      <c r="T63">
        <f>HYPERLINK("https://klasma.github.io/Logging_0883/kartor/A 20366-2024 karta.png", "A 20366-2024")</f>
        <v/>
      </c>
      <c r="V63">
        <f>HYPERLINK("https://klasma.github.io/Logging_0883/klagomål/A 20366-2024 FSC-klagomål.docx", "A 20366-2024")</f>
        <v/>
      </c>
      <c r="W63">
        <f>HYPERLINK("https://klasma.github.io/Logging_0883/klagomålsmail/A 20366-2024 FSC-klagomål mail.docx", "A 20366-2024")</f>
        <v/>
      </c>
      <c r="X63">
        <f>HYPERLINK("https://klasma.github.io/Logging_0883/tillsyn/A 20366-2024 tillsynsbegäran.docx", "A 20366-2024")</f>
        <v/>
      </c>
      <c r="Y63">
        <f>HYPERLINK("https://klasma.github.io/Logging_0883/tillsynsmail/A 20366-2024 tillsynsbegäran mail.docx", "A 20366-2024")</f>
        <v/>
      </c>
      <c r="Z63">
        <f>HYPERLINK("https://klasma.github.io/Logging_0883/fåglar/A 20366-2024 prioriterade fågelarter.docx", "A 20366-2024")</f>
        <v/>
      </c>
    </row>
    <row r="64" ht="15" customHeight="1">
      <c r="A64" t="inlineStr">
        <is>
          <t>A 25534-2024</t>
        </is>
      </c>
      <c r="B64" s="1" t="n">
        <v>45463</v>
      </c>
      <c r="C64" s="1" t="n">
        <v>45511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9.5</v>
      </c>
      <c r="H64" t="n">
        <v>1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Tallticka
Brandticka
Bronshjon</t>
        </is>
      </c>
      <c r="S64">
        <f>HYPERLINK("https://klasma.github.io/Logging_0883/artfynd/A 25534-2024 artfynd.xlsx", "A 25534-2024")</f>
        <v/>
      </c>
      <c r="T64">
        <f>HYPERLINK("https://klasma.github.io/Logging_0883/kartor/A 25534-2024 karta.png", "A 25534-2024")</f>
        <v/>
      </c>
      <c r="U64">
        <f>HYPERLINK("https://klasma.github.io/Logging_0883/knärot/A 25534-2024 karta knärot.png", "A 25534-2024")</f>
        <v/>
      </c>
      <c r="V64">
        <f>HYPERLINK("https://klasma.github.io/Logging_0883/klagomål/A 25534-2024 FSC-klagomål.docx", "A 25534-2024")</f>
        <v/>
      </c>
      <c r="W64">
        <f>HYPERLINK("https://klasma.github.io/Logging_0883/klagomålsmail/A 25534-2024 FSC-klagomål mail.docx", "A 25534-2024")</f>
        <v/>
      </c>
      <c r="X64">
        <f>HYPERLINK("https://klasma.github.io/Logging_0883/tillsyn/A 25534-2024 tillsynsbegäran.docx", "A 25534-2024")</f>
        <v/>
      </c>
      <c r="Y64">
        <f>HYPERLINK("https://klasma.github.io/Logging_0883/tillsynsmail/A 25534-2024 tillsynsbegäran mail.docx", "A 25534-2024")</f>
        <v/>
      </c>
    </row>
    <row r="65" ht="15" customHeight="1">
      <c r="A65" t="inlineStr">
        <is>
          <t>A 9097-2021</t>
        </is>
      </c>
      <c r="B65" s="1" t="n">
        <v>44249</v>
      </c>
      <c r="C65" s="1" t="n">
        <v>45511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1.9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Vedskivlav
Vätteros</t>
        </is>
      </c>
      <c r="S65">
        <f>HYPERLINK("https://klasma.github.io/Logging_0883/artfynd/A 9097-2021 artfynd.xlsx", "A 9097-2021")</f>
        <v/>
      </c>
      <c r="T65">
        <f>HYPERLINK("https://klasma.github.io/Logging_0883/kartor/A 9097-2021 karta.png", "A 9097-2021")</f>
        <v/>
      </c>
      <c r="V65">
        <f>HYPERLINK("https://klasma.github.io/Logging_0883/klagomål/A 9097-2021 FSC-klagomål.docx", "A 9097-2021")</f>
        <v/>
      </c>
      <c r="W65">
        <f>HYPERLINK("https://klasma.github.io/Logging_0883/klagomålsmail/A 9097-2021 FSC-klagomål mail.docx", "A 9097-2021")</f>
        <v/>
      </c>
      <c r="X65">
        <f>HYPERLINK("https://klasma.github.io/Logging_0883/tillsyn/A 9097-2021 tillsynsbegäran.docx", "A 9097-2021")</f>
        <v/>
      </c>
      <c r="Y65">
        <f>HYPERLINK("https://klasma.github.io/Logging_0883/tillsynsmail/A 9097-2021 tillsynsbegäran mail.docx", "A 9097-2021")</f>
        <v/>
      </c>
    </row>
    <row r="66" ht="15" customHeight="1">
      <c r="A66" t="inlineStr">
        <is>
          <t>A 63813-2021</t>
        </is>
      </c>
      <c r="B66" s="1" t="n">
        <v>44505</v>
      </c>
      <c r="C66" s="1" t="n">
        <v>45511</v>
      </c>
      <c r="D66" t="inlineStr">
        <is>
          <t>KALMAR LÄN</t>
        </is>
      </c>
      <c r="E66" t="inlineStr">
        <is>
          <t>VÄSTERVIK</t>
        </is>
      </c>
      <c r="G66" t="n">
        <v>4.4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Tallticka
Talltita
Grovticka</t>
        </is>
      </c>
      <c r="S66">
        <f>HYPERLINK("https://klasma.github.io/Logging_0883/artfynd/A 63813-2021 artfynd.xlsx", "A 63813-2021")</f>
        <v/>
      </c>
      <c r="T66">
        <f>HYPERLINK("https://klasma.github.io/Logging_0883/kartor/A 63813-2021 karta.png", "A 63813-2021")</f>
        <v/>
      </c>
      <c r="U66">
        <f>HYPERLINK("https://klasma.github.io/Logging_0883/knärot/A 63813-2021 karta knärot.png", "A 63813-2021")</f>
        <v/>
      </c>
      <c r="V66">
        <f>HYPERLINK("https://klasma.github.io/Logging_0883/klagomål/A 63813-2021 FSC-klagomål.docx", "A 63813-2021")</f>
        <v/>
      </c>
      <c r="W66">
        <f>HYPERLINK("https://klasma.github.io/Logging_0883/klagomålsmail/A 63813-2021 FSC-klagomål mail.docx", "A 63813-2021")</f>
        <v/>
      </c>
      <c r="X66">
        <f>HYPERLINK("https://klasma.github.io/Logging_0883/tillsyn/A 63813-2021 tillsynsbegäran.docx", "A 63813-2021")</f>
        <v/>
      </c>
      <c r="Y66">
        <f>HYPERLINK("https://klasma.github.io/Logging_0883/tillsynsmail/A 63813-2021 tillsynsbegäran mail.docx", "A 63813-2021")</f>
        <v/>
      </c>
      <c r="Z66">
        <f>HYPERLINK("https://klasma.github.io/Logging_0883/fåglar/A 63813-2021 prioriterade fågelarter.docx", "A 63813-2021")</f>
        <v/>
      </c>
    </row>
    <row r="67" ht="15" customHeight="1">
      <c r="A67" t="inlineStr">
        <is>
          <t>A 68416-2021</t>
        </is>
      </c>
      <c r="B67" s="1" t="n">
        <v>44529</v>
      </c>
      <c r="C67" s="1" t="n">
        <v>45511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10.5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Knärot
Tallticka
Talltita</t>
        </is>
      </c>
      <c r="S67">
        <f>HYPERLINK("https://klasma.github.io/Logging_0883/artfynd/A 68416-2021 artfynd.xlsx", "A 68416-2021")</f>
        <v/>
      </c>
      <c r="T67">
        <f>HYPERLINK("https://klasma.github.io/Logging_0883/kartor/A 68416-2021 karta.png", "A 68416-2021")</f>
        <v/>
      </c>
      <c r="U67">
        <f>HYPERLINK("https://klasma.github.io/Logging_0883/knärot/A 68416-2021 karta knärot.png", "A 68416-2021")</f>
        <v/>
      </c>
      <c r="V67">
        <f>HYPERLINK("https://klasma.github.io/Logging_0883/klagomål/A 68416-2021 FSC-klagomål.docx", "A 68416-2021")</f>
        <v/>
      </c>
      <c r="W67">
        <f>HYPERLINK("https://klasma.github.io/Logging_0883/klagomålsmail/A 68416-2021 FSC-klagomål mail.docx", "A 68416-2021")</f>
        <v/>
      </c>
      <c r="X67">
        <f>HYPERLINK("https://klasma.github.io/Logging_0883/tillsyn/A 68416-2021 tillsynsbegäran.docx", "A 68416-2021")</f>
        <v/>
      </c>
      <c r="Y67">
        <f>HYPERLINK("https://klasma.github.io/Logging_0883/tillsynsmail/A 68416-2021 tillsynsbegäran mail.docx", "A 68416-2021")</f>
        <v/>
      </c>
      <c r="Z67">
        <f>HYPERLINK("https://klasma.github.io/Logging_0883/fåglar/A 68416-2021 prioriterade fågelarter.docx", "A 68416-2021")</f>
        <v/>
      </c>
    </row>
    <row r="68" ht="15" customHeight="1">
      <c r="A68" t="inlineStr">
        <is>
          <t>A 55506-2022</t>
        </is>
      </c>
      <c r="B68" s="1" t="n">
        <v>44887</v>
      </c>
      <c r="C68" s="1" t="n">
        <v>45511</v>
      </c>
      <c r="D68" t="inlineStr">
        <is>
          <t>KALMAR LÄN</t>
        </is>
      </c>
      <c r="E68" t="inlineStr">
        <is>
          <t>VÄSTERVIK</t>
        </is>
      </c>
      <c r="G68" t="n">
        <v>3.4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Tallticka
Ullticka
Trädporella</t>
        </is>
      </c>
      <c r="S68">
        <f>HYPERLINK("https://klasma.github.io/Logging_0883/artfynd/A 55506-2022 artfynd.xlsx", "A 55506-2022")</f>
        <v/>
      </c>
      <c r="T68">
        <f>HYPERLINK("https://klasma.github.io/Logging_0883/kartor/A 55506-2022 karta.png", "A 55506-2022")</f>
        <v/>
      </c>
      <c r="V68">
        <f>HYPERLINK("https://klasma.github.io/Logging_0883/klagomål/A 55506-2022 FSC-klagomål.docx", "A 55506-2022")</f>
        <v/>
      </c>
      <c r="W68">
        <f>HYPERLINK("https://klasma.github.io/Logging_0883/klagomålsmail/A 55506-2022 FSC-klagomål mail.docx", "A 55506-2022")</f>
        <v/>
      </c>
      <c r="X68">
        <f>HYPERLINK("https://klasma.github.io/Logging_0883/tillsyn/A 55506-2022 tillsynsbegäran.docx", "A 55506-2022")</f>
        <v/>
      </c>
      <c r="Y68">
        <f>HYPERLINK("https://klasma.github.io/Logging_0883/tillsynsmail/A 55506-2022 tillsynsbegäran mail.docx", "A 55506-2022")</f>
        <v/>
      </c>
    </row>
    <row r="69" ht="15" customHeight="1">
      <c r="A69" t="inlineStr">
        <is>
          <t>A 12708-2023</t>
        </is>
      </c>
      <c r="B69" s="1" t="n">
        <v>45000</v>
      </c>
      <c r="C69" s="1" t="n">
        <v>45511</v>
      </c>
      <c r="D69" t="inlineStr">
        <is>
          <t>KALMAR LÄN</t>
        </is>
      </c>
      <c r="E69" t="inlineStr">
        <is>
          <t>VÄSTERVIK</t>
        </is>
      </c>
      <c r="G69" t="n">
        <v>8.6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Knärot
Tallticka
Talltita</t>
        </is>
      </c>
      <c r="S69">
        <f>HYPERLINK("https://klasma.github.io/Logging_0883/artfynd/A 12708-2023 artfynd.xlsx", "A 12708-2023")</f>
        <v/>
      </c>
      <c r="T69">
        <f>HYPERLINK("https://klasma.github.io/Logging_0883/kartor/A 12708-2023 karta.png", "A 12708-2023")</f>
        <v/>
      </c>
      <c r="U69">
        <f>HYPERLINK("https://klasma.github.io/Logging_0883/knärot/A 12708-2023 karta knärot.png", "A 12708-2023")</f>
        <v/>
      </c>
      <c r="V69">
        <f>HYPERLINK("https://klasma.github.io/Logging_0883/klagomål/A 12708-2023 FSC-klagomål.docx", "A 12708-2023")</f>
        <v/>
      </c>
      <c r="W69">
        <f>HYPERLINK("https://klasma.github.io/Logging_0883/klagomålsmail/A 12708-2023 FSC-klagomål mail.docx", "A 12708-2023")</f>
        <v/>
      </c>
      <c r="X69">
        <f>HYPERLINK("https://klasma.github.io/Logging_0883/tillsyn/A 12708-2023 tillsynsbegäran.docx", "A 12708-2023")</f>
        <v/>
      </c>
      <c r="Y69">
        <f>HYPERLINK("https://klasma.github.io/Logging_0883/tillsynsmail/A 12708-2023 tillsynsbegäran mail.docx", "A 12708-2023")</f>
        <v/>
      </c>
      <c r="Z69">
        <f>HYPERLINK("https://klasma.github.io/Logging_0883/fåglar/A 12708-2023 prioriterade fågelarter.docx", "A 12708-2023")</f>
        <v/>
      </c>
    </row>
    <row r="70" ht="15" customHeight="1">
      <c r="A70" t="inlineStr">
        <is>
          <t>A 30194-2023</t>
        </is>
      </c>
      <c r="B70" s="1" t="n">
        <v>45110</v>
      </c>
      <c r="C70" s="1" t="n">
        <v>45511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5.8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Grovticka
Grönpyrola</t>
        </is>
      </c>
      <c r="S70">
        <f>HYPERLINK("https://klasma.github.io/Logging_0883/artfynd/A 30194-2023 artfynd.xlsx", "A 30194-2023")</f>
        <v/>
      </c>
      <c r="T70">
        <f>HYPERLINK("https://klasma.github.io/Logging_0883/kartor/A 30194-2023 karta.png", "A 30194-2023")</f>
        <v/>
      </c>
      <c r="U70">
        <f>HYPERLINK("https://klasma.github.io/Logging_0883/knärot/A 30194-2023 karta knärot.png", "A 30194-2023")</f>
        <v/>
      </c>
      <c r="V70">
        <f>HYPERLINK("https://klasma.github.io/Logging_0883/klagomål/A 30194-2023 FSC-klagomål.docx", "A 30194-2023")</f>
        <v/>
      </c>
      <c r="W70">
        <f>HYPERLINK("https://klasma.github.io/Logging_0883/klagomålsmail/A 30194-2023 FSC-klagomål mail.docx", "A 30194-2023")</f>
        <v/>
      </c>
      <c r="X70">
        <f>HYPERLINK("https://klasma.github.io/Logging_0883/tillsyn/A 30194-2023 tillsynsbegäran.docx", "A 30194-2023")</f>
        <v/>
      </c>
      <c r="Y70">
        <f>HYPERLINK("https://klasma.github.io/Logging_0883/tillsynsmail/A 30194-2023 tillsynsbegäran mail.docx", "A 30194-2023")</f>
        <v/>
      </c>
    </row>
    <row r="71" ht="15" customHeight="1">
      <c r="A71" t="inlineStr">
        <is>
          <t>A 35480-2023</t>
        </is>
      </c>
      <c r="B71" s="1" t="n">
        <v>45146</v>
      </c>
      <c r="C71" s="1" t="n">
        <v>45511</v>
      </c>
      <c r="D71" t="inlineStr">
        <is>
          <t>KALMAR LÄN</t>
        </is>
      </c>
      <c r="E71" t="inlineStr">
        <is>
          <t>VÄSTERVIK</t>
        </is>
      </c>
      <c r="G71" t="n">
        <v>5.5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Spillkråka
Blåmossa
Tjockfotad fingersvamp</t>
        </is>
      </c>
      <c r="S71">
        <f>HYPERLINK("https://klasma.github.io/Logging_0883/artfynd/A 35480-2023 artfynd.xlsx", "A 35480-2023")</f>
        <v/>
      </c>
      <c r="T71">
        <f>HYPERLINK("https://klasma.github.io/Logging_0883/kartor/A 35480-2023 karta.png", "A 35480-2023")</f>
        <v/>
      </c>
      <c r="V71">
        <f>HYPERLINK("https://klasma.github.io/Logging_0883/klagomål/A 35480-2023 FSC-klagomål.docx", "A 35480-2023")</f>
        <v/>
      </c>
      <c r="W71">
        <f>HYPERLINK("https://klasma.github.io/Logging_0883/klagomålsmail/A 35480-2023 FSC-klagomål mail.docx", "A 35480-2023")</f>
        <v/>
      </c>
      <c r="X71">
        <f>HYPERLINK("https://klasma.github.io/Logging_0883/tillsyn/A 35480-2023 tillsynsbegäran.docx", "A 35480-2023")</f>
        <v/>
      </c>
      <c r="Y71">
        <f>HYPERLINK("https://klasma.github.io/Logging_0883/tillsynsmail/A 35480-2023 tillsynsbegäran mail.docx", "A 35480-2023")</f>
        <v/>
      </c>
      <c r="Z71">
        <f>HYPERLINK("https://klasma.github.io/Logging_0883/fåglar/A 35480-2023 prioriterade fågelarter.docx", "A 35480-2023")</f>
        <v/>
      </c>
    </row>
    <row r="72" ht="15" customHeight="1">
      <c r="A72" t="inlineStr">
        <is>
          <t>A 39904-2023</t>
        </is>
      </c>
      <c r="B72" s="1" t="n">
        <v>45168</v>
      </c>
      <c r="C72" s="1" t="n">
        <v>45511</v>
      </c>
      <c r="D72" t="inlineStr">
        <is>
          <t>KALMAR LÄN</t>
        </is>
      </c>
      <c r="E72" t="inlineStr">
        <is>
          <t>VÄSTERVIK</t>
        </is>
      </c>
      <c r="G72" t="n">
        <v>7.3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Gropticka
Grönpyrola
Revlummer</t>
        </is>
      </c>
      <c r="S72">
        <f>HYPERLINK("https://klasma.github.io/Logging_0883/artfynd/A 39904-2023 artfynd.xlsx", "A 39904-2023")</f>
        <v/>
      </c>
      <c r="T72">
        <f>HYPERLINK("https://klasma.github.io/Logging_0883/kartor/A 39904-2023 karta.png", "A 39904-2023")</f>
        <v/>
      </c>
      <c r="V72">
        <f>HYPERLINK("https://klasma.github.io/Logging_0883/klagomål/A 39904-2023 FSC-klagomål.docx", "A 39904-2023")</f>
        <v/>
      </c>
      <c r="W72">
        <f>HYPERLINK("https://klasma.github.io/Logging_0883/klagomålsmail/A 39904-2023 FSC-klagomål mail.docx", "A 39904-2023")</f>
        <v/>
      </c>
      <c r="X72">
        <f>HYPERLINK("https://klasma.github.io/Logging_0883/tillsyn/A 39904-2023 tillsynsbegäran.docx", "A 39904-2023")</f>
        <v/>
      </c>
      <c r="Y72">
        <f>HYPERLINK("https://klasma.github.io/Logging_0883/tillsynsmail/A 39904-2023 tillsynsbegäran mail.docx", "A 39904-2023")</f>
        <v/>
      </c>
    </row>
    <row r="73" ht="15" customHeight="1">
      <c r="A73" t="inlineStr">
        <is>
          <t>A 39906-2023</t>
        </is>
      </c>
      <c r="B73" s="1" t="n">
        <v>45168</v>
      </c>
      <c r="C73" s="1" t="n">
        <v>45511</v>
      </c>
      <c r="D73" t="inlineStr">
        <is>
          <t>KALMAR LÄN</t>
        </is>
      </c>
      <c r="E73" t="inlineStr">
        <is>
          <t>VÄSTERVIK</t>
        </is>
      </c>
      <c r="G73" t="n">
        <v>5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Blåmossa
Revlummer</t>
        </is>
      </c>
      <c r="S73">
        <f>HYPERLINK("https://klasma.github.io/Logging_0883/artfynd/A 39906-2023 artfynd.xlsx", "A 39906-2023")</f>
        <v/>
      </c>
      <c r="T73">
        <f>HYPERLINK("https://klasma.github.io/Logging_0883/kartor/A 39906-2023 karta.png", "A 39906-2023")</f>
        <v/>
      </c>
      <c r="U73">
        <f>HYPERLINK("https://klasma.github.io/Logging_0883/knärot/A 39906-2023 karta knärot.png", "A 39906-2023")</f>
        <v/>
      </c>
      <c r="V73">
        <f>HYPERLINK("https://klasma.github.io/Logging_0883/klagomål/A 39906-2023 FSC-klagomål.docx", "A 39906-2023")</f>
        <v/>
      </c>
      <c r="W73">
        <f>HYPERLINK("https://klasma.github.io/Logging_0883/klagomålsmail/A 39906-2023 FSC-klagomål mail.docx", "A 39906-2023")</f>
        <v/>
      </c>
      <c r="X73">
        <f>HYPERLINK("https://klasma.github.io/Logging_0883/tillsyn/A 39906-2023 tillsynsbegäran.docx", "A 39906-2023")</f>
        <v/>
      </c>
      <c r="Y73">
        <f>HYPERLINK("https://klasma.github.io/Logging_0883/tillsynsmail/A 39906-2023 tillsynsbegäran mail.docx", "A 39906-2023")</f>
        <v/>
      </c>
    </row>
    <row r="74" ht="15" customHeight="1">
      <c r="A74" t="inlineStr">
        <is>
          <t>A 42353-2023</t>
        </is>
      </c>
      <c r="B74" s="1" t="n">
        <v>45180</v>
      </c>
      <c r="C74" s="1" t="n">
        <v>45511</v>
      </c>
      <c r="D74" t="inlineStr">
        <is>
          <t>KALMAR LÄN</t>
        </is>
      </c>
      <c r="E74" t="inlineStr">
        <is>
          <t>VÄSTERVIK</t>
        </is>
      </c>
      <c r="G74" t="n">
        <v>11.3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Blomkålssvamp</t>
        </is>
      </c>
      <c r="S74">
        <f>HYPERLINK("https://klasma.github.io/Logging_0883/artfynd/A 42353-2023 artfynd.xlsx", "A 42353-2023")</f>
        <v/>
      </c>
      <c r="T74">
        <f>HYPERLINK("https://klasma.github.io/Logging_0883/kartor/A 42353-2023 karta.png", "A 42353-2023")</f>
        <v/>
      </c>
      <c r="U74">
        <f>HYPERLINK("https://klasma.github.io/Logging_0883/knärot/A 42353-2023 karta knärot.png", "A 42353-2023")</f>
        <v/>
      </c>
      <c r="V74">
        <f>HYPERLINK("https://klasma.github.io/Logging_0883/klagomål/A 42353-2023 FSC-klagomål.docx", "A 42353-2023")</f>
        <v/>
      </c>
      <c r="W74">
        <f>HYPERLINK("https://klasma.github.io/Logging_0883/klagomålsmail/A 42353-2023 FSC-klagomål mail.docx", "A 42353-2023")</f>
        <v/>
      </c>
      <c r="X74">
        <f>HYPERLINK("https://klasma.github.io/Logging_0883/tillsyn/A 42353-2023 tillsynsbegäran.docx", "A 42353-2023")</f>
        <v/>
      </c>
      <c r="Y74">
        <f>HYPERLINK("https://klasma.github.io/Logging_0883/tillsynsmail/A 42353-2023 tillsynsbegäran mail.docx", "A 42353-2023")</f>
        <v/>
      </c>
    </row>
    <row r="75" ht="15" customHeight="1">
      <c r="A75" t="inlineStr">
        <is>
          <t>A 45702-2023</t>
        </is>
      </c>
      <c r="B75" s="1" t="n">
        <v>45195</v>
      </c>
      <c r="C75" s="1" t="n">
        <v>45511</v>
      </c>
      <c r="D75" t="inlineStr">
        <is>
          <t>KALMAR LÄN</t>
        </is>
      </c>
      <c r="E75" t="inlineStr">
        <is>
          <t>VÄSTERVIK</t>
        </is>
      </c>
      <c r="G75" t="n">
        <v>7.3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Reliktbock
Tallticka
Blåmossa</t>
        </is>
      </c>
      <c r="S75">
        <f>HYPERLINK("https://klasma.github.io/Logging_0883/artfynd/A 45702-2023 artfynd.xlsx", "A 45702-2023")</f>
        <v/>
      </c>
      <c r="T75">
        <f>HYPERLINK("https://klasma.github.io/Logging_0883/kartor/A 45702-2023 karta.png", "A 45702-2023")</f>
        <v/>
      </c>
      <c r="V75">
        <f>HYPERLINK("https://klasma.github.io/Logging_0883/klagomål/A 45702-2023 FSC-klagomål.docx", "A 45702-2023")</f>
        <v/>
      </c>
      <c r="W75">
        <f>HYPERLINK("https://klasma.github.io/Logging_0883/klagomålsmail/A 45702-2023 FSC-klagomål mail.docx", "A 45702-2023")</f>
        <v/>
      </c>
      <c r="X75">
        <f>HYPERLINK("https://klasma.github.io/Logging_0883/tillsyn/A 45702-2023 tillsynsbegäran.docx", "A 45702-2023")</f>
        <v/>
      </c>
      <c r="Y75">
        <f>HYPERLINK("https://klasma.github.io/Logging_0883/tillsynsmail/A 45702-2023 tillsynsbegäran mail.docx", "A 45702-2023")</f>
        <v/>
      </c>
    </row>
    <row r="76" ht="15" customHeight="1">
      <c r="A76" t="inlineStr">
        <is>
          <t>A 46090-2023</t>
        </is>
      </c>
      <c r="B76" s="1" t="n">
        <v>45196</v>
      </c>
      <c r="C76" s="1" t="n">
        <v>45511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3.5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Fällmossa
Platt fjädermossa
Blåsippa</t>
        </is>
      </c>
      <c r="S76">
        <f>HYPERLINK("https://klasma.github.io/Logging_0883/artfynd/A 46090-2023 artfynd.xlsx", "A 46090-2023")</f>
        <v/>
      </c>
      <c r="T76">
        <f>HYPERLINK("https://klasma.github.io/Logging_0883/kartor/A 46090-2023 karta.png", "A 46090-2023")</f>
        <v/>
      </c>
      <c r="V76">
        <f>HYPERLINK("https://klasma.github.io/Logging_0883/klagomål/A 46090-2023 FSC-klagomål.docx", "A 46090-2023")</f>
        <v/>
      </c>
      <c r="W76">
        <f>HYPERLINK("https://klasma.github.io/Logging_0883/klagomålsmail/A 46090-2023 FSC-klagomål mail.docx", "A 46090-2023")</f>
        <v/>
      </c>
      <c r="X76">
        <f>HYPERLINK("https://klasma.github.io/Logging_0883/tillsyn/A 46090-2023 tillsynsbegäran.docx", "A 46090-2023")</f>
        <v/>
      </c>
      <c r="Y76">
        <f>HYPERLINK("https://klasma.github.io/Logging_0883/tillsynsmail/A 46090-2023 tillsynsbegäran mail.docx", "A 46090-2023")</f>
        <v/>
      </c>
    </row>
    <row r="77" ht="15" customHeight="1">
      <c r="A77" t="inlineStr">
        <is>
          <t>A 54265-2023</t>
        </is>
      </c>
      <c r="B77" s="1" t="n">
        <v>45232</v>
      </c>
      <c r="C77" s="1" t="n">
        <v>45511</v>
      </c>
      <c r="D77" t="inlineStr">
        <is>
          <t>KALMAR LÄN</t>
        </is>
      </c>
      <c r="E77" t="inlineStr">
        <is>
          <t>VÄSTERVIK</t>
        </is>
      </c>
      <c r="G77" t="n">
        <v>3.3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Blåmossa</t>
        </is>
      </c>
      <c r="S77">
        <f>HYPERLINK("https://klasma.github.io/Logging_0883/artfynd/A 54265-2023 artfynd.xlsx", "A 54265-2023")</f>
        <v/>
      </c>
      <c r="T77">
        <f>HYPERLINK("https://klasma.github.io/Logging_0883/kartor/A 54265-2023 karta.png", "A 54265-2023")</f>
        <v/>
      </c>
      <c r="U77">
        <f>HYPERLINK("https://klasma.github.io/Logging_0883/knärot/A 54265-2023 karta knärot.png", "A 54265-2023")</f>
        <v/>
      </c>
      <c r="V77">
        <f>HYPERLINK("https://klasma.github.io/Logging_0883/klagomål/A 54265-2023 FSC-klagomål.docx", "A 54265-2023")</f>
        <v/>
      </c>
      <c r="W77">
        <f>HYPERLINK("https://klasma.github.io/Logging_0883/klagomålsmail/A 54265-2023 FSC-klagomål mail.docx", "A 54265-2023")</f>
        <v/>
      </c>
      <c r="X77">
        <f>HYPERLINK("https://klasma.github.io/Logging_0883/tillsyn/A 54265-2023 tillsynsbegäran.docx", "A 54265-2023")</f>
        <v/>
      </c>
      <c r="Y77">
        <f>HYPERLINK("https://klasma.github.io/Logging_0883/tillsynsmail/A 54265-2023 tillsynsbegäran mail.docx", "A 54265-2023")</f>
        <v/>
      </c>
    </row>
    <row r="78" ht="15" customHeight="1">
      <c r="A78" t="inlineStr">
        <is>
          <t>A 2657-2024</t>
        </is>
      </c>
      <c r="B78" s="1" t="n">
        <v>45314</v>
      </c>
      <c r="C78" s="1" t="n">
        <v>45511</v>
      </c>
      <c r="D78" t="inlineStr">
        <is>
          <t>KALMAR LÄN</t>
        </is>
      </c>
      <c r="E78" t="inlineStr">
        <is>
          <t>VÄSTERVIK</t>
        </is>
      </c>
      <c r="G78" t="n">
        <v>5.9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HYPERLINK("https://klasma.github.io/Logging_0883/artfynd/A 2657-2024 artfynd.xlsx", "A 2657-2024")</f>
        <v/>
      </c>
      <c r="T78">
        <f>HYPERLINK("https://klasma.github.io/Logging_0883/kartor/A 2657-2024 karta.png", "A 2657-2024")</f>
        <v/>
      </c>
      <c r="U78">
        <f>HYPERLINK("https://klasma.github.io/Logging_0883/knärot/A 2657-2024 karta knärot.png", "A 2657-2024")</f>
        <v/>
      </c>
      <c r="V78">
        <f>HYPERLINK("https://klasma.github.io/Logging_0883/klagomål/A 2657-2024 FSC-klagomål.docx", "A 2657-2024")</f>
        <v/>
      </c>
      <c r="W78">
        <f>HYPERLINK("https://klasma.github.io/Logging_0883/klagomålsmail/A 2657-2024 FSC-klagomål mail.docx", "A 2657-2024")</f>
        <v/>
      </c>
      <c r="X78">
        <f>HYPERLINK("https://klasma.github.io/Logging_0883/tillsyn/A 2657-2024 tillsynsbegäran.docx", "A 2657-2024")</f>
        <v/>
      </c>
      <c r="Y78">
        <f>HYPERLINK("https://klasma.github.io/Logging_0883/tillsynsmail/A 2657-2024 tillsynsbegäran mail.docx", "A 2657-2024")</f>
        <v/>
      </c>
      <c r="Z78">
        <f>HYPERLINK("https://klasma.github.io/Logging_0883/fåglar/A 2657-2024 prioriterade fågelarter.docx", "A 2657-2024")</f>
        <v/>
      </c>
    </row>
    <row r="79" ht="15" customHeight="1">
      <c r="A79" t="inlineStr">
        <is>
          <t>A 2916-2024</t>
        </is>
      </c>
      <c r="B79" s="1" t="n">
        <v>45315</v>
      </c>
      <c r="C79" s="1" t="n">
        <v>45511</v>
      </c>
      <c r="D79" t="inlineStr">
        <is>
          <t>KALMAR LÄN</t>
        </is>
      </c>
      <c r="E79" t="inlineStr">
        <is>
          <t>VÄSTERVIK</t>
        </is>
      </c>
      <c r="G79" t="n">
        <v>6.3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Spillkråka
Tallticka</t>
        </is>
      </c>
      <c r="S79">
        <f>HYPERLINK("https://klasma.github.io/Logging_0883/artfynd/A 2916-2024 artfynd.xlsx", "A 2916-2024")</f>
        <v/>
      </c>
      <c r="T79">
        <f>HYPERLINK("https://klasma.github.io/Logging_0883/kartor/A 2916-2024 karta.png", "A 2916-2024")</f>
        <v/>
      </c>
      <c r="U79">
        <f>HYPERLINK("https://klasma.github.io/Logging_0883/knärot/A 2916-2024 karta knärot.png", "A 2916-2024")</f>
        <v/>
      </c>
      <c r="V79">
        <f>HYPERLINK("https://klasma.github.io/Logging_0883/klagomål/A 2916-2024 FSC-klagomål.docx", "A 2916-2024")</f>
        <v/>
      </c>
      <c r="W79">
        <f>HYPERLINK("https://klasma.github.io/Logging_0883/klagomålsmail/A 2916-2024 FSC-klagomål mail.docx", "A 2916-2024")</f>
        <v/>
      </c>
      <c r="X79">
        <f>HYPERLINK("https://klasma.github.io/Logging_0883/tillsyn/A 2916-2024 tillsynsbegäran.docx", "A 2916-2024")</f>
        <v/>
      </c>
      <c r="Y79">
        <f>HYPERLINK("https://klasma.github.io/Logging_0883/tillsynsmail/A 2916-2024 tillsynsbegäran mail.docx", "A 2916-2024")</f>
        <v/>
      </c>
      <c r="Z79">
        <f>HYPERLINK("https://klasma.github.io/Logging_0883/fåglar/A 2916-2024 prioriterade fågelarter.docx", "A 2916-2024")</f>
        <v/>
      </c>
    </row>
    <row r="80" ht="15" customHeight="1">
      <c r="A80" t="inlineStr">
        <is>
          <t>A 8620-2024</t>
        </is>
      </c>
      <c r="B80" s="1" t="n">
        <v>45355</v>
      </c>
      <c r="C80" s="1" t="n">
        <v>45511</v>
      </c>
      <c r="D80" t="inlineStr">
        <is>
          <t>KALMAR LÄN</t>
        </is>
      </c>
      <c r="E80" t="inlineStr">
        <is>
          <t>VÄSTERVIK</t>
        </is>
      </c>
      <c r="G80" t="n">
        <v>0.9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Blodticka</t>
        </is>
      </c>
      <c r="S80">
        <f>HYPERLINK("https://klasma.github.io/Logging_0883/artfynd/A 8620-2024 artfynd.xlsx", "A 8620-2024")</f>
        <v/>
      </c>
      <c r="T80">
        <f>HYPERLINK("https://klasma.github.io/Logging_0883/kartor/A 8620-2024 karta.png", "A 8620-2024")</f>
        <v/>
      </c>
      <c r="U80">
        <f>HYPERLINK("https://klasma.github.io/Logging_0883/knärot/A 8620-2024 karta knärot.png", "A 8620-2024")</f>
        <v/>
      </c>
      <c r="V80">
        <f>HYPERLINK("https://klasma.github.io/Logging_0883/klagomål/A 8620-2024 FSC-klagomål.docx", "A 8620-2024")</f>
        <v/>
      </c>
      <c r="W80">
        <f>HYPERLINK("https://klasma.github.io/Logging_0883/klagomålsmail/A 8620-2024 FSC-klagomål mail.docx", "A 8620-2024")</f>
        <v/>
      </c>
      <c r="X80">
        <f>HYPERLINK("https://klasma.github.io/Logging_0883/tillsyn/A 8620-2024 tillsynsbegäran.docx", "A 8620-2024")</f>
        <v/>
      </c>
      <c r="Y80">
        <f>HYPERLINK("https://klasma.github.io/Logging_0883/tillsynsmail/A 8620-2024 tillsynsbegäran mail.docx", "A 8620-2024")</f>
        <v/>
      </c>
      <c r="Z80">
        <f>HYPERLINK("https://klasma.github.io/Logging_0883/fåglar/A 8620-2024 prioriterade fågelarter.docx", "A 8620-2024")</f>
        <v/>
      </c>
    </row>
    <row r="81" ht="15" customHeight="1">
      <c r="A81" t="inlineStr">
        <is>
          <t>A 13744-2024</t>
        </is>
      </c>
      <c r="B81" s="1" t="n">
        <v>45390</v>
      </c>
      <c r="C81" s="1" t="n">
        <v>45511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6.3</v>
      </c>
      <c r="H81" t="n">
        <v>3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Talltita
Tjäder</t>
        </is>
      </c>
      <c r="S81">
        <f>HYPERLINK("https://klasma.github.io/Logging_0883/artfynd/A 13744-2024 artfynd.xlsx", "A 13744-2024")</f>
        <v/>
      </c>
      <c r="T81">
        <f>HYPERLINK("https://klasma.github.io/Logging_0883/kartor/A 13744-2024 karta.png", "A 13744-2024")</f>
        <v/>
      </c>
      <c r="U81">
        <f>HYPERLINK("https://klasma.github.io/Logging_0883/knärot/A 13744-2024 karta knärot.png", "A 13744-2024")</f>
        <v/>
      </c>
      <c r="V81">
        <f>HYPERLINK("https://klasma.github.io/Logging_0883/klagomål/A 13744-2024 FSC-klagomål.docx", "A 13744-2024")</f>
        <v/>
      </c>
      <c r="W81">
        <f>HYPERLINK("https://klasma.github.io/Logging_0883/klagomålsmail/A 13744-2024 FSC-klagomål mail.docx", "A 13744-2024")</f>
        <v/>
      </c>
      <c r="X81">
        <f>HYPERLINK("https://klasma.github.io/Logging_0883/tillsyn/A 13744-2024 tillsynsbegäran.docx", "A 13744-2024")</f>
        <v/>
      </c>
      <c r="Y81">
        <f>HYPERLINK("https://klasma.github.io/Logging_0883/tillsynsmail/A 13744-2024 tillsynsbegäran mail.docx", "A 13744-2024")</f>
        <v/>
      </c>
      <c r="Z81">
        <f>HYPERLINK("https://klasma.github.io/Logging_0883/fåglar/A 13744-2024 prioriterade fågelarter.docx", "A 13744-2024")</f>
        <v/>
      </c>
    </row>
    <row r="82" ht="15" customHeight="1">
      <c r="A82" t="inlineStr">
        <is>
          <t>A 16948-2024</t>
        </is>
      </c>
      <c r="B82" s="1" t="n">
        <v>45411</v>
      </c>
      <c r="C82" s="1" t="n">
        <v>45511</v>
      </c>
      <c r="D82" t="inlineStr">
        <is>
          <t>KALMAR LÄN</t>
        </is>
      </c>
      <c r="E82" t="inlineStr">
        <is>
          <t>VÄSTERVIK</t>
        </is>
      </c>
      <c r="G82" t="n">
        <v>13.3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Spillkråka
Tallticka</t>
        </is>
      </c>
      <c r="S82">
        <f>HYPERLINK("https://klasma.github.io/Logging_0883/artfynd/A 16948-2024 artfynd.xlsx", "A 16948-2024")</f>
        <v/>
      </c>
      <c r="T82">
        <f>HYPERLINK("https://klasma.github.io/Logging_0883/kartor/A 16948-2024 karta.png", "A 16948-2024")</f>
        <v/>
      </c>
      <c r="U82">
        <f>HYPERLINK("https://klasma.github.io/Logging_0883/knärot/A 16948-2024 karta knärot.png", "A 16948-2024")</f>
        <v/>
      </c>
      <c r="V82">
        <f>HYPERLINK("https://klasma.github.io/Logging_0883/klagomål/A 16948-2024 FSC-klagomål.docx", "A 16948-2024")</f>
        <v/>
      </c>
      <c r="W82">
        <f>HYPERLINK("https://klasma.github.io/Logging_0883/klagomålsmail/A 16948-2024 FSC-klagomål mail.docx", "A 16948-2024")</f>
        <v/>
      </c>
      <c r="X82">
        <f>HYPERLINK("https://klasma.github.io/Logging_0883/tillsyn/A 16948-2024 tillsynsbegäran.docx", "A 16948-2024")</f>
        <v/>
      </c>
      <c r="Y82">
        <f>HYPERLINK("https://klasma.github.io/Logging_0883/tillsynsmail/A 16948-2024 tillsynsbegäran mail.docx", "A 16948-2024")</f>
        <v/>
      </c>
      <c r="Z82">
        <f>HYPERLINK("https://klasma.github.io/Logging_0883/fåglar/A 16948-2024 prioriterade fågelarter.docx", "A 16948-2024")</f>
        <v/>
      </c>
    </row>
    <row r="83" ht="15" customHeight="1">
      <c r="A83" t="inlineStr">
        <is>
          <t>A 23219-2024</t>
        </is>
      </c>
      <c r="B83" s="1" t="n">
        <v>45452</v>
      </c>
      <c r="C83" s="1" t="n">
        <v>45511</v>
      </c>
      <c r="D83" t="inlineStr">
        <is>
          <t>KALMAR LÄN</t>
        </is>
      </c>
      <c r="E83" t="inlineStr">
        <is>
          <t>VÄSTERVIK</t>
        </is>
      </c>
      <c r="G83" t="n">
        <v>0.9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Ekticka
Spillkråka
Grönpyrola</t>
        </is>
      </c>
      <c r="S83">
        <f>HYPERLINK("https://klasma.github.io/Logging_0883/artfynd/A 23219-2024 artfynd.xlsx", "A 23219-2024")</f>
        <v/>
      </c>
      <c r="T83">
        <f>HYPERLINK("https://klasma.github.io/Logging_0883/kartor/A 23219-2024 karta.png", "A 23219-2024")</f>
        <v/>
      </c>
      <c r="V83">
        <f>HYPERLINK("https://klasma.github.io/Logging_0883/klagomål/A 23219-2024 FSC-klagomål.docx", "A 23219-2024")</f>
        <v/>
      </c>
      <c r="W83">
        <f>HYPERLINK("https://klasma.github.io/Logging_0883/klagomålsmail/A 23219-2024 FSC-klagomål mail.docx", "A 23219-2024")</f>
        <v/>
      </c>
      <c r="X83">
        <f>HYPERLINK("https://klasma.github.io/Logging_0883/tillsyn/A 23219-2024 tillsynsbegäran.docx", "A 23219-2024")</f>
        <v/>
      </c>
      <c r="Y83">
        <f>HYPERLINK("https://klasma.github.io/Logging_0883/tillsynsmail/A 23219-2024 tillsynsbegäran mail.docx", "A 23219-2024")</f>
        <v/>
      </c>
      <c r="Z83">
        <f>HYPERLINK("https://klasma.github.io/Logging_0883/fåglar/A 23219-2024 prioriterade fågelarter.docx", "A 23219-2024")</f>
        <v/>
      </c>
    </row>
    <row r="84" ht="15" customHeight="1">
      <c r="A84" t="inlineStr">
        <is>
          <t>A 27067-2024</t>
        </is>
      </c>
      <c r="B84" s="1" t="n">
        <v>45471</v>
      </c>
      <c r="C84" s="1" t="n">
        <v>45511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8.4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Ekticka
Spillkråka
Talltita</t>
        </is>
      </c>
      <c r="S84">
        <f>HYPERLINK("https://klasma.github.io/Logging_0883/artfynd/A 27067-2024 artfynd.xlsx", "A 27067-2024")</f>
        <v/>
      </c>
      <c r="T84">
        <f>HYPERLINK("https://klasma.github.io/Logging_0883/kartor/A 27067-2024 karta.png", "A 27067-2024")</f>
        <v/>
      </c>
      <c r="V84">
        <f>HYPERLINK("https://klasma.github.io/Logging_0883/klagomål/A 27067-2024 FSC-klagomål.docx", "A 27067-2024")</f>
        <v/>
      </c>
      <c r="W84">
        <f>HYPERLINK("https://klasma.github.io/Logging_0883/klagomålsmail/A 27067-2024 FSC-klagomål mail.docx", "A 27067-2024")</f>
        <v/>
      </c>
      <c r="X84">
        <f>HYPERLINK("https://klasma.github.io/Logging_0883/tillsyn/A 27067-2024 tillsynsbegäran.docx", "A 27067-2024")</f>
        <v/>
      </c>
      <c r="Y84">
        <f>HYPERLINK("https://klasma.github.io/Logging_0883/tillsynsmail/A 27067-2024 tillsynsbegäran mail.docx", "A 27067-2024")</f>
        <v/>
      </c>
      <c r="Z84">
        <f>HYPERLINK("https://klasma.github.io/Logging_0883/fåglar/A 27067-2024 prioriterade fågelarter.docx", "A 27067-2024")</f>
        <v/>
      </c>
    </row>
    <row r="85" ht="15" customHeight="1">
      <c r="A85" t="inlineStr">
        <is>
          <t>A 27737-2024</t>
        </is>
      </c>
      <c r="B85" s="1" t="n">
        <v>45475</v>
      </c>
      <c r="C85" s="1" t="n">
        <v>45511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2.7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Ekticka
Spillkråka
Mattlummer</t>
        </is>
      </c>
      <c r="S85">
        <f>HYPERLINK("https://klasma.github.io/Logging_0883/artfynd/A 27737-2024 artfynd.xlsx", "A 27737-2024")</f>
        <v/>
      </c>
      <c r="T85">
        <f>HYPERLINK("https://klasma.github.io/Logging_0883/kartor/A 27737-2024 karta.png", "A 27737-2024")</f>
        <v/>
      </c>
      <c r="V85">
        <f>HYPERLINK("https://klasma.github.io/Logging_0883/klagomål/A 27737-2024 FSC-klagomål.docx", "A 27737-2024")</f>
        <v/>
      </c>
      <c r="W85">
        <f>HYPERLINK("https://klasma.github.io/Logging_0883/klagomålsmail/A 27737-2024 FSC-klagomål mail.docx", "A 27737-2024")</f>
        <v/>
      </c>
      <c r="X85">
        <f>HYPERLINK("https://klasma.github.io/Logging_0883/tillsyn/A 27737-2024 tillsynsbegäran.docx", "A 27737-2024")</f>
        <v/>
      </c>
      <c r="Y85">
        <f>HYPERLINK("https://klasma.github.io/Logging_0883/tillsynsmail/A 27737-2024 tillsynsbegäran mail.docx", "A 27737-2024")</f>
        <v/>
      </c>
      <c r="Z85">
        <f>HYPERLINK("https://klasma.github.io/Logging_0883/fåglar/A 27737-2024 prioriterade fågelarter.docx", "A 27737-2024")</f>
        <v/>
      </c>
    </row>
    <row r="86" ht="15" customHeight="1">
      <c r="A86" t="inlineStr">
        <is>
          <t>A 62128-2019</t>
        </is>
      </c>
      <c r="B86" s="1" t="n">
        <v>43782</v>
      </c>
      <c r="C86" s="1" t="n">
        <v>45511</v>
      </c>
      <c r="D86" t="inlineStr">
        <is>
          <t>KALMAR LÄN</t>
        </is>
      </c>
      <c r="E86" t="inlineStr">
        <is>
          <t>VÄSTERVIK</t>
        </is>
      </c>
      <c r="G86" t="n">
        <v>7.5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Kattfotslav</t>
        </is>
      </c>
      <c r="S86">
        <f>HYPERLINK("https://klasma.github.io/Logging_0883/artfynd/A 62128-2019 artfynd.xlsx", "A 62128-2019")</f>
        <v/>
      </c>
      <c r="T86">
        <f>HYPERLINK("https://klasma.github.io/Logging_0883/kartor/A 62128-2019 karta.png", "A 62128-2019")</f>
        <v/>
      </c>
      <c r="V86">
        <f>HYPERLINK("https://klasma.github.io/Logging_0883/klagomål/A 62128-2019 FSC-klagomål.docx", "A 62128-2019")</f>
        <v/>
      </c>
      <c r="W86">
        <f>HYPERLINK("https://klasma.github.io/Logging_0883/klagomålsmail/A 62128-2019 FSC-klagomål mail.docx", "A 62128-2019")</f>
        <v/>
      </c>
      <c r="X86">
        <f>HYPERLINK("https://klasma.github.io/Logging_0883/tillsyn/A 62128-2019 tillsynsbegäran.docx", "A 62128-2019")</f>
        <v/>
      </c>
      <c r="Y86">
        <f>HYPERLINK("https://klasma.github.io/Logging_0883/tillsynsmail/A 62128-2019 tillsynsbegäran mail.docx", "A 62128-2019")</f>
        <v/>
      </c>
    </row>
    <row r="87" ht="15" customHeight="1">
      <c r="A87" t="inlineStr">
        <is>
          <t>A 56180-2020</t>
        </is>
      </c>
      <c r="B87" s="1" t="n">
        <v>44133</v>
      </c>
      <c r="C87" s="1" t="n">
        <v>45511</v>
      </c>
      <c r="D87" t="inlineStr">
        <is>
          <t>KALMAR LÄN</t>
        </is>
      </c>
      <c r="E87" t="inlineStr">
        <is>
          <t>VÄSTERVIK</t>
        </is>
      </c>
      <c r="G87" t="n">
        <v>9.199999999999999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Hasselsnok
Mattlummer</t>
        </is>
      </c>
      <c r="S87">
        <f>HYPERLINK("https://klasma.github.io/Logging_0883/artfynd/A 56180-2020 artfynd.xlsx", "A 56180-2020")</f>
        <v/>
      </c>
      <c r="T87">
        <f>HYPERLINK("https://klasma.github.io/Logging_0883/kartor/A 56180-2020 karta.png", "A 56180-2020")</f>
        <v/>
      </c>
      <c r="V87">
        <f>HYPERLINK("https://klasma.github.io/Logging_0883/klagomål/A 56180-2020 FSC-klagomål.docx", "A 56180-2020")</f>
        <v/>
      </c>
      <c r="W87">
        <f>HYPERLINK("https://klasma.github.io/Logging_0883/klagomålsmail/A 56180-2020 FSC-klagomål mail.docx", "A 56180-2020")</f>
        <v/>
      </c>
      <c r="X87">
        <f>HYPERLINK("https://klasma.github.io/Logging_0883/tillsyn/A 56180-2020 tillsynsbegäran.docx", "A 56180-2020")</f>
        <v/>
      </c>
      <c r="Y87">
        <f>HYPERLINK("https://klasma.github.io/Logging_0883/tillsynsmail/A 56180-2020 tillsynsbegäran mail.docx", "A 56180-2020")</f>
        <v/>
      </c>
    </row>
    <row r="88" ht="15" customHeight="1">
      <c r="A88" t="inlineStr">
        <is>
          <t>A 1955-2021</t>
        </is>
      </c>
      <c r="B88" s="1" t="n">
        <v>44210</v>
      </c>
      <c r="C88" s="1" t="n">
        <v>45511</v>
      </c>
      <c r="D88" t="inlineStr">
        <is>
          <t>KALMAR LÄN</t>
        </is>
      </c>
      <c r="E88" t="inlineStr">
        <is>
          <t>VÄSTERVIK</t>
        </is>
      </c>
      <c r="G88" t="n">
        <v>5.3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Talltita</t>
        </is>
      </c>
      <c r="S88">
        <f>HYPERLINK("https://klasma.github.io/Logging_0883/artfynd/A 1955-2021 artfynd.xlsx", "A 1955-2021")</f>
        <v/>
      </c>
      <c r="T88">
        <f>HYPERLINK("https://klasma.github.io/Logging_0883/kartor/A 1955-2021 karta.png", "A 1955-2021")</f>
        <v/>
      </c>
      <c r="V88">
        <f>HYPERLINK("https://klasma.github.io/Logging_0883/klagomål/A 1955-2021 FSC-klagomål.docx", "A 1955-2021")</f>
        <v/>
      </c>
      <c r="W88">
        <f>HYPERLINK("https://klasma.github.io/Logging_0883/klagomålsmail/A 1955-2021 FSC-klagomål mail.docx", "A 1955-2021")</f>
        <v/>
      </c>
      <c r="X88">
        <f>HYPERLINK("https://klasma.github.io/Logging_0883/tillsyn/A 1955-2021 tillsynsbegäran.docx", "A 1955-2021")</f>
        <v/>
      </c>
      <c r="Y88">
        <f>HYPERLINK("https://klasma.github.io/Logging_0883/tillsynsmail/A 1955-2021 tillsynsbegäran mail.docx", "A 1955-2021")</f>
        <v/>
      </c>
      <c r="Z88">
        <f>HYPERLINK("https://klasma.github.io/Logging_0883/fåglar/A 1955-2021 prioriterade fågelarter.docx", "A 1955-2021")</f>
        <v/>
      </c>
    </row>
    <row r="89" ht="15" customHeight="1">
      <c r="A89" t="inlineStr">
        <is>
          <t>A 21665-2021</t>
        </is>
      </c>
      <c r="B89" s="1" t="n">
        <v>44322</v>
      </c>
      <c r="C89" s="1" t="n">
        <v>45511</v>
      </c>
      <c r="D89" t="inlineStr">
        <is>
          <t>KALMAR LÄN</t>
        </is>
      </c>
      <c r="E89" t="inlineStr">
        <is>
          <t>VÄSTERVIK</t>
        </is>
      </c>
      <c r="G89" t="n">
        <v>18.9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Klubbsprötad bastardsvärmare
Smalsprötad bastardsvärmare</t>
        </is>
      </c>
      <c r="S89">
        <f>HYPERLINK("https://klasma.github.io/Logging_0883/artfynd/A 21665-2021 artfynd.xlsx", "A 21665-2021")</f>
        <v/>
      </c>
      <c r="T89">
        <f>HYPERLINK("https://klasma.github.io/Logging_0883/kartor/A 21665-2021 karta.png", "A 21665-2021")</f>
        <v/>
      </c>
      <c r="V89">
        <f>HYPERLINK("https://klasma.github.io/Logging_0883/klagomål/A 21665-2021 FSC-klagomål.docx", "A 21665-2021")</f>
        <v/>
      </c>
      <c r="W89">
        <f>HYPERLINK("https://klasma.github.io/Logging_0883/klagomålsmail/A 21665-2021 FSC-klagomål mail.docx", "A 21665-2021")</f>
        <v/>
      </c>
      <c r="X89">
        <f>HYPERLINK("https://klasma.github.io/Logging_0883/tillsyn/A 21665-2021 tillsynsbegäran.docx", "A 21665-2021")</f>
        <v/>
      </c>
      <c r="Y89">
        <f>HYPERLINK("https://klasma.github.io/Logging_0883/tillsynsmail/A 21665-2021 tillsynsbegäran mail.docx", "A 21665-2021")</f>
        <v/>
      </c>
    </row>
    <row r="90" ht="15" customHeight="1">
      <c r="A90" t="inlineStr">
        <is>
          <t>A 44667-2021</t>
        </is>
      </c>
      <c r="B90" s="1" t="n">
        <v>44438</v>
      </c>
      <c r="C90" s="1" t="n">
        <v>45511</v>
      </c>
      <c r="D90" t="inlineStr">
        <is>
          <t>KALMAR LÄN</t>
        </is>
      </c>
      <c r="E90" t="inlineStr">
        <is>
          <t>VÄSTERVIK</t>
        </is>
      </c>
      <c r="G90" t="n">
        <v>1.7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Järpe
Fjällig taggsvamp s.str.</t>
        </is>
      </c>
      <c r="S90">
        <f>HYPERLINK("https://klasma.github.io/Logging_0883/artfynd/A 44667-2021 artfynd.xlsx", "A 44667-2021")</f>
        <v/>
      </c>
      <c r="T90">
        <f>HYPERLINK("https://klasma.github.io/Logging_0883/kartor/A 44667-2021 karta.png", "A 44667-2021")</f>
        <v/>
      </c>
      <c r="V90">
        <f>HYPERLINK("https://klasma.github.io/Logging_0883/klagomål/A 44667-2021 FSC-klagomål.docx", "A 44667-2021")</f>
        <v/>
      </c>
      <c r="W90">
        <f>HYPERLINK("https://klasma.github.io/Logging_0883/klagomålsmail/A 44667-2021 FSC-klagomål mail.docx", "A 44667-2021")</f>
        <v/>
      </c>
      <c r="X90">
        <f>HYPERLINK("https://klasma.github.io/Logging_0883/tillsyn/A 44667-2021 tillsynsbegäran.docx", "A 44667-2021")</f>
        <v/>
      </c>
      <c r="Y90">
        <f>HYPERLINK("https://klasma.github.io/Logging_0883/tillsynsmail/A 44667-2021 tillsynsbegäran mail.docx", "A 44667-2021")</f>
        <v/>
      </c>
      <c r="Z90">
        <f>HYPERLINK("https://klasma.github.io/Logging_0883/fåglar/A 44667-2021 prioriterade fågelarter.docx", "A 44667-2021")</f>
        <v/>
      </c>
    </row>
    <row r="91" ht="15" customHeight="1">
      <c r="A91" t="inlineStr">
        <is>
          <t>A 51833-2021</t>
        </is>
      </c>
      <c r="B91" s="1" t="n">
        <v>44462</v>
      </c>
      <c r="C91" s="1" t="n">
        <v>45511</v>
      </c>
      <c r="D91" t="inlineStr">
        <is>
          <t>KALMAR LÄN</t>
        </is>
      </c>
      <c r="E91" t="inlineStr">
        <is>
          <t>VÄSTERVIK</t>
        </is>
      </c>
      <c r="G91" t="n">
        <v>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Fläcknycklar</t>
        </is>
      </c>
      <c r="S91">
        <f>HYPERLINK("https://klasma.github.io/Logging_0883/artfynd/A 51833-2021 artfynd.xlsx", "A 51833-2021")</f>
        <v/>
      </c>
      <c r="T91">
        <f>HYPERLINK("https://klasma.github.io/Logging_0883/kartor/A 51833-2021 karta.png", "A 51833-2021")</f>
        <v/>
      </c>
      <c r="V91">
        <f>HYPERLINK("https://klasma.github.io/Logging_0883/klagomål/A 51833-2021 FSC-klagomål.docx", "A 51833-2021")</f>
        <v/>
      </c>
      <c r="W91">
        <f>HYPERLINK("https://klasma.github.io/Logging_0883/klagomålsmail/A 51833-2021 FSC-klagomål mail.docx", "A 51833-2021")</f>
        <v/>
      </c>
      <c r="X91">
        <f>HYPERLINK("https://klasma.github.io/Logging_0883/tillsyn/A 51833-2021 tillsynsbegäran.docx", "A 51833-2021")</f>
        <v/>
      </c>
      <c r="Y91">
        <f>HYPERLINK("https://klasma.github.io/Logging_0883/tillsynsmail/A 51833-2021 tillsynsbegäran mail.docx", "A 51833-2021")</f>
        <v/>
      </c>
    </row>
    <row r="92" ht="15" customHeight="1">
      <c r="A92" t="inlineStr">
        <is>
          <t>A 53769-2021</t>
        </is>
      </c>
      <c r="B92" s="1" t="n">
        <v>44467</v>
      </c>
      <c r="C92" s="1" t="n">
        <v>45511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1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 sköldmossa
Stubbspretmossa</t>
        </is>
      </c>
      <c r="S92">
        <f>HYPERLINK("https://klasma.github.io/Logging_0883/artfynd/A 53769-2021 artfynd.xlsx", "A 53769-2021")</f>
        <v/>
      </c>
      <c r="T92">
        <f>HYPERLINK("https://klasma.github.io/Logging_0883/kartor/A 53769-2021 karta.png", "A 53769-2021")</f>
        <v/>
      </c>
      <c r="V92">
        <f>HYPERLINK("https://klasma.github.io/Logging_0883/klagomål/A 53769-2021 FSC-klagomål.docx", "A 53769-2021")</f>
        <v/>
      </c>
      <c r="W92">
        <f>HYPERLINK("https://klasma.github.io/Logging_0883/klagomålsmail/A 53769-2021 FSC-klagomål mail.docx", "A 53769-2021")</f>
        <v/>
      </c>
      <c r="X92">
        <f>HYPERLINK("https://klasma.github.io/Logging_0883/tillsyn/A 53769-2021 tillsynsbegäran.docx", "A 53769-2021")</f>
        <v/>
      </c>
      <c r="Y92">
        <f>HYPERLINK("https://klasma.github.io/Logging_0883/tillsynsmail/A 53769-2021 tillsynsbegäran mail.docx", "A 53769-2021")</f>
        <v/>
      </c>
    </row>
    <row r="93" ht="15" customHeight="1">
      <c r="A93" t="inlineStr">
        <is>
          <t>A 56616-2021</t>
        </is>
      </c>
      <c r="B93" s="1" t="n">
        <v>44480</v>
      </c>
      <c r="C93" s="1" t="n">
        <v>45511</v>
      </c>
      <c r="D93" t="inlineStr">
        <is>
          <t>KALMAR LÄN</t>
        </is>
      </c>
      <c r="E93" t="inlineStr">
        <is>
          <t>VÄSTERVIK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Gullklöver
Vippärt</t>
        </is>
      </c>
      <c r="S93">
        <f>HYPERLINK("https://klasma.github.io/Logging_0883/artfynd/A 56616-2021 artfynd.xlsx", "A 56616-2021")</f>
        <v/>
      </c>
      <c r="T93">
        <f>HYPERLINK("https://klasma.github.io/Logging_0883/kartor/A 56616-2021 karta.png", "A 56616-2021")</f>
        <v/>
      </c>
      <c r="V93">
        <f>HYPERLINK("https://klasma.github.io/Logging_0883/klagomål/A 56616-2021 FSC-klagomål.docx", "A 56616-2021")</f>
        <v/>
      </c>
      <c r="W93">
        <f>HYPERLINK("https://klasma.github.io/Logging_0883/klagomålsmail/A 56616-2021 FSC-klagomål mail.docx", "A 56616-2021")</f>
        <v/>
      </c>
      <c r="X93">
        <f>HYPERLINK("https://klasma.github.io/Logging_0883/tillsyn/A 56616-2021 tillsynsbegäran.docx", "A 56616-2021")</f>
        <v/>
      </c>
      <c r="Y93">
        <f>HYPERLINK("https://klasma.github.io/Logging_0883/tillsynsmail/A 56616-2021 tillsynsbegäran mail.docx", "A 56616-2021")</f>
        <v/>
      </c>
    </row>
    <row r="94" ht="15" customHeight="1">
      <c r="A94" t="inlineStr">
        <is>
          <t>A 59940-2021</t>
        </is>
      </c>
      <c r="B94" s="1" t="n">
        <v>44494</v>
      </c>
      <c r="C94" s="1" t="n">
        <v>45511</v>
      </c>
      <c r="D94" t="inlineStr">
        <is>
          <t>KALMAR LÄN</t>
        </is>
      </c>
      <c r="E94" t="inlineStr">
        <is>
          <t>VÄSTERVIK</t>
        </is>
      </c>
      <c r="G94" t="n">
        <v>4.3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59940-2021 artfynd.xlsx", "A 59940-2021")</f>
        <v/>
      </c>
      <c r="T94">
        <f>HYPERLINK("https://klasma.github.io/Logging_0883/kartor/A 59940-2021 karta.png", "A 59940-2021")</f>
        <v/>
      </c>
      <c r="U94">
        <f>HYPERLINK("https://klasma.github.io/Logging_0883/knärot/A 59940-2021 karta knärot.png", "A 59940-2021")</f>
        <v/>
      </c>
      <c r="V94">
        <f>HYPERLINK("https://klasma.github.io/Logging_0883/klagomål/A 59940-2021 FSC-klagomål.docx", "A 59940-2021")</f>
        <v/>
      </c>
      <c r="W94">
        <f>HYPERLINK("https://klasma.github.io/Logging_0883/klagomålsmail/A 59940-2021 FSC-klagomål mail.docx", "A 59940-2021")</f>
        <v/>
      </c>
      <c r="X94">
        <f>HYPERLINK("https://klasma.github.io/Logging_0883/tillsyn/A 59940-2021 tillsynsbegäran.docx", "A 59940-2021")</f>
        <v/>
      </c>
      <c r="Y94">
        <f>HYPERLINK("https://klasma.github.io/Logging_0883/tillsynsmail/A 59940-2021 tillsynsbegäran mail.docx", "A 59940-2021")</f>
        <v/>
      </c>
    </row>
    <row r="95" ht="15" customHeight="1">
      <c r="A95" t="inlineStr">
        <is>
          <t>A 72945-2021</t>
        </is>
      </c>
      <c r="B95" s="1" t="n">
        <v>44547</v>
      </c>
      <c r="C95" s="1" t="n">
        <v>45511</v>
      </c>
      <c r="D95" t="inlineStr">
        <is>
          <t>KALMAR LÄN</t>
        </is>
      </c>
      <c r="E95" t="inlineStr">
        <is>
          <t>VÄSTERVIK</t>
        </is>
      </c>
      <c r="G95" t="n">
        <v>1.6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Veckticka
Rävticka</t>
        </is>
      </c>
      <c r="S95">
        <f>HYPERLINK("https://klasma.github.io/Logging_0883/artfynd/A 72945-2021 artfynd.xlsx", "A 72945-2021")</f>
        <v/>
      </c>
      <c r="T95">
        <f>HYPERLINK("https://klasma.github.io/Logging_0883/kartor/A 72945-2021 karta.png", "A 72945-2021")</f>
        <v/>
      </c>
      <c r="V95">
        <f>HYPERLINK("https://klasma.github.io/Logging_0883/klagomål/A 72945-2021 FSC-klagomål.docx", "A 72945-2021")</f>
        <v/>
      </c>
      <c r="W95">
        <f>HYPERLINK("https://klasma.github.io/Logging_0883/klagomålsmail/A 72945-2021 FSC-klagomål mail.docx", "A 72945-2021")</f>
        <v/>
      </c>
      <c r="X95">
        <f>HYPERLINK("https://klasma.github.io/Logging_0883/tillsyn/A 72945-2021 tillsynsbegäran.docx", "A 72945-2021")</f>
        <v/>
      </c>
      <c r="Y95">
        <f>HYPERLINK("https://klasma.github.io/Logging_0883/tillsynsmail/A 72945-2021 tillsynsbegäran mail.docx", "A 72945-2021")</f>
        <v/>
      </c>
    </row>
    <row r="96" ht="15" customHeight="1">
      <c r="A96" t="inlineStr">
        <is>
          <t>A 14927-2022</t>
        </is>
      </c>
      <c r="B96" s="1" t="n">
        <v>44657</v>
      </c>
      <c r="C96" s="1" t="n">
        <v>45511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Ekoxe
Revlummer</t>
        </is>
      </c>
      <c r="S96">
        <f>HYPERLINK("https://klasma.github.io/Logging_0883/artfynd/A 14927-2022 artfynd.xlsx", "A 14927-2022")</f>
        <v/>
      </c>
      <c r="T96">
        <f>HYPERLINK("https://klasma.github.io/Logging_0883/kartor/A 14927-2022 karta.png", "A 14927-2022")</f>
        <v/>
      </c>
      <c r="V96">
        <f>HYPERLINK("https://klasma.github.io/Logging_0883/klagomål/A 14927-2022 FSC-klagomål.docx", "A 14927-2022")</f>
        <v/>
      </c>
      <c r="W96">
        <f>HYPERLINK("https://klasma.github.io/Logging_0883/klagomålsmail/A 14927-2022 FSC-klagomål mail.docx", "A 14927-2022")</f>
        <v/>
      </c>
      <c r="X96">
        <f>HYPERLINK("https://klasma.github.io/Logging_0883/tillsyn/A 14927-2022 tillsynsbegäran.docx", "A 14927-2022")</f>
        <v/>
      </c>
      <c r="Y96">
        <f>HYPERLINK("https://klasma.github.io/Logging_0883/tillsynsmail/A 14927-2022 tillsynsbegäran mail.docx", "A 14927-2022")</f>
        <v/>
      </c>
    </row>
    <row r="97" ht="15" customHeight="1">
      <c r="A97" t="inlineStr">
        <is>
          <t>A 21024-2022</t>
        </is>
      </c>
      <c r="B97" s="1" t="n">
        <v>44704</v>
      </c>
      <c r="C97" s="1" t="n">
        <v>45511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4.4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Skogsbräsma
Vätteros</t>
        </is>
      </c>
      <c r="S97">
        <f>HYPERLINK("https://klasma.github.io/Logging_0883/artfynd/A 21024-2022 artfynd.xlsx", "A 21024-2022")</f>
        <v/>
      </c>
      <c r="T97">
        <f>HYPERLINK("https://klasma.github.io/Logging_0883/kartor/A 21024-2022 karta.png", "A 21024-2022")</f>
        <v/>
      </c>
      <c r="V97">
        <f>HYPERLINK("https://klasma.github.io/Logging_0883/klagomål/A 21024-2022 FSC-klagomål.docx", "A 21024-2022")</f>
        <v/>
      </c>
      <c r="W97">
        <f>HYPERLINK("https://klasma.github.io/Logging_0883/klagomålsmail/A 21024-2022 FSC-klagomål mail.docx", "A 21024-2022")</f>
        <v/>
      </c>
      <c r="X97">
        <f>HYPERLINK("https://klasma.github.io/Logging_0883/tillsyn/A 21024-2022 tillsynsbegäran.docx", "A 21024-2022")</f>
        <v/>
      </c>
      <c r="Y97">
        <f>HYPERLINK("https://klasma.github.io/Logging_0883/tillsynsmail/A 21024-2022 tillsynsbegäran mail.docx", "A 21024-2022")</f>
        <v/>
      </c>
    </row>
    <row r="98" ht="15" customHeight="1">
      <c r="A98" t="inlineStr">
        <is>
          <t>A 25145-2022</t>
        </is>
      </c>
      <c r="B98" s="1" t="n">
        <v>44729</v>
      </c>
      <c r="C98" s="1" t="n">
        <v>45511</v>
      </c>
      <c r="D98" t="inlineStr">
        <is>
          <t>KALMAR LÄN</t>
        </is>
      </c>
      <c r="E98" t="inlineStr">
        <is>
          <t>VÄSTERVIK</t>
        </is>
      </c>
      <c r="G98" t="n">
        <v>1.3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HYPERLINK("https://klasma.github.io/Logging_0883/artfynd/A 25145-2022 artfynd.xlsx", "A 25145-2022")</f>
        <v/>
      </c>
      <c r="T98">
        <f>HYPERLINK("https://klasma.github.io/Logging_0883/kartor/A 25145-2022 karta.png", "A 25145-2022")</f>
        <v/>
      </c>
      <c r="U98">
        <f>HYPERLINK("https://klasma.github.io/Logging_0883/knärot/A 25145-2022 karta knärot.png", "A 25145-2022")</f>
        <v/>
      </c>
      <c r="V98">
        <f>HYPERLINK("https://klasma.github.io/Logging_0883/klagomål/A 25145-2022 FSC-klagomål.docx", "A 25145-2022")</f>
        <v/>
      </c>
      <c r="W98">
        <f>HYPERLINK("https://klasma.github.io/Logging_0883/klagomålsmail/A 25145-2022 FSC-klagomål mail.docx", "A 25145-2022")</f>
        <v/>
      </c>
      <c r="X98">
        <f>HYPERLINK("https://klasma.github.io/Logging_0883/tillsyn/A 25145-2022 tillsynsbegäran.docx", "A 25145-2022")</f>
        <v/>
      </c>
      <c r="Y98">
        <f>HYPERLINK("https://klasma.github.io/Logging_0883/tillsynsmail/A 25145-2022 tillsynsbegäran mail.docx", "A 25145-2022")</f>
        <v/>
      </c>
    </row>
    <row r="99" ht="15" customHeight="1">
      <c r="A99" t="inlineStr">
        <is>
          <t>A 38373-2022</t>
        </is>
      </c>
      <c r="B99" s="1" t="n">
        <v>44812</v>
      </c>
      <c r="C99" s="1" t="n">
        <v>45511</v>
      </c>
      <c r="D99" t="inlineStr">
        <is>
          <t>KALMAR LÄN</t>
        </is>
      </c>
      <c r="E99" t="inlineStr">
        <is>
          <t>VÄSTERVIK</t>
        </is>
      </c>
      <c r="G99" t="n">
        <v>3.1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Blåmossa</t>
        </is>
      </c>
      <c r="S99">
        <f>HYPERLINK("https://klasma.github.io/Logging_0883/artfynd/A 38373-2022 artfynd.xlsx", "A 38373-2022")</f>
        <v/>
      </c>
      <c r="T99">
        <f>HYPERLINK("https://klasma.github.io/Logging_0883/kartor/A 38373-2022 karta.png", "A 38373-2022")</f>
        <v/>
      </c>
      <c r="U99">
        <f>HYPERLINK("https://klasma.github.io/Logging_0883/knärot/A 38373-2022 karta knärot.png", "A 38373-2022")</f>
        <v/>
      </c>
      <c r="V99">
        <f>HYPERLINK("https://klasma.github.io/Logging_0883/klagomål/A 38373-2022 FSC-klagomål.docx", "A 38373-2022")</f>
        <v/>
      </c>
      <c r="W99">
        <f>HYPERLINK("https://klasma.github.io/Logging_0883/klagomålsmail/A 38373-2022 FSC-klagomål mail.docx", "A 38373-2022")</f>
        <v/>
      </c>
      <c r="X99">
        <f>HYPERLINK("https://klasma.github.io/Logging_0883/tillsyn/A 38373-2022 tillsynsbegäran.docx", "A 38373-2022")</f>
        <v/>
      </c>
      <c r="Y99">
        <f>HYPERLINK("https://klasma.github.io/Logging_0883/tillsynsmail/A 38373-2022 tillsynsbegäran mail.docx", "A 38373-2022")</f>
        <v/>
      </c>
    </row>
    <row r="100" ht="15" customHeight="1">
      <c r="A100" t="inlineStr">
        <is>
          <t>A 46552-2022</t>
        </is>
      </c>
      <c r="B100" s="1" t="n">
        <v>44848</v>
      </c>
      <c r="C100" s="1" t="n">
        <v>45511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Sårläka</t>
        </is>
      </c>
      <c r="S100">
        <f>HYPERLINK("https://klasma.github.io/Logging_0883/artfynd/A 46552-2022 artfynd.xlsx", "A 46552-2022")</f>
        <v/>
      </c>
      <c r="T100">
        <f>HYPERLINK("https://klasma.github.io/Logging_0883/kartor/A 46552-2022 karta.png", "A 46552-2022")</f>
        <v/>
      </c>
      <c r="V100">
        <f>HYPERLINK("https://klasma.github.io/Logging_0883/klagomål/A 46552-2022 FSC-klagomål.docx", "A 46552-2022")</f>
        <v/>
      </c>
      <c r="W100">
        <f>HYPERLINK("https://klasma.github.io/Logging_0883/klagomålsmail/A 46552-2022 FSC-klagomål mail.docx", "A 46552-2022")</f>
        <v/>
      </c>
      <c r="X100">
        <f>HYPERLINK("https://klasma.github.io/Logging_0883/tillsyn/A 46552-2022 tillsynsbegäran.docx", "A 46552-2022")</f>
        <v/>
      </c>
      <c r="Y100">
        <f>HYPERLINK("https://klasma.github.io/Logging_0883/tillsynsmail/A 46552-2022 tillsynsbegäran mail.docx", "A 46552-2022")</f>
        <v/>
      </c>
    </row>
    <row r="101" ht="15" customHeight="1">
      <c r="A101" t="inlineStr">
        <is>
          <t>A 46787-2022</t>
        </is>
      </c>
      <c r="B101" s="1" t="n">
        <v>44851</v>
      </c>
      <c r="C101" s="1" t="n">
        <v>45511</v>
      </c>
      <c r="D101" t="inlineStr">
        <is>
          <t>KALMAR LÄN</t>
        </is>
      </c>
      <c r="E101" t="inlineStr">
        <is>
          <t>VÄSTERVIK</t>
        </is>
      </c>
      <c r="G101" t="n">
        <v>4.4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Tallticka</t>
        </is>
      </c>
      <c r="S101">
        <f>HYPERLINK("https://klasma.github.io/Logging_0883/artfynd/A 46787-2022 artfynd.xlsx", "A 46787-2022")</f>
        <v/>
      </c>
      <c r="T101">
        <f>HYPERLINK("https://klasma.github.io/Logging_0883/kartor/A 46787-2022 karta.png", "A 46787-2022")</f>
        <v/>
      </c>
      <c r="V101">
        <f>HYPERLINK("https://klasma.github.io/Logging_0883/klagomål/A 46787-2022 FSC-klagomål.docx", "A 46787-2022")</f>
        <v/>
      </c>
      <c r="W101">
        <f>HYPERLINK("https://klasma.github.io/Logging_0883/klagomålsmail/A 46787-2022 FSC-klagomål mail.docx", "A 46787-2022")</f>
        <v/>
      </c>
      <c r="X101">
        <f>HYPERLINK("https://klasma.github.io/Logging_0883/tillsyn/A 46787-2022 tillsynsbegäran.docx", "A 46787-2022")</f>
        <v/>
      </c>
      <c r="Y101">
        <f>HYPERLINK("https://klasma.github.io/Logging_0883/tillsynsmail/A 46787-2022 tillsynsbegäran mail.docx", "A 46787-2022")</f>
        <v/>
      </c>
    </row>
    <row r="102" ht="15" customHeight="1">
      <c r="A102" t="inlineStr">
        <is>
          <t>A 50989-2022</t>
        </is>
      </c>
      <c r="B102" s="1" t="n">
        <v>44867</v>
      </c>
      <c r="C102" s="1" t="n">
        <v>45511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Vätteros</t>
        </is>
      </c>
      <c r="S102">
        <f>HYPERLINK("https://klasma.github.io/Logging_0883/artfynd/A 50989-2022 artfynd.xlsx", "A 50989-2022")</f>
        <v/>
      </c>
      <c r="T102">
        <f>HYPERLINK("https://klasma.github.io/Logging_0883/kartor/A 50989-2022 karta.png", "A 50989-2022")</f>
        <v/>
      </c>
      <c r="V102">
        <f>HYPERLINK("https://klasma.github.io/Logging_0883/klagomål/A 50989-2022 FSC-klagomål.docx", "A 50989-2022")</f>
        <v/>
      </c>
      <c r="W102">
        <f>HYPERLINK("https://klasma.github.io/Logging_0883/klagomålsmail/A 50989-2022 FSC-klagomål mail.docx", "A 50989-2022")</f>
        <v/>
      </c>
      <c r="X102">
        <f>HYPERLINK("https://klasma.github.io/Logging_0883/tillsyn/A 50989-2022 tillsynsbegäran.docx", "A 50989-2022")</f>
        <v/>
      </c>
      <c r="Y102">
        <f>HYPERLINK("https://klasma.github.io/Logging_0883/tillsynsmail/A 50989-2022 tillsynsbegäran mail.docx", "A 50989-2022")</f>
        <v/>
      </c>
    </row>
    <row r="103" ht="15" customHeight="1">
      <c r="A103" t="inlineStr">
        <is>
          <t>A 62003-2022</t>
        </is>
      </c>
      <c r="B103" s="1" t="n">
        <v>44918</v>
      </c>
      <c r="C103" s="1" t="n">
        <v>45511</v>
      </c>
      <c r="D103" t="inlineStr">
        <is>
          <t>KALMAR LÄN</t>
        </is>
      </c>
      <c r="E103" t="inlineStr">
        <is>
          <t>VÄSTERVIK</t>
        </is>
      </c>
      <c r="G103" t="n">
        <v>6.2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Linmåra/småsnärjmåra</t>
        </is>
      </c>
      <c r="S103">
        <f>HYPERLINK("https://klasma.github.io/Logging_0883/artfynd/A 62003-2022 artfynd.xlsx", "A 62003-2022")</f>
        <v/>
      </c>
      <c r="T103">
        <f>HYPERLINK("https://klasma.github.io/Logging_0883/kartor/A 62003-2022 karta.png", "A 62003-2022")</f>
        <v/>
      </c>
      <c r="U103">
        <f>HYPERLINK("https://klasma.github.io/Logging_0883/knärot/A 62003-2022 karta knärot.png", "A 62003-2022")</f>
        <v/>
      </c>
      <c r="V103">
        <f>HYPERLINK("https://klasma.github.io/Logging_0883/klagomål/A 62003-2022 FSC-klagomål.docx", "A 62003-2022")</f>
        <v/>
      </c>
      <c r="W103">
        <f>HYPERLINK("https://klasma.github.io/Logging_0883/klagomålsmail/A 62003-2022 FSC-klagomål mail.docx", "A 62003-2022")</f>
        <v/>
      </c>
      <c r="X103">
        <f>HYPERLINK("https://klasma.github.io/Logging_0883/tillsyn/A 62003-2022 tillsynsbegäran.docx", "A 62003-2022")</f>
        <v/>
      </c>
      <c r="Y103">
        <f>HYPERLINK("https://klasma.github.io/Logging_0883/tillsynsmail/A 62003-2022 tillsynsbegäran mail.docx", "A 62003-2022")</f>
        <v/>
      </c>
    </row>
    <row r="104" ht="15" customHeight="1">
      <c r="A104" t="inlineStr">
        <is>
          <t>A 2097-2023</t>
        </is>
      </c>
      <c r="B104" s="1" t="n">
        <v>44939</v>
      </c>
      <c r="C104" s="1" t="n">
        <v>45511</v>
      </c>
      <c r="D104" t="inlineStr">
        <is>
          <t>KALMAR LÄN</t>
        </is>
      </c>
      <c r="E104" t="inlineStr">
        <is>
          <t>VÄSTERVIK</t>
        </is>
      </c>
      <c r="G104" t="n">
        <v>6.9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Grovticka</t>
        </is>
      </c>
      <c r="S104">
        <f>HYPERLINK("https://klasma.github.io/Logging_0883/artfynd/A 2097-2023 artfynd.xlsx", "A 2097-2023")</f>
        <v/>
      </c>
      <c r="T104">
        <f>HYPERLINK("https://klasma.github.io/Logging_0883/kartor/A 2097-2023 karta.png", "A 2097-2023")</f>
        <v/>
      </c>
      <c r="U104">
        <f>HYPERLINK("https://klasma.github.io/Logging_0883/knärot/A 2097-2023 karta knärot.png", "A 2097-2023")</f>
        <v/>
      </c>
      <c r="V104">
        <f>HYPERLINK("https://klasma.github.io/Logging_0883/klagomål/A 2097-2023 FSC-klagomål.docx", "A 2097-2023")</f>
        <v/>
      </c>
      <c r="W104">
        <f>HYPERLINK("https://klasma.github.io/Logging_0883/klagomålsmail/A 2097-2023 FSC-klagomål mail.docx", "A 2097-2023")</f>
        <v/>
      </c>
      <c r="X104">
        <f>HYPERLINK("https://klasma.github.io/Logging_0883/tillsyn/A 2097-2023 tillsynsbegäran.docx", "A 2097-2023")</f>
        <v/>
      </c>
      <c r="Y104">
        <f>HYPERLINK("https://klasma.github.io/Logging_0883/tillsynsmail/A 2097-2023 tillsynsbegäran mail.docx", "A 2097-2023")</f>
        <v/>
      </c>
    </row>
    <row r="105" ht="15" customHeight="1">
      <c r="A105" t="inlineStr">
        <is>
          <t>A 2515-2023</t>
        </is>
      </c>
      <c r="B105" s="1" t="n">
        <v>44943</v>
      </c>
      <c r="C105" s="1" t="n">
        <v>45511</v>
      </c>
      <c r="D105" t="inlineStr">
        <is>
          <t>KALMAR LÄN</t>
        </is>
      </c>
      <c r="E105" t="inlineStr">
        <is>
          <t>VÄSTERVIK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Grönpyrola</t>
        </is>
      </c>
      <c r="S105">
        <f>HYPERLINK("https://klasma.github.io/Logging_0883/artfynd/A 2515-2023 artfynd.xlsx", "A 2515-2023")</f>
        <v/>
      </c>
      <c r="T105">
        <f>HYPERLINK("https://klasma.github.io/Logging_0883/kartor/A 2515-2023 karta.png", "A 2515-2023")</f>
        <v/>
      </c>
      <c r="U105">
        <f>HYPERLINK("https://klasma.github.io/Logging_0883/knärot/A 2515-2023 karta knärot.png", "A 2515-2023")</f>
        <v/>
      </c>
      <c r="V105">
        <f>HYPERLINK("https://klasma.github.io/Logging_0883/klagomål/A 2515-2023 FSC-klagomål.docx", "A 2515-2023")</f>
        <v/>
      </c>
      <c r="W105">
        <f>HYPERLINK("https://klasma.github.io/Logging_0883/klagomålsmail/A 2515-2023 FSC-klagomål mail.docx", "A 2515-2023")</f>
        <v/>
      </c>
      <c r="X105">
        <f>HYPERLINK("https://klasma.github.io/Logging_0883/tillsyn/A 2515-2023 tillsynsbegäran.docx", "A 2515-2023")</f>
        <v/>
      </c>
      <c r="Y105">
        <f>HYPERLINK("https://klasma.github.io/Logging_0883/tillsynsmail/A 2515-2023 tillsynsbegäran mail.docx", "A 2515-2023")</f>
        <v/>
      </c>
    </row>
    <row r="106" ht="15" customHeight="1">
      <c r="A106" t="inlineStr">
        <is>
          <t>A 3173-2023</t>
        </is>
      </c>
      <c r="B106" s="1" t="n">
        <v>44946</v>
      </c>
      <c r="C106" s="1" t="n">
        <v>45511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Tallticka</t>
        </is>
      </c>
      <c r="S106">
        <f>HYPERLINK("https://klasma.github.io/Logging_0883/artfynd/A 3173-2023 artfynd.xlsx", "A 3173-2023")</f>
        <v/>
      </c>
      <c r="T106">
        <f>HYPERLINK("https://klasma.github.io/Logging_0883/kartor/A 3173-2023 karta.png", "A 3173-2023")</f>
        <v/>
      </c>
      <c r="U106">
        <f>HYPERLINK("https://klasma.github.io/Logging_0883/knärot/A 3173-2023 karta knärot.png", "A 3173-2023")</f>
        <v/>
      </c>
      <c r="V106">
        <f>HYPERLINK("https://klasma.github.io/Logging_0883/klagomål/A 3173-2023 FSC-klagomål.docx", "A 3173-2023")</f>
        <v/>
      </c>
      <c r="W106">
        <f>HYPERLINK("https://klasma.github.io/Logging_0883/klagomålsmail/A 3173-2023 FSC-klagomål mail.docx", "A 3173-2023")</f>
        <v/>
      </c>
      <c r="X106">
        <f>HYPERLINK("https://klasma.github.io/Logging_0883/tillsyn/A 3173-2023 tillsynsbegäran.docx", "A 3173-2023")</f>
        <v/>
      </c>
      <c r="Y106">
        <f>HYPERLINK("https://klasma.github.io/Logging_0883/tillsynsmail/A 3173-2023 tillsynsbegäran mail.docx", "A 3173-2023")</f>
        <v/>
      </c>
    </row>
    <row r="107" ht="15" customHeight="1">
      <c r="A107" t="inlineStr">
        <is>
          <t>A 9040-2023</t>
        </is>
      </c>
      <c r="B107" s="1" t="n">
        <v>44979</v>
      </c>
      <c r="C107" s="1" t="n">
        <v>45511</v>
      </c>
      <c r="D107" t="inlineStr">
        <is>
          <t>KALMAR LÄN</t>
        </is>
      </c>
      <c r="E107" t="inlineStr">
        <is>
          <t>VÄSTERVIK</t>
        </is>
      </c>
      <c r="G107" t="n">
        <v>5.1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Grönpyrola</t>
        </is>
      </c>
      <c r="S107">
        <f>HYPERLINK("https://klasma.github.io/Logging_0883/artfynd/A 9040-2023 artfynd.xlsx", "A 9040-2023")</f>
        <v/>
      </c>
      <c r="T107">
        <f>HYPERLINK("https://klasma.github.io/Logging_0883/kartor/A 9040-2023 karta.png", "A 9040-2023")</f>
        <v/>
      </c>
      <c r="U107">
        <f>HYPERLINK("https://klasma.github.io/Logging_0883/knärot/A 9040-2023 karta knärot.png", "A 9040-2023")</f>
        <v/>
      </c>
      <c r="V107">
        <f>HYPERLINK("https://klasma.github.io/Logging_0883/klagomål/A 9040-2023 FSC-klagomål.docx", "A 9040-2023")</f>
        <v/>
      </c>
      <c r="W107">
        <f>HYPERLINK("https://klasma.github.io/Logging_0883/klagomålsmail/A 9040-2023 FSC-klagomål mail.docx", "A 9040-2023")</f>
        <v/>
      </c>
      <c r="X107">
        <f>HYPERLINK("https://klasma.github.io/Logging_0883/tillsyn/A 9040-2023 tillsynsbegäran.docx", "A 9040-2023")</f>
        <v/>
      </c>
      <c r="Y107">
        <f>HYPERLINK("https://klasma.github.io/Logging_0883/tillsynsmail/A 9040-2023 tillsynsbegäran mail.docx", "A 9040-2023")</f>
        <v/>
      </c>
    </row>
    <row r="108" ht="15" customHeight="1">
      <c r="A108" t="inlineStr">
        <is>
          <t>A 10806-2023</t>
        </is>
      </c>
      <c r="B108" s="1" t="n">
        <v>44989</v>
      </c>
      <c r="C108" s="1" t="n">
        <v>45511</v>
      </c>
      <c r="D108" t="inlineStr">
        <is>
          <t>KALMAR LÄN</t>
        </is>
      </c>
      <c r="E108" t="inlineStr">
        <is>
          <t>VÄSTERVIK</t>
        </is>
      </c>
      <c r="G108" t="n">
        <v>3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Revlummer</t>
        </is>
      </c>
      <c r="S108">
        <f>HYPERLINK("https://klasma.github.io/Logging_0883/artfynd/A 10806-2023 artfynd.xlsx", "A 10806-2023")</f>
        <v/>
      </c>
      <c r="T108">
        <f>HYPERLINK("https://klasma.github.io/Logging_0883/kartor/A 10806-2023 karta.png", "A 10806-2023")</f>
        <v/>
      </c>
      <c r="U108">
        <f>HYPERLINK("https://klasma.github.io/Logging_0883/knärot/A 10806-2023 karta knärot.png", "A 10806-2023")</f>
        <v/>
      </c>
      <c r="V108">
        <f>HYPERLINK("https://klasma.github.io/Logging_0883/klagomål/A 10806-2023 FSC-klagomål.docx", "A 10806-2023")</f>
        <v/>
      </c>
      <c r="W108">
        <f>HYPERLINK("https://klasma.github.io/Logging_0883/klagomålsmail/A 10806-2023 FSC-klagomål mail.docx", "A 10806-2023")</f>
        <v/>
      </c>
      <c r="X108">
        <f>HYPERLINK("https://klasma.github.io/Logging_0883/tillsyn/A 10806-2023 tillsynsbegäran.docx", "A 10806-2023")</f>
        <v/>
      </c>
      <c r="Y108">
        <f>HYPERLINK("https://klasma.github.io/Logging_0883/tillsynsmail/A 10806-2023 tillsynsbegäran mail.docx", "A 10806-2023")</f>
        <v/>
      </c>
    </row>
    <row r="109" ht="15" customHeight="1">
      <c r="A109" t="inlineStr">
        <is>
          <t>A 14301-2023</t>
        </is>
      </c>
      <c r="B109" s="1" t="n">
        <v>45011</v>
      </c>
      <c r="C109" s="1" t="n">
        <v>45511</v>
      </c>
      <c r="D109" t="inlineStr">
        <is>
          <t>KALMAR LÄN</t>
        </is>
      </c>
      <c r="E109" t="inlineStr">
        <is>
          <t>VÄSTERVIK</t>
        </is>
      </c>
      <c r="G109" t="n">
        <v>4.4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14301-2023 artfynd.xlsx", "A 14301-2023")</f>
        <v/>
      </c>
      <c r="T109">
        <f>HYPERLINK("https://klasma.github.io/Logging_0883/kartor/A 14301-2023 karta.png", "A 14301-2023")</f>
        <v/>
      </c>
      <c r="U109">
        <f>HYPERLINK("https://klasma.github.io/Logging_0883/knärot/A 14301-2023 karta knärot.png", "A 14301-2023")</f>
        <v/>
      </c>
      <c r="V109">
        <f>HYPERLINK("https://klasma.github.io/Logging_0883/klagomål/A 14301-2023 FSC-klagomål.docx", "A 14301-2023")</f>
        <v/>
      </c>
      <c r="W109">
        <f>HYPERLINK("https://klasma.github.io/Logging_0883/klagomålsmail/A 14301-2023 FSC-klagomål mail.docx", "A 14301-2023")</f>
        <v/>
      </c>
      <c r="X109">
        <f>HYPERLINK("https://klasma.github.io/Logging_0883/tillsyn/A 14301-2023 tillsynsbegäran.docx", "A 14301-2023")</f>
        <v/>
      </c>
      <c r="Y109">
        <f>HYPERLINK("https://klasma.github.io/Logging_0883/tillsynsmail/A 14301-2023 tillsynsbegäran mail.docx", "A 14301-2023")</f>
        <v/>
      </c>
    </row>
    <row r="110" ht="15" customHeight="1">
      <c r="A110" t="inlineStr">
        <is>
          <t>A 25435-2023</t>
        </is>
      </c>
      <c r="B110" s="1" t="n">
        <v>45089</v>
      </c>
      <c r="C110" s="1" t="n">
        <v>45511</v>
      </c>
      <c r="D110" t="inlineStr">
        <is>
          <t>KALMAR LÄN</t>
        </is>
      </c>
      <c r="E110" t="inlineStr">
        <is>
          <t>VÄSTERVIK</t>
        </is>
      </c>
      <c r="G110" t="n">
        <v>1.6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Tjäder</t>
        </is>
      </c>
      <c r="S110">
        <f>HYPERLINK("https://klasma.github.io/Logging_0883/artfynd/A 25435-2023 artfynd.xlsx", "A 25435-2023")</f>
        <v/>
      </c>
      <c r="T110">
        <f>HYPERLINK("https://klasma.github.io/Logging_0883/kartor/A 25435-2023 karta.png", "A 25435-2023")</f>
        <v/>
      </c>
      <c r="U110">
        <f>HYPERLINK("https://klasma.github.io/Logging_0883/knärot/A 25435-2023 karta knärot.png", "A 25435-2023")</f>
        <v/>
      </c>
      <c r="V110">
        <f>HYPERLINK("https://klasma.github.io/Logging_0883/klagomål/A 25435-2023 FSC-klagomål.docx", "A 25435-2023")</f>
        <v/>
      </c>
      <c r="W110">
        <f>HYPERLINK("https://klasma.github.io/Logging_0883/klagomålsmail/A 25435-2023 FSC-klagomål mail.docx", "A 25435-2023")</f>
        <v/>
      </c>
      <c r="X110">
        <f>HYPERLINK("https://klasma.github.io/Logging_0883/tillsyn/A 25435-2023 tillsynsbegäran.docx", "A 25435-2023")</f>
        <v/>
      </c>
      <c r="Y110">
        <f>HYPERLINK("https://klasma.github.io/Logging_0883/tillsynsmail/A 25435-2023 tillsynsbegäran mail.docx", "A 25435-2023")</f>
        <v/>
      </c>
      <c r="Z110">
        <f>HYPERLINK("https://klasma.github.io/Logging_0883/fåglar/A 25435-2023 prioriterade fågelarter.docx", "A 25435-2023")</f>
        <v/>
      </c>
    </row>
    <row r="111" ht="15" customHeight="1">
      <c r="A111" t="inlineStr">
        <is>
          <t>A 32649-2023</t>
        </is>
      </c>
      <c r="B111" s="1" t="n">
        <v>45121</v>
      </c>
      <c r="C111" s="1" t="n">
        <v>45511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Blåmossa</t>
        </is>
      </c>
      <c r="S111">
        <f>HYPERLINK("https://klasma.github.io/Logging_0883/artfynd/A 32649-2023 artfynd.xlsx", "A 32649-2023")</f>
        <v/>
      </c>
      <c r="T111">
        <f>HYPERLINK("https://klasma.github.io/Logging_0883/kartor/A 32649-2023 karta.png", "A 32649-2023")</f>
        <v/>
      </c>
      <c r="U111">
        <f>HYPERLINK("https://klasma.github.io/Logging_0883/knärot/A 32649-2023 karta knärot.png", "A 32649-2023")</f>
        <v/>
      </c>
      <c r="V111">
        <f>HYPERLINK("https://klasma.github.io/Logging_0883/klagomål/A 32649-2023 FSC-klagomål.docx", "A 32649-2023")</f>
        <v/>
      </c>
      <c r="W111">
        <f>HYPERLINK("https://klasma.github.io/Logging_0883/klagomålsmail/A 32649-2023 FSC-klagomål mail.docx", "A 32649-2023")</f>
        <v/>
      </c>
      <c r="X111">
        <f>HYPERLINK("https://klasma.github.io/Logging_0883/tillsyn/A 32649-2023 tillsynsbegäran.docx", "A 32649-2023")</f>
        <v/>
      </c>
      <c r="Y111">
        <f>HYPERLINK("https://klasma.github.io/Logging_0883/tillsynsmail/A 32649-2023 tillsynsbegäran mail.docx", "A 32649-2023")</f>
        <v/>
      </c>
    </row>
    <row r="112" ht="15" customHeight="1">
      <c r="A112" t="inlineStr">
        <is>
          <t>A 33824-2023</t>
        </is>
      </c>
      <c r="B112" s="1" t="n">
        <v>45133</v>
      </c>
      <c r="C112" s="1" t="n">
        <v>45511</v>
      </c>
      <c r="D112" t="inlineStr">
        <is>
          <t>KALMAR LÄN</t>
        </is>
      </c>
      <c r="E112" t="inlineStr">
        <is>
          <t>VÄSTERVIK</t>
        </is>
      </c>
      <c r="G112" t="n">
        <v>2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33824-2023 artfynd.xlsx", "A 33824-2023")</f>
        <v/>
      </c>
      <c r="T112">
        <f>HYPERLINK("https://klasma.github.io/Logging_0883/kartor/A 33824-2023 karta.png", "A 33824-2023")</f>
        <v/>
      </c>
      <c r="U112">
        <f>HYPERLINK("https://klasma.github.io/Logging_0883/knärot/A 33824-2023 karta knärot.png", "A 33824-2023")</f>
        <v/>
      </c>
      <c r="V112">
        <f>HYPERLINK("https://klasma.github.io/Logging_0883/klagomål/A 33824-2023 FSC-klagomål.docx", "A 33824-2023")</f>
        <v/>
      </c>
      <c r="W112">
        <f>HYPERLINK("https://klasma.github.io/Logging_0883/klagomålsmail/A 33824-2023 FSC-klagomål mail.docx", "A 33824-2023")</f>
        <v/>
      </c>
      <c r="X112">
        <f>HYPERLINK("https://klasma.github.io/Logging_0883/tillsyn/A 33824-2023 tillsynsbegäran.docx", "A 33824-2023")</f>
        <v/>
      </c>
      <c r="Y112">
        <f>HYPERLINK("https://klasma.github.io/Logging_0883/tillsynsmail/A 33824-2023 tillsynsbegäran mail.docx", "A 33824-2023")</f>
        <v/>
      </c>
    </row>
    <row r="113" ht="15" customHeight="1">
      <c r="A113" t="inlineStr">
        <is>
          <t>A 33825-2023</t>
        </is>
      </c>
      <c r="B113" s="1" t="n">
        <v>45133</v>
      </c>
      <c r="C113" s="1" t="n">
        <v>45511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Tjäder</t>
        </is>
      </c>
      <c r="S113">
        <f>HYPERLINK("https://klasma.github.io/Logging_0883/artfynd/A 33825-2023 artfynd.xlsx", "A 33825-2023")</f>
        <v/>
      </c>
      <c r="T113">
        <f>HYPERLINK("https://klasma.github.io/Logging_0883/kartor/A 33825-2023 karta.png", "A 33825-2023")</f>
        <v/>
      </c>
      <c r="U113">
        <f>HYPERLINK("https://klasma.github.io/Logging_0883/knärot/A 33825-2023 karta knärot.png", "A 33825-2023")</f>
        <v/>
      </c>
      <c r="V113">
        <f>HYPERLINK("https://klasma.github.io/Logging_0883/klagomål/A 33825-2023 FSC-klagomål.docx", "A 33825-2023")</f>
        <v/>
      </c>
      <c r="W113">
        <f>HYPERLINK("https://klasma.github.io/Logging_0883/klagomålsmail/A 33825-2023 FSC-klagomål mail.docx", "A 33825-2023")</f>
        <v/>
      </c>
      <c r="X113">
        <f>HYPERLINK("https://klasma.github.io/Logging_0883/tillsyn/A 33825-2023 tillsynsbegäran.docx", "A 33825-2023")</f>
        <v/>
      </c>
      <c r="Y113">
        <f>HYPERLINK("https://klasma.github.io/Logging_0883/tillsynsmail/A 33825-2023 tillsynsbegäran mail.docx", "A 33825-2023")</f>
        <v/>
      </c>
      <c r="Z113">
        <f>HYPERLINK("https://klasma.github.io/Logging_0883/fåglar/A 33825-2023 prioriterade fågelarter.docx", "A 33825-2023")</f>
        <v/>
      </c>
    </row>
    <row r="114" ht="15" customHeight="1">
      <c r="A114" t="inlineStr">
        <is>
          <t>A 34120-2023</t>
        </is>
      </c>
      <c r="B114" s="1" t="n">
        <v>45135</v>
      </c>
      <c r="C114" s="1" t="n">
        <v>45511</v>
      </c>
      <c r="D114" t="inlineStr">
        <is>
          <t>KALMAR LÄN</t>
        </is>
      </c>
      <c r="E114" t="inlineStr">
        <is>
          <t>VÄSTERVIK</t>
        </is>
      </c>
      <c r="G114" t="n">
        <v>2.1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Blodticka</t>
        </is>
      </c>
      <c r="S114">
        <f>HYPERLINK("https://klasma.github.io/Logging_0883/artfynd/A 34120-2023 artfynd.xlsx", "A 34120-2023")</f>
        <v/>
      </c>
      <c r="T114">
        <f>HYPERLINK("https://klasma.github.io/Logging_0883/kartor/A 34120-2023 karta.png", "A 34120-2023")</f>
        <v/>
      </c>
      <c r="U114">
        <f>HYPERLINK("https://klasma.github.io/Logging_0883/knärot/A 34120-2023 karta knärot.png", "A 34120-2023")</f>
        <v/>
      </c>
      <c r="V114">
        <f>HYPERLINK("https://klasma.github.io/Logging_0883/klagomål/A 34120-2023 FSC-klagomål.docx", "A 34120-2023")</f>
        <v/>
      </c>
      <c r="W114">
        <f>HYPERLINK("https://klasma.github.io/Logging_0883/klagomålsmail/A 34120-2023 FSC-klagomål mail.docx", "A 34120-2023")</f>
        <v/>
      </c>
      <c r="X114">
        <f>HYPERLINK("https://klasma.github.io/Logging_0883/tillsyn/A 34120-2023 tillsynsbegäran.docx", "A 34120-2023")</f>
        <v/>
      </c>
      <c r="Y114">
        <f>HYPERLINK("https://klasma.github.io/Logging_0883/tillsynsmail/A 34120-2023 tillsynsbegäran mail.docx", "A 34120-2023")</f>
        <v/>
      </c>
    </row>
    <row r="115" ht="15" customHeight="1">
      <c r="A115" t="inlineStr">
        <is>
          <t>A 34119-2023</t>
        </is>
      </c>
      <c r="B115" s="1" t="n">
        <v>45135</v>
      </c>
      <c r="C115" s="1" t="n">
        <v>45511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Blomkålssvamp</t>
        </is>
      </c>
      <c r="S115">
        <f>HYPERLINK("https://klasma.github.io/Logging_0883/artfynd/A 34119-2023 artfynd.xlsx", "A 34119-2023")</f>
        <v/>
      </c>
      <c r="T115">
        <f>HYPERLINK("https://klasma.github.io/Logging_0883/kartor/A 34119-2023 karta.png", "A 34119-2023")</f>
        <v/>
      </c>
      <c r="U115">
        <f>HYPERLINK("https://klasma.github.io/Logging_0883/knärot/A 34119-2023 karta knärot.png", "A 34119-2023")</f>
        <v/>
      </c>
      <c r="V115">
        <f>HYPERLINK("https://klasma.github.io/Logging_0883/klagomål/A 34119-2023 FSC-klagomål.docx", "A 34119-2023")</f>
        <v/>
      </c>
      <c r="W115">
        <f>HYPERLINK("https://klasma.github.io/Logging_0883/klagomålsmail/A 34119-2023 FSC-klagomål mail.docx", "A 34119-2023")</f>
        <v/>
      </c>
      <c r="X115">
        <f>HYPERLINK("https://klasma.github.io/Logging_0883/tillsyn/A 34119-2023 tillsynsbegäran.docx", "A 34119-2023")</f>
        <v/>
      </c>
      <c r="Y115">
        <f>HYPERLINK("https://klasma.github.io/Logging_0883/tillsynsmail/A 34119-2023 tillsynsbegäran mail.docx", "A 34119-2023")</f>
        <v/>
      </c>
    </row>
    <row r="116" ht="15" customHeight="1">
      <c r="A116" t="inlineStr">
        <is>
          <t>A 38036-2023</t>
        </is>
      </c>
      <c r="B116" s="1" t="n">
        <v>45160</v>
      </c>
      <c r="C116" s="1" t="n">
        <v>45511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Barbastell
Nordfladdermus</t>
        </is>
      </c>
      <c r="S116">
        <f>HYPERLINK("https://klasma.github.io/Logging_0883/artfynd/A 38036-2023 artfynd.xlsx", "A 38036-2023")</f>
        <v/>
      </c>
      <c r="T116">
        <f>HYPERLINK("https://klasma.github.io/Logging_0883/kartor/A 38036-2023 karta.png", "A 38036-2023")</f>
        <v/>
      </c>
      <c r="V116">
        <f>HYPERLINK("https://klasma.github.io/Logging_0883/klagomål/A 38036-2023 FSC-klagomål.docx", "A 38036-2023")</f>
        <v/>
      </c>
      <c r="W116">
        <f>HYPERLINK("https://klasma.github.io/Logging_0883/klagomålsmail/A 38036-2023 FSC-klagomål mail.docx", "A 38036-2023")</f>
        <v/>
      </c>
      <c r="X116">
        <f>HYPERLINK("https://klasma.github.io/Logging_0883/tillsyn/A 38036-2023 tillsynsbegäran.docx", "A 38036-2023")</f>
        <v/>
      </c>
      <c r="Y116">
        <f>HYPERLINK("https://klasma.github.io/Logging_0883/tillsynsmail/A 38036-2023 tillsynsbegäran mail.docx", "A 38036-2023")</f>
        <v/>
      </c>
    </row>
    <row r="117" ht="15" customHeight="1">
      <c r="A117" t="inlineStr">
        <is>
          <t>A 46089-2023</t>
        </is>
      </c>
      <c r="B117" s="1" t="n">
        <v>45196</v>
      </c>
      <c r="C117" s="1" t="n">
        <v>45511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Fällmossa
Blåsippa</t>
        </is>
      </c>
      <c r="S117">
        <f>HYPERLINK("https://klasma.github.io/Logging_0883/artfynd/A 46089-2023 artfynd.xlsx", "A 46089-2023")</f>
        <v/>
      </c>
      <c r="T117">
        <f>HYPERLINK("https://klasma.github.io/Logging_0883/kartor/A 46089-2023 karta.png", "A 46089-2023")</f>
        <v/>
      </c>
      <c r="V117">
        <f>HYPERLINK("https://klasma.github.io/Logging_0883/klagomål/A 46089-2023 FSC-klagomål.docx", "A 46089-2023")</f>
        <v/>
      </c>
      <c r="W117">
        <f>HYPERLINK("https://klasma.github.io/Logging_0883/klagomålsmail/A 46089-2023 FSC-klagomål mail.docx", "A 46089-2023")</f>
        <v/>
      </c>
      <c r="X117">
        <f>HYPERLINK("https://klasma.github.io/Logging_0883/tillsyn/A 46089-2023 tillsynsbegäran.docx", "A 46089-2023")</f>
        <v/>
      </c>
      <c r="Y117">
        <f>HYPERLINK("https://klasma.github.io/Logging_0883/tillsynsmail/A 46089-2023 tillsynsbegäran mail.docx", "A 46089-2023")</f>
        <v/>
      </c>
    </row>
    <row r="118" ht="15" customHeight="1">
      <c r="A118" t="inlineStr">
        <is>
          <t>A 47935-2023</t>
        </is>
      </c>
      <c r="B118" s="1" t="n">
        <v>45204</v>
      </c>
      <c r="C118" s="1" t="n">
        <v>45511</v>
      </c>
      <c r="D118" t="inlineStr">
        <is>
          <t>KALMAR LÄN</t>
        </is>
      </c>
      <c r="E118" t="inlineStr">
        <is>
          <t>VÄSTERVIK</t>
        </is>
      </c>
      <c r="G118" t="n">
        <v>4.3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Tallticka
Blåmossa</t>
        </is>
      </c>
      <c r="S118">
        <f>HYPERLINK("https://klasma.github.io/Logging_0883/artfynd/A 47935-2023 artfynd.xlsx", "A 47935-2023")</f>
        <v/>
      </c>
      <c r="T118">
        <f>HYPERLINK("https://klasma.github.io/Logging_0883/kartor/A 47935-2023 karta.png", "A 47935-2023")</f>
        <v/>
      </c>
      <c r="V118">
        <f>HYPERLINK("https://klasma.github.io/Logging_0883/klagomål/A 47935-2023 FSC-klagomål.docx", "A 47935-2023")</f>
        <v/>
      </c>
      <c r="W118">
        <f>HYPERLINK("https://klasma.github.io/Logging_0883/klagomålsmail/A 47935-2023 FSC-klagomål mail.docx", "A 47935-2023")</f>
        <v/>
      </c>
      <c r="X118">
        <f>HYPERLINK("https://klasma.github.io/Logging_0883/tillsyn/A 47935-2023 tillsynsbegäran.docx", "A 47935-2023")</f>
        <v/>
      </c>
      <c r="Y118">
        <f>HYPERLINK("https://klasma.github.io/Logging_0883/tillsynsmail/A 47935-2023 tillsynsbegäran mail.docx", "A 47935-2023")</f>
        <v/>
      </c>
    </row>
    <row r="119" ht="15" customHeight="1">
      <c r="A119" t="inlineStr">
        <is>
          <t>A 54360-2023</t>
        </is>
      </c>
      <c r="B119" s="1" t="n">
        <v>45233</v>
      </c>
      <c r="C119" s="1" t="n">
        <v>45511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Spindelört
Mattlummer</t>
        </is>
      </c>
      <c r="S119">
        <f>HYPERLINK("https://klasma.github.io/Logging_0883/artfynd/A 54360-2023 artfynd.xlsx", "A 54360-2023")</f>
        <v/>
      </c>
      <c r="T119">
        <f>HYPERLINK("https://klasma.github.io/Logging_0883/kartor/A 54360-2023 karta.png", "A 54360-2023")</f>
        <v/>
      </c>
      <c r="V119">
        <f>HYPERLINK("https://klasma.github.io/Logging_0883/klagomål/A 54360-2023 FSC-klagomål.docx", "A 54360-2023")</f>
        <v/>
      </c>
      <c r="W119">
        <f>HYPERLINK("https://klasma.github.io/Logging_0883/klagomålsmail/A 54360-2023 FSC-klagomål mail.docx", "A 54360-2023")</f>
        <v/>
      </c>
      <c r="X119">
        <f>HYPERLINK("https://klasma.github.io/Logging_0883/tillsyn/A 54360-2023 tillsynsbegäran.docx", "A 54360-2023")</f>
        <v/>
      </c>
      <c r="Y119">
        <f>HYPERLINK("https://klasma.github.io/Logging_0883/tillsynsmail/A 54360-2023 tillsynsbegäran mail.docx", "A 54360-2023")</f>
        <v/>
      </c>
    </row>
    <row r="120" ht="15" customHeight="1">
      <c r="A120" t="inlineStr">
        <is>
          <t>A 55408-2023</t>
        </is>
      </c>
      <c r="B120" s="1" t="n">
        <v>45238</v>
      </c>
      <c r="C120" s="1" t="n">
        <v>45511</v>
      </c>
      <c r="D120" t="inlineStr">
        <is>
          <t>KALMAR LÄN</t>
        </is>
      </c>
      <c r="E120" t="inlineStr">
        <is>
          <t>VÄSTERVIK</t>
        </is>
      </c>
      <c r="G120" t="n">
        <v>2.8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Ekticka
Tallticka</t>
        </is>
      </c>
      <c r="S120">
        <f>HYPERLINK("https://klasma.github.io/Logging_0883/artfynd/A 55408-2023 artfynd.xlsx", "A 55408-2023")</f>
        <v/>
      </c>
      <c r="T120">
        <f>HYPERLINK("https://klasma.github.io/Logging_0883/kartor/A 55408-2023 karta.png", "A 55408-2023")</f>
        <v/>
      </c>
      <c r="V120">
        <f>HYPERLINK("https://klasma.github.io/Logging_0883/klagomål/A 55408-2023 FSC-klagomål.docx", "A 55408-2023")</f>
        <v/>
      </c>
      <c r="W120">
        <f>HYPERLINK("https://klasma.github.io/Logging_0883/klagomålsmail/A 55408-2023 FSC-klagomål mail.docx", "A 55408-2023")</f>
        <v/>
      </c>
      <c r="X120">
        <f>HYPERLINK("https://klasma.github.io/Logging_0883/tillsyn/A 55408-2023 tillsynsbegäran.docx", "A 55408-2023")</f>
        <v/>
      </c>
      <c r="Y120">
        <f>HYPERLINK("https://klasma.github.io/Logging_0883/tillsynsmail/A 55408-2023 tillsynsbegäran mail.docx", "A 55408-2023")</f>
        <v/>
      </c>
    </row>
    <row r="121" ht="15" customHeight="1">
      <c r="A121" t="inlineStr">
        <is>
          <t>A 56857-2023</t>
        </is>
      </c>
      <c r="B121" s="1" t="n">
        <v>45244</v>
      </c>
      <c r="C121" s="1" t="n">
        <v>45511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7.5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HYPERLINK("https://klasma.github.io/Logging_0883/artfynd/A 56857-2023 artfynd.xlsx", "A 56857-2023")</f>
        <v/>
      </c>
      <c r="T121">
        <f>HYPERLINK("https://klasma.github.io/Logging_0883/kartor/A 56857-2023 karta.png", "A 56857-2023")</f>
        <v/>
      </c>
      <c r="U121">
        <f>HYPERLINK("https://klasma.github.io/Logging_0883/knärot/A 56857-2023 karta knärot.png", "A 56857-2023")</f>
        <v/>
      </c>
      <c r="V121">
        <f>HYPERLINK("https://klasma.github.io/Logging_0883/klagomål/A 56857-2023 FSC-klagomål.docx", "A 56857-2023")</f>
        <v/>
      </c>
      <c r="W121">
        <f>HYPERLINK("https://klasma.github.io/Logging_0883/klagomålsmail/A 56857-2023 FSC-klagomål mail.docx", "A 56857-2023")</f>
        <v/>
      </c>
      <c r="X121">
        <f>HYPERLINK("https://klasma.github.io/Logging_0883/tillsyn/A 56857-2023 tillsynsbegäran.docx", "A 56857-2023")</f>
        <v/>
      </c>
      <c r="Y121">
        <f>HYPERLINK("https://klasma.github.io/Logging_0883/tillsynsmail/A 56857-2023 tillsynsbegäran mail.docx", "A 56857-2023")</f>
        <v/>
      </c>
    </row>
    <row r="122" ht="15" customHeight="1">
      <c r="A122" t="inlineStr">
        <is>
          <t>A 60631-2023</t>
        </is>
      </c>
      <c r="B122" s="1" t="n">
        <v>45260</v>
      </c>
      <c r="C122" s="1" t="n">
        <v>45511</v>
      </c>
      <c r="D122" t="inlineStr">
        <is>
          <t>KALMAR LÄN</t>
        </is>
      </c>
      <c r="E122" t="inlineStr">
        <is>
          <t>VÄSTERVIK</t>
        </is>
      </c>
      <c r="G122" t="n">
        <v>4.5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Revlummer</t>
        </is>
      </c>
      <c r="S122">
        <f>HYPERLINK("https://klasma.github.io/Logging_0883/artfynd/A 60631-2023 artfynd.xlsx", "A 60631-2023")</f>
        <v/>
      </c>
      <c r="T122">
        <f>HYPERLINK("https://klasma.github.io/Logging_0883/kartor/A 60631-2023 karta.png", "A 60631-2023")</f>
        <v/>
      </c>
      <c r="V122">
        <f>HYPERLINK("https://klasma.github.io/Logging_0883/klagomål/A 60631-2023 FSC-klagomål.docx", "A 60631-2023")</f>
        <v/>
      </c>
      <c r="W122">
        <f>HYPERLINK("https://klasma.github.io/Logging_0883/klagomålsmail/A 60631-2023 FSC-klagomål mail.docx", "A 60631-2023")</f>
        <v/>
      </c>
      <c r="X122">
        <f>HYPERLINK("https://klasma.github.io/Logging_0883/tillsyn/A 60631-2023 tillsynsbegäran.docx", "A 60631-2023")</f>
        <v/>
      </c>
      <c r="Y122">
        <f>HYPERLINK("https://klasma.github.io/Logging_0883/tillsynsmail/A 60631-2023 tillsynsbegäran mail.docx", "A 60631-2023")</f>
        <v/>
      </c>
    </row>
    <row r="123" ht="15" customHeight="1">
      <c r="A123" t="inlineStr">
        <is>
          <t>A 60920-2023</t>
        </is>
      </c>
      <c r="B123" s="1" t="n">
        <v>45261</v>
      </c>
      <c r="C123" s="1" t="n">
        <v>45511</v>
      </c>
      <c r="D123" t="inlineStr">
        <is>
          <t>KALMAR LÄN</t>
        </is>
      </c>
      <c r="E123" t="inlineStr">
        <is>
          <t>VÄSTERVIK</t>
        </is>
      </c>
      <c r="G123" t="n">
        <v>10.1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Solvända
Spindelört</t>
        </is>
      </c>
      <c r="S123">
        <f>HYPERLINK("https://klasma.github.io/Logging_0883/artfynd/A 60920-2023 artfynd.xlsx", "A 60920-2023")</f>
        <v/>
      </c>
      <c r="T123">
        <f>HYPERLINK("https://klasma.github.io/Logging_0883/kartor/A 60920-2023 karta.png", "A 60920-2023")</f>
        <v/>
      </c>
      <c r="V123">
        <f>HYPERLINK("https://klasma.github.io/Logging_0883/klagomål/A 60920-2023 FSC-klagomål.docx", "A 60920-2023")</f>
        <v/>
      </c>
      <c r="W123">
        <f>HYPERLINK("https://klasma.github.io/Logging_0883/klagomålsmail/A 60920-2023 FSC-klagomål mail.docx", "A 60920-2023")</f>
        <v/>
      </c>
      <c r="X123">
        <f>HYPERLINK("https://klasma.github.io/Logging_0883/tillsyn/A 60920-2023 tillsynsbegäran.docx", "A 60920-2023")</f>
        <v/>
      </c>
      <c r="Y123">
        <f>HYPERLINK("https://klasma.github.io/Logging_0883/tillsynsmail/A 60920-2023 tillsynsbegäran mail.docx", "A 60920-2023")</f>
        <v/>
      </c>
    </row>
    <row r="124" ht="15" customHeight="1">
      <c r="A124" t="inlineStr">
        <is>
          <t>A 61804-2023</t>
        </is>
      </c>
      <c r="B124" s="1" t="n">
        <v>45266</v>
      </c>
      <c r="C124" s="1" t="n">
        <v>45511</v>
      </c>
      <c r="D124" t="inlineStr">
        <is>
          <t>KALMAR LÄN</t>
        </is>
      </c>
      <c r="E124" t="inlineStr">
        <is>
          <t>VÄSTERVIK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Smalsprötad bastardsvärmare</t>
        </is>
      </c>
      <c r="S124">
        <f>HYPERLINK("https://klasma.github.io/Logging_0883/artfynd/A 61804-2023 artfynd.xlsx", "A 61804-2023")</f>
        <v/>
      </c>
      <c r="T124">
        <f>HYPERLINK("https://klasma.github.io/Logging_0883/kartor/A 61804-2023 karta.png", "A 61804-2023")</f>
        <v/>
      </c>
      <c r="V124">
        <f>HYPERLINK("https://klasma.github.io/Logging_0883/klagomål/A 61804-2023 FSC-klagomål.docx", "A 61804-2023")</f>
        <v/>
      </c>
      <c r="W124">
        <f>HYPERLINK("https://klasma.github.io/Logging_0883/klagomålsmail/A 61804-2023 FSC-klagomål mail.docx", "A 61804-2023")</f>
        <v/>
      </c>
      <c r="X124">
        <f>HYPERLINK("https://klasma.github.io/Logging_0883/tillsyn/A 61804-2023 tillsynsbegäran.docx", "A 61804-2023")</f>
        <v/>
      </c>
      <c r="Y124">
        <f>HYPERLINK("https://klasma.github.io/Logging_0883/tillsynsmail/A 61804-2023 tillsynsbegäran mail.docx", "A 61804-2023")</f>
        <v/>
      </c>
    </row>
    <row r="125" ht="15" customHeight="1">
      <c r="A125" t="inlineStr">
        <is>
          <t>A 62008-2023</t>
        </is>
      </c>
      <c r="B125" s="1" t="n">
        <v>45266</v>
      </c>
      <c r="C125" s="1" t="n">
        <v>45511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HYPERLINK("https://klasma.github.io/Logging_0883/artfynd/A 62008-2023 artfynd.xlsx", "A 62008-2023")</f>
        <v/>
      </c>
      <c r="T125">
        <f>HYPERLINK("https://klasma.github.io/Logging_0883/kartor/A 62008-2023 karta.png", "A 62008-2023")</f>
        <v/>
      </c>
      <c r="U125">
        <f>HYPERLINK("https://klasma.github.io/Logging_0883/knärot/A 62008-2023 karta knärot.png", "A 62008-2023")</f>
        <v/>
      </c>
      <c r="V125">
        <f>HYPERLINK("https://klasma.github.io/Logging_0883/klagomål/A 62008-2023 FSC-klagomål.docx", "A 62008-2023")</f>
        <v/>
      </c>
      <c r="W125">
        <f>HYPERLINK("https://klasma.github.io/Logging_0883/klagomålsmail/A 62008-2023 FSC-klagomål mail.docx", "A 62008-2023")</f>
        <v/>
      </c>
      <c r="X125">
        <f>HYPERLINK("https://klasma.github.io/Logging_0883/tillsyn/A 62008-2023 tillsynsbegäran.docx", "A 62008-2023")</f>
        <v/>
      </c>
      <c r="Y125">
        <f>HYPERLINK("https://klasma.github.io/Logging_0883/tillsynsmail/A 62008-2023 tillsynsbegäran mail.docx", "A 62008-2023")</f>
        <v/>
      </c>
      <c r="Z125">
        <f>HYPERLINK("https://klasma.github.io/Logging_0883/fåglar/A 62008-2023 prioriterade fågelarter.docx", "A 62008-2023")</f>
        <v/>
      </c>
    </row>
    <row r="126" ht="15" customHeight="1">
      <c r="A126" t="inlineStr">
        <is>
          <t>A 62029-2023</t>
        </is>
      </c>
      <c r="B126" s="1" t="n">
        <v>45266</v>
      </c>
      <c r="C126" s="1" t="n">
        <v>45511</v>
      </c>
      <c r="D126" t="inlineStr">
        <is>
          <t>KALMAR LÄN</t>
        </is>
      </c>
      <c r="E126" t="inlineStr">
        <is>
          <t>VÄSTERVIK</t>
        </is>
      </c>
      <c r="G126" t="n">
        <v>4.8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Tallticka
Talltita</t>
        </is>
      </c>
      <c r="S126">
        <f>HYPERLINK("https://klasma.github.io/Logging_0883/artfynd/A 62029-2023 artfynd.xlsx", "A 62029-2023")</f>
        <v/>
      </c>
      <c r="T126">
        <f>HYPERLINK("https://klasma.github.io/Logging_0883/kartor/A 62029-2023 karta.png", "A 62029-2023")</f>
        <v/>
      </c>
      <c r="V126">
        <f>HYPERLINK("https://klasma.github.io/Logging_0883/klagomål/A 62029-2023 FSC-klagomål.docx", "A 62029-2023")</f>
        <v/>
      </c>
      <c r="W126">
        <f>HYPERLINK("https://klasma.github.io/Logging_0883/klagomålsmail/A 62029-2023 FSC-klagomål mail.docx", "A 62029-2023")</f>
        <v/>
      </c>
      <c r="X126">
        <f>HYPERLINK("https://klasma.github.io/Logging_0883/tillsyn/A 62029-2023 tillsynsbegäran.docx", "A 62029-2023")</f>
        <v/>
      </c>
      <c r="Y126">
        <f>HYPERLINK("https://klasma.github.io/Logging_0883/tillsynsmail/A 62029-2023 tillsynsbegäran mail.docx", "A 62029-2023")</f>
        <v/>
      </c>
      <c r="Z126">
        <f>HYPERLINK("https://klasma.github.io/Logging_0883/fåglar/A 62029-2023 prioriterade fågelarter.docx", "A 62029-2023")</f>
        <v/>
      </c>
    </row>
    <row r="127" ht="15" customHeight="1">
      <c r="A127" t="inlineStr">
        <is>
          <t>A 64761-2023</t>
        </is>
      </c>
      <c r="B127" s="1" t="n">
        <v>45282</v>
      </c>
      <c r="C127" s="1" t="n">
        <v>45511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5.8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Spillkråka</t>
        </is>
      </c>
      <c r="S127">
        <f>HYPERLINK("https://klasma.github.io/Logging_0883/artfynd/A 64761-2023 artfynd.xlsx", "A 64761-2023")</f>
        <v/>
      </c>
      <c r="T127">
        <f>HYPERLINK("https://klasma.github.io/Logging_0883/kartor/A 64761-2023 karta.png", "A 64761-2023")</f>
        <v/>
      </c>
      <c r="U127">
        <f>HYPERLINK("https://klasma.github.io/Logging_0883/knärot/A 64761-2023 karta knärot.png", "A 64761-2023")</f>
        <v/>
      </c>
      <c r="V127">
        <f>HYPERLINK("https://klasma.github.io/Logging_0883/klagomål/A 64761-2023 FSC-klagomål.docx", "A 64761-2023")</f>
        <v/>
      </c>
      <c r="W127">
        <f>HYPERLINK("https://klasma.github.io/Logging_0883/klagomålsmail/A 64761-2023 FSC-klagomål mail.docx", "A 64761-2023")</f>
        <v/>
      </c>
      <c r="X127">
        <f>HYPERLINK("https://klasma.github.io/Logging_0883/tillsyn/A 64761-2023 tillsynsbegäran.docx", "A 64761-2023")</f>
        <v/>
      </c>
      <c r="Y127">
        <f>HYPERLINK("https://klasma.github.io/Logging_0883/tillsynsmail/A 64761-2023 tillsynsbegäran mail.docx", "A 64761-2023")</f>
        <v/>
      </c>
      <c r="Z127">
        <f>HYPERLINK("https://klasma.github.io/Logging_0883/fåglar/A 64761-2023 prioriterade fågelarter.docx", "A 64761-2023")</f>
        <v/>
      </c>
    </row>
    <row r="128" ht="15" customHeight="1">
      <c r="A128" t="inlineStr">
        <is>
          <t>A 932-2024</t>
        </is>
      </c>
      <c r="B128" s="1" t="n">
        <v>45301</v>
      </c>
      <c r="C128" s="1" t="n">
        <v>45511</v>
      </c>
      <c r="D128" t="inlineStr">
        <is>
          <t>KALMAR LÄN</t>
        </is>
      </c>
      <c r="E128" t="inlineStr">
        <is>
          <t>VÄSTERVIK</t>
        </is>
      </c>
      <c r="G128" t="n">
        <v>3.7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Grovticka</t>
        </is>
      </c>
      <c r="S128">
        <f>HYPERLINK("https://klasma.github.io/Logging_0883/artfynd/A 932-2024 artfynd.xlsx", "A 932-2024")</f>
        <v/>
      </c>
      <c r="T128">
        <f>HYPERLINK("https://klasma.github.io/Logging_0883/kartor/A 932-2024 karta.png", "A 932-2024")</f>
        <v/>
      </c>
      <c r="V128">
        <f>HYPERLINK("https://klasma.github.io/Logging_0883/klagomål/A 932-2024 FSC-klagomål.docx", "A 932-2024")</f>
        <v/>
      </c>
      <c r="W128">
        <f>HYPERLINK("https://klasma.github.io/Logging_0883/klagomålsmail/A 932-2024 FSC-klagomål mail.docx", "A 932-2024")</f>
        <v/>
      </c>
      <c r="X128">
        <f>HYPERLINK("https://klasma.github.io/Logging_0883/tillsyn/A 932-2024 tillsynsbegäran.docx", "A 932-2024")</f>
        <v/>
      </c>
      <c r="Y128">
        <f>HYPERLINK("https://klasma.github.io/Logging_0883/tillsynsmail/A 932-2024 tillsynsbegäran mail.docx", "A 932-2024")</f>
        <v/>
      </c>
      <c r="Z128">
        <f>HYPERLINK("https://klasma.github.io/Logging_0883/fåglar/A 932-2024 prioriterade fågelarter.docx", "A 932-2024")</f>
        <v/>
      </c>
    </row>
    <row r="129" ht="15" customHeight="1">
      <c r="A129" t="inlineStr">
        <is>
          <t>A 948-2024</t>
        </is>
      </c>
      <c r="B129" s="1" t="n">
        <v>45301</v>
      </c>
      <c r="C129" s="1" t="n">
        <v>45511</v>
      </c>
      <c r="D129" t="inlineStr">
        <is>
          <t>KALMAR LÄN</t>
        </is>
      </c>
      <c r="E129" t="inlineStr">
        <is>
          <t>VÄSTERVIK</t>
        </is>
      </c>
      <c r="G129" t="n">
        <v>4.5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Tjäder</t>
        </is>
      </c>
      <c r="S129">
        <f>HYPERLINK("https://klasma.github.io/Logging_0883/artfynd/A 948-2024 artfynd.xlsx", "A 948-2024")</f>
        <v/>
      </c>
      <c r="T129">
        <f>HYPERLINK("https://klasma.github.io/Logging_0883/kartor/A 948-2024 karta.png", "A 948-2024")</f>
        <v/>
      </c>
      <c r="V129">
        <f>HYPERLINK("https://klasma.github.io/Logging_0883/klagomål/A 948-2024 FSC-klagomål.docx", "A 948-2024")</f>
        <v/>
      </c>
      <c r="W129">
        <f>HYPERLINK("https://klasma.github.io/Logging_0883/klagomålsmail/A 948-2024 FSC-klagomål mail.docx", "A 948-2024")</f>
        <v/>
      </c>
      <c r="X129">
        <f>HYPERLINK("https://klasma.github.io/Logging_0883/tillsyn/A 948-2024 tillsynsbegäran.docx", "A 948-2024")</f>
        <v/>
      </c>
      <c r="Y129">
        <f>HYPERLINK("https://klasma.github.io/Logging_0883/tillsynsmail/A 948-2024 tillsynsbegäran mail.docx", "A 948-2024")</f>
        <v/>
      </c>
      <c r="Z129">
        <f>HYPERLINK("https://klasma.github.io/Logging_0883/fåglar/A 948-2024 prioriterade fågelarter.docx", "A 948-2024")</f>
        <v/>
      </c>
    </row>
    <row r="130" ht="15" customHeight="1">
      <c r="A130" t="inlineStr">
        <is>
          <t>A 911-2024</t>
        </is>
      </c>
      <c r="B130" s="1" t="n">
        <v>45301</v>
      </c>
      <c r="C130" s="1" t="n">
        <v>45511</v>
      </c>
      <c r="D130" t="inlineStr">
        <is>
          <t>KALMAR LÄN</t>
        </is>
      </c>
      <c r="E130" t="inlineStr">
        <is>
          <t>VÄSTERVIK</t>
        </is>
      </c>
      <c r="G130" t="n">
        <v>5.6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Talltita
Blodticka</t>
        </is>
      </c>
      <c r="S130">
        <f>HYPERLINK("https://klasma.github.io/Logging_0883/artfynd/A 911-2024 artfynd.xlsx", "A 911-2024")</f>
        <v/>
      </c>
      <c r="T130">
        <f>HYPERLINK("https://klasma.github.io/Logging_0883/kartor/A 911-2024 karta.png", "A 911-2024")</f>
        <v/>
      </c>
      <c r="V130">
        <f>HYPERLINK("https://klasma.github.io/Logging_0883/klagomål/A 911-2024 FSC-klagomål.docx", "A 911-2024")</f>
        <v/>
      </c>
      <c r="W130">
        <f>HYPERLINK("https://klasma.github.io/Logging_0883/klagomålsmail/A 911-2024 FSC-klagomål mail.docx", "A 911-2024")</f>
        <v/>
      </c>
      <c r="X130">
        <f>HYPERLINK("https://klasma.github.io/Logging_0883/tillsyn/A 911-2024 tillsynsbegäran.docx", "A 911-2024")</f>
        <v/>
      </c>
      <c r="Y130">
        <f>HYPERLINK("https://klasma.github.io/Logging_0883/tillsynsmail/A 911-2024 tillsynsbegäran mail.docx", "A 911-2024")</f>
        <v/>
      </c>
      <c r="Z130">
        <f>HYPERLINK("https://klasma.github.io/Logging_0883/fåglar/A 911-2024 prioriterade fågelarter.docx", "A 911-2024")</f>
        <v/>
      </c>
    </row>
    <row r="131" ht="15" customHeight="1">
      <c r="A131" t="inlineStr">
        <is>
          <t>A 941-2024</t>
        </is>
      </c>
      <c r="B131" s="1" t="n">
        <v>45301</v>
      </c>
      <c r="C131" s="1" t="n">
        <v>45511</v>
      </c>
      <c r="D131" t="inlineStr">
        <is>
          <t>KALMAR LÄN</t>
        </is>
      </c>
      <c r="E131" t="inlineStr">
        <is>
          <t>VÄSTERVIK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Svinrot</t>
        </is>
      </c>
      <c r="S131">
        <f>HYPERLINK("https://klasma.github.io/Logging_0883/artfynd/A 941-2024 artfynd.xlsx", "A 941-2024")</f>
        <v/>
      </c>
      <c r="T131">
        <f>HYPERLINK("https://klasma.github.io/Logging_0883/kartor/A 941-2024 karta.png", "A 941-2024")</f>
        <v/>
      </c>
      <c r="U131">
        <f>HYPERLINK("https://klasma.github.io/Logging_0883/knärot/A 941-2024 karta knärot.png", "A 941-2024")</f>
        <v/>
      </c>
      <c r="V131">
        <f>HYPERLINK("https://klasma.github.io/Logging_0883/klagomål/A 941-2024 FSC-klagomål.docx", "A 941-2024")</f>
        <v/>
      </c>
      <c r="W131">
        <f>HYPERLINK("https://klasma.github.io/Logging_0883/klagomålsmail/A 941-2024 FSC-klagomål mail.docx", "A 941-2024")</f>
        <v/>
      </c>
      <c r="X131">
        <f>HYPERLINK("https://klasma.github.io/Logging_0883/tillsyn/A 941-2024 tillsynsbegäran.docx", "A 941-2024")</f>
        <v/>
      </c>
      <c r="Y131">
        <f>HYPERLINK("https://klasma.github.io/Logging_0883/tillsynsmail/A 941-2024 tillsynsbegäran mail.docx", "A 941-2024")</f>
        <v/>
      </c>
    </row>
    <row r="132" ht="15" customHeight="1">
      <c r="A132" t="inlineStr">
        <is>
          <t>A 1373-2024</t>
        </is>
      </c>
      <c r="B132" s="1" t="n">
        <v>45303</v>
      </c>
      <c r="C132" s="1" t="n">
        <v>45511</v>
      </c>
      <c r="D132" t="inlineStr">
        <is>
          <t>KALMAR LÄN</t>
        </is>
      </c>
      <c r="E132" t="inlineStr">
        <is>
          <t>VÄSTERVIK</t>
        </is>
      </c>
      <c r="G132" t="n">
        <v>3.7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Tallticka
Talltita</t>
        </is>
      </c>
      <c r="S132">
        <f>HYPERLINK("https://klasma.github.io/Logging_0883/artfynd/A 1373-2024 artfynd.xlsx", "A 1373-2024")</f>
        <v/>
      </c>
      <c r="T132">
        <f>HYPERLINK("https://klasma.github.io/Logging_0883/kartor/A 1373-2024 karta.png", "A 1373-2024")</f>
        <v/>
      </c>
      <c r="U132">
        <f>HYPERLINK("https://klasma.github.io/Logging_0883/knärot/A 1373-2024 karta knärot.png", "A 1373-2024")</f>
        <v/>
      </c>
      <c r="V132">
        <f>HYPERLINK("https://klasma.github.io/Logging_0883/klagomål/A 1373-2024 FSC-klagomål.docx", "A 1373-2024")</f>
        <v/>
      </c>
      <c r="W132">
        <f>HYPERLINK("https://klasma.github.io/Logging_0883/klagomålsmail/A 1373-2024 FSC-klagomål mail.docx", "A 1373-2024")</f>
        <v/>
      </c>
      <c r="X132">
        <f>HYPERLINK("https://klasma.github.io/Logging_0883/tillsyn/A 1373-2024 tillsynsbegäran.docx", "A 1373-2024")</f>
        <v/>
      </c>
      <c r="Y132">
        <f>HYPERLINK("https://klasma.github.io/Logging_0883/tillsynsmail/A 1373-2024 tillsynsbegäran mail.docx", "A 1373-2024")</f>
        <v/>
      </c>
      <c r="Z132">
        <f>HYPERLINK("https://klasma.github.io/Logging_0883/fåglar/A 1373-2024 prioriterade fågelarter.docx", "A 1373-2024")</f>
        <v/>
      </c>
    </row>
    <row r="133" ht="15" customHeight="1">
      <c r="A133" t="inlineStr">
        <is>
          <t>A 2126-2024</t>
        </is>
      </c>
      <c r="B133" s="1" t="n">
        <v>45309</v>
      </c>
      <c r="C133" s="1" t="n">
        <v>45511</v>
      </c>
      <c r="D133" t="inlineStr">
        <is>
          <t>KALMAR LÄN</t>
        </is>
      </c>
      <c r="E133" t="inlineStr">
        <is>
          <t>VÄSTERVIK</t>
        </is>
      </c>
      <c r="G133" t="n">
        <v>3.8</v>
      </c>
      <c r="H133" t="n">
        <v>2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Talltita</t>
        </is>
      </c>
      <c r="S133">
        <f>HYPERLINK("https://klasma.github.io/Logging_0883/artfynd/A 2126-2024 artfynd.xlsx", "A 2126-2024")</f>
        <v/>
      </c>
      <c r="T133">
        <f>HYPERLINK("https://klasma.github.io/Logging_0883/kartor/A 2126-2024 karta.png", "A 2126-2024")</f>
        <v/>
      </c>
      <c r="U133">
        <f>HYPERLINK("https://klasma.github.io/Logging_0883/knärot/A 2126-2024 karta knärot.png", "A 2126-2024")</f>
        <v/>
      </c>
      <c r="V133">
        <f>HYPERLINK("https://klasma.github.io/Logging_0883/klagomål/A 2126-2024 FSC-klagomål.docx", "A 2126-2024")</f>
        <v/>
      </c>
      <c r="W133">
        <f>HYPERLINK("https://klasma.github.io/Logging_0883/klagomålsmail/A 2126-2024 FSC-klagomål mail.docx", "A 2126-2024")</f>
        <v/>
      </c>
      <c r="X133">
        <f>HYPERLINK("https://klasma.github.io/Logging_0883/tillsyn/A 2126-2024 tillsynsbegäran.docx", "A 2126-2024")</f>
        <v/>
      </c>
      <c r="Y133">
        <f>HYPERLINK("https://klasma.github.io/Logging_0883/tillsynsmail/A 2126-2024 tillsynsbegäran mail.docx", "A 2126-2024")</f>
        <v/>
      </c>
      <c r="Z133">
        <f>HYPERLINK("https://klasma.github.io/Logging_0883/fåglar/A 2126-2024 prioriterade fågelarter.docx", "A 2126-2024")</f>
        <v/>
      </c>
    </row>
    <row r="134" ht="15" customHeight="1">
      <c r="A134" t="inlineStr">
        <is>
          <t>A 2809-2024</t>
        </is>
      </c>
      <c r="B134" s="1" t="n">
        <v>45314</v>
      </c>
      <c r="C134" s="1" t="n">
        <v>45511</v>
      </c>
      <c r="D134" t="inlineStr">
        <is>
          <t>KALMAR LÄN</t>
        </is>
      </c>
      <c r="E134" t="inlineStr">
        <is>
          <t>VÄSTERVIK</t>
        </is>
      </c>
      <c r="G134" t="n">
        <v>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Tallticka
Tjäder</t>
        </is>
      </c>
      <c r="S134">
        <f>HYPERLINK("https://klasma.github.io/Logging_0883/artfynd/A 2809-2024 artfynd.xlsx", "A 2809-2024")</f>
        <v/>
      </c>
      <c r="T134">
        <f>HYPERLINK("https://klasma.github.io/Logging_0883/kartor/A 2809-2024 karta.png", "A 2809-2024")</f>
        <v/>
      </c>
      <c r="U134">
        <f>HYPERLINK("https://klasma.github.io/Logging_0883/knärot/A 2809-2024 karta knärot.png", "A 2809-2024")</f>
        <v/>
      </c>
      <c r="V134">
        <f>HYPERLINK("https://klasma.github.io/Logging_0883/klagomål/A 2809-2024 FSC-klagomål.docx", "A 2809-2024")</f>
        <v/>
      </c>
      <c r="W134">
        <f>HYPERLINK("https://klasma.github.io/Logging_0883/klagomålsmail/A 2809-2024 FSC-klagomål mail.docx", "A 2809-2024")</f>
        <v/>
      </c>
      <c r="X134">
        <f>HYPERLINK("https://klasma.github.io/Logging_0883/tillsyn/A 2809-2024 tillsynsbegäran.docx", "A 2809-2024")</f>
        <v/>
      </c>
      <c r="Y134">
        <f>HYPERLINK("https://klasma.github.io/Logging_0883/tillsynsmail/A 2809-2024 tillsynsbegäran mail.docx", "A 2809-2024")</f>
        <v/>
      </c>
      <c r="Z134">
        <f>HYPERLINK("https://klasma.github.io/Logging_0883/fåglar/A 2809-2024 prioriterade fågelarter.docx", "A 2809-2024")</f>
        <v/>
      </c>
    </row>
    <row r="135" ht="15" customHeight="1">
      <c r="A135" t="inlineStr">
        <is>
          <t>A 3264-2024</t>
        </is>
      </c>
      <c r="B135" s="1" t="n">
        <v>45317</v>
      </c>
      <c r="C135" s="1" t="n">
        <v>45511</v>
      </c>
      <c r="D135" t="inlineStr">
        <is>
          <t>KALMAR LÄN</t>
        </is>
      </c>
      <c r="E135" t="inlineStr">
        <is>
          <t>VÄSTERVIK</t>
        </is>
      </c>
      <c r="G135" t="n">
        <v>6.5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Blåmossa</t>
        </is>
      </c>
      <c r="S135">
        <f>HYPERLINK("https://klasma.github.io/Logging_0883/artfynd/A 3264-2024 artfynd.xlsx", "A 3264-2024")</f>
        <v/>
      </c>
      <c r="T135">
        <f>HYPERLINK("https://klasma.github.io/Logging_0883/kartor/A 3264-2024 karta.png", "A 3264-2024")</f>
        <v/>
      </c>
      <c r="V135">
        <f>HYPERLINK("https://klasma.github.io/Logging_0883/klagomål/A 3264-2024 FSC-klagomål.docx", "A 3264-2024")</f>
        <v/>
      </c>
      <c r="W135">
        <f>HYPERLINK("https://klasma.github.io/Logging_0883/klagomålsmail/A 3264-2024 FSC-klagomål mail.docx", "A 3264-2024")</f>
        <v/>
      </c>
      <c r="X135">
        <f>HYPERLINK("https://klasma.github.io/Logging_0883/tillsyn/A 3264-2024 tillsynsbegäran.docx", "A 3264-2024")</f>
        <v/>
      </c>
      <c r="Y135">
        <f>HYPERLINK("https://klasma.github.io/Logging_0883/tillsynsmail/A 3264-2024 tillsynsbegäran mail.docx", "A 3264-2024")</f>
        <v/>
      </c>
      <c r="Z135">
        <f>HYPERLINK("https://klasma.github.io/Logging_0883/fåglar/A 3264-2024 prioriterade fågelarter.docx", "A 3264-2024")</f>
        <v/>
      </c>
    </row>
    <row r="136" ht="15" customHeight="1">
      <c r="A136" t="inlineStr">
        <is>
          <t>A 3658-2024</t>
        </is>
      </c>
      <c r="B136" s="1" t="n">
        <v>45321</v>
      </c>
      <c r="C136" s="1" t="n">
        <v>45511</v>
      </c>
      <c r="D136" t="inlineStr">
        <is>
          <t>KALMAR LÄN</t>
        </is>
      </c>
      <c r="E136" t="inlineStr">
        <is>
          <t>VÄSTERVIK</t>
        </is>
      </c>
      <c r="G136" t="n">
        <v>2.6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Tallticka</t>
        </is>
      </c>
      <c r="S136">
        <f>HYPERLINK("https://klasma.github.io/Logging_0883/artfynd/A 3658-2024 artfynd.xlsx", "A 3658-2024")</f>
        <v/>
      </c>
      <c r="T136">
        <f>HYPERLINK("https://klasma.github.io/Logging_0883/kartor/A 3658-2024 karta.png", "A 3658-2024")</f>
        <v/>
      </c>
      <c r="U136">
        <f>HYPERLINK("https://klasma.github.io/Logging_0883/knärot/A 3658-2024 karta knärot.png", "A 3658-2024")</f>
        <v/>
      </c>
      <c r="V136">
        <f>HYPERLINK("https://klasma.github.io/Logging_0883/klagomål/A 3658-2024 FSC-klagomål.docx", "A 3658-2024")</f>
        <v/>
      </c>
      <c r="W136">
        <f>HYPERLINK("https://klasma.github.io/Logging_0883/klagomålsmail/A 3658-2024 FSC-klagomål mail.docx", "A 3658-2024")</f>
        <v/>
      </c>
      <c r="X136">
        <f>HYPERLINK("https://klasma.github.io/Logging_0883/tillsyn/A 3658-2024 tillsynsbegäran.docx", "A 3658-2024")</f>
        <v/>
      </c>
      <c r="Y136">
        <f>HYPERLINK("https://klasma.github.io/Logging_0883/tillsynsmail/A 3658-2024 tillsynsbegäran mail.docx", "A 3658-2024")</f>
        <v/>
      </c>
    </row>
    <row r="137" ht="15" customHeight="1">
      <c r="A137" t="inlineStr">
        <is>
          <t>A 8618-2024</t>
        </is>
      </c>
      <c r="B137" s="1" t="n">
        <v>45355</v>
      </c>
      <c r="C137" s="1" t="n">
        <v>45511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8618-2024 artfynd.xlsx", "A 8618-2024")</f>
        <v/>
      </c>
      <c r="T137">
        <f>HYPERLINK("https://klasma.github.io/Logging_0883/kartor/A 8618-2024 karta.png", "A 8618-2024")</f>
        <v/>
      </c>
      <c r="U137">
        <f>HYPERLINK("https://klasma.github.io/Logging_0883/knärot/A 8618-2024 karta knärot.png", "A 8618-2024")</f>
        <v/>
      </c>
      <c r="V137">
        <f>HYPERLINK("https://klasma.github.io/Logging_0883/klagomål/A 8618-2024 FSC-klagomål.docx", "A 8618-2024")</f>
        <v/>
      </c>
      <c r="W137">
        <f>HYPERLINK("https://klasma.github.io/Logging_0883/klagomålsmail/A 8618-2024 FSC-klagomål mail.docx", "A 8618-2024")</f>
        <v/>
      </c>
      <c r="X137">
        <f>HYPERLINK("https://klasma.github.io/Logging_0883/tillsyn/A 8618-2024 tillsynsbegäran.docx", "A 8618-2024")</f>
        <v/>
      </c>
      <c r="Y137">
        <f>HYPERLINK("https://klasma.github.io/Logging_0883/tillsynsmail/A 8618-2024 tillsynsbegäran mail.docx", "A 8618-2024")</f>
        <v/>
      </c>
    </row>
    <row r="138" ht="15" customHeight="1">
      <c r="A138" t="inlineStr">
        <is>
          <t>A 9770-2024</t>
        </is>
      </c>
      <c r="B138" s="1" t="n">
        <v>45362</v>
      </c>
      <c r="C138" s="1" t="n">
        <v>45511</v>
      </c>
      <c r="D138" t="inlineStr">
        <is>
          <t>KALMAR LÄN</t>
        </is>
      </c>
      <c r="E138" t="inlineStr">
        <is>
          <t>VÄSTERVIK</t>
        </is>
      </c>
      <c r="G138" t="n">
        <v>2.6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Talltita
Tjäder</t>
        </is>
      </c>
      <c r="S138">
        <f>HYPERLINK("https://klasma.github.io/Logging_0883/artfynd/A 9770-2024 artfynd.xlsx", "A 9770-2024")</f>
        <v/>
      </c>
      <c r="T138">
        <f>HYPERLINK("https://klasma.github.io/Logging_0883/kartor/A 9770-2024 karta.png", "A 9770-2024")</f>
        <v/>
      </c>
      <c r="V138">
        <f>HYPERLINK("https://klasma.github.io/Logging_0883/klagomål/A 9770-2024 FSC-klagomål.docx", "A 9770-2024")</f>
        <v/>
      </c>
      <c r="W138">
        <f>HYPERLINK("https://klasma.github.io/Logging_0883/klagomålsmail/A 9770-2024 FSC-klagomål mail.docx", "A 9770-2024")</f>
        <v/>
      </c>
      <c r="X138">
        <f>HYPERLINK("https://klasma.github.io/Logging_0883/tillsyn/A 9770-2024 tillsynsbegäran.docx", "A 9770-2024")</f>
        <v/>
      </c>
      <c r="Y138">
        <f>HYPERLINK("https://klasma.github.io/Logging_0883/tillsynsmail/A 9770-2024 tillsynsbegäran mail.docx", "A 9770-2024")</f>
        <v/>
      </c>
      <c r="Z138">
        <f>HYPERLINK("https://klasma.github.io/Logging_0883/fåglar/A 9770-2024 prioriterade fågelarter.docx", "A 9770-2024")</f>
        <v/>
      </c>
    </row>
    <row r="139" ht="15" customHeight="1">
      <c r="A139" t="inlineStr">
        <is>
          <t>A 11849-2024</t>
        </is>
      </c>
      <c r="B139" s="1" t="n">
        <v>45376</v>
      </c>
      <c r="C139" s="1" t="n">
        <v>45511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Mattlummer
Revlummer</t>
        </is>
      </c>
      <c r="S139">
        <f>HYPERLINK("https://klasma.github.io/Logging_0883/artfynd/A 11849-2024 artfynd.xlsx", "A 11849-2024")</f>
        <v/>
      </c>
      <c r="T139">
        <f>HYPERLINK("https://klasma.github.io/Logging_0883/kartor/A 11849-2024 karta.png", "A 11849-2024")</f>
        <v/>
      </c>
      <c r="V139">
        <f>HYPERLINK("https://klasma.github.io/Logging_0883/klagomål/A 11849-2024 FSC-klagomål.docx", "A 11849-2024")</f>
        <v/>
      </c>
      <c r="W139">
        <f>HYPERLINK("https://klasma.github.io/Logging_0883/klagomålsmail/A 11849-2024 FSC-klagomål mail.docx", "A 11849-2024")</f>
        <v/>
      </c>
      <c r="X139">
        <f>HYPERLINK("https://klasma.github.io/Logging_0883/tillsyn/A 11849-2024 tillsynsbegäran.docx", "A 11849-2024")</f>
        <v/>
      </c>
      <c r="Y139">
        <f>HYPERLINK("https://klasma.github.io/Logging_0883/tillsynsmail/A 11849-2024 tillsynsbegäran mail.docx", "A 11849-2024")</f>
        <v/>
      </c>
    </row>
    <row r="140" ht="15" customHeight="1">
      <c r="A140" t="inlineStr">
        <is>
          <t>A 12212-2024</t>
        </is>
      </c>
      <c r="B140" s="1" t="n">
        <v>45378</v>
      </c>
      <c r="C140" s="1" t="n">
        <v>45511</v>
      </c>
      <c r="D140" t="inlineStr">
        <is>
          <t>KALMAR LÄN</t>
        </is>
      </c>
      <c r="E140" t="inlineStr">
        <is>
          <t>VÄSTERVIK</t>
        </is>
      </c>
      <c r="G140" t="n">
        <v>0.8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12212-2024 artfynd.xlsx", "A 12212-2024")</f>
        <v/>
      </c>
      <c r="T140">
        <f>HYPERLINK("https://klasma.github.io/Logging_0883/kartor/A 12212-2024 karta.png", "A 12212-2024")</f>
        <v/>
      </c>
      <c r="V140">
        <f>HYPERLINK("https://klasma.github.io/Logging_0883/klagomål/A 12212-2024 FSC-klagomål.docx", "A 12212-2024")</f>
        <v/>
      </c>
      <c r="W140">
        <f>HYPERLINK("https://klasma.github.io/Logging_0883/klagomålsmail/A 12212-2024 FSC-klagomål mail.docx", "A 12212-2024")</f>
        <v/>
      </c>
      <c r="X140">
        <f>HYPERLINK("https://klasma.github.io/Logging_0883/tillsyn/A 12212-2024 tillsynsbegäran.docx", "A 12212-2024")</f>
        <v/>
      </c>
      <c r="Y140">
        <f>HYPERLINK("https://klasma.github.io/Logging_0883/tillsynsmail/A 12212-2024 tillsynsbegäran mail.docx", "A 12212-2024")</f>
        <v/>
      </c>
      <c r="Z140">
        <f>HYPERLINK("https://klasma.github.io/Logging_0883/fåglar/A 12212-2024 prioriterade fågelarter.docx", "A 12212-2024")</f>
        <v/>
      </c>
    </row>
    <row r="141" ht="15" customHeight="1">
      <c r="A141" t="inlineStr">
        <is>
          <t>A 12598-2024</t>
        </is>
      </c>
      <c r="B141" s="1" t="n">
        <v>45380</v>
      </c>
      <c r="C141" s="1" t="n">
        <v>45511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12598-2024 artfynd.xlsx", "A 12598-2024")</f>
        <v/>
      </c>
      <c r="T141">
        <f>HYPERLINK("https://klasma.github.io/Logging_0883/kartor/A 12598-2024 karta.png", "A 12598-2024")</f>
        <v/>
      </c>
      <c r="U141">
        <f>HYPERLINK("https://klasma.github.io/Logging_0883/knärot/A 12598-2024 karta knärot.png", "A 12598-2024")</f>
        <v/>
      </c>
      <c r="V141">
        <f>HYPERLINK("https://klasma.github.io/Logging_0883/klagomål/A 12598-2024 FSC-klagomål.docx", "A 12598-2024")</f>
        <v/>
      </c>
      <c r="W141">
        <f>HYPERLINK("https://klasma.github.io/Logging_0883/klagomålsmail/A 12598-2024 FSC-klagomål mail.docx", "A 12598-2024")</f>
        <v/>
      </c>
      <c r="X141">
        <f>HYPERLINK("https://klasma.github.io/Logging_0883/tillsyn/A 12598-2024 tillsynsbegäran.docx", "A 12598-2024")</f>
        <v/>
      </c>
      <c r="Y141">
        <f>HYPERLINK("https://klasma.github.io/Logging_0883/tillsynsmail/A 12598-2024 tillsynsbegäran mail.docx", "A 12598-2024")</f>
        <v/>
      </c>
    </row>
    <row r="142" ht="15" customHeight="1">
      <c r="A142" t="inlineStr">
        <is>
          <t>A 15534-2024</t>
        </is>
      </c>
      <c r="B142" s="1" t="n">
        <v>45401</v>
      </c>
      <c r="C142" s="1" t="n">
        <v>45511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5.1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Tallticka</t>
        </is>
      </c>
      <c r="S142">
        <f>HYPERLINK("https://klasma.github.io/Logging_0883/artfynd/A 15534-2024 artfynd.xlsx", "A 15534-2024")</f>
        <v/>
      </c>
      <c r="T142">
        <f>HYPERLINK("https://klasma.github.io/Logging_0883/kartor/A 15534-2024 karta.png", "A 15534-2024")</f>
        <v/>
      </c>
      <c r="U142">
        <f>HYPERLINK("https://klasma.github.io/Logging_0883/knärot/A 15534-2024 karta knärot.png", "A 15534-2024")</f>
        <v/>
      </c>
      <c r="V142">
        <f>HYPERLINK("https://klasma.github.io/Logging_0883/klagomål/A 15534-2024 FSC-klagomål.docx", "A 15534-2024")</f>
        <v/>
      </c>
      <c r="W142">
        <f>HYPERLINK("https://klasma.github.io/Logging_0883/klagomålsmail/A 15534-2024 FSC-klagomål mail.docx", "A 15534-2024")</f>
        <v/>
      </c>
      <c r="X142">
        <f>HYPERLINK("https://klasma.github.io/Logging_0883/tillsyn/A 15534-2024 tillsynsbegäran.docx", "A 15534-2024")</f>
        <v/>
      </c>
      <c r="Y142">
        <f>HYPERLINK("https://klasma.github.io/Logging_0883/tillsynsmail/A 15534-2024 tillsynsbegäran mail.docx", "A 15534-2024")</f>
        <v/>
      </c>
    </row>
    <row r="143" ht="15" customHeight="1">
      <c r="A143" t="inlineStr">
        <is>
          <t>A 16419-2024</t>
        </is>
      </c>
      <c r="B143" s="1" t="n">
        <v>45407</v>
      </c>
      <c r="C143" s="1" t="n">
        <v>45511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1.8</v>
      </c>
      <c r="H143" t="n">
        <v>2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Spillkråka</t>
        </is>
      </c>
      <c r="S143">
        <f>HYPERLINK("https://klasma.github.io/Logging_0883/artfynd/A 16419-2024 artfynd.xlsx", "A 16419-2024")</f>
        <v/>
      </c>
      <c r="T143">
        <f>HYPERLINK("https://klasma.github.io/Logging_0883/kartor/A 16419-2024 karta.png", "A 16419-2024")</f>
        <v/>
      </c>
      <c r="U143">
        <f>HYPERLINK("https://klasma.github.io/Logging_0883/knärot/A 16419-2024 karta knärot.png", "A 16419-2024")</f>
        <v/>
      </c>
      <c r="V143">
        <f>HYPERLINK("https://klasma.github.io/Logging_0883/klagomål/A 16419-2024 FSC-klagomål.docx", "A 16419-2024")</f>
        <v/>
      </c>
      <c r="W143">
        <f>HYPERLINK("https://klasma.github.io/Logging_0883/klagomålsmail/A 16419-2024 FSC-klagomål mail.docx", "A 16419-2024")</f>
        <v/>
      </c>
      <c r="X143">
        <f>HYPERLINK("https://klasma.github.io/Logging_0883/tillsyn/A 16419-2024 tillsynsbegäran.docx", "A 16419-2024")</f>
        <v/>
      </c>
      <c r="Y143">
        <f>HYPERLINK("https://klasma.github.io/Logging_0883/tillsynsmail/A 16419-2024 tillsynsbegäran mail.docx", "A 16419-2024")</f>
        <v/>
      </c>
      <c r="Z143">
        <f>HYPERLINK("https://klasma.github.io/Logging_0883/fåglar/A 16419-2024 prioriterade fågelarter.docx", "A 16419-2024")</f>
        <v/>
      </c>
    </row>
    <row r="144" ht="15" customHeight="1">
      <c r="A144" t="inlineStr">
        <is>
          <t>A 17438-2024</t>
        </is>
      </c>
      <c r="B144" s="1" t="n">
        <v>45415</v>
      </c>
      <c r="C144" s="1" t="n">
        <v>45511</v>
      </c>
      <c r="D144" t="inlineStr">
        <is>
          <t>KALMAR LÄN</t>
        </is>
      </c>
      <c r="E144" t="inlineStr">
        <is>
          <t>VÄSTERVIK</t>
        </is>
      </c>
      <c r="G144" t="n">
        <v>3.8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Spillkråka</t>
        </is>
      </c>
      <c r="S144">
        <f>HYPERLINK("https://klasma.github.io/Logging_0883/artfynd/A 17438-2024 artfynd.xlsx", "A 17438-2024")</f>
        <v/>
      </c>
      <c r="T144">
        <f>HYPERLINK("https://klasma.github.io/Logging_0883/kartor/A 17438-2024 karta.png", "A 17438-2024")</f>
        <v/>
      </c>
      <c r="U144">
        <f>HYPERLINK("https://klasma.github.io/Logging_0883/knärot/A 17438-2024 karta knärot.png", "A 17438-2024")</f>
        <v/>
      </c>
      <c r="V144">
        <f>HYPERLINK("https://klasma.github.io/Logging_0883/klagomål/A 17438-2024 FSC-klagomål.docx", "A 17438-2024")</f>
        <v/>
      </c>
      <c r="W144">
        <f>HYPERLINK("https://klasma.github.io/Logging_0883/klagomålsmail/A 17438-2024 FSC-klagomål mail.docx", "A 17438-2024")</f>
        <v/>
      </c>
      <c r="X144">
        <f>HYPERLINK("https://klasma.github.io/Logging_0883/tillsyn/A 17438-2024 tillsynsbegäran.docx", "A 17438-2024")</f>
        <v/>
      </c>
      <c r="Y144">
        <f>HYPERLINK("https://klasma.github.io/Logging_0883/tillsynsmail/A 17438-2024 tillsynsbegäran mail.docx", "A 17438-2024")</f>
        <v/>
      </c>
      <c r="Z144">
        <f>HYPERLINK("https://klasma.github.io/Logging_0883/fåglar/A 17438-2024 prioriterade fågelarter.docx", "A 17438-2024")</f>
        <v/>
      </c>
    </row>
    <row r="145" ht="15" customHeight="1">
      <c r="A145" t="inlineStr">
        <is>
          <t>A 23220-2024</t>
        </is>
      </c>
      <c r="B145" s="1" t="n">
        <v>45452</v>
      </c>
      <c r="C145" s="1" t="n">
        <v>45511</v>
      </c>
      <c r="D145" t="inlineStr">
        <is>
          <t>KALMAR LÄN</t>
        </is>
      </c>
      <c r="E145" t="inlineStr">
        <is>
          <t>VÄSTERVIK</t>
        </is>
      </c>
      <c r="G145" t="n">
        <v>0.9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Grönpyrola</t>
        </is>
      </c>
      <c r="S145">
        <f>HYPERLINK("https://klasma.github.io/Logging_0883/artfynd/A 23220-2024 artfynd.xlsx", "A 23220-2024")</f>
        <v/>
      </c>
      <c r="T145">
        <f>HYPERLINK("https://klasma.github.io/Logging_0883/kartor/A 23220-2024 karta.png", "A 23220-2024")</f>
        <v/>
      </c>
      <c r="V145">
        <f>HYPERLINK("https://klasma.github.io/Logging_0883/klagomål/A 23220-2024 FSC-klagomål.docx", "A 23220-2024")</f>
        <v/>
      </c>
      <c r="W145">
        <f>HYPERLINK("https://klasma.github.io/Logging_0883/klagomålsmail/A 23220-2024 FSC-klagomål mail.docx", "A 23220-2024")</f>
        <v/>
      </c>
      <c r="X145">
        <f>HYPERLINK("https://klasma.github.io/Logging_0883/tillsyn/A 23220-2024 tillsynsbegäran.docx", "A 23220-2024")</f>
        <v/>
      </c>
      <c r="Y145">
        <f>HYPERLINK("https://klasma.github.io/Logging_0883/tillsynsmail/A 23220-2024 tillsynsbegäran mail.docx", "A 23220-2024")</f>
        <v/>
      </c>
    </row>
    <row r="146" ht="15" customHeight="1">
      <c r="A146" t="inlineStr">
        <is>
          <t>A 23791-2024</t>
        </is>
      </c>
      <c r="B146" s="1" t="n">
        <v>45455</v>
      </c>
      <c r="C146" s="1" t="n">
        <v>45511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Tjockfotad fingersvamp</t>
        </is>
      </c>
      <c r="S146">
        <f>HYPERLINK("https://klasma.github.io/Logging_0883/artfynd/A 23791-2024 artfynd.xlsx", "A 23791-2024")</f>
        <v/>
      </c>
      <c r="T146">
        <f>HYPERLINK("https://klasma.github.io/Logging_0883/kartor/A 23791-2024 karta.png", "A 23791-2024")</f>
        <v/>
      </c>
      <c r="U146">
        <f>HYPERLINK("https://klasma.github.io/Logging_0883/knärot/A 23791-2024 karta knärot.png", "A 23791-2024")</f>
        <v/>
      </c>
      <c r="V146">
        <f>HYPERLINK("https://klasma.github.io/Logging_0883/klagomål/A 23791-2024 FSC-klagomål.docx", "A 23791-2024")</f>
        <v/>
      </c>
      <c r="W146">
        <f>HYPERLINK("https://klasma.github.io/Logging_0883/klagomålsmail/A 23791-2024 FSC-klagomål mail.docx", "A 23791-2024")</f>
        <v/>
      </c>
      <c r="X146">
        <f>HYPERLINK("https://klasma.github.io/Logging_0883/tillsyn/A 23791-2024 tillsynsbegäran.docx", "A 23791-2024")</f>
        <v/>
      </c>
      <c r="Y146">
        <f>HYPERLINK("https://klasma.github.io/Logging_0883/tillsynsmail/A 23791-2024 tillsynsbegäran mail.docx", "A 23791-2024")</f>
        <v/>
      </c>
    </row>
    <row r="147" ht="15" customHeight="1">
      <c r="A147" t="inlineStr">
        <is>
          <t>A 27727-2024</t>
        </is>
      </c>
      <c r="B147" s="1" t="n">
        <v>45475</v>
      </c>
      <c r="C147" s="1" t="n">
        <v>45511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9.800000000000001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Blåmossa</t>
        </is>
      </c>
      <c r="S147">
        <f>HYPERLINK("https://klasma.github.io/Logging_0883/artfynd/A 27727-2024 artfynd.xlsx", "A 27727-2024")</f>
        <v/>
      </c>
      <c r="T147">
        <f>HYPERLINK("https://klasma.github.io/Logging_0883/kartor/A 27727-2024 karta.png", "A 27727-2024")</f>
        <v/>
      </c>
      <c r="V147">
        <f>HYPERLINK("https://klasma.github.io/Logging_0883/klagomål/A 27727-2024 FSC-klagomål.docx", "A 27727-2024")</f>
        <v/>
      </c>
      <c r="W147">
        <f>HYPERLINK("https://klasma.github.io/Logging_0883/klagomålsmail/A 27727-2024 FSC-klagomål mail.docx", "A 27727-2024")</f>
        <v/>
      </c>
      <c r="X147">
        <f>HYPERLINK("https://klasma.github.io/Logging_0883/tillsyn/A 27727-2024 tillsynsbegäran.docx", "A 27727-2024")</f>
        <v/>
      </c>
      <c r="Y147">
        <f>HYPERLINK("https://klasma.github.io/Logging_0883/tillsynsmail/A 27727-2024 tillsynsbegäran mail.docx", "A 27727-2024")</f>
        <v/>
      </c>
      <c r="Z147">
        <f>HYPERLINK("https://klasma.github.io/Logging_0883/fåglar/A 27727-2024 prioriterade fågelarter.docx", "A 27727-2024")</f>
        <v/>
      </c>
    </row>
    <row r="148" ht="15" customHeight="1">
      <c r="A148" t="inlineStr">
        <is>
          <t>A 27200-2019</t>
        </is>
      </c>
      <c r="B148" s="1" t="n">
        <v>43614</v>
      </c>
      <c r="C148" s="1" t="n">
        <v>45511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Myskmadra</t>
        </is>
      </c>
      <c r="S148">
        <f>HYPERLINK("https://klasma.github.io/Logging_0883/artfynd/A 27200-2019 artfynd.xlsx", "A 27200-2019")</f>
        <v/>
      </c>
      <c r="T148">
        <f>HYPERLINK("https://klasma.github.io/Logging_0883/kartor/A 27200-2019 karta.png", "A 27200-2019")</f>
        <v/>
      </c>
      <c r="V148">
        <f>HYPERLINK("https://klasma.github.io/Logging_0883/klagomål/A 27200-2019 FSC-klagomål.docx", "A 27200-2019")</f>
        <v/>
      </c>
      <c r="W148">
        <f>HYPERLINK("https://klasma.github.io/Logging_0883/klagomålsmail/A 27200-2019 FSC-klagomål mail.docx", "A 27200-2019")</f>
        <v/>
      </c>
      <c r="X148">
        <f>HYPERLINK("https://klasma.github.io/Logging_0883/tillsyn/A 27200-2019 tillsynsbegäran.docx", "A 27200-2019")</f>
        <v/>
      </c>
      <c r="Y148">
        <f>HYPERLINK("https://klasma.github.io/Logging_0883/tillsynsmail/A 27200-2019 tillsynsbegäran mail.docx", "A 27200-2019")</f>
        <v/>
      </c>
    </row>
    <row r="149" ht="15" customHeight="1">
      <c r="A149" t="inlineStr">
        <is>
          <t>A 27204-2019</t>
        </is>
      </c>
      <c r="B149" s="1" t="n">
        <v>43614</v>
      </c>
      <c r="C149" s="1" t="n">
        <v>45511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12.9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 fjädermossa</t>
        </is>
      </c>
      <c r="S149">
        <f>HYPERLINK("https://klasma.github.io/Logging_0883/artfynd/A 27204-2019 artfynd.xlsx", "A 27204-2019")</f>
        <v/>
      </c>
      <c r="T149">
        <f>HYPERLINK("https://klasma.github.io/Logging_0883/kartor/A 27204-2019 karta.png", "A 27204-2019")</f>
        <v/>
      </c>
      <c r="V149">
        <f>HYPERLINK("https://klasma.github.io/Logging_0883/klagomål/A 27204-2019 FSC-klagomål.docx", "A 27204-2019")</f>
        <v/>
      </c>
      <c r="W149">
        <f>HYPERLINK("https://klasma.github.io/Logging_0883/klagomålsmail/A 27204-2019 FSC-klagomål mail.docx", "A 27204-2019")</f>
        <v/>
      </c>
      <c r="X149">
        <f>HYPERLINK("https://klasma.github.io/Logging_0883/tillsyn/A 27204-2019 tillsynsbegäran.docx", "A 27204-2019")</f>
        <v/>
      </c>
      <c r="Y149">
        <f>HYPERLINK("https://klasma.github.io/Logging_0883/tillsynsmail/A 27204-2019 tillsynsbegäran mail.docx", "A 27204-2019")</f>
        <v/>
      </c>
    </row>
    <row r="150" ht="15" customHeight="1">
      <c r="A150" t="inlineStr">
        <is>
          <t>A 27203-2019</t>
        </is>
      </c>
      <c r="B150" s="1" t="n">
        <v>43614</v>
      </c>
      <c r="C150" s="1" t="n">
        <v>45511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Blomskägglav</t>
        </is>
      </c>
      <c r="S150">
        <f>HYPERLINK("https://klasma.github.io/Logging_0883/artfynd/A 27203-2019 artfynd.xlsx", "A 27203-2019")</f>
        <v/>
      </c>
      <c r="T150">
        <f>HYPERLINK("https://klasma.github.io/Logging_0883/kartor/A 27203-2019 karta.png", "A 27203-2019")</f>
        <v/>
      </c>
      <c r="V150">
        <f>HYPERLINK("https://klasma.github.io/Logging_0883/klagomål/A 27203-2019 FSC-klagomål.docx", "A 27203-2019")</f>
        <v/>
      </c>
      <c r="W150">
        <f>HYPERLINK("https://klasma.github.io/Logging_0883/klagomålsmail/A 27203-2019 FSC-klagomål mail.docx", "A 27203-2019")</f>
        <v/>
      </c>
      <c r="X150">
        <f>HYPERLINK("https://klasma.github.io/Logging_0883/tillsyn/A 27203-2019 tillsynsbegäran.docx", "A 27203-2019")</f>
        <v/>
      </c>
      <c r="Y150">
        <f>HYPERLINK("https://klasma.github.io/Logging_0883/tillsynsmail/A 27203-2019 tillsynsbegäran mail.docx", "A 27203-2019")</f>
        <v/>
      </c>
    </row>
    <row r="151" ht="15" customHeight="1">
      <c r="A151" t="inlineStr">
        <is>
          <t>A 59193-2019</t>
        </is>
      </c>
      <c r="B151" s="1" t="n">
        <v>43775</v>
      </c>
      <c r="C151" s="1" t="n">
        <v>45511</v>
      </c>
      <c r="D151" t="inlineStr">
        <is>
          <t>KALMAR LÄN</t>
        </is>
      </c>
      <c r="E151" t="inlineStr">
        <is>
          <t>VÄSTERVIK</t>
        </is>
      </c>
      <c r="G151" t="n">
        <v>3.8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Åkerkulla</t>
        </is>
      </c>
      <c r="S151">
        <f>HYPERLINK("https://klasma.github.io/Logging_0883/artfynd/A 59193-2019 artfynd.xlsx", "A 59193-2019")</f>
        <v/>
      </c>
      <c r="T151">
        <f>HYPERLINK("https://klasma.github.io/Logging_0883/kartor/A 59193-2019 karta.png", "A 59193-2019")</f>
        <v/>
      </c>
      <c r="V151">
        <f>HYPERLINK("https://klasma.github.io/Logging_0883/klagomål/A 59193-2019 FSC-klagomål.docx", "A 59193-2019")</f>
        <v/>
      </c>
      <c r="W151">
        <f>HYPERLINK("https://klasma.github.io/Logging_0883/klagomålsmail/A 59193-2019 FSC-klagomål mail.docx", "A 59193-2019")</f>
        <v/>
      </c>
      <c r="X151">
        <f>HYPERLINK("https://klasma.github.io/Logging_0883/tillsyn/A 59193-2019 tillsynsbegäran.docx", "A 59193-2019")</f>
        <v/>
      </c>
      <c r="Y151">
        <f>HYPERLINK("https://klasma.github.io/Logging_0883/tillsynsmail/A 59193-2019 tillsynsbegäran mail.docx", "A 59193-2019")</f>
        <v/>
      </c>
    </row>
    <row r="152" ht="15" customHeight="1">
      <c r="A152" t="inlineStr">
        <is>
          <t>A 16608-2020</t>
        </is>
      </c>
      <c r="B152" s="1" t="n">
        <v>43908</v>
      </c>
      <c r="C152" s="1" t="n">
        <v>45511</v>
      </c>
      <c r="D152" t="inlineStr">
        <is>
          <t>KALMAR LÄN</t>
        </is>
      </c>
      <c r="E152" t="inlineStr">
        <is>
          <t>VÄSTERVIK</t>
        </is>
      </c>
      <c r="F152" t="inlineStr">
        <is>
          <t>Övriga Aktiebolag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Skogsklocka</t>
        </is>
      </c>
      <c r="S152">
        <f>HYPERLINK("https://klasma.github.io/Logging_0883/artfynd/A 16608-2020 artfynd.xlsx", "A 16608-2020")</f>
        <v/>
      </c>
      <c r="T152">
        <f>HYPERLINK("https://klasma.github.io/Logging_0883/kartor/A 16608-2020 karta.png", "A 16608-2020")</f>
        <v/>
      </c>
      <c r="V152">
        <f>HYPERLINK("https://klasma.github.io/Logging_0883/klagomål/A 16608-2020 FSC-klagomål.docx", "A 16608-2020")</f>
        <v/>
      </c>
      <c r="W152">
        <f>HYPERLINK("https://klasma.github.io/Logging_0883/klagomålsmail/A 16608-2020 FSC-klagomål mail.docx", "A 16608-2020")</f>
        <v/>
      </c>
      <c r="X152">
        <f>HYPERLINK("https://klasma.github.io/Logging_0883/tillsyn/A 16608-2020 tillsynsbegäran.docx", "A 16608-2020")</f>
        <v/>
      </c>
      <c r="Y152">
        <f>HYPERLINK("https://klasma.github.io/Logging_0883/tillsynsmail/A 16608-2020 tillsynsbegäran mail.docx", "A 16608-2020")</f>
        <v/>
      </c>
    </row>
    <row r="153" ht="15" customHeight="1">
      <c r="A153" t="inlineStr">
        <is>
          <t>A 15357-2020</t>
        </is>
      </c>
      <c r="B153" s="1" t="n">
        <v>43913</v>
      </c>
      <c r="C153" s="1" t="n">
        <v>45511</v>
      </c>
      <c r="D153" t="inlineStr">
        <is>
          <t>KALMAR LÄN</t>
        </is>
      </c>
      <c r="E153" t="inlineStr">
        <is>
          <t>VÄSTERVIK</t>
        </is>
      </c>
      <c r="G153" t="n">
        <v>2.9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15357-2020 artfynd.xlsx", "A 15357-2020")</f>
        <v/>
      </c>
      <c r="T153">
        <f>HYPERLINK("https://klasma.github.io/Logging_0883/kartor/A 15357-2020 karta.png", "A 15357-2020")</f>
        <v/>
      </c>
      <c r="U153">
        <f>HYPERLINK("https://klasma.github.io/Logging_0883/knärot/A 15357-2020 karta knärot.png", "A 15357-2020")</f>
        <v/>
      </c>
      <c r="V153">
        <f>HYPERLINK("https://klasma.github.io/Logging_0883/klagomål/A 15357-2020 FSC-klagomål.docx", "A 15357-2020")</f>
        <v/>
      </c>
      <c r="W153">
        <f>HYPERLINK("https://klasma.github.io/Logging_0883/klagomålsmail/A 15357-2020 FSC-klagomål mail.docx", "A 15357-2020")</f>
        <v/>
      </c>
      <c r="X153">
        <f>HYPERLINK("https://klasma.github.io/Logging_0883/tillsyn/A 15357-2020 tillsynsbegäran.docx", "A 15357-2020")</f>
        <v/>
      </c>
      <c r="Y153">
        <f>HYPERLINK("https://klasma.github.io/Logging_0883/tillsynsmail/A 15357-2020 tillsynsbegäran mail.docx", "A 15357-2020")</f>
        <v/>
      </c>
    </row>
    <row r="154" ht="15" customHeight="1">
      <c r="A154" t="inlineStr">
        <is>
          <t>A 39836-2020</t>
        </is>
      </c>
      <c r="B154" s="1" t="n">
        <v>44064</v>
      </c>
      <c r="C154" s="1" t="n">
        <v>45511</v>
      </c>
      <c r="D154" t="inlineStr">
        <is>
          <t>KALMAR LÄN</t>
        </is>
      </c>
      <c r="E154" t="inlineStr">
        <is>
          <t>VÄSTERVIK</t>
        </is>
      </c>
      <c r="G154" t="n">
        <v>13.4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HYPERLINK("https://klasma.github.io/Logging_0883/artfynd/A 39836-2020 artfynd.xlsx", "A 39836-2020")</f>
        <v/>
      </c>
      <c r="T154">
        <f>HYPERLINK("https://klasma.github.io/Logging_0883/kartor/A 39836-2020 karta.png", "A 39836-2020")</f>
        <v/>
      </c>
      <c r="V154">
        <f>HYPERLINK("https://klasma.github.io/Logging_0883/klagomål/A 39836-2020 FSC-klagomål.docx", "A 39836-2020")</f>
        <v/>
      </c>
      <c r="W154">
        <f>HYPERLINK("https://klasma.github.io/Logging_0883/klagomålsmail/A 39836-2020 FSC-klagomål mail.docx", "A 39836-2020")</f>
        <v/>
      </c>
      <c r="X154">
        <f>HYPERLINK("https://klasma.github.io/Logging_0883/tillsyn/A 39836-2020 tillsynsbegäran.docx", "A 39836-2020")</f>
        <v/>
      </c>
      <c r="Y154">
        <f>HYPERLINK("https://klasma.github.io/Logging_0883/tillsynsmail/A 39836-2020 tillsynsbegäran mail.docx", "A 39836-2020")</f>
        <v/>
      </c>
      <c r="Z154">
        <f>HYPERLINK("https://klasma.github.io/Logging_0883/fåglar/A 39836-2020 prioriterade fågelarter.docx", "A 39836-2020")</f>
        <v/>
      </c>
    </row>
    <row r="155" ht="15" customHeight="1">
      <c r="A155" t="inlineStr">
        <is>
          <t>A 66752-2020</t>
        </is>
      </c>
      <c r="B155" s="1" t="n">
        <v>44175</v>
      </c>
      <c r="C155" s="1" t="n">
        <v>45511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66752-2020 artfynd.xlsx", "A 66752-2020")</f>
        <v/>
      </c>
      <c r="T155">
        <f>HYPERLINK("https://klasma.github.io/Logging_0883/kartor/A 66752-2020 karta.png", "A 66752-2020")</f>
        <v/>
      </c>
      <c r="V155">
        <f>HYPERLINK("https://klasma.github.io/Logging_0883/klagomål/A 66752-2020 FSC-klagomål.docx", "A 66752-2020")</f>
        <v/>
      </c>
      <c r="W155">
        <f>HYPERLINK("https://klasma.github.io/Logging_0883/klagomålsmail/A 66752-2020 FSC-klagomål mail.docx", "A 66752-2020")</f>
        <v/>
      </c>
      <c r="X155">
        <f>HYPERLINK("https://klasma.github.io/Logging_0883/tillsyn/A 66752-2020 tillsynsbegäran.docx", "A 66752-2020")</f>
        <v/>
      </c>
      <c r="Y155">
        <f>HYPERLINK("https://klasma.github.io/Logging_0883/tillsynsmail/A 66752-2020 tillsynsbegäran mail.docx", "A 66752-2020")</f>
        <v/>
      </c>
    </row>
    <row r="156" ht="15" customHeight="1">
      <c r="A156" t="inlineStr">
        <is>
          <t>A 69632-2020</t>
        </is>
      </c>
      <c r="B156" s="1" t="n">
        <v>44195</v>
      </c>
      <c r="C156" s="1" t="n">
        <v>45511</v>
      </c>
      <c r="D156" t="inlineStr">
        <is>
          <t>KALMAR LÄN</t>
        </is>
      </c>
      <c r="E156" t="inlineStr">
        <is>
          <t>VÄSTERVIK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69632-2020 artfynd.xlsx", "A 69632-2020")</f>
        <v/>
      </c>
      <c r="T156">
        <f>HYPERLINK("https://klasma.github.io/Logging_0883/kartor/A 69632-2020 karta.png", "A 69632-2020")</f>
        <v/>
      </c>
      <c r="V156">
        <f>HYPERLINK("https://klasma.github.io/Logging_0883/klagomål/A 69632-2020 FSC-klagomål.docx", "A 69632-2020")</f>
        <v/>
      </c>
      <c r="W156">
        <f>HYPERLINK("https://klasma.github.io/Logging_0883/klagomålsmail/A 69632-2020 FSC-klagomål mail.docx", "A 69632-2020")</f>
        <v/>
      </c>
      <c r="X156">
        <f>HYPERLINK("https://klasma.github.io/Logging_0883/tillsyn/A 69632-2020 tillsynsbegäran.docx", "A 69632-2020")</f>
        <v/>
      </c>
      <c r="Y156">
        <f>HYPERLINK("https://klasma.github.io/Logging_0883/tillsynsmail/A 69632-2020 tillsynsbegäran mail.docx", "A 69632-2020")</f>
        <v/>
      </c>
    </row>
    <row r="157" ht="15" customHeight="1">
      <c r="A157" t="inlineStr">
        <is>
          <t>A 20233-2021</t>
        </is>
      </c>
      <c r="B157" s="1" t="n">
        <v>44314</v>
      </c>
      <c r="C157" s="1" t="n">
        <v>45511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Skogsklocka</t>
        </is>
      </c>
      <c r="S157">
        <f>HYPERLINK("https://klasma.github.io/Logging_0883/artfynd/A 20233-2021 artfynd.xlsx", "A 20233-2021")</f>
        <v/>
      </c>
      <c r="T157">
        <f>HYPERLINK("https://klasma.github.io/Logging_0883/kartor/A 20233-2021 karta.png", "A 20233-2021")</f>
        <v/>
      </c>
      <c r="V157">
        <f>HYPERLINK("https://klasma.github.io/Logging_0883/klagomål/A 20233-2021 FSC-klagomål.docx", "A 20233-2021")</f>
        <v/>
      </c>
      <c r="W157">
        <f>HYPERLINK("https://klasma.github.io/Logging_0883/klagomålsmail/A 20233-2021 FSC-klagomål mail.docx", "A 20233-2021")</f>
        <v/>
      </c>
      <c r="X157">
        <f>HYPERLINK("https://klasma.github.io/Logging_0883/tillsyn/A 20233-2021 tillsynsbegäran.docx", "A 20233-2021")</f>
        <v/>
      </c>
      <c r="Y157">
        <f>HYPERLINK("https://klasma.github.io/Logging_0883/tillsynsmail/A 20233-2021 tillsynsbegäran mail.docx", "A 20233-2021")</f>
        <v/>
      </c>
    </row>
    <row r="158" ht="15" customHeight="1">
      <c r="A158" t="inlineStr">
        <is>
          <t>A 24048-2021</t>
        </is>
      </c>
      <c r="B158" s="1" t="n">
        <v>44336</v>
      </c>
      <c r="C158" s="1" t="n">
        <v>45511</v>
      </c>
      <c r="D158" t="inlineStr">
        <is>
          <t>KALMAR LÄN</t>
        </is>
      </c>
      <c r="E158" t="inlineStr">
        <is>
          <t>VÄSTERVIK</t>
        </is>
      </c>
      <c r="G158" t="n">
        <v>3.5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24048-2021 artfynd.xlsx", "A 24048-2021")</f>
        <v/>
      </c>
      <c r="T158">
        <f>HYPERLINK("https://klasma.github.io/Logging_0883/kartor/A 24048-2021 karta.png", "A 24048-2021")</f>
        <v/>
      </c>
      <c r="U158">
        <f>HYPERLINK("https://klasma.github.io/Logging_0883/knärot/A 24048-2021 karta knärot.png", "A 24048-2021")</f>
        <v/>
      </c>
      <c r="V158">
        <f>HYPERLINK("https://klasma.github.io/Logging_0883/klagomål/A 24048-2021 FSC-klagomål.docx", "A 24048-2021")</f>
        <v/>
      </c>
      <c r="W158">
        <f>HYPERLINK("https://klasma.github.io/Logging_0883/klagomålsmail/A 24048-2021 FSC-klagomål mail.docx", "A 24048-2021")</f>
        <v/>
      </c>
      <c r="X158">
        <f>HYPERLINK("https://klasma.github.io/Logging_0883/tillsyn/A 24048-2021 tillsynsbegäran.docx", "A 24048-2021")</f>
        <v/>
      </c>
      <c r="Y158">
        <f>HYPERLINK("https://klasma.github.io/Logging_0883/tillsynsmail/A 24048-2021 tillsynsbegäran mail.docx", "A 24048-2021")</f>
        <v/>
      </c>
    </row>
    <row r="159" ht="15" customHeight="1">
      <c r="A159" t="inlineStr">
        <is>
          <t>A 25439-2021</t>
        </is>
      </c>
      <c r="B159" s="1" t="n">
        <v>44342</v>
      </c>
      <c r="C159" s="1" t="n">
        <v>45511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2.4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 sköldmossa</t>
        </is>
      </c>
      <c r="S159">
        <f>HYPERLINK("https://klasma.github.io/Logging_0883/artfynd/A 25439-2021 artfynd.xlsx", "A 25439-2021")</f>
        <v/>
      </c>
      <c r="T159">
        <f>HYPERLINK("https://klasma.github.io/Logging_0883/kartor/A 25439-2021 karta.png", "A 25439-2021")</f>
        <v/>
      </c>
      <c r="V159">
        <f>HYPERLINK("https://klasma.github.io/Logging_0883/klagomål/A 25439-2021 FSC-klagomål.docx", "A 25439-2021")</f>
        <v/>
      </c>
      <c r="W159">
        <f>HYPERLINK("https://klasma.github.io/Logging_0883/klagomålsmail/A 25439-2021 FSC-klagomål mail.docx", "A 25439-2021")</f>
        <v/>
      </c>
      <c r="X159">
        <f>HYPERLINK("https://klasma.github.io/Logging_0883/tillsyn/A 25439-2021 tillsynsbegäran.docx", "A 25439-2021")</f>
        <v/>
      </c>
      <c r="Y159">
        <f>HYPERLINK("https://klasma.github.io/Logging_0883/tillsynsmail/A 25439-2021 tillsynsbegäran mail.docx", "A 25439-2021")</f>
        <v/>
      </c>
    </row>
    <row r="160" ht="15" customHeight="1">
      <c r="A160" t="inlineStr">
        <is>
          <t>A 25447-2021</t>
        </is>
      </c>
      <c r="B160" s="1" t="n">
        <v>44342</v>
      </c>
      <c r="C160" s="1" t="n">
        <v>45511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25447-2021 artfynd.xlsx", "A 25447-2021")</f>
        <v/>
      </c>
      <c r="T160">
        <f>HYPERLINK("https://klasma.github.io/Logging_0883/kartor/A 25447-2021 karta.png", "A 25447-2021")</f>
        <v/>
      </c>
      <c r="U160">
        <f>HYPERLINK("https://klasma.github.io/Logging_0883/knärot/A 25447-2021 karta knärot.png", "A 25447-2021")</f>
        <v/>
      </c>
      <c r="V160">
        <f>HYPERLINK("https://klasma.github.io/Logging_0883/klagomål/A 25447-2021 FSC-klagomål.docx", "A 25447-2021")</f>
        <v/>
      </c>
      <c r="W160">
        <f>HYPERLINK("https://klasma.github.io/Logging_0883/klagomålsmail/A 25447-2021 FSC-klagomål mail.docx", "A 25447-2021")</f>
        <v/>
      </c>
      <c r="X160">
        <f>HYPERLINK("https://klasma.github.io/Logging_0883/tillsyn/A 25447-2021 tillsynsbegäran.docx", "A 25447-2021")</f>
        <v/>
      </c>
      <c r="Y160">
        <f>HYPERLINK("https://klasma.github.io/Logging_0883/tillsynsmail/A 25447-2021 tillsynsbegäran mail.docx", "A 25447-2021")</f>
        <v/>
      </c>
    </row>
    <row r="161" ht="15" customHeight="1">
      <c r="A161" t="inlineStr">
        <is>
          <t>A 25594-2021</t>
        </is>
      </c>
      <c r="B161" s="1" t="n">
        <v>44343</v>
      </c>
      <c r="C161" s="1" t="n">
        <v>45511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25594-2021 artfynd.xlsx", "A 25594-2021")</f>
        <v/>
      </c>
      <c r="T161">
        <f>HYPERLINK("https://klasma.github.io/Logging_0883/kartor/A 25594-2021 karta.png", "A 25594-2021")</f>
        <v/>
      </c>
      <c r="U161">
        <f>HYPERLINK("https://klasma.github.io/Logging_0883/knärot/A 25594-2021 karta knärot.png", "A 25594-2021")</f>
        <v/>
      </c>
      <c r="V161">
        <f>HYPERLINK("https://klasma.github.io/Logging_0883/klagomål/A 25594-2021 FSC-klagomål.docx", "A 25594-2021")</f>
        <v/>
      </c>
      <c r="W161">
        <f>HYPERLINK("https://klasma.github.io/Logging_0883/klagomålsmail/A 25594-2021 FSC-klagomål mail.docx", "A 25594-2021")</f>
        <v/>
      </c>
      <c r="X161">
        <f>HYPERLINK("https://klasma.github.io/Logging_0883/tillsyn/A 25594-2021 tillsynsbegäran.docx", "A 25594-2021")</f>
        <v/>
      </c>
      <c r="Y161">
        <f>HYPERLINK("https://klasma.github.io/Logging_0883/tillsynsmail/A 25594-2021 tillsynsbegäran mail.docx", "A 25594-2021")</f>
        <v/>
      </c>
    </row>
    <row r="162" ht="15" customHeight="1">
      <c r="A162" t="inlineStr">
        <is>
          <t>A 29455-2021</t>
        </is>
      </c>
      <c r="B162" s="1" t="n">
        <v>44361</v>
      </c>
      <c r="C162" s="1" t="n">
        <v>45511</v>
      </c>
      <c r="D162" t="inlineStr">
        <is>
          <t>KALMAR LÄN</t>
        </is>
      </c>
      <c r="E162" t="inlineStr">
        <is>
          <t>VÄSTERVIK</t>
        </is>
      </c>
      <c r="F162" t="inlineStr">
        <is>
          <t>Övriga Aktiebolag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29455-2021 artfynd.xlsx", "A 29455-2021")</f>
        <v/>
      </c>
      <c r="T162">
        <f>HYPERLINK("https://klasma.github.io/Logging_0883/kartor/A 29455-2021 karta.png", "A 29455-2021")</f>
        <v/>
      </c>
      <c r="U162">
        <f>HYPERLINK("https://klasma.github.io/Logging_0883/knärot/A 29455-2021 karta knärot.png", "A 29455-2021")</f>
        <v/>
      </c>
      <c r="V162">
        <f>HYPERLINK("https://klasma.github.io/Logging_0883/klagomål/A 29455-2021 FSC-klagomål.docx", "A 29455-2021")</f>
        <v/>
      </c>
      <c r="W162">
        <f>HYPERLINK("https://klasma.github.io/Logging_0883/klagomålsmail/A 29455-2021 FSC-klagomål mail.docx", "A 29455-2021")</f>
        <v/>
      </c>
      <c r="X162">
        <f>HYPERLINK("https://klasma.github.io/Logging_0883/tillsyn/A 29455-2021 tillsynsbegäran.docx", "A 29455-2021")</f>
        <v/>
      </c>
      <c r="Y162">
        <f>HYPERLINK("https://klasma.github.io/Logging_0883/tillsynsmail/A 29455-2021 tillsynsbegäran mail.docx", "A 29455-2021")</f>
        <v/>
      </c>
    </row>
    <row r="163" ht="15" customHeight="1">
      <c r="A163" t="inlineStr">
        <is>
          <t>A 31315-2021</t>
        </is>
      </c>
      <c r="B163" s="1" t="n">
        <v>44368</v>
      </c>
      <c r="C163" s="1" t="n">
        <v>45511</v>
      </c>
      <c r="D163" t="inlineStr">
        <is>
          <t>KALMAR LÄN</t>
        </is>
      </c>
      <c r="E163" t="inlineStr">
        <is>
          <t>VÄSTERVIK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31315-2021 artfynd.xlsx", "A 31315-2021")</f>
        <v/>
      </c>
      <c r="T163">
        <f>HYPERLINK("https://klasma.github.io/Logging_0883/kartor/A 31315-2021 karta.png", "A 31315-2021")</f>
        <v/>
      </c>
      <c r="U163">
        <f>HYPERLINK("https://klasma.github.io/Logging_0883/knärot/A 31315-2021 karta knärot.png", "A 31315-2021")</f>
        <v/>
      </c>
      <c r="V163">
        <f>HYPERLINK("https://klasma.github.io/Logging_0883/klagomål/A 31315-2021 FSC-klagomål.docx", "A 31315-2021")</f>
        <v/>
      </c>
      <c r="W163">
        <f>HYPERLINK("https://klasma.github.io/Logging_0883/klagomålsmail/A 31315-2021 FSC-klagomål mail.docx", "A 31315-2021")</f>
        <v/>
      </c>
      <c r="X163">
        <f>HYPERLINK("https://klasma.github.io/Logging_0883/tillsyn/A 31315-2021 tillsynsbegäran.docx", "A 31315-2021")</f>
        <v/>
      </c>
      <c r="Y163">
        <f>HYPERLINK("https://klasma.github.io/Logging_0883/tillsynsmail/A 31315-2021 tillsynsbegäran mail.docx", "A 31315-2021")</f>
        <v/>
      </c>
    </row>
    <row r="164" ht="15" customHeight="1">
      <c r="A164" t="inlineStr">
        <is>
          <t>A 44635-2021</t>
        </is>
      </c>
      <c r="B164" s="1" t="n">
        <v>44437</v>
      </c>
      <c r="C164" s="1" t="n">
        <v>45511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HYPERLINK("https://klasma.github.io/Logging_0883/artfynd/A 44635-2021 artfynd.xlsx", "A 44635-2021")</f>
        <v/>
      </c>
      <c r="T164">
        <f>HYPERLINK("https://klasma.github.io/Logging_0883/kartor/A 44635-2021 karta.png", "A 44635-2021")</f>
        <v/>
      </c>
      <c r="V164">
        <f>HYPERLINK("https://klasma.github.io/Logging_0883/klagomål/A 44635-2021 FSC-klagomål.docx", "A 44635-2021")</f>
        <v/>
      </c>
      <c r="W164">
        <f>HYPERLINK("https://klasma.github.io/Logging_0883/klagomålsmail/A 44635-2021 FSC-klagomål mail.docx", "A 44635-2021")</f>
        <v/>
      </c>
      <c r="X164">
        <f>HYPERLINK("https://klasma.github.io/Logging_0883/tillsyn/A 44635-2021 tillsynsbegäran.docx", "A 44635-2021")</f>
        <v/>
      </c>
      <c r="Y164">
        <f>HYPERLINK("https://klasma.github.io/Logging_0883/tillsynsmail/A 44635-2021 tillsynsbegäran mail.docx", "A 44635-2021")</f>
        <v/>
      </c>
    </row>
    <row r="165" ht="15" customHeight="1">
      <c r="A165" t="inlineStr">
        <is>
          <t>A 47860-2021</t>
        </is>
      </c>
      <c r="B165" s="1" t="n">
        <v>44448</v>
      </c>
      <c r="C165" s="1" t="n">
        <v>45511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47860-2021 artfynd.xlsx", "A 47860-2021")</f>
        <v/>
      </c>
      <c r="T165">
        <f>HYPERLINK("https://klasma.github.io/Logging_0883/kartor/A 47860-2021 karta.png", "A 47860-2021")</f>
        <v/>
      </c>
      <c r="V165">
        <f>HYPERLINK("https://klasma.github.io/Logging_0883/klagomål/A 47860-2021 FSC-klagomål.docx", "A 47860-2021")</f>
        <v/>
      </c>
      <c r="W165">
        <f>HYPERLINK("https://klasma.github.io/Logging_0883/klagomålsmail/A 47860-2021 FSC-klagomål mail.docx", "A 47860-2021")</f>
        <v/>
      </c>
      <c r="X165">
        <f>HYPERLINK("https://klasma.github.io/Logging_0883/tillsyn/A 47860-2021 tillsynsbegäran.docx", "A 47860-2021")</f>
        <v/>
      </c>
      <c r="Y165">
        <f>HYPERLINK("https://klasma.github.io/Logging_0883/tillsynsmail/A 47860-2021 tillsynsbegäran mail.docx", "A 47860-2021")</f>
        <v/>
      </c>
    </row>
    <row r="166" ht="15" customHeight="1">
      <c r="A166" t="inlineStr">
        <is>
          <t>A 52831-2021</t>
        </is>
      </c>
      <c r="B166" s="1" t="n">
        <v>44467</v>
      </c>
      <c r="C166" s="1" t="n">
        <v>45511</v>
      </c>
      <c r="D166" t="inlineStr">
        <is>
          <t>KALMAR LÄN</t>
        </is>
      </c>
      <c r="E166" t="inlineStr">
        <is>
          <t>VÄSTERVIK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52831-2021 artfynd.xlsx", "A 52831-2021")</f>
        <v/>
      </c>
      <c r="T166">
        <f>HYPERLINK("https://klasma.github.io/Logging_0883/kartor/A 52831-2021 karta.png", "A 52831-2021")</f>
        <v/>
      </c>
      <c r="V166">
        <f>HYPERLINK("https://klasma.github.io/Logging_0883/klagomål/A 52831-2021 FSC-klagomål.docx", "A 52831-2021")</f>
        <v/>
      </c>
      <c r="W166">
        <f>HYPERLINK("https://klasma.github.io/Logging_0883/klagomålsmail/A 52831-2021 FSC-klagomål mail.docx", "A 52831-2021")</f>
        <v/>
      </c>
      <c r="X166">
        <f>HYPERLINK("https://klasma.github.io/Logging_0883/tillsyn/A 52831-2021 tillsynsbegäran.docx", "A 52831-2021")</f>
        <v/>
      </c>
      <c r="Y166">
        <f>HYPERLINK("https://klasma.github.io/Logging_0883/tillsynsmail/A 52831-2021 tillsynsbegäran mail.docx", "A 52831-2021")</f>
        <v/>
      </c>
    </row>
    <row r="167" ht="15" customHeight="1">
      <c r="A167" t="inlineStr">
        <is>
          <t>A 53738-2021</t>
        </is>
      </c>
      <c r="B167" s="1" t="n">
        <v>44467</v>
      </c>
      <c r="C167" s="1" t="n">
        <v>45511</v>
      </c>
      <c r="D167" t="inlineStr">
        <is>
          <t>KALMAR LÄN</t>
        </is>
      </c>
      <c r="E167" t="inlineStr">
        <is>
          <t>VÄSTERVIK</t>
        </is>
      </c>
      <c r="G167" t="n">
        <v>2.8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53738-2021 artfynd.xlsx", "A 53738-2021")</f>
        <v/>
      </c>
      <c r="T167">
        <f>HYPERLINK("https://klasma.github.io/Logging_0883/kartor/A 53738-2021 karta.png", "A 53738-2021")</f>
        <v/>
      </c>
      <c r="U167">
        <f>HYPERLINK("https://klasma.github.io/Logging_0883/knärot/A 53738-2021 karta knärot.png", "A 53738-2021")</f>
        <v/>
      </c>
      <c r="V167">
        <f>HYPERLINK("https://klasma.github.io/Logging_0883/klagomål/A 53738-2021 FSC-klagomål.docx", "A 53738-2021")</f>
        <v/>
      </c>
      <c r="W167">
        <f>HYPERLINK("https://klasma.github.io/Logging_0883/klagomålsmail/A 53738-2021 FSC-klagomål mail.docx", "A 53738-2021")</f>
        <v/>
      </c>
      <c r="X167">
        <f>HYPERLINK("https://klasma.github.io/Logging_0883/tillsyn/A 53738-2021 tillsynsbegäran.docx", "A 53738-2021")</f>
        <v/>
      </c>
      <c r="Y167">
        <f>HYPERLINK("https://klasma.github.io/Logging_0883/tillsynsmail/A 53738-2021 tillsynsbegäran mail.docx", "A 53738-2021")</f>
        <v/>
      </c>
    </row>
    <row r="168" ht="15" customHeight="1">
      <c r="A168" t="inlineStr">
        <is>
          <t>A 56618-2021</t>
        </is>
      </c>
      <c r="B168" s="1" t="n">
        <v>44480</v>
      </c>
      <c r="C168" s="1" t="n">
        <v>45511</v>
      </c>
      <c r="D168" t="inlineStr">
        <is>
          <t>KALMAR LÄN</t>
        </is>
      </c>
      <c r="E168" t="inlineStr">
        <is>
          <t>VÄSTERVIK</t>
        </is>
      </c>
      <c r="G168" t="n">
        <v>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56618-2021 artfynd.xlsx", "A 56618-2021")</f>
        <v/>
      </c>
      <c r="T168">
        <f>HYPERLINK("https://klasma.github.io/Logging_0883/kartor/A 56618-2021 karta.png", "A 56618-2021")</f>
        <v/>
      </c>
      <c r="V168">
        <f>HYPERLINK("https://klasma.github.io/Logging_0883/klagomål/A 56618-2021 FSC-klagomål.docx", "A 56618-2021")</f>
        <v/>
      </c>
      <c r="W168">
        <f>HYPERLINK("https://klasma.github.io/Logging_0883/klagomålsmail/A 56618-2021 FSC-klagomål mail.docx", "A 56618-2021")</f>
        <v/>
      </c>
      <c r="X168">
        <f>HYPERLINK("https://klasma.github.io/Logging_0883/tillsyn/A 56618-2021 tillsynsbegäran.docx", "A 56618-2021")</f>
        <v/>
      </c>
      <c r="Y168">
        <f>HYPERLINK("https://klasma.github.io/Logging_0883/tillsynsmail/A 56618-2021 tillsynsbegäran mail.docx", "A 56618-2021")</f>
        <v/>
      </c>
    </row>
    <row r="169" ht="15" customHeight="1">
      <c r="A169" t="inlineStr">
        <is>
          <t>A 61319-2021</t>
        </is>
      </c>
      <c r="B169" s="1" t="n">
        <v>44498</v>
      </c>
      <c r="C169" s="1" t="n">
        <v>45511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HYPERLINK("https://klasma.github.io/Logging_0883/artfynd/A 61319-2021 artfynd.xlsx", "A 61319-2021")</f>
        <v/>
      </c>
      <c r="T169">
        <f>HYPERLINK("https://klasma.github.io/Logging_0883/kartor/A 61319-2021 karta.png", "A 61319-2021")</f>
        <v/>
      </c>
      <c r="V169">
        <f>HYPERLINK("https://klasma.github.io/Logging_0883/klagomål/A 61319-2021 FSC-klagomål.docx", "A 61319-2021")</f>
        <v/>
      </c>
      <c r="W169">
        <f>HYPERLINK("https://klasma.github.io/Logging_0883/klagomålsmail/A 61319-2021 FSC-klagomål mail.docx", "A 61319-2021")</f>
        <v/>
      </c>
      <c r="X169">
        <f>HYPERLINK("https://klasma.github.io/Logging_0883/tillsyn/A 61319-2021 tillsynsbegäran.docx", "A 61319-2021")</f>
        <v/>
      </c>
      <c r="Y169">
        <f>HYPERLINK("https://klasma.github.io/Logging_0883/tillsynsmail/A 61319-2021 tillsynsbegäran mail.docx", "A 61319-2021")</f>
        <v/>
      </c>
    </row>
    <row r="170" ht="15" customHeight="1">
      <c r="A170" t="inlineStr">
        <is>
          <t>A 1677-2022</t>
        </is>
      </c>
      <c r="B170" s="1" t="n">
        <v>44574</v>
      </c>
      <c r="C170" s="1" t="n">
        <v>45511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1677-2022 artfynd.xlsx", "A 1677-2022")</f>
        <v/>
      </c>
      <c r="T170">
        <f>HYPERLINK("https://klasma.github.io/Logging_0883/kartor/A 1677-2022 karta.png", "A 1677-2022")</f>
        <v/>
      </c>
      <c r="U170">
        <f>HYPERLINK("https://klasma.github.io/Logging_0883/knärot/A 1677-2022 karta knärot.png", "A 1677-2022")</f>
        <v/>
      </c>
      <c r="V170">
        <f>HYPERLINK("https://klasma.github.io/Logging_0883/klagomål/A 1677-2022 FSC-klagomål.docx", "A 1677-2022")</f>
        <v/>
      </c>
      <c r="W170">
        <f>HYPERLINK("https://klasma.github.io/Logging_0883/klagomålsmail/A 1677-2022 FSC-klagomål mail.docx", "A 1677-2022")</f>
        <v/>
      </c>
      <c r="X170">
        <f>HYPERLINK("https://klasma.github.io/Logging_0883/tillsyn/A 1677-2022 tillsynsbegäran.docx", "A 1677-2022")</f>
        <v/>
      </c>
      <c r="Y170">
        <f>HYPERLINK("https://klasma.github.io/Logging_0883/tillsynsmail/A 1677-2022 tillsynsbegäran mail.docx", "A 1677-2022")</f>
        <v/>
      </c>
    </row>
    <row r="171" ht="15" customHeight="1">
      <c r="A171" t="inlineStr">
        <is>
          <t>A 11609-2022</t>
        </is>
      </c>
      <c r="B171" s="1" t="n">
        <v>44631</v>
      </c>
      <c r="C171" s="1" t="n">
        <v>45511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11609-2022 artfynd.xlsx", "A 11609-2022")</f>
        <v/>
      </c>
      <c r="T171">
        <f>HYPERLINK("https://klasma.github.io/Logging_0883/kartor/A 11609-2022 karta.png", "A 11609-2022")</f>
        <v/>
      </c>
      <c r="U171">
        <f>HYPERLINK("https://klasma.github.io/Logging_0883/knärot/A 11609-2022 karta knärot.png", "A 11609-2022")</f>
        <v/>
      </c>
      <c r="V171">
        <f>HYPERLINK("https://klasma.github.io/Logging_0883/klagomål/A 11609-2022 FSC-klagomål.docx", "A 11609-2022")</f>
        <v/>
      </c>
      <c r="W171">
        <f>HYPERLINK("https://klasma.github.io/Logging_0883/klagomålsmail/A 11609-2022 FSC-klagomål mail.docx", "A 11609-2022")</f>
        <v/>
      </c>
      <c r="X171">
        <f>HYPERLINK("https://klasma.github.io/Logging_0883/tillsyn/A 11609-2022 tillsynsbegäran.docx", "A 11609-2022")</f>
        <v/>
      </c>
      <c r="Y171">
        <f>HYPERLINK("https://klasma.github.io/Logging_0883/tillsynsmail/A 11609-2022 tillsynsbegäran mail.docx", "A 11609-2022")</f>
        <v/>
      </c>
    </row>
    <row r="172" ht="15" customHeight="1">
      <c r="A172" t="inlineStr">
        <is>
          <t>A 12662-2022</t>
        </is>
      </c>
      <c r="B172" s="1" t="n">
        <v>44641</v>
      </c>
      <c r="C172" s="1" t="n">
        <v>45511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HYPERLINK("https://klasma.github.io/Logging_0883/artfynd/A 12662-2022 artfynd.xlsx", "A 12662-2022")</f>
        <v/>
      </c>
      <c r="T172">
        <f>HYPERLINK("https://klasma.github.io/Logging_0883/kartor/A 12662-2022 karta.png", "A 12662-2022")</f>
        <v/>
      </c>
      <c r="V172">
        <f>HYPERLINK("https://klasma.github.io/Logging_0883/klagomål/A 12662-2022 FSC-klagomål.docx", "A 12662-2022")</f>
        <v/>
      </c>
      <c r="W172">
        <f>HYPERLINK("https://klasma.github.io/Logging_0883/klagomålsmail/A 12662-2022 FSC-klagomål mail.docx", "A 12662-2022")</f>
        <v/>
      </c>
      <c r="X172">
        <f>HYPERLINK("https://klasma.github.io/Logging_0883/tillsyn/A 12662-2022 tillsynsbegäran.docx", "A 12662-2022")</f>
        <v/>
      </c>
      <c r="Y172">
        <f>HYPERLINK("https://klasma.github.io/Logging_0883/tillsynsmail/A 12662-2022 tillsynsbegäran mail.docx", "A 12662-2022")</f>
        <v/>
      </c>
    </row>
    <row r="173" ht="15" customHeight="1">
      <c r="A173" t="inlineStr">
        <is>
          <t>A 15378-2022</t>
        </is>
      </c>
      <c r="B173" s="1" t="n">
        <v>44659</v>
      </c>
      <c r="C173" s="1" t="n">
        <v>45511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Klofibbla</t>
        </is>
      </c>
      <c r="S173">
        <f>HYPERLINK("https://klasma.github.io/Logging_0883/artfynd/A 15378-2022 artfynd.xlsx", "A 15378-2022")</f>
        <v/>
      </c>
      <c r="T173">
        <f>HYPERLINK("https://klasma.github.io/Logging_0883/kartor/A 15378-2022 karta.png", "A 15378-2022")</f>
        <v/>
      </c>
      <c r="V173">
        <f>HYPERLINK("https://klasma.github.io/Logging_0883/klagomål/A 15378-2022 FSC-klagomål.docx", "A 15378-2022")</f>
        <v/>
      </c>
      <c r="W173">
        <f>HYPERLINK("https://klasma.github.io/Logging_0883/klagomålsmail/A 15378-2022 FSC-klagomål mail.docx", "A 15378-2022")</f>
        <v/>
      </c>
      <c r="X173">
        <f>HYPERLINK("https://klasma.github.io/Logging_0883/tillsyn/A 15378-2022 tillsynsbegäran.docx", "A 15378-2022")</f>
        <v/>
      </c>
      <c r="Y173">
        <f>HYPERLINK("https://klasma.github.io/Logging_0883/tillsynsmail/A 15378-2022 tillsynsbegäran mail.docx", "A 15378-2022")</f>
        <v/>
      </c>
    </row>
    <row r="174" ht="15" customHeight="1">
      <c r="A174" t="inlineStr">
        <is>
          <t>A 19900-2022</t>
        </is>
      </c>
      <c r="B174" s="1" t="n">
        <v>44697</v>
      </c>
      <c r="C174" s="1" t="n">
        <v>45511</v>
      </c>
      <c r="D174" t="inlineStr">
        <is>
          <t>KALMAR LÄN</t>
        </is>
      </c>
      <c r="E174" t="inlineStr">
        <is>
          <t>VÄSTERVIK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19900-2022 artfynd.xlsx", "A 19900-2022")</f>
        <v/>
      </c>
      <c r="T174">
        <f>HYPERLINK("https://klasma.github.io/Logging_0883/kartor/A 19900-2022 karta.png", "A 19900-2022")</f>
        <v/>
      </c>
      <c r="U174">
        <f>HYPERLINK("https://klasma.github.io/Logging_0883/knärot/A 19900-2022 karta knärot.png", "A 19900-2022")</f>
        <v/>
      </c>
      <c r="V174">
        <f>HYPERLINK("https://klasma.github.io/Logging_0883/klagomål/A 19900-2022 FSC-klagomål.docx", "A 19900-2022")</f>
        <v/>
      </c>
      <c r="W174">
        <f>HYPERLINK("https://klasma.github.io/Logging_0883/klagomålsmail/A 19900-2022 FSC-klagomål mail.docx", "A 19900-2022")</f>
        <v/>
      </c>
      <c r="X174">
        <f>HYPERLINK("https://klasma.github.io/Logging_0883/tillsyn/A 19900-2022 tillsynsbegäran.docx", "A 19900-2022")</f>
        <v/>
      </c>
      <c r="Y174">
        <f>HYPERLINK("https://klasma.github.io/Logging_0883/tillsynsmail/A 19900-2022 tillsynsbegäran mail.docx", "A 19900-2022")</f>
        <v/>
      </c>
    </row>
    <row r="175" ht="15" customHeight="1">
      <c r="A175" t="inlineStr">
        <is>
          <t>A 26056-2022</t>
        </is>
      </c>
      <c r="B175" s="1" t="n">
        <v>44734</v>
      </c>
      <c r="C175" s="1" t="n">
        <v>45511</v>
      </c>
      <c r="D175" t="inlineStr">
        <is>
          <t>KALMAR LÄN</t>
        </is>
      </c>
      <c r="E175" t="inlineStr">
        <is>
          <t>VÄSTERVIK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26056-2022 artfynd.xlsx", "A 26056-2022")</f>
        <v/>
      </c>
      <c r="T175">
        <f>HYPERLINK("https://klasma.github.io/Logging_0883/kartor/A 26056-2022 karta.png", "A 26056-2022")</f>
        <v/>
      </c>
      <c r="V175">
        <f>HYPERLINK("https://klasma.github.io/Logging_0883/klagomål/A 26056-2022 FSC-klagomål.docx", "A 26056-2022")</f>
        <v/>
      </c>
      <c r="W175">
        <f>HYPERLINK("https://klasma.github.io/Logging_0883/klagomålsmail/A 26056-2022 FSC-klagomål mail.docx", "A 26056-2022")</f>
        <v/>
      </c>
      <c r="X175">
        <f>HYPERLINK("https://klasma.github.io/Logging_0883/tillsyn/A 26056-2022 tillsynsbegäran.docx", "A 26056-2022")</f>
        <v/>
      </c>
      <c r="Y175">
        <f>HYPERLINK("https://klasma.github.io/Logging_0883/tillsynsmail/A 26056-2022 tillsynsbegäran mail.docx", "A 26056-2022")</f>
        <v/>
      </c>
    </row>
    <row r="176" ht="15" customHeight="1">
      <c r="A176" t="inlineStr">
        <is>
          <t>A 33209-2022</t>
        </is>
      </c>
      <c r="B176" s="1" t="n">
        <v>44785</v>
      </c>
      <c r="C176" s="1" t="n">
        <v>45511</v>
      </c>
      <c r="D176" t="inlineStr">
        <is>
          <t>KALMAR LÄN</t>
        </is>
      </c>
      <c r="E176" t="inlineStr">
        <is>
          <t>VÄSTERVIK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Slåtterfibbla</t>
        </is>
      </c>
      <c r="S176">
        <f>HYPERLINK("https://klasma.github.io/Logging_0883/artfynd/A 33209-2022 artfynd.xlsx", "A 33209-2022")</f>
        <v/>
      </c>
      <c r="T176">
        <f>HYPERLINK("https://klasma.github.io/Logging_0883/kartor/A 33209-2022 karta.png", "A 33209-2022")</f>
        <v/>
      </c>
      <c r="V176">
        <f>HYPERLINK("https://klasma.github.io/Logging_0883/klagomål/A 33209-2022 FSC-klagomål.docx", "A 33209-2022")</f>
        <v/>
      </c>
      <c r="W176">
        <f>HYPERLINK("https://klasma.github.io/Logging_0883/klagomålsmail/A 33209-2022 FSC-klagomål mail.docx", "A 33209-2022")</f>
        <v/>
      </c>
      <c r="X176">
        <f>HYPERLINK("https://klasma.github.io/Logging_0883/tillsyn/A 33209-2022 tillsynsbegäran.docx", "A 33209-2022")</f>
        <v/>
      </c>
      <c r="Y176">
        <f>HYPERLINK("https://klasma.github.io/Logging_0883/tillsynsmail/A 33209-2022 tillsynsbegäran mail.docx", "A 33209-2022")</f>
        <v/>
      </c>
    </row>
    <row r="177" ht="15" customHeight="1">
      <c r="A177" t="inlineStr">
        <is>
          <t>A 40924-2022</t>
        </is>
      </c>
      <c r="B177" s="1" t="n">
        <v>44825</v>
      </c>
      <c r="C177" s="1" t="n">
        <v>45511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HYPERLINK("https://klasma.github.io/Logging_0883/artfynd/A 40924-2022 artfynd.xlsx", "A 40924-2022")</f>
        <v/>
      </c>
      <c r="T177">
        <f>HYPERLINK("https://klasma.github.io/Logging_0883/kartor/A 40924-2022 karta.png", "A 40924-2022")</f>
        <v/>
      </c>
      <c r="V177">
        <f>HYPERLINK("https://klasma.github.io/Logging_0883/klagomål/A 40924-2022 FSC-klagomål.docx", "A 40924-2022")</f>
        <v/>
      </c>
      <c r="W177">
        <f>HYPERLINK("https://klasma.github.io/Logging_0883/klagomålsmail/A 40924-2022 FSC-klagomål mail.docx", "A 40924-2022")</f>
        <v/>
      </c>
      <c r="X177">
        <f>HYPERLINK("https://klasma.github.io/Logging_0883/tillsyn/A 40924-2022 tillsynsbegäran.docx", "A 40924-2022")</f>
        <v/>
      </c>
      <c r="Y177">
        <f>HYPERLINK("https://klasma.github.io/Logging_0883/tillsynsmail/A 40924-2022 tillsynsbegäran mail.docx", "A 40924-2022")</f>
        <v/>
      </c>
    </row>
    <row r="178" ht="15" customHeight="1">
      <c r="A178" t="inlineStr">
        <is>
          <t>A 46559-2022</t>
        </is>
      </c>
      <c r="B178" s="1" t="n">
        <v>44848</v>
      </c>
      <c r="C178" s="1" t="n">
        <v>45511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HYPERLINK("https://klasma.github.io/Logging_0883/artfynd/A 46559-2022 artfynd.xlsx", "A 46559-2022")</f>
        <v/>
      </c>
      <c r="T178">
        <f>HYPERLINK("https://klasma.github.io/Logging_0883/kartor/A 46559-2022 karta.png", "A 46559-2022")</f>
        <v/>
      </c>
      <c r="V178">
        <f>HYPERLINK("https://klasma.github.io/Logging_0883/klagomål/A 46559-2022 FSC-klagomål.docx", "A 46559-2022")</f>
        <v/>
      </c>
      <c r="W178">
        <f>HYPERLINK("https://klasma.github.io/Logging_0883/klagomålsmail/A 46559-2022 FSC-klagomål mail.docx", "A 46559-2022")</f>
        <v/>
      </c>
      <c r="X178">
        <f>HYPERLINK("https://klasma.github.io/Logging_0883/tillsyn/A 46559-2022 tillsynsbegäran.docx", "A 46559-2022")</f>
        <v/>
      </c>
      <c r="Y178">
        <f>HYPERLINK("https://klasma.github.io/Logging_0883/tillsynsmail/A 46559-2022 tillsynsbegäran mail.docx", "A 46559-2022")</f>
        <v/>
      </c>
    </row>
    <row r="179" ht="15" customHeight="1">
      <c r="A179" t="inlineStr">
        <is>
          <t>A 46556-2022</t>
        </is>
      </c>
      <c r="B179" s="1" t="n">
        <v>44848</v>
      </c>
      <c r="C179" s="1" t="n">
        <v>45511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HYPERLINK("https://klasma.github.io/Logging_0883/artfynd/A 46556-2022 artfynd.xlsx", "A 46556-2022")</f>
        <v/>
      </c>
      <c r="T179">
        <f>HYPERLINK("https://klasma.github.io/Logging_0883/kartor/A 46556-2022 karta.png", "A 46556-2022")</f>
        <v/>
      </c>
      <c r="V179">
        <f>HYPERLINK("https://klasma.github.io/Logging_0883/klagomål/A 46556-2022 FSC-klagomål.docx", "A 46556-2022")</f>
        <v/>
      </c>
      <c r="W179">
        <f>HYPERLINK("https://klasma.github.io/Logging_0883/klagomålsmail/A 46556-2022 FSC-klagomål mail.docx", "A 46556-2022")</f>
        <v/>
      </c>
      <c r="X179">
        <f>HYPERLINK("https://klasma.github.io/Logging_0883/tillsyn/A 46556-2022 tillsynsbegäran.docx", "A 46556-2022")</f>
        <v/>
      </c>
      <c r="Y179">
        <f>HYPERLINK("https://klasma.github.io/Logging_0883/tillsynsmail/A 46556-2022 tillsynsbegäran mail.docx", "A 46556-2022")</f>
        <v/>
      </c>
    </row>
    <row r="180" ht="15" customHeight="1">
      <c r="A180" t="inlineStr">
        <is>
          <t>A 51024-2022</t>
        </is>
      </c>
      <c r="B180" s="1" t="n">
        <v>44867</v>
      </c>
      <c r="C180" s="1" t="n">
        <v>45511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7.6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51024-2022 artfynd.xlsx", "A 51024-2022")</f>
        <v/>
      </c>
      <c r="T180">
        <f>HYPERLINK("https://klasma.github.io/Logging_0883/kartor/A 51024-2022 karta.png", "A 51024-2022")</f>
        <v/>
      </c>
      <c r="V180">
        <f>HYPERLINK("https://klasma.github.io/Logging_0883/klagomål/A 51024-2022 FSC-klagomål.docx", "A 51024-2022")</f>
        <v/>
      </c>
      <c r="W180">
        <f>HYPERLINK("https://klasma.github.io/Logging_0883/klagomålsmail/A 51024-2022 FSC-klagomål mail.docx", "A 51024-2022")</f>
        <v/>
      </c>
      <c r="X180">
        <f>HYPERLINK("https://klasma.github.io/Logging_0883/tillsyn/A 51024-2022 tillsynsbegäran.docx", "A 51024-2022")</f>
        <v/>
      </c>
      <c r="Y180">
        <f>HYPERLINK("https://klasma.github.io/Logging_0883/tillsynsmail/A 51024-2022 tillsynsbegäran mail.docx", "A 51024-2022")</f>
        <v/>
      </c>
      <c r="Z180">
        <f>HYPERLINK("https://klasma.github.io/Logging_0883/fåglar/A 51024-2022 prioriterade fågelarter.docx", "A 51024-2022")</f>
        <v/>
      </c>
    </row>
    <row r="181" ht="15" customHeight="1">
      <c r="A181" t="inlineStr">
        <is>
          <t>A 54193-2022</t>
        </is>
      </c>
      <c r="B181" s="1" t="n">
        <v>44881</v>
      </c>
      <c r="C181" s="1" t="n">
        <v>45511</v>
      </c>
      <c r="D181" t="inlineStr">
        <is>
          <t>KALMAR LÄN</t>
        </is>
      </c>
      <c r="E181" t="inlineStr">
        <is>
          <t>VÄSTERVIK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Murgröna</t>
        </is>
      </c>
      <c r="S181">
        <f>HYPERLINK("https://klasma.github.io/Logging_0883/artfynd/A 54193-2022 artfynd.xlsx", "A 54193-2022")</f>
        <v/>
      </c>
      <c r="T181">
        <f>HYPERLINK("https://klasma.github.io/Logging_0883/kartor/A 54193-2022 karta.png", "A 54193-2022")</f>
        <v/>
      </c>
      <c r="U181">
        <f>HYPERLINK("https://klasma.github.io/Logging_0883/knärot/A 54193-2022 karta knärot.png", "A 54193-2022")</f>
        <v/>
      </c>
      <c r="V181">
        <f>HYPERLINK("https://klasma.github.io/Logging_0883/klagomål/A 54193-2022 FSC-klagomål.docx", "A 54193-2022")</f>
        <v/>
      </c>
      <c r="W181">
        <f>HYPERLINK("https://klasma.github.io/Logging_0883/klagomålsmail/A 54193-2022 FSC-klagomål mail.docx", "A 54193-2022")</f>
        <v/>
      </c>
      <c r="X181">
        <f>HYPERLINK("https://klasma.github.io/Logging_0883/tillsyn/A 54193-2022 tillsynsbegäran.docx", "A 54193-2022")</f>
        <v/>
      </c>
      <c r="Y181">
        <f>HYPERLINK("https://klasma.github.io/Logging_0883/tillsynsmail/A 54193-2022 tillsynsbegäran mail.docx", "A 54193-2022")</f>
        <v/>
      </c>
    </row>
    <row r="182" ht="15" customHeight="1">
      <c r="A182" t="inlineStr">
        <is>
          <t>A 59178-2022</t>
        </is>
      </c>
      <c r="B182" s="1" t="n">
        <v>44904</v>
      </c>
      <c r="C182" s="1" t="n">
        <v>45511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59178-2022 artfynd.xlsx", "A 59178-2022")</f>
        <v/>
      </c>
      <c r="T182">
        <f>HYPERLINK("https://klasma.github.io/Logging_0883/kartor/A 59178-2022 karta.png", "A 59178-2022")</f>
        <v/>
      </c>
      <c r="V182">
        <f>HYPERLINK("https://klasma.github.io/Logging_0883/klagomål/A 59178-2022 FSC-klagomål.docx", "A 59178-2022")</f>
        <v/>
      </c>
      <c r="W182">
        <f>HYPERLINK("https://klasma.github.io/Logging_0883/klagomålsmail/A 59178-2022 FSC-klagomål mail.docx", "A 59178-2022")</f>
        <v/>
      </c>
      <c r="X182">
        <f>HYPERLINK("https://klasma.github.io/Logging_0883/tillsyn/A 59178-2022 tillsynsbegäran.docx", "A 59178-2022")</f>
        <v/>
      </c>
      <c r="Y182">
        <f>HYPERLINK("https://klasma.github.io/Logging_0883/tillsynsmail/A 59178-2022 tillsynsbegäran mail.docx", "A 59178-2022")</f>
        <v/>
      </c>
    </row>
    <row r="183" ht="15" customHeight="1">
      <c r="A183" t="inlineStr">
        <is>
          <t>A 59231-2022</t>
        </is>
      </c>
      <c r="B183" s="1" t="n">
        <v>44904</v>
      </c>
      <c r="C183" s="1" t="n">
        <v>45511</v>
      </c>
      <c r="D183" t="inlineStr">
        <is>
          <t>KALMAR LÄN</t>
        </is>
      </c>
      <c r="E183" t="inlineStr">
        <is>
          <t>VÄSTERVIK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59231-2022 artfynd.xlsx", "A 59231-2022")</f>
        <v/>
      </c>
      <c r="T183">
        <f>HYPERLINK("https://klasma.github.io/Logging_0883/kartor/A 59231-2022 karta.png", "A 59231-2022")</f>
        <v/>
      </c>
      <c r="V183">
        <f>HYPERLINK("https://klasma.github.io/Logging_0883/klagomål/A 59231-2022 FSC-klagomål.docx", "A 59231-2022")</f>
        <v/>
      </c>
      <c r="W183">
        <f>HYPERLINK("https://klasma.github.io/Logging_0883/klagomålsmail/A 59231-2022 FSC-klagomål mail.docx", "A 59231-2022")</f>
        <v/>
      </c>
      <c r="X183">
        <f>HYPERLINK("https://klasma.github.io/Logging_0883/tillsyn/A 59231-2022 tillsynsbegäran.docx", "A 59231-2022")</f>
        <v/>
      </c>
      <c r="Y183">
        <f>HYPERLINK("https://klasma.github.io/Logging_0883/tillsynsmail/A 59231-2022 tillsynsbegäran mail.docx", "A 59231-2022")</f>
        <v/>
      </c>
    </row>
    <row r="184" ht="15" customHeight="1">
      <c r="A184" t="inlineStr">
        <is>
          <t>A 804-2023</t>
        </is>
      </c>
      <c r="B184" s="1" t="n">
        <v>44931</v>
      </c>
      <c r="C184" s="1" t="n">
        <v>45511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Violett fingersvamp</t>
        </is>
      </c>
      <c r="S184">
        <f>HYPERLINK("https://klasma.github.io/Logging_0883/artfynd/A 804-2023 artfynd.xlsx", "A 804-2023")</f>
        <v/>
      </c>
      <c r="T184">
        <f>HYPERLINK("https://klasma.github.io/Logging_0883/kartor/A 804-2023 karta.png", "A 804-2023")</f>
        <v/>
      </c>
      <c r="V184">
        <f>HYPERLINK("https://klasma.github.io/Logging_0883/klagomål/A 804-2023 FSC-klagomål.docx", "A 804-2023")</f>
        <v/>
      </c>
      <c r="W184">
        <f>HYPERLINK("https://klasma.github.io/Logging_0883/klagomålsmail/A 804-2023 FSC-klagomål mail.docx", "A 804-2023")</f>
        <v/>
      </c>
      <c r="X184">
        <f>HYPERLINK("https://klasma.github.io/Logging_0883/tillsyn/A 804-2023 tillsynsbegäran.docx", "A 804-2023")</f>
        <v/>
      </c>
      <c r="Y184">
        <f>HYPERLINK("https://klasma.github.io/Logging_0883/tillsynsmail/A 804-2023 tillsynsbegäran mail.docx", "A 804-2023")</f>
        <v/>
      </c>
    </row>
    <row r="185" ht="15" customHeight="1">
      <c r="A185" t="inlineStr">
        <is>
          <t>A 765-2023</t>
        </is>
      </c>
      <c r="B185" s="1" t="n">
        <v>44931</v>
      </c>
      <c r="C185" s="1" t="n">
        <v>45511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Ekticka</t>
        </is>
      </c>
      <c r="S185">
        <f>HYPERLINK("https://klasma.github.io/Logging_0883/artfynd/A 765-2023 artfynd.xlsx", "A 765-2023")</f>
        <v/>
      </c>
      <c r="T185">
        <f>HYPERLINK("https://klasma.github.io/Logging_0883/kartor/A 765-2023 karta.png", "A 765-2023")</f>
        <v/>
      </c>
      <c r="V185">
        <f>HYPERLINK("https://klasma.github.io/Logging_0883/klagomål/A 765-2023 FSC-klagomål.docx", "A 765-2023")</f>
        <v/>
      </c>
      <c r="W185">
        <f>HYPERLINK("https://klasma.github.io/Logging_0883/klagomålsmail/A 765-2023 FSC-klagomål mail.docx", "A 765-2023")</f>
        <v/>
      </c>
      <c r="X185">
        <f>HYPERLINK("https://klasma.github.io/Logging_0883/tillsyn/A 765-2023 tillsynsbegäran.docx", "A 765-2023")</f>
        <v/>
      </c>
      <c r="Y185">
        <f>HYPERLINK("https://klasma.github.io/Logging_0883/tillsynsmail/A 765-2023 tillsynsbegäran mail.docx", "A 765-2023")</f>
        <v/>
      </c>
    </row>
    <row r="186" ht="15" customHeight="1">
      <c r="A186" t="inlineStr">
        <is>
          <t>A 975-2023</t>
        </is>
      </c>
      <c r="B186" s="1" t="n">
        <v>44935</v>
      </c>
      <c r="C186" s="1" t="n">
        <v>45511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Läderbagge</t>
        </is>
      </c>
      <c r="S186">
        <f>HYPERLINK("https://klasma.github.io/Logging_0883/artfynd/A 975-2023 artfynd.xlsx", "A 975-2023")</f>
        <v/>
      </c>
      <c r="T186">
        <f>HYPERLINK("https://klasma.github.io/Logging_0883/kartor/A 975-2023 karta.png", "A 975-2023")</f>
        <v/>
      </c>
      <c r="V186">
        <f>HYPERLINK("https://klasma.github.io/Logging_0883/klagomål/A 975-2023 FSC-klagomål.docx", "A 975-2023")</f>
        <v/>
      </c>
      <c r="W186">
        <f>HYPERLINK("https://klasma.github.io/Logging_0883/klagomålsmail/A 975-2023 FSC-klagomål mail.docx", "A 975-2023")</f>
        <v/>
      </c>
      <c r="X186">
        <f>HYPERLINK("https://klasma.github.io/Logging_0883/tillsyn/A 975-2023 tillsynsbegäran.docx", "A 975-2023")</f>
        <v/>
      </c>
      <c r="Y186">
        <f>HYPERLINK("https://klasma.github.io/Logging_0883/tillsynsmail/A 975-2023 tillsynsbegäran mail.docx", "A 975-2023")</f>
        <v/>
      </c>
    </row>
    <row r="187" ht="15" customHeight="1">
      <c r="A187" t="inlineStr">
        <is>
          <t>A 1024-2023</t>
        </is>
      </c>
      <c r="B187" s="1" t="n">
        <v>44935</v>
      </c>
      <c r="C187" s="1" t="n">
        <v>45511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Ekticka</t>
        </is>
      </c>
      <c r="S187">
        <f>HYPERLINK("https://klasma.github.io/Logging_0883/artfynd/A 1024-2023 artfynd.xlsx", "A 1024-2023")</f>
        <v/>
      </c>
      <c r="T187">
        <f>HYPERLINK("https://klasma.github.io/Logging_0883/kartor/A 1024-2023 karta.png", "A 1024-2023")</f>
        <v/>
      </c>
      <c r="V187">
        <f>HYPERLINK("https://klasma.github.io/Logging_0883/klagomål/A 1024-2023 FSC-klagomål.docx", "A 1024-2023")</f>
        <v/>
      </c>
      <c r="W187">
        <f>HYPERLINK("https://klasma.github.io/Logging_0883/klagomålsmail/A 1024-2023 FSC-klagomål mail.docx", "A 1024-2023")</f>
        <v/>
      </c>
      <c r="X187">
        <f>HYPERLINK("https://klasma.github.io/Logging_0883/tillsyn/A 1024-2023 tillsynsbegäran.docx", "A 1024-2023")</f>
        <v/>
      </c>
      <c r="Y187">
        <f>HYPERLINK("https://klasma.github.io/Logging_0883/tillsynsmail/A 1024-2023 tillsynsbegäran mail.docx", "A 1024-2023")</f>
        <v/>
      </c>
    </row>
    <row r="188" ht="15" customHeight="1">
      <c r="A188" t="inlineStr">
        <is>
          <t>A 11589-2023</t>
        </is>
      </c>
      <c r="B188" s="1" t="n">
        <v>44994</v>
      </c>
      <c r="C188" s="1" t="n">
        <v>45511</v>
      </c>
      <c r="D188" t="inlineStr">
        <is>
          <t>KALMAR LÄN</t>
        </is>
      </c>
      <c r="E188" t="inlineStr">
        <is>
          <t>VÄSTERVIK</t>
        </is>
      </c>
      <c r="G188" t="n">
        <v>7.7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HYPERLINK("https://klasma.github.io/Logging_0883/artfynd/A 11589-2023 artfynd.xlsx", "A 11589-2023")</f>
        <v/>
      </c>
      <c r="T188">
        <f>HYPERLINK("https://klasma.github.io/Logging_0883/kartor/A 11589-2023 karta.png", "A 11589-2023")</f>
        <v/>
      </c>
      <c r="V188">
        <f>HYPERLINK("https://klasma.github.io/Logging_0883/klagomål/A 11589-2023 FSC-klagomål.docx", "A 11589-2023")</f>
        <v/>
      </c>
      <c r="W188">
        <f>HYPERLINK("https://klasma.github.io/Logging_0883/klagomålsmail/A 11589-2023 FSC-klagomål mail.docx", "A 11589-2023")</f>
        <v/>
      </c>
      <c r="X188">
        <f>HYPERLINK("https://klasma.github.io/Logging_0883/tillsyn/A 11589-2023 tillsynsbegäran.docx", "A 11589-2023")</f>
        <v/>
      </c>
      <c r="Y188">
        <f>HYPERLINK("https://klasma.github.io/Logging_0883/tillsynsmail/A 11589-2023 tillsynsbegäran mail.docx", "A 11589-2023")</f>
        <v/>
      </c>
    </row>
    <row r="189" ht="15" customHeight="1">
      <c r="A189" t="inlineStr">
        <is>
          <t>A 11729-2023</t>
        </is>
      </c>
      <c r="B189" s="1" t="n">
        <v>44994</v>
      </c>
      <c r="C189" s="1" t="n">
        <v>45511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Bredbrämad bastardsvärmare</t>
        </is>
      </c>
      <c r="S189">
        <f>HYPERLINK("https://klasma.github.io/Logging_0883/artfynd/A 11729-2023 artfynd.xlsx", "A 11729-2023")</f>
        <v/>
      </c>
      <c r="T189">
        <f>HYPERLINK("https://klasma.github.io/Logging_0883/kartor/A 11729-2023 karta.png", "A 11729-2023")</f>
        <v/>
      </c>
      <c r="V189">
        <f>HYPERLINK("https://klasma.github.io/Logging_0883/klagomål/A 11729-2023 FSC-klagomål.docx", "A 11729-2023")</f>
        <v/>
      </c>
      <c r="W189">
        <f>HYPERLINK("https://klasma.github.io/Logging_0883/klagomålsmail/A 11729-2023 FSC-klagomål mail.docx", "A 11729-2023")</f>
        <v/>
      </c>
      <c r="X189">
        <f>HYPERLINK("https://klasma.github.io/Logging_0883/tillsyn/A 11729-2023 tillsynsbegäran.docx", "A 11729-2023")</f>
        <v/>
      </c>
      <c r="Y189">
        <f>HYPERLINK("https://klasma.github.io/Logging_0883/tillsynsmail/A 11729-2023 tillsynsbegäran mail.docx", "A 11729-2023")</f>
        <v/>
      </c>
    </row>
    <row r="190" ht="15" customHeight="1">
      <c r="A190" t="inlineStr">
        <is>
          <t>A 14720-2023</t>
        </is>
      </c>
      <c r="B190" s="1" t="n">
        <v>45014</v>
      </c>
      <c r="C190" s="1" t="n">
        <v>45511</v>
      </c>
      <c r="D190" t="inlineStr">
        <is>
          <t>KALMAR LÄN</t>
        </is>
      </c>
      <c r="E190" t="inlineStr">
        <is>
          <t>VÄSTERVIK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14720-2023 artfynd.xlsx", "A 14720-2023")</f>
        <v/>
      </c>
      <c r="T190">
        <f>HYPERLINK("https://klasma.github.io/Logging_0883/kartor/A 14720-2023 karta.png", "A 14720-2023")</f>
        <v/>
      </c>
      <c r="U190">
        <f>HYPERLINK("https://klasma.github.io/Logging_0883/knärot/A 14720-2023 karta knärot.png", "A 14720-2023")</f>
        <v/>
      </c>
      <c r="V190">
        <f>HYPERLINK("https://klasma.github.io/Logging_0883/klagomål/A 14720-2023 FSC-klagomål.docx", "A 14720-2023")</f>
        <v/>
      </c>
      <c r="W190">
        <f>HYPERLINK("https://klasma.github.io/Logging_0883/klagomålsmail/A 14720-2023 FSC-klagomål mail.docx", "A 14720-2023")</f>
        <v/>
      </c>
      <c r="X190">
        <f>HYPERLINK("https://klasma.github.io/Logging_0883/tillsyn/A 14720-2023 tillsynsbegäran.docx", "A 14720-2023")</f>
        <v/>
      </c>
      <c r="Y190">
        <f>HYPERLINK("https://klasma.github.io/Logging_0883/tillsynsmail/A 14720-2023 tillsynsbegäran mail.docx", "A 14720-2023")</f>
        <v/>
      </c>
    </row>
    <row r="191" ht="15" customHeight="1">
      <c r="A191" t="inlineStr">
        <is>
          <t>A 21828-2023</t>
        </is>
      </c>
      <c r="B191" s="1" t="n">
        <v>45068</v>
      </c>
      <c r="C191" s="1" t="n">
        <v>45511</v>
      </c>
      <c r="D191" t="inlineStr">
        <is>
          <t>KALMAR LÄN</t>
        </is>
      </c>
      <c r="E191" t="inlineStr">
        <is>
          <t>VÄSTERVIK</t>
        </is>
      </c>
      <c r="G191" t="n">
        <v>0.7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HYPERLINK("https://klasma.github.io/Logging_0883/artfynd/A 21828-2023 artfynd.xlsx", "A 21828-2023")</f>
        <v/>
      </c>
      <c r="T191">
        <f>HYPERLINK("https://klasma.github.io/Logging_0883/kartor/A 21828-2023 karta.png", "A 21828-2023")</f>
        <v/>
      </c>
      <c r="V191">
        <f>HYPERLINK("https://klasma.github.io/Logging_0883/klagomål/A 21828-2023 FSC-klagomål.docx", "A 21828-2023")</f>
        <v/>
      </c>
      <c r="W191">
        <f>HYPERLINK("https://klasma.github.io/Logging_0883/klagomålsmail/A 21828-2023 FSC-klagomål mail.docx", "A 21828-2023")</f>
        <v/>
      </c>
      <c r="X191">
        <f>HYPERLINK("https://klasma.github.io/Logging_0883/tillsyn/A 21828-2023 tillsynsbegäran.docx", "A 21828-2023")</f>
        <v/>
      </c>
      <c r="Y191">
        <f>HYPERLINK("https://klasma.github.io/Logging_0883/tillsynsmail/A 21828-2023 tillsynsbegäran mail.docx", "A 21828-2023")</f>
        <v/>
      </c>
    </row>
    <row r="192" ht="15" customHeight="1">
      <c r="A192" t="inlineStr">
        <is>
          <t>A 25436-2023</t>
        </is>
      </c>
      <c r="B192" s="1" t="n">
        <v>45089</v>
      </c>
      <c r="C192" s="1" t="n">
        <v>45511</v>
      </c>
      <c r="D192" t="inlineStr">
        <is>
          <t>KALMAR LÄN</t>
        </is>
      </c>
      <c r="E192" t="inlineStr">
        <is>
          <t>VÄSTERVIK</t>
        </is>
      </c>
      <c r="G192" t="n">
        <v>1.6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25436-2023 artfynd.xlsx", "A 25436-2023")</f>
        <v/>
      </c>
      <c r="T192">
        <f>HYPERLINK("https://klasma.github.io/Logging_0883/kartor/A 25436-2023 karta.png", "A 25436-2023")</f>
        <v/>
      </c>
      <c r="U192">
        <f>HYPERLINK("https://klasma.github.io/Logging_0883/knärot/A 25436-2023 karta knärot.png", "A 25436-2023")</f>
        <v/>
      </c>
      <c r="V192">
        <f>HYPERLINK("https://klasma.github.io/Logging_0883/klagomål/A 25436-2023 FSC-klagomål.docx", "A 25436-2023")</f>
        <v/>
      </c>
      <c r="W192">
        <f>HYPERLINK("https://klasma.github.io/Logging_0883/klagomålsmail/A 25436-2023 FSC-klagomål mail.docx", "A 25436-2023")</f>
        <v/>
      </c>
      <c r="X192">
        <f>HYPERLINK("https://klasma.github.io/Logging_0883/tillsyn/A 25436-2023 tillsynsbegäran.docx", "A 25436-2023")</f>
        <v/>
      </c>
      <c r="Y192">
        <f>HYPERLINK("https://klasma.github.io/Logging_0883/tillsynsmail/A 25436-2023 tillsynsbegäran mail.docx", "A 25436-2023")</f>
        <v/>
      </c>
    </row>
    <row r="193" ht="15" customHeight="1">
      <c r="A193" t="inlineStr">
        <is>
          <t>A 25433-2023</t>
        </is>
      </c>
      <c r="B193" s="1" t="n">
        <v>45089</v>
      </c>
      <c r="C193" s="1" t="n">
        <v>45511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25433-2023 artfynd.xlsx", "A 25433-2023")</f>
        <v/>
      </c>
      <c r="T193">
        <f>HYPERLINK("https://klasma.github.io/Logging_0883/kartor/A 25433-2023 karta.png", "A 25433-2023")</f>
        <v/>
      </c>
      <c r="U193">
        <f>HYPERLINK("https://klasma.github.io/Logging_0883/knärot/A 25433-2023 karta knärot.png", "A 25433-2023")</f>
        <v/>
      </c>
      <c r="V193">
        <f>HYPERLINK("https://klasma.github.io/Logging_0883/klagomål/A 25433-2023 FSC-klagomål.docx", "A 25433-2023")</f>
        <v/>
      </c>
      <c r="W193">
        <f>HYPERLINK("https://klasma.github.io/Logging_0883/klagomålsmail/A 25433-2023 FSC-klagomål mail.docx", "A 25433-2023")</f>
        <v/>
      </c>
      <c r="X193">
        <f>HYPERLINK("https://klasma.github.io/Logging_0883/tillsyn/A 25433-2023 tillsynsbegäran.docx", "A 25433-2023")</f>
        <v/>
      </c>
      <c r="Y193">
        <f>HYPERLINK("https://klasma.github.io/Logging_0883/tillsynsmail/A 25433-2023 tillsynsbegäran mail.docx", "A 25433-2023")</f>
        <v/>
      </c>
    </row>
    <row r="194" ht="15" customHeight="1">
      <c r="A194" t="inlineStr">
        <is>
          <t>A 25563-2023</t>
        </is>
      </c>
      <c r="B194" s="1" t="n">
        <v>45089</v>
      </c>
      <c r="C194" s="1" t="n">
        <v>45511</v>
      </c>
      <c r="D194" t="inlineStr">
        <is>
          <t>KALMAR LÄN</t>
        </is>
      </c>
      <c r="E194" t="inlineStr">
        <is>
          <t>VÄSTERVIK</t>
        </is>
      </c>
      <c r="G194" t="n">
        <v>1.6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HYPERLINK("https://klasma.github.io/Logging_0883/artfynd/A 25563-2023 artfynd.xlsx", "A 25563-2023")</f>
        <v/>
      </c>
      <c r="T194">
        <f>HYPERLINK("https://klasma.github.io/Logging_0883/kartor/A 25563-2023 karta.png", "A 25563-2023")</f>
        <v/>
      </c>
      <c r="V194">
        <f>HYPERLINK("https://klasma.github.io/Logging_0883/klagomål/A 25563-2023 FSC-klagomål.docx", "A 25563-2023")</f>
        <v/>
      </c>
      <c r="W194">
        <f>HYPERLINK("https://klasma.github.io/Logging_0883/klagomålsmail/A 25563-2023 FSC-klagomål mail.docx", "A 25563-2023")</f>
        <v/>
      </c>
      <c r="X194">
        <f>HYPERLINK("https://klasma.github.io/Logging_0883/tillsyn/A 25563-2023 tillsynsbegäran.docx", "A 25563-2023")</f>
        <v/>
      </c>
      <c r="Y194">
        <f>HYPERLINK("https://klasma.github.io/Logging_0883/tillsynsmail/A 25563-2023 tillsynsbegäran mail.docx", "A 25563-2023")</f>
        <v/>
      </c>
      <c r="Z194">
        <f>HYPERLINK("https://klasma.github.io/Logging_0883/fåglar/A 25563-2023 prioriterade fågelarter.docx", "A 25563-2023")</f>
        <v/>
      </c>
    </row>
    <row r="195" ht="15" customHeight="1">
      <c r="A195" t="inlineStr">
        <is>
          <t>A 26278-2023</t>
        </is>
      </c>
      <c r="B195" s="1" t="n">
        <v>45091</v>
      </c>
      <c r="C195" s="1" t="n">
        <v>45511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26278-2023 artfynd.xlsx", "A 26278-2023")</f>
        <v/>
      </c>
      <c r="T195">
        <f>HYPERLINK("https://klasma.github.io/Logging_0883/kartor/A 26278-2023 karta.png", "A 26278-2023")</f>
        <v/>
      </c>
      <c r="U195">
        <f>HYPERLINK("https://klasma.github.io/Logging_0883/knärot/A 26278-2023 karta knärot.png", "A 26278-2023")</f>
        <v/>
      </c>
      <c r="V195">
        <f>HYPERLINK("https://klasma.github.io/Logging_0883/klagomål/A 26278-2023 FSC-klagomål.docx", "A 26278-2023")</f>
        <v/>
      </c>
      <c r="W195">
        <f>HYPERLINK("https://klasma.github.io/Logging_0883/klagomålsmail/A 26278-2023 FSC-klagomål mail.docx", "A 26278-2023")</f>
        <v/>
      </c>
      <c r="X195">
        <f>HYPERLINK("https://klasma.github.io/Logging_0883/tillsyn/A 26278-2023 tillsynsbegäran.docx", "A 26278-2023")</f>
        <v/>
      </c>
      <c r="Y195">
        <f>HYPERLINK("https://klasma.github.io/Logging_0883/tillsynsmail/A 26278-2023 tillsynsbegäran mail.docx", "A 26278-2023")</f>
        <v/>
      </c>
    </row>
    <row r="196" ht="15" customHeight="1">
      <c r="A196" t="inlineStr">
        <is>
          <t>A 28495-2023</t>
        </is>
      </c>
      <c r="B196" s="1" t="n">
        <v>45103</v>
      </c>
      <c r="C196" s="1" t="n">
        <v>45511</v>
      </c>
      <c r="D196" t="inlineStr">
        <is>
          <t>KALMAR LÄN</t>
        </is>
      </c>
      <c r="E196" t="inlineStr">
        <is>
          <t>VÄSTERVIK</t>
        </is>
      </c>
      <c r="G196" t="n">
        <v>3.1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28495-2023 artfynd.xlsx", "A 28495-2023")</f>
        <v/>
      </c>
      <c r="T196">
        <f>HYPERLINK("https://klasma.github.io/Logging_0883/kartor/A 28495-2023 karta.png", "A 28495-2023")</f>
        <v/>
      </c>
      <c r="U196">
        <f>HYPERLINK("https://klasma.github.io/Logging_0883/knärot/A 28495-2023 karta knärot.png", "A 28495-2023")</f>
        <v/>
      </c>
      <c r="V196">
        <f>HYPERLINK("https://klasma.github.io/Logging_0883/klagomål/A 28495-2023 FSC-klagomål.docx", "A 28495-2023")</f>
        <v/>
      </c>
      <c r="W196">
        <f>HYPERLINK("https://klasma.github.io/Logging_0883/klagomålsmail/A 28495-2023 FSC-klagomål mail.docx", "A 28495-2023")</f>
        <v/>
      </c>
      <c r="X196">
        <f>HYPERLINK("https://klasma.github.io/Logging_0883/tillsyn/A 28495-2023 tillsynsbegäran.docx", "A 28495-2023")</f>
        <v/>
      </c>
      <c r="Y196">
        <f>HYPERLINK("https://klasma.github.io/Logging_0883/tillsynsmail/A 28495-2023 tillsynsbegäran mail.docx", "A 28495-2023")</f>
        <v/>
      </c>
    </row>
    <row r="197" ht="15" customHeight="1">
      <c r="A197" t="inlineStr">
        <is>
          <t>A 32653-2023</t>
        </is>
      </c>
      <c r="B197" s="1" t="n">
        <v>45121</v>
      </c>
      <c r="C197" s="1" t="n">
        <v>45511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32653-2023 artfynd.xlsx", "A 32653-2023")</f>
        <v/>
      </c>
      <c r="T197">
        <f>HYPERLINK("https://klasma.github.io/Logging_0883/kartor/A 32653-2023 karta.png", "A 32653-2023")</f>
        <v/>
      </c>
      <c r="U197">
        <f>HYPERLINK("https://klasma.github.io/Logging_0883/knärot/A 32653-2023 karta knärot.png", "A 32653-2023")</f>
        <v/>
      </c>
      <c r="V197">
        <f>HYPERLINK("https://klasma.github.io/Logging_0883/klagomål/A 32653-2023 FSC-klagomål.docx", "A 32653-2023")</f>
        <v/>
      </c>
      <c r="W197">
        <f>HYPERLINK("https://klasma.github.io/Logging_0883/klagomålsmail/A 32653-2023 FSC-klagomål mail.docx", "A 32653-2023")</f>
        <v/>
      </c>
      <c r="X197">
        <f>HYPERLINK("https://klasma.github.io/Logging_0883/tillsyn/A 32653-2023 tillsynsbegäran.docx", "A 32653-2023")</f>
        <v/>
      </c>
      <c r="Y197">
        <f>HYPERLINK("https://klasma.github.io/Logging_0883/tillsynsmail/A 32653-2023 tillsynsbegäran mail.docx", "A 32653-2023")</f>
        <v/>
      </c>
    </row>
    <row r="198" ht="15" customHeight="1">
      <c r="A198" t="inlineStr">
        <is>
          <t>A 33816-2023</t>
        </is>
      </c>
      <c r="B198" s="1" t="n">
        <v>45133</v>
      </c>
      <c r="C198" s="1" t="n">
        <v>45511</v>
      </c>
      <c r="D198" t="inlineStr">
        <is>
          <t>KALMAR LÄN</t>
        </is>
      </c>
      <c r="E198" t="inlineStr">
        <is>
          <t>VÄSTERVIK</t>
        </is>
      </c>
      <c r="G198" t="n">
        <v>4.9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33816-2023 artfynd.xlsx", "A 33816-2023")</f>
        <v/>
      </c>
      <c r="T198">
        <f>HYPERLINK("https://klasma.github.io/Logging_0883/kartor/A 33816-2023 karta.png", "A 33816-2023")</f>
        <v/>
      </c>
      <c r="V198">
        <f>HYPERLINK("https://klasma.github.io/Logging_0883/klagomål/A 33816-2023 FSC-klagomål.docx", "A 33816-2023")</f>
        <v/>
      </c>
      <c r="W198">
        <f>HYPERLINK("https://klasma.github.io/Logging_0883/klagomålsmail/A 33816-2023 FSC-klagomål mail.docx", "A 33816-2023")</f>
        <v/>
      </c>
      <c r="X198">
        <f>HYPERLINK("https://klasma.github.io/Logging_0883/tillsyn/A 33816-2023 tillsynsbegäran.docx", "A 33816-2023")</f>
        <v/>
      </c>
      <c r="Y198">
        <f>HYPERLINK("https://klasma.github.io/Logging_0883/tillsynsmail/A 33816-2023 tillsynsbegäran mail.docx", "A 33816-2023")</f>
        <v/>
      </c>
    </row>
    <row r="199" ht="15" customHeight="1">
      <c r="A199" t="inlineStr">
        <is>
          <t>A 33815-2023</t>
        </is>
      </c>
      <c r="B199" s="1" t="n">
        <v>45133</v>
      </c>
      <c r="C199" s="1" t="n">
        <v>45511</v>
      </c>
      <c r="D199" t="inlineStr">
        <is>
          <t>KALMAR LÄN</t>
        </is>
      </c>
      <c r="E199" t="inlineStr">
        <is>
          <t>VÄSTERVIK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33815-2023 artfynd.xlsx", "A 33815-2023")</f>
        <v/>
      </c>
      <c r="T199">
        <f>HYPERLINK("https://klasma.github.io/Logging_0883/kartor/A 33815-2023 karta.png", "A 33815-2023")</f>
        <v/>
      </c>
      <c r="V199">
        <f>HYPERLINK("https://klasma.github.io/Logging_0883/klagomål/A 33815-2023 FSC-klagomål.docx", "A 33815-2023")</f>
        <v/>
      </c>
      <c r="W199">
        <f>HYPERLINK("https://klasma.github.io/Logging_0883/klagomålsmail/A 33815-2023 FSC-klagomål mail.docx", "A 33815-2023")</f>
        <v/>
      </c>
      <c r="X199">
        <f>HYPERLINK("https://klasma.github.io/Logging_0883/tillsyn/A 33815-2023 tillsynsbegäran.docx", "A 33815-2023")</f>
        <v/>
      </c>
      <c r="Y199">
        <f>HYPERLINK("https://klasma.github.io/Logging_0883/tillsynsmail/A 33815-2023 tillsynsbegäran mail.docx", "A 33815-2023")</f>
        <v/>
      </c>
    </row>
    <row r="200" ht="15" customHeight="1">
      <c r="A200" t="inlineStr">
        <is>
          <t>A 34563-2023</t>
        </is>
      </c>
      <c r="B200" s="1" t="n">
        <v>45140</v>
      </c>
      <c r="C200" s="1" t="n">
        <v>45511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34563-2023 artfynd.xlsx", "A 34563-2023")</f>
        <v/>
      </c>
      <c r="T200">
        <f>HYPERLINK("https://klasma.github.io/Logging_0883/kartor/A 34563-2023 karta.png", "A 34563-2023")</f>
        <v/>
      </c>
      <c r="U200">
        <f>HYPERLINK("https://klasma.github.io/Logging_0883/knärot/A 34563-2023 karta knärot.png", "A 34563-2023")</f>
        <v/>
      </c>
      <c r="V200">
        <f>HYPERLINK("https://klasma.github.io/Logging_0883/klagomål/A 34563-2023 FSC-klagomål.docx", "A 34563-2023")</f>
        <v/>
      </c>
      <c r="W200">
        <f>HYPERLINK("https://klasma.github.io/Logging_0883/klagomålsmail/A 34563-2023 FSC-klagomål mail.docx", "A 34563-2023")</f>
        <v/>
      </c>
      <c r="X200">
        <f>HYPERLINK("https://klasma.github.io/Logging_0883/tillsyn/A 34563-2023 tillsynsbegäran.docx", "A 34563-2023")</f>
        <v/>
      </c>
      <c r="Y200">
        <f>HYPERLINK("https://klasma.github.io/Logging_0883/tillsynsmail/A 34563-2023 tillsynsbegäran mail.docx", "A 34563-2023")</f>
        <v/>
      </c>
    </row>
    <row r="201" ht="15" customHeight="1">
      <c r="A201" t="inlineStr">
        <is>
          <t>A 36400-2023</t>
        </is>
      </c>
      <c r="B201" s="1" t="n">
        <v>45152</v>
      </c>
      <c r="C201" s="1" t="n">
        <v>45511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HYPERLINK("https://klasma.github.io/Logging_0883/artfynd/A 36400-2023 artfynd.xlsx", "A 36400-2023")</f>
        <v/>
      </c>
      <c r="T201">
        <f>HYPERLINK("https://klasma.github.io/Logging_0883/kartor/A 36400-2023 karta.png", "A 36400-2023")</f>
        <v/>
      </c>
      <c r="U201">
        <f>HYPERLINK("https://klasma.github.io/Logging_0883/knärot/A 36400-2023 karta knärot.png", "A 36400-2023")</f>
        <v/>
      </c>
      <c r="V201">
        <f>HYPERLINK("https://klasma.github.io/Logging_0883/klagomål/A 36400-2023 FSC-klagomål.docx", "A 36400-2023")</f>
        <v/>
      </c>
      <c r="W201">
        <f>HYPERLINK("https://klasma.github.io/Logging_0883/klagomålsmail/A 36400-2023 FSC-klagomål mail.docx", "A 36400-2023")</f>
        <v/>
      </c>
      <c r="X201">
        <f>HYPERLINK("https://klasma.github.io/Logging_0883/tillsyn/A 36400-2023 tillsynsbegäran.docx", "A 36400-2023")</f>
        <v/>
      </c>
      <c r="Y201">
        <f>HYPERLINK("https://klasma.github.io/Logging_0883/tillsynsmail/A 36400-2023 tillsynsbegäran mail.docx", "A 36400-2023")</f>
        <v/>
      </c>
    </row>
    <row r="202" ht="15" customHeight="1">
      <c r="A202" t="inlineStr">
        <is>
          <t>A 43788-2023</t>
        </is>
      </c>
      <c r="B202" s="1" t="n">
        <v>45187</v>
      </c>
      <c r="C202" s="1" t="n">
        <v>45511</v>
      </c>
      <c r="D202" t="inlineStr">
        <is>
          <t>KALMAR LÄN</t>
        </is>
      </c>
      <c r="E202" t="inlineStr">
        <is>
          <t>VÄSTERVIK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HYPERLINK("https://klasma.github.io/Logging_0883/artfynd/A 43788-2023 artfynd.xlsx", "A 43788-2023")</f>
        <v/>
      </c>
      <c r="T202">
        <f>HYPERLINK("https://klasma.github.io/Logging_0883/kartor/A 43788-2023 karta.png", "A 43788-2023")</f>
        <v/>
      </c>
      <c r="V202">
        <f>HYPERLINK("https://klasma.github.io/Logging_0883/klagomål/A 43788-2023 FSC-klagomål.docx", "A 43788-2023")</f>
        <v/>
      </c>
      <c r="W202">
        <f>HYPERLINK("https://klasma.github.io/Logging_0883/klagomålsmail/A 43788-2023 FSC-klagomål mail.docx", "A 43788-2023")</f>
        <v/>
      </c>
      <c r="X202">
        <f>HYPERLINK("https://klasma.github.io/Logging_0883/tillsyn/A 43788-2023 tillsynsbegäran.docx", "A 43788-2023")</f>
        <v/>
      </c>
      <c r="Y202">
        <f>HYPERLINK("https://klasma.github.io/Logging_0883/tillsynsmail/A 43788-2023 tillsynsbegäran mail.docx", "A 43788-2023")</f>
        <v/>
      </c>
    </row>
    <row r="203" ht="15" customHeight="1">
      <c r="A203" t="inlineStr">
        <is>
          <t>A 46722-2023</t>
        </is>
      </c>
      <c r="B203" s="1" t="n">
        <v>45194</v>
      </c>
      <c r="C203" s="1" t="n">
        <v>45511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46722-2023 artfynd.xlsx", "A 46722-2023")</f>
        <v/>
      </c>
      <c r="T203">
        <f>HYPERLINK("https://klasma.github.io/Logging_0883/kartor/A 46722-2023 karta.png", "A 46722-2023")</f>
        <v/>
      </c>
      <c r="U203">
        <f>HYPERLINK("https://klasma.github.io/Logging_0883/knärot/A 46722-2023 karta knärot.png", "A 46722-2023")</f>
        <v/>
      </c>
      <c r="V203">
        <f>HYPERLINK("https://klasma.github.io/Logging_0883/klagomål/A 46722-2023 FSC-klagomål.docx", "A 46722-2023")</f>
        <v/>
      </c>
      <c r="W203">
        <f>HYPERLINK("https://klasma.github.io/Logging_0883/klagomålsmail/A 46722-2023 FSC-klagomål mail.docx", "A 46722-2023")</f>
        <v/>
      </c>
      <c r="X203">
        <f>HYPERLINK("https://klasma.github.io/Logging_0883/tillsyn/A 46722-2023 tillsynsbegäran.docx", "A 46722-2023")</f>
        <v/>
      </c>
      <c r="Y203">
        <f>HYPERLINK("https://klasma.github.io/Logging_0883/tillsynsmail/A 46722-2023 tillsynsbegäran mail.docx", "A 46722-2023")</f>
        <v/>
      </c>
    </row>
    <row r="204" ht="15" customHeight="1">
      <c r="A204" t="inlineStr">
        <is>
          <t>A 47112-2023</t>
        </is>
      </c>
      <c r="B204" s="1" t="n">
        <v>45201</v>
      </c>
      <c r="C204" s="1" t="n">
        <v>45511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47112-2023 artfynd.xlsx", "A 47112-2023")</f>
        <v/>
      </c>
      <c r="T204">
        <f>HYPERLINK("https://klasma.github.io/Logging_0883/kartor/A 47112-2023 karta.png", "A 47112-2023")</f>
        <v/>
      </c>
      <c r="V204">
        <f>HYPERLINK("https://klasma.github.io/Logging_0883/klagomål/A 47112-2023 FSC-klagomål.docx", "A 47112-2023")</f>
        <v/>
      </c>
      <c r="W204">
        <f>HYPERLINK("https://klasma.github.io/Logging_0883/klagomålsmail/A 47112-2023 FSC-klagomål mail.docx", "A 47112-2023")</f>
        <v/>
      </c>
      <c r="X204">
        <f>HYPERLINK("https://klasma.github.io/Logging_0883/tillsyn/A 47112-2023 tillsynsbegäran.docx", "A 47112-2023")</f>
        <v/>
      </c>
      <c r="Y204">
        <f>HYPERLINK("https://klasma.github.io/Logging_0883/tillsynsmail/A 47112-2023 tillsynsbegäran mail.docx", "A 47112-2023")</f>
        <v/>
      </c>
    </row>
    <row r="205" ht="15" customHeight="1">
      <c r="A205" t="inlineStr">
        <is>
          <t>A 49680-2023</t>
        </is>
      </c>
      <c r="B205" s="1" t="n">
        <v>45212</v>
      </c>
      <c r="C205" s="1" t="n">
        <v>45511</v>
      </c>
      <c r="D205" t="inlineStr">
        <is>
          <t>KALMAR LÄN</t>
        </is>
      </c>
      <c r="E205" t="inlineStr">
        <is>
          <t>VÄSTERVIK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49680-2023 artfynd.xlsx", "A 49680-2023")</f>
        <v/>
      </c>
      <c r="T205">
        <f>HYPERLINK("https://klasma.github.io/Logging_0883/kartor/A 49680-2023 karta.png", "A 49680-2023")</f>
        <v/>
      </c>
      <c r="V205">
        <f>HYPERLINK("https://klasma.github.io/Logging_0883/klagomål/A 49680-2023 FSC-klagomål.docx", "A 49680-2023")</f>
        <v/>
      </c>
      <c r="W205">
        <f>HYPERLINK("https://klasma.github.io/Logging_0883/klagomålsmail/A 49680-2023 FSC-klagomål mail.docx", "A 49680-2023")</f>
        <v/>
      </c>
      <c r="X205">
        <f>HYPERLINK("https://klasma.github.io/Logging_0883/tillsyn/A 49680-2023 tillsynsbegäran.docx", "A 49680-2023")</f>
        <v/>
      </c>
      <c r="Y205">
        <f>HYPERLINK("https://klasma.github.io/Logging_0883/tillsynsmail/A 49680-2023 tillsynsbegäran mail.docx", "A 49680-2023")</f>
        <v/>
      </c>
    </row>
    <row r="206" ht="15" customHeight="1">
      <c r="A206" t="inlineStr">
        <is>
          <t>A 54272-2023</t>
        </is>
      </c>
      <c r="B206" s="1" t="n">
        <v>45232</v>
      </c>
      <c r="C206" s="1" t="n">
        <v>45511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Aprikosfingersvamp</t>
        </is>
      </c>
      <c r="S206">
        <f>HYPERLINK("https://klasma.github.io/Logging_0883/artfynd/A 54272-2023 artfynd.xlsx", "A 54272-2023")</f>
        <v/>
      </c>
      <c r="T206">
        <f>HYPERLINK("https://klasma.github.io/Logging_0883/kartor/A 54272-2023 karta.png", "A 54272-2023")</f>
        <v/>
      </c>
      <c r="V206">
        <f>HYPERLINK("https://klasma.github.io/Logging_0883/klagomål/A 54272-2023 FSC-klagomål.docx", "A 54272-2023")</f>
        <v/>
      </c>
      <c r="W206">
        <f>HYPERLINK("https://klasma.github.io/Logging_0883/klagomålsmail/A 54272-2023 FSC-klagomål mail.docx", "A 54272-2023")</f>
        <v/>
      </c>
      <c r="X206">
        <f>HYPERLINK("https://klasma.github.io/Logging_0883/tillsyn/A 54272-2023 tillsynsbegäran.docx", "A 54272-2023")</f>
        <v/>
      </c>
      <c r="Y206">
        <f>HYPERLINK("https://klasma.github.io/Logging_0883/tillsynsmail/A 54272-2023 tillsynsbegäran mail.docx", "A 54272-2023")</f>
        <v/>
      </c>
    </row>
    <row r="207" ht="15" customHeight="1">
      <c r="A207" t="inlineStr">
        <is>
          <t>A 54800-2023</t>
        </is>
      </c>
      <c r="B207" s="1" t="n">
        <v>45236</v>
      </c>
      <c r="C207" s="1" t="n">
        <v>45511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54800-2023 artfynd.xlsx", "A 54800-2023")</f>
        <v/>
      </c>
      <c r="T207">
        <f>HYPERLINK("https://klasma.github.io/Logging_0883/kartor/A 54800-2023 karta.png", "A 54800-2023")</f>
        <v/>
      </c>
      <c r="U207">
        <f>HYPERLINK("https://klasma.github.io/Logging_0883/knärot/A 54800-2023 karta knärot.png", "A 54800-2023")</f>
        <v/>
      </c>
      <c r="V207">
        <f>HYPERLINK("https://klasma.github.io/Logging_0883/klagomål/A 54800-2023 FSC-klagomål.docx", "A 54800-2023")</f>
        <v/>
      </c>
      <c r="W207">
        <f>HYPERLINK("https://klasma.github.io/Logging_0883/klagomålsmail/A 54800-2023 FSC-klagomål mail.docx", "A 54800-2023")</f>
        <v/>
      </c>
      <c r="X207">
        <f>HYPERLINK("https://klasma.github.io/Logging_0883/tillsyn/A 54800-2023 tillsynsbegäran.docx", "A 54800-2023")</f>
        <v/>
      </c>
      <c r="Y207">
        <f>HYPERLINK("https://klasma.github.io/Logging_0883/tillsynsmail/A 54800-2023 tillsynsbegäran mail.docx", "A 54800-2023")</f>
        <v/>
      </c>
    </row>
    <row r="208" ht="15" customHeight="1">
      <c r="A208" t="inlineStr">
        <is>
          <t>A 55575-2023</t>
        </is>
      </c>
      <c r="B208" s="1" t="n">
        <v>45238</v>
      </c>
      <c r="C208" s="1" t="n">
        <v>45511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55575-2023 artfynd.xlsx", "A 55575-2023")</f>
        <v/>
      </c>
      <c r="T208">
        <f>HYPERLINK("https://klasma.github.io/Logging_0883/kartor/A 55575-2023 karta.png", "A 55575-2023")</f>
        <v/>
      </c>
      <c r="U208">
        <f>HYPERLINK("https://klasma.github.io/Logging_0883/knärot/A 55575-2023 karta knärot.png", "A 55575-2023")</f>
        <v/>
      </c>
      <c r="V208">
        <f>HYPERLINK("https://klasma.github.io/Logging_0883/klagomål/A 55575-2023 FSC-klagomål.docx", "A 55575-2023")</f>
        <v/>
      </c>
      <c r="W208">
        <f>HYPERLINK("https://klasma.github.io/Logging_0883/klagomålsmail/A 55575-2023 FSC-klagomål mail.docx", "A 55575-2023")</f>
        <v/>
      </c>
      <c r="X208">
        <f>HYPERLINK("https://klasma.github.io/Logging_0883/tillsyn/A 55575-2023 tillsynsbegäran.docx", "A 55575-2023")</f>
        <v/>
      </c>
      <c r="Y208">
        <f>HYPERLINK("https://klasma.github.io/Logging_0883/tillsynsmail/A 55575-2023 tillsynsbegäran mail.docx", "A 55575-2023")</f>
        <v/>
      </c>
    </row>
    <row r="209" ht="15" customHeight="1">
      <c r="A209" t="inlineStr">
        <is>
          <t>A 56186-2023</t>
        </is>
      </c>
      <c r="B209" s="1" t="n">
        <v>45240</v>
      </c>
      <c r="C209" s="1" t="n">
        <v>45511</v>
      </c>
      <c r="D209" t="inlineStr">
        <is>
          <t>KALMAR LÄN</t>
        </is>
      </c>
      <c r="E209" t="inlineStr">
        <is>
          <t>VÄSTERVIK</t>
        </is>
      </c>
      <c r="G209" t="n">
        <v>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56186-2023 artfynd.xlsx", "A 56186-2023")</f>
        <v/>
      </c>
      <c r="T209">
        <f>HYPERLINK("https://klasma.github.io/Logging_0883/kartor/A 56186-2023 karta.png", "A 56186-2023")</f>
        <v/>
      </c>
      <c r="V209">
        <f>HYPERLINK("https://klasma.github.io/Logging_0883/klagomål/A 56186-2023 FSC-klagomål.docx", "A 56186-2023")</f>
        <v/>
      </c>
      <c r="W209">
        <f>HYPERLINK("https://klasma.github.io/Logging_0883/klagomålsmail/A 56186-2023 FSC-klagomål mail.docx", "A 56186-2023")</f>
        <v/>
      </c>
      <c r="X209">
        <f>HYPERLINK("https://klasma.github.io/Logging_0883/tillsyn/A 56186-2023 tillsynsbegäran.docx", "A 56186-2023")</f>
        <v/>
      </c>
      <c r="Y209">
        <f>HYPERLINK("https://klasma.github.io/Logging_0883/tillsynsmail/A 56186-2023 tillsynsbegäran mail.docx", "A 56186-2023")</f>
        <v/>
      </c>
    </row>
    <row r="210" ht="15" customHeight="1">
      <c r="A210" t="inlineStr">
        <is>
          <t>A 59368-2023</t>
        </is>
      </c>
      <c r="B210" s="1" t="n">
        <v>45253</v>
      </c>
      <c r="C210" s="1" t="n">
        <v>45511</v>
      </c>
      <c r="D210" t="inlineStr">
        <is>
          <t>KALMAR LÄN</t>
        </is>
      </c>
      <c r="E210" t="inlineStr">
        <is>
          <t>VÄSTERVIK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59368-2023 artfynd.xlsx", "A 59368-2023")</f>
        <v/>
      </c>
      <c r="T210">
        <f>HYPERLINK("https://klasma.github.io/Logging_0883/kartor/A 59368-2023 karta.png", "A 59368-2023")</f>
        <v/>
      </c>
      <c r="U210">
        <f>HYPERLINK("https://klasma.github.io/Logging_0883/knärot/A 59368-2023 karta knärot.png", "A 59368-2023")</f>
        <v/>
      </c>
      <c r="V210">
        <f>HYPERLINK("https://klasma.github.io/Logging_0883/klagomål/A 59368-2023 FSC-klagomål.docx", "A 59368-2023")</f>
        <v/>
      </c>
      <c r="W210">
        <f>HYPERLINK("https://klasma.github.io/Logging_0883/klagomålsmail/A 59368-2023 FSC-klagomål mail.docx", "A 59368-2023")</f>
        <v/>
      </c>
      <c r="X210">
        <f>HYPERLINK("https://klasma.github.io/Logging_0883/tillsyn/A 59368-2023 tillsynsbegäran.docx", "A 59368-2023")</f>
        <v/>
      </c>
      <c r="Y210">
        <f>HYPERLINK("https://klasma.github.io/Logging_0883/tillsynsmail/A 59368-2023 tillsynsbegäran mail.docx", "A 59368-2023")</f>
        <v/>
      </c>
    </row>
    <row r="211" ht="15" customHeight="1">
      <c r="A211" t="inlineStr">
        <is>
          <t>A 60633-2023</t>
        </is>
      </c>
      <c r="B211" s="1" t="n">
        <v>45260</v>
      </c>
      <c r="C211" s="1" t="n">
        <v>45511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HYPERLINK("https://klasma.github.io/Logging_0883/artfynd/A 60633-2023 artfynd.xlsx", "A 60633-2023")</f>
        <v/>
      </c>
      <c r="T211">
        <f>HYPERLINK("https://klasma.github.io/Logging_0883/kartor/A 60633-2023 karta.png", "A 60633-2023")</f>
        <v/>
      </c>
      <c r="V211">
        <f>HYPERLINK("https://klasma.github.io/Logging_0883/klagomål/A 60633-2023 FSC-klagomål.docx", "A 60633-2023")</f>
        <v/>
      </c>
      <c r="W211">
        <f>HYPERLINK("https://klasma.github.io/Logging_0883/klagomålsmail/A 60633-2023 FSC-klagomål mail.docx", "A 60633-2023")</f>
        <v/>
      </c>
      <c r="X211">
        <f>HYPERLINK("https://klasma.github.io/Logging_0883/tillsyn/A 60633-2023 tillsynsbegäran.docx", "A 60633-2023")</f>
        <v/>
      </c>
      <c r="Y211">
        <f>HYPERLINK("https://klasma.github.io/Logging_0883/tillsynsmail/A 60633-2023 tillsynsbegäran mail.docx", "A 60633-2023")</f>
        <v/>
      </c>
      <c r="Z211">
        <f>HYPERLINK("https://klasma.github.io/Logging_0883/fåglar/A 60633-2023 prioriterade fågelarter.docx", "A 60633-2023")</f>
        <v/>
      </c>
    </row>
    <row r="212" ht="15" customHeight="1">
      <c r="A212" t="inlineStr">
        <is>
          <t>A 61806-2023</t>
        </is>
      </c>
      <c r="B212" s="1" t="n">
        <v>45266</v>
      </c>
      <c r="C212" s="1" t="n">
        <v>45511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Veckticka</t>
        </is>
      </c>
      <c r="S212">
        <f>HYPERLINK("https://klasma.github.io/Logging_0883/artfynd/A 61806-2023 artfynd.xlsx", "A 61806-2023")</f>
        <v/>
      </c>
      <c r="T212">
        <f>HYPERLINK("https://klasma.github.io/Logging_0883/kartor/A 61806-2023 karta.png", "A 61806-2023")</f>
        <v/>
      </c>
      <c r="V212">
        <f>HYPERLINK("https://klasma.github.io/Logging_0883/klagomål/A 61806-2023 FSC-klagomål.docx", "A 61806-2023")</f>
        <v/>
      </c>
      <c r="W212">
        <f>HYPERLINK("https://klasma.github.io/Logging_0883/klagomålsmail/A 61806-2023 FSC-klagomål mail.docx", "A 61806-2023")</f>
        <v/>
      </c>
      <c r="X212">
        <f>HYPERLINK("https://klasma.github.io/Logging_0883/tillsyn/A 61806-2023 tillsynsbegäran.docx", "A 61806-2023")</f>
        <v/>
      </c>
      <c r="Y212">
        <f>HYPERLINK("https://klasma.github.io/Logging_0883/tillsynsmail/A 61806-2023 tillsynsbegäran mail.docx", "A 61806-2023")</f>
        <v/>
      </c>
    </row>
    <row r="213" ht="15" customHeight="1">
      <c r="A213" t="inlineStr">
        <is>
          <t>A 1176-2024</t>
        </is>
      </c>
      <c r="B213" s="1" t="n">
        <v>45302</v>
      </c>
      <c r="C213" s="1" t="n">
        <v>45511</v>
      </c>
      <c r="D213" t="inlineStr">
        <is>
          <t>KALMAR LÄN</t>
        </is>
      </c>
      <c r="E213" t="inlineStr">
        <is>
          <t>VÄSTERVIK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1176-2024 artfynd.xlsx", "A 1176-2024")</f>
        <v/>
      </c>
      <c r="T213">
        <f>HYPERLINK("https://klasma.github.io/Logging_0883/kartor/A 1176-2024 karta.png", "A 1176-2024")</f>
        <v/>
      </c>
      <c r="V213">
        <f>HYPERLINK("https://klasma.github.io/Logging_0883/klagomål/A 1176-2024 FSC-klagomål.docx", "A 1176-2024")</f>
        <v/>
      </c>
      <c r="W213">
        <f>HYPERLINK("https://klasma.github.io/Logging_0883/klagomålsmail/A 1176-2024 FSC-klagomål mail.docx", "A 1176-2024")</f>
        <v/>
      </c>
      <c r="X213">
        <f>HYPERLINK("https://klasma.github.io/Logging_0883/tillsyn/A 1176-2024 tillsynsbegäran.docx", "A 1176-2024")</f>
        <v/>
      </c>
      <c r="Y213">
        <f>HYPERLINK("https://klasma.github.io/Logging_0883/tillsynsmail/A 1176-2024 tillsynsbegäran mail.docx", "A 1176-2024")</f>
        <v/>
      </c>
    </row>
    <row r="214" ht="15" customHeight="1">
      <c r="A214" t="inlineStr">
        <is>
          <t>A 2804-2024</t>
        </is>
      </c>
      <c r="B214" s="1" t="n">
        <v>45314</v>
      </c>
      <c r="C214" s="1" t="n">
        <v>45511</v>
      </c>
      <c r="D214" t="inlineStr">
        <is>
          <t>KALMAR LÄN</t>
        </is>
      </c>
      <c r="E214" t="inlineStr">
        <is>
          <t>VÄSTERVIK</t>
        </is>
      </c>
      <c r="G214" t="n">
        <v>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2804-2024 artfynd.xlsx", "A 2804-2024")</f>
        <v/>
      </c>
      <c r="T214">
        <f>HYPERLINK("https://klasma.github.io/Logging_0883/kartor/A 2804-2024 karta.png", "A 2804-2024")</f>
        <v/>
      </c>
      <c r="U214">
        <f>HYPERLINK("https://klasma.github.io/Logging_0883/knärot/A 2804-2024 karta knärot.png", "A 2804-2024")</f>
        <v/>
      </c>
      <c r="V214">
        <f>HYPERLINK("https://klasma.github.io/Logging_0883/klagomål/A 2804-2024 FSC-klagomål.docx", "A 2804-2024")</f>
        <v/>
      </c>
      <c r="W214">
        <f>HYPERLINK("https://klasma.github.io/Logging_0883/klagomålsmail/A 2804-2024 FSC-klagomål mail.docx", "A 2804-2024")</f>
        <v/>
      </c>
      <c r="X214">
        <f>HYPERLINK("https://klasma.github.io/Logging_0883/tillsyn/A 2804-2024 tillsynsbegäran.docx", "A 2804-2024")</f>
        <v/>
      </c>
      <c r="Y214">
        <f>HYPERLINK("https://klasma.github.io/Logging_0883/tillsynsmail/A 2804-2024 tillsynsbegäran mail.docx", "A 2804-2024")</f>
        <v/>
      </c>
    </row>
    <row r="215" ht="15" customHeight="1">
      <c r="A215" t="inlineStr">
        <is>
          <t>A 6025-2024</t>
        </is>
      </c>
      <c r="B215" s="1" t="n">
        <v>45336</v>
      </c>
      <c r="C215" s="1" t="n">
        <v>45511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6025-2024 artfynd.xlsx", "A 6025-2024")</f>
        <v/>
      </c>
      <c r="T215">
        <f>HYPERLINK("https://klasma.github.io/Logging_0883/kartor/A 6025-2024 karta.png", "A 6025-2024")</f>
        <v/>
      </c>
      <c r="V215">
        <f>HYPERLINK("https://klasma.github.io/Logging_0883/klagomål/A 6025-2024 FSC-klagomål.docx", "A 6025-2024")</f>
        <v/>
      </c>
      <c r="W215">
        <f>HYPERLINK("https://klasma.github.io/Logging_0883/klagomålsmail/A 6025-2024 FSC-klagomål mail.docx", "A 6025-2024")</f>
        <v/>
      </c>
      <c r="X215">
        <f>HYPERLINK("https://klasma.github.io/Logging_0883/tillsyn/A 6025-2024 tillsynsbegäran.docx", "A 6025-2024")</f>
        <v/>
      </c>
      <c r="Y215">
        <f>HYPERLINK("https://klasma.github.io/Logging_0883/tillsynsmail/A 6025-2024 tillsynsbegäran mail.docx", "A 6025-2024")</f>
        <v/>
      </c>
    </row>
    <row r="216" ht="15" customHeight="1">
      <c r="A216" t="inlineStr">
        <is>
          <t>A 11165-2024</t>
        </is>
      </c>
      <c r="B216" s="1" t="n">
        <v>45371</v>
      </c>
      <c r="C216" s="1" t="n">
        <v>45511</v>
      </c>
      <c r="D216" t="inlineStr">
        <is>
          <t>KALMAR LÄN</t>
        </is>
      </c>
      <c r="E216" t="inlineStr">
        <is>
          <t>VÄSTERVIK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HYPERLINK("https://klasma.github.io/Logging_0883/artfynd/A 11165-2024 artfynd.xlsx", "A 11165-2024")</f>
        <v/>
      </c>
      <c r="T216">
        <f>HYPERLINK("https://klasma.github.io/Logging_0883/kartor/A 11165-2024 karta.png", "A 11165-2024")</f>
        <v/>
      </c>
      <c r="V216">
        <f>HYPERLINK("https://klasma.github.io/Logging_0883/klagomål/A 11165-2024 FSC-klagomål.docx", "A 11165-2024")</f>
        <v/>
      </c>
      <c r="W216">
        <f>HYPERLINK("https://klasma.github.io/Logging_0883/klagomålsmail/A 11165-2024 FSC-klagomål mail.docx", "A 11165-2024")</f>
        <v/>
      </c>
      <c r="X216">
        <f>HYPERLINK("https://klasma.github.io/Logging_0883/tillsyn/A 11165-2024 tillsynsbegäran.docx", "A 11165-2024")</f>
        <v/>
      </c>
      <c r="Y216">
        <f>HYPERLINK("https://klasma.github.io/Logging_0883/tillsynsmail/A 11165-2024 tillsynsbegäran mail.docx", "A 11165-2024")</f>
        <v/>
      </c>
      <c r="Z216">
        <f>HYPERLINK("https://klasma.github.io/Logging_0883/fåglar/A 11165-2024 prioriterade fågelarter.docx", "A 11165-2024")</f>
        <v/>
      </c>
    </row>
    <row r="217" ht="15" customHeight="1">
      <c r="A217" t="inlineStr">
        <is>
          <t>A 11195-2024</t>
        </is>
      </c>
      <c r="B217" s="1" t="n">
        <v>45371</v>
      </c>
      <c r="C217" s="1" t="n">
        <v>45511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11195-2024 artfynd.xlsx", "A 11195-2024")</f>
        <v/>
      </c>
      <c r="T217">
        <f>HYPERLINK("https://klasma.github.io/Logging_0883/kartor/A 11195-2024 karta.png", "A 11195-2024")</f>
        <v/>
      </c>
      <c r="U217">
        <f>HYPERLINK("https://klasma.github.io/Logging_0883/knärot/A 11195-2024 karta knärot.png", "A 11195-2024")</f>
        <v/>
      </c>
      <c r="V217">
        <f>HYPERLINK("https://klasma.github.io/Logging_0883/klagomål/A 11195-2024 FSC-klagomål.docx", "A 11195-2024")</f>
        <v/>
      </c>
      <c r="W217">
        <f>HYPERLINK("https://klasma.github.io/Logging_0883/klagomålsmail/A 11195-2024 FSC-klagomål mail.docx", "A 11195-2024")</f>
        <v/>
      </c>
      <c r="X217">
        <f>HYPERLINK("https://klasma.github.io/Logging_0883/tillsyn/A 11195-2024 tillsynsbegäran.docx", "A 11195-2024")</f>
        <v/>
      </c>
      <c r="Y217">
        <f>HYPERLINK("https://klasma.github.io/Logging_0883/tillsynsmail/A 11195-2024 tillsynsbegäran mail.docx", "A 11195-2024")</f>
        <v/>
      </c>
    </row>
    <row r="218" ht="15" customHeight="1">
      <c r="A218" t="inlineStr">
        <is>
          <t>A 13745-2024</t>
        </is>
      </c>
      <c r="B218" s="1" t="n">
        <v>45390</v>
      </c>
      <c r="C218" s="1" t="n">
        <v>45511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13745-2024 artfynd.xlsx", "A 13745-2024")</f>
        <v/>
      </c>
      <c r="T218">
        <f>HYPERLINK("https://klasma.github.io/Logging_0883/kartor/A 13745-2024 karta.png", "A 13745-2024")</f>
        <v/>
      </c>
      <c r="U218">
        <f>HYPERLINK("https://klasma.github.io/Logging_0883/knärot/A 13745-2024 karta knärot.png", "A 13745-2024")</f>
        <v/>
      </c>
      <c r="V218">
        <f>HYPERLINK("https://klasma.github.io/Logging_0883/klagomål/A 13745-2024 FSC-klagomål.docx", "A 13745-2024")</f>
        <v/>
      </c>
      <c r="W218">
        <f>HYPERLINK("https://klasma.github.io/Logging_0883/klagomålsmail/A 13745-2024 FSC-klagomål mail.docx", "A 13745-2024")</f>
        <v/>
      </c>
      <c r="X218">
        <f>HYPERLINK("https://klasma.github.io/Logging_0883/tillsyn/A 13745-2024 tillsynsbegäran.docx", "A 13745-2024")</f>
        <v/>
      </c>
      <c r="Y218">
        <f>HYPERLINK("https://klasma.github.io/Logging_0883/tillsynsmail/A 13745-2024 tillsynsbegäran mail.docx", "A 13745-2024")</f>
        <v/>
      </c>
      <c r="Z218">
        <f>HYPERLINK("https://klasma.github.io/Logging_0883/fåglar/A 13745-2024 prioriterade fågelarter.docx", "A 13745-2024")</f>
        <v/>
      </c>
    </row>
    <row r="219" ht="15" customHeight="1">
      <c r="A219" t="inlineStr">
        <is>
          <t>A 14231-2024</t>
        </is>
      </c>
      <c r="B219" s="1" t="n">
        <v>45393</v>
      </c>
      <c r="C219" s="1" t="n">
        <v>45511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14231-2024 artfynd.xlsx", "A 14231-2024")</f>
        <v/>
      </c>
      <c r="T219">
        <f>HYPERLINK("https://klasma.github.io/Logging_0883/kartor/A 14231-2024 karta.png", "A 14231-2024")</f>
        <v/>
      </c>
      <c r="U219">
        <f>HYPERLINK("https://klasma.github.io/Logging_0883/knärot/A 14231-2024 karta knärot.png", "A 14231-2024")</f>
        <v/>
      </c>
      <c r="V219">
        <f>HYPERLINK("https://klasma.github.io/Logging_0883/klagomål/A 14231-2024 FSC-klagomål.docx", "A 14231-2024")</f>
        <v/>
      </c>
      <c r="W219">
        <f>HYPERLINK("https://klasma.github.io/Logging_0883/klagomålsmail/A 14231-2024 FSC-klagomål mail.docx", "A 14231-2024")</f>
        <v/>
      </c>
      <c r="X219">
        <f>HYPERLINK("https://klasma.github.io/Logging_0883/tillsyn/A 14231-2024 tillsynsbegäran.docx", "A 14231-2024")</f>
        <v/>
      </c>
      <c r="Y219">
        <f>HYPERLINK("https://klasma.github.io/Logging_0883/tillsynsmail/A 14231-2024 tillsynsbegäran mail.docx", "A 14231-2024")</f>
        <v/>
      </c>
    </row>
    <row r="220" ht="15" customHeight="1">
      <c r="A220" t="inlineStr">
        <is>
          <t>A 16011-2024</t>
        </is>
      </c>
      <c r="B220" s="1" t="n">
        <v>45405</v>
      </c>
      <c r="C220" s="1" t="n">
        <v>45511</v>
      </c>
      <c r="D220" t="inlineStr">
        <is>
          <t>KALMAR LÄN</t>
        </is>
      </c>
      <c r="E220" t="inlineStr">
        <is>
          <t>VÄSTERVIK</t>
        </is>
      </c>
      <c r="G220" t="n">
        <v>7.8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Lopplummer</t>
        </is>
      </c>
      <c r="S220">
        <f>HYPERLINK("https://klasma.github.io/Logging_0883/artfynd/A 16011-2024 artfynd.xlsx", "A 16011-2024")</f>
        <v/>
      </c>
      <c r="T220">
        <f>HYPERLINK("https://klasma.github.io/Logging_0883/kartor/A 16011-2024 karta.png", "A 16011-2024")</f>
        <v/>
      </c>
      <c r="V220">
        <f>HYPERLINK("https://klasma.github.io/Logging_0883/klagomål/A 16011-2024 FSC-klagomål.docx", "A 16011-2024")</f>
        <v/>
      </c>
      <c r="W220">
        <f>HYPERLINK("https://klasma.github.io/Logging_0883/klagomålsmail/A 16011-2024 FSC-klagomål mail.docx", "A 16011-2024")</f>
        <v/>
      </c>
      <c r="X220">
        <f>HYPERLINK("https://klasma.github.io/Logging_0883/tillsyn/A 16011-2024 tillsynsbegäran.docx", "A 16011-2024")</f>
        <v/>
      </c>
      <c r="Y220">
        <f>HYPERLINK("https://klasma.github.io/Logging_0883/tillsynsmail/A 16011-2024 tillsynsbegäran mail.docx", "A 16011-2024")</f>
        <v/>
      </c>
    </row>
    <row r="221" ht="15" customHeight="1">
      <c r="A221" t="inlineStr">
        <is>
          <t>A 16406-2024</t>
        </is>
      </c>
      <c r="B221" s="1" t="n">
        <v>45407</v>
      </c>
      <c r="C221" s="1" t="n">
        <v>45511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HYPERLINK("https://klasma.github.io/Logging_0883/artfynd/A 16406-2024 artfynd.xlsx", "A 16406-2024")</f>
        <v/>
      </c>
      <c r="T221">
        <f>HYPERLINK("https://klasma.github.io/Logging_0883/kartor/A 16406-2024 karta.png", "A 16406-2024")</f>
        <v/>
      </c>
      <c r="V221">
        <f>HYPERLINK("https://klasma.github.io/Logging_0883/klagomål/A 16406-2024 FSC-klagomål.docx", "A 16406-2024")</f>
        <v/>
      </c>
      <c r="W221">
        <f>HYPERLINK("https://klasma.github.io/Logging_0883/klagomålsmail/A 16406-2024 FSC-klagomål mail.docx", "A 16406-2024")</f>
        <v/>
      </c>
      <c r="X221">
        <f>HYPERLINK("https://klasma.github.io/Logging_0883/tillsyn/A 16406-2024 tillsynsbegäran.docx", "A 16406-2024")</f>
        <v/>
      </c>
      <c r="Y221">
        <f>HYPERLINK("https://klasma.github.io/Logging_0883/tillsynsmail/A 16406-2024 tillsynsbegäran mail.docx", "A 16406-2024")</f>
        <v/>
      </c>
    </row>
    <row r="222" ht="15" customHeight="1">
      <c r="A222" t="inlineStr">
        <is>
          <t>A 17424-2024</t>
        </is>
      </c>
      <c r="B222" s="1" t="n">
        <v>45415</v>
      </c>
      <c r="C222" s="1" t="n">
        <v>45511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HYPERLINK("https://klasma.github.io/Logging_0883/artfynd/A 17424-2024 artfynd.xlsx", "A 17424-2024")</f>
        <v/>
      </c>
      <c r="T222">
        <f>HYPERLINK("https://klasma.github.io/Logging_0883/kartor/A 17424-2024 karta.png", "A 17424-2024")</f>
        <v/>
      </c>
      <c r="V222">
        <f>HYPERLINK("https://klasma.github.io/Logging_0883/klagomål/A 17424-2024 FSC-klagomål.docx", "A 17424-2024")</f>
        <v/>
      </c>
      <c r="W222">
        <f>HYPERLINK("https://klasma.github.io/Logging_0883/klagomålsmail/A 17424-2024 FSC-klagomål mail.docx", "A 17424-2024")</f>
        <v/>
      </c>
      <c r="X222">
        <f>HYPERLINK("https://klasma.github.io/Logging_0883/tillsyn/A 17424-2024 tillsynsbegäran.docx", "A 17424-2024")</f>
        <v/>
      </c>
      <c r="Y222">
        <f>HYPERLINK("https://klasma.github.io/Logging_0883/tillsynsmail/A 17424-2024 tillsynsbegäran mail.docx", "A 17424-2024")</f>
        <v/>
      </c>
    </row>
    <row r="223" ht="15" customHeight="1">
      <c r="A223" t="inlineStr">
        <is>
          <t>A 18396-2024</t>
        </is>
      </c>
      <c r="B223" s="1" t="n">
        <v>45425</v>
      </c>
      <c r="C223" s="1" t="n">
        <v>45511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18396-2024 artfynd.xlsx", "A 18396-2024")</f>
        <v/>
      </c>
      <c r="T223">
        <f>HYPERLINK("https://klasma.github.io/Logging_0883/kartor/A 18396-2024 karta.png", "A 18396-2024")</f>
        <v/>
      </c>
      <c r="V223">
        <f>HYPERLINK("https://klasma.github.io/Logging_0883/klagomål/A 18396-2024 FSC-klagomål.docx", "A 18396-2024")</f>
        <v/>
      </c>
      <c r="W223">
        <f>HYPERLINK("https://klasma.github.io/Logging_0883/klagomålsmail/A 18396-2024 FSC-klagomål mail.docx", "A 18396-2024")</f>
        <v/>
      </c>
      <c r="X223">
        <f>HYPERLINK("https://klasma.github.io/Logging_0883/tillsyn/A 18396-2024 tillsynsbegäran.docx", "A 18396-2024")</f>
        <v/>
      </c>
      <c r="Y223">
        <f>HYPERLINK("https://klasma.github.io/Logging_0883/tillsynsmail/A 18396-2024 tillsynsbegäran mail.docx", "A 18396-2024")</f>
        <v/>
      </c>
    </row>
    <row r="224" ht="15" customHeight="1">
      <c r="A224" t="inlineStr">
        <is>
          <t>A 22885-2024</t>
        </is>
      </c>
      <c r="B224" s="1" t="n">
        <v>45448</v>
      </c>
      <c r="C224" s="1" t="n">
        <v>45511</v>
      </c>
      <c r="D224" t="inlineStr">
        <is>
          <t>KALMAR LÄN</t>
        </is>
      </c>
      <c r="E224" t="inlineStr">
        <is>
          <t>VÄSTERVIK</t>
        </is>
      </c>
      <c r="G224" t="n">
        <v>7.1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22885-2024 artfynd.xlsx", "A 22885-2024")</f>
        <v/>
      </c>
      <c r="T224">
        <f>HYPERLINK("https://klasma.github.io/Logging_0883/kartor/A 22885-2024 karta.png", "A 22885-2024")</f>
        <v/>
      </c>
      <c r="V224">
        <f>HYPERLINK("https://klasma.github.io/Logging_0883/klagomål/A 22885-2024 FSC-klagomål.docx", "A 22885-2024")</f>
        <v/>
      </c>
      <c r="W224">
        <f>HYPERLINK("https://klasma.github.io/Logging_0883/klagomålsmail/A 22885-2024 FSC-klagomål mail.docx", "A 22885-2024")</f>
        <v/>
      </c>
      <c r="X224">
        <f>HYPERLINK("https://klasma.github.io/Logging_0883/tillsyn/A 22885-2024 tillsynsbegäran.docx", "A 22885-2024")</f>
        <v/>
      </c>
      <c r="Y224">
        <f>HYPERLINK("https://klasma.github.io/Logging_0883/tillsynsmail/A 22885-2024 tillsynsbegäran mail.docx", "A 22885-2024")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45511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45511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45511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45511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45511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45511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45511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45511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45511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45511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45511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45511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45511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45511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45511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45511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45511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45511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45511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45511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45511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45511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45511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45511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45511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45511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45511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45511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45511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45511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45511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45511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45511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45511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45511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45511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45511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45511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45511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45511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45511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45511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45511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45511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45511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45511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45511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45511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45511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45511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45511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45511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45511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45511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45511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45511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45511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45511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45511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45511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45511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45511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45511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45511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45511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45511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45511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45511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45511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45511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45511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45511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45511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45511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45511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45511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45511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45511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45511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45511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45511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45511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45511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45511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45511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45511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45511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45511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45511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45511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45511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45511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45511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45511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45511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45511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45511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45511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45511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45511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45511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45511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45511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45511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45511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45511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45511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45511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45511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45511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45511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45511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45511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45511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45511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45511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45511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45511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45511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45511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45511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45511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45511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45511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45511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45511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45511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45511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45511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45511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45511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45511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45511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45511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45511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45511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45511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45511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45511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45511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45511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45511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45511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45511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45511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45511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45511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45511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45511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45511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45511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45511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45511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45511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45511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45511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45511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45511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45511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45511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45511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45511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45511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45511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45511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45511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45511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45511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45511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45511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45511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45511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45511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45511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45511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45511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45511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45511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45511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45511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45511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45511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45511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45511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45511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45511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45511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45511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45511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45511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45511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45511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45511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45511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45511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45511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45511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45511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45511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45511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45511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45511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45511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45511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45511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45511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45511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45511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45511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45511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45511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45511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45511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45511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45511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45511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45511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45511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45511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45511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45511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45511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45511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45511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45511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45511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45511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45511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45511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45511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45511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45511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45511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45511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45511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45511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45511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45511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45511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45511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45511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45511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45511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45511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45511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45511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45511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45511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45511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45511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45511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45511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45511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45511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45511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45511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45511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45511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45511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45511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45511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45511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45511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45511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45511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45511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45511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45511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45511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45511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45511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45511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45511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45511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45511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45511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45511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45511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45511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45511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45511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45511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45511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45511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45511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45511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45511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45511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45511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45511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45511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45511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45511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45511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45511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45511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45511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45511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45511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45511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45511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45511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45511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45511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45511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45511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45511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45511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45511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45511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45511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45511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45511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45511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45511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45511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45511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45511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45511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45511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45511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45511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45511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45511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45511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45511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45511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45511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45511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45511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45511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45511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45511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45511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45511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45511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45511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45511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45511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45511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45511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45511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45511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45511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45511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45511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45511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45511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45511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45511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45511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45511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45511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45511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45511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45511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45511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45511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45511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45511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45511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45511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45511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45511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45511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45511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45511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45511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45511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45511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45511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45511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45511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45511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45511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45511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45511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45511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45511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45511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45511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45511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45511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45511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45511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45511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45511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45511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45511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45511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45511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45511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45511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45511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45511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45511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45511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45511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45511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45511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45511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45511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45511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45511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45511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45511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45511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45511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45511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45511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45511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45511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45511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45511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45511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45511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45511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45511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45511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45511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45511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45511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45511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45511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45511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45511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45511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45511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45511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45511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45511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45511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45511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45511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45511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45511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45511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45511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45511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45511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45511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45511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45511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45511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45511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45511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45511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45511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45511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45511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45511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45511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45511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45511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45511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45511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45511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45511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45511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45511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45511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45511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45511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45511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45511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45511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45511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45511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45511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45511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45511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45511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45511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45511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45511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45511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45511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45511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45511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45511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45511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45511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45511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45511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45511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45511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45511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45511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45511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45511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45511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45511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45511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45511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45511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45511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45511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45511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45511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45511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45511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45511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45511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45511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45511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45511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45511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45511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45511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45511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45511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45511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45511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45511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45511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45511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45511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45511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45511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45511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45511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45511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45511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45511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45511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45511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45511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45511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45511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45511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45511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45511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45511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45511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45511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45511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45511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45511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45511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45511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45511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45511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45511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45511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45511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45511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45511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45511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45511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45511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45511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45511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45511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45511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45511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45511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45511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45511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45511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45511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45511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45511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45511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45511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45511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45511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45511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45511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45511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45511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45511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45511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45511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45511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45511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45511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45511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45511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45511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45511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45511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45511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45511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45511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45511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45511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45511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45511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45511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45511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45511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45511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45511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45511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45511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45511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45511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45511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45511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45511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45511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45511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45511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45511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45511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45511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45511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45511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45511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45511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45511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45511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45511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45511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45511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45511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45511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45511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45511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45511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45511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45511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45511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45511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45511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45511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45511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45511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45511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45511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45511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45511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45511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45511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45511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45511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45511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45511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45511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45511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45511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45511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45511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45511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45511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45511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45511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45511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45511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45511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45511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45511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45511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45511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45511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45511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45511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45511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45511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45511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45511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45511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45511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45511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45511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45511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45511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45511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45511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45511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45511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45511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45511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45511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45511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45511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45511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45511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45511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45511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45511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45511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45511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45511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45511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45511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45511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45511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45511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45511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45511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45511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45511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45511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45511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45511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45511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45511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45511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45511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45511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45511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45511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45511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45511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45511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45511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45511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45511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45511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45511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45511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45511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45511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45511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45511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45511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45511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45511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45511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45511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45511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45511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45511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45511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45511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45511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45511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45511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45511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45511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45511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45511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45511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45511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45511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45511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45511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45511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45511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45511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45511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45511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45511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45511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45511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45511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45511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45511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45511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45511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45511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45511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45511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45511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45511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45511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45511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45511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45511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45511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45511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45511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45511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45511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45511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45511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45511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45511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45511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45511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45511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45511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45511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45511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45511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45511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45511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45511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45511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45511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45511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45511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45511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45511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45511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45511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45511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45511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45511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45511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45511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45511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45511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45511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45511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45511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45511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45511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45511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45511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45511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45511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45511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45511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45511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45511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45511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45511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45511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45511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45511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45511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45511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45511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45511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45511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45511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45511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45511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45511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45511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45511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45511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45511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45511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45511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45511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45511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45511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45511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45511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45511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45511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45511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45511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45511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45511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45511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45511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45511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45511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45511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45511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45511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45511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45511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45511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45511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45511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45511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45511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45511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45511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45511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45511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45511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45511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45511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45511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45511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45511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45511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45511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45511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45511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45511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45511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45511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45511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45511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45511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45511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45511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45511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45511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45511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45511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45511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45511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45511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45511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45511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45511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45511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45511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45511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45511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45511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45511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45511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45511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45511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45511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45511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45511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45511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45511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45511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45511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45511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45511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45511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45511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45511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45511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45511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45511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45511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45511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45511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45511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45511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45511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45511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45511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45511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45511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45511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45511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45511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45511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45511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45511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45511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45511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45511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45511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45511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45511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45511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45511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45511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45511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45511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45511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45511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45511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45511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45511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45511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45511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45511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45511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45511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45511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45511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45511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45511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45511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45511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45511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45511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45511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45511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45511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45511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45511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45511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45511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45511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45511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45511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45511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45511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45511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45511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45511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45511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45511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45511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45511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45511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45511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45511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45511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45511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45511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45511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45511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45511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45511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45511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45511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45511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45511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45511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45511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45511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45511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45511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45511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45511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45511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45511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45511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45511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45511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45511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45511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45511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45511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45511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45511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45511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45511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45511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45511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45511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45511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45511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45511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45511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45511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45511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45511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45511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45511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45511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45511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45511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45511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45511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45511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45511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45511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45511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45511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45511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45511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45511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45511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45511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45511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45511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45511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45511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45511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45511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45511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45511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45511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45511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45511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45511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45511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45511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45511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45511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45511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45511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45511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45511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45511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45511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45511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45511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45511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45511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45511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45511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45511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45511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45511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45511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45511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45511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45511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45511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45511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45511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45511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45511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45511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45511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45511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45511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45511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45511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45511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45511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45511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45511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45511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45511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45511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45511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45511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45511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45511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45511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45511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45511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45511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45511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45511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45511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45511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45511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45511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45511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45511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45511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45511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45511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45511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45511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45511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45511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45511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45511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45511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45511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45511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45511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45511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45511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45511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45511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45511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45511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45511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45511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45511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45511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45511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45511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45511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45511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45511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45511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45511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45511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45511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45511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45511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45511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45511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45511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45511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45511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45511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45511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45511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45511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45511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45511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45511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45511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45511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45511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45511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45511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45511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45511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45511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45511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45511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45511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45511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45511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45511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45511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45511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45511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45511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45511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45511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45511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45511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45511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45511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45511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45511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45511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45511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45511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45511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45511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45511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45511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45511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45511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45511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45511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45511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45511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45511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45511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45511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45511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45511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45511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45511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45511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45511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45511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45511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45511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45511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45511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45511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45511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45511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45511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45511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45511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45511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45511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45511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45511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45511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45511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45511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45511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45511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45511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45511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45511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45511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45511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45511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45511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45511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45511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45511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45511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45511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45511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45511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45511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45511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45511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45511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45511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45511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45511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45511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45511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45511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45511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45511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45511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45511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45511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45511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45511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45511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28404-2024</t>
        </is>
      </c>
      <c r="B1473" s="1" t="n">
        <v>45477</v>
      </c>
      <c r="C1473" s="1" t="n">
        <v>45511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28315-2024</t>
        </is>
      </c>
      <c r="B1474" s="1" t="n">
        <v>45477</v>
      </c>
      <c r="C1474" s="1" t="n">
        <v>45511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28291-2024</t>
        </is>
      </c>
      <c r="B1475" s="1" t="n">
        <v>45477</v>
      </c>
      <c r="C1475" s="1" t="n">
        <v>45511</v>
      </c>
      <c r="D1475" t="inlineStr">
        <is>
          <t>KALMAR LÄN</t>
        </is>
      </c>
      <c r="E1475" t="inlineStr">
        <is>
          <t>VÄSTERVIK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28415-2024</t>
        </is>
      </c>
      <c r="B1476" s="1" t="n">
        <v>45477</v>
      </c>
      <c r="C1476" s="1" t="n">
        <v>45511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28390-2024</t>
        </is>
      </c>
      <c r="B1477" s="1" t="n">
        <v>45477</v>
      </c>
      <c r="C1477" s="1" t="n">
        <v>45511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28378-2024</t>
        </is>
      </c>
      <c r="B1478" s="1" t="n">
        <v>45477</v>
      </c>
      <c r="C1478" s="1" t="n">
        <v>45511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28222-2024</t>
        </is>
      </c>
      <c r="B1479" s="1" t="n">
        <v>45477</v>
      </c>
      <c r="C1479" s="1" t="n">
        <v>45511</v>
      </c>
      <c r="D1479" t="inlineStr">
        <is>
          <t>KALMAR LÄN</t>
        </is>
      </c>
      <c r="E1479" t="inlineStr">
        <is>
          <t>VÄSTERVIK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28368-2024</t>
        </is>
      </c>
      <c r="B1480" s="1" t="n">
        <v>45477</v>
      </c>
      <c r="C1480" s="1" t="n">
        <v>45511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45511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28344-2024</t>
        </is>
      </c>
      <c r="B1482" s="1" t="n">
        <v>45477</v>
      </c>
      <c r="C1482" s="1" t="n">
        <v>45511</v>
      </c>
      <c r="D1482" t="inlineStr">
        <is>
          <t>KALMAR LÄN</t>
        </is>
      </c>
      <c r="E1482" t="inlineStr">
        <is>
          <t>VÄSTERVIK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28667-2024</t>
        </is>
      </c>
      <c r="B1483" s="1" t="n">
        <v>45478</v>
      </c>
      <c r="C1483" s="1" t="n">
        <v>45511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28640-2024</t>
        </is>
      </c>
      <c r="B1484" s="1" t="n">
        <v>45478</v>
      </c>
      <c r="C1484" s="1" t="n">
        <v>45511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29396-2024</t>
        </is>
      </c>
      <c r="B1485" s="1" t="n">
        <v>45483</v>
      </c>
      <c r="C1485" s="1" t="n">
        <v>45511</v>
      </c>
      <c r="D1485" t="inlineStr">
        <is>
          <t>KALMAR LÄN</t>
        </is>
      </c>
      <c r="E1485" t="inlineStr">
        <is>
          <t>VÄSTERVIK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29400-2024</t>
        </is>
      </c>
      <c r="B1486" s="1" t="n">
        <v>45483</v>
      </c>
      <c r="C1486" s="1" t="n">
        <v>45511</v>
      </c>
      <c r="D1486" t="inlineStr">
        <is>
          <t>KALMAR LÄN</t>
        </is>
      </c>
      <c r="E1486" t="inlineStr">
        <is>
          <t>VÄSTERVIK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29404-2024</t>
        </is>
      </c>
      <c r="B1487" s="1" t="n">
        <v>45483</v>
      </c>
      <c r="C1487" s="1" t="n">
        <v>45511</v>
      </c>
      <c r="D1487" t="inlineStr">
        <is>
          <t>KALMAR LÄN</t>
        </is>
      </c>
      <c r="E1487" t="inlineStr">
        <is>
          <t>VÄSTERVIK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29412-2024</t>
        </is>
      </c>
      <c r="B1488" s="1" t="n">
        <v>45483</v>
      </c>
      <c r="C1488" s="1" t="n">
        <v>45511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29420-2024</t>
        </is>
      </c>
      <c r="B1489" s="1" t="n">
        <v>45483</v>
      </c>
      <c r="C1489" s="1" t="n">
        <v>45511</v>
      </c>
      <c r="D1489" t="inlineStr">
        <is>
          <t>KALMAR LÄN</t>
        </is>
      </c>
      <c r="E1489" t="inlineStr">
        <is>
          <t>VÄSTERVIK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29405-2024</t>
        </is>
      </c>
      <c r="B1490" s="1" t="n">
        <v>45483</v>
      </c>
      <c r="C1490" s="1" t="n">
        <v>45511</v>
      </c>
      <c r="D1490" t="inlineStr">
        <is>
          <t>KALMAR LÄN</t>
        </is>
      </c>
      <c r="E1490" t="inlineStr">
        <is>
          <t>VÄSTERVIK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29417-2024</t>
        </is>
      </c>
      <c r="B1491" s="1" t="n">
        <v>45483</v>
      </c>
      <c r="C1491" s="1" t="n">
        <v>45511</v>
      </c>
      <c r="D1491" t="inlineStr">
        <is>
          <t>KALMAR LÄN</t>
        </is>
      </c>
      <c r="E1491" t="inlineStr">
        <is>
          <t>VÄSTERVIK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29418-2024</t>
        </is>
      </c>
      <c r="B1492" s="1" t="n">
        <v>45483</v>
      </c>
      <c r="C1492" s="1" t="n">
        <v>45511</v>
      </c>
      <c r="D1492" t="inlineStr">
        <is>
          <t>KALMAR LÄN</t>
        </is>
      </c>
      <c r="E1492" t="inlineStr">
        <is>
          <t>VÄSTERVIK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29414-2024</t>
        </is>
      </c>
      <c r="B1493" s="1" t="n">
        <v>45483</v>
      </c>
      <c r="C1493" s="1" t="n">
        <v>45511</v>
      </c>
      <c r="D1493" t="inlineStr">
        <is>
          <t>KALMAR LÄN</t>
        </is>
      </c>
      <c r="E1493" t="inlineStr">
        <is>
          <t>VÄSTERVIK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29407-2024</t>
        </is>
      </c>
      <c r="B1494" s="1" t="n">
        <v>45483</v>
      </c>
      <c r="C1494" s="1" t="n">
        <v>45511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29557-2024</t>
        </is>
      </c>
      <c r="B1495" s="1" t="n">
        <v>45484</v>
      </c>
      <c r="C1495" s="1" t="n">
        <v>45511</v>
      </c>
      <c r="D1495" t="inlineStr">
        <is>
          <t>KALMAR LÄN</t>
        </is>
      </c>
      <c r="E1495" t="inlineStr">
        <is>
          <t>VÄSTERVIK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29571-2024</t>
        </is>
      </c>
      <c r="B1496" s="1" t="n">
        <v>45484</v>
      </c>
      <c r="C1496" s="1" t="n">
        <v>45511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29784-2024</t>
        </is>
      </c>
      <c r="B1497" s="1" t="n">
        <v>45485</v>
      </c>
      <c r="C1497" s="1" t="n">
        <v>45511</v>
      </c>
      <c r="D1497" t="inlineStr">
        <is>
          <t>KALMAR LÄN</t>
        </is>
      </c>
      <c r="E1497" t="inlineStr">
        <is>
          <t>VÄSTERVIK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29786-2024</t>
        </is>
      </c>
      <c r="B1498" s="1" t="n">
        <v>45485</v>
      </c>
      <c r="C1498" s="1" t="n">
        <v>45511</v>
      </c>
      <c r="D1498" t="inlineStr">
        <is>
          <t>KALMAR LÄN</t>
        </is>
      </c>
      <c r="E1498" t="inlineStr">
        <is>
          <t>VÄSTERVIK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29789-2024</t>
        </is>
      </c>
      <c r="B1499" s="1" t="n">
        <v>45485</v>
      </c>
      <c r="C1499" s="1" t="n">
        <v>45511</v>
      </c>
      <c r="D1499" t="inlineStr">
        <is>
          <t>KALMAR LÄN</t>
        </is>
      </c>
      <c r="E1499" t="inlineStr">
        <is>
          <t>VÄSTERVIK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30157-2024</t>
        </is>
      </c>
      <c r="B1500" s="1" t="n">
        <v>45489</v>
      </c>
      <c r="C1500" s="1" t="n">
        <v>45511</v>
      </c>
      <c r="D1500" t="inlineStr">
        <is>
          <t>KALMAR LÄN</t>
        </is>
      </c>
      <c r="E1500" t="inlineStr">
        <is>
          <t>VÄSTERVIK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30149-2024</t>
        </is>
      </c>
      <c r="B1501" s="1" t="n">
        <v>45489</v>
      </c>
      <c r="C1501" s="1" t="n">
        <v>45511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30148-2024</t>
        </is>
      </c>
      <c r="B1502" s="1" t="n">
        <v>45489</v>
      </c>
      <c r="C1502" s="1" t="n">
        <v>45511</v>
      </c>
      <c r="D1502" t="inlineStr">
        <is>
          <t>KALMAR LÄN</t>
        </is>
      </c>
      <c r="E1502" t="inlineStr">
        <is>
          <t>VÄSTERVIK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30153-2024</t>
        </is>
      </c>
      <c r="B1503" s="1" t="n">
        <v>45489</v>
      </c>
      <c r="C1503" s="1" t="n">
        <v>45511</v>
      </c>
      <c r="D1503" t="inlineStr">
        <is>
          <t>KALMAR LÄN</t>
        </is>
      </c>
      <c r="E1503" t="inlineStr">
        <is>
          <t>VÄSTERVIK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45511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30511-2024</t>
        </is>
      </c>
      <c r="B1505" s="1" t="n">
        <v>45492</v>
      </c>
      <c r="C1505" s="1" t="n">
        <v>45511</v>
      </c>
      <c r="D1505" t="inlineStr">
        <is>
          <t>KALMAR LÄN</t>
        </is>
      </c>
      <c r="E1505" t="inlineStr">
        <is>
          <t>VÄSTERVIK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30523-2024</t>
        </is>
      </c>
      <c r="B1506" s="1" t="n">
        <v>45492</v>
      </c>
      <c r="C1506" s="1" t="n">
        <v>45511</v>
      </c>
      <c r="D1506" t="inlineStr">
        <is>
          <t>KALMAR LÄN</t>
        </is>
      </c>
      <c r="E1506" t="inlineStr">
        <is>
          <t>VÄSTERVIK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30525-2024</t>
        </is>
      </c>
      <c r="B1507" s="1" t="n">
        <v>45492</v>
      </c>
      <c r="C1507" s="1" t="n">
        <v>45511</v>
      </c>
      <c r="D1507" t="inlineStr">
        <is>
          <t>KALMAR LÄN</t>
        </is>
      </c>
      <c r="E1507" t="inlineStr">
        <is>
          <t>VÄSTERVIK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31082-2024</t>
        </is>
      </c>
      <c r="B1508" s="1" t="n">
        <v>45502</v>
      </c>
      <c r="C1508" s="1" t="n">
        <v>45511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31147-2024</t>
        </is>
      </c>
      <c r="B1509" s="1" t="n">
        <v>45502</v>
      </c>
      <c r="C1509" s="1" t="n">
        <v>45511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31056-2024</t>
        </is>
      </c>
      <c r="B1510" s="1" t="n">
        <v>45502</v>
      </c>
      <c r="C1510" s="1" t="n">
        <v>45511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31060-2024</t>
        </is>
      </c>
      <c r="B1511" s="1" t="n">
        <v>45502</v>
      </c>
      <c r="C1511" s="1" t="n">
        <v>45511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2024-08-07T10:39:47Z</dcterms:created>
  <dcterms:modified xmlns:dcterms="http://purl.org/dc/terms/" xmlns:xsi="http://www.w3.org/2001/XMLSchema-instance" xsi:type="dcterms:W3CDTF">2024-08-07T10:39:49Z</dcterms:modified>
</cp:coreProperties>
</file>