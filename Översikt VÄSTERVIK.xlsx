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45895</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45895</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45895</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45895</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45895</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45895</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45895</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45895</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56737-2023</t>
        </is>
      </c>
      <c r="B13" s="1" t="n">
        <v>45244</v>
      </c>
      <c r="C13" s="1" t="n">
        <v>45895</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45895</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55017-2021</t>
        </is>
      </c>
      <c r="B15" s="1" t="n">
        <v>44474</v>
      </c>
      <c r="C15" s="1" t="n">
        <v>45895</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35134-2024</t>
        </is>
      </c>
      <c r="B16" s="1" t="n">
        <v>45530</v>
      </c>
      <c r="C16" s="1" t="n">
        <v>45895</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15252-2021</t>
        </is>
      </c>
      <c r="B17" s="1" t="n">
        <v>44284</v>
      </c>
      <c r="C17" s="1" t="n">
        <v>45895</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27378-2024</t>
        </is>
      </c>
      <c r="B18" s="1" t="n">
        <v>45473</v>
      </c>
      <c r="C18" s="1" t="n">
        <v>45895</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1773-2025</t>
        </is>
      </c>
      <c r="B19" s="1" t="n">
        <v>45671</v>
      </c>
      <c r="C19" s="1" t="n">
        <v>45895</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14121-2025</t>
        </is>
      </c>
      <c r="B20" s="1" t="n">
        <v>45740.46803240741</v>
      </c>
      <c r="C20" s="1" t="n">
        <v>45895</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45895</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39298-2024</t>
        </is>
      </c>
      <c r="B22" s="1" t="n">
        <v>45551</v>
      </c>
      <c r="C22" s="1" t="n">
        <v>45895</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45895</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45895</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51597-2024</t>
        </is>
      </c>
      <c r="B25" s="1" t="n">
        <v>45604</v>
      </c>
      <c r="C25" s="1" t="n">
        <v>45895</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4397-2025</t>
        </is>
      </c>
      <c r="B26" s="1" t="n">
        <v>45686</v>
      </c>
      <c r="C26" s="1" t="n">
        <v>45895</v>
      </c>
      <c r="D26" t="inlineStr">
        <is>
          <t>KALMAR LÄN</t>
        </is>
      </c>
      <c r="E26" t="inlineStr">
        <is>
          <t>VÄSTERVIK</t>
        </is>
      </c>
      <c r="F26" t="inlineStr">
        <is>
          <t>Holmen skog AB</t>
        </is>
      </c>
      <c r="G26" t="n">
        <v>10</v>
      </c>
      <c r="H26" t="n">
        <v>7</v>
      </c>
      <c r="I26" t="n">
        <v>0</v>
      </c>
      <c r="J26" t="n">
        <v>4</v>
      </c>
      <c r="K26" t="n">
        <v>1</v>
      </c>
      <c r="L26" t="n">
        <v>0</v>
      </c>
      <c r="M26" t="n">
        <v>0</v>
      </c>
      <c r="N26" t="n">
        <v>0</v>
      </c>
      <c r="O26" t="n">
        <v>5</v>
      </c>
      <c r="P26" t="n">
        <v>1</v>
      </c>
      <c r="Q26" t="n">
        <v>7</v>
      </c>
      <c r="R26" s="2" t="inlineStr">
        <is>
          <t>Knärot
Entita
Grönsångare
Mindre hackspett
Talltita
Kungsfågel
Skogsduva</t>
        </is>
      </c>
      <c r="S26">
        <f>HYPERLINK("https://klasma.github.io/Logging_0883/artfynd/A 4397-2025 artfynd.xlsx", "A 4397-2025")</f>
        <v/>
      </c>
      <c r="T26">
        <f>HYPERLINK("https://klasma.github.io/Logging_0883/kartor/A 4397-2025 karta.png", "A 4397-2025")</f>
        <v/>
      </c>
      <c r="U26">
        <f>HYPERLINK("https://klasma.github.io/Logging_0883/knärot/A 4397-2025 karta knärot.png", "A 4397-2025")</f>
        <v/>
      </c>
      <c r="V26">
        <f>HYPERLINK("https://klasma.github.io/Logging_0883/klagomål/A 4397-2025 FSC-klagomål.docx", "A 4397-2025")</f>
        <v/>
      </c>
      <c r="W26">
        <f>HYPERLINK("https://klasma.github.io/Logging_0883/klagomålsmail/A 4397-2025 FSC-klagomål mail.docx", "A 4397-2025")</f>
        <v/>
      </c>
      <c r="X26">
        <f>HYPERLINK("https://klasma.github.io/Logging_0883/tillsyn/A 4397-2025 tillsynsbegäran.docx", "A 4397-2025")</f>
        <v/>
      </c>
      <c r="Y26">
        <f>HYPERLINK("https://klasma.github.io/Logging_0883/tillsynsmail/A 4397-2025 tillsynsbegäran mail.docx", "A 4397-2025")</f>
        <v/>
      </c>
      <c r="Z26">
        <f>HYPERLINK("https://klasma.github.io/Logging_0883/fåglar/A 4397-2025 prioriterade fågelarter.docx", "A 4397-2025")</f>
        <v/>
      </c>
    </row>
    <row r="27" ht="15" customHeight="1">
      <c r="A27" t="inlineStr">
        <is>
          <t>A 26574-2025</t>
        </is>
      </c>
      <c r="B27" s="1" t="n">
        <v>45807.68491898148</v>
      </c>
      <c r="C27" s="1" t="n">
        <v>45895</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34624-2022</t>
        </is>
      </c>
      <c r="B28" s="1" t="n">
        <v>44795</v>
      </c>
      <c r="C28" s="1" t="n">
        <v>45895</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59457-2024</t>
        </is>
      </c>
      <c r="B29" s="1" t="n">
        <v>45638</v>
      </c>
      <c r="C29" s="1" t="n">
        <v>45895</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31082-2024</t>
        </is>
      </c>
      <c r="B30" s="1" t="n">
        <v>45502</v>
      </c>
      <c r="C30" s="1" t="n">
        <v>45895</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16996-2025</t>
        </is>
      </c>
      <c r="B31" s="1" t="n">
        <v>45755.51844907407</v>
      </c>
      <c r="C31" s="1" t="n">
        <v>45895</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34638-2025</t>
        </is>
      </c>
      <c r="B32" s="1" t="n">
        <v>45848.30584490741</v>
      </c>
      <c r="C32" s="1" t="n">
        <v>45895</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71188-2021</t>
        </is>
      </c>
      <c r="B33" s="1" t="n">
        <v>44539</v>
      </c>
      <c r="C33" s="1" t="n">
        <v>45895</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45895</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45895</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39295-2024</t>
        </is>
      </c>
      <c r="B36" s="1" t="n">
        <v>45551</v>
      </c>
      <c r="C36" s="1" t="n">
        <v>45895</v>
      </c>
      <c r="D36" t="inlineStr">
        <is>
          <t>KALMAR LÄN</t>
        </is>
      </c>
      <c r="E36" t="inlineStr">
        <is>
          <t>VÄSTERVIK</t>
        </is>
      </c>
      <c r="G36" t="n">
        <v>4.4</v>
      </c>
      <c r="H36" t="n">
        <v>3</v>
      </c>
      <c r="I36" t="n">
        <v>3</v>
      </c>
      <c r="J36" t="n">
        <v>2</v>
      </c>
      <c r="K36" t="n">
        <v>1</v>
      </c>
      <c r="L36" t="n">
        <v>0</v>
      </c>
      <c r="M36" t="n">
        <v>0</v>
      </c>
      <c r="N36" t="n">
        <v>0</v>
      </c>
      <c r="O36" t="n">
        <v>3</v>
      </c>
      <c r="P36" t="n">
        <v>1</v>
      </c>
      <c r="Q36" t="n">
        <v>6</v>
      </c>
      <c r="R36" s="2" t="inlineStr">
        <is>
          <t>Knärot
Entita
Talltita
Dropptaggsvamp
Fjällig taggsvamp s.str.
Grönpyrola</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27379-2024</t>
        </is>
      </c>
      <c r="B37" s="1" t="n">
        <v>45473</v>
      </c>
      <c r="C37" s="1" t="n">
        <v>45895</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45895</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4456-2025</t>
        </is>
      </c>
      <c r="B39" s="1" t="n">
        <v>45686</v>
      </c>
      <c r="C39" s="1" t="n">
        <v>45895</v>
      </c>
      <c r="D39" t="inlineStr">
        <is>
          <t>KALMAR LÄN</t>
        </is>
      </c>
      <c r="E39" t="inlineStr">
        <is>
          <t>VÄSTERVIK</t>
        </is>
      </c>
      <c r="G39" t="n">
        <v>1.3</v>
      </c>
      <c r="H39" t="n">
        <v>2</v>
      </c>
      <c r="I39" t="n">
        <v>2</v>
      </c>
      <c r="J39" t="n">
        <v>3</v>
      </c>
      <c r="K39" t="n">
        <v>1</v>
      </c>
      <c r="L39" t="n">
        <v>0</v>
      </c>
      <c r="M39" t="n">
        <v>0</v>
      </c>
      <c r="N39" t="n">
        <v>0</v>
      </c>
      <c r="O39" t="n">
        <v>4</v>
      </c>
      <c r="P39" t="n">
        <v>1</v>
      </c>
      <c r="Q39" t="n">
        <v>6</v>
      </c>
      <c r="R39" s="2" t="inlineStr">
        <is>
          <t>Knärot
Spillkråka
Tallticka
Ullticka
Grovticka
Grönpyrola</t>
        </is>
      </c>
      <c r="S39">
        <f>HYPERLINK("https://klasma.github.io/Logging_0883/artfynd/A 4456-2025 artfynd.xlsx", "A 4456-2025")</f>
        <v/>
      </c>
      <c r="T39">
        <f>HYPERLINK("https://klasma.github.io/Logging_0883/kartor/A 4456-2025 karta.png", "A 4456-2025")</f>
        <v/>
      </c>
      <c r="U39">
        <f>HYPERLINK("https://klasma.github.io/Logging_0883/knärot/A 4456-2025 karta knärot.png", "A 4456-2025")</f>
        <v/>
      </c>
      <c r="V39">
        <f>HYPERLINK("https://klasma.github.io/Logging_0883/klagomål/A 4456-2025 FSC-klagomål.docx", "A 4456-2025")</f>
        <v/>
      </c>
      <c r="W39">
        <f>HYPERLINK("https://klasma.github.io/Logging_0883/klagomålsmail/A 4456-2025 FSC-klagomål mail.docx", "A 4456-2025")</f>
        <v/>
      </c>
      <c r="X39">
        <f>HYPERLINK("https://klasma.github.io/Logging_0883/tillsyn/A 4456-2025 tillsynsbegäran.docx", "A 4456-2025")</f>
        <v/>
      </c>
      <c r="Y39">
        <f>HYPERLINK("https://klasma.github.io/Logging_0883/tillsynsmail/A 4456-2025 tillsynsbegäran mail.docx", "A 4456-2025")</f>
        <v/>
      </c>
      <c r="Z39">
        <f>HYPERLINK("https://klasma.github.io/Logging_0883/fåglar/A 4456-2025 prioriterade fågelarter.docx", "A 4456-2025")</f>
        <v/>
      </c>
    </row>
    <row r="40" ht="15" customHeight="1">
      <c r="A40" t="inlineStr">
        <is>
          <t>A 2806-2025</t>
        </is>
      </c>
      <c r="B40" s="1" t="n">
        <v>45677</v>
      </c>
      <c r="C40" s="1" t="n">
        <v>45895</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45895</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47936-2023</t>
        </is>
      </c>
      <c r="B42" s="1" t="n">
        <v>45204</v>
      </c>
      <c r="C42" s="1" t="n">
        <v>45895</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5922-2024</t>
        </is>
      </c>
      <c r="B43" s="1" t="n">
        <v>45335</v>
      </c>
      <c r="C43" s="1" t="n">
        <v>45895</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52916-2020</t>
        </is>
      </c>
      <c r="B44" s="1" t="n">
        <v>44120</v>
      </c>
      <c r="C44" s="1" t="n">
        <v>45895</v>
      </c>
      <c r="D44" t="inlineStr">
        <is>
          <t>KALMAR LÄN</t>
        </is>
      </c>
      <c r="E44" t="inlineStr">
        <is>
          <t>VÄSTERVIK</t>
        </is>
      </c>
      <c r="G44" t="n">
        <v>1.2</v>
      </c>
      <c r="H44" t="n">
        <v>2</v>
      </c>
      <c r="I44" t="n">
        <v>2</v>
      </c>
      <c r="J44" t="n">
        <v>3</v>
      </c>
      <c r="K44" t="n">
        <v>1</v>
      </c>
      <c r="L44" t="n">
        <v>0</v>
      </c>
      <c r="M44" t="n">
        <v>0</v>
      </c>
      <c r="N44" t="n">
        <v>0</v>
      </c>
      <c r="O44" t="n">
        <v>4</v>
      </c>
      <c r="P44" t="n">
        <v>1</v>
      </c>
      <c r="Q44" t="n">
        <v>6</v>
      </c>
      <c r="R44" s="2" t="inlineStr">
        <is>
          <t>Knärot
Orange taggsvamp
Svart taggsvamp
Talltita
Blomkålssvamp
Dropptaggsvamp</t>
        </is>
      </c>
      <c r="S44">
        <f>HYPERLINK("https://klasma.github.io/Logging_0883/artfynd/A 52916-2020 artfynd.xlsx", "A 52916-2020")</f>
        <v/>
      </c>
      <c r="T44">
        <f>HYPERLINK("https://klasma.github.io/Logging_0883/kartor/A 52916-2020 karta.png", "A 52916-2020")</f>
        <v/>
      </c>
      <c r="U44">
        <f>HYPERLINK("https://klasma.github.io/Logging_0883/knärot/A 52916-2020 karta knärot.png", "A 52916-2020")</f>
        <v/>
      </c>
      <c r="V44">
        <f>HYPERLINK("https://klasma.github.io/Logging_0883/klagomål/A 52916-2020 FSC-klagomål.docx", "A 52916-2020")</f>
        <v/>
      </c>
      <c r="W44">
        <f>HYPERLINK("https://klasma.github.io/Logging_0883/klagomålsmail/A 52916-2020 FSC-klagomål mail.docx", "A 52916-2020")</f>
        <v/>
      </c>
      <c r="X44">
        <f>HYPERLINK("https://klasma.github.io/Logging_0883/tillsyn/A 52916-2020 tillsynsbegäran.docx", "A 52916-2020")</f>
        <v/>
      </c>
      <c r="Y44">
        <f>HYPERLINK("https://klasma.github.io/Logging_0883/tillsynsmail/A 52916-2020 tillsynsbegäran mail.docx", "A 52916-2020")</f>
        <v/>
      </c>
      <c r="Z44">
        <f>HYPERLINK("https://klasma.github.io/Logging_0883/fåglar/A 52916-2020 prioriterade fågelarter.docx", "A 52916-2020")</f>
        <v/>
      </c>
    </row>
    <row r="45" ht="15" customHeight="1">
      <c r="A45" t="inlineStr">
        <is>
          <t>A 34642-2025</t>
        </is>
      </c>
      <c r="B45" s="1" t="n">
        <v>45848.32703703704</v>
      </c>
      <c r="C45" s="1" t="n">
        <v>45895</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45895</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52046-2024</t>
        </is>
      </c>
      <c r="B47" s="1" t="n">
        <v>45608</v>
      </c>
      <c r="C47" s="1" t="n">
        <v>45895</v>
      </c>
      <c r="D47" t="inlineStr">
        <is>
          <t>KALMAR LÄN</t>
        </is>
      </c>
      <c r="E47" t="inlineStr">
        <is>
          <t>VÄSTERVIK</t>
        </is>
      </c>
      <c r="G47" t="n">
        <v>4.6</v>
      </c>
      <c r="H47" t="n">
        <v>1</v>
      </c>
      <c r="I47" t="n">
        <v>3</v>
      </c>
      <c r="J47" t="n">
        <v>3</v>
      </c>
      <c r="K47" t="n">
        <v>0</v>
      </c>
      <c r="L47" t="n">
        <v>0</v>
      </c>
      <c r="M47" t="n">
        <v>0</v>
      </c>
      <c r="N47" t="n">
        <v>0</v>
      </c>
      <c r="O47" t="n">
        <v>3</v>
      </c>
      <c r="P47" t="n">
        <v>0</v>
      </c>
      <c r="Q47" t="n">
        <v>6</v>
      </c>
      <c r="R47" s="2" t="inlineStr">
        <is>
          <t>Motaggsvamp
Tallticka
Talltita
Blåmossa
Dropptaggsvamp
Grovticka</t>
        </is>
      </c>
      <c r="S47">
        <f>HYPERLINK("https://klasma.github.io/Logging_0883/artfynd/A 52046-2024 artfynd.xlsx", "A 52046-2024")</f>
        <v/>
      </c>
      <c r="T47">
        <f>HYPERLINK("https://klasma.github.io/Logging_0883/kartor/A 52046-2024 karta.png", "A 52046-2024")</f>
        <v/>
      </c>
      <c r="V47">
        <f>HYPERLINK("https://klasma.github.io/Logging_0883/klagomål/A 52046-2024 FSC-klagomål.docx", "A 52046-2024")</f>
        <v/>
      </c>
      <c r="W47">
        <f>HYPERLINK("https://klasma.github.io/Logging_0883/klagomålsmail/A 52046-2024 FSC-klagomål mail.docx", "A 52046-2024")</f>
        <v/>
      </c>
      <c r="X47">
        <f>HYPERLINK("https://klasma.github.io/Logging_0883/tillsyn/A 52046-2024 tillsynsbegäran.docx", "A 52046-2024")</f>
        <v/>
      </c>
      <c r="Y47">
        <f>HYPERLINK("https://klasma.github.io/Logging_0883/tillsynsmail/A 52046-2024 tillsynsbegäran mail.docx", "A 52046-2024")</f>
        <v/>
      </c>
      <c r="Z47">
        <f>HYPERLINK("https://klasma.github.io/Logging_0883/fåglar/A 52046-2024 prioriterade fågelarter.docx", "A 52046-2024")</f>
        <v/>
      </c>
    </row>
    <row r="48" ht="15" customHeight="1">
      <c r="A48" t="inlineStr">
        <is>
          <t>A 27380-2024</t>
        </is>
      </c>
      <c r="B48" s="1" t="n">
        <v>45473</v>
      </c>
      <c r="C48" s="1" t="n">
        <v>45895</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45895</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45895</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45895</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45895</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45895</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31060-2024</t>
        </is>
      </c>
      <c r="B54" s="1" t="n">
        <v>45502</v>
      </c>
      <c r="C54" s="1" t="n">
        <v>45895</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27737-2024</t>
        </is>
      </c>
      <c r="B55" s="1" t="n">
        <v>45475</v>
      </c>
      <c r="C55" s="1" t="n">
        <v>45895</v>
      </c>
      <c r="D55" t="inlineStr">
        <is>
          <t>KALMAR LÄN</t>
        </is>
      </c>
      <c r="E55" t="inlineStr">
        <is>
          <t>VÄSTERVIK</t>
        </is>
      </c>
      <c r="F55" t="inlineStr">
        <is>
          <t>Holmen skog AB</t>
        </is>
      </c>
      <c r="G55" t="n">
        <v>2.7</v>
      </c>
      <c r="H55" t="n">
        <v>2</v>
      </c>
      <c r="I55" t="n">
        <v>0</v>
      </c>
      <c r="J55" t="n">
        <v>4</v>
      </c>
      <c r="K55" t="n">
        <v>0</v>
      </c>
      <c r="L55" t="n">
        <v>0</v>
      </c>
      <c r="M55" t="n">
        <v>0</v>
      </c>
      <c r="N55" t="n">
        <v>0</v>
      </c>
      <c r="O55" t="n">
        <v>4</v>
      </c>
      <c r="P55" t="n">
        <v>0</v>
      </c>
      <c r="Q55" t="n">
        <v>5</v>
      </c>
      <c r="R55" s="2" t="inlineStr">
        <is>
          <t>Ekticka
Oxtungssvamp
Spillkråka
Ullticka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48724-2024</t>
        </is>
      </c>
      <c r="B56" s="1" t="n">
        <v>45593.55731481482</v>
      </c>
      <c r="C56" s="1" t="n">
        <v>45895</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33691-2025</t>
        </is>
      </c>
      <c r="B57" s="1" t="n">
        <v>45841.69503472222</v>
      </c>
      <c r="C57" s="1" t="n">
        <v>45895</v>
      </c>
      <c r="D57" t="inlineStr">
        <is>
          <t>KALMAR LÄN</t>
        </is>
      </c>
      <c r="E57" t="inlineStr">
        <is>
          <t>VÄSTERVIK</t>
        </is>
      </c>
      <c r="G57" t="n">
        <v>4.8</v>
      </c>
      <c r="H57" t="n">
        <v>4</v>
      </c>
      <c r="I57" t="n">
        <v>1</v>
      </c>
      <c r="J57" t="n">
        <v>1</v>
      </c>
      <c r="K57" t="n">
        <v>1</v>
      </c>
      <c r="L57" t="n">
        <v>0</v>
      </c>
      <c r="M57" t="n">
        <v>0</v>
      </c>
      <c r="N57" t="n">
        <v>0</v>
      </c>
      <c r="O57" t="n">
        <v>2</v>
      </c>
      <c r="P57" t="n">
        <v>1</v>
      </c>
      <c r="Q57" t="n">
        <v>5</v>
      </c>
      <c r="R57" s="2" t="inlineStr">
        <is>
          <t>Knärot
Talltita
Grönpyrola
Kungsfågel
Revlummer</t>
        </is>
      </c>
      <c r="S57">
        <f>HYPERLINK("https://klasma.github.io/Logging_0883/artfynd/A 33691-2025 artfynd.xlsx", "A 33691-2025")</f>
        <v/>
      </c>
      <c r="T57">
        <f>HYPERLINK("https://klasma.github.io/Logging_0883/kartor/A 33691-2025 karta.png", "A 33691-2025")</f>
        <v/>
      </c>
      <c r="U57">
        <f>HYPERLINK("https://klasma.github.io/Logging_0883/knärot/A 33691-2025 karta knärot.png", "A 33691-2025")</f>
        <v/>
      </c>
      <c r="V57">
        <f>HYPERLINK("https://klasma.github.io/Logging_0883/klagomål/A 33691-2025 FSC-klagomål.docx", "A 33691-2025")</f>
        <v/>
      </c>
      <c r="W57">
        <f>HYPERLINK("https://klasma.github.io/Logging_0883/klagomålsmail/A 33691-2025 FSC-klagomål mail.docx", "A 33691-2025")</f>
        <v/>
      </c>
      <c r="X57">
        <f>HYPERLINK("https://klasma.github.io/Logging_0883/tillsyn/A 33691-2025 tillsynsbegäran.docx", "A 33691-2025")</f>
        <v/>
      </c>
      <c r="Y57">
        <f>HYPERLINK("https://klasma.github.io/Logging_0883/tillsynsmail/A 33691-2025 tillsynsbegäran mail.docx", "A 33691-2025")</f>
        <v/>
      </c>
      <c r="Z57">
        <f>HYPERLINK("https://klasma.github.io/Logging_0883/fåglar/A 33691-2025 prioriterade fågelarter.docx", "A 33691-2025")</f>
        <v/>
      </c>
    </row>
    <row r="58" ht="15" customHeight="1">
      <c r="A58" t="inlineStr">
        <is>
          <t>A 51923-2022</t>
        </is>
      </c>
      <c r="B58" s="1" t="n">
        <v>44868</v>
      </c>
      <c r="C58" s="1" t="n">
        <v>45895</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12335-2025</t>
        </is>
      </c>
      <c r="B59" s="1" t="n">
        <v>45730</v>
      </c>
      <c r="C59" s="1" t="n">
        <v>45895</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18397-2024</t>
        </is>
      </c>
      <c r="B60" s="1" t="n">
        <v>45425</v>
      </c>
      <c r="C60" s="1" t="n">
        <v>45895</v>
      </c>
      <c r="D60" t="inlineStr">
        <is>
          <t>KALMAR LÄN</t>
        </is>
      </c>
      <c r="E60" t="inlineStr">
        <is>
          <t>VÄSTERVIK</t>
        </is>
      </c>
      <c r="F60" t="inlineStr">
        <is>
          <t>Holmen skog AB</t>
        </is>
      </c>
      <c r="G60" t="n">
        <v>3.5</v>
      </c>
      <c r="H60" t="n">
        <v>3</v>
      </c>
      <c r="I60" t="n">
        <v>1</v>
      </c>
      <c r="J60" t="n">
        <v>2</v>
      </c>
      <c r="K60" t="n">
        <v>1</v>
      </c>
      <c r="L60" t="n">
        <v>0</v>
      </c>
      <c r="M60" t="n">
        <v>0</v>
      </c>
      <c r="N60" t="n">
        <v>0</v>
      </c>
      <c r="O60" t="n">
        <v>3</v>
      </c>
      <c r="P60" t="n">
        <v>1</v>
      </c>
      <c r="Q60" t="n">
        <v>4</v>
      </c>
      <c r="R60" s="2" t="inlineStr">
        <is>
          <t>Knärot
Spillkråka
Talltita
Grönpyrola</t>
        </is>
      </c>
      <c r="S60">
        <f>HYPERLINK("https://klasma.github.io/Logging_0883/artfynd/A 18397-2024 artfynd.xlsx", "A 18397-2024")</f>
        <v/>
      </c>
      <c r="T60">
        <f>HYPERLINK("https://klasma.github.io/Logging_0883/kartor/A 18397-2024 karta.png", "A 18397-2024")</f>
        <v/>
      </c>
      <c r="U60">
        <f>HYPERLINK("https://klasma.github.io/Logging_0883/knärot/A 18397-2024 karta knärot.png", "A 18397-2024")</f>
        <v/>
      </c>
      <c r="V60">
        <f>HYPERLINK("https://klasma.github.io/Logging_0883/klagomål/A 18397-2024 FSC-klagomål.docx", "A 18397-2024")</f>
        <v/>
      </c>
      <c r="W60">
        <f>HYPERLINK("https://klasma.github.io/Logging_0883/klagomålsmail/A 18397-2024 FSC-klagomål mail.docx", "A 18397-2024")</f>
        <v/>
      </c>
      <c r="X60">
        <f>HYPERLINK("https://klasma.github.io/Logging_0883/tillsyn/A 18397-2024 tillsynsbegäran.docx", "A 18397-2024")</f>
        <v/>
      </c>
      <c r="Y60">
        <f>HYPERLINK("https://klasma.github.io/Logging_0883/tillsynsmail/A 18397-2024 tillsynsbegäran mail.docx", "A 18397-2024")</f>
        <v/>
      </c>
      <c r="Z60">
        <f>HYPERLINK("https://klasma.github.io/Logging_0883/fåglar/A 18397-2024 prioriterade fågelarter.docx", "A 18397-2024")</f>
        <v/>
      </c>
    </row>
    <row r="61" ht="15" customHeight="1">
      <c r="A61" t="inlineStr">
        <is>
          <t>A 41571-2024</t>
        </is>
      </c>
      <c r="B61" s="1" t="n">
        <v>45560.54571759259</v>
      </c>
      <c r="C61" s="1" t="n">
        <v>45895</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9975-2024</t>
        </is>
      </c>
      <c r="B62" s="1" t="n">
        <v>45363</v>
      </c>
      <c r="C62" s="1" t="n">
        <v>45895</v>
      </c>
      <c r="D62" t="inlineStr">
        <is>
          <t>KALMAR LÄN</t>
        </is>
      </c>
      <c r="E62" t="inlineStr">
        <is>
          <t>VÄSTERVIK</t>
        </is>
      </c>
      <c r="G62" t="n">
        <v>2.2</v>
      </c>
      <c r="H62" t="n">
        <v>3</v>
      </c>
      <c r="I62" t="n">
        <v>0</v>
      </c>
      <c r="J62" t="n">
        <v>3</v>
      </c>
      <c r="K62" t="n">
        <v>1</v>
      </c>
      <c r="L62" t="n">
        <v>0</v>
      </c>
      <c r="M62" t="n">
        <v>0</v>
      </c>
      <c r="N62" t="n">
        <v>0</v>
      </c>
      <c r="O62" t="n">
        <v>4</v>
      </c>
      <c r="P62" t="n">
        <v>1</v>
      </c>
      <c r="Q62" t="n">
        <v>4</v>
      </c>
      <c r="R62" s="2" t="inlineStr">
        <is>
          <t>Knärot
Spillkråka
Tallticka
Talltita</t>
        </is>
      </c>
      <c r="S62">
        <f>HYPERLINK("https://klasma.github.io/Logging_0883/artfynd/A 9975-2024 artfynd.xlsx", "A 9975-2024")</f>
        <v/>
      </c>
      <c r="T62">
        <f>HYPERLINK("https://klasma.github.io/Logging_0883/kartor/A 9975-2024 karta.png", "A 9975-2024")</f>
        <v/>
      </c>
      <c r="U62">
        <f>HYPERLINK("https://klasma.github.io/Logging_0883/knärot/A 9975-2024 karta knärot.png", "A 9975-2024")</f>
        <v/>
      </c>
      <c r="V62">
        <f>HYPERLINK("https://klasma.github.io/Logging_0883/klagomål/A 9975-2024 FSC-klagomål.docx", "A 9975-2024")</f>
        <v/>
      </c>
      <c r="W62">
        <f>HYPERLINK("https://klasma.github.io/Logging_0883/klagomålsmail/A 9975-2024 FSC-klagomål mail.docx", "A 9975-2024")</f>
        <v/>
      </c>
      <c r="X62">
        <f>HYPERLINK("https://klasma.github.io/Logging_0883/tillsyn/A 9975-2024 tillsynsbegäran.docx", "A 9975-2024")</f>
        <v/>
      </c>
      <c r="Y62">
        <f>HYPERLINK("https://klasma.github.io/Logging_0883/tillsynsmail/A 9975-2024 tillsynsbegäran mail.docx", "A 9975-2024")</f>
        <v/>
      </c>
      <c r="Z62">
        <f>HYPERLINK("https://klasma.github.io/Logging_0883/fåglar/A 9975-2024 prioriterade fågelarter.docx", "A 9975-2024")</f>
        <v/>
      </c>
    </row>
    <row r="63" ht="15" customHeight="1">
      <c r="A63" t="inlineStr">
        <is>
          <t>A 35939-2024</t>
        </is>
      </c>
      <c r="B63" s="1" t="n">
        <v>45533.45459490741</v>
      </c>
      <c r="C63" s="1" t="n">
        <v>45895</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54233-2023</t>
        </is>
      </c>
      <c r="B64" s="1" t="n">
        <v>45232</v>
      </c>
      <c r="C64" s="1" t="n">
        <v>45895</v>
      </c>
      <c r="D64" t="inlineStr">
        <is>
          <t>KALMAR LÄN</t>
        </is>
      </c>
      <c r="E64" t="inlineStr">
        <is>
          <t>VÄSTERVIK</t>
        </is>
      </c>
      <c r="G64" t="n">
        <v>1.9</v>
      </c>
      <c r="H64" t="n">
        <v>2</v>
      </c>
      <c r="I64" t="n">
        <v>1</v>
      </c>
      <c r="J64" t="n">
        <v>2</v>
      </c>
      <c r="K64" t="n">
        <v>1</v>
      </c>
      <c r="L64" t="n">
        <v>0</v>
      </c>
      <c r="M64" t="n">
        <v>0</v>
      </c>
      <c r="N64" t="n">
        <v>0</v>
      </c>
      <c r="O64" t="n">
        <v>3</v>
      </c>
      <c r="P64" t="n">
        <v>1</v>
      </c>
      <c r="Q64" t="n">
        <v>4</v>
      </c>
      <c r="R64" s="2" t="inlineStr">
        <is>
          <t>Knärot
Tallticka
Talltita
Blåmossa</t>
        </is>
      </c>
      <c r="S64">
        <f>HYPERLINK("https://klasma.github.io/Logging_0883/artfynd/A 54233-2023 artfynd.xlsx", "A 54233-2023")</f>
        <v/>
      </c>
      <c r="T64">
        <f>HYPERLINK("https://klasma.github.io/Logging_0883/kartor/A 54233-2023 karta.png", "A 54233-2023")</f>
        <v/>
      </c>
      <c r="U64">
        <f>HYPERLINK("https://klasma.github.io/Logging_0883/knärot/A 54233-2023 karta knärot.png", "A 54233-2023")</f>
        <v/>
      </c>
      <c r="V64">
        <f>HYPERLINK("https://klasma.github.io/Logging_0883/klagomål/A 54233-2023 FSC-klagomål.docx", "A 54233-2023")</f>
        <v/>
      </c>
      <c r="W64">
        <f>HYPERLINK("https://klasma.github.io/Logging_0883/klagomålsmail/A 54233-2023 FSC-klagomål mail.docx", "A 54233-2023")</f>
        <v/>
      </c>
      <c r="X64">
        <f>HYPERLINK("https://klasma.github.io/Logging_0883/tillsyn/A 54233-2023 tillsynsbegäran.docx", "A 54233-2023")</f>
        <v/>
      </c>
      <c r="Y64">
        <f>HYPERLINK("https://klasma.github.io/Logging_0883/tillsynsmail/A 54233-2023 tillsynsbegäran mail.docx", "A 54233-2023")</f>
        <v/>
      </c>
      <c r="Z64">
        <f>HYPERLINK("https://klasma.github.io/Logging_0883/fåglar/A 54233-2023 prioriterade fågelarter.docx", "A 54233-2023")</f>
        <v/>
      </c>
    </row>
    <row r="65" ht="15" customHeight="1">
      <c r="A65" t="inlineStr">
        <is>
          <t>A 24839-2025</t>
        </is>
      </c>
      <c r="B65" s="1" t="n">
        <v>45799.4640625</v>
      </c>
      <c r="C65" s="1" t="n">
        <v>45895</v>
      </c>
      <c r="D65" t="inlineStr">
        <is>
          <t>KALMAR LÄN</t>
        </is>
      </c>
      <c r="E65" t="inlineStr">
        <is>
          <t>VÄSTERVIK</t>
        </is>
      </c>
      <c r="F65" t="inlineStr">
        <is>
          <t>Holmen skog AB</t>
        </is>
      </c>
      <c r="G65" t="n">
        <v>8.300000000000001</v>
      </c>
      <c r="H65" t="n">
        <v>2</v>
      </c>
      <c r="I65" t="n">
        <v>1</v>
      </c>
      <c r="J65" t="n">
        <v>2</v>
      </c>
      <c r="K65" t="n">
        <v>0</v>
      </c>
      <c r="L65" t="n">
        <v>0</v>
      </c>
      <c r="M65" t="n">
        <v>0</v>
      </c>
      <c r="N65" t="n">
        <v>0</v>
      </c>
      <c r="O65" t="n">
        <v>2</v>
      </c>
      <c r="P65" t="n">
        <v>0</v>
      </c>
      <c r="Q65" t="n">
        <v>4</v>
      </c>
      <c r="R65" s="2" t="inlineStr">
        <is>
          <t>Grönsångare
Tallticka
Murgröna
Kungsfågel</t>
        </is>
      </c>
      <c r="S65">
        <f>HYPERLINK("https://klasma.github.io/Logging_0883/artfynd/A 24839-2025 artfynd.xlsx", "A 24839-2025")</f>
        <v/>
      </c>
      <c r="T65">
        <f>HYPERLINK("https://klasma.github.io/Logging_0883/kartor/A 24839-2025 karta.png", "A 24839-2025")</f>
        <v/>
      </c>
      <c r="V65">
        <f>HYPERLINK("https://klasma.github.io/Logging_0883/klagomål/A 24839-2025 FSC-klagomål.docx", "A 24839-2025")</f>
        <v/>
      </c>
      <c r="W65">
        <f>HYPERLINK("https://klasma.github.io/Logging_0883/klagomålsmail/A 24839-2025 FSC-klagomål mail.docx", "A 24839-2025")</f>
        <v/>
      </c>
      <c r="X65">
        <f>HYPERLINK("https://klasma.github.io/Logging_0883/tillsyn/A 24839-2025 tillsynsbegäran.docx", "A 24839-2025")</f>
        <v/>
      </c>
      <c r="Y65">
        <f>HYPERLINK("https://klasma.github.io/Logging_0883/tillsynsmail/A 24839-2025 tillsynsbegäran mail.docx", "A 24839-2025")</f>
        <v/>
      </c>
      <c r="Z65">
        <f>HYPERLINK("https://klasma.github.io/Logging_0883/fåglar/A 24839-2025 prioriterade fågelarter.docx", "A 24839-2025")</f>
        <v/>
      </c>
    </row>
    <row r="66" ht="15" customHeight="1">
      <c r="A66" t="inlineStr">
        <is>
          <t>A 10781-2025</t>
        </is>
      </c>
      <c r="B66" s="1" t="n">
        <v>45722</v>
      </c>
      <c r="C66" s="1" t="n">
        <v>45895</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63366-2023</t>
        </is>
      </c>
      <c r="B67" s="1" t="n">
        <v>45274</v>
      </c>
      <c r="C67" s="1" t="n">
        <v>45895</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20366-2024</t>
        </is>
      </c>
      <c r="B68" s="1" t="n">
        <v>45435</v>
      </c>
      <c r="C68" s="1" t="n">
        <v>45895</v>
      </c>
      <c r="D68" t="inlineStr">
        <is>
          <t>KALMAR LÄN</t>
        </is>
      </c>
      <c r="E68" t="inlineStr">
        <is>
          <t>VÄSTERVIK</t>
        </is>
      </c>
      <c r="G68" t="n">
        <v>0.8</v>
      </c>
      <c r="H68" t="n">
        <v>3</v>
      </c>
      <c r="I68" t="n">
        <v>1</v>
      </c>
      <c r="J68" t="n">
        <v>3</v>
      </c>
      <c r="K68" t="n">
        <v>0</v>
      </c>
      <c r="L68" t="n">
        <v>0</v>
      </c>
      <c r="M68" t="n">
        <v>0</v>
      </c>
      <c r="N68" t="n">
        <v>0</v>
      </c>
      <c r="O68" t="n">
        <v>3</v>
      </c>
      <c r="P68" t="n">
        <v>0</v>
      </c>
      <c r="Q68" t="n">
        <v>4</v>
      </c>
      <c r="R68" s="2" t="inlineStr">
        <is>
          <t>Entita
Spillkråka
Tallticka
Purpurknipprot</t>
        </is>
      </c>
      <c r="S68">
        <f>HYPERLINK("https://klasma.github.io/Logging_0883/artfynd/A 20366-2024 artfynd.xlsx", "A 20366-2024")</f>
        <v/>
      </c>
      <c r="T68">
        <f>HYPERLINK("https://klasma.github.io/Logging_0883/kartor/A 20366-2024 karta.png", "A 20366-2024")</f>
        <v/>
      </c>
      <c r="V68">
        <f>HYPERLINK("https://klasma.github.io/Logging_0883/klagomål/A 20366-2024 FSC-klagomål.docx", "A 20366-2024")</f>
        <v/>
      </c>
      <c r="W68">
        <f>HYPERLINK("https://klasma.github.io/Logging_0883/klagomålsmail/A 20366-2024 FSC-klagomål mail.docx", "A 20366-2024")</f>
        <v/>
      </c>
      <c r="X68">
        <f>HYPERLINK("https://klasma.github.io/Logging_0883/tillsyn/A 20366-2024 tillsynsbegäran.docx", "A 20366-2024")</f>
        <v/>
      </c>
      <c r="Y68">
        <f>HYPERLINK("https://klasma.github.io/Logging_0883/tillsynsmail/A 20366-2024 tillsynsbegäran mail.docx", "A 20366-2024")</f>
        <v/>
      </c>
      <c r="Z68">
        <f>HYPERLINK("https://klasma.github.io/Logging_0883/fåglar/A 20366-2024 prioriterade fågelarter.docx", "A 20366-2024")</f>
        <v/>
      </c>
    </row>
    <row r="69" ht="15" customHeight="1">
      <c r="A69" t="inlineStr">
        <is>
          <t>A 26985-2025</t>
        </is>
      </c>
      <c r="B69" s="1" t="n">
        <v>45811</v>
      </c>
      <c r="C69" s="1" t="n">
        <v>45895</v>
      </c>
      <c r="D69" t="inlineStr">
        <is>
          <t>KALMAR LÄN</t>
        </is>
      </c>
      <c r="E69" t="inlineStr">
        <is>
          <t>VÄSTERVIK</t>
        </is>
      </c>
      <c r="G69" t="n">
        <v>2.5</v>
      </c>
      <c r="H69" t="n">
        <v>3</v>
      </c>
      <c r="I69" t="n">
        <v>0</v>
      </c>
      <c r="J69" t="n">
        <v>3</v>
      </c>
      <c r="K69" t="n">
        <v>0</v>
      </c>
      <c r="L69" t="n">
        <v>0</v>
      </c>
      <c r="M69" t="n">
        <v>0</v>
      </c>
      <c r="N69" t="n">
        <v>0</v>
      </c>
      <c r="O69" t="n">
        <v>3</v>
      </c>
      <c r="P69" t="n">
        <v>0</v>
      </c>
      <c r="Q69" t="n">
        <v>4</v>
      </c>
      <c r="R69" s="2" t="inlineStr">
        <is>
          <t>Entita
Spillkråka
Tallticka
Gröngöling</t>
        </is>
      </c>
      <c r="S69">
        <f>HYPERLINK("https://klasma.github.io/Logging_0883/artfynd/A 26985-2025 artfynd.xlsx", "A 26985-2025")</f>
        <v/>
      </c>
      <c r="T69">
        <f>HYPERLINK("https://klasma.github.io/Logging_0883/kartor/A 26985-2025 karta.png", "A 26985-2025")</f>
        <v/>
      </c>
      <c r="V69">
        <f>HYPERLINK("https://klasma.github.io/Logging_0883/klagomål/A 26985-2025 FSC-klagomål.docx", "A 26985-2025")</f>
        <v/>
      </c>
      <c r="W69">
        <f>HYPERLINK("https://klasma.github.io/Logging_0883/klagomålsmail/A 26985-2025 FSC-klagomål mail.docx", "A 26985-2025")</f>
        <v/>
      </c>
      <c r="X69">
        <f>HYPERLINK("https://klasma.github.io/Logging_0883/tillsyn/A 26985-2025 tillsynsbegäran.docx", "A 26985-2025")</f>
        <v/>
      </c>
      <c r="Y69">
        <f>HYPERLINK("https://klasma.github.io/Logging_0883/tillsynsmail/A 26985-2025 tillsynsbegäran mail.docx", "A 26985-2025")</f>
        <v/>
      </c>
      <c r="Z69">
        <f>HYPERLINK("https://klasma.github.io/Logging_0883/fåglar/A 26985-2025 prioriterade fågelarter.docx", "A 26985-2025")</f>
        <v/>
      </c>
    </row>
    <row r="70" ht="15" customHeight="1">
      <c r="A70" t="inlineStr">
        <is>
          <t>A 31914-2025</t>
        </is>
      </c>
      <c r="B70" s="1" t="n">
        <v>45834</v>
      </c>
      <c r="C70" s="1" t="n">
        <v>45895</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58727-2024</t>
        </is>
      </c>
      <c r="B71" s="1" t="n">
        <v>45635</v>
      </c>
      <c r="C71" s="1" t="n">
        <v>45895</v>
      </c>
      <c r="D71" t="inlineStr">
        <is>
          <t>KALMAR LÄN</t>
        </is>
      </c>
      <c r="E71" t="inlineStr">
        <is>
          <t>VÄSTERVIK</t>
        </is>
      </c>
      <c r="F71" t="inlineStr">
        <is>
          <t>Holmen skog AB</t>
        </is>
      </c>
      <c r="G71" t="n">
        <v>2.8</v>
      </c>
      <c r="H71" t="n">
        <v>3</v>
      </c>
      <c r="I71" t="n">
        <v>1</v>
      </c>
      <c r="J71" t="n">
        <v>3</v>
      </c>
      <c r="K71" t="n">
        <v>0</v>
      </c>
      <c r="L71" t="n">
        <v>0</v>
      </c>
      <c r="M71" t="n">
        <v>0</v>
      </c>
      <c r="N71" t="n">
        <v>0</v>
      </c>
      <c r="O71" t="n">
        <v>3</v>
      </c>
      <c r="P71" t="n">
        <v>0</v>
      </c>
      <c r="Q71" t="n">
        <v>4</v>
      </c>
      <c r="R71" s="2" t="inlineStr">
        <is>
          <t>Havsörn
Spillkråka
Talltita
Blåmossa</t>
        </is>
      </c>
      <c r="S71">
        <f>HYPERLINK("https://klasma.github.io/Logging_0883/artfynd/A 58727-2024 artfynd.xlsx", "A 58727-2024")</f>
        <v/>
      </c>
      <c r="T71">
        <f>HYPERLINK("https://klasma.github.io/Logging_0883/kartor/A 58727-2024 karta.png", "A 58727-2024")</f>
        <v/>
      </c>
      <c r="V71">
        <f>HYPERLINK("https://klasma.github.io/Logging_0883/klagomål/A 58727-2024 FSC-klagomål.docx", "A 58727-2024")</f>
        <v/>
      </c>
      <c r="W71">
        <f>HYPERLINK("https://klasma.github.io/Logging_0883/klagomålsmail/A 58727-2024 FSC-klagomål mail.docx", "A 58727-2024")</f>
        <v/>
      </c>
      <c r="X71">
        <f>HYPERLINK("https://klasma.github.io/Logging_0883/tillsyn/A 58727-2024 tillsynsbegäran.docx", "A 58727-2024")</f>
        <v/>
      </c>
      <c r="Y71">
        <f>HYPERLINK("https://klasma.github.io/Logging_0883/tillsynsmail/A 58727-2024 tillsynsbegäran mail.docx", "A 58727-2024")</f>
        <v/>
      </c>
      <c r="Z71">
        <f>HYPERLINK("https://klasma.github.io/Logging_0883/fåglar/A 58727-2024 prioriterade fågelarter.docx", "A 58727-2024")</f>
        <v/>
      </c>
    </row>
    <row r="72" ht="15" customHeight="1">
      <c r="A72" t="inlineStr">
        <is>
          <t>A 938-2024</t>
        </is>
      </c>
      <c r="B72" s="1" t="n">
        <v>45301</v>
      </c>
      <c r="C72" s="1" t="n">
        <v>45895</v>
      </c>
      <c r="D72" t="inlineStr">
        <is>
          <t>KALMAR LÄN</t>
        </is>
      </c>
      <c r="E72" t="inlineStr">
        <is>
          <t>VÄSTERVIK</t>
        </is>
      </c>
      <c r="G72" t="n">
        <v>10</v>
      </c>
      <c r="H72" t="n">
        <v>1</v>
      </c>
      <c r="I72" t="n">
        <v>0</v>
      </c>
      <c r="J72" t="n">
        <v>3</v>
      </c>
      <c r="K72" t="n">
        <v>0</v>
      </c>
      <c r="L72" t="n">
        <v>0</v>
      </c>
      <c r="M72" t="n">
        <v>0</v>
      </c>
      <c r="N72" t="n">
        <v>0</v>
      </c>
      <c r="O72" t="n">
        <v>3</v>
      </c>
      <c r="P72" t="n">
        <v>0</v>
      </c>
      <c r="Q72" t="n">
        <v>4</v>
      </c>
      <c r="R72" s="2" t="inlineStr">
        <is>
          <t>Reliktbock
Tallticka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25280-2021</t>
        </is>
      </c>
      <c r="B73" s="1" t="n">
        <v>44342</v>
      </c>
      <c r="C73" s="1" t="n">
        <v>45895</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3781-2025</t>
        </is>
      </c>
      <c r="B74" s="1" t="n">
        <v>45681.62086805556</v>
      </c>
      <c r="C74" s="1" t="n">
        <v>45895</v>
      </c>
      <c r="D74" t="inlineStr">
        <is>
          <t>KALMAR LÄN</t>
        </is>
      </c>
      <c r="E74" t="inlineStr">
        <is>
          <t>VÄSTERVIK</t>
        </is>
      </c>
      <c r="G74" t="n">
        <v>1.4</v>
      </c>
      <c r="H74" t="n">
        <v>4</v>
      </c>
      <c r="I74" t="n">
        <v>0</v>
      </c>
      <c r="J74" t="n">
        <v>2</v>
      </c>
      <c r="K74" t="n">
        <v>0</v>
      </c>
      <c r="L74" t="n">
        <v>0</v>
      </c>
      <c r="M74" t="n">
        <v>0</v>
      </c>
      <c r="N74" t="n">
        <v>0</v>
      </c>
      <c r="O74" t="n">
        <v>2</v>
      </c>
      <c r="P74" t="n">
        <v>0</v>
      </c>
      <c r="Q74" t="n">
        <v>4</v>
      </c>
      <c r="R74" s="2" t="inlineStr">
        <is>
          <t>Spillkråka
Talltita
Kungsfågel
Revlummer</t>
        </is>
      </c>
      <c r="S74">
        <f>HYPERLINK("https://klasma.github.io/Logging_0883/artfynd/A 3781-2025 artfynd.xlsx", "A 3781-2025")</f>
        <v/>
      </c>
      <c r="T74">
        <f>HYPERLINK("https://klasma.github.io/Logging_0883/kartor/A 3781-2025 karta.png", "A 3781-2025")</f>
        <v/>
      </c>
      <c r="V74">
        <f>HYPERLINK("https://klasma.github.io/Logging_0883/klagomål/A 3781-2025 FSC-klagomål.docx", "A 3781-2025")</f>
        <v/>
      </c>
      <c r="W74">
        <f>HYPERLINK("https://klasma.github.io/Logging_0883/klagomålsmail/A 3781-2025 FSC-klagomål mail.docx", "A 3781-2025")</f>
        <v/>
      </c>
      <c r="X74">
        <f>HYPERLINK("https://klasma.github.io/Logging_0883/tillsyn/A 3781-2025 tillsynsbegäran.docx", "A 3781-2025")</f>
        <v/>
      </c>
      <c r="Y74">
        <f>HYPERLINK("https://klasma.github.io/Logging_0883/tillsynsmail/A 3781-2025 tillsynsbegäran mail.docx", "A 3781-2025")</f>
        <v/>
      </c>
      <c r="Z74">
        <f>HYPERLINK("https://klasma.github.io/Logging_0883/fåglar/A 3781-2025 prioriterade fågelarter.docx", "A 3781-2025")</f>
        <v/>
      </c>
    </row>
    <row r="75" ht="15" customHeight="1">
      <c r="A75" t="inlineStr">
        <is>
          <t>A 37438-2021</t>
        </is>
      </c>
      <c r="B75" s="1" t="n">
        <v>44398</v>
      </c>
      <c r="C75" s="1" t="n">
        <v>45895</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58955-2022</t>
        </is>
      </c>
      <c r="B76" s="1" t="n">
        <v>44896</v>
      </c>
      <c r="C76" s="1" t="n">
        <v>45895</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6472-2025</t>
        </is>
      </c>
      <c r="B77" s="1" t="n">
        <v>45699</v>
      </c>
      <c r="C77" s="1" t="n">
        <v>45895</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59319-2023</t>
        </is>
      </c>
      <c r="B78" s="1" t="n">
        <v>45253</v>
      </c>
      <c r="C78" s="1" t="n">
        <v>45895</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34644-2025</t>
        </is>
      </c>
      <c r="B79" s="1" t="n">
        <v>45848.33202546297</v>
      </c>
      <c r="C79" s="1" t="n">
        <v>45895</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45895</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9097-2021</t>
        </is>
      </c>
      <c r="B81" s="1" t="n">
        <v>44249</v>
      </c>
      <c r="C81" s="1" t="n">
        <v>45895</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45895</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45895</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27067-2024</t>
        </is>
      </c>
      <c r="B84" s="1" t="n">
        <v>45471</v>
      </c>
      <c r="C84" s="1" t="n">
        <v>45895</v>
      </c>
      <c r="D84" t="inlineStr">
        <is>
          <t>KALMAR LÄN</t>
        </is>
      </c>
      <c r="E84" t="inlineStr">
        <is>
          <t>VÄSTERVIK</t>
        </is>
      </c>
      <c r="F84" t="inlineStr">
        <is>
          <t>Holmen skog AB</t>
        </is>
      </c>
      <c r="G84" t="n">
        <v>8.4</v>
      </c>
      <c r="H84" t="n">
        <v>2</v>
      </c>
      <c r="I84" t="n">
        <v>0</v>
      </c>
      <c r="J84" t="n">
        <v>3</v>
      </c>
      <c r="K84" t="n">
        <v>0</v>
      </c>
      <c r="L84" t="n">
        <v>0</v>
      </c>
      <c r="M84" t="n">
        <v>0</v>
      </c>
      <c r="N84" t="n">
        <v>0</v>
      </c>
      <c r="O84" t="n">
        <v>3</v>
      </c>
      <c r="P84" t="n">
        <v>0</v>
      </c>
      <c r="Q84" t="n">
        <v>3</v>
      </c>
      <c r="R84" s="2" t="inlineStr">
        <is>
          <t>Ekticka
Spillkråka
Talltita</t>
        </is>
      </c>
      <c r="S84">
        <f>HYPERLINK("https://klasma.github.io/Logging_0883/artfynd/A 27067-2024 artfynd.xlsx", "A 27067-2024")</f>
        <v/>
      </c>
      <c r="T84">
        <f>HYPERLINK("https://klasma.github.io/Logging_0883/kartor/A 27067-2024 karta.png", "A 27067-2024")</f>
        <v/>
      </c>
      <c r="V84">
        <f>HYPERLINK("https://klasma.github.io/Logging_0883/klagomål/A 27067-2024 FSC-klagomål.docx", "A 27067-2024")</f>
        <v/>
      </c>
      <c r="W84">
        <f>HYPERLINK("https://klasma.github.io/Logging_0883/klagomålsmail/A 27067-2024 FSC-klagomål mail.docx", "A 27067-2024")</f>
        <v/>
      </c>
      <c r="X84">
        <f>HYPERLINK("https://klasma.github.io/Logging_0883/tillsyn/A 27067-2024 tillsynsbegäran.docx", "A 27067-2024")</f>
        <v/>
      </c>
      <c r="Y84">
        <f>HYPERLINK("https://klasma.github.io/Logging_0883/tillsynsmail/A 27067-2024 tillsynsbegäran mail.docx", "A 27067-2024")</f>
        <v/>
      </c>
      <c r="Z84">
        <f>HYPERLINK("https://klasma.github.io/Logging_0883/fåglar/A 27067-2024 prioriterade fågelarter.docx", "A 27067-2024")</f>
        <v/>
      </c>
    </row>
    <row r="85" ht="15" customHeight="1">
      <c r="A85" t="inlineStr">
        <is>
          <t>A 4454-2025</t>
        </is>
      </c>
      <c r="B85" s="1" t="n">
        <v>45686</v>
      </c>
      <c r="C85" s="1" t="n">
        <v>45895</v>
      </c>
      <c r="D85" t="inlineStr">
        <is>
          <t>KALMAR LÄN</t>
        </is>
      </c>
      <c r="E85" t="inlineStr">
        <is>
          <t>VÄSTERVIK</t>
        </is>
      </c>
      <c r="G85" t="n">
        <v>1</v>
      </c>
      <c r="H85" t="n">
        <v>2</v>
      </c>
      <c r="I85" t="n">
        <v>1</v>
      </c>
      <c r="J85" t="n">
        <v>0</v>
      </c>
      <c r="K85" t="n">
        <v>1</v>
      </c>
      <c r="L85" t="n">
        <v>0</v>
      </c>
      <c r="M85" t="n">
        <v>0</v>
      </c>
      <c r="N85" t="n">
        <v>0</v>
      </c>
      <c r="O85" t="n">
        <v>1</v>
      </c>
      <c r="P85" t="n">
        <v>1</v>
      </c>
      <c r="Q85" t="n">
        <v>3</v>
      </c>
      <c r="R85" s="2" t="inlineStr">
        <is>
          <t>Knärot
Grönpyrola
Kungsfågel</t>
        </is>
      </c>
      <c r="S85">
        <f>HYPERLINK("https://klasma.github.io/Logging_0883/artfynd/A 4454-2025 artfynd.xlsx", "A 4454-2025")</f>
        <v/>
      </c>
      <c r="T85">
        <f>HYPERLINK("https://klasma.github.io/Logging_0883/kartor/A 4454-2025 karta.png", "A 4454-2025")</f>
        <v/>
      </c>
      <c r="U85">
        <f>HYPERLINK("https://klasma.github.io/Logging_0883/knärot/A 4454-2025 karta knärot.png", "A 4454-2025")</f>
        <v/>
      </c>
      <c r="V85">
        <f>HYPERLINK("https://klasma.github.io/Logging_0883/klagomål/A 4454-2025 FSC-klagomål.docx", "A 4454-2025")</f>
        <v/>
      </c>
      <c r="W85">
        <f>HYPERLINK("https://klasma.github.io/Logging_0883/klagomålsmail/A 4454-2025 FSC-klagomål mail.docx", "A 4454-2025")</f>
        <v/>
      </c>
      <c r="X85">
        <f>HYPERLINK("https://klasma.github.io/Logging_0883/tillsyn/A 4454-2025 tillsynsbegäran.docx", "A 4454-2025")</f>
        <v/>
      </c>
      <c r="Y85">
        <f>HYPERLINK("https://klasma.github.io/Logging_0883/tillsynsmail/A 4454-2025 tillsynsbegäran mail.docx", "A 4454-2025")</f>
        <v/>
      </c>
      <c r="Z85">
        <f>HYPERLINK("https://klasma.github.io/Logging_0883/fåglar/A 4454-2025 prioriterade fågelarter.docx", "A 4454-2025")</f>
        <v/>
      </c>
    </row>
    <row r="86" ht="15" customHeight="1">
      <c r="A86" t="inlineStr">
        <is>
          <t>A 58750-2024</t>
        </is>
      </c>
      <c r="B86" s="1" t="n">
        <v>45635.71747685185</v>
      </c>
      <c r="C86" s="1" t="n">
        <v>45895</v>
      </c>
      <c r="D86" t="inlineStr">
        <is>
          <t>KALMAR LÄN</t>
        </is>
      </c>
      <c r="E86" t="inlineStr">
        <is>
          <t>VÄSTERVIK</t>
        </is>
      </c>
      <c r="G86" t="n">
        <v>6.7</v>
      </c>
      <c r="H86" t="n">
        <v>1</v>
      </c>
      <c r="I86" t="n">
        <v>1</v>
      </c>
      <c r="J86" t="n">
        <v>1</v>
      </c>
      <c r="K86" t="n">
        <v>1</v>
      </c>
      <c r="L86" t="n">
        <v>0</v>
      </c>
      <c r="M86" t="n">
        <v>0</v>
      </c>
      <c r="N86" t="n">
        <v>0</v>
      </c>
      <c r="O86" t="n">
        <v>2</v>
      </c>
      <c r="P86" t="n">
        <v>1</v>
      </c>
      <c r="Q86" t="n">
        <v>3</v>
      </c>
      <c r="R86" s="2" t="inlineStr">
        <is>
          <t>Knärot
Tallticka
Blåmossa</t>
        </is>
      </c>
      <c r="S86">
        <f>HYPERLINK("https://klasma.github.io/Logging_0883/artfynd/A 58750-2024 artfynd.xlsx", "A 58750-2024")</f>
        <v/>
      </c>
      <c r="T86">
        <f>HYPERLINK("https://klasma.github.io/Logging_0883/kartor/A 58750-2024 karta.png", "A 58750-2024")</f>
        <v/>
      </c>
      <c r="U86">
        <f>HYPERLINK("https://klasma.github.io/Logging_0883/knärot/A 58750-2024 karta knärot.png", "A 58750-2024")</f>
        <v/>
      </c>
      <c r="V86">
        <f>HYPERLINK("https://klasma.github.io/Logging_0883/klagomål/A 58750-2024 FSC-klagomål.docx", "A 58750-2024")</f>
        <v/>
      </c>
      <c r="W86">
        <f>HYPERLINK("https://klasma.github.io/Logging_0883/klagomålsmail/A 58750-2024 FSC-klagomål mail.docx", "A 58750-2024")</f>
        <v/>
      </c>
      <c r="X86">
        <f>HYPERLINK("https://klasma.github.io/Logging_0883/tillsyn/A 58750-2024 tillsynsbegäran.docx", "A 58750-2024")</f>
        <v/>
      </c>
      <c r="Y86">
        <f>HYPERLINK("https://klasma.github.io/Logging_0883/tillsynsmail/A 58750-2024 tillsynsbegäran mail.docx", "A 58750-2024")</f>
        <v/>
      </c>
    </row>
    <row r="87" ht="15" customHeight="1">
      <c r="A87" t="inlineStr">
        <is>
          <t>A 52992-2024</t>
        </is>
      </c>
      <c r="B87" s="1" t="n">
        <v>45611</v>
      </c>
      <c r="C87" s="1" t="n">
        <v>45895</v>
      </c>
      <c r="D87" t="inlineStr">
        <is>
          <t>KALMAR LÄN</t>
        </is>
      </c>
      <c r="E87" t="inlineStr">
        <is>
          <t>VÄSTERVIK</t>
        </is>
      </c>
      <c r="F87" t="inlineStr">
        <is>
          <t>Holmen skog AB</t>
        </is>
      </c>
      <c r="G87" t="n">
        <v>5.5</v>
      </c>
      <c r="H87" t="n">
        <v>2</v>
      </c>
      <c r="I87" t="n">
        <v>1</v>
      </c>
      <c r="J87" t="n">
        <v>2</v>
      </c>
      <c r="K87" t="n">
        <v>0</v>
      </c>
      <c r="L87" t="n">
        <v>0</v>
      </c>
      <c r="M87" t="n">
        <v>0</v>
      </c>
      <c r="N87" t="n">
        <v>0</v>
      </c>
      <c r="O87" t="n">
        <v>2</v>
      </c>
      <c r="P87" t="n">
        <v>0</v>
      </c>
      <c r="Q87" t="n">
        <v>3</v>
      </c>
      <c r="R87" s="2" t="inlineStr">
        <is>
          <t>Spillkråka
Talltita
Brandticka</t>
        </is>
      </c>
      <c r="S87">
        <f>HYPERLINK("https://klasma.github.io/Logging_0883/artfynd/A 52992-2024 artfynd.xlsx", "A 52992-2024")</f>
        <v/>
      </c>
      <c r="T87">
        <f>HYPERLINK("https://klasma.github.io/Logging_0883/kartor/A 52992-2024 karta.png", "A 52992-2024")</f>
        <v/>
      </c>
      <c r="V87">
        <f>HYPERLINK("https://klasma.github.io/Logging_0883/klagomål/A 52992-2024 FSC-klagomål.docx", "A 52992-2024")</f>
        <v/>
      </c>
      <c r="W87">
        <f>HYPERLINK("https://klasma.github.io/Logging_0883/klagomålsmail/A 52992-2024 FSC-klagomål mail.docx", "A 52992-2024")</f>
        <v/>
      </c>
      <c r="X87">
        <f>HYPERLINK("https://klasma.github.io/Logging_0883/tillsyn/A 52992-2024 tillsynsbegäran.docx", "A 52992-2024")</f>
        <v/>
      </c>
      <c r="Y87">
        <f>HYPERLINK("https://klasma.github.io/Logging_0883/tillsynsmail/A 52992-2024 tillsynsbegäran mail.docx", "A 52992-2024")</f>
        <v/>
      </c>
      <c r="Z87">
        <f>HYPERLINK("https://klasma.github.io/Logging_0883/fåglar/A 52992-2024 prioriterade fågelarter.docx", "A 52992-2024")</f>
        <v/>
      </c>
    </row>
    <row r="88" ht="15" customHeight="1">
      <c r="A88" t="inlineStr">
        <is>
          <t>A 1763-2025</t>
        </is>
      </c>
      <c r="B88" s="1" t="n">
        <v>45671</v>
      </c>
      <c r="C88" s="1" t="n">
        <v>45895</v>
      </c>
      <c r="D88" t="inlineStr">
        <is>
          <t>KALMAR LÄN</t>
        </is>
      </c>
      <c r="E88" t="inlineStr">
        <is>
          <t>VÄSTERVIK</t>
        </is>
      </c>
      <c r="G88" t="n">
        <v>1.1</v>
      </c>
      <c r="H88" t="n">
        <v>2</v>
      </c>
      <c r="I88" t="n">
        <v>1</v>
      </c>
      <c r="J88" t="n">
        <v>2</v>
      </c>
      <c r="K88" t="n">
        <v>0</v>
      </c>
      <c r="L88" t="n">
        <v>0</v>
      </c>
      <c r="M88" t="n">
        <v>0</v>
      </c>
      <c r="N88" t="n">
        <v>0</v>
      </c>
      <c r="O88" t="n">
        <v>2</v>
      </c>
      <c r="P88" t="n">
        <v>0</v>
      </c>
      <c r="Q88" t="n">
        <v>3</v>
      </c>
      <c r="R88" s="2" t="inlineStr">
        <is>
          <t>Spillkråka
Talltita
Blåmossa</t>
        </is>
      </c>
      <c r="S88">
        <f>HYPERLINK("https://klasma.github.io/Logging_0883/artfynd/A 1763-2025 artfynd.xlsx", "A 1763-2025")</f>
        <v/>
      </c>
      <c r="T88">
        <f>HYPERLINK("https://klasma.github.io/Logging_0883/kartor/A 1763-2025 karta.png", "A 1763-2025")</f>
        <v/>
      </c>
      <c r="V88">
        <f>HYPERLINK("https://klasma.github.io/Logging_0883/klagomål/A 1763-2025 FSC-klagomål.docx", "A 1763-2025")</f>
        <v/>
      </c>
      <c r="W88">
        <f>HYPERLINK("https://klasma.github.io/Logging_0883/klagomålsmail/A 1763-2025 FSC-klagomål mail.docx", "A 1763-2025")</f>
        <v/>
      </c>
      <c r="X88">
        <f>HYPERLINK("https://klasma.github.io/Logging_0883/tillsyn/A 1763-2025 tillsynsbegäran.docx", "A 1763-2025")</f>
        <v/>
      </c>
      <c r="Y88">
        <f>HYPERLINK("https://klasma.github.io/Logging_0883/tillsynsmail/A 1763-2025 tillsynsbegäran mail.docx", "A 1763-2025")</f>
        <v/>
      </c>
      <c r="Z88">
        <f>HYPERLINK("https://klasma.github.io/Logging_0883/fåglar/A 1763-2025 prioriterade fågelarter.docx", "A 1763-2025")</f>
        <v/>
      </c>
    </row>
    <row r="89" ht="15" customHeight="1">
      <c r="A89" t="inlineStr">
        <is>
          <t>A 1764-2025</t>
        </is>
      </c>
      <c r="B89" s="1" t="n">
        <v>45671</v>
      </c>
      <c r="C89" s="1" t="n">
        <v>45895</v>
      </c>
      <c r="D89" t="inlineStr">
        <is>
          <t>KALMAR LÄN</t>
        </is>
      </c>
      <c r="E89" t="inlineStr">
        <is>
          <t>VÄSTERVIK</t>
        </is>
      </c>
      <c r="G89" t="n">
        <v>1.8</v>
      </c>
      <c r="H89" t="n">
        <v>1</v>
      </c>
      <c r="I89" t="n">
        <v>1</v>
      </c>
      <c r="J89" t="n">
        <v>1</v>
      </c>
      <c r="K89" t="n">
        <v>1</v>
      </c>
      <c r="L89" t="n">
        <v>0</v>
      </c>
      <c r="M89" t="n">
        <v>0</v>
      </c>
      <c r="N89" t="n">
        <v>0</v>
      </c>
      <c r="O89" t="n">
        <v>2</v>
      </c>
      <c r="P89" t="n">
        <v>1</v>
      </c>
      <c r="Q89" t="n">
        <v>3</v>
      </c>
      <c r="R89" s="2" t="inlineStr">
        <is>
          <t>Knärot
Ullticka
Grovticka</t>
        </is>
      </c>
      <c r="S89">
        <f>HYPERLINK("https://klasma.github.io/Logging_0883/artfynd/A 1764-2025 artfynd.xlsx", "A 1764-2025")</f>
        <v/>
      </c>
      <c r="T89">
        <f>HYPERLINK("https://klasma.github.io/Logging_0883/kartor/A 1764-2025 karta.png", "A 1764-2025")</f>
        <v/>
      </c>
      <c r="U89">
        <f>HYPERLINK("https://klasma.github.io/Logging_0883/knärot/A 1764-2025 karta knärot.png", "A 1764-2025")</f>
        <v/>
      </c>
      <c r="V89">
        <f>HYPERLINK("https://klasma.github.io/Logging_0883/klagomål/A 1764-2025 FSC-klagomål.docx", "A 1764-2025")</f>
        <v/>
      </c>
      <c r="W89">
        <f>HYPERLINK("https://klasma.github.io/Logging_0883/klagomålsmail/A 1764-2025 FSC-klagomål mail.docx", "A 1764-2025")</f>
        <v/>
      </c>
      <c r="X89">
        <f>HYPERLINK("https://klasma.github.io/Logging_0883/tillsyn/A 1764-2025 tillsynsbegäran.docx", "A 1764-2025")</f>
        <v/>
      </c>
      <c r="Y89">
        <f>HYPERLINK("https://klasma.github.io/Logging_0883/tillsynsmail/A 1764-2025 tillsynsbegäran mail.docx", "A 1764-2025")</f>
        <v/>
      </c>
    </row>
    <row r="90" ht="15" customHeight="1">
      <c r="A90" t="inlineStr">
        <is>
          <t>A 39190-2024</t>
        </is>
      </c>
      <c r="B90" s="1" t="n">
        <v>45548</v>
      </c>
      <c r="C90" s="1" t="n">
        <v>45895</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2657-2024</t>
        </is>
      </c>
      <c r="B91" s="1" t="n">
        <v>45314</v>
      </c>
      <c r="C91" s="1" t="n">
        <v>45895</v>
      </c>
      <c r="D91" t="inlineStr">
        <is>
          <t>KALMAR LÄN</t>
        </is>
      </c>
      <c r="E91" t="inlineStr">
        <is>
          <t>VÄSTERVIK</t>
        </is>
      </c>
      <c r="G91" t="n">
        <v>5.9</v>
      </c>
      <c r="H91" t="n">
        <v>2</v>
      </c>
      <c r="I91" t="n">
        <v>1</v>
      </c>
      <c r="J91" t="n">
        <v>1</v>
      </c>
      <c r="K91" t="n">
        <v>1</v>
      </c>
      <c r="L91" t="n">
        <v>0</v>
      </c>
      <c r="M91" t="n">
        <v>0</v>
      </c>
      <c r="N91" t="n">
        <v>0</v>
      </c>
      <c r="O91" t="n">
        <v>2</v>
      </c>
      <c r="P91" t="n">
        <v>1</v>
      </c>
      <c r="Q91" t="n">
        <v>3</v>
      </c>
      <c r="R91" s="2" t="inlineStr">
        <is>
          <t>Knärot
Spillkråka
Grönpyrola</t>
        </is>
      </c>
      <c r="S91">
        <f>HYPERLINK("https://klasma.github.io/Logging_0883/artfynd/A 2657-2024 artfynd.xlsx", "A 2657-2024")</f>
        <v/>
      </c>
      <c r="T91">
        <f>HYPERLINK("https://klasma.github.io/Logging_0883/kartor/A 2657-2024 karta.png", "A 2657-2024")</f>
        <v/>
      </c>
      <c r="U91">
        <f>HYPERLINK("https://klasma.github.io/Logging_0883/knärot/A 2657-2024 karta knärot.png", "A 2657-2024")</f>
        <v/>
      </c>
      <c r="V91">
        <f>HYPERLINK("https://klasma.github.io/Logging_0883/klagomål/A 2657-2024 FSC-klagomål.docx", "A 2657-2024")</f>
        <v/>
      </c>
      <c r="W91">
        <f>HYPERLINK("https://klasma.github.io/Logging_0883/klagomålsmail/A 2657-2024 FSC-klagomål mail.docx", "A 2657-2024")</f>
        <v/>
      </c>
      <c r="X91">
        <f>HYPERLINK("https://klasma.github.io/Logging_0883/tillsyn/A 2657-2024 tillsynsbegäran.docx", "A 2657-2024")</f>
        <v/>
      </c>
      <c r="Y91">
        <f>HYPERLINK("https://klasma.github.io/Logging_0883/tillsynsmail/A 2657-2024 tillsynsbegäran mail.docx", "A 2657-2024")</f>
        <v/>
      </c>
      <c r="Z91">
        <f>HYPERLINK("https://klasma.github.io/Logging_0883/fåglar/A 2657-2024 prioriterade fågelarter.docx", "A 2657-2024")</f>
        <v/>
      </c>
    </row>
    <row r="92" ht="15" customHeight="1">
      <c r="A92" t="inlineStr">
        <is>
          <t>A 16948-2024</t>
        </is>
      </c>
      <c r="B92" s="1" t="n">
        <v>45411</v>
      </c>
      <c r="C92" s="1" t="n">
        <v>45895</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35705-2025</t>
        </is>
      </c>
      <c r="B93" s="1" t="n">
        <v>45860.36769675926</v>
      </c>
      <c r="C93" s="1" t="n">
        <v>45895</v>
      </c>
      <c r="D93" t="inlineStr">
        <is>
          <t>KALMAR LÄN</t>
        </is>
      </c>
      <c r="E93" t="inlineStr">
        <is>
          <t>VÄSTERVIK</t>
        </is>
      </c>
      <c r="G93" t="n">
        <v>2.5</v>
      </c>
      <c r="H93" t="n">
        <v>2</v>
      </c>
      <c r="I93" t="n">
        <v>1</v>
      </c>
      <c r="J93" t="n">
        <v>1</v>
      </c>
      <c r="K93" t="n">
        <v>0</v>
      </c>
      <c r="L93" t="n">
        <v>0</v>
      </c>
      <c r="M93" t="n">
        <v>0</v>
      </c>
      <c r="N93" t="n">
        <v>0</v>
      </c>
      <c r="O93" t="n">
        <v>1</v>
      </c>
      <c r="P93" t="n">
        <v>0</v>
      </c>
      <c r="Q93" t="n">
        <v>3</v>
      </c>
      <c r="R93" s="2" t="inlineStr">
        <is>
          <t>Talltita
Grovticka
Kungsfågel</t>
        </is>
      </c>
      <c r="S93">
        <f>HYPERLINK("https://klasma.github.io/Logging_0883/artfynd/A 35705-2025 artfynd.xlsx", "A 35705-2025")</f>
        <v/>
      </c>
      <c r="T93">
        <f>HYPERLINK("https://klasma.github.io/Logging_0883/kartor/A 35705-2025 karta.png", "A 35705-2025")</f>
        <v/>
      </c>
      <c r="U93">
        <f>HYPERLINK("https://klasma.github.io/Logging_0883/knärot/A 35705-2025 karta knärot.png", "A 35705-2025")</f>
        <v/>
      </c>
      <c r="V93">
        <f>HYPERLINK("https://klasma.github.io/Logging_0883/klagomål/A 35705-2025 FSC-klagomål.docx", "A 35705-2025")</f>
        <v/>
      </c>
      <c r="W93">
        <f>HYPERLINK("https://klasma.github.io/Logging_0883/klagomålsmail/A 35705-2025 FSC-klagomål mail.docx", "A 35705-2025")</f>
        <v/>
      </c>
      <c r="X93">
        <f>HYPERLINK("https://klasma.github.io/Logging_0883/tillsyn/A 35705-2025 tillsynsbegäran.docx", "A 35705-2025")</f>
        <v/>
      </c>
      <c r="Y93">
        <f>HYPERLINK("https://klasma.github.io/Logging_0883/tillsynsmail/A 35705-2025 tillsynsbegäran mail.docx", "A 35705-2025")</f>
        <v/>
      </c>
      <c r="Z93">
        <f>HYPERLINK("https://klasma.github.io/Logging_0883/fåglar/A 35705-2025 prioriterade fågelarter.docx", "A 35705-2025")</f>
        <v/>
      </c>
    </row>
    <row r="94" ht="15" customHeight="1">
      <c r="A94" t="inlineStr">
        <is>
          <t>A 36109-2025</t>
        </is>
      </c>
      <c r="B94" s="1" t="n">
        <v>45866.56780092593</v>
      </c>
      <c r="C94" s="1" t="n">
        <v>45895</v>
      </c>
      <c r="D94" t="inlineStr">
        <is>
          <t>KALMAR LÄN</t>
        </is>
      </c>
      <c r="E94" t="inlineStr">
        <is>
          <t>VÄSTERVIK</t>
        </is>
      </c>
      <c r="G94" t="n">
        <v>12.5</v>
      </c>
      <c r="H94" t="n">
        <v>1</v>
      </c>
      <c r="I94" t="n">
        <v>2</v>
      </c>
      <c r="J94" t="n">
        <v>0</v>
      </c>
      <c r="K94" t="n">
        <v>1</v>
      </c>
      <c r="L94" t="n">
        <v>0</v>
      </c>
      <c r="M94" t="n">
        <v>0</v>
      </c>
      <c r="N94" t="n">
        <v>0</v>
      </c>
      <c r="O94" t="n">
        <v>1</v>
      </c>
      <c r="P94" t="n">
        <v>1</v>
      </c>
      <c r="Q94" t="n">
        <v>3</v>
      </c>
      <c r="R94" s="2" t="inlineStr">
        <is>
          <t>Knärot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12708-2023</t>
        </is>
      </c>
      <c r="B95" s="1" t="n">
        <v>45000</v>
      </c>
      <c r="C95" s="1" t="n">
        <v>45895</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8620-2024</t>
        </is>
      </c>
      <c r="B96" s="1" t="n">
        <v>45355.74270833333</v>
      </c>
      <c r="C96" s="1" t="n">
        <v>45895</v>
      </c>
      <c r="D96" t="inlineStr">
        <is>
          <t>KALMAR LÄN</t>
        </is>
      </c>
      <c r="E96" t="inlineStr">
        <is>
          <t>VÄSTERVIK</t>
        </is>
      </c>
      <c r="G96" t="n">
        <v>0.9</v>
      </c>
      <c r="H96" t="n">
        <v>2</v>
      </c>
      <c r="I96" t="n">
        <v>1</v>
      </c>
      <c r="J96" t="n">
        <v>1</v>
      </c>
      <c r="K96" t="n">
        <v>1</v>
      </c>
      <c r="L96" t="n">
        <v>0</v>
      </c>
      <c r="M96" t="n">
        <v>0</v>
      </c>
      <c r="N96" t="n">
        <v>0</v>
      </c>
      <c r="O96" t="n">
        <v>2</v>
      </c>
      <c r="P96" t="n">
        <v>1</v>
      </c>
      <c r="Q96" t="n">
        <v>3</v>
      </c>
      <c r="R96" s="2" t="inlineStr">
        <is>
          <t>Knärot
Talltita
Blodticka</t>
        </is>
      </c>
      <c r="S96">
        <f>HYPERLINK("https://klasma.github.io/Logging_0883/artfynd/A 8620-2024 artfynd.xlsx", "A 8620-2024")</f>
        <v/>
      </c>
      <c r="T96">
        <f>HYPERLINK("https://klasma.github.io/Logging_0883/kartor/A 8620-2024 karta.png", "A 8620-2024")</f>
        <v/>
      </c>
      <c r="U96">
        <f>HYPERLINK("https://klasma.github.io/Logging_0883/knärot/A 8620-2024 karta knärot.png", "A 8620-2024")</f>
        <v/>
      </c>
      <c r="V96">
        <f>HYPERLINK("https://klasma.github.io/Logging_0883/klagomål/A 8620-2024 FSC-klagomål.docx", "A 8620-2024")</f>
        <v/>
      </c>
      <c r="W96">
        <f>HYPERLINK("https://klasma.github.io/Logging_0883/klagomålsmail/A 8620-2024 FSC-klagomål mail.docx", "A 8620-2024")</f>
        <v/>
      </c>
      <c r="X96">
        <f>HYPERLINK("https://klasma.github.io/Logging_0883/tillsyn/A 8620-2024 tillsynsbegäran.docx", "A 8620-2024")</f>
        <v/>
      </c>
      <c r="Y96">
        <f>HYPERLINK("https://klasma.github.io/Logging_0883/tillsynsmail/A 8620-2024 tillsynsbegäran mail.docx", "A 8620-2024")</f>
        <v/>
      </c>
      <c r="Z96">
        <f>HYPERLINK("https://klasma.github.io/Logging_0883/fåglar/A 8620-2024 prioriterade fågelarter.docx", "A 8620-2024")</f>
        <v/>
      </c>
    </row>
    <row r="97" ht="15" customHeight="1">
      <c r="A97" t="inlineStr">
        <is>
          <t>A 21658-2025</t>
        </is>
      </c>
      <c r="B97" s="1" t="n">
        <v>45783.45474537037</v>
      </c>
      <c r="C97" s="1" t="n">
        <v>45895</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13956-2025</t>
        </is>
      </c>
      <c r="B98" s="1" t="n">
        <v>45737</v>
      </c>
      <c r="C98" s="1" t="n">
        <v>45895</v>
      </c>
      <c r="D98" t="inlineStr">
        <is>
          <t>KALMAR LÄN</t>
        </is>
      </c>
      <c r="E98" t="inlineStr">
        <is>
          <t>VÄSTERVIK</t>
        </is>
      </c>
      <c r="G98" t="n">
        <v>2.5</v>
      </c>
      <c r="H98" t="n">
        <v>2</v>
      </c>
      <c r="I98" t="n">
        <v>1</v>
      </c>
      <c r="J98" t="n">
        <v>1</v>
      </c>
      <c r="K98" t="n">
        <v>1</v>
      </c>
      <c r="L98" t="n">
        <v>0</v>
      </c>
      <c r="M98" t="n">
        <v>0</v>
      </c>
      <c r="N98" t="n">
        <v>0</v>
      </c>
      <c r="O98" t="n">
        <v>2</v>
      </c>
      <c r="P98" t="n">
        <v>1</v>
      </c>
      <c r="Q98" t="n">
        <v>3</v>
      </c>
      <c r="R98" s="2" t="inlineStr">
        <is>
          <t>Knärot
Mindre hackspett
Grönpyrola</t>
        </is>
      </c>
      <c r="S98">
        <f>HYPERLINK("https://klasma.github.io/Logging_0883/artfynd/A 13956-2025 artfynd.xlsx", "A 13956-2025")</f>
        <v/>
      </c>
      <c r="T98">
        <f>HYPERLINK("https://klasma.github.io/Logging_0883/kartor/A 13956-2025 karta.png", "A 13956-2025")</f>
        <v/>
      </c>
      <c r="U98">
        <f>HYPERLINK("https://klasma.github.io/Logging_0883/knärot/A 13956-2025 karta knärot.png", "A 13956-2025")</f>
        <v/>
      </c>
      <c r="V98">
        <f>HYPERLINK("https://klasma.github.io/Logging_0883/klagomål/A 13956-2025 FSC-klagomål.docx", "A 13956-2025")</f>
        <v/>
      </c>
      <c r="W98">
        <f>HYPERLINK("https://klasma.github.io/Logging_0883/klagomålsmail/A 13956-2025 FSC-klagomål mail.docx", "A 13956-2025")</f>
        <v/>
      </c>
      <c r="X98">
        <f>HYPERLINK("https://klasma.github.io/Logging_0883/tillsyn/A 13956-2025 tillsynsbegäran.docx", "A 13956-2025")</f>
        <v/>
      </c>
      <c r="Y98">
        <f>HYPERLINK("https://klasma.github.io/Logging_0883/tillsynsmail/A 13956-2025 tillsynsbegäran mail.docx", "A 13956-2025")</f>
        <v/>
      </c>
      <c r="Z98">
        <f>HYPERLINK("https://klasma.github.io/Logging_0883/fåglar/A 13956-2025 prioriterade fågelarter.docx", "A 13956-2025")</f>
        <v/>
      </c>
    </row>
    <row r="99" ht="15" customHeight="1">
      <c r="A99" t="inlineStr">
        <is>
          <t>A 2340-2025</t>
        </is>
      </c>
      <c r="B99" s="1" t="n">
        <v>45673</v>
      </c>
      <c r="C99" s="1" t="n">
        <v>45895</v>
      </c>
      <c r="D99" t="inlineStr">
        <is>
          <t>KALMAR LÄN</t>
        </is>
      </c>
      <c r="E99" t="inlineStr">
        <is>
          <t>VÄSTERVIK</t>
        </is>
      </c>
      <c r="G99" t="n">
        <v>3.5</v>
      </c>
      <c r="H99" t="n">
        <v>3</v>
      </c>
      <c r="I99" t="n">
        <v>0</v>
      </c>
      <c r="J99" t="n">
        <v>2</v>
      </c>
      <c r="K99" t="n">
        <v>0</v>
      </c>
      <c r="L99" t="n">
        <v>0</v>
      </c>
      <c r="M99" t="n">
        <v>0</v>
      </c>
      <c r="N99" t="n">
        <v>0</v>
      </c>
      <c r="O99" t="n">
        <v>2</v>
      </c>
      <c r="P99" t="n">
        <v>0</v>
      </c>
      <c r="Q99" t="n">
        <v>3</v>
      </c>
      <c r="R99" s="2" t="inlineStr">
        <is>
          <t>Spillkråka
Talltita
Kungsfågel</t>
        </is>
      </c>
      <c r="S99">
        <f>HYPERLINK("https://klasma.github.io/Logging_0883/artfynd/A 2340-2025 artfynd.xlsx", "A 2340-2025")</f>
        <v/>
      </c>
      <c r="T99">
        <f>HYPERLINK("https://klasma.github.io/Logging_0883/kartor/A 2340-2025 karta.png", "A 2340-2025")</f>
        <v/>
      </c>
      <c r="U99">
        <f>HYPERLINK("https://klasma.github.io/Logging_0883/knärot/A 2340-2025 karta knärot.png", "A 2340-2025")</f>
        <v/>
      </c>
      <c r="V99">
        <f>HYPERLINK("https://klasma.github.io/Logging_0883/klagomål/A 2340-2025 FSC-klagomål.docx", "A 2340-2025")</f>
        <v/>
      </c>
      <c r="W99">
        <f>HYPERLINK("https://klasma.github.io/Logging_0883/klagomålsmail/A 2340-2025 FSC-klagomål mail.docx", "A 2340-2025")</f>
        <v/>
      </c>
      <c r="X99">
        <f>HYPERLINK("https://klasma.github.io/Logging_0883/tillsyn/A 2340-2025 tillsynsbegäran.docx", "A 2340-2025")</f>
        <v/>
      </c>
      <c r="Y99">
        <f>HYPERLINK("https://klasma.github.io/Logging_0883/tillsynsmail/A 2340-2025 tillsynsbegäran mail.docx", "A 2340-2025")</f>
        <v/>
      </c>
      <c r="Z99">
        <f>HYPERLINK("https://klasma.github.io/Logging_0883/fåglar/A 2340-2025 prioriterade fågelarter.docx", "A 2340-2025")</f>
        <v/>
      </c>
    </row>
    <row r="100" ht="15" customHeight="1">
      <c r="A100" t="inlineStr">
        <is>
          <t>A 31854-2025</t>
        </is>
      </c>
      <c r="B100" s="1" t="n">
        <v>45834</v>
      </c>
      <c r="C100" s="1" t="n">
        <v>45895</v>
      </c>
      <c r="D100" t="inlineStr">
        <is>
          <t>KALMAR LÄN</t>
        </is>
      </c>
      <c r="E100" t="inlineStr">
        <is>
          <t>VÄSTERVIK</t>
        </is>
      </c>
      <c r="F100" t="inlineStr">
        <is>
          <t>Holmen skog AB</t>
        </is>
      </c>
      <c r="G100" t="n">
        <v>4.3</v>
      </c>
      <c r="H100" t="n">
        <v>2</v>
      </c>
      <c r="I100" t="n">
        <v>1</v>
      </c>
      <c r="J100" t="n">
        <v>1</v>
      </c>
      <c r="K100" t="n">
        <v>1</v>
      </c>
      <c r="L100" t="n">
        <v>0</v>
      </c>
      <c r="M100" t="n">
        <v>0</v>
      </c>
      <c r="N100" t="n">
        <v>0</v>
      </c>
      <c r="O100" t="n">
        <v>2</v>
      </c>
      <c r="P100" t="n">
        <v>1</v>
      </c>
      <c r="Q100" t="n">
        <v>3</v>
      </c>
      <c r="R100" s="2" t="inlineStr">
        <is>
          <t>Knärot
Talltita
Grönpyrola</t>
        </is>
      </c>
      <c r="S100">
        <f>HYPERLINK("https://klasma.github.io/Logging_0883/artfynd/A 31854-2025 artfynd.xlsx", "A 31854-2025")</f>
        <v/>
      </c>
      <c r="T100">
        <f>HYPERLINK("https://klasma.github.io/Logging_0883/kartor/A 31854-2025 karta.png", "A 31854-2025")</f>
        <v/>
      </c>
      <c r="U100">
        <f>HYPERLINK("https://klasma.github.io/Logging_0883/knärot/A 31854-2025 karta knärot.png", "A 31854-2025")</f>
        <v/>
      </c>
      <c r="V100">
        <f>HYPERLINK("https://klasma.github.io/Logging_0883/klagomål/A 31854-2025 FSC-klagomål.docx", "A 31854-2025")</f>
        <v/>
      </c>
      <c r="W100">
        <f>HYPERLINK("https://klasma.github.io/Logging_0883/klagomålsmail/A 31854-2025 FSC-klagomål mail.docx", "A 31854-2025")</f>
        <v/>
      </c>
      <c r="X100">
        <f>HYPERLINK("https://klasma.github.io/Logging_0883/tillsyn/A 31854-2025 tillsynsbegäran.docx", "A 31854-2025")</f>
        <v/>
      </c>
      <c r="Y100">
        <f>HYPERLINK("https://klasma.github.io/Logging_0883/tillsynsmail/A 31854-2025 tillsynsbegäran mail.docx", "A 31854-2025")</f>
        <v/>
      </c>
      <c r="Z100">
        <f>HYPERLINK("https://klasma.github.io/Logging_0883/fåglar/A 31854-2025 prioriterade fågelarter.docx", "A 31854-2025")</f>
        <v/>
      </c>
    </row>
    <row r="101" ht="15" customHeight="1">
      <c r="A101" t="inlineStr">
        <is>
          <t>A 804-2023</t>
        </is>
      </c>
      <c r="B101" s="1" t="n">
        <v>44931</v>
      </c>
      <c r="C101" s="1" t="n">
        <v>45895</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51590-2024</t>
        </is>
      </c>
      <c r="B102" s="1" t="n">
        <v>45604</v>
      </c>
      <c r="C102" s="1" t="n">
        <v>45895</v>
      </c>
      <c r="D102" t="inlineStr">
        <is>
          <t>KALMAR LÄN</t>
        </is>
      </c>
      <c r="E102" t="inlineStr">
        <is>
          <t>VÄSTERVIK</t>
        </is>
      </c>
      <c r="F102" t="inlineStr">
        <is>
          <t>Övriga Aktiebolag</t>
        </is>
      </c>
      <c r="G102" t="n">
        <v>2.3</v>
      </c>
      <c r="H102" t="n">
        <v>3</v>
      </c>
      <c r="I102" t="n">
        <v>0</v>
      </c>
      <c r="J102" t="n">
        <v>2</v>
      </c>
      <c r="K102" t="n">
        <v>1</v>
      </c>
      <c r="L102" t="n">
        <v>0</v>
      </c>
      <c r="M102" t="n">
        <v>0</v>
      </c>
      <c r="N102" t="n">
        <v>0</v>
      </c>
      <c r="O102" t="n">
        <v>3</v>
      </c>
      <c r="P102" t="n">
        <v>1</v>
      </c>
      <c r="Q102" t="n">
        <v>3</v>
      </c>
      <c r="R102" s="2" t="inlineStr">
        <is>
          <t>Knärot
Spillkråka
Talltita</t>
        </is>
      </c>
      <c r="S102">
        <f>HYPERLINK("https://klasma.github.io/Logging_0883/artfynd/A 51590-2024 artfynd.xlsx", "A 51590-2024")</f>
        <v/>
      </c>
      <c r="T102">
        <f>HYPERLINK("https://klasma.github.io/Logging_0883/kartor/A 51590-2024 karta.png", "A 51590-2024")</f>
        <v/>
      </c>
      <c r="U102">
        <f>HYPERLINK("https://klasma.github.io/Logging_0883/knärot/A 51590-2024 karta knärot.png", "A 51590-2024")</f>
        <v/>
      </c>
      <c r="V102">
        <f>HYPERLINK("https://klasma.github.io/Logging_0883/klagomål/A 51590-2024 FSC-klagomål.docx", "A 51590-2024")</f>
        <v/>
      </c>
      <c r="W102">
        <f>HYPERLINK("https://klasma.github.io/Logging_0883/klagomålsmail/A 51590-2024 FSC-klagomål mail.docx", "A 51590-2024")</f>
        <v/>
      </c>
      <c r="X102">
        <f>HYPERLINK("https://klasma.github.io/Logging_0883/tillsyn/A 51590-2024 tillsynsbegäran.docx", "A 51590-2024")</f>
        <v/>
      </c>
      <c r="Y102">
        <f>HYPERLINK("https://klasma.github.io/Logging_0883/tillsynsmail/A 51590-2024 tillsynsbegäran mail.docx", "A 51590-2024")</f>
        <v/>
      </c>
      <c r="Z102">
        <f>HYPERLINK("https://klasma.github.io/Logging_0883/fåglar/A 51590-2024 prioriterade fågelarter.docx", "A 51590-2024")</f>
        <v/>
      </c>
    </row>
    <row r="103" ht="15" customHeight="1">
      <c r="A103" t="inlineStr">
        <is>
          <t>A 42353-2023</t>
        </is>
      </c>
      <c r="B103" s="1" t="n">
        <v>45180</v>
      </c>
      <c r="C103" s="1" t="n">
        <v>45895</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48318-2024</t>
        </is>
      </c>
      <c r="B104" s="1" t="n">
        <v>45590.49690972222</v>
      </c>
      <c r="C104" s="1" t="n">
        <v>45895</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45895</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45895</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12598-2024</t>
        </is>
      </c>
      <c r="B107" s="1" t="n">
        <v>45380</v>
      </c>
      <c r="C107" s="1" t="n">
        <v>45895</v>
      </c>
      <c r="D107" t="inlineStr">
        <is>
          <t>KALMAR LÄN</t>
        </is>
      </c>
      <c r="E107" t="inlineStr">
        <is>
          <t>VÄSTERVIK</t>
        </is>
      </c>
      <c r="F107" t="inlineStr">
        <is>
          <t>Holmen skog AB</t>
        </is>
      </c>
      <c r="G107" t="n">
        <v>5</v>
      </c>
      <c r="H107" t="n">
        <v>1</v>
      </c>
      <c r="I107" t="n">
        <v>1</v>
      </c>
      <c r="J107" t="n">
        <v>0</v>
      </c>
      <c r="K107" t="n">
        <v>1</v>
      </c>
      <c r="L107" t="n">
        <v>0</v>
      </c>
      <c r="M107" t="n">
        <v>0</v>
      </c>
      <c r="N107" t="n">
        <v>0</v>
      </c>
      <c r="O107" t="n">
        <v>1</v>
      </c>
      <c r="P107" t="n">
        <v>1</v>
      </c>
      <c r="Q107" t="n">
        <v>2</v>
      </c>
      <c r="R107" s="2" t="inlineStr">
        <is>
          <t>Knärot
Grönpyrola</t>
        </is>
      </c>
      <c r="S107">
        <f>HYPERLINK("https://klasma.github.io/Logging_0883/artfynd/A 12598-2024 artfynd.xlsx", "A 12598-2024")</f>
        <v/>
      </c>
      <c r="T107">
        <f>HYPERLINK("https://klasma.github.io/Logging_0883/kartor/A 12598-2024 karta.png", "A 12598-2024")</f>
        <v/>
      </c>
      <c r="U107">
        <f>HYPERLINK("https://klasma.github.io/Logging_0883/knärot/A 12598-2024 karta knärot.png", "A 12598-2024")</f>
        <v/>
      </c>
      <c r="V107">
        <f>HYPERLINK("https://klasma.github.io/Logging_0883/klagomål/A 12598-2024 FSC-klagomål.docx", "A 12598-2024")</f>
        <v/>
      </c>
      <c r="W107">
        <f>HYPERLINK("https://klasma.github.io/Logging_0883/klagomålsmail/A 12598-2024 FSC-klagomål mail.docx", "A 12598-2024")</f>
        <v/>
      </c>
      <c r="X107">
        <f>HYPERLINK("https://klasma.github.io/Logging_0883/tillsyn/A 12598-2024 tillsynsbegäran.docx", "A 12598-2024")</f>
        <v/>
      </c>
      <c r="Y107">
        <f>HYPERLINK("https://klasma.github.io/Logging_0883/tillsynsmail/A 12598-2024 tillsynsbegäran mail.docx", "A 12598-2024")</f>
        <v/>
      </c>
    </row>
    <row r="108" ht="15" customHeight="1">
      <c r="A108" t="inlineStr">
        <is>
          <t>A 11849-2024</t>
        </is>
      </c>
      <c r="B108" s="1" t="n">
        <v>45376.41797453703</v>
      </c>
      <c r="C108" s="1" t="n">
        <v>45895</v>
      </c>
      <c r="D108" t="inlineStr">
        <is>
          <t>KALMAR LÄN</t>
        </is>
      </c>
      <c r="E108" t="inlineStr">
        <is>
          <t>VÄSTERVIK</t>
        </is>
      </c>
      <c r="F108" t="inlineStr">
        <is>
          <t>Sveaskog</t>
        </is>
      </c>
      <c r="G108" t="n">
        <v>5.3</v>
      </c>
      <c r="H108" t="n">
        <v>2</v>
      </c>
      <c r="I108" t="n">
        <v>0</v>
      </c>
      <c r="J108" t="n">
        <v>0</v>
      </c>
      <c r="K108" t="n">
        <v>0</v>
      </c>
      <c r="L108" t="n">
        <v>0</v>
      </c>
      <c r="M108" t="n">
        <v>0</v>
      </c>
      <c r="N108" t="n">
        <v>0</v>
      </c>
      <c r="O108" t="n">
        <v>0</v>
      </c>
      <c r="P108" t="n">
        <v>0</v>
      </c>
      <c r="Q108" t="n">
        <v>2</v>
      </c>
      <c r="R108" s="2" t="inlineStr">
        <is>
          <t>Mattlummer
Revlummer</t>
        </is>
      </c>
      <c r="S108">
        <f>HYPERLINK("https://klasma.github.io/Logging_0883/artfynd/A 11849-2024 artfynd.xlsx", "A 11849-2024")</f>
        <v/>
      </c>
      <c r="T108">
        <f>HYPERLINK("https://klasma.github.io/Logging_0883/kartor/A 11849-2024 karta.png", "A 11849-2024")</f>
        <v/>
      </c>
      <c r="V108">
        <f>HYPERLINK("https://klasma.github.io/Logging_0883/klagomål/A 11849-2024 FSC-klagomål.docx", "A 11849-2024")</f>
        <v/>
      </c>
      <c r="W108">
        <f>HYPERLINK("https://klasma.github.io/Logging_0883/klagomålsmail/A 11849-2024 FSC-klagomål mail.docx", "A 11849-2024")</f>
        <v/>
      </c>
      <c r="X108">
        <f>HYPERLINK("https://klasma.github.io/Logging_0883/tillsyn/A 11849-2024 tillsynsbegäran.docx", "A 11849-2024")</f>
        <v/>
      </c>
      <c r="Y108">
        <f>HYPERLINK("https://klasma.github.io/Logging_0883/tillsynsmail/A 11849-2024 tillsynsbegäran mail.docx", "A 11849-2024")</f>
        <v/>
      </c>
    </row>
    <row r="109" ht="15" customHeight="1">
      <c r="A109" t="inlineStr">
        <is>
          <t>A 3658-2024</t>
        </is>
      </c>
      <c r="B109" s="1" t="n">
        <v>45321</v>
      </c>
      <c r="C109" s="1" t="n">
        <v>45895</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12212-2024</t>
        </is>
      </c>
      <c r="B110" s="1" t="n">
        <v>45378.31111111111</v>
      </c>
      <c r="C110" s="1" t="n">
        <v>45895</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8618-2024</t>
        </is>
      </c>
      <c r="B111" s="1" t="n">
        <v>45355.73453703704</v>
      </c>
      <c r="C111" s="1" t="n">
        <v>45895</v>
      </c>
      <c r="D111" t="inlineStr">
        <is>
          <t>KALMAR LÄN</t>
        </is>
      </c>
      <c r="E111" t="inlineStr">
        <is>
          <t>VÄSTERVIK</t>
        </is>
      </c>
      <c r="G111" t="n">
        <v>4.3</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8618-2024 artfynd.xlsx", "A 8618-2024")</f>
        <v/>
      </c>
      <c r="T111">
        <f>HYPERLINK("https://klasma.github.io/Logging_0883/kartor/A 8618-2024 karta.png", "A 8618-2024")</f>
        <v/>
      </c>
      <c r="U111">
        <f>HYPERLINK("https://klasma.github.io/Logging_0883/knärot/A 8618-2024 karta knärot.png", "A 8618-2024")</f>
        <v/>
      </c>
      <c r="V111">
        <f>HYPERLINK("https://klasma.github.io/Logging_0883/klagomål/A 8618-2024 FSC-klagomål.docx", "A 8618-2024")</f>
        <v/>
      </c>
      <c r="W111">
        <f>HYPERLINK("https://klasma.github.io/Logging_0883/klagomålsmail/A 8618-2024 FSC-klagomål mail.docx", "A 8618-2024")</f>
        <v/>
      </c>
      <c r="X111">
        <f>HYPERLINK("https://klasma.github.io/Logging_0883/tillsyn/A 8618-2024 tillsynsbegäran.docx", "A 8618-2024")</f>
        <v/>
      </c>
      <c r="Y111">
        <f>HYPERLINK("https://klasma.github.io/Logging_0883/tillsynsmail/A 8618-2024 tillsynsbegäran mail.docx", "A 8618-2024")</f>
        <v/>
      </c>
    </row>
    <row r="112" ht="15" customHeight="1">
      <c r="A112" t="inlineStr">
        <is>
          <t>A 46552-2022</t>
        </is>
      </c>
      <c r="B112" s="1" t="n">
        <v>44848</v>
      </c>
      <c r="C112" s="1" t="n">
        <v>45895</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32649-2023</t>
        </is>
      </c>
      <c r="B113" s="1" t="n">
        <v>45121</v>
      </c>
      <c r="C113" s="1" t="n">
        <v>45895</v>
      </c>
      <c r="D113" t="inlineStr">
        <is>
          <t>KALMAR LÄN</t>
        </is>
      </c>
      <c r="E113" t="inlineStr">
        <is>
          <t>VÄSTERVIK</t>
        </is>
      </c>
      <c r="G113" t="n">
        <v>1.7</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32649-2023 artfynd.xlsx", "A 32649-2023")</f>
        <v/>
      </c>
      <c r="T113">
        <f>HYPERLINK("https://klasma.github.io/Logging_0883/kartor/A 32649-2023 karta.png", "A 32649-2023")</f>
        <v/>
      </c>
      <c r="U113">
        <f>HYPERLINK("https://klasma.github.io/Logging_0883/knärot/A 32649-2023 karta knärot.png", "A 32649-2023")</f>
        <v/>
      </c>
      <c r="V113">
        <f>HYPERLINK("https://klasma.github.io/Logging_0883/klagomål/A 32649-2023 FSC-klagomål.docx", "A 32649-2023")</f>
        <v/>
      </c>
      <c r="W113">
        <f>HYPERLINK("https://klasma.github.io/Logging_0883/klagomålsmail/A 32649-2023 FSC-klagomål mail.docx", "A 32649-2023")</f>
        <v/>
      </c>
      <c r="X113">
        <f>HYPERLINK("https://klasma.github.io/Logging_0883/tillsyn/A 32649-2023 tillsynsbegäran.docx", "A 32649-2023")</f>
        <v/>
      </c>
      <c r="Y113">
        <f>HYPERLINK("https://klasma.github.io/Logging_0883/tillsynsmail/A 32649-2023 tillsynsbegäran mail.docx", "A 32649-2023")</f>
        <v/>
      </c>
    </row>
    <row r="114" ht="15" customHeight="1">
      <c r="A114" t="inlineStr">
        <is>
          <t>A 52723-2024</t>
        </is>
      </c>
      <c r="B114" s="1" t="n">
        <v>45610.44008101852</v>
      </c>
      <c r="C114" s="1" t="n">
        <v>45895</v>
      </c>
      <c r="D114" t="inlineStr">
        <is>
          <t>KALMAR LÄN</t>
        </is>
      </c>
      <c r="E114" t="inlineStr">
        <is>
          <t>VÄSTERVIK</t>
        </is>
      </c>
      <c r="F114" t="inlineStr">
        <is>
          <t>Holmen skog AB</t>
        </is>
      </c>
      <c r="G114" t="n">
        <v>6.5</v>
      </c>
      <c r="H114" t="n">
        <v>2</v>
      </c>
      <c r="I114" t="n">
        <v>1</v>
      </c>
      <c r="J114" t="n">
        <v>1</v>
      </c>
      <c r="K114" t="n">
        <v>0</v>
      </c>
      <c r="L114" t="n">
        <v>0</v>
      </c>
      <c r="M114" t="n">
        <v>0</v>
      </c>
      <c r="N114" t="n">
        <v>0</v>
      </c>
      <c r="O114" t="n">
        <v>1</v>
      </c>
      <c r="P114" t="n">
        <v>0</v>
      </c>
      <c r="Q114" t="n">
        <v>2</v>
      </c>
      <c r="R114" s="2" t="inlineStr">
        <is>
          <t>Talltita
Ekoxe</t>
        </is>
      </c>
      <c r="S114">
        <f>HYPERLINK("https://klasma.github.io/Logging_0883/artfynd/A 52723-2024 artfynd.xlsx", "A 52723-2024")</f>
        <v/>
      </c>
      <c r="T114">
        <f>HYPERLINK("https://klasma.github.io/Logging_0883/kartor/A 52723-2024 karta.png", "A 52723-2024")</f>
        <v/>
      </c>
      <c r="V114">
        <f>HYPERLINK("https://klasma.github.io/Logging_0883/klagomål/A 52723-2024 FSC-klagomål.docx", "A 52723-2024")</f>
        <v/>
      </c>
      <c r="W114">
        <f>HYPERLINK("https://klasma.github.io/Logging_0883/klagomålsmail/A 52723-2024 FSC-klagomål mail.docx", "A 52723-2024")</f>
        <v/>
      </c>
      <c r="X114">
        <f>HYPERLINK("https://klasma.github.io/Logging_0883/tillsyn/A 52723-2024 tillsynsbegäran.docx", "A 52723-2024")</f>
        <v/>
      </c>
      <c r="Y114">
        <f>HYPERLINK("https://klasma.github.io/Logging_0883/tillsynsmail/A 52723-2024 tillsynsbegäran mail.docx", "A 52723-2024")</f>
        <v/>
      </c>
      <c r="Z114">
        <f>HYPERLINK("https://klasma.github.io/Logging_0883/fåglar/A 52723-2024 prioriterade fågelarter.docx", "A 52723-2024")</f>
        <v/>
      </c>
    </row>
    <row r="115" ht="15" customHeight="1">
      <c r="A115" t="inlineStr">
        <is>
          <t>A 35236-2024</t>
        </is>
      </c>
      <c r="B115" s="1" t="n">
        <v>45530.54184027778</v>
      </c>
      <c r="C115" s="1" t="n">
        <v>45895</v>
      </c>
      <c r="D115" t="inlineStr">
        <is>
          <t>KALMAR LÄN</t>
        </is>
      </c>
      <c r="E115" t="inlineStr">
        <is>
          <t>VÄSTERVIK</t>
        </is>
      </c>
      <c r="G115" t="n">
        <v>0.9</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35236-2024 artfynd.xlsx", "A 35236-2024")</f>
        <v/>
      </c>
      <c r="T115">
        <f>HYPERLINK("https://klasma.github.io/Logging_0883/kartor/A 35236-2024 karta.png", "A 35236-2024")</f>
        <v/>
      </c>
      <c r="U115">
        <f>HYPERLINK("https://klasma.github.io/Logging_0883/knärot/A 35236-2024 karta knärot.png", "A 35236-2024")</f>
        <v/>
      </c>
      <c r="V115">
        <f>HYPERLINK("https://klasma.github.io/Logging_0883/klagomål/A 35236-2024 FSC-klagomål.docx", "A 35236-2024")</f>
        <v/>
      </c>
      <c r="W115">
        <f>HYPERLINK("https://klasma.github.io/Logging_0883/klagomålsmail/A 35236-2024 FSC-klagomål mail.docx", "A 35236-2024")</f>
        <v/>
      </c>
      <c r="X115">
        <f>HYPERLINK("https://klasma.github.io/Logging_0883/tillsyn/A 35236-2024 tillsynsbegäran.docx", "A 35236-2024")</f>
        <v/>
      </c>
      <c r="Y115">
        <f>HYPERLINK("https://klasma.github.io/Logging_0883/tillsynsmail/A 35236-2024 tillsynsbegäran mail.docx", "A 35236-2024")</f>
        <v/>
      </c>
    </row>
    <row r="116" ht="15" customHeight="1">
      <c r="A116" t="inlineStr">
        <is>
          <t>A 38373-2022</t>
        </is>
      </c>
      <c r="B116" s="1" t="n">
        <v>44812</v>
      </c>
      <c r="C116" s="1" t="n">
        <v>45895</v>
      </c>
      <c r="D116" t="inlineStr">
        <is>
          <t>KALMAR LÄN</t>
        </is>
      </c>
      <c r="E116" t="inlineStr">
        <is>
          <t>VÄSTERVIK</t>
        </is>
      </c>
      <c r="G116" t="n">
        <v>3.1</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38373-2022 artfynd.xlsx", "A 38373-2022")</f>
        <v/>
      </c>
      <c r="T116">
        <f>HYPERLINK("https://klasma.github.io/Logging_0883/kartor/A 38373-2022 karta.png", "A 38373-2022")</f>
        <v/>
      </c>
      <c r="U116">
        <f>HYPERLINK("https://klasma.github.io/Logging_0883/knärot/A 38373-2022 karta knärot.png", "A 38373-2022")</f>
        <v/>
      </c>
      <c r="V116">
        <f>HYPERLINK("https://klasma.github.io/Logging_0883/klagomål/A 38373-2022 FSC-klagomål.docx", "A 38373-2022")</f>
        <v/>
      </c>
      <c r="W116">
        <f>HYPERLINK("https://klasma.github.io/Logging_0883/klagomålsmail/A 38373-2022 FSC-klagomål mail.docx", "A 38373-2022")</f>
        <v/>
      </c>
      <c r="X116">
        <f>HYPERLINK("https://klasma.github.io/Logging_0883/tillsyn/A 38373-2022 tillsynsbegäran.docx", "A 38373-2022")</f>
        <v/>
      </c>
      <c r="Y116">
        <f>HYPERLINK("https://klasma.github.io/Logging_0883/tillsynsmail/A 38373-2022 tillsynsbegäran mail.docx", "A 38373-2022")</f>
        <v/>
      </c>
    </row>
    <row r="117" ht="15" customHeight="1">
      <c r="A117" t="inlineStr">
        <is>
          <t>A 51833-2021</t>
        </is>
      </c>
      <c r="B117" s="1" t="n">
        <v>44462</v>
      </c>
      <c r="C117" s="1" t="n">
        <v>45895</v>
      </c>
      <c r="D117" t="inlineStr">
        <is>
          <t>KALMAR LÄN</t>
        </is>
      </c>
      <c r="E117" t="inlineStr">
        <is>
          <t>VÄSTERVIK</t>
        </is>
      </c>
      <c r="G117" t="n">
        <v>4</v>
      </c>
      <c r="H117" t="n">
        <v>1</v>
      </c>
      <c r="I117" t="n">
        <v>0</v>
      </c>
      <c r="J117" t="n">
        <v>1</v>
      </c>
      <c r="K117" t="n">
        <v>0</v>
      </c>
      <c r="L117" t="n">
        <v>0</v>
      </c>
      <c r="M117" t="n">
        <v>0</v>
      </c>
      <c r="N117" t="n">
        <v>0</v>
      </c>
      <c r="O117" t="n">
        <v>1</v>
      </c>
      <c r="P117" t="n">
        <v>0</v>
      </c>
      <c r="Q117" t="n">
        <v>2</v>
      </c>
      <c r="R117" s="2" t="inlineStr">
        <is>
          <t>Motaggsvamp
Fläcknycklar</t>
        </is>
      </c>
      <c r="S117">
        <f>HYPERLINK("https://klasma.github.io/Logging_0883/artfynd/A 51833-2021 artfynd.xlsx", "A 51833-2021")</f>
        <v/>
      </c>
      <c r="T117">
        <f>HYPERLINK("https://klasma.github.io/Logging_0883/kartor/A 51833-2021 karta.png", "A 51833-2021")</f>
        <v/>
      </c>
      <c r="V117">
        <f>HYPERLINK("https://klasma.github.io/Logging_0883/klagomål/A 51833-2021 FSC-klagomål.docx", "A 51833-2021")</f>
        <v/>
      </c>
      <c r="W117">
        <f>HYPERLINK("https://klasma.github.io/Logging_0883/klagomålsmail/A 51833-2021 FSC-klagomål mail.docx", "A 51833-2021")</f>
        <v/>
      </c>
      <c r="X117">
        <f>HYPERLINK("https://klasma.github.io/Logging_0883/tillsyn/A 51833-2021 tillsynsbegäran.docx", "A 51833-2021")</f>
        <v/>
      </c>
      <c r="Y117">
        <f>HYPERLINK("https://klasma.github.io/Logging_0883/tillsynsmail/A 51833-2021 tillsynsbegäran mail.docx", "A 51833-2021")</f>
        <v/>
      </c>
    </row>
    <row r="118" ht="15" customHeight="1">
      <c r="A118" t="inlineStr">
        <is>
          <t>A 62008-2023</t>
        </is>
      </c>
      <c r="B118" s="1" t="n">
        <v>45266</v>
      </c>
      <c r="C118" s="1" t="n">
        <v>45895</v>
      </c>
      <c r="D118" t="inlineStr">
        <is>
          <t>KALMAR LÄN</t>
        </is>
      </c>
      <c r="E118" t="inlineStr">
        <is>
          <t>VÄSTERVIK</t>
        </is>
      </c>
      <c r="G118" t="n">
        <v>4</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62008-2023 artfynd.xlsx", "A 62008-2023")</f>
        <v/>
      </c>
      <c r="T118">
        <f>HYPERLINK("https://klasma.github.io/Logging_0883/kartor/A 62008-2023 karta.png", "A 62008-2023")</f>
        <v/>
      </c>
      <c r="U118">
        <f>HYPERLINK("https://klasma.github.io/Logging_0883/knärot/A 62008-2023 karta knärot.png", "A 62008-2023")</f>
        <v/>
      </c>
      <c r="V118">
        <f>HYPERLINK("https://klasma.github.io/Logging_0883/klagomål/A 62008-2023 FSC-klagomål.docx", "A 62008-2023")</f>
        <v/>
      </c>
      <c r="W118">
        <f>HYPERLINK("https://klasma.github.io/Logging_0883/klagomålsmail/A 62008-2023 FSC-klagomål mail.docx", "A 62008-2023")</f>
        <v/>
      </c>
      <c r="X118">
        <f>HYPERLINK("https://klasma.github.io/Logging_0883/tillsyn/A 62008-2023 tillsynsbegäran.docx", "A 62008-2023")</f>
        <v/>
      </c>
      <c r="Y118">
        <f>HYPERLINK("https://klasma.github.io/Logging_0883/tillsynsmail/A 62008-2023 tillsynsbegäran mail.docx", "A 62008-2023")</f>
        <v/>
      </c>
      <c r="Z118">
        <f>HYPERLINK("https://klasma.github.io/Logging_0883/fåglar/A 62008-2023 prioriterade fågelarter.docx", "A 62008-2023")</f>
        <v/>
      </c>
    </row>
    <row r="119" ht="15" customHeight="1">
      <c r="A119" t="inlineStr">
        <is>
          <t>A 41573-2024</t>
        </is>
      </c>
      <c r="B119" s="1" t="n">
        <v>45560.54628472222</v>
      </c>
      <c r="C119" s="1" t="n">
        <v>45895</v>
      </c>
      <c r="D119" t="inlineStr">
        <is>
          <t>KALMAR LÄN</t>
        </is>
      </c>
      <c r="E119" t="inlineStr">
        <is>
          <t>VÄSTERVIK</t>
        </is>
      </c>
      <c r="G119" t="n">
        <v>1.6</v>
      </c>
      <c r="H119" t="n">
        <v>1</v>
      </c>
      <c r="I119" t="n">
        <v>1</v>
      </c>
      <c r="J119" t="n">
        <v>0</v>
      </c>
      <c r="K119" t="n">
        <v>1</v>
      </c>
      <c r="L119" t="n">
        <v>0</v>
      </c>
      <c r="M119" t="n">
        <v>0</v>
      </c>
      <c r="N119" t="n">
        <v>0</v>
      </c>
      <c r="O119" t="n">
        <v>1</v>
      </c>
      <c r="P119" t="n">
        <v>1</v>
      </c>
      <c r="Q119" t="n">
        <v>2</v>
      </c>
      <c r="R119" s="2" t="inlineStr">
        <is>
          <t>Knärot
Blåmossa</t>
        </is>
      </c>
      <c r="S119">
        <f>HYPERLINK("https://klasma.github.io/Logging_0883/artfynd/A 41573-2024 artfynd.xlsx", "A 41573-2024")</f>
        <v/>
      </c>
      <c r="T119">
        <f>HYPERLINK("https://klasma.github.io/Logging_0883/kartor/A 41573-2024 karta.png", "A 41573-2024")</f>
        <v/>
      </c>
      <c r="U119">
        <f>HYPERLINK("https://klasma.github.io/Logging_0883/knärot/A 41573-2024 karta knärot.png", "A 41573-2024")</f>
        <v/>
      </c>
      <c r="V119">
        <f>HYPERLINK("https://klasma.github.io/Logging_0883/klagomål/A 41573-2024 FSC-klagomål.docx", "A 41573-2024")</f>
        <v/>
      </c>
      <c r="W119">
        <f>HYPERLINK("https://klasma.github.io/Logging_0883/klagomålsmail/A 41573-2024 FSC-klagomål mail.docx", "A 41573-2024")</f>
        <v/>
      </c>
      <c r="X119">
        <f>HYPERLINK("https://klasma.github.io/Logging_0883/tillsyn/A 41573-2024 tillsynsbegäran.docx", "A 41573-2024")</f>
        <v/>
      </c>
      <c r="Y119">
        <f>HYPERLINK("https://klasma.github.io/Logging_0883/tillsynsmail/A 41573-2024 tillsynsbegäran mail.docx", "A 41573-2024")</f>
        <v/>
      </c>
    </row>
    <row r="120" ht="15" customHeight="1">
      <c r="A120" t="inlineStr">
        <is>
          <t>A 46787-2022</t>
        </is>
      </c>
      <c r="B120" s="1" t="n">
        <v>44851</v>
      </c>
      <c r="C120" s="1" t="n">
        <v>45895</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61804-2023</t>
        </is>
      </c>
      <c r="B121" s="1" t="n">
        <v>45266</v>
      </c>
      <c r="C121" s="1" t="n">
        <v>45895</v>
      </c>
      <c r="D121" t="inlineStr">
        <is>
          <t>KALMAR LÄN</t>
        </is>
      </c>
      <c r="E121" t="inlineStr">
        <is>
          <t>VÄSTERVIK</t>
        </is>
      </c>
      <c r="G121" t="n">
        <v>2.3</v>
      </c>
      <c r="H121" t="n">
        <v>0</v>
      </c>
      <c r="I121" t="n">
        <v>0</v>
      </c>
      <c r="J121" t="n">
        <v>2</v>
      </c>
      <c r="K121" t="n">
        <v>0</v>
      </c>
      <c r="L121" t="n">
        <v>0</v>
      </c>
      <c r="M121" t="n">
        <v>0</v>
      </c>
      <c r="N121" t="n">
        <v>0</v>
      </c>
      <c r="O121" t="n">
        <v>2</v>
      </c>
      <c r="P121" t="n">
        <v>0</v>
      </c>
      <c r="Q121" t="n">
        <v>2</v>
      </c>
      <c r="R121" s="2" t="inlineStr">
        <is>
          <t>Bredbrämad bastardsvärmare
Smalsprötad bastardsvärmare</t>
        </is>
      </c>
      <c r="S121">
        <f>HYPERLINK("https://klasma.github.io/Logging_0883/artfynd/A 61804-2023 artfynd.xlsx", "A 61804-2023")</f>
        <v/>
      </c>
      <c r="T121">
        <f>HYPERLINK("https://klasma.github.io/Logging_0883/kartor/A 61804-2023 karta.png", "A 61804-2023")</f>
        <v/>
      </c>
      <c r="V121">
        <f>HYPERLINK("https://klasma.github.io/Logging_0883/klagomål/A 61804-2023 FSC-klagomål.docx", "A 61804-2023")</f>
        <v/>
      </c>
      <c r="W121">
        <f>HYPERLINK("https://klasma.github.io/Logging_0883/klagomålsmail/A 61804-2023 FSC-klagomål mail.docx", "A 61804-2023")</f>
        <v/>
      </c>
      <c r="X121">
        <f>HYPERLINK("https://klasma.github.io/Logging_0883/tillsyn/A 61804-2023 tillsynsbegäran.docx", "A 61804-2023")</f>
        <v/>
      </c>
      <c r="Y121">
        <f>HYPERLINK("https://klasma.github.io/Logging_0883/tillsynsmail/A 61804-2023 tillsynsbegäran mail.docx", "A 61804-2023")</f>
        <v/>
      </c>
    </row>
    <row r="122" ht="15" customHeight="1">
      <c r="A122" t="inlineStr">
        <is>
          <t>A 3264-2024</t>
        </is>
      </c>
      <c r="B122" s="1" t="n">
        <v>45317</v>
      </c>
      <c r="C122" s="1" t="n">
        <v>45895</v>
      </c>
      <c r="D122" t="inlineStr">
        <is>
          <t>KALMAR LÄN</t>
        </is>
      </c>
      <c r="E122" t="inlineStr">
        <is>
          <t>VÄSTERVIK</t>
        </is>
      </c>
      <c r="G122" t="n">
        <v>6.5</v>
      </c>
      <c r="H122" t="n">
        <v>1</v>
      </c>
      <c r="I122" t="n">
        <v>1</v>
      </c>
      <c r="J122" t="n">
        <v>1</v>
      </c>
      <c r="K122" t="n">
        <v>0</v>
      </c>
      <c r="L122" t="n">
        <v>0</v>
      </c>
      <c r="M122" t="n">
        <v>0</v>
      </c>
      <c r="N122" t="n">
        <v>0</v>
      </c>
      <c r="O122" t="n">
        <v>1</v>
      </c>
      <c r="P122" t="n">
        <v>0</v>
      </c>
      <c r="Q122" t="n">
        <v>2</v>
      </c>
      <c r="R122" s="2" t="inlineStr">
        <is>
          <t>Spillkråka
Blåmossa</t>
        </is>
      </c>
      <c r="S122">
        <f>HYPERLINK("https://klasma.github.io/Logging_0883/artfynd/A 3264-2024 artfynd.xlsx", "A 3264-2024")</f>
        <v/>
      </c>
      <c r="T122">
        <f>HYPERLINK("https://klasma.github.io/Logging_0883/kartor/A 3264-2024 karta.png", "A 3264-2024")</f>
        <v/>
      </c>
      <c r="V122">
        <f>HYPERLINK("https://klasma.github.io/Logging_0883/klagomål/A 3264-2024 FSC-klagomål.docx", "A 3264-2024")</f>
        <v/>
      </c>
      <c r="W122">
        <f>HYPERLINK("https://klasma.github.io/Logging_0883/klagomålsmail/A 3264-2024 FSC-klagomål mail.docx", "A 3264-2024")</f>
        <v/>
      </c>
      <c r="X122">
        <f>HYPERLINK("https://klasma.github.io/Logging_0883/tillsyn/A 3264-2024 tillsynsbegäran.docx", "A 3264-2024")</f>
        <v/>
      </c>
      <c r="Y122">
        <f>HYPERLINK("https://klasma.github.io/Logging_0883/tillsynsmail/A 3264-2024 tillsynsbegäran mail.docx", "A 3264-2024")</f>
        <v/>
      </c>
      <c r="Z122">
        <f>HYPERLINK("https://klasma.github.io/Logging_0883/fåglar/A 3264-2024 prioriterade fågelarter.docx", "A 3264-2024")</f>
        <v/>
      </c>
    </row>
    <row r="123" ht="15" customHeight="1">
      <c r="A123" t="inlineStr">
        <is>
          <t>A 2126-2024</t>
        </is>
      </c>
      <c r="B123" s="1" t="n">
        <v>45309</v>
      </c>
      <c r="C123" s="1" t="n">
        <v>45895</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3182-2025</t>
        </is>
      </c>
      <c r="B124" s="1" t="n">
        <v>45679</v>
      </c>
      <c r="C124" s="1" t="n">
        <v>45895</v>
      </c>
      <c r="D124" t="inlineStr">
        <is>
          <t>KALMAR LÄN</t>
        </is>
      </c>
      <c r="E124" t="inlineStr">
        <is>
          <t>VÄSTERVIK</t>
        </is>
      </c>
      <c r="G124" t="n">
        <v>1.2</v>
      </c>
      <c r="H124" t="n">
        <v>2</v>
      </c>
      <c r="I124" t="n">
        <v>0</v>
      </c>
      <c r="J124" t="n">
        <v>1</v>
      </c>
      <c r="K124" t="n">
        <v>1</v>
      </c>
      <c r="L124" t="n">
        <v>0</v>
      </c>
      <c r="M124" t="n">
        <v>0</v>
      </c>
      <c r="N124" t="n">
        <v>0</v>
      </c>
      <c r="O124" t="n">
        <v>2</v>
      </c>
      <c r="P124" t="n">
        <v>1</v>
      </c>
      <c r="Q124" t="n">
        <v>2</v>
      </c>
      <c r="R124" s="2" t="inlineStr">
        <is>
          <t>Knärot
Spillkråka</t>
        </is>
      </c>
      <c r="S124">
        <f>HYPERLINK("https://klasma.github.io/Logging_0883/artfynd/A 3182-2025 artfynd.xlsx", "A 3182-2025")</f>
        <v/>
      </c>
      <c r="T124">
        <f>HYPERLINK("https://klasma.github.io/Logging_0883/kartor/A 3182-2025 karta.png", "A 3182-2025")</f>
        <v/>
      </c>
      <c r="U124">
        <f>HYPERLINK("https://klasma.github.io/Logging_0883/knärot/A 3182-2025 karta knärot.png", "A 3182-2025")</f>
        <v/>
      </c>
      <c r="V124">
        <f>HYPERLINK("https://klasma.github.io/Logging_0883/klagomål/A 3182-2025 FSC-klagomål.docx", "A 3182-2025")</f>
        <v/>
      </c>
      <c r="W124">
        <f>HYPERLINK("https://klasma.github.io/Logging_0883/klagomålsmail/A 3182-2025 FSC-klagomål mail.docx", "A 3182-2025")</f>
        <v/>
      </c>
      <c r="X124">
        <f>HYPERLINK("https://klasma.github.io/Logging_0883/tillsyn/A 3182-2025 tillsynsbegäran.docx", "A 3182-2025")</f>
        <v/>
      </c>
      <c r="Y124">
        <f>HYPERLINK("https://klasma.github.io/Logging_0883/tillsynsmail/A 3182-2025 tillsynsbegäran mail.docx", "A 3182-2025")</f>
        <v/>
      </c>
      <c r="Z124">
        <f>HYPERLINK("https://klasma.github.io/Logging_0883/fåglar/A 3182-2025 prioriterade fågelarter.docx", "A 3182-2025")</f>
        <v/>
      </c>
    </row>
    <row r="125" ht="15" customHeight="1">
      <c r="A125" t="inlineStr">
        <is>
          <t>A 26992-2024</t>
        </is>
      </c>
      <c r="B125" s="1" t="n">
        <v>45471</v>
      </c>
      <c r="C125" s="1" t="n">
        <v>45895</v>
      </c>
      <c r="D125" t="inlineStr">
        <is>
          <t>KALMAR LÄN</t>
        </is>
      </c>
      <c r="E125" t="inlineStr">
        <is>
          <t>VÄSTERVIK</t>
        </is>
      </c>
      <c r="F125" t="inlineStr">
        <is>
          <t>Holmen skog AB</t>
        </is>
      </c>
      <c r="G125" t="n">
        <v>4.6</v>
      </c>
      <c r="H125" t="n">
        <v>2</v>
      </c>
      <c r="I125" t="n">
        <v>0</v>
      </c>
      <c r="J125" t="n">
        <v>2</v>
      </c>
      <c r="K125" t="n">
        <v>0</v>
      </c>
      <c r="L125" t="n">
        <v>0</v>
      </c>
      <c r="M125" t="n">
        <v>0</v>
      </c>
      <c r="N125" t="n">
        <v>0</v>
      </c>
      <c r="O125" t="n">
        <v>2</v>
      </c>
      <c r="P125" t="n">
        <v>0</v>
      </c>
      <c r="Q125" t="n">
        <v>2</v>
      </c>
      <c r="R125" s="2" t="inlineStr">
        <is>
          <t>Mindre hackspett
Talltita</t>
        </is>
      </c>
      <c r="S125">
        <f>HYPERLINK("https://klasma.github.io/Logging_0883/artfynd/A 26992-2024 artfynd.xlsx", "A 26992-2024")</f>
        <v/>
      </c>
      <c r="T125">
        <f>HYPERLINK("https://klasma.github.io/Logging_0883/kartor/A 26992-2024 karta.png", "A 26992-2024")</f>
        <v/>
      </c>
      <c r="V125">
        <f>HYPERLINK("https://klasma.github.io/Logging_0883/klagomål/A 26992-2024 FSC-klagomål.docx", "A 26992-2024")</f>
        <v/>
      </c>
      <c r="W125">
        <f>HYPERLINK("https://klasma.github.io/Logging_0883/klagomålsmail/A 26992-2024 FSC-klagomål mail.docx", "A 26992-2024")</f>
        <v/>
      </c>
      <c r="X125">
        <f>HYPERLINK("https://klasma.github.io/Logging_0883/tillsyn/A 26992-2024 tillsynsbegäran.docx", "A 26992-2024")</f>
        <v/>
      </c>
      <c r="Y125">
        <f>HYPERLINK("https://klasma.github.io/Logging_0883/tillsynsmail/A 26992-2024 tillsynsbegäran mail.docx", "A 26992-2024")</f>
        <v/>
      </c>
      <c r="Z125">
        <f>HYPERLINK("https://klasma.github.io/Logging_0883/fåglar/A 26992-2024 prioriterade fågelarter.docx", "A 26992-2024")</f>
        <v/>
      </c>
    </row>
    <row r="126" ht="15" customHeight="1">
      <c r="A126" t="inlineStr">
        <is>
          <t>A 37106-2024</t>
        </is>
      </c>
      <c r="B126" s="1" t="n">
        <v>45539.51238425926</v>
      </c>
      <c r="C126" s="1" t="n">
        <v>45895</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72945-2021</t>
        </is>
      </c>
      <c r="B127" s="1" t="n">
        <v>44547.90868055556</v>
      </c>
      <c r="C127" s="1" t="n">
        <v>45895</v>
      </c>
      <c r="D127" t="inlineStr">
        <is>
          <t>KALMAR LÄN</t>
        </is>
      </c>
      <c r="E127" t="inlineStr">
        <is>
          <t>VÄSTERVIK</t>
        </is>
      </c>
      <c r="G127" t="n">
        <v>1.6</v>
      </c>
      <c r="H127" t="n">
        <v>0</v>
      </c>
      <c r="I127" t="n">
        <v>1</v>
      </c>
      <c r="J127" t="n">
        <v>1</v>
      </c>
      <c r="K127" t="n">
        <v>0</v>
      </c>
      <c r="L127" t="n">
        <v>0</v>
      </c>
      <c r="M127" t="n">
        <v>0</v>
      </c>
      <c r="N127" t="n">
        <v>0</v>
      </c>
      <c r="O127" t="n">
        <v>1</v>
      </c>
      <c r="P127" t="n">
        <v>0</v>
      </c>
      <c r="Q127" t="n">
        <v>2</v>
      </c>
      <c r="R127" s="2" t="inlineStr">
        <is>
          <t>Veckticka
Rävticka</t>
        </is>
      </c>
      <c r="S127">
        <f>HYPERLINK("https://klasma.github.io/Logging_0883/artfynd/A 72945-2021 artfynd.xlsx", "A 72945-2021")</f>
        <v/>
      </c>
      <c r="T127">
        <f>HYPERLINK("https://klasma.github.io/Logging_0883/kartor/A 72945-2021 karta.png", "A 72945-2021")</f>
        <v/>
      </c>
      <c r="V127">
        <f>HYPERLINK("https://klasma.github.io/Logging_0883/klagomål/A 72945-2021 FSC-klagomål.docx", "A 72945-2021")</f>
        <v/>
      </c>
      <c r="W127">
        <f>HYPERLINK("https://klasma.github.io/Logging_0883/klagomålsmail/A 72945-2021 FSC-klagomål mail.docx", "A 72945-2021")</f>
        <v/>
      </c>
      <c r="X127">
        <f>HYPERLINK("https://klasma.github.io/Logging_0883/tillsyn/A 72945-2021 tillsynsbegäran.docx", "A 72945-2021")</f>
        <v/>
      </c>
      <c r="Y127">
        <f>HYPERLINK("https://klasma.github.io/Logging_0883/tillsynsmail/A 72945-2021 tillsynsbegäran mail.docx", "A 72945-2021")</f>
        <v/>
      </c>
    </row>
    <row r="128" ht="15" customHeight="1">
      <c r="A128" t="inlineStr">
        <is>
          <t>A 3173-2023</t>
        </is>
      </c>
      <c r="B128" s="1" t="n">
        <v>44946</v>
      </c>
      <c r="C128" s="1" t="n">
        <v>45895</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40331-2024</t>
        </is>
      </c>
      <c r="B129" s="1" t="n">
        <v>45555.31039351852</v>
      </c>
      <c r="C129" s="1" t="n">
        <v>45895</v>
      </c>
      <c r="D129" t="inlineStr">
        <is>
          <t>KALMAR LÄN</t>
        </is>
      </c>
      <c r="E129" t="inlineStr">
        <is>
          <t>VÄSTERVIK</t>
        </is>
      </c>
      <c r="G129" t="n">
        <v>1.5</v>
      </c>
      <c r="H129" t="n">
        <v>1</v>
      </c>
      <c r="I129" t="n">
        <v>1</v>
      </c>
      <c r="J129" t="n">
        <v>0</v>
      </c>
      <c r="K129" t="n">
        <v>0</v>
      </c>
      <c r="L129" t="n">
        <v>0</v>
      </c>
      <c r="M129" t="n">
        <v>0</v>
      </c>
      <c r="N129" t="n">
        <v>0</v>
      </c>
      <c r="O129" t="n">
        <v>0</v>
      </c>
      <c r="P129" t="n">
        <v>0</v>
      </c>
      <c r="Q129" t="n">
        <v>2</v>
      </c>
      <c r="R129" s="2" t="inlineStr">
        <is>
          <t>Murgröna
Blåsippa</t>
        </is>
      </c>
      <c r="S129">
        <f>HYPERLINK("https://klasma.github.io/Logging_0883/artfynd/A 40331-2024 artfynd.xlsx", "A 40331-2024")</f>
        <v/>
      </c>
      <c r="T129">
        <f>HYPERLINK("https://klasma.github.io/Logging_0883/kartor/A 40331-2024 karta.png", "A 40331-2024")</f>
        <v/>
      </c>
      <c r="V129">
        <f>HYPERLINK("https://klasma.github.io/Logging_0883/klagomål/A 40331-2024 FSC-klagomål.docx", "A 40331-2024")</f>
        <v/>
      </c>
      <c r="W129">
        <f>HYPERLINK("https://klasma.github.io/Logging_0883/klagomålsmail/A 40331-2024 FSC-klagomål mail.docx", "A 40331-2024")</f>
        <v/>
      </c>
      <c r="X129">
        <f>HYPERLINK("https://klasma.github.io/Logging_0883/tillsyn/A 40331-2024 tillsynsbegäran.docx", "A 40331-2024")</f>
        <v/>
      </c>
      <c r="Y129">
        <f>HYPERLINK("https://klasma.github.io/Logging_0883/tillsynsmail/A 40331-2024 tillsynsbegäran mail.docx", "A 40331-2024")</f>
        <v/>
      </c>
    </row>
    <row r="130" ht="15" customHeight="1">
      <c r="A130" t="inlineStr">
        <is>
          <t>A 28401-2024</t>
        </is>
      </c>
      <c r="B130" s="1" t="n">
        <v>45477</v>
      </c>
      <c r="C130" s="1" t="n">
        <v>45895</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9040-2023</t>
        </is>
      </c>
      <c r="B131" s="1" t="n">
        <v>44979</v>
      </c>
      <c r="C131" s="1" t="n">
        <v>45895</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25439-2021</t>
        </is>
      </c>
      <c r="B132" s="1" t="n">
        <v>44342</v>
      </c>
      <c r="C132" s="1" t="n">
        <v>45895</v>
      </c>
      <c r="D132" t="inlineStr">
        <is>
          <t>KALMAR LÄN</t>
        </is>
      </c>
      <c r="E132" t="inlineStr">
        <is>
          <t>VÄSTERVIK</t>
        </is>
      </c>
      <c r="F132" t="inlineStr">
        <is>
          <t>Holmen skog AB</t>
        </is>
      </c>
      <c r="G132" t="n">
        <v>2.4</v>
      </c>
      <c r="H132" t="n">
        <v>2</v>
      </c>
      <c r="I132" t="n">
        <v>1</v>
      </c>
      <c r="J132" t="n">
        <v>0</v>
      </c>
      <c r="K132" t="n">
        <v>0</v>
      </c>
      <c r="L132" t="n">
        <v>0</v>
      </c>
      <c r="M132" t="n">
        <v>0</v>
      </c>
      <c r="N132" t="n">
        <v>0</v>
      </c>
      <c r="O132" t="n">
        <v>0</v>
      </c>
      <c r="P132" t="n">
        <v>0</v>
      </c>
      <c r="Q132" t="n">
        <v>2</v>
      </c>
      <c r="R132" s="2" t="inlineStr">
        <is>
          <t>Grön sköldmossa
Röd glada</t>
        </is>
      </c>
      <c r="S132">
        <f>HYPERLINK("https://klasma.github.io/Logging_0883/artfynd/A 25439-2021 artfynd.xlsx", "A 25439-2021")</f>
        <v/>
      </c>
      <c r="T132">
        <f>HYPERLINK("https://klasma.github.io/Logging_0883/kartor/A 25439-2021 karta.png", "A 25439-2021")</f>
        <v/>
      </c>
      <c r="V132">
        <f>HYPERLINK("https://klasma.github.io/Logging_0883/klagomål/A 25439-2021 FSC-klagomål.docx", "A 25439-2021")</f>
        <v/>
      </c>
      <c r="W132">
        <f>HYPERLINK("https://klasma.github.io/Logging_0883/klagomålsmail/A 25439-2021 FSC-klagomål mail.docx", "A 25439-2021")</f>
        <v/>
      </c>
      <c r="X132">
        <f>HYPERLINK("https://klasma.github.io/Logging_0883/tillsyn/A 25439-2021 tillsynsbegäran.docx", "A 25439-2021")</f>
        <v/>
      </c>
      <c r="Y132">
        <f>HYPERLINK("https://klasma.github.io/Logging_0883/tillsynsmail/A 25439-2021 tillsynsbegäran mail.docx", "A 25439-2021")</f>
        <v/>
      </c>
      <c r="Z132">
        <f>HYPERLINK("https://klasma.github.io/Logging_0883/fåglar/A 25439-2021 prioriterade fågelarter.docx", "A 25439-2021")</f>
        <v/>
      </c>
    </row>
    <row r="133" ht="15" customHeight="1">
      <c r="A133" t="inlineStr">
        <is>
          <t>A 62003-2022</t>
        </is>
      </c>
      <c r="B133" s="1" t="n">
        <v>44918</v>
      </c>
      <c r="C133" s="1" t="n">
        <v>45895</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16419-2024</t>
        </is>
      </c>
      <c r="B134" s="1" t="n">
        <v>45407</v>
      </c>
      <c r="C134" s="1" t="n">
        <v>45895</v>
      </c>
      <c r="D134" t="inlineStr">
        <is>
          <t>KALMAR LÄN</t>
        </is>
      </c>
      <c r="E134" t="inlineStr">
        <is>
          <t>VÄSTERVIK</t>
        </is>
      </c>
      <c r="F134" t="inlineStr">
        <is>
          <t>Holmen skog AB</t>
        </is>
      </c>
      <c r="G134" t="n">
        <v>1.8</v>
      </c>
      <c r="H134" t="n">
        <v>2</v>
      </c>
      <c r="I134" t="n">
        <v>0</v>
      </c>
      <c r="J134" t="n">
        <v>1</v>
      </c>
      <c r="K134" t="n">
        <v>1</v>
      </c>
      <c r="L134" t="n">
        <v>0</v>
      </c>
      <c r="M134" t="n">
        <v>0</v>
      </c>
      <c r="N134" t="n">
        <v>0</v>
      </c>
      <c r="O134" t="n">
        <v>2</v>
      </c>
      <c r="P134" t="n">
        <v>1</v>
      </c>
      <c r="Q134" t="n">
        <v>2</v>
      </c>
      <c r="R134" s="2" t="inlineStr">
        <is>
          <t>Knärot
Spillkråka</t>
        </is>
      </c>
      <c r="S134">
        <f>HYPERLINK("https://klasma.github.io/Logging_0883/artfynd/A 16419-2024 artfynd.xlsx", "A 16419-2024")</f>
        <v/>
      </c>
      <c r="T134">
        <f>HYPERLINK("https://klasma.github.io/Logging_0883/kartor/A 16419-2024 karta.png", "A 16419-2024")</f>
        <v/>
      </c>
      <c r="U134">
        <f>HYPERLINK("https://klasma.github.io/Logging_0883/knärot/A 16419-2024 karta knärot.png", "A 16419-2024")</f>
        <v/>
      </c>
      <c r="V134">
        <f>HYPERLINK("https://klasma.github.io/Logging_0883/klagomål/A 16419-2024 FSC-klagomål.docx", "A 16419-2024")</f>
        <v/>
      </c>
      <c r="W134">
        <f>HYPERLINK("https://klasma.github.io/Logging_0883/klagomålsmail/A 16419-2024 FSC-klagomål mail.docx", "A 16419-2024")</f>
        <v/>
      </c>
      <c r="X134">
        <f>HYPERLINK("https://klasma.github.io/Logging_0883/tillsyn/A 16419-2024 tillsynsbegäran.docx", "A 16419-2024")</f>
        <v/>
      </c>
      <c r="Y134">
        <f>HYPERLINK("https://klasma.github.io/Logging_0883/tillsynsmail/A 16419-2024 tillsynsbegäran mail.docx", "A 16419-2024")</f>
        <v/>
      </c>
      <c r="Z134">
        <f>HYPERLINK("https://klasma.github.io/Logging_0883/fåglar/A 16419-2024 prioriterade fågelarter.docx", "A 16419-2024")</f>
        <v/>
      </c>
    </row>
    <row r="135" ht="15" customHeight="1">
      <c r="A135" t="inlineStr">
        <is>
          <t>A 9770-2024</t>
        </is>
      </c>
      <c r="B135" s="1" t="n">
        <v>45362.63960648148</v>
      </c>
      <c r="C135" s="1" t="n">
        <v>45895</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2950-2025</t>
        </is>
      </c>
      <c r="B136" s="1" t="n">
        <v>45678</v>
      </c>
      <c r="C136" s="1" t="n">
        <v>45895</v>
      </c>
      <c r="D136" t="inlineStr">
        <is>
          <t>KALMAR LÄN</t>
        </is>
      </c>
      <c r="E136" t="inlineStr">
        <is>
          <t>VÄSTERVIK</t>
        </is>
      </c>
      <c r="G136" t="n">
        <v>6.1</v>
      </c>
      <c r="H136" t="n">
        <v>1</v>
      </c>
      <c r="I136" t="n">
        <v>1</v>
      </c>
      <c r="J136" t="n">
        <v>0</v>
      </c>
      <c r="K136" t="n">
        <v>1</v>
      </c>
      <c r="L136" t="n">
        <v>0</v>
      </c>
      <c r="M136" t="n">
        <v>0</v>
      </c>
      <c r="N136" t="n">
        <v>0</v>
      </c>
      <c r="O136" t="n">
        <v>1</v>
      </c>
      <c r="P136" t="n">
        <v>1</v>
      </c>
      <c r="Q136" t="n">
        <v>2</v>
      </c>
      <c r="R136" s="2" t="inlineStr">
        <is>
          <t>Knärot
Grovticka</t>
        </is>
      </c>
      <c r="S136">
        <f>HYPERLINK("https://klasma.github.io/Logging_0883/artfynd/A 2950-2025 artfynd.xlsx", "A 2950-2025")</f>
        <v/>
      </c>
      <c r="T136">
        <f>HYPERLINK("https://klasma.github.io/Logging_0883/kartor/A 2950-2025 karta.png", "A 2950-2025")</f>
        <v/>
      </c>
      <c r="U136">
        <f>HYPERLINK("https://klasma.github.io/Logging_0883/knärot/A 2950-2025 karta knärot.png", "A 2950-2025")</f>
        <v/>
      </c>
      <c r="V136">
        <f>HYPERLINK("https://klasma.github.io/Logging_0883/klagomål/A 2950-2025 FSC-klagomål.docx", "A 2950-2025")</f>
        <v/>
      </c>
      <c r="W136">
        <f>HYPERLINK("https://klasma.github.io/Logging_0883/klagomålsmail/A 2950-2025 FSC-klagomål mail.docx", "A 2950-2025")</f>
        <v/>
      </c>
      <c r="X136">
        <f>HYPERLINK("https://klasma.github.io/Logging_0883/tillsyn/A 2950-2025 tillsynsbegäran.docx", "A 2950-2025")</f>
        <v/>
      </c>
      <c r="Y136">
        <f>HYPERLINK("https://klasma.github.io/Logging_0883/tillsynsmail/A 2950-2025 tillsynsbegäran mail.docx", "A 2950-2025")</f>
        <v/>
      </c>
    </row>
    <row r="137" ht="15" customHeight="1">
      <c r="A137" t="inlineStr">
        <is>
          <t>A 958-2025</t>
        </is>
      </c>
      <c r="B137" s="1" t="n">
        <v>45666</v>
      </c>
      <c r="C137" s="1" t="n">
        <v>45895</v>
      </c>
      <c r="D137" t="inlineStr">
        <is>
          <t>KALMAR LÄN</t>
        </is>
      </c>
      <c r="E137" t="inlineStr">
        <is>
          <t>VÄSTERVIK</t>
        </is>
      </c>
      <c r="G137" t="n">
        <v>2.8</v>
      </c>
      <c r="H137" t="n">
        <v>1</v>
      </c>
      <c r="I137" t="n">
        <v>0</v>
      </c>
      <c r="J137" t="n">
        <v>2</v>
      </c>
      <c r="K137" t="n">
        <v>0</v>
      </c>
      <c r="L137" t="n">
        <v>0</v>
      </c>
      <c r="M137" t="n">
        <v>0</v>
      </c>
      <c r="N137" t="n">
        <v>0</v>
      </c>
      <c r="O137" t="n">
        <v>2</v>
      </c>
      <c r="P137" t="n">
        <v>0</v>
      </c>
      <c r="Q137" t="n">
        <v>2</v>
      </c>
      <c r="R137" s="2" t="inlineStr">
        <is>
          <t>Orange taggsvamp
Spillkråka</t>
        </is>
      </c>
      <c r="S137">
        <f>HYPERLINK("https://klasma.github.io/Logging_0883/artfynd/A 958-2025 artfynd.xlsx", "A 958-2025")</f>
        <v/>
      </c>
      <c r="T137">
        <f>HYPERLINK("https://klasma.github.io/Logging_0883/kartor/A 958-2025 karta.png", "A 958-2025")</f>
        <v/>
      </c>
      <c r="V137">
        <f>HYPERLINK("https://klasma.github.io/Logging_0883/klagomål/A 958-2025 FSC-klagomål.docx", "A 958-2025")</f>
        <v/>
      </c>
      <c r="W137">
        <f>HYPERLINK("https://klasma.github.io/Logging_0883/klagomålsmail/A 958-2025 FSC-klagomål mail.docx", "A 958-2025")</f>
        <v/>
      </c>
      <c r="X137">
        <f>HYPERLINK("https://klasma.github.io/Logging_0883/tillsyn/A 958-2025 tillsynsbegäran.docx", "A 958-2025")</f>
        <v/>
      </c>
      <c r="Y137">
        <f>HYPERLINK("https://klasma.github.io/Logging_0883/tillsynsmail/A 958-2025 tillsynsbegäran mail.docx", "A 958-2025")</f>
        <v/>
      </c>
      <c r="Z137">
        <f>HYPERLINK("https://klasma.github.io/Logging_0883/fåglar/A 958-2025 prioriterade fågelarter.docx", "A 958-2025")</f>
        <v/>
      </c>
    </row>
    <row r="138" ht="15" customHeight="1">
      <c r="A138" t="inlineStr">
        <is>
          <t>A 1767-2025</t>
        </is>
      </c>
      <c r="B138" s="1" t="n">
        <v>45671</v>
      </c>
      <c r="C138" s="1" t="n">
        <v>45895</v>
      </c>
      <c r="D138" t="inlineStr">
        <is>
          <t>KALMAR LÄN</t>
        </is>
      </c>
      <c r="E138" t="inlineStr">
        <is>
          <t>VÄSTERVIK</t>
        </is>
      </c>
      <c r="G138" t="n">
        <v>1.4</v>
      </c>
      <c r="H138" t="n">
        <v>1</v>
      </c>
      <c r="I138" t="n">
        <v>0</v>
      </c>
      <c r="J138" t="n">
        <v>2</v>
      </c>
      <c r="K138" t="n">
        <v>0</v>
      </c>
      <c r="L138" t="n">
        <v>0</v>
      </c>
      <c r="M138" t="n">
        <v>0</v>
      </c>
      <c r="N138" t="n">
        <v>0</v>
      </c>
      <c r="O138" t="n">
        <v>2</v>
      </c>
      <c r="P138" t="n">
        <v>0</v>
      </c>
      <c r="Q138" t="n">
        <v>2</v>
      </c>
      <c r="R138" s="2" t="inlineStr">
        <is>
          <t>Garnlav
Spillkråka</t>
        </is>
      </c>
      <c r="S138">
        <f>HYPERLINK("https://klasma.github.io/Logging_0883/artfynd/A 1767-2025 artfynd.xlsx", "A 1767-2025")</f>
        <v/>
      </c>
      <c r="T138">
        <f>HYPERLINK("https://klasma.github.io/Logging_0883/kartor/A 1767-2025 karta.png", "A 1767-2025")</f>
        <v/>
      </c>
      <c r="U138">
        <f>HYPERLINK("https://klasma.github.io/Logging_0883/knärot/A 1767-2025 karta knärot.png", "A 1767-2025")</f>
        <v/>
      </c>
      <c r="V138">
        <f>HYPERLINK("https://klasma.github.io/Logging_0883/klagomål/A 1767-2025 FSC-klagomål.docx", "A 1767-2025")</f>
        <v/>
      </c>
      <c r="W138">
        <f>HYPERLINK("https://klasma.github.io/Logging_0883/klagomålsmail/A 1767-2025 FSC-klagomål mail.docx", "A 1767-2025")</f>
        <v/>
      </c>
      <c r="X138">
        <f>HYPERLINK("https://klasma.github.io/Logging_0883/tillsyn/A 1767-2025 tillsynsbegäran.docx", "A 1767-2025")</f>
        <v/>
      </c>
      <c r="Y138">
        <f>HYPERLINK("https://klasma.github.io/Logging_0883/tillsynsmail/A 1767-2025 tillsynsbegäran mail.docx", "A 1767-2025")</f>
        <v/>
      </c>
      <c r="Z138">
        <f>HYPERLINK("https://klasma.github.io/Logging_0883/fåglar/A 1767-2025 prioriterade fågelarter.docx", "A 1767-2025")</f>
        <v/>
      </c>
    </row>
    <row r="139" ht="15" customHeight="1">
      <c r="A139" t="inlineStr">
        <is>
          <t>A 21081-2025</t>
        </is>
      </c>
      <c r="B139" s="1" t="n">
        <v>45777.60479166666</v>
      </c>
      <c r="C139" s="1" t="n">
        <v>45895</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17438-2024</t>
        </is>
      </c>
      <c r="B140" s="1" t="n">
        <v>45415</v>
      </c>
      <c r="C140" s="1" t="n">
        <v>45895</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10784-2025</t>
        </is>
      </c>
      <c r="B141" s="1" t="n">
        <v>45722</v>
      </c>
      <c r="C141" s="1" t="n">
        <v>45895</v>
      </c>
      <c r="D141" t="inlineStr">
        <is>
          <t>KALMAR LÄN</t>
        </is>
      </c>
      <c r="E141" t="inlineStr">
        <is>
          <t>VÄSTERVIK</t>
        </is>
      </c>
      <c r="G141" t="n">
        <v>2.1</v>
      </c>
      <c r="H141" t="n">
        <v>2</v>
      </c>
      <c r="I141" t="n">
        <v>0</v>
      </c>
      <c r="J141" t="n">
        <v>1</v>
      </c>
      <c r="K141" t="n">
        <v>0</v>
      </c>
      <c r="L141" t="n">
        <v>0</v>
      </c>
      <c r="M141" t="n">
        <v>0</v>
      </c>
      <c r="N141" t="n">
        <v>0</v>
      </c>
      <c r="O141" t="n">
        <v>1</v>
      </c>
      <c r="P141" t="n">
        <v>0</v>
      </c>
      <c r="Q141" t="n">
        <v>2</v>
      </c>
      <c r="R141" s="2" t="inlineStr">
        <is>
          <t>Talltita
Kungsfågel</t>
        </is>
      </c>
      <c r="S141">
        <f>HYPERLINK("https://klasma.github.io/Logging_0883/artfynd/A 10784-2025 artfynd.xlsx", "A 10784-2025")</f>
        <v/>
      </c>
      <c r="T141">
        <f>HYPERLINK("https://klasma.github.io/Logging_0883/kartor/A 10784-2025 karta.png", "A 10784-2025")</f>
        <v/>
      </c>
      <c r="V141">
        <f>HYPERLINK("https://klasma.github.io/Logging_0883/klagomål/A 10784-2025 FSC-klagomål.docx", "A 10784-2025")</f>
        <v/>
      </c>
      <c r="W141">
        <f>HYPERLINK("https://klasma.github.io/Logging_0883/klagomålsmail/A 10784-2025 FSC-klagomål mail.docx", "A 10784-2025")</f>
        <v/>
      </c>
      <c r="X141">
        <f>HYPERLINK("https://klasma.github.io/Logging_0883/tillsyn/A 10784-2025 tillsynsbegäran.docx", "A 10784-2025")</f>
        <v/>
      </c>
      <c r="Y141">
        <f>HYPERLINK("https://klasma.github.io/Logging_0883/tillsynsmail/A 10784-2025 tillsynsbegäran mail.docx", "A 10784-2025")</f>
        <v/>
      </c>
      <c r="Z141">
        <f>HYPERLINK("https://klasma.github.io/Logging_0883/fåglar/A 10784-2025 prioriterade fågelarter.docx", "A 10784-2025")</f>
        <v/>
      </c>
    </row>
    <row r="142" ht="15" customHeight="1">
      <c r="A142" t="inlineStr">
        <is>
          <t>A 2515-2023</t>
        </is>
      </c>
      <c r="B142" s="1" t="n">
        <v>44943</v>
      </c>
      <c r="C142" s="1" t="n">
        <v>45895</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14090-2025</t>
        </is>
      </c>
      <c r="B143" s="1" t="n">
        <v>45740.44487268518</v>
      </c>
      <c r="C143" s="1" t="n">
        <v>45895</v>
      </c>
      <c r="D143" t="inlineStr">
        <is>
          <t>KALMAR LÄN</t>
        </is>
      </c>
      <c r="E143" t="inlineStr">
        <is>
          <t>VÄSTERVIK</t>
        </is>
      </c>
      <c r="F143" t="inlineStr">
        <is>
          <t>Sveaskog</t>
        </is>
      </c>
      <c r="G143" t="n">
        <v>1</v>
      </c>
      <c r="H143" t="n">
        <v>2</v>
      </c>
      <c r="I143" t="n">
        <v>0</v>
      </c>
      <c r="J143" t="n">
        <v>1</v>
      </c>
      <c r="K143" t="n">
        <v>0</v>
      </c>
      <c r="L143" t="n">
        <v>0</v>
      </c>
      <c r="M143" t="n">
        <v>0</v>
      </c>
      <c r="N143" t="n">
        <v>0</v>
      </c>
      <c r="O143" t="n">
        <v>1</v>
      </c>
      <c r="P143" t="n">
        <v>0</v>
      </c>
      <c r="Q143" t="n">
        <v>2</v>
      </c>
      <c r="R143" s="2" t="inlineStr">
        <is>
          <t>Grönsångare
Åkergroda</t>
        </is>
      </c>
      <c r="S143">
        <f>HYPERLINK("https://klasma.github.io/Logging_0883/artfynd/A 14090-2025 artfynd.xlsx", "A 14090-2025")</f>
        <v/>
      </c>
      <c r="T143">
        <f>HYPERLINK("https://klasma.github.io/Logging_0883/kartor/A 14090-2025 karta.png", "A 14090-2025")</f>
        <v/>
      </c>
      <c r="V143">
        <f>HYPERLINK("https://klasma.github.io/Logging_0883/klagomål/A 14090-2025 FSC-klagomål.docx", "A 14090-2025")</f>
        <v/>
      </c>
      <c r="W143">
        <f>HYPERLINK("https://klasma.github.io/Logging_0883/klagomålsmail/A 14090-2025 FSC-klagomål mail.docx", "A 14090-2025")</f>
        <v/>
      </c>
      <c r="X143">
        <f>HYPERLINK("https://klasma.github.io/Logging_0883/tillsyn/A 14090-2025 tillsynsbegäran.docx", "A 14090-2025")</f>
        <v/>
      </c>
      <c r="Y143">
        <f>HYPERLINK("https://klasma.github.io/Logging_0883/tillsynsmail/A 14090-2025 tillsynsbegäran mail.docx", "A 14090-2025")</f>
        <v/>
      </c>
      <c r="Z143">
        <f>HYPERLINK("https://klasma.github.io/Logging_0883/fåglar/A 14090-2025 prioriterade fågelarter.docx", "A 14090-2025")</f>
        <v/>
      </c>
    </row>
    <row r="144" ht="15" customHeight="1">
      <c r="A144" t="inlineStr">
        <is>
          <t>A 25145-2022</t>
        </is>
      </c>
      <c r="B144" s="1" t="n">
        <v>44729</v>
      </c>
      <c r="C144" s="1" t="n">
        <v>45895</v>
      </c>
      <c r="D144" t="inlineStr">
        <is>
          <t>KALMAR LÄN</t>
        </is>
      </c>
      <c r="E144" t="inlineStr">
        <is>
          <t>VÄSTERVIK</t>
        </is>
      </c>
      <c r="G144" t="n">
        <v>1.3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25145-2022 artfynd.xlsx", "A 25145-2022")</f>
        <v/>
      </c>
      <c r="T144">
        <f>HYPERLINK("https://klasma.github.io/Logging_0883/kartor/A 25145-2022 karta.png", "A 25145-2022")</f>
        <v/>
      </c>
      <c r="U144">
        <f>HYPERLINK("https://klasma.github.io/Logging_0883/knärot/A 25145-2022 karta knärot.png", "A 25145-2022")</f>
        <v/>
      </c>
      <c r="V144">
        <f>HYPERLINK("https://klasma.github.io/Logging_0883/klagomål/A 25145-2022 FSC-klagomål.docx", "A 25145-2022")</f>
        <v/>
      </c>
      <c r="W144">
        <f>HYPERLINK("https://klasma.github.io/Logging_0883/klagomålsmail/A 25145-2022 FSC-klagomål mail.docx", "A 25145-2022")</f>
        <v/>
      </c>
      <c r="X144">
        <f>HYPERLINK("https://klasma.github.io/Logging_0883/tillsyn/A 25145-2022 tillsynsbegäran.docx", "A 25145-2022")</f>
        <v/>
      </c>
      <c r="Y144">
        <f>HYPERLINK("https://klasma.github.io/Logging_0883/tillsynsmail/A 25145-2022 tillsynsbegäran mail.docx", "A 25145-2022")</f>
        <v/>
      </c>
    </row>
    <row r="145" ht="15" customHeight="1">
      <c r="A145" t="inlineStr">
        <is>
          <t>A 16700-2025</t>
        </is>
      </c>
      <c r="B145" s="1" t="n">
        <v>45754.46833333333</v>
      </c>
      <c r="C145" s="1" t="n">
        <v>45895</v>
      </c>
      <c r="D145" t="inlineStr">
        <is>
          <t>KALMAR LÄN</t>
        </is>
      </c>
      <c r="E145" t="inlineStr">
        <is>
          <t>VÄSTERVIK</t>
        </is>
      </c>
      <c r="F145" t="inlineStr">
        <is>
          <t>Sveaskog</t>
        </is>
      </c>
      <c r="G145" t="n">
        <v>1.7</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16700-2025 artfynd.xlsx", "A 16700-2025")</f>
        <v/>
      </c>
      <c r="T145">
        <f>HYPERLINK("https://klasma.github.io/Logging_0883/kartor/A 16700-2025 karta.png", "A 16700-2025")</f>
        <v/>
      </c>
      <c r="V145">
        <f>HYPERLINK("https://klasma.github.io/Logging_0883/klagomål/A 16700-2025 FSC-klagomål.docx", "A 16700-2025")</f>
        <v/>
      </c>
      <c r="W145">
        <f>HYPERLINK("https://klasma.github.io/Logging_0883/klagomålsmail/A 16700-2025 FSC-klagomål mail.docx", "A 16700-2025")</f>
        <v/>
      </c>
      <c r="X145">
        <f>HYPERLINK("https://klasma.github.io/Logging_0883/tillsyn/A 16700-2025 tillsynsbegäran.docx", "A 16700-2025")</f>
        <v/>
      </c>
      <c r="Y145">
        <f>HYPERLINK("https://klasma.github.io/Logging_0883/tillsynsmail/A 16700-2025 tillsynsbegäran mail.docx", "A 16700-2025")</f>
        <v/>
      </c>
      <c r="Z145">
        <f>HYPERLINK("https://klasma.github.io/Logging_0883/fåglar/A 16700-2025 prioriterade fågelarter.docx", "A 16700-2025")</f>
        <v/>
      </c>
    </row>
    <row r="146" ht="15" customHeight="1">
      <c r="A146" t="inlineStr">
        <is>
          <t>A 47935-2023</t>
        </is>
      </c>
      <c r="B146" s="1" t="n">
        <v>45204</v>
      </c>
      <c r="C146" s="1" t="n">
        <v>45895</v>
      </c>
      <c r="D146" t="inlineStr">
        <is>
          <t>KALMAR LÄN</t>
        </is>
      </c>
      <c r="E146" t="inlineStr">
        <is>
          <t>VÄSTERVIK</t>
        </is>
      </c>
      <c r="G146" t="n">
        <v>4.3</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47935-2023 artfynd.xlsx", "A 47935-2023")</f>
        <v/>
      </c>
      <c r="T146">
        <f>HYPERLINK("https://klasma.github.io/Logging_0883/kartor/A 47935-2023 karta.png", "A 47935-2023")</f>
        <v/>
      </c>
      <c r="V146">
        <f>HYPERLINK("https://klasma.github.io/Logging_0883/klagomål/A 47935-2023 FSC-klagomål.docx", "A 47935-2023")</f>
        <v/>
      </c>
      <c r="W146">
        <f>HYPERLINK("https://klasma.github.io/Logging_0883/klagomålsmail/A 47935-2023 FSC-klagomål mail.docx", "A 47935-2023")</f>
        <v/>
      </c>
      <c r="X146">
        <f>HYPERLINK("https://klasma.github.io/Logging_0883/tillsyn/A 47935-2023 tillsynsbegäran.docx", "A 47935-2023")</f>
        <v/>
      </c>
      <c r="Y146">
        <f>HYPERLINK("https://klasma.github.io/Logging_0883/tillsynsmail/A 47935-2023 tillsynsbegäran mail.docx", "A 47935-2023")</f>
        <v/>
      </c>
    </row>
    <row r="147" ht="15" customHeight="1">
      <c r="A147" t="inlineStr">
        <is>
          <t>A 15534-2024</t>
        </is>
      </c>
      <c r="B147" s="1" t="n">
        <v>45401</v>
      </c>
      <c r="C147" s="1" t="n">
        <v>45895</v>
      </c>
      <c r="D147" t="inlineStr">
        <is>
          <t>KALMAR LÄN</t>
        </is>
      </c>
      <c r="E147" t="inlineStr">
        <is>
          <t>VÄSTERVIK</t>
        </is>
      </c>
      <c r="F147" t="inlineStr">
        <is>
          <t>Holmen skog AB</t>
        </is>
      </c>
      <c r="G147" t="n">
        <v>5.1</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15534-2024 artfynd.xlsx", "A 15534-2024")</f>
        <v/>
      </c>
      <c r="T147">
        <f>HYPERLINK("https://klasma.github.io/Logging_0883/kartor/A 15534-2024 karta.png", "A 15534-2024")</f>
        <v/>
      </c>
      <c r="U147">
        <f>HYPERLINK("https://klasma.github.io/Logging_0883/knärot/A 15534-2024 karta knärot.png", "A 15534-2024")</f>
        <v/>
      </c>
      <c r="V147">
        <f>HYPERLINK("https://klasma.github.io/Logging_0883/klagomål/A 15534-2024 FSC-klagomål.docx", "A 15534-2024")</f>
        <v/>
      </c>
      <c r="W147">
        <f>HYPERLINK("https://klasma.github.io/Logging_0883/klagomålsmail/A 15534-2024 FSC-klagomål mail.docx", "A 15534-2024")</f>
        <v/>
      </c>
      <c r="X147">
        <f>HYPERLINK("https://klasma.github.io/Logging_0883/tillsyn/A 15534-2024 tillsynsbegäran.docx", "A 15534-2024")</f>
        <v/>
      </c>
      <c r="Y147">
        <f>HYPERLINK("https://klasma.github.io/Logging_0883/tillsynsmail/A 15534-2024 tillsynsbegäran mail.docx", "A 15534-2024")</f>
        <v/>
      </c>
    </row>
    <row r="148" ht="15" customHeight="1">
      <c r="A148" t="inlineStr">
        <is>
          <t>A 56036-2024</t>
        </is>
      </c>
      <c r="B148" s="1" t="n">
        <v>45624</v>
      </c>
      <c r="C148" s="1" t="n">
        <v>45895</v>
      </c>
      <c r="D148" t="inlineStr">
        <is>
          <t>KALMAR LÄN</t>
        </is>
      </c>
      <c r="E148" t="inlineStr">
        <is>
          <t>VÄSTERVIK</t>
        </is>
      </c>
      <c r="F148" t="inlineStr">
        <is>
          <t>Kyrkan</t>
        </is>
      </c>
      <c r="G148" t="n">
        <v>5.5</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56036-2024 artfynd.xlsx", "A 56036-2024")</f>
        <v/>
      </c>
      <c r="T148">
        <f>HYPERLINK("https://klasma.github.io/Logging_0883/kartor/A 56036-2024 karta.png", "A 56036-2024")</f>
        <v/>
      </c>
      <c r="U148">
        <f>HYPERLINK("https://klasma.github.io/Logging_0883/knärot/A 56036-2024 karta knärot.png", "A 56036-2024")</f>
        <v/>
      </c>
      <c r="V148">
        <f>HYPERLINK("https://klasma.github.io/Logging_0883/klagomål/A 56036-2024 FSC-klagomål.docx", "A 56036-2024")</f>
        <v/>
      </c>
      <c r="W148">
        <f>HYPERLINK("https://klasma.github.io/Logging_0883/klagomålsmail/A 56036-2024 FSC-klagomål mail.docx", "A 56036-2024")</f>
        <v/>
      </c>
      <c r="X148">
        <f>HYPERLINK("https://klasma.github.io/Logging_0883/tillsyn/A 56036-2024 tillsynsbegäran.docx", "A 56036-2024")</f>
        <v/>
      </c>
      <c r="Y148">
        <f>HYPERLINK("https://klasma.github.io/Logging_0883/tillsynsmail/A 56036-2024 tillsynsbegäran mail.docx", "A 56036-2024")</f>
        <v/>
      </c>
      <c r="Z148">
        <f>HYPERLINK("https://klasma.github.io/Logging_0883/fåglar/A 56036-2024 prioriterade fågelarter.docx", "A 56036-2024")</f>
        <v/>
      </c>
    </row>
    <row r="149" ht="15" customHeight="1">
      <c r="A149" t="inlineStr">
        <is>
          <t>A 1373-2024</t>
        </is>
      </c>
      <c r="B149" s="1" t="n">
        <v>45303</v>
      </c>
      <c r="C149" s="1" t="n">
        <v>45895</v>
      </c>
      <c r="D149" t="inlineStr">
        <is>
          <t>KALMAR LÄN</t>
        </is>
      </c>
      <c r="E149" t="inlineStr">
        <is>
          <t>VÄSTERVIK</t>
        </is>
      </c>
      <c r="G149" t="n">
        <v>3.7</v>
      </c>
      <c r="H149" t="n">
        <v>1</v>
      </c>
      <c r="I149" t="n">
        <v>0</v>
      </c>
      <c r="J149" t="n">
        <v>2</v>
      </c>
      <c r="K149" t="n">
        <v>0</v>
      </c>
      <c r="L149" t="n">
        <v>0</v>
      </c>
      <c r="M149" t="n">
        <v>0</v>
      </c>
      <c r="N149" t="n">
        <v>0</v>
      </c>
      <c r="O149" t="n">
        <v>2</v>
      </c>
      <c r="P149" t="n">
        <v>0</v>
      </c>
      <c r="Q149" t="n">
        <v>2</v>
      </c>
      <c r="R149" s="2" t="inlineStr">
        <is>
          <t>Tallticka
Talltita</t>
        </is>
      </c>
      <c r="S149">
        <f>HYPERLINK("https://klasma.github.io/Logging_0883/artfynd/A 1373-2024 artfynd.xlsx", "A 1373-2024")</f>
        <v/>
      </c>
      <c r="T149">
        <f>HYPERLINK("https://klasma.github.io/Logging_0883/kartor/A 1373-2024 karta.png", "A 1373-2024")</f>
        <v/>
      </c>
      <c r="U149">
        <f>HYPERLINK("https://klasma.github.io/Logging_0883/knärot/A 1373-2024 karta knärot.png", "A 1373-2024")</f>
        <v/>
      </c>
      <c r="V149">
        <f>HYPERLINK("https://klasma.github.io/Logging_0883/klagomål/A 1373-2024 FSC-klagomål.docx", "A 1373-2024")</f>
        <v/>
      </c>
      <c r="W149">
        <f>HYPERLINK("https://klasma.github.io/Logging_0883/klagomålsmail/A 1373-2024 FSC-klagomål mail.docx", "A 1373-2024")</f>
        <v/>
      </c>
      <c r="X149">
        <f>HYPERLINK("https://klasma.github.io/Logging_0883/tillsyn/A 1373-2024 tillsynsbegäran.docx", "A 1373-2024")</f>
        <v/>
      </c>
      <c r="Y149">
        <f>HYPERLINK("https://klasma.github.io/Logging_0883/tillsynsmail/A 1373-2024 tillsynsbegäran mail.docx", "A 1373-2024")</f>
        <v/>
      </c>
      <c r="Z149">
        <f>HYPERLINK("https://klasma.github.io/Logging_0883/fåglar/A 1373-2024 prioriterade fågelarter.docx", "A 1373-2024")</f>
        <v/>
      </c>
    </row>
    <row r="150" ht="15" customHeight="1">
      <c r="A150" t="inlineStr">
        <is>
          <t>A 25435-2023</t>
        </is>
      </c>
      <c r="B150" s="1" t="n">
        <v>45089</v>
      </c>
      <c r="C150" s="1" t="n">
        <v>45895</v>
      </c>
      <c r="D150" t="inlineStr">
        <is>
          <t>KALMAR LÄN</t>
        </is>
      </c>
      <c r="E150" t="inlineStr">
        <is>
          <t>VÄSTERVIK</t>
        </is>
      </c>
      <c r="G150" t="n">
        <v>1.6</v>
      </c>
      <c r="H150" t="n">
        <v>2</v>
      </c>
      <c r="I150" t="n">
        <v>0</v>
      </c>
      <c r="J150" t="n">
        <v>0</v>
      </c>
      <c r="K150" t="n">
        <v>1</v>
      </c>
      <c r="L150" t="n">
        <v>0</v>
      </c>
      <c r="M150" t="n">
        <v>0</v>
      </c>
      <c r="N150" t="n">
        <v>0</v>
      </c>
      <c r="O150" t="n">
        <v>1</v>
      </c>
      <c r="P150" t="n">
        <v>1</v>
      </c>
      <c r="Q150" t="n">
        <v>2</v>
      </c>
      <c r="R150" s="2" t="inlineStr">
        <is>
          <t>Knärot
Tjäder</t>
        </is>
      </c>
      <c r="S150">
        <f>HYPERLINK("https://klasma.github.io/Logging_0883/artfynd/A 25435-2023 artfynd.xlsx", "A 25435-2023")</f>
        <v/>
      </c>
      <c r="T150">
        <f>HYPERLINK("https://klasma.github.io/Logging_0883/kartor/A 25435-2023 karta.png", "A 25435-2023")</f>
        <v/>
      </c>
      <c r="U150">
        <f>HYPERLINK("https://klasma.github.io/Logging_0883/knärot/A 25435-2023 karta knärot.png", "A 25435-2023")</f>
        <v/>
      </c>
      <c r="V150">
        <f>HYPERLINK("https://klasma.github.io/Logging_0883/klagomål/A 25435-2023 FSC-klagomål.docx", "A 25435-2023")</f>
        <v/>
      </c>
      <c r="W150">
        <f>HYPERLINK("https://klasma.github.io/Logging_0883/klagomålsmail/A 25435-2023 FSC-klagomål mail.docx", "A 25435-2023")</f>
        <v/>
      </c>
      <c r="X150">
        <f>HYPERLINK("https://klasma.github.io/Logging_0883/tillsyn/A 25435-2023 tillsynsbegäran.docx", "A 25435-2023")</f>
        <v/>
      </c>
      <c r="Y150">
        <f>HYPERLINK("https://klasma.github.io/Logging_0883/tillsynsmail/A 25435-2023 tillsynsbegäran mail.docx", "A 25435-2023")</f>
        <v/>
      </c>
      <c r="Z150">
        <f>HYPERLINK("https://klasma.github.io/Logging_0883/fåglar/A 25435-2023 prioriterade fågelarter.docx", "A 25435-2023")</f>
        <v/>
      </c>
    </row>
    <row r="151" ht="15" customHeight="1">
      <c r="A151" t="inlineStr">
        <is>
          <t>A 932-2024</t>
        </is>
      </c>
      <c r="B151" s="1" t="n">
        <v>45301</v>
      </c>
      <c r="C151" s="1" t="n">
        <v>45895</v>
      </c>
      <c r="D151" t="inlineStr">
        <is>
          <t>KALMAR LÄN</t>
        </is>
      </c>
      <c r="E151" t="inlineStr">
        <is>
          <t>VÄSTERVIK</t>
        </is>
      </c>
      <c r="G151" t="n">
        <v>3.7</v>
      </c>
      <c r="H151" t="n">
        <v>1</v>
      </c>
      <c r="I151" t="n">
        <v>1</v>
      </c>
      <c r="J151" t="n">
        <v>1</v>
      </c>
      <c r="K151" t="n">
        <v>0</v>
      </c>
      <c r="L151" t="n">
        <v>0</v>
      </c>
      <c r="M151" t="n">
        <v>0</v>
      </c>
      <c r="N151" t="n">
        <v>0</v>
      </c>
      <c r="O151" t="n">
        <v>1</v>
      </c>
      <c r="P151" t="n">
        <v>0</v>
      </c>
      <c r="Q151" t="n">
        <v>2</v>
      </c>
      <c r="R151" s="2" t="inlineStr">
        <is>
          <t>Spillkråka
Grovticka</t>
        </is>
      </c>
      <c r="S151">
        <f>HYPERLINK("https://klasma.github.io/Logging_0883/artfynd/A 932-2024 artfynd.xlsx", "A 932-2024")</f>
        <v/>
      </c>
      <c r="T151">
        <f>HYPERLINK("https://klasma.github.io/Logging_0883/kartor/A 932-2024 karta.png", "A 932-2024")</f>
        <v/>
      </c>
      <c r="V151">
        <f>HYPERLINK("https://klasma.github.io/Logging_0883/klagomål/A 932-2024 FSC-klagomål.docx", "A 932-2024")</f>
        <v/>
      </c>
      <c r="W151">
        <f>HYPERLINK("https://klasma.github.io/Logging_0883/klagomålsmail/A 932-2024 FSC-klagomål mail.docx", "A 932-2024")</f>
        <v/>
      </c>
      <c r="X151">
        <f>HYPERLINK("https://klasma.github.io/Logging_0883/tillsyn/A 932-2024 tillsynsbegäran.docx", "A 932-2024")</f>
        <v/>
      </c>
      <c r="Y151">
        <f>HYPERLINK("https://klasma.github.io/Logging_0883/tillsynsmail/A 932-2024 tillsynsbegäran mail.docx", "A 932-2024")</f>
        <v/>
      </c>
      <c r="Z151">
        <f>HYPERLINK("https://klasma.github.io/Logging_0883/fåglar/A 932-2024 prioriterade fågelarter.docx", "A 932-2024")</f>
        <v/>
      </c>
    </row>
    <row r="152" ht="15" customHeight="1">
      <c r="A152" t="inlineStr">
        <is>
          <t>A 941-2024</t>
        </is>
      </c>
      <c r="B152" s="1" t="n">
        <v>45301</v>
      </c>
      <c r="C152" s="1" t="n">
        <v>45895</v>
      </c>
      <c r="D152" t="inlineStr">
        <is>
          <t>KALMAR LÄN</t>
        </is>
      </c>
      <c r="E152" t="inlineStr">
        <is>
          <t>VÄSTERVIK</t>
        </is>
      </c>
      <c r="G152" t="n">
        <v>2.7</v>
      </c>
      <c r="H152" t="n">
        <v>1</v>
      </c>
      <c r="I152" t="n">
        <v>0</v>
      </c>
      <c r="J152" t="n">
        <v>1</v>
      </c>
      <c r="K152" t="n">
        <v>1</v>
      </c>
      <c r="L152" t="n">
        <v>0</v>
      </c>
      <c r="M152" t="n">
        <v>0</v>
      </c>
      <c r="N152" t="n">
        <v>0</v>
      </c>
      <c r="O152" t="n">
        <v>2</v>
      </c>
      <c r="P152" t="n">
        <v>1</v>
      </c>
      <c r="Q152" t="n">
        <v>2</v>
      </c>
      <c r="R152" s="2" t="inlineStr">
        <is>
          <t>Knärot
Svinrot</t>
        </is>
      </c>
      <c r="S152">
        <f>HYPERLINK("https://klasma.github.io/Logging_0883/artfynd/A 941-2024 artfynd.xlsx", "A 941-2024")</f>
        <v/>
      </c>
      <c r="T152">
        <f>HYPERLINK("https://klasma.github.io/Logging_0883/kartor/A 941-2024 karta.png", "A 941-2024")</f>
        <v/>
      </c>
      <c r="U152">
        <f>HYPERLINK("https://klasma.github.io/Logging_0883/knärot/A 941-2024 karta knärot.png", "A 941-2024")</f>
        <v/>
      </c>
      <c r="V152">
        <f>HYPERLINK("https://klasma.github.io/Logging_0883/klagomål/A 941-2024 FSC-klagomål.docx", "A 941-2024")</f>
        <v/>
      </c>
      <c r="W152">
        <f>HYPERLINK("https://klasma.github.io/Logging_0883/klagomålsmail/A 941-2024 FSC-klagomål mail.docx", "A 941-2024")</f>
        <v/>
      </c>
      <c r="X152">
        <f>HYPERLINK("https://klasma.github.io/Logging_0883/tillsyn/A 941-2024 tillsynsbegäran.docx", "A 941-2024")</f>
        <v/>
      </c>
      <c r="Y152">
        <f>HYPERLINK("https://klasma.github.io/Logging_0883/tillsynsmail/A 941-2024 tillsynsbegäran mail.docx", "A 941-2024")</f>
        <v/>
      </c>
    </row>
    <row r="153" ht="15" customHeight="1">
      <c r="A153" t="inlineStr">
        <is>
          <t>A 911-2024</t>
        </is>
      </c>
      <c r="B153" s="1" t="n">
        <v>45301</v>
      </c>
      <c r="C153" s="1" t="n">
        <v>45895</v>
      </c>
      <c r="D153" t="inlineStr">
        <is>
          <t>KALMAR LÄN</t>
        </is>
      </c>
      <c r="E153" t="inlineStr">
        <is>
          <t>VÄSTERVIK</t>
        </is>
      </c>
      <c r="G153" t="n">
        <v>5.6</v>
      </c>
      <c r="H153" t="n">
        <v>1</v>
      </c>
      <c r="I153" t="n">
        <v>1</v>
      </c>
      <c r="J153" t="n">
        <v>1</v>
      </c>
      <c r="K153" t="n">
        <v>0</v>
      </c>
      <c r="L153" t="n">
        <v>0</v>
      </c>
      <c r="M153" t="n">
        <v>0</v>
      </c>
      <c r="N153" t="n">
        <v>0</v>
      </c>
      <c r="O153" t="n">
        <v>1</v>
      </c>
      <c r="P153" t="n">
        <v>0</v>
      </c>
      <c r="Q153" t="n">
        <v>2</v>
      </c>
      <c r="R153" s="2" t="inlineStr">
        <is>
          <t>Talltita
Blodticka</t>
        </is>
      </c>
      <c r="S153">
        <f>HYPERLINK("https://klasma.github.io/Logging_0883/artfynd/A 911-2024 artfynd.xlsx", "A 911-2024")</f>
        <v/>
      </c>
      <c r="T153">
        <f>HYPERLINK("https://klasma.github.io/Logging_0883/kartor/A 911-2024 karta.png", "A 911-2024")</f>
        <v/>
      </c>
      <c r="V153">
        <f>HYPERLINK("https://klasma.github.io/Logging_0883/klagomål/A 911-2024 FSC-klagomål.docx", "A 911-2024")</f>
        <v/>
      </c>
      <c r="W153">
        <f>HYPERLINK("https://klasma.github.io/Logging_0883/klagomålsmail/A 911-2024 FSC-klagomål mail.docx", "A 911-2024")</f>
        <v/>
      </c>
      <c r="X153">
        <f>HYPERLINK("https://klasma.github.io/Logging_0883/tillsyn/A 911-2024 tillsynsbegäran.docx", "A 911-2024")</f>
        <v/>
      </c>
      <c r="Y153">
        <f>HYPERLINK("https://klasma.github.io/Logging_0883/tillsynsmail/A 911-2024 tillsynsbegäran mail.docx", "A 911-2024")</f>
        <v/>
      </c>
      <c r="Z153">
        <f>HYPERLINK("https://klasma.github.io/Logging_0883/fåglar/A 911-2024 prioriterade fågelarter.docx", "A 911-2024")</f>
        <v/>
      </c>
    </row>
    <row r="154" ht="15" customHeight="1">
      <c r="A154" t="inlineStr">
        <is>
          <t>A 59940-2021</t>
        </is>
      </c>
      <c r="B154" s="1" t="n">
        <v>44494</v>
      </c>
      <c r="C154" s="1" t="n">
        <v>45895</v>
      </c>
      <c r="D154" t="inlineStr">
        <is>
          <t>KALMAR LÄN</t>
        </is>
      </c>
      <c r="E154" t="inlineStr">
        <is>
          <t>VÄSTERVIK</t>
        </is>
      </c>
      <c r="G154" t="n">
        <v>4.3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59940-2021 artfynd.xlsx", "A 59940-2021")</f>
        <v/>
      </c>
      <c r="T154">
        <f>HYPERLINK("https://klasma.github.io/Logging_0883/kartor/A 59940-2021 karta.png", "A 59940-2021")</f>
        <v/>
      </c>
      <c r="U154">
        <f>HYPERLINK("https://klasma.github.io/Logging_0883/knärot/A 59940-2021 karta knärot.png", "A 59940-2021")</f>
        <v/>
      </c>
      <c r="V154">
        <f>HYPERLINK("https://klasma.github.io/Logging_0883/klagomål/A 59940-2021 FSC-klagomål.docx", "A 59940-2021")</f>
        <v/>
      </c>
      <c r="W154">
        <f>HYPERLINK("https://klasma.github.io/Logging_0883/klagomålsmail/A 59940-2021 FSC-klagomål mail.docx", "A 59940-2021")</f>
        <v/>
      </c>
      <c r="X154">
        <f>HYPERLINK("https://klasma.github.io/Logging_0883/tillsyn/A 59940-2021 tillsynsbegäran.docx", "A 59940-2021")</f>
        <v/>
      </c>
      <c r="Y154">
        <f>HYPERLINK("https://klasma.github.io/Logging_0883/tillsynsmail/A 59940-2021 tillsynsbegäran mail.docx", "A 59940-2021")</f>
        <v/>
      </c>
    </row>
    <row r="155" ht="15" customHeight="1">
      <c r="A155" t="inlineStr">
        <is>
          <t>A 14086-2025</t>
        </is>
      </c>
      <c r="B155" s="1" t="n">
        <v>45740.44130787037</v>
      </c>
      <c r="C155" s="1" t="n">
        <v>45895</v>
      </c>
      <c r="D155" t="inlineStr">
        <is>
          <t>KALMAR LÄN</t>
        </is>
      </c>
      <c r="E155" t="inlineStr">
        <is>
          <t>VÄSTERVIK</t>
        </is>
      </c>
      <c r="F155" t="inlineStr">
        <is>
          <t>Sveaskog</t>
        </is>
      </c>
      <c r="G155" t="n">
        <v>3.2</v>
      </c>
      <c r="H155" t="n">
        <v>1</v>
      </c>
      <c r="I155" t="n">
        <v>1</v>
      </c>
      <c r="J155" t="n">
        <v>0</v>
      </c>
      <c r="K155" t="n">
        <v>0</v>
      </c>
      <c r="L155" t="n">
        <v>0</v>
      </c>
      <c r="M155" t="n">
        <v>0</v>
      </c>
      <c r="N155" t="n">
        <v>0</v>
      </c>
      <c r="O155" t="n">
        <v>0</v>
      </c>
      <c r="P155" t="n">
        <v>0</v>
      </c>
      <c r="Q155" t="n">
        <v>2</v>
      </c>
      <c r="R155" s="2" t="inlineStr">
        <is>
          <t>Skogsbräsma
Åkergroda</t>
        </is>
      </c>
      <c r="S155">
        <f>HYPERLINK("https://klasma.github.io/Logging_0883/artfynd/A 14086-2025 artfynd.xlsx", "A 14086-2025")</f>
        <v/>
      </c>
      <c r="T155">
        <f>HYPERLINK("https://klasma.github.io/Logging_0883/kartor/A 14086-2025 karta.png", "A 14086-2025")</f>
        <v/>
      </c>
      <c r="V155">
        <f>HYPERLINK("https://klasma.github.io/Logging_0883/klagomål/A 14086-2025 FSC-klagomål.docx", "A 14086-2025")</f>
        <v/>
      </c>
      <c r="W155">
        <f>HYPERLINK("https://klasma.github.io/Logging_0883/klagomålsmail/A 14086-2025 FSC-klagomål mail.docx", "A 14086-2025")</f>
        <v/>
      </c>
      <c r="X155">
        <f>HYPERLINK("https://klasma.github.io/Logging_0883/tillsyn/A 14086-2025 tillsynsbegäran.docx", "A 14086-2025")</f>
        <v/>
      </c>
      <c r="Y155">
        <f>HYPERLINK("https://klasma.github.io/Logging_0883/tillsynsmail/A 14086-2025 tillsynsbegäran mail.docx", "A 14086-2025")</f>
        <v/>
      </c>
    </row>
    <row r="156" ht="15" customHeight="1">
      <c r="A156" t="inlineStr">
        <is>
          <t>A 59231-2022</t>
        </is>
      </c>
      <c r="B156" s="1" t="n">
        <v>44904.55646990741</v>
      </c>
      <c r="C156" s="1" t="n">
        <v>45895</v>
      </c>
      <c r="D156" t="inlineStr">
        <is>
          <t>KALMAR LÄN</t>
        </is>
      </c>
      <c r="E156" t="inlineStr">
        <is>
          <t>VÄSTERVIK</t>
        </is>
      </c>
      <c r="G156" t="n">
        <v>1.8</v>
      </c>
      <c r="H156" t="n">
        <v>0</v>
      </c>
      <c r="I156" t="n">
        <v>1</v>
      </c>
      <c r="J156" t="n">
        <v>1</v>
      </c>
      <c r="K156" t="n">
        <v>0</v>
      </c>
      <c r="L156" t="n">
        <v>0</v>
      </c>
      <c r="M156" t="n">
        <v>0</v>
      </c>
      <c r="N156" t="n">
        <v>0</v>
      </c>
      <c r="O156" t="n">
        <v>1</v>
      </c>
      <c r="P156" t="n">
        <v>0</v>
      </c>
      <c r="Q156" t="n">
        <v>2</v>
      </c>
      <c r="R156" s="2" t="inlineStr">
        <is>
          <t>Tallticka
Grönpyrola</t>
        </is>
      </c>
      <c r="S156">
        <f>HYPERLINK("https://klasma.github.io/Logging_0883/artfynd/A 59231-2022 artfynd.xlsx", "A 59231-2022")</f>
        <v/>
      </c>
      <c r="T156">
        <f>HYPERLINK("https://klasma.github.io/Logging_0883/kartor/A 59231-2022 karta.png", "A 59231-2022")</f>
        <v/>
      </c>
      <c r="V156">
        <f>HYPERLINK("https://klasma.github.io/Logging_0883/klagomål/A 59231-2022 FSC-klagomål.docx", "A 59231-2022")</f>
        <v/>
      </c>
      <c r="W156">
        <f>HYPERLINK("https://klasma.github.io/Logging_0883/klagomålsmail/A 59231-2022 FSC-klagomål mail.docx", "A 59231-2022")</f>
        <v/>
      </c>
      <c r="X156">
        <f>HYPERLINK("https://klasma.github.io/Logging_0883/tillsyn/A 59231-2022 tillsynsbegäran.docx", "A 59231-2022")</f>
        <v/>
      </c>
      <c r="Y156">
        <f>HYPERLINK("https://klasma.github.io/Logging_0883/tillsynsmail/A 59231-2022 tillsynsbegäran mail.docx", "A 59231-2022")</f>
        <v/>
      </c>
    </row>
    <row r="157" ht="15" customHeight="1">
      <c r="A157" t="inlineStr">
        <is>
          <t>A 948-2024</t>
        </is>
      </c>
      <c r="B157" s="1" t="n">
        <v>45301</v>
      </c>
      <c r="C157" s="1" t="n">
        <v>45895</v>
      </c>
      <c r="D157" t="inlineStr">
        <is>
          <t>KALMAR LÄN</t>
        </is>
      </c>
      <c r="E157" t="inlineStr">
        <is>
          <t>VÄSTERVIK</t>
        </is>
      </c>
      <c r="G157" t="n">
        <v>4.5</v>
      </c>
      <c r="H157" t="n">
        <v>1</v>
      </c>
      <c r="I157" t="n">
        <v>1</v>
      </c>
      <c r="J157" t="n">
        <v>0</v>
      </c>
      <c r="K157" t="n">
        <v>0</v>
      </c>
      <c r="L157" t="n">
        <v>0</v>
      </c>
      <c r="M157" t="n">
        <v>0</v>
      </c>
      <c r="N157" t="n">
        <v>0</v>
      </c>
      <c r="O157" t="n">
        <v>0</v>
      </c>
      <c r="P157" t="n">
        <v>0</v>
      </c>
      <c r="Q157" t="n">
        <v>2</v>
      </c>
      <c r="R157" s="2" t="inlineStr">
        <is>
          <t>Dropptaggsvamp
Tjäder</t>
        </is>
      </c>
      <c r="S157">
        <f>HYPERLINK("https://klasma.github.io/Logging_0883/artfynd/A 948-2024 artfynd.xlsx", "A 948-2024")</f>
        <v/>
      </c>
      <c r="T157">
        <f>HYPERLINK("https://klasma.github.io/Logging_0883/kartor/A 948-2024 karta.png", "A 948-2024")</f>
        <v/>
      </c>
      <c r="V157">
        <f>HYPERLINK("https://klasma.github.io/Logging_0883/klagomål/A 948-2024 FSC-klagomål.docx", "A 948-2024")</f>
        <v/>
      </c>
      <c r="W157">
        <f>HYPERLINK("https://klasma.github.io/Logging_0883/klagomålsmail/A 948-2024 FSC-klagomål mail.docx", "A 948-2024")</f>
        <v/>
      </c>
      <c r="X157">
        <f>HYPERLINK("https://klasma.github.io/Logging_0883/tillsyn/A 948-2024 tillsynsbegäran.docx", "A 948-2024")</f>
        <v/>
      </c>
      <c r="Y157">
        <f>HYPERLINK("https://klasma.github.io/Logging_0883/tillsynsmail/A 948-2024 tillsynsbegäran mail.docx", "A 948-2024")</f>
        <v/>
      </c>
      <c r="Z157">
        <f>HYPERLINK("https://klasma.github.io/Logging_0883/fåglar/A 948-2024 prioriterade fågelarter.docx", "A 948-2024")</f>
        <v/>
      </c>
    </row>
    <row r="158" ht="15" customHeight="1">
      <c r="A158" t="inlineStr">
        <is>
          <t>A 1955-2021</t>
        </is>
      </c>
      <c r="B158" s="1" t="n">
        <v>44210</v>
      </c>
      <c r="C158" s="1" t="n">
        <v>45895</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33184-2025</t>
        </is>
      </c>
      <c r="B159" s="1" t="n">
        <v>45840.59291666667</v>
      </c>
      <c r="C159" s="1" t="n">
        <v>45895</v>
      </c>
      <c r="D159" t="inlineStr">
        <is>
          <t>KALMAR LÄN</t>
        </is>
      </c>
      <c r="E159" t="inlineStr">
        <is>
          <t>VÄSTERVIK</t>
        </is>
      </c>
      <c r="G159" t="n">
        <v>3.5</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33184-2025 artfynd.xlsx", "A 33184-2025")</f>
        <v/>
      </c>
      <c r="T159">
        <f>HYPERLINK("https://klasma.github.io/Logging_0883/kartor/A 33184-2025 karta.png", "A 33184-2025")</f>
        <v/>
      </c>
      <c r="V159">
        <f>HYPERLINK("https://klasma.github.io/Logging_0883/klagomål/A 33184-2025 FSC-klagomål.docx", "A 33184-2025")</f>
        <v/>
      </c>
      <c r="W159">
        <f>HYPERLINK("https://klasma.github.io/Logging_0883/klagomålsmail/A 33184-2025 FSC-klagomål mail.docx", "A 33184-2025")</f>
        <v/>
      </c>
      <c r="X159">
        <f>HYPERLINK("https://klasma.github.io/Logging_0883/tillsyn/A 33184-2025 tillsynsbegäran.docx", "A 33184-2025")</f>
        <v/>
      </c>
      <c r="Y159">
        <f>HYPERLINK("https://klasma.github.io/Logging_0883/tillsynsmail/A 33184-2025 tillsynsbegäran mail.docx", "A 33184-2025")</f>
        <v/>
      </c>
      <c r="Z159">
        <f>HYPERLINK("https://klasma.github.io/Logging_0883/fåglar/A 33184-2025 prioriterade fågelarter.docx", "A 33184-2025")</f>
        <v/>
      </c>
    </row>
    <row r="160" ht="15" customHeight="1">
      <c r="A160" t="inlineStr">
        <is>
          <t>A 53769-2021</t>
        </is>
      </c>
      <c r="B160" s="1" t="n">
        <v>44467</v>
      </c>
      <c r="C160" s="1" t="n">
        <v>45895</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56180-2020</t>
        </is>
      </c>
      <c r="B161" s="1" t="n">
        <v>44133</v>
      </c>
      <c r="C161" s="1" t="n">
        <v>45895</v>
      </c>
      <c r="D161" t="inlineStr">
        <is>
          <t>KALMAR LÄN</t>
        </is>
      </c>
      <c r="E161" t="inlineStr">
        <is>
          <t>VÄSTERVIK</t>
        </is>
      </c>
      <c r="G161" t="n">
        <v>9.199999999999999</v>
      </c>
      <c r="H161" t="n">
        <v>2</v>
      </c>
      <c r="I161" t="n">
        <v>0</v>
      </c>
      <c r="J161" t="n">
        <v>0</v>
      </c>
      <c r="K161" t="n">
        <v>1</v>
      </c>
      <c r="L161" t="n">
        <v>0</v>
      </c>
      <c r="M161" t="n">
        <v>0</v>
      </c>
      <c r="N161" t="n">
        <v>0</v>
      </c>
      <c r="O161" t="n">
        <v>1</v>
      </c>
      <c r="P161" t="n">
        <v>1</v>
      </c>
      <c r="Q161" t="n">
        <v>2</v>
      </c>
      <c r="R161" s="2" t="inlineStr">
        <is>
          <t>Hasselsnok
Mattlummer</t>
        </is>
      </c>
      <c r="S161">
        <f>HYPERLINK("https://klasma.github.io/Logging_0883/artfynd/A 56180-2020 artfynd.xlsx", "A 56180-2020")</f>
        <v/>
      </c>
      <c r="T161">
        <f>HYPERLINK("https://klasma.github.io/Logging_0883/kartor/A 56180-2020 karta.png", "A 56180-2020")</f>
        <v/>
      </c>
      <c r="V161">
        <f>HYPERLINK("https://klasma.github.io/Logging_0883/klagomål/A 56180-2020 FSC-klagomål.docx", "A 56180-2020")</f>
        <v/>
      </c>
      <c r="W161">
        <f>HYPERLINK("https://klasma.github.io/Logging_0883/klagomålsmail/A 56180-2020 FSC-klagomål mail.docx", "A 56180-2020")</f>
        <v/>
      </c>
      <c r="X161">
        <f>HYPERLINK("https://klasma.github.io/Logging_0883/tillsyn/A 56180-2020 tillsynsbegäran.docx", "A 56180-2020")</f>
        <v/>
      </c>
      <c r="Y161">
        <f>HYPERLINK("https://klasma.github.io/Logging_0883/tillsynsmail/A 56180-2020 tillsynsbegäran mail.docx", "A 56180-2020")</f>
        <v/>
      </c>
    </row>
    <row r="162" ht="15" customHeight="1">
      <c r="A162" t="inlineStr">
        <is>
          <t>A 55408-2023</t>
        </is>
      </c>
      <c r="B162" s="1" t="n">
        <v>45238</v>
      </c>
      <c r="C162" s="1" t="n">
        <v>45895</v>
      </c>
      <c r="D162" t="inlineStr">
        <is>
          <t>KALMAR LÄN</t>
        </is>
      </c>
      <c r="E162" t="inlineStr">
        <is>
          <t>VÄSTERVIK</t>
        </is>
      </c>
      <c r="G162" t="n">
        <v>2.8</v>
      </c>
      <c r="H162" t="n">
        <v>0</v>
      </c>
      <c r="I162" t="n">
        <v>0</v>
      </c>
      <c r="J162" t="n">
        <v>2</v>
      </c>
      <c r="K162" t="n">
        <v>0</v>
      </c>
      <c r="L162" t="n">
        <v>0</v>
      </c>
      <c r="M162" t="n">
        <v>0</v>
      </c>
      <c r="N162" t="n">
        <v>0</v>
      </c>
      <c r="O162" t="n">
        <v>2</v>
      </c>
      <c r="P162" t="n">
        <v>0</v>
      </c>
      <c r="Q162" t="n">
        <v>2</v>
      </c>
      <c r="R162" s="2" t="inlineStr">
        <is>
          <t>Ekticka
Tallticka</t>
        </is>
      </c>
      <c r="S162">
        <f>HYPERLINK("https://klasma.github.io/Logging_0883/artfynd/A 55408-2023 artfynd.xlsx", "A 55408-2023")</f>
        <v/>
      </c>
      <c r="T162">
        <f>HYPERLINK("https://klasma.github.io/Logging_0883/kartor/A 55408-2023 karta.png", "A 55408-2023")</f>
        <v/>
      </c>
      <c r="V162">
        <f>HYPERLINK("https://klasma.github.io/Logging_0883/klagomål/A 55408-2023 FSC-klagomål.docx", "A 55408-2023")</f>
        <v/>
      </c>
      <c r="W162">
        <f>HYPERLINK("https://klasma.github.io/Logging_0883/klagomålsmail/A 55408-2023 FSC-klagomål mail.docx", "A 55408-2023")</f>
        <v/>
      </c>
      <c r="X162">
        <f>HYPERLINK("https://klasma.github.io/Logging_0883/tillsyn/A 55408-2023 tillsynsbegäran.docx", "A 55408-2023")</f>
        <v/>
      </c>
      <c r="Y162">
        <f>HYPERLINK("https://klasma.github.io/Logging_0883/tillsynsmail/A 55408-2023 tillsynsbegäran mail.docx", "A 55408-2023")</f>
        <v/>
      </c>
    </row>
    <row r="163" ht="15" customHeight="1">
      <c r="A163" t="inlineStr">
        <is>
          <t>A 33687-2025</t>
        </is>
      </c>
      <c r="B163" s="1" t="n">
        <v>45841.69072916666</v>
      </c>
      <c r="C163" s="1" t="n">
        <v>45895</v>
      </c>
      <c r="D163" t="inlineStr">
        <is>
          <t>KALMAR LÄN</t>
        </is>
      </c>
      <c r="E163" t="inlineStr">
        <is>
          <t>VÄSTERVIK</t>
        </is>
      </c>
      <c r="G163" t="n">
        <v>1.7</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33687-2025 artfynd.xlsx", "A 33687-2025")</f>
        <v/>
      </c>
      <c r="T163">
        <f>HYPERLINK("https://klasma.github.io/Logging_0883/kartor/A 33687-2025 karta.png", "A 33687-2025")</f>
        <v/>
      </c>
      <c r="U163">
        <f>HYPERLINK("https://klasma.github.io/Logging_0883/knärot/A 33687-2025 karta knärot.png", "A 33687-2025")</f>
        <v/>
      </c>
      <c r="V163">
        <f>HYPERLINK("https://klasma.github.io/Logging_0883/klagomål/A 33687-2025 FSC-klagomål.docx", "A 33687-2025")</f>
        <v/>
      </c>
      <c r="W163">
        <f>HYPERLINK("https://klasma.github.io/Logging_0883/klagomålsmail/A 33687-2025 FSC-klagomål mail.docx", "A 33687-2025")</f>
        <v/>
      </c>
      <c r="X163">
        <f>HYPERLINK("https://klasma.github.io/Logging_0883/tillsyn/A 33687-2025 tillsynsbegäran.docx", "A 33687-2025")</f>
        <v/>
      </c>
      <c r="Y163">
        <f>HYPERLINK("https://klasma.github.io/Logging_0883/tillsynsmail/A 33687-2025 tillsynsbegäran mail.docx", "A 33687-2025")</f>
        <v/>
      </c>
      <c r="Z163">
        <f>HYPERLINK("https://klasma.github.io/Logging_0883/fåglar/A 33687-2025 prioriterade fågelarter.docx", "A 33687-2025")</f>
        <v/>
      </c>
    </row>
    <row r="164" ht="15" customHeight="1">
      <c r="A164" t="inlineStr">
        <is>
          <t>A 4778-2025</t>
        </is>
      </c>
      <c r="B164" s="1" t="n">
        <v>45688</v>
      </c>
      <c r="C164" s="1" t="n">
        <v>45895</v>
      </c>
      <c r="D164" t="inlineStr">
        <is>
          <t>KALMAR LÄN</t>
        </is>
      </c>
      <c r="E164" t="inlineStr">
        <is>
          <t>VÄSTERVIK</t>
        </is>
      </c>
      <c r="F164" t="inlineStr">
        <is>
          <t>Holmen skog AB</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4778-2025 artfynd.xlsx", "A 4778-2025")</f>
        <v/>
      </c>
      <c r="T164">
        <f>HYPERLINK("https://klasma.github.io/Logging_0883/kartor/A 4778-2025 karta.png", "A 4778-2025")</f>
        <v/>
      </c>
      <c r="U164">
        <f>HYPERLINK("https://klasma.github.io/Logging_0883/knärot/A 4778-2025 karta knärot.png", "A 4778-2025")</f>
        <v/>
      </c>
      <c r="V164">
        <f>HYPERLINK("https://klasma.github.io/Logging_0883/klagomål/A 4778-2025 FSC-klagomål.docx", "A 4778-2025")</f>
        <v/>
      </c>
      <c r="W164">
        <f>HYPERLINK("https://klasma.github.io/Logging_0883/klagomålsmail/A 4778-2025 FSC-klagomål mail.docx", "A 4778-2025")</f>
        <v/>
      </c>
      <c r="X164">
        <f>HYPERLINK("https://klasma.github.io/Logging_0883/tillsyn/A 4778-2025 tillsynsbegäran.docx", "A 4778-2025")</f>
        <v/>
      </c>
      <c r="Y164">
        <f>HYPERLINK("https://klasma.github.io/Logging_0883/tillsynsmail/A 4778-2025 tillsynsbegäran mail.docx", "A 4778-2025")</f>
        <v/>
      </c>
      <c r="Z164">
        <f>HYPERLINK("https://klasma.github.io/Logging_0883/fåglar/A 4778-2025 prioriterade fågelarter.docx", "A 4778-2025")</f>
        <v/>
      </c>
    </row>
    <row r="165" ht="15" customHeight="1">
      <c r="A165" t="inlineStr">
        <is>
          <t>A 14126-2025</t>
        </is>
      </c>
      <c r="B165" s="1" t="n">
        <v>45740.47012731482</v>
      </c>
      <c r="C165" s="1" t="n">
        <v>45895</v>
      </c>
      <c r="D165" t="inlineStr">
        <is>
          <t>KALMAR LÄN</t>
        </is>
      </c>
      <c r="E165" t="inlineStr">
        <is>
          <t>VÄSTERVIK</t>
        </is>
      </c>
      <c r="F165" t="inlineStr">
        <is>
          <t>Sveaskog</t>
        </is>
      </c>
      <c r="G165" t="n">
        <v>1.3</v>
      </c>
      <c r="H165" t="n">
        <v>2</v>
      </c>
      <c r="I165" t="n">
        <v>0</v>
      </c>
      <c r="J165" t="n">
        <v>1</v>
      </c>
      <c r="K165" t="n">
        <v>0</v>
      </c>
      <c r="L165" t="n">
        <v>0</v>
      </c>
      <c r="M165" t="n">
        <v>0</v>
      </c>
      <c r="N165" t="n">
        <v>0</v>
      </c>
      <c r="O165" t="n">
        <v>1</v>
      </c>
      <c r="P165" t="n">
        <v>0</v>
      </c>
      <c r="Q165" t="n">
        <v>2</v>
      </c>
      <c r="R165" s="2" t="inlineStr">
        <is>
          <t>Grönsångare
Blåsippa</t>
        </is>
      </c>
      <c r="S165">
        <f>HYPERLINK("https://klasma.github.io/Logging_0883/artfynd/A 14126-2025 artfynd.xlsx", "A 14126-2025")</f>
        <v/>
      </c>
      <c r="T165">
        <f>HYPERLINK("https://klasma.github.io/Logging_0883/kartor/A 14126-2025 karta.png", "A 14126-2025")</f>
        <v/>
      </c>
      <c r="V165">
        <f>HYPERLINK("https://klasma.github.io/Logging_0883/klagomål/A 14126-2025 FSC-klagomål.docx", "A 14126-2025")</f>
        <v/>
      </c>
      <c r="W165">
        <f>HYPERLINK("https://klasma.github.io/Logging_0883/klagomålsmail/A 14126-2025 FSC-klagomål mail.docx", "A 14126-2025")</f>
        <v/>
      </c>
      <c r="X165">
        <f>HYPERLINK("https://klasma.github.io/Logging_0883/tillsyn/A 14126-2025 tillsynsbegäran.docx", "A 14126-2025")</f>
        <v/>
      </c>
      <c r="Y165">
        <f>HYPERLINK("https://klasma.github.io/Logging_0883/tillsynsmail/A 14126-2025 tillsynsbegäran mail.docx", "A 14126-2025")</f>
        <v/>
      </c>
      <c r="Z165">
        <f>HYPERLINK("https://klasma.github.io/Logging_0883/fåglar/A 14126-2025 prioriterade fågelarter.docx", "A 14126-2025")</f>
        <v/>
      </c>
    </row>
    <row r="166" ht="15" customHeight="1">
      <c r="A166" t="inlineStr">
        <is>
          <t>A 14301-2023</t>
        </is>
      </c>
      <c r="B166" s="1" t="n">
        <v>45011</v>
      </c>
      <c r="C166" s="1" t="n">
        <v>45895</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34119-2023</t>
        </is>
      </c>
      <c r="B167" s="1" t="n">
        <v>45135</v>
      </c>
      <c r="C167" s="1" t="n">
        <v>45895</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15018-2025</t>
        </is>
      </c>
      <c r="B168" s="1" t="n">
        <v>45743.63806712963</v>
      </c>
      <c r="C168" s="1" t="n">
        <v>45895</v>
      </c>
      <c r="D168" t="inlineStr">
        <is>
          <t>KALMAR LÄN</t>
        </is>
      </c>
      <c r="E168" t="inlineStr">
        <is>
          <t>VÄSTERVIK</t>
        </is>
      </c>
      <c r="G168" t="n">
        <v>1.7</v>
      </c>
      <c r="H168" t="n">
        <v>2</v>
      </c>
      <c r="I168" t="n">
        <v>0</v>
      </c>
      <c r="J168" t="n">
        <v>1</v>
      </c>
      <c r="K168" t="n">
        <v>0</v>
      </c>
      <c r="L168" t="n">
        <v>0</v>
      </c>
      <c r="M168" t="n">
        <v>0</v>
      </c>
      <c r="N168" t="n">
        <v>0</v>
      </c>
      <c r="O168" t="n">
        <v>1</v>
      </c>
      <c r="P168" t="n">
        <v>0</v>
      </c>
      <c r="Q168" t="n">
        <v>2</v>
      </c>
      <c r="R168" s="2" t="inlineStr">
        <is>
          <t>Fjällvråk
Nattskärra</t>
        </is>
      </c>
      <c r="S168">
        <f>HYPERLINK("https://klasma.github.io/Logging_0883/artfynd/A 15018-2025 artfynd.xlsx", "A 15018-2025")</f>
        <v/>
      </c>
      <c r="T168">
        <f>HYPERLINK("https://klasma.github.io/Logging_0883/kartor/A 15018-2025 karta.png", "A 15018-2025")</f>
        <v/>
      </c>
      <c r="V168">
        <f>HYPERLINK("https://klasma.github.io/Logging_0883/klagomål/A 15018-2025 FSC-klagomål.docx", "A 15018-2025")</f>
        <v/>
      </c>
      <c r="W168">
        <f>HYPERLINK("https://klasma.github.io/Logging_0883/klagomålsmail/A 15018-2025 FSC-klagomål mail.docx", "A 15018-2025")</f>
        <v/>
      </c>
      <c r="X168">
        <f>HYPERLINK("https://klasma.github.io/Logging_0883/tillsyn/A 15018-2025 tillsynsbegäran.docx", "A 15018-2025")</f>
        <v/>
      </c>
      <c r="Y168">
        <f>HYPERLINK("https://klasma.github.io/Logging_0883/tillsynsmail/A 15018-2025 tillsynsbegäran mail.docx", "A 15018-2025")</f>
        <v/>
      </c>
      <c r="Z168">
        <f>HYPERLINK("https://klasma.github.io/Logging_0883/fåglar/A 15018-2025 prioriterade fågelarter.docx", "A 15018-2025")</f>
        <v/>
      </c>
    </row>
    <row r="169" ht="15" customHeight="1">
      <c r="A169" t="inlineStr">
        <is>
          <t>A 56857-2023</t>
        </is>
      </c>
      <c r="B169" s="1" t="n">
        <v>45244</v>
      </c>
      <c r="C169" s="1" t="n">
        <v>45895</v>
      </c>
      <c r="D169" t="inlineStr">
        <is>
          <t>KALMAR LÄN</t>
        </is>
      </c>
      <c r="E169" t="inlineStr">
        <is>
          <t>VÄSTERVIK</t>
        </is>
      </c>
      <c r="F169" t="inlineStr">
        <is>
          <t>Kyrkan</t>
        </is>
      </c>
      <c r="G169" t="n">
        <v>7.5</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56857-2023 artfynd.xlsx", "A 56857-2023")</f>
        <v/>
      </c>
      <c r="T169">
        <f>HYPERLINK("https://klasma.github.io/Logging_0883/kartor/A 56857-2023 karta.png", "A 56857-2023")</f>
        <v/>
      </c>
      <c r="U169">
        <f>HYPERLINK("https://klasma.github.io/Logging_0883/knärot/A 56857-2023 karta knärot.png", "A 56857-2023")</f>
        <v/>
      </c>
      <c r="V169">
        <f>HYPERLINK("https://klasma.github.io/Logging_0883/klagomål/A 56857-2023 FSC-klagomål.docx", "A 56857-2023")</f>
        <v/>
      </c>
      <c r="W169">
        <f>HYPERLINK("https://klasma.github.io/Logging_0883/klagomålsmail/A 56857-2023 FSC-klagomål mail.docx", "A 56857-2023")</f>
        <v/>
      </c>
      <c r="X169">
        <f>HYPERLINK("https://klasma.github.io/Logging_0883/tillsyn/A 56857-2023 tillsynsbegäran.docx", "A 56857-2023")</f>
        <v/>
      </c>
      <c r="Y169">
        <f>HYPERLINK("https://klasma.github.io/Logging_0883/tillsynsmail/A 56857-2023 tillsynsbegäran mail.docx", "A 56857-2023")</f>
        <v/>
      </c>
    </row>
    <row r="170" ht="15" customHeight="1">
      <c r="A170" t="inlineStr">
        <is>
          <t>A 52831-2021</t>
        </is>
      </c>
      <c r="B170" s="1" t="n">
        <v>44467</v>
      </c>
      <c r="C170" s="1" t="n">
        <v>45895</v>
      </c>
      <c r="D170" t="inlineStr">
        <is>
          <t>KALMAR LÄN</t>
        </is>
      </c>
      <c r="E170" t="inlineStr">
        <is>
          <t>VÄSTERVIK</t>
        </is>
      </c>
      <c r="G170" t="n">
        <v>0.8</v>
      </c>
      <c r="H170" t="n">
        <v>0</v>
      </c>
      <c r="I170" t="n">
        <v>0</v>
      </c>
      <c r="J170" t="n">
        <v>1</v>
      </c>
      <c r="K170" t="n">
        <v>0</v>
      </c>
      <c r="L170" t="n">
        <v>0</v>
      </c>
      <c r="M170" t="n">
        <v>0</v>
      </c>
      <c r="N170" t="n">
        <v>0</v>
      </c>
      <c r="O170" t="n">
        <v>1</v>
      </c>
      <c r="P170" t="n">
        <v>0</v>
      </c>
      <c r="Q170" t="n">
        <v>1</v>
      </c>
      <c r="R170" s="2" t="inlineStr">
        <is>
          <t>Tallticka</t>
        </is>
      </c>
      <c r="S170">
        <f>HYPERLINK("https://klasma.github.io/Logging_0883/artfynd/A 52831-2021 artfynd.xlsx", "A 52831-2021")</f>
        <v/>
      </c>
      <c r="T170">
        <f>HYPERLINK("https://klasma.github.io/Logging_0883/kartor/A 52831-2021 karta.png", "A 52831-2021")</f>
        <v/>
      </c>
      <c r="V170">
        <f>HYPERLINK("https://klasma.github.io/Logging_0883/klagomål/A 52831-2021 FSC-klagomål.docx", "A 52831-2021")</f>
        <v/>
      </c>
      <c r="W170">
        <f>HYPERLINK("https://klasma.github.io/Logging_0883/klagomålsmail/A 52831-2021 FSC-klagomål mail.docx", "A 52831-2021")</f>
        <v/>
      </c>
      <c r="X170">
        <f>HYPERLINK("https://klasma.github.io/Logging_0883/tillsyn/A 52831-2021 tillsynsbegäran.docx", "A 52831-2021")</f>
        <v/>
      </c>
      <c r="Y170">
        <f>HYPERLINK("https://klasma.github.io/Logging_0883/tillsynsmail/A 52831-2021 tillsynsbegäran mail.docx", "A 52831-2021")</f>
        <v/>
      </c>
    </row>
    <row r="171" ht="15" customHeight="1">
      <c r="A171" t="inlineStr">
        <is>
          <t>A 69632-2020</t>
        </is>
      </c>
      <c r="B171" s="1" t="n">
        <v>44195</v>
      </c>
      <c r="C171" s="1" t="n">
        <v>45895</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6025-2024</t>
        </is>
      </c>
      <c r="B172" s="1" t="n">
        <v>45336</v>
      </c>
      <c r="C172" s="1" t="n">
        <v>45895</v>
      </c>
      <c r="D172" t="inlineStr">
        <is>
          <t>KALMAR LÄN</t>
        </is>
      </c>
      <c r="E172" t="inlineStr">
        <is>
          <t>VÄSTERVIK</t>
        </is>
      </c>
      <c r="G172" t="n">
        <v>2.8</v>
      </c>
      <c r="H172" t="n">
        <v>0</v>
      </c>
      <c r="I172" t="n">
        <v>0</v>
      </c>
      <c r="J172" t="n">
        <v>1</v>
      </c>
      <c r="K172" t="n">
        <v>0</v>
      </c>
      <c r="L172" t="n">
        <v>0</v>
      </c>
      <c r="M172" t="n">
        <v>0</v>
      </c>
      <c r="N172" t="n">
        <v>0</v>
      </c>
      <c r="O172" t="n">
        <v>1</v>
      </c>
      <c r="P172" t="n">
        <v>0</v>
      </c>
      <c r="Q172" t="n">
        <v>1</v>
      </c>
      <c r="R172" s="2" t="inlineStr">
        <is>
          <t>Tallticka</t>
        </is>
      </c>
      <c r="S172">
        <f>HYPERLINK("https://klasma.github.io/Logging_0883/artfynd/A 6025-2024 artfynd.xlsx", "A 6025-2024")</f>
        <v/>
      </c>
      <c r="T172">
        <f>HYPERLINK("https://klasma.github.io/Logging_0883/kartor/A 6025-2024 karta.png", "A 6025-2024")</f>
        <v/>
      </c>
      <c r="V172">
        <f>HYPERLINK("https://klasma.github.io/Logging_0883/klagomål/A 6025-2024 FSC-klagomål.docx", "A 6025-2024")</f>
        <v/>
      </c>
      <c r="W172">
        <f>HYPERLINK("https://klasma.github.io/Logging_0883/klagomålsmail/A 6025-2024 FSC-klagomål mail.docx", "A 6025-2024")</f>
        <v/>
      </c>
      <c r="X172">
        <f>HYPERLINK("https://klasma.github.io/Logging_0883/tillsyn/A 6025-2024 tillsynsbegäran.docx", "A 6025-2024")</f>
        <v/>
      </c>
      <c r="Y172">
        <f>HYPERLINK("https://klasma.github.io/Logging_0883/tillsynsmail/A 6025-2024 tillsynsbegäran mail.docx", "A 6025-2024")</f>
        <v/>
      </c>
    </row>
    <row r="173" ht="15" customHeight="1">
      <c r="A173" t="inlineStr">
        <is>
          <t>A 59368-2023</t>
        </is>
      </c>
      <c r="B173" s="1" t="n">
        <v>45253</v>
      </c>
      <c r="C173" s="1" t="n">
        <v>45895</v>
      </c>
      <c r="D173" t="inlineStr">
        <is>
          <t>KALMAR LÄN</t>
        </is>
      </c>
      <c r="E173" t="inlineStr">
        <is>
          <t>VÄSTERVIK</t>
        </is>
      </c>
      <c r="G173" t="n">
        <v>2.4</v>
      </c>
      <c r="H173" t="n">
        <v>1</v>
      </c>
      <c r="I173" t="n">
        <v>0</v>
      </c>
      <c r="J173" t="n">
        <v>0</v>
      </c>
      <c r="K173" t="n">
        <v>1</v>
      </c>
      <c r="L173" t="n">
        <v>0</v>
      </c>
      <c r="M173" t="n">
        <v>0</v>
      </c>
      <c r="N173" t="n">
        <v>0</v>
      </c>
      <c r="O173" t="n">
        <v>1</v>
      </c>
      <c r="P173" t="n">
        <v>1</v>
      </c>
      <c r="Q173" t="n">
        <v>1</v>
      </c>
      <c r="R173" s="2" t="inlineStr">
        <is>
          <t>Knärot</t>
        </is>
      </c>
      <c r="S173">
        <f>HYPERLINK("https://klasma.github.io/Logging_0883/artfynd/A 59368-2023 artfynd.xlsx", "A 59368-2023")</f>
        <v/>
      </c>
      <c r="T173">
        <f>HYPERLINK("https://klasma.github.io/Logging_0883/kartor/A 59368-2023 karta.png", "A 59368-2023")</f>
        <v/>
      </c>
      <c r="U173">
        <f>HYPERLINK("https://klasma.github.io/Logging_0883/knärot/A 59368-2023 karta knärot.png", "A 59368-2023")</f>
        <v/>
      </c>
      <c r="V173">
        <f>HYPERLINK("https://klasma.github.io/Logging_0883/klagomål/A 59368-2023 FSC-klagomål.docx", "A 59368-2023")</f>
        <v/>
      </c>
      <c r="W173">
        <f>HYPERLINK("https://klasma.github.io/Logging_0883/klagomålsmail/A 59368-2023 FSC-klagomål mail.docx", "A 59368-2023")</f>
        <v/>
      </c>
      <c r="X173">
        <f>HYPERLINK("https://klasma.github.io/Logging_0883/tillsyn/A 59368-2023 tillsynsbegäran.docx", "A 59368-2023")</f>
        <v/>
      </c>
      <c r="Y173">
        <f>HYPERLINK("https://klasma.github.io/Logging_0883/tillsynsmail/A 59368-2023 tillsynsbegäran mail.docx", "A 59368-2023")</f>
        <v/>
      </c>
    </row>
    <row r="174" ht="15" customHeight="1">
      <c r="A174" t="inlineStr">
        <is>
          <t>A 32653-2023</t>
        </is>
      </c>
      <c r="B174" s="1" t="n">
        <v>45121</v>
      </c>
      <c r="C174" s="1" t="n">
        <v>45895</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46556-2022</t>
        </is>
      </c>
      <c r="B175" s="1" t="n">
        <v>44848</v>
      </c>
      <c r="C175" s="1" t="n">
        <v>45895</v>
      </c>
      <c r="D175" t="inlineStr">
        <is>
          <t>KALMAR LÄN</t>
        </is>
      </c>
      <c r="E175" t="inlineStr">
        <is>
          <t>VÄSTERVIK</t>
        </is>
      </c>
      <c r="F175" t="inlineStr">
        <is>
          <t>Sveaskog</t>
        </is>
      </c>
      <c r="G175" t="n">
        <v>1.5</v>
      </c>
      <c r="H175" t="n">
        <v>0</v>
      </c>
      <c r="I175" t="n">
        <v>1</v>
      </c>
      <c r="J175" t="n">
        <v>0</v>
      </c>
      <c r="K175" t="n">
        <v>0</v>
      </c>
      <c r="L175" t="n">
        <v>0</v>
      </c>
      <c r="M175" t="n">
        <v>0</v>
      </c>
      <c r="N175" t="n">
        <v>0</v>
      </c>
      <c r="O175" t="n">
        <v>0</v>
      </c>
      <c r="P175" t="n">
        <v>0</v>
      </c>
      <c r="Q175" t="n">
        <v>1</v>
      </c>
      <c r="R175" s="2" t="inlineStr">
        <is>
          <t>Fjällig taggsvamp s.str.</t>
        </is>
      </c>
      <c r="S175">
        <f>HYPERLINK("https://klasma.github.io/Logging_0883/artfynd/A 46556-2022 artfynd.xlsx", "A 46556-2022")</f>
        <v/>
      </c>
      <c r="T175">
        <f>HYPERLINK("https://klasma.github.io/Logging_0883/kartor/A 46556-2022 karta.png", "A 46556-2022")</f>
        <v/>
      </c>
      <c r="V175">
        <f>HYPERLINK("https://klasma.github.io/Logging_0883/klagomål/A 46556-2022 FSC-klagomål.docx", "A 46556-2022")</f>
        <v/>
      </c>
      <c r="W175">
        <f>HYPERLINK("https://klasma.github.io/Logging_0883/klagomålsmail/A 46556-2022 FSC-klagomål mail.docx", "A 46556-2022")</f>
        <v/>
      </c>
      <c r="X175">
        <f>HYPERLINK("https://klasma.github.io/Logging_0883/tillsyn/A 46556-2022 tillsynsbegäran.docx", "A 46556-2022")</f>
        <v/>
      </c>
      <c r="Y175">
        <f>HYPERLINK("https://klasma.github.io/Logging_0883/tillsynsmail/A 46556-2022 tillsynsbegäran mail.docx", "A 46556-2022")</f>
        <v/>
      </c>
    </row>
    <row r="176" ht="15" customHeight="1">
      <c r="A176" t="inlineStr">
        <is>
          <t>A 21409-2025</t>
        </is>
      </c>
      <c r="B176" s="1" t="n">
        <v>45782</v>
      </c>
      <c r="C176" s="1" t="n">
        <v>45895</v>
      </c>
      <c r="D176" t="inlineStr">
        <is>
          <t>KALMAR LÄN</t>
        </is>
      </c>
      <c r="E176" t="inlineStr">
        <is>
          <t>VÄSTERVIK</t>
        </is>
      </c>
      <c r="G176" t="n">
        <v>2.5</v>
      </c>
      <c r="H176" t="n">
        <v>1</v>
      </c>
      <c r="I176" t="n">
        <v>0</v>
      </c>
      <c r="J176" t="n">
        <v>0</v>
      </c>
      <c r="K176" t="n">
        <v>0</v>
      </c>
      <c r="L176" t="n">
        <v>0</v>
      </c>
      <c r="M176" t="n">
        <v>0</v>
      </c>
      <c r="N176" t="n">
        <v>0</v>
      </c>
      <c r="O176" t="n">
        <v>0</v>
      </c>
      <c r="P176" t="n">
        <v>0</v>
      </c>
      <c r="Q176" t="n">
        <v>1</v>
      </c>
      <c r="R176" s="2" t="inlineStr">
        <is>
          <t>Grönvit nattviol</t>
        </is>
      </c>
      <c r="S176">
        <f>HYPERLINK("https://klasma.github.io/Logging_0883/artfynd/A 21409-2025 artfynd.xlsx", "A 21409-2025")</f>
        <v/>
      </c>
      <c r="T176">
        <f>HYPERLINK("https://klasma.github.io/Logging_0883/kartor/A 21409-2025 karta.png", "A 21409-2025")</f>
        <v/>
      </c>
      <c r="V176">
        <f>HYPERLINK("https://klasma.github.io/Logging_0883/klagomål/A 21409-2025 FSC-klagomål.docx", "A 21409-2025")</f>
        <v/>
      </c>
      <c r="W176">
        <f>HYPERLINK("https://klasma.github.io/Logging_0883/klagomålsmail/A 21409-2025 FSC-klagomål mail.docx", "A 21409-2025")</f>
        <v/>
      </c>
      <c r="X176">
        <f>HYPERLINK("https://klasma.github.io/Logging_0883/tillsyn/A 21409-2025 tillsynsbegäran.docx", "A 21409-2025")</f>
        <v/>
      </c>
      <c r="Y176">
        <f>HYPERLINK("https://klasma.github.io/Logging_0883/tillsynsmail/A 21409-2025 tillsynsbegäran mail.docx", "A 21409-2025")</f>
        <v/>
      </c>
    </row>
    <row r="177" ht="15" customHeight="1">
      <c r="A177" t="inlineStr">
        <is>
          <t>A 21653-2025</t>
        </is>
      </c>
      <c r="B177" s="1" t="n">
        <v>45783.45039351852</v>
      </c>
      <c r="C177" s="1" t="n">
        <v>45895</v>
      </c>
      <c r="D177" t="inlineStr">
        <is>
          <t>KALMAR LÄN</t>
        </is>
      </c>
      <c r="E177" t="inlineStr">
        <is>
          <t>VÄSTERVIK</t>
        </is>
      </c>
      <c r="F177" t="inlineStr">
        <is>
          <t>Sveaskog</t>
        </is>
      </c>
      <c r="G177" t="n">
        <v>2.8</v>
      </c>
      <c r="H177" t="n">
        <v>1</v>
      </c>
      <c r="I177" t="n">
        <v>0</v>
      </c>
      <c r="J177" t="n">
        <v>1</v>
      </c>
      <c r="K177" t="n">
        <v>0</v>
      </c>
      <c r="L177" t="n">
        <v>0</v>
      </c>
      <c r="M177" t="n">
        <v>0</v>
      </c>
      <c r="N177" t="n">
        <v>0</v>
      </c>
      <c r="O177" t="n">
        <v>1</v>
      </c>
      <c r="P177" t="n">
        <v>0</v>
      </c>
      <c r="Q177" t="n">
        <v>1</v>
      </c>
      <c r="R177" s="2" t="inlineStr">
        <is>
          <t>Entita</t>
        </is>
      </c>
      <c r="S177">
        <f>HYPERLINK("https://klasma.github.io/Logging_0883/artfynd/A 21653-2025 artfynd.xlsx", "A 21653-2025")</f>
        <v/>
      </c>
      <c r="T177">
        <f>HYPERLINK("https://klasma.github.io/Logging_0883/kartor/A 21653-2025 karta.png", "A 21653-2025")</f>
        <v/>
      </c>
      <c r="V177">
        <f>HYPERLINK("https://klasma.github.io/Logging_0883/klagomål/A 21653-2025 FSC-klagomål.docx", "A 21653-2025")</f>
        <v/>
      </c>
      <c r="W177">
        <f>HYPERLINK("https://klasma.github.io/Logging_0883/klagomålsmail/A 21653-2025 FSC-klagomål mail.docx", "A 21653-2025")</f>
        <v/>
      </c>
      <c r="X177">
        <f>HYPERLINK("https://klasma.github.io/Logging_0883/tillsyn/A 21653-2025 tillsynsbegäran.docx", "A 21653-2025")</f>
        <v/>
      </c>
      <c r="Y177">
        <f>HYPERLINK("https://klasma.github.io/Logging_0883/tillsynsmail/A 21653-2025 tillsynsbegäran mail.docx", "A 21653-2025")</f>
        <v/>
      </c>
      <c r="Z177">
        <f>HYPERLINK("https://klasma.github.io/Logging_0883/fåglar/A 21653-2025 prioriterade fågelarter.docx", "A 21653-2025")</f>
        <v/>
      </c>
    </row>
    <row r="178" ht="15" customHeight="1">
      <c r="A178" t="inlineStr">
        <is>
          <t>A 3057-2025</t>
        </is>
      </c>
      <c r="B178" s="1" t="n">
        <v>45678</v>
      </c>
      <c r="C178" s="1" t="n">
        <v>45895</v>
      </c>
      <c r="D178" t="inlineStr">
        <is>
          <t>KALMAR LÄN</t>
        </is>
      </c>
      <c r="E178" t="inlineStr">
        <is>
          <t>VÄSTERVIK</t>
        </is>
      </c>
      <c r="G178" t="n">
        <v>1</v>
      </c>
      <c r="H178" t="n">
        <v>1</v>
      </c>
      <c r="I178" t="n">
        <v>0</v>
      </c>
      <c r="J178" t="n">
        <v>0</v>
      </c>
      <c r="K178" t="n">
        <v>1</v>
      </c>
      <c r="L178" t="n">
        <v>0</v>
      </c>
      <c r="M178" t="n">
        <v>0</v>
      </c>
      <c r="N178" t="n">
        <v>0</v>
      </c>
      <c r="O178" t="n">
        <v>1</v>
      </c>
      <c r="P178" t="n">
        <v>1</v>
      </c>
      <c r="Q178" t="n">
        <v>1</v>
      </c>
      <c r="R178" s="2" t="inlineStr">
        <is>
          <t>Knärot</t>
        </is>
      </c>
      <c r="S178">
        <f>HYPERLINK("https://klasma.github.io/Logging_0883/artfynd/A 3057-2025 artfynd.xlsx", "A 3057-2025")</f>
        <v/>
      </c>
      <c r="T178">
        <f>HYPERLINK("https://klasma.github.io/Logging_0883/kartor/A 3057-2025 karta.png", "A 3057-2025")</f>
        <v/>
      </c>
      <c r="U178">
        <f>HYPERLINK("https://klasma.github.io/Logging_0883/knärot/A 3057-2025 karta knärot.png", "A 3057-2025")</f>
        <v/>
      </c>
      <c r="V178">
        <f>HYPERLINK("https://klasma.github.io/Logging_0883/klagomål/A 3057-2025 FSC-klagomål.docx", "A 3057-2025")</f>
        <v/>
      </c>
      <c r="W178">
        <f>HYPERLINK("https://klasma.github.io/Logging_0883/klagomålsmail/A 3057-2025 FSC-klagomål mail.docx", "A 3057-2025")</f>
        <v/>
      </c>
      <c r="X178">
        <f>HYPERLINK("https://klasma.github.io/Logging_0883/tillsyn/A 3057-2025 tillsynsbegäran.docx", "A 3057-2025")</f>
        <v/>
      </c>
      <c r="Y178">
        <f>HYPERLINK("https://klasma.github.io/Logging_0883/tillsynsmail/A 3057-2025 tillsynsbegäran mail.docx", "A 3057-2025")</f>
        <v/>
      </c>
    </row>
    <row r="179" ht="15" customHeight="1">
      <c r="A179" t="inlineStr">
        <is>
          <t>A 66752-2020</t>
        </is>
      </c>
      <c r="B179" s="1" t="n">
        <v>44175</v>
      </c>
      <c r="C179" s="1" t="n">
        <v>45895</v>
      </c>
      <c r="D179" t="inlineStr">
        <is>
          <t>KALMAR LÄN</t>
        </is>
      </c>
      <c r="E179" t="inlineStr">
        <is>
          <t>VÄSTERVIK</t>
        </is>
      </c>
      <c r="G179" t="n">
        <v>0.7</v>
      </c>
      <c r="H179" t="n">
        <v>0</v>
      </c>
      <c r="I179" t="n">
        <v>0</v>
      </c>
      <c r="J179" t="n">
        <v>1</v>
      </c>
      <c r="K179" t="n">
        <v>0</v>
      </c>
      <c r="L179" t="n">
        <v>0</v>
      </c>
      <c r="M179" t="n">
        <v>0</v>
      </c>
      <c r="N179" t="n">
        <v>0</v>
      </c>
      <c r="O179" t="n">
        <v>1</v>
      </c>
      <c r="P179" t="n">
        <v>0</v>
      </c>
      <c r="Q179" t="n">
        <v>1</v>
      </c>
      <c r="R179" s="2" t="inlineStr">
        <is>
          <t>Tallticka</t>
        </is>
      </c>
      <c r="S179">
        <f>HYPERLINK("https://klasma.github.io/Logging_0883/artfynd/A 66752-2020 artfynd.xlsx", "A 66752-2020")</f>
        <v/>
      </c>
      <c r="T179">
        <f>HYPERLINK("https://klasma.github.io/Logging_0883/kartor/A 66752-2020 karta.png", "A 66752-2020")</f>
        <v/>
      </c>
      <c r="V179">
        <f>HYPERLINK("https://klasma.github.io/Logging_0883/klagomål/A 66752-2020 FSC-klagomål.docx", "A 66752-2020")</f>
        <v/>
      </c>
      <c r="W179">
        <f>HYPERLINK("https://klasma.github.io/Logging_0883/klagomålsmail/A 66752-2020 FSC-klagomål mail.docx", "A 66752-2020")</f>
        <v/>
      </c>
      <c r="X179">
        <f>HYPERLINK("https://klasma.github.io/Logging_0883/tillsyn/A 66752-2020 tillsynsbegäran.docx", "A 66752-2020")</f>
        <v/>
      </c>
      <c r="Y179">
        <f>HYPERLINK("https://klasma.github.io/Logging_0883/tillsynsmail/A 66752-2020 tillsynsbegäran mail.docx", "A 66752-2020")</f>
        <v/>
      </c>
    </row>
    <row r="180" ht="15" customHeight="1">
      <c r="A180" t="inlineStr">
        <is>
          <t>A 33815-2023</t>
        </is>
      </c>
      <c r="B180" s="1" t="n">
        <v>45133.59306712963</v>
      </c>
      <c r="C180" s="1" t="n">
        <v>45895</v>
      </c>
      <c r="D180" t="inlineStr">
        <is>
          <t>KALMAR LÄN</t>
        </is>
      </c>
      <c r="E180" t="inlineStr">
        <is>
          <t>VÄSTERVIK</t>
        </is>
      </c>
      <c r="G180" t="n">
        <v>3.4</v>
      </c>
      <c r="H180" t="n">
        <v>0</v>
      </c>
      <c r="I180" t="n">
        <v>1</v>
      </c>
      <c r="J180" t="n">
        <v>0</v>
      </c>
      <c r="K180" t="n">
        <v>0</v>
      </c>
      <c r="L180" t="n">
        <v>0</v>
      </c>
      <c r="M180" t="n">
        <v>0</v>
      </c>
      <c r="N180" t="n">
        <v>0</v>
      </c>
      <c r="O180" t="n">
        <v>0</v>
      </c>
      <c r="P180" t="n">
        <v>0</v>
      </c>
      <c r="Q180" t="n">
        <v>1</v>
      </c>
      <c r="R180" s="2" t="inlineStr">
        <is>
          <t>Grönpyrola</t>
        </is>
      </c>
      <c r="S180">
        <f>HYPERLINK("https://klasma.github.io/Logging_0883/artfynd/A 33815-2023 artfynd.xlsx", "A 33815-2023")</f>
        <v/>
      </c>
      <c r="T180">
        <f>HYPERLINK("https://klasma.github.io/Logging_0883/kartor/A 33815-2023 karta.png", "A 33815-2023")</f>
        <v/>
      </c>
      <c r="V180">
        <f>HYPERLINK("https://klasma.github.io/Logging_0883/klagomål/A 33815-2023 FSC-klagomål.docx", "A 33815-2023")</f>
        <v/>
      </c>
      <c r="W180">
        <f>HYPERLINK("https://klasma.github.io/Logging_0883/klagomålsmail/A 33815-2023 FSC-klagomål mail.docx", "A 33815-2023")</f>
        <v/>
      </c>
      <c r="X180">
        <f>HYPERLINK("https://klasma.github.io/Logging_0883/tillsyn/A 33815-2023 tillsynsbegäran.docx", "A 33815-2023")</f>
        <v/>
      </c>
      <c r="Y180">
        <f>HYPERLINK("https://klasma.github.io/Logging_0883/tillsynsmail/A 33815-2023 tillsynsbegäran mail.docx", "A 33815-2023")</f>
        <v/>
      </c>
    </row>
    <row r="181" ht="15" customHeight="1">
      <c r="A181" t="inlineStr">
        <is>
          <t>A 33816-2023</t>
        </is>
      </c>
      <c r="B181" s="1" t="n">
        <v>45133.59490740741</v>
      </c>
      <c r="C181" s="1" t="n">
        <v>45895</v>
      </c>
      <c r="D181" t="inlineStr">
        <is>
          <t>KALMAR LÄN</t>
        </is>
      </c>
      <c r="E181" t="inlineStr">
        <is>
          <t>VÄSTERVIK</t>
        </is>
      </c>
      <c r="G181" t="n">
        <v>4.9</v>
      </c>
      <c r="H181" t="n">
        <v>0</v>
      </c>
      <c r="I181" t="n">
        <v>0</v>
      </c>
      <c r="J181" t="n">
        <v>1</v>
      </c>
      <c r="K181" t="n">
        <v>0</v>
      </c>
      <c r="L181" t="n">
        <v>0</v>
      </c>
      <c r="M181" t="n">
        <v>0</v>
      </c>
      <c r="N181" t="n">
        <v>0</v>
      </c>
      <c r="O181" t="n">
        <v>1</v>
      </c>
      <c r="P181" t="n">
        <v>0</v>
      </c>
      <c r="Q181" t="n">
        <v>1</v>
      </c>
      <c r="R181" s="2" t="inlineStr">
        <is>
          <t>Tallticka</t>
        </is>
      </c>
      <c r="S181">
        <f>HYPERLINK("https://klasma.github.io/Logging_0883/artfynd/A 33816-2023 artfynd.xlsx", "A 33816-2023")</f>
        <v/>
      </c>
      <c r="T181">
        <f>HYPERLINK("https://klasma.github.io/Logging_0883/kartor/A 33816-2023 karta.png", "A 33816-2023")</f>
        <v/>
      </c>
      <c r="V181">
        <f>HYPERLINK("https://klasma.github.io/Logging_0883/klagomål/A 33816-2023 FSC-klagomål.docx", "A 33816-2023")</f>
        <v/>
      </c>
      <c r="W181">
        <f>HYPERLINK("https://klasma.github.io/Logging_0883/klagomålsmail/A 33816-2023 FSC-klagomål mail.docx", "A 33816-2023")</f>
        <v/>
      </c>
      <c r="X181">
        <f>HYPERLINK("https://klasma.github.io/Logging_0883/tillsyn/A 33816-2023 tillsynsbegäran.docx", "A 33816-2023")</f>
        <v/>
      </c>
      <c r="Y181">
        <f>HYPERLINK("https://klasma.github.io/Logging_0883/tillsynsmail/A 33816-2023 tillsynsbegäran mail.docx", "A 33816-2023")</f>
        <v/>
      </c>
    </row>
    <row r="182" ht="15" customHeight="1">
      <c r="A182" t="inlineStr">
        <is>
          <t>A 1775-2025</t>
        </is>
      </c>
      <c r="B182" s="1" t="n">
        <v>45671.44059027778</v>
      </c>
      <c r="C182" s="1" t="n">
        <v>45895</v>
      </c>
      <c r="D182" t="inlineStr">
        <is>
          <t>KALMAR LÄN</t>
        </is>
      </c>
      <c r="E182" t="inlineStr">
        <is>
          <t>VÄSTERVIK</t>
        </is>
      </c>
      <c r="G182" t="n">
        <v>0.9</v>
      </c>
      <c r="H182" t="n">
        <v>1</v>
      </c>
      <c r="I182" t="n">
        <v>0</v>
      </c>
      <c r="J182" t="n">
        <v>0</v>
      </c>
      <c r="K182" t="n">
        <v>0</v>
      </c>
      <c r="L182" t="n">
        <v>0</v>
      </c>
      <c r="M182" t="n">
        <v>0</v>
      </c>
      <c r="N182" t="n">
        <v>0</v>
      </c>
      <c r="O182" t="n">
        <v>0</v>
      </c>
      <c r="P182" t="n">
        <v>0</v>
      </c>
      <c r="Q182" t="n">
        <v>1</v>
      </c>
      <c r="R182" s="2" t="inlineStr">
        <is>
          <t>Kungsfågel</t>
        </is>
      </c>
      <c r="S182">
        <f>HYPERLINK("https://klasma.github.io/Logging_0883/artfynd/A 1775-2025 artfynd.xlsx", "A 1775-2025")</f>
        <v/>
      </c>
      <c r="T182">
        <f>HYPERLINK("https://klasma.github.io/Logging_0883/kartor/A 1775-2025 karta.png", "A 1775-2025")</f>
        <v/>
      </c>
      <c r="V182">
        <f>HYPERLINK("https://klasma.github.io/Logging_0883/klagomål/A 1775-2025 FSC-klagomål.docx", "A 1775-2025")</f>
        <v/>
      </c>
      <c r="W182">
        <f>HYPERLINK("https://klasma.github.io/Logging_0883/klagomålsmail/A 1775-2025 FSC-klagomål mail.docx", "A 1775-2025")</f>
        <v/>
      </c>
      <c r="X182">
        <f>HYPERLINK("https://klasma.github.io/Logging_0883/tillsyn/A 1775-2025 tillsynsbegäran.docx", "A 1775-2025")</f>
        <v/>
      </c>
      <c r="Y182">
        <f>HYPERLINK("https://klasma.github.io/Logging_0883/tillsynsmail/A 1775-2025 tillsynsbegäran mail.docx", "A 1775-2025")</f>
        <v/>
      </c>
      <c r="Z182">
        <f>HYPERLINK("https://klasma.github.io/Logging_0883/fåglar/A 1775-2025 prioriterade fågelarter.docx", "A 1775-2025")</f>
        <v/>
      </c>
    </row>
    <row r="183" ht="15" customHeight="1">
      <c r="A183" t="inlineStr">
        <is>
          <t>A 43788-2023</t>
        </is>
      </c>
      <c r="B183" s="1" t="n">
        <v>45187.53707175926</v>
      </c>
      <c r="C183" s="1" t="n">
        <v>45895</v>
      </c>
      <c r="D183" t="inlineStr">
        <is>
          <t>KALMAR LÄN</t>
        </is>
      </c>
      <c r="E183" t="inlineStr">
        <is>
          <t>VÄSTERVIK</t>
        </is>
      </c>
      <c r="G183" t="n">
        <v>4.5</v>
      </c>
      <c r="H183" t="n">
        <v>0</v>
      </c>
      <c r="I183" t="n">
        <v>0</v>
      </c>
      <c r="J183" t="n">
        <v>1</v>
      </c>
      <c r="K183" t="n">
        <v>0</v>
      </c>
      <c r="L183" t="n">
        <v>0</v>
      </c>
      <c r="M183" t="n">
        <v>0</v>
      </c>
      <c r="N183" t="n">
        <v>0</v>
      </c>
      <c r="O183" t="n">
        <v>1</v>
      </c>
      <c r="P183" t="n">
        <v>0</v>
      </c>
      <c r="Q183" t="n">
        <v>1</v>
      </c>
      <c r="R183" s="2" t="inlineStr">
        <is>
          <t>Motaggsvamp</t>
        </is>
      </c>
      <c r="S183">
        <f>HYPERLINK("https://klasma.github.io/Logging_0883/artfynd/A 43788-2023 artfynd.xlsx", "A 43788-2023")</f>
        <v/>
      </c>
      <c r="T183">
        <f>HYPERLINK("https://klasma.github.io/Logging_0883/kartor/A 43788-2023 karta.png", "A 43788-2023")</f>
        <v/>
      </c>
      <c r="V183">
        <f>HYPERLINK("https://klasma.github.io/Logging_0883/klagomål/A 43788-2023 FSC-klagomål.docx", "A 43788-2023")</f>
        <v/>
      </c>
      <c r="W183">
        <f>HYPERLINK("https://klasma.github.io/Logging_0883/klagomålsmail/A 43788-2023 FSC-klagomål mail.docx", "A 43788-2023")</f>
        <v/>
      </c>
      <c r="X183">
        <f>HYPERLINK("https://klasma.github.io/Logging_0883/tillsyn/A 43788-2023 tillsynsbegäran.docx", "A 43788-2023")</f>
        <v/>
      </c>
      <c r="Y183">
        <f>HYPERLINK("https://klasma.github.io/Logging_0883/tillsynsmail/A 43788-2023 tillsynsbegäran mail.docx", "A 43788-2023")</f>
        <v/>
      </c>
    </row>
    <row r="184" ht="15" customHeight="1">
      <c r="A184" t="inlineStr">
        <is>
          <t>A 11729-2023</t>
        </is>
      </c>
      <c r="B184" s="1" t="n">
        <v>44994</v>
      </c>
      <c r="C184" s="1" t="n">
        <v>45895</v>
      </c>
      <c r="D184" t="inlineStr">
        <is>
          <t>KALMAR LÄN</t>
        </is>
      </c>
      <c r="E184" t="inlineStr">
        <is>
          <t>VÄSTERVIK</t>
        </is>
      </c>
      <c r="F184" t="inlineStr">
        <is>
          <t>Sveaskog</t>
        </is>
      </c>
      <c r="G184" t="n">
        <v>4.1</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11729-2023 artfynd.xlsx", "A 11729-2023")</f>
        <v/>
      </c>
      <c r="T184">
        <f>HYPERLINK("https://klasma.github.io/Logging_0883/kartor/A 11729-2023 karta.png", "A 11729-2023")</f>
        <v/>
      </c>
      <c r="V184">
        <f>HYPERLINK("https://klasma.github.io/Logging_0883/klagomål/A 11729-2023 FSC-klagomål.docx", "A 11729-2023")</f>
        <v/>
      </c>
      <c r="W184">
        <f>HYPERLINK("https://klasma.github.io/Logging_0883/klagomålsmail/A 11729-2023 FSC-klagomål mail.docx", "A 11729-2023")</f>
        <v/>
      </c>
      <c r="X184">
        <f>HYPERLINK("https://klasma.github.io/Logging_0883/tillsyn/A 11729-2023 tillsynsbegäran.docx", "A 11729-2023")</f>
        <v/>
      </c>
      <c r="Y184">
        <f>HYPERLINK("https://klasma.github.io/Logging_0883/tillsynsmail/A 11729-2023 tillsynsbegäran mail.docx", "A 11729-2023")</f>
        <v/>
      </c>
    </row>
    <row r="185" ht="15" customHeight="1">
      <c r="A185" t="inlineStr">
        <is>
          <t>A 23186-2025</t>
        </is>
      </c>
      <c r="B185" s="1" t="n">
        <v>45791.44415509259</v>
      </c>
      <c r="C185" s="1" t="n">
        <v>45895</v>
      </c>
      <c r="D185" t="inlineStr">
        <is>
          <t>KALMAR LÄN</t>
        </is>
      </c>
      <c r="E185" t="inlineStr">
        <is>
          <t>VÄSTERVIK</t>
        </is>
      </c>
      <c r="G185" t="n">
        <v>1.4</v>
      </c>
      <c r="H185" t="n">
        <v>0</v>
      </c>
      <c r="I185" t="n">
        <v>0</v>
      </c>
      <c r="J185" t="n">
        <v>1</v>
      </c>
      <c r="K185" t="n">
        <v>0</v>
      </c>
      <c r="L185" t="n">
        <v>0</v>
      </c>
      <c r="M185" t="n">
        <v>0</v>
      </c>
      <c r="N185" t="n">
        <v>0</v>
      </c>
      <c r="O185" t="n">
        <v>1</v>
      </c>
      <c r="P185" t="n">
        <v>0</v>
      </c>
      <c r="Q185" t="n">
        <v>1</v>
      </c>
      <c r="R185" s="2" t="inlineStr">
        <is>
          <t>Krusfrö</t>
        </is>
      </c>
      <c r="S185">
        <f>HYPERLINK("https://klasma.github.io/Logging_0883/artfynd/A 23186-2025 artfynd.xlsx", "A 23186-2025")</f>
        <v/>
      </c>
      <c r="T185">
        <f>HYPERLINK("https://klasma.github.io/Logging_0883/kartor/A 23186-2025 karta.png", "A 23186-2025")</f>
        <v/>
      </c>
      <c r="V185">
        <f>HYPERLINK("https://klasma.github.io/Logging_0883/klagomål/A 23186-2025 FSC-klagomål.docx", "A 23186-2025")</f>
        <v/>
      </c>
      <c r="W185">
        <f>HYPERLINK("https://klasma.github.io/Logging_0883/klagomålsmail/A 23186-2025 FSC-klagomål mail.docx", "A 23186-2025")</f>
        <v/>
      </c>
      <c r="X185">
        <f>HYPERLINK("https://klasma.github.io/Logging_0883/tillsyn/A 23186-2025 tillsynsbegäran.docx", "A 23186-2025")</f>
        <v/>
      </c>
      <c r="Y185">
        <f>HYPERLINK("https://klasma.github.io/Logging_0883/tillsynsmail/A 23186-2025 tillsynsbegäran mail.docx", "A 23186-2025")</f>
        <v/>
      </c>
    </row>
    <row r="186" ht="15" customHeight="1">
      <c r="A186" t="inlineStr">
        <is>
          <t>A 27708-2024</t>
        </is>
      </c>
      <c r="B186" s="1" t="n">
        <v>45475</v>
      </c>
      <c r="C186" s="1" t="n">
        <v>45895</v>
      </c>
      <c r="D186" t="inlineStr">
        <is>
          <t>KALMAR LÄN</t>
        </is>
      </c>
      <c r="E186" t="inlineStr">
        <is>
          <t>VÄSTERVIK</t>
        </is>
      </c>
      <c r="F186" t="inlineStr">
        <is>
          <t>Holmen skog AB</t>
        </is>
      </c>
      <c r="G186" t="n">
        <v>1.7</v>
      </c>
      <c r="H186" t="n">
        <v>1</v>
      </c>
      <c r="I186" t="n">
        <v>0</v>
      </c>
      <c r="J186" t="n">
        <v>1</v>
      </c>
      <c r="K186" t="n">
        <v>0</v>
      </c>
      <c r="L186" t="n">
        <v>0</v>
      </c>
      <c r="M186" t="n">
        <v>0</v>
      </c>
      <c r="N186" t="n">
        <v>0</v>
      </c>
      <c r="O186" t="n">
        <v>1</v>
      </c>
      <c r="P186" t="n">
        <v>0</v>
      </c>
      <c r="Q186" t="n">
        <v>1</v>
      </c>
      <c r="R186" s="2" t="inlineStr">
        <is>
          <t>Spillkråka</t>
        </is>
      </c>
      <c r="S186">
        <f>HYPERLINK("https://klasma.github.io/Logging_0883/artfynd/A 27708-2024 artfynd.xlsx", "A 27708-2024")</f>
        <v/>
      </c>
      <c r="T186">
        <f>HYPERLINK("https://klasma.github.io/Logging_0883/kartor/A 27708-2024 karta.png", "A 27708-2024")</f>
        <v/>
      </c>
      <c r="V186">
        <f>HYPERLINK("https://klasma.github.io/Logging_0883/klagomål/A 27708-2024 FSC-klagomål.docx", "A 27708-2024")</f>
        <v/>
      </c>
      <c r="W186">
        <f>HYPERLINK("https://klasma.github.io/Logging_0883/klagomålsmail/A 27708-2024 FSC-klagomål mail.docx", "A 27708-2024")</f>
        <v/>
      </c>
      <c r="X186">
        <f>HYPERLINK("https://klasma.github.io/Logging_0883/tillsyn/A 27708-2024 tillsynsbegäran.docx", "A 27708-2024")</f>
        <v/>
      </c>
      <c r="Y186">
        <f>HYPERLINK("https://klasma.github.io/Logging_0883/tillsynsmail/A 27708-2024 tillsynsbegäran mail.docx", "A 27708-2024")</f>
        <v/>
      </c>
      <c r="Z186">
        <f>HYPERLINK("https://klasma.github.io/Logging_0883/fåglar/A 27708-2024 prioriterade fågelarter.docx", "A 27708-2024")</f>
        <v/>
      </c>
    </row>
    <row r="187" ht="15" customHeight="1">
      <c r="A187" t="inlineStr">
        <is>
          <t>A 23192-2025</t>
        </is>
      </c>
      <c r="B187" s="1" t="n">
        <v>45791.45371527778</v>
      </c>
      <c r="C187" s="1" t="n">
        <v>45895</v>
      </c>
      <c r="D187" t="inlineStr">
        <is>
          <t>KALMAR LÄN</t>
        </is>
      </c>
      <c r="E187" t="inlineStr">
        <is>
          <t>VÄSTERVIK</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HYPERLINK("https://klasma.github.io/Logging_0883/artfynd/A 23192-2025 artfynd.xlsx", "A 23192-2025")</f>
        <v/>
      </c>
      <c r="T187">
        <f>HYPERLINK("https://klasma.github.io/Logging_0883/kartor/A 23192-2025 karta.png", "A 23192-2025")</f>
        <v/>
      </c>
      <c r="V187">
        <f>HYPERLINK("https://klasma.github.io/Logging_0883/klagomål/A 23192-2025 FSC-klagomål.docx", "A 23192-2025")</f>
        <v/>
      </c>
      <c r="W187">
        <f>HYPERLINK("https://klasma.github.io/Logging_0883/klagomålsmail/A 23192-2025 FSC-klagomål mail.docx", "A 23192-2025")</f>
        <v/>
      </c>
      <c r="X187">
        <f>HYPERLINK("https://klasma.github.io/Logging_0883/tillsyn/A 23192-2025 tillsynsbegäran.docx", "A 23192-2025")</f>
        <v/>
      </c>
      <c r="Y187">
        <f>HYPERLINK("https://klasma.github.io/Logging_0883/tillsynsmail/A 23192-2025 tillsynsbegäran mail.docx", "A 23192-2025")</f>
        <v/>
      </c>
      <c r="Z187">
        <f>HYPERLINK("https://klasma.github.io/Logging_0883/fåglar/A 23192-2025 prioriterade fågelarter.docx", "A 23192-2025")</f>
        <v/>
      </c>
    </row>
    <row r="188" ht="15" customHeight="1">
      <c r="A188" t="inlineStr">
        <is>
          <t>A 46559-2022</t>
        </is>
      </c>
      <c r="B188" s="1" t="n">
        <v>44848</v>
      </c>
      <c r="C188" s="1" t="n">
        <v>45895</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14082-2025</t>
        </is>
      </c>
      <c r="B189" s="1" t="n">
        <v>45740.43934027778</v>
      </c>
      <c r="C189" s="1" t="n">
        <v>45895</v>
      </c>
      <c r="D189" t="inlineStr">
        <is>
          <t>KALMAR LÄN</t>
        </is>
      </c>
      <c r="E189" t="inlineStr">
        <is>
          <t>VÄSTERVIK</t>
        </is>
      </c>
      <c r="F189" t="inlineStr">
        <is>
          <t>Sveaskog</t>
        </is>
      </c>
      <c r="G189" t="n">
        <v>1.2</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HYPERLINK("https://klasma.github.io/Logging_0883/artfynd/A 14082-2025 artfynd.xlsx", "A 14082-2025")</f>
        <v/>
      </c>
      <c r="T189">
        <f>HYPERLINK("https://klasma.github.io/Logging_0883/kartor/A 14082-2025 karta.png", "A 14082-2025")</f>
        <v/>
      </c>
      <c r="V189">
        <f>HYPERLINK("https://klasma.github.io/Logging_0883/klagomål/A 14082-2025 FSC-klagomål.docx", "A 14082-2025")</f>
        <v/>
      </c>
      <c r="W189">
        <f>HYPERLINK("https://klasma.github.io/Logging_0883/klagomålsmail/A 14082-2025 FSC-klagomål mail.docx", "A 14082-2025")</f>
        <v/>
      </c>
      <c r="X189">
        <f>HYPERLINK("https://klasma.github.io/Logging_0883/tillsyn/A 14082-2025 tillsynsbegäran.docx", "A 14082-2025")</f>
        <v/>
      </c>
      <c r="Y189">
        <f>HYPERLINK("https://klasma.github.io/Logging_0883/tillsynsmail/A 14082-2025 tillsynsbegäran mail.docx", "A 14082-2025")</f>
        <v/>
      </c>
    </row>
    <row r="190" ht="15" customHeight="1">
      <c r="A190" t="inlineStr">
        <is>
          <t>A 23199-2025</t>
        </is>
      </c>
      <c r="B190" s="1" t="n">
        <v>45791.45887731481</v>
      </c>
      <c r="C190" s="1" t="n">
        <v>45895</v>
      </c>
      <c r="D190" t="inlineStr">
        <is>
          <t>KALMAR LÄN</t>
        </is>
      </c>
      <c r="E190" t="inlineStr">
        <is>
          <t>VÄSTERVIK</t>
        </is>
      </c>
      <c r="G190" t="n">
        <v>2.1</v>
      </c>
      <c r="H190" t="n">
        <v>0</v>
      </c>
      <c r="I190" t="n">
        <v>1</v>
      </c>
      <c r="J190" t="n">
        <v>0</v>
      </c>
      <c r="K190" t="n">
        <v>0</v>
      </c>
      <c r="L190" t="n">
        <v>0</v>
      </c>
      <c r="M190" t="n">
        <v>0</v>
      </c>
      <c r="N190" t="n">
        <v>0</v>
      </c>
      <c r="O190" t="n">
        <v>0</v>
      </c>
      <c r="P190" t="n">
        <v>0</v>
      </c>
      <c r="Q190" t="n">
        <v>1</v>
      </c>
      <c r="R190" s="2" t="inlineStr">
        <is>
          <t>Blåmossa</t>
        </is>
      </c>
      <c r="S190">
        <f>HYPERLINK("https://klasma.github.io/Logging_0883/artfynd/A 23199-2025 artfynd.xlsx", "A 23199-2025")</f>
        <v/>
      </c>
      <c r="T190">
        <f>HYPERLINK("https://klasma.github.io/Logging_0883/kartor/A 23199-2025 karta.png", "A 23199-2025")</f>
        <v/>
      </c>
      <c r="V190">
        <f>HYPERLINK("https://klasma.github.io/Logging_0883/klagomål/A 23199-2025 FSC-klagomål.docx", "A 23199-2025")</f>
        <v/>
      </c>
      <c r="W190">
        <f>HYPERLINK("https://klasma.github.io/Logging_0883/klagomålsmail/A 23199-2025 FSC-klagomål mail.docx", "A 23199-2025")</f>
        <v/>
      </c>
      <c r="X190">
        <f>HYPERLINK("https://klasma.github.io/Logging_0883/tillsyn/A 23199-2025 tillsynsbegäran.docx", "A 23199-2025")</f>
        <v/>
      </c>
      <c r="Y190">
        <f>HYPERLINK("https://klasma.github.io/Logging_0883/tillsynsmail/A 23199-2025 tillsynsbegäran mail.docx", "A 23199-2025")</f>
        <v/>
      </c>
    </row>
    <row r="191" ht="15" customHeight="1">
      <c r="A191" t="inlineStr">
        <is>
          <t>A 25594-2021</t>
        </is>
      </c>
      <c r="B191" s="1" t="n">
        <v>44343</v>
      </c>
      <c r="C191" s="1" t="n">
        <v>45895</v>
      </c>
      <c r="D191" t="inlineStr">
        <is>
          <t>KALMAR LÄN</t>
        </is>
      </c>
      <c r="E191" t="inlineStr">
        <is>
          <t>VÄSTERVIK</t>
        </is>
      </c>
      <c r="F191" t="inlineStr">
        <is>
          <t>Holmen skog AB</t>
        </is>
      </c>
      <c r="G191" t="n">
        <v>3.2</v>
      </c>
      <c r="H191" t="n">
        <v>1</v>
      </c>
      <c r="I191" t="n">
        <v>0</v>
      </c>
      <c r="J191" t="n">
        <v>0</v>
      </c>
      <c r="K191" t="n">
        <v>1</v>
      </c>
      <c r="L191" t="n">
        <v>0</v>
      </c>
      <c r="M191" t="n">
        <v>0</v>
      </c>
      <c r="N191" t="n">
        <v>0</v>
      </c>
      <c r="O191" t="n">
        <v>1</v>
      </c>
      <c r="P191" t="n">
        <v>1</v>
      </c>
      <c r="Q191" t="n">
        <v>1</v>
      </c>
      <c r="R191" s="2" t="inlineStr">
        <is>
          <t>Knärot</t>
        </is>
      </c>
      <c r="S191">
        <f>HYPERLINK("https://klasma.github.io/Logging_0883/artfynd/A 25594-2021 artfynd.xlsx", "A 25594-2021")</f>
        <v/>
      </c>
      <c r="T191">
        <f>HYPERLINK("https://klasma.github.io/Logging_0883/kartor/A 25594-2021 karta.png", "A 25594-2021")</f>
        <v/>
      </c>
      <c r="U191">
        <f>HYPERLINK("https://klasma.github.io/Logging_0883/knärot/A 25594-2021 karta knärot.png", "A 25594-2021")</f>
        <v/>
      </c>
      <c r="V191">
        <f>HYPERLINK("https://klasma.github.io/Logging_0883/klagomål/A 25594-2021 FSC-klagomål.docx", "A 25594-2021")</f>
        <v/>
      </c>
      <c r="W191">
        <f>HYPERLINK("https://klasma.github.io/Logging_0883/klagomålsmail/A 25594-2021 FSC-klagomål mail.docx", "A 25594-2021")</f>
        <v/>
      </c>
      <c r="X191">
        <f>HYPERLINK("https://klasma.github.io/Logging_0883/tillsyn/A 25594-2021 tillsynsbegäran.docx", "A 25594-2021")</f>
        <v/>
      </c>
      <c r="Y191">
        <f>HYPERLINK("https://klasma.github.io/Logging_0883/tillsynsmail/A 25594-2021 tillsynsbegäran mail.docx", "A 25594-2021")</f>
        <v/>
      </c>
    </row>
    <row r="192" ht="15" customHeight="1">
      <c r="A192" t="inlineStr">
        <is>
          <t>A 40924-2022</t>
        </is>
      </c>
      <c r="B192" s="1" t="n">
        <v>44825</v>
      </c>
      <c r="C192" s="1" t="n">
        <v>45895</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55360-2024</t>
        </is>
      </c>
      <c r="B193" s="1" t="n">
        <v>45621.8252199074</v>
      </c>
      <c r="C193" s="1" t="n">
        <v>45895</v>
      </c>
      <c r="D193" t="inlineStr">
        <is>
          <t>KALMAR LÄN</t>
        </is>
      </c>
      <c r="E193" t="inlineStr">
        <is>
          <t>VÄSTERVIK</t>
        </is>
      </c>
      <c r="F193" t="inlineStr">
        <is>
          <t>Sveaskog</t>
        </is>
      </c>
      <c r="G193" t="n">
        <v>11.1</v>
      </c>
      <c r="H193" t="n">
        <v>0</v>
      </c>
      <c r="I193" t="n">
        <v>0</v>
      </c>
      <c r="J193" t="n">
        <v>1</v>
      </c>
      <c r="K193" t="n">
        <v>0</v>
      </c>
      <c r="L193" t="n">
        <v>0</v>
      </c>
      <c r="M193" t="n">
        <v>0</v>
      </c>
      <c r="N193" t="n">
        <v>0</v>
      </c>
      <c r="O193" t="n">
        <v>1</v>
      </c>
      <c r="P193" t="n">
        <v>0</v>
      </c>
      <c r="Q193" t="n">
        <v>1</v>
      </c>
      <c r="R193" s="2" t="inlineStr">
        <is>
          <t>Vårstarr</t>
        </is>
      </c>
      <c r="S193">
        <f>HYPERLINK("https://klasma.github.io/Logging_0883/artfynd/A 55360-2024 artfynd.xlsx", "A 55360-2024")</f>
        <v/>
      </c>
      <c r="T193">
        <f>HYPERLINK("https://klasma.github.io/Logging_0883/kartor/A 55360-2024 karta.png", "A 55360-2024")</f>
        <v/>
      </c>
      <c r="V193">
        <f>HYPERLINK("https://klasma.github.io/Logging_0883/klagomål/A 55360-2024 FSC-klagomål.docx", "A 55360-2024")</f>
        <v/>
      </c>
      <c r="W193">
        <f>HYPERLINK("https://klasma.github.io/Logging_0883/klagomålsmail/A 55360-2024 FSC-klagomål mail.docx", "A 55360-2024")</f>
        <v/>
      </c>
      <c r="X193">
        <f>HYPERLINK("https://klasma.github.io/Logging_0883/tillsyn/A 55360-2024 tillsynsbegäran.docx", "A 55360-2024")</f>
        <v/>
      </c>
      <c r="Y193">
        <f>HYPERLINK("https://klasma.github.io/Logging_0883/tillsynsmail/A 55360-2024 tillsynsbegäran mail.docx", "A 55360-2024")</f>
        <v/>
      </c>
    </row>
    <row r="194" ht="15" customHeight="1">
      <c r="A194" t="inlineStr">
        <is>
          <t>A 9571-2025</t>
        </is>
      </c>
      <c r="B194" s="1" t="n">
        <v>45715.61996527778</v>
      </c>
      <c r="C194" s="1" t="n">
        <v>45895</v>
      </c>
      <c r="D194" t="inlineStr">
        <is>
          <t>KALMAR LÄN</t>
        </is>
      </c>
      <c r="E194" t="inlineStr">
        <is>
          <t>VÄSTERVIK</t>
        </is>
      </c>
      <c r="G194" t="n">
        <v>12</v>
      </c>
      <c r="H194" t="n">
        <v>1</v>
      </c>
      <c r="I194" t="n">
        <v>0</v>
      </c>
      <c r="J194" t="n">
        <v>0</v>
      </c>
      <c r="K194" t="n">
        <v>0</v>
      </c>
      <c r="L194" t="n">
        <v>0</v>
      </c>
      <c r="M194" t="n">
        <v>0</v>
      </c>
      <c r="N194" t="n">
        <v>0</v>
      </c>
      <c r="O194" t="n">
        <v>0</v>
      </c>
      <c r="P194" t="n">
        <v>0</v>
      </c>
      <c r="Q194" t="n">
        <v>1</v>
      </c>
      <c r="R194" s="2" t="inlineStr">
        <is>
          <t>Revlummer</t>
        </is>
      </c>
      <c r="S194">
        <f>HYPERLINK("https://klasma.github.io/Logging_0883/artfynd/A 9571-2025 artfynd.xlsx", "A 9571-2025")</f>
        <v/>
      </c>
      <c r="T194">
        <f>HYPERLINK("https://klasma.github.io/Logging_0883/kartor/A 9571-2025 karta.png", "A 9571-2025")</f>
        <v/>
      </c>
      <c r="V194">
        <f>HYPERLINK("https://klasma.github.io/Logging_0883/klagomål/A 9571-2025 FSC-klagomål.docx", "A 9571-2025")</f>
        <v/>
      </c>
      <c r="W194">
        <f>HYPERLINK("https://klasma.github.io/Logging_0883/klagomålsmail/A 9571-2025 FSC-klagomål mail.docx", "A 9571-2025")</f>
        <v/>
      </c>
      <c r="X194">
        <f>HYPERLINK("https://klasma.github.io/Logging_0883/tillsyn/A 9571-2025 tillsynsbegäran.docx", "A 9571-2025")</f>
        <v/>
      </c>
      <c r="Y194">
        <f>HYPERLINK("https://klasma.github.io/Logging_0883/tillsynsmail/A 9571-2025 tillsynsbegäran mail.docx", "A 9571-2025")</f>
        <v/>
      </c>
    </row>
    <row r="195" ht="15" customHeight="1">
      <c r="A195" t="inlineStr">
        <is>
          <t>A 53075-2024</t>
        </is>
      </c>
      <c r="B195" s="1" t="n">
        <v>45611</v>
      </c>
      <c r="C195" s="1" t="n">
        <v>45895</v>
      </c>
      <c r="D195" t="inlineStr">
        <is>
          <t>KALMAR LÄN</t>
        </is>
      </c>
      <c r="E195" t="inlineStr">
        <is>
          <t>VÄSTERVIK</t>
        </is>
      </c>
      <c r="F195" t="inlineStr">
        <is>
          <t>Holmen skog AB</t>
        </is>
      </c>
      <c r="G195" t="n">
        <v>8.5</v>
      </c>
      <c r="H195" t="n">
        <v>1</v>
      </c>
      <c r="I195" t="n">
        <v>0</v>
      </c>
      <c r="J195" t="n">
        <v>1</v>
      </c>
      <c r="K195" t="n">
        <v>0</v>
      </c>
      <c r="L195" t="n">
        <v>0</v>
      </c>
      <c r="M195" t="n">
        <v>0</v>
      </c>
      <c r="N195" t="n">
        <v>0</v>
      </c>
      <c r="O195" t="n">
        <v>1</v>
      </c>
      <c r="P195" t="n">
        <v>0</v>
      </c>
      <c r="Q195" t="n">
        <v>1</v>
      </c>
      <c r="R195" s="2" t="inlineStr">
        <is>
          <t>Talltita</t>
        </is>
      </c>
      <c r="S195">
        <f>HYPERLINK("https://klasma.github.io/Logging_0883/artfynd/A 53075-2024 artfynd.xlsx", "A 53075-2024")</f>
        <v/>
      </c>
      <c r="T195">
        <f>HYPERLINK("https://klasma.github.io/Logging_0883/kartor/A 53075-2024 karta.png", "A 53075-2024")</f>
        <v/>
      </c>
      <c r="V195">
        <f>HYPERLINK("https://klasma.github.io/Logging_0883/klagomål/A 53075-2024 FSC-klagomål.docx", "A 53075-2024")</f>
        <v/>
      </c>
      <c r="W195">
        <f>HYPERLINK("https://klasma.github.io/Logging_0883/klagomålsmail/A 53075-2024 FSC-klagomål mail.docx", "A 53075-2024")</f>
        <v/>
      </c>
      <c r="X195">
        <f>HYPERLINK("https://klasma.github.io/Logging_0883/tillsyn/A 53075-2024 tillsynsbegäran.docx", "A 53075-2024")</f>
        <v/>
      </c>
      <c r="Y195">
        <f>HYPERLINK("https://klasma.github.io/Logging_0883/tillsynsmail/A 53075-2024 tillsynsbegäran mail.docx", "A 53075-2024")</f>
        <v/>
      </c>
      <c r="Z195">
        <f>HYPERLINK("https://klasma.github.io/Logging_0883/fåglar/A 53075-2024 prioriterade fågelarter.docx", "A 53075-2024")</f>
        <v/>
      </c>
    </row>
    <row r="196" ht="15" customHeight="1">
      <c r="A196" t="inlineStr">
        <is>
          <t>A 24884-2025</t>
        </is>
      </c>
      <c r="B196" s="1" t="n">
        <v>45799.50620370371</v>
      </c>
      <c r="C196" s="1" t="n">
        <v>45895</v>
      </c>
      <c r="D196" t="inlineStr">
        <is>
          <t>KALMAR LÄN</t>
        </is>
      </c>
      <c r="E196" t="inlineStr">
        <is>
          <t>VÄSTERVIK</t>
        </is>
      </c>
      <c r="F196" t="inlineStr">
        <is>
          <t>Holmen skog AB</t>
        </is>
      </c>
      <c r="G196" t="n">
        <v>5.1</v>
      </c>
      <c r="H196" t="n">
        <v>0</v>
      </c>
      <c r="I196" t="n">
        <v>1</v>
      </c>
      <c r="J196" t="n">
        <v>0</v>
      </c>
      <c r="K196" t="n">
        <v>0</v>
      </c>
      <c r="L196" t="n">
        <v>0</v>
      </c>
      <c r="M196" t="n">
        <v>0</v>
      </c>
      <c r="N196" t="n">
        <v>0</v>
      </c>
      <c r="O196" t="n">
        <v>0</v>
      </c>
      <c r="P196" t="n">
        <v>0</v>
      </c>
      <c r="Q196" t="n">
        <v>1</v>
      </c>
      <c r="R196" s="2" t="inlineStr">
        <is>
          <t>Strävlosta</t>
        </is>
      </c>
      <c r="S196">
        <f>HYPERLINK("https://klasma.github.io/Logging_0883/artfynd/A 24884-2025 artfynd.xlsx", "A 24884-2025")</f>
        <v/>
      </c>
      <c r="T196">
        <f>HYPERLINK("https://klasma.github.io/Logging_0883/kartor/A 24884-2025 karta.png", "A 24884-2025")</f>
        <v/>
      </c>
      <c r="V196">
        <f>HYPERLINK("https://klasma.github.io/Logging_0883/klagomål/A 24884-2025 FSC-klagomål.docx", "A 24884-2025")</f>
        <v/>
      </c>
      <c r="W196">
        <f>HYPERLINK("https://klasma.github.io/Logging_0883/klagomålsmail/A 24884-2025 FSC-klagomål mail.docx", "A 24884-2025")</f>
        <v/>
      </c>
      <c r="X196">
        <f>HYPERLINK("https://klasma.github.io/Logging_0883/tillsyn/A 24884-2025 tillsynsbegäran.docx", "A 24884-2025")</f>
        <v/>
      </c>
      <c r="Y196">
        <f>HYPERLINK("https://klasma.github.io/Logging_0883/tillsynsmail/A 24884-2025 tillsynsbegäran mail.docx", "A 24884-2025")</f>
        <v/>
      </c>
    </row>
    <row r="197" ht="15" customHeight="1">
      <c r="A197" t="inlineStr">
        <is>
          <t>A 25501-2025</t>
        </is>
      </c>
      <c r="B197" s="1" t="n">
        <v>45803.34567129629</v>
      </c>
      <c r="C197" s="1" t="n">
        <v>45895</v>
      </c>
      <c r="D197" t="inlineStr">
        <is>
          <t>KALMAR LÄN</t>
        </is>
      </c>
      <c r="E197" t="inlineStr">
        <is>
          <t>VÄSTERVIK</t>
        </is>
      </c>
      <c r="G197" t="n">
        <v>1.8</v>
      </c>
      <c r="H197" t="n">
        <v>1</v>
      </c>
      <c r="I197" t="n">
        <v>0</v>
      </c>
      <c r="J197" t="n">
        <v>0</v>
      </c>
      <c r="K197" t="n">
        <v>0</v>
      </c>
      <c r="L197" t="n">
        <v>0</v>
      </c>
      <c r="M197" t="n">
        <v>0</v>
      </c>
      <c r="N197" t="n">
        <v>0</v>
      </c>
      <c r="O197" t="n">
        <v>0</v>
      </c>
      <c r="P197" t="n">
        <v>0</v>
      </c>
      <c r="Q197" t="n">
        <v>1</v>
      </c>
      <c r="R197" s="2" t="inlineStr">
        <is>
          <t>Kungsfågel</t>
        </is>
      </c>
      <c r="S197">
        <f>HYPERLINK("https://klasma.github.io/Logging_0883/artfynd/A 25501-2025 artfynd.xlsx", "A 25501-2025")</f>
        <v/>
      </c>
      <c r="T197">
        <f>HYPERLINK("https://klasma.github.io/Logging_0883/kartor/A 25501-2025 karta.png", "A 25501-2025")</f>
        <v/>
      </c>
      <c r="U197">
        <f>HYPERLINK("https://klasma.github.io/Logging_0883/knärot/A 25501-2025 karta knärot.png", "A 25501-2025")</f>
        <v/>
      </c>
      <c r="V197">
        <f>HYPERLINK("https://klasma.github.io/Logging_0883/klagomål/A 25501-2025 FSC-klagomål.docx", "A 25501-2025")</f>
        <v/>
      </c>
      <c r="W197">
        <f>HYPERLINK("https://klasma.github.io/Logging_0883/klagomålsmail/A 25501-2025 FSC-klagomål mail.docx", "A 25501-2025")</f>
        <v/>
      </c>
      <c r="X197">
        <f>HYPERLINK("https://klasma.github.io/Logging_0883/tillsyn/A 25501-2025 tillsynsbegäran.docx", "A 25501-2025")</f>
        <v/>
      </c>
      <c r="Y197">
        <f>HYPERLINK("https://klasma.github.io/Logging_0883/tillsynsmail/A 25501-2025 tillsynsbegäran mail.docx", "A 25501-2025")</f>
        <v/>
      </c>
      <c r="Z197">
        <f>HYPERLINK("https://klasma.github.io/Logging_0883/fåglar/A 25501-2025 prioriterade fågelarter.docx", "A 25501-2025")</f>
        <v/>
      </c>
    </row>
    <row r="198" ht="15" customHeight="1">
      <c r="A198" t="inlineStr">
        <is>
          <t>A 6634-2025</t>
        </is>
      </c>
      <c r="B198" s="1" t="n">
        <v>45700.38141203704</v>
      </c>
      <c r="C198" s="1" t="n">
        <v>45895</v>
      </c>
      <c r="D198" t="inlineStr">
        <is>
          <t>KALMAR LÄN</t>
        </is>
      </c>
      <c r="E198" t="inlineStr">
        <is>
          <t>VÄSTERVIK</t>
        </is>
      </c>
      <c r="G198" t="n">
        <v>2.2</v>
      </c>
      <c r="H198" t="n">
        <v>0</v>
      </c>
      <c r="I198" t="n">
        <v>1</v>
      </c>
      <c r="J198" t="n">
        <v>0</v>
      </c>
      <c r="K198" t="n">
        <v>0</v>
      </c>
      <c r="L198" t="n">
        <v>0</v>
      </c>
      <c r="M198" t="n">
        <v>0</v>
      </c>
      <c r="N198" t="n">
        <v>0</v>
      </c>
      <c r="O198" t="n">
        <v>0</v>
      </c>
      <c r="P198" t="n">
        <v>0</v>
      </c>
      <c r="Q198" t="n">
        <v>1</v>
      </c>
      <c r="R198" s="2" t="inlineStr">
        <is>
          <t>Ögonpyrola</t>
        </is>
      </c>
      <c r="S198">
        <f>HYPERLINK("https://klasma.github.io/Logging_0883/artfynd/A 6634-2025 artfynd.xlsx", "A 6634-2025")</f>
        <v/>
      </c>
      <c r="T198">
        <f>HYPERLINK("https://klasma.github.io/Logging_0883/kartor/A 6634-2025 karta.png", "A 6634-2025")</f>
        <v/>
      </c>
      <c r="V198">
        <f>HYPERLINK("https://klasma.github.io/Logging_0883/klagomål/A 6634-2025 FSC-klagomål.docx", "A 6634-2025")</f>
        <v/>
      </c>
      <c r="W198">
        <f>HYPERLINK("https://klasma.github.io/Logging_0883/klagomålsmail/A 6634-2025 FSC-klagomål mail.docx", "A 6634-2025")</f>
        <v/>
      </c>
      <c r="X198">
        <f>HYPERLINK("https://klasma.github.io/Logging_0883/tillsyn/A 6634-2025 tillsynsbegäran.docx", "A 6634-2025")</f>
        <v/>
      </c>
      <c r="Y198">
        <f>HYPERLINK("https://klasma.github.io/Logging_0883/tillsynsmail/A 6634-2025 tillsynsbegäran mail.docx", "A 6634-2025")</f>
        <v/>
      </c>
    </row>
    <row r="199" ht="15" customHeight="1">
      <c r="A199" t="inlineStr">
        <is>
          <t>A 46722-2023</t>
        </is>
      </c>
      <c r="B199" s="1" t="n">
        <v>45194</v>
      </c>
      <c r="C199" s="1" t="n">
        <v>45895</v>
      </c>
      <c r="D199" t="inlineStr">
        <is>
          <t>KALMAR LÄN</t>
        </is>
      </c>
      <c r="E199" t="inlineStr">
        <is>
          <t>VÄSTERVIK</t>
        </is>
      </c>
      <c r="G199" t="n">
        <v>0.9</v>
      </c>
      <c r="H199" t="n">
        <v>1</v>
      </c>
      <c r="I199" t="n">
        <v>0</v>
      </c>
      <c r="J199" t="n">
        <v>0</v>
      </c>
      <c r="K199" t="n">
        <v>1</v>
      </c>
      <c r="L199" t="n">
        <v>0</v>
      </c>
      <c r="M199" t="n">
        <v>0</v>
      </c>
      <c r="N199" t="n">
        <v>0</v>
      </c>
      <c r="O199" t="n">
        <v>1</v>
      </c>
      <c r="P199" t="n">
        <v>1</v>
      </c>
      <c r="Q199" t="n">
        <v>1</v>
      </c>
      <c r="R199" s="2" t="inlineStr">
        <is>
          <t>Knärot</t>
        </is>
      </c>
      <c r="S199">
        <f>HYPERLINK("https://klasma.github.io/Logging_0883/artfynd/A 46722-2023 artfynd.xlsx", "A 46722-2023")</f>
        <v/>
      </c>
      <c r="T199">
        <f>HYPERLINK("https://klasma.github.io/Logging_0883/kartor/A 46722-2023 karta.png", "A 46722-2023")</f>
        <v/>
      </c>
      <c r="U199">
        <f>HYPERLINK("https://klasma.github.io/Logging_0883/knärot/A 46722-2023 karta knärot.png", "A 46722-2023")</f>
        <v/>
      </c>
      <c r="V199">
        <f>HYPERLINK("https://klasma.github.io/Logging_0883/klagomål/A 46722-2023 FSC-klagomål.docx", "A 46722-2023")</f>
        <v/>
      </c>
      <c r="W199">
        <f>HYPERLINK("https://klasma.github.io/Logging_0883/klagomålsmail/A 46722-2023 FSC-klagomål mail.docx", "A 46722-2023")</f>
        <v/>
      </c>
      <c r="X199">
        <f>HYPERLINK("https://klasma.github.io/Logging_0883/tillsyn/A 46722-2023 tillsynsbegäran.docx", "A 46722-2023")</f>
        <v/>
      </c>
      <c r="Y199">
        <f>HYPERLINK("https://klasma.github.io/Logging_0883/tillsynsmail/A 46722-2023 tillsynsbegäran mail.docx", "A 46722-2023")</f>
        <v/>
      </c>
    </row>
    <row r="200" ht="15" customHeight="1">
      <c r="A200" t="inlineStr">
        <is>
          <t>A 6657-2025</t>
        </is>
      </c>
      <c r="B200" s="1" t="n">
        <v>45700</v>
      </c>
      <c r="C200" s="1" t="n">
        <v>45895</v>
      </c>
      <c r="D200" t="inlineStr">
        <is>
          <t>KALMAR LÄN</t>
        </is>
      </c>
      <c r="E200" t="inlineStr">
        <is>
          <t>VÄSTERVIK</t>
        </is>
      </c>
      <c r="F200" t="inlineStr">
        <is>
          <t>Holmen skog AB</t>
        </is>
      </c>
      <c r="G200" t="n">
        <v>3</v>
      </c>
      <c r="H200" t="n">
        <v>1</v>
      </c>
      <c r="I200" t="n">
        <v>0</v>
      </c>
      <c r="J200" t="n">
        <v>0</v>
      </c>
      <c r="K200" t="n">
        <v>1</v>
      </c>
      <c r="L200" t="n">
        <v>0</v>
      </c>
      <c r="M200" t="n">
        <v>0</v>
      </c>
      <c r="N200" t="n">
        <v>0</v>
      </c>
      <c r="O200" t="n">
        <v>1</v>
      </c>
      <c r="P200" t="n">
        <v>1</v>
      </c>
      <c r="Q200" t="n">
        <v>1</v>
      </c>
      <c r="R200" s="2" t="inlineStr">
        <is>
          <t>Knärot</t>
        </is>
      </c>
      <c r="S200">
        <f>HYPERLINK("https://klasma.github.io/Logging_0883/artfynd/A 6657-2025 artfynd.xlsx", "A 6657-2025")</f>
        <v/>
      </c>
      <c r="T200">
        <f>HYPERLINK("https://klasma.github.io/Logging_0883/kartor/A 6657-2025 karta.png", "A 6657-2025")</f>
        <v/>
      </c>
      <c r="U200">
        <f>HYPERLINK("https://klasma.github.io/Logging_0883/knärot/A 6657-2025 karta knärot.png", "A 6657-2025")</f>
        <v/>
      </c>
      <c r="V200">
        <f>HYPERLINK("https://klasma.github.io/Logging_0883/klagomål/A 6657-2025 FSC-klagomål.docx", "A 6657-2025")</f>
        <v/>
      </c>
      <c r="W200">
        <f>HYPERLINK("https://klasma.github.io/Logging_0883/klagomålsmail/A 6657-2025 FSC-klagomål mail.docx", "A 6657-2025")</f>
        <v/>
      </c>
      <c r="X200">
        <f>HYPERLINK("https://klasma.github.io/Logging_0883/tillsyn/A 6657-2025 tillsynsbegäran.docx", "A 6657-2025")</f>
        <v/>
      </c>
      <c r="Y200">
        <f>HYPERLINK("https://klasma.github.io/Logging_0883/tillsynsmail/A 6657-2025 tillsynsbegäran mail.docx", "A 6657-2025")</f>
        <v/>
      </c>
    </row>
    <row r="201" ht="15" customHeight="1">
      <c r="A201" t="inlineStr">
        <is>
          <t>A 3600-2025</t>
        </is>
      </c>
      <c r="B201" s="1" t="n">
        <v>45681.34420138889</v>
      </c>
      <c r="C201" s="1" t="n">
        <v>45895</v>
      </c>
      <c r="D201" t="inlineStr">
        <is>
          <t>KALMAR LÄN</t>
        </is>
      </c>
      <c r="E201" t="inlineStr">
        <is>
          <t>VÄSTERVIK</t>
        </is>
      </c>
      <c r="G201" t="n">
        <v>1</v>
      </c>
      <c r="H201" t="n">
        <v>1</v>
      </c>
      <c r="I201" t="n">
        <v>0</v>
      </c>
      <c r="J201" t="n">
        <v>1</v>
      </c>
      <c r="K201" t="n">
        <v>0</v>
      </c>
      <c r="L201" t="n">
        <v>0</v>
      </c>
      <c r="M201" t="n">
        <v>0</v>
      </c>
      <c r="N201" t="n">
        <v>0</v>
      </c>
      <c r="O201" t="n">
        <v>1</v>
      </c>
      <c r="P201" t="n">
        <v>0</v>
      </c>
      <c r="Q201" t="n">
        <v>1</v>
      </c>
      <c r="R201" s="2" t="inlineStr">
        <is>
          <t>Spillkråka</t>
        </is>
      </c>
      <c r="S201">
        <f>HYPERLINK("https://klasma.github.io/Logging_0883/artfynd/A 3600-2025 artfynd.xlsx", "A 3600-2025")</f>
        <v/>
      </c>
      <c r="T201">
        <f>HYPERLINK("https://klasma.github.io/Logging_0883/kartor/A 3600-2025 karta.png", "A 3600-2025")</f>
        <v/>
      </c>
      <c r="V201">
        <f>HYPERLINK("https://klasma.github.io/Logging_0883/klagomål/A 3600-2025 FSC-klagomål.docx", "A 3600-2025")</f>
        <v/>
      </c>
      <c r="W201">
        <f>HYPERLINK("https://klasma.github.io/Logging_0883/klagomålsmail/A 3600-2025 FSC-klagomål mail.docx", "A 3600-2025")</f>
        <v/>
      </c>
      <c r="X201">
        <f>HYPERLINK("https://klasma.github.io/Logging_0883/tillsyn/A 3600-2025 tillsynsbegäran.docx", "A 3600-2025")</f>
        <v/>
      </c>
      <c r="Y201">
        <f>HYPERLINK("https://klasma.github.io/Logging_0883/tillsynsmail/A 3600-2025 tillsynsbegäran mail.docx", "A 3600-2025")</f>
        <v/>
      </c>
      <c r="Z201">
        <f>HYPERLINK("https://klasma.github.io/Logging_0883/fåglar/A 3600-2025 prioriterade fågelarter.docx", "A 3600-2025")</f>
        <v/>
      </c>
    </row>
    <row r="202" ht="15" customHeight="1">
      <c r="A202" t="inlineStr">
        <is>
          <t>A 47112-2023</t>
        </is>
      </c>
      <c r="B202" s="1" t="n">
        <v>45201</v>
      </c>
      <c r="C202" s="1" t="n">
        <v>45895</v>
      </c>
      <c r="D202" t="inlineStr">
        <is>
          <t>KALMAR LÄN</t>
        </is>
      </c>
      <c r="E202" t="inlineStr">
        <is>
          <t>VÄSTERVIK</t>
        </is>
      </c>
      <c r="G202" t="n">
        <v>1</v>
      </c>
      <c r="H202" t="n">
        <v>0</v>
      </c>
      <c r="I202" t="n">
        <v>0</v>
      </c>
      <c r="J202" t="n">
        <v>1</v>
      </c>
      <c r="K202" t="n">
        <v>0</v>
      </c>
      <c r="L202" t="n">
        <v>0</v>
      </c>
      <c r="M202" t="n">
        <v>0</v>
      </c>
      <c r="N202" t="n">
        <v>0</v>
      </c>
      <c r="O202" t="n">
        <v>1</v>
      </c>
      <c r="P202" t="n">
        <v>0</v>
      </c>
      <c r="Q202" t="n">
        <v>1</v>
      </c>
      <c r="R202" s="2" t="inlineStr">
        <is>
          <t>Tallticka</t>
        </is>
      </c>
      <c r="S202">
        <f>HYPERLINK("https://klasma.github.io/Logging_0883/artfynd/A 47112-2023 artfynd.xlsx", "A 47112-2023")</f>
        <v/>
      </c>
      <c r="T202">
        <f>HYPERLINK("https://klasma.github.io/Logging_0883/kartor/A 47112-2023 karta.png", "A 47112-2023")</f>
        <v/>
      </c>
      <c r="V202">
        <f>HYPERLINK("https://klasma.github.io/Logging_0883/klagomål/A 47112-2023 FSC-klagomål.docx", "A 47112-2023")</f>
        <v/>
      </c>
      <c r="W202">
        <f>HYPERLINK("https://klasma.github.io/Logging_0883/klagomålsmail/A 47112-2023 FSC-klagomål mail.docx", "A 47112-2023")</f>
        <v/>
      </c>
      <c r="X202">
        <f>HYPERLINK("https://klasma.github.io/Logging_0883/tillsyn/A 47112-2023 tillsynsbegäran.docx", "A 47112-2023")</f>
        <v/>
      </c>
      <c r="Y202">
        <f>HYPERLINK("https://klasma.github.io/Logging_0883/tillsynsmail/A 47112-2023 tillsynsbegäran mail.docx", "A 47112-2023")</f>
        <v/>
      </c>
    </row>
    <row r="203" ht="15" customHeight="1">
      <c r="A203" t="inlineStr">
        <is>
          <t>A 26516-2025</t>
        </is>
      </c>
      <c r="B203" s="1" t="n">
        <v>45807.55402777778</v>
      </c>
      <c r="C203" s="1" t="n">
        <v>45895</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20233-2021</t>
        </is>
      </c>
      <c r="B204" s="1" t="n">
        <v>44314</v>
      </c>
      <c r="C204" s="1" t="n">
        <v>45895</v>
      </c>
      <c r="D204" t="inlineStr">
        <is>
          <t>KALMAR LÄN</t>
        </is>
      </c>
      <c r="E204" t="inlineStr">
        <is>
          <t>VÄSTERVIK</t>
        </is>
      </c>
      <c r="F204" t="inlineStr">
        <is>
          <t>Holmen skog AB</t>
        </is>
      </c>
      <c r="G204" t="n">
        <v>11.8</v>
      </c>
      <c r="H204" t="n">
        <v>0</v>
      </c>
      <c r="I204" t="n">
        <v>0</v>
      </c>
      <c r="J204" t="n">
        <v>1</v>
      </c>
      <c r="K204" t="n">
        <v>0</v>
      </c>
      <c r="L204" t="n">
        <v>0</v>
      </c>
      <c r="M204" t="n">
        <v>0</v>
      </c>
      <c r="N204" t="n">
        <v>0</v>
      </c>
      <c r="O204" t="n">
        <v>1</v>
      </c>
      <c r="P204" t="n">
        <v>0</v>
      </c>
      <c r="Q204" t="n">
        <v>1</v>
      </c>
      <c r="R204" s="2" t="inlineStr">
        <is>
          <t>Skogsklocka</t>
        </is>
      </c>
      <c r="S204">
        <f>HYPERLINK("https://klasma.github.io/Logging_0883/artfynd/A 20233-2021 artfynd.xlsx", "A 20233-2021")</f>
        <v/>
      </c>
      <c r="T204">
        <f>HYPERLINK("https://klasma.github.io/Logging_0883/kartor/A 20233-2021 karta.png", "A 20233-2021")</f>
        <v/>
      </c>
      <c r="V204">
        <f>HYPERLINK("https://klasma.github.io/Logging_0883/klagomål/A 20233-2021 FSC-klagomål.docx", "A 20233-2021")</f>
        <v/>
      </c>
      <c r="W204">
        <f>HYPERLINK("https://klasma.github.io/Logging_0883/klagomålsmail/A 20233-2021 FSC-klagomål mail.docx", "A 20233-2021")</f>
        <v/>
      </c>
      <c r="X204">
        <f>HYPERLINK("https://klasma.github.io/Logging_0883/tillsyn/A 20233-2021 tillsynsbegäran.docx", "A 20233-2021")</f>
        <v/>
      </c>
      <c r="Y204">
        <f>HYPERLINK("https://klasma.github.io/Logging_0883/tillsynsmail/A 20233-2021 tillsynsbegäran mail.docx", "A 20233-2021")</f>
        <v/>
      </c>
    </row>
    <row r="205" ht="15" customHeight="1">
      <c r="A205" t="inlineStr">
        <is>
          <t>A 3673-2025</t>
        </is>
      </c>
      <c r="B205" s="1" t="n">
        <v>45681.43706018518</v>
      </c>
      <c r="C205" s="1" t="n">
        <v>45895</v>
      </c>
      <c r="D205" t="inlineStr">
        <is>
          <t>KALMAR LÄN</t>
        </is>
      </c>
      <c r="E205" t="inlineStr">
        <is>
          <t>VÄSTERVIK</t>
        </is>
      </c>
      <c r="G205" t="n">
        <v>1.1</v>
      </c>
      <c r="H205" t="n">
        <v>0</v>
      </c>
      <c r="I205" t="n">
        <v>1</v>
      </c>
      <c r="J205" t="n">
        <v>0</v>
      </c>
      <c r="K205" t="n">
        <v>0</v>
      </c>
      <c r="L205" t="n">
        <v>0</v>
      </c>
      <c r="M205" t="n">
        <v>0</v>
      </c>
      <c r="N205" t="n">
        <v>0</v>
      </c>
      <c r="O205" t="n">
        <v>0</v>
      </c>
      <c r="P205" t="n">
        <v>0</v>
      </c>
      <c r="Q205" t="n">
        <v>1</v>
      </c>
      <c r="R205" s="2" t="inlineStr">
        <is>
          <t>Blodticka</t>
        </is>
      </c>
      <c r="S205">
        <f>HYPERLINK("https://klasma.github.io/Logging_0883/artfynd/A 3673-2025 artfynd.xlsx", "A 3673-2025")</f>
        <v/>
      </c>
      <c r="T205">
        <f>HYPERLINK("https://klasma.github.io/Logging_0883/kartor/A 3673-2025 karta.png", "A 3673-2025")</f>
        <v/>
      </c>
      <c r="V205">
        <f>HYPERLINK("https://klasma.github.io/Logging_0883/klagomål/A 3673-2025 FSC-klagomål.docx", "A 3673-2025")</f>
        <v/>
      </c>
      <c r="W205">
        <f>HYPERLINK("https://klasma.github.io/Logging_0883/klagomålsmail/A 3673-2025 FSC-klagomål mail.docx", "A 3673-2025")</f>
        <v/>
      </c>
      <c r="X205">
        <f>HYPERLINK("https://klasma.github.io/Logging_0883/tillsyn/A 3673-2025 tillsynsbegäran.docx", "A 3673-2025")</f>
        <v/>
      </c>
      <c r="Y205">
        <f>HYPERLINK("https://klasma.github.io/Logging_0883/tillsynsmail/A 3673-2025 tillsynsbegäran mail.docx", "A 3673-2025")</f>
        <v/>
      </c>
    </row>
    <row r="206" ht="15" customHeight="1">
      <c r="A206" t="inlineStr">
        <is>
          <t>A 26056-2022</t>
        </is>
      </c>
      <c r="B206" s="1" t="n">
        <v>44734</v>
      </c>
      <c r="C206" s="1" t="n">
        <v>45895</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Slåtterfibbla</t>
        </is>
      </c>
      <c r="S206">
        <f>HYPERLINK("https://klasma.github.io/Logging_0883/artfynd/A 26056-2022 artfynd.xlsx", "A 26056-2022")</f>
        <v/>
      </c>
      <c r="T206">
        <f>HYPERLINK("https://klasma.github.io/Logging_0883/kartor/A 26056-2022 karta.png", "A 26056-2022")</f>
        <v/>
      </c>
      <c r="V206">
        <f>HYPERLINK("https://klasma.github.io/Logging_0883/klagomål/A 26056-2022 FSC-klagomål.docx", "A 26056-2022")</f>
        <v/>
      </c>
      <c r="W206">
        <f>HYPERLINK("https://klasma.github.io/Logging_0883/klagomålsmail/A 26056-2022 FSC-klagomål mail.docx", "A 26056-2022")</f>
        <v/>
      </c>
      <c r="X206">
        <f>HYPERLINK("https://klasma.github.io/Logging_0883/tillsyn/A 26056-2022 tillsynsbegäran.docx", "A 26056-2022")</f>
        <v/>
      </c>
      <c r="Y206">
        <f>HYPERLINK("https://klasma.github.io/Logging_0883/tillsynsmail/A 26056-2022 tillsynsbegäran mail.docx", "A 26056-2022")</f>
        <v/>
      </c>
    </row>
    <row r="207" ht="15" customHeight="1">
      <c r="A207" t="inlineStr">
        <is>
          <t>A 27426-2025</t>
        </is>
      </c>
      <c r="B207" s="1" t="n">
        <v>45813</v>
      </c>
      <c r="C207" s="1" t="n">
        <v>45895</v>
      </c>
      <c r="D207" t="inlineStr">
        <is>
          <t>KALMAR LÄN</t>
        </is>
      </c>
      <c r="E207" t="inlineStr">
        <is>
          <t>VÄSTERVIK</t>
        </is>
      </c>
      <c r="G207" t="n">
        <v>2</v>
      </c>
      <c r="H207" t="n">
        <v>0</v>
      </c>
      <c r="I207" t="n">
        <v>1</v>
      </c>
      <c r="J207" t="n">
        <v>0</v>
      </c>
      <c r="K207" t="n">
        <v>0</v>
      </c>
      <c r="L207" t="n">
        <v>0</v>
      </c>
      <c r="M207" t="n">
        <v>0</v>
      </c>
      <c r="N207" t="n">
        <v>0</v>
      </c>
      <c r="O207" t="n">
        <v>0</v>
      </c>
      <c r="P207" t="n">
        <v>0</v>
      </c>
      <c r="Q207" t="n">
        <v>1</v>
      </c>
      <c r="R207" s="2" t="inlineStr">
        <is>
          <t>Vätteros</t>
        </is>
      </c>
      <c r="S207">
        <f>HYPERLINK("https://klasma.github.io/Logging_0883/artfynd/A 27426-2025 artfynd.xlsx", "A 27426-2025")</f>
        <v/>
      </c>
      <c r="T207">
        <f>HYPERLINK("https://klasma.github.io/Logging_0883/kartor/A 27426-2025 karta.png", "A 27426-2025")</f>
        <v/>
      </c>
      <c r="V207">
        <f>HYPERLINK("https://klasma.github.io/Logging_0883/klagomål/A 27426-2025 FSC-klagomål.docx", "A 27426-2025")</f>
        <v/>
      </c>
      <c r="W207">
        <f>HYPERLINK("https://klasma.github.io/Logging_0883/klagomålsmail/A 27426-2025 FSC-klagomål mail.docx", "A 27426-2025")</f>
        <v/>
      </c>
      <c r="X207">
        <f>HYPERLINK("https://klasma.github.io/Logging_0883/tillsyn/A 27426-2025 tillsynsbegäran.docx", "A 27426-2025")</f>
        <v/>
      </c>
      <c r="Y207">
        <f>HYPERLINK("https://klasma.github.io/Logging_0883/tillsynsmail/A 27426-2025 tillsynsbegäran mail.docx", "A 27426-2025")</f>
        <v/>
      </c>
    </row>
    <row r="208" ht="15" customHeight="1">
      <c r="A208" t="inlineStr">
        <is>
          <t>A 61806-2023</t>
        </is>
      </c>
      <c r="B208" s="1" t="n">
        <v>45266.27928240741</v>
      </c>
      <c r="C208" s="1" t="n">
        <v>45895</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Veckticka</t>
        </is>
      </c>
      <c r="S208">
        <f>HYPERLINK("https://klasma.github.io/Logging_0883/artfynd/A 61806-2023 artfynd.xlsx", "A 61806-2023")</f>
        <v/>
      </c>
      <c r="T208">
        <f>HYPERLINK("https://klasma.github.io/Logging_0883/kartor/A 61806-2023 karta.png", "A 61806-2023")</f>
        <v/>
      </c>
      <c r="V208">
        <f>HYPERLINK("https://klasma.github.io/Logging_0883/klagomål/A 61806-2023 FSC-klagomål.docx", "A 61806-2023")</f>
        <v/>
      </c>
      <c r="W208">
        <f>HYPERLINK("https://klasma.github.io/Logging_0883/klagomålsmail/A 61806-2023 FSC-klagomål mail.docx", "A 61806-2023")</f>
        <v/>
      </c>
      <c r="X208">
        <f>HYPERLINK("https://klasma.github.io/Logging_0883/tillsyn/A 61806-2023 tillsynsbegäran.docx", "A 61806-2023")</f>
        <v/>
      </c>
      <c r="Y208">
        <f>HYPERLINK("https://klasma.github.io/Logging_0883/tillsynsmail/A 61806-2023 tillsynsbegäran mail.docx", "A 61806-2023")</f>
        <v/>
      </c>
    </row>
    <row r="209" ht="15" customHeight="1">
      <c r="A209" t="inlineStr">
        <is>
          <t>A 9261-2025</t>
        </is>
      </c>
      <c r="B209" s="1" t="n">
        <v>45714.60472222222</v>
      </c>
      <c r="C209" s="1" t="n">
        <v>45895</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55616-2024</t>
        </is>
      </c>
      <c r="B210" s="1" t="n">
        <v>45622.5916087963</v>
      </c>
      <c r="C210" s="1" t="n">
        <v>45895</v>
      </c>
      <c r="D210" t="inlineStr">
        <is>
          <t>KALMAR LÄN</t>
        </is>
      </c>
      <c r="E210" t="inlineStr">
        <is>
          <t>VÄSTERVIK</t>
        </is>
      </c>
      <c r="G210" t="n">
        <v>0.5</v>
      </c>
      <c r="H210" t="n">
        <v>1</v>
      </c>
      <c r="I210" t="n">
        <v>0</v>
      </c>
      <c r="J210" t="n">
        <v>1</v>
      </c>
      <c r="K210" t="n">
        <v>0</v>
      </c>
      <c r="L210" t="n">
        <v>0</v>
      </c>
      <c r="M210" t="n">
        <v>0</v>
      </c>
      <c r="N210" t="n">
        <v>0</v>
      </c>
      <c r="O210" t="n">
        <v>1</v>
      </c>
      <c r="P210" t="n">
        <v>0</v>
      </c>
      <c r="Q210" t="n">
        <v>1</v>
      </c>
      <c r="R210" s="2" t="inlineStr">
        <is>
          <t>Entita</t>
        </is>
      </c>
      <c r="S210">
        <f>HYPERLINK("https://klasma.github.io/Logging_0883/artfynd/A 55616-2024 artfynd.xlsx", "A 55616-2024")</f>
        <v/>
      </c>
      <c r="T210">
        <f>HYPERLINK("https://klasma.github.io/Logging_0883/kartor/A 55616-2024 karta.png", "A 55616-2024")</f>
        <v/>
      </c>
      <c r="V210">
        <f>HYPERLINK("https://klasma.github.io/Logging_0883/klagomål/A 55616-2024 FSC-klagomål.docx", "A 55616-2024")</f>
        <v/>
      </c>
      <c r="W210">
        <f>HYPERLINK("https://klasma.github.io/Logging_0883/klagomålsmail/A 55616-2024 FSC-klagomål mail.docx", "A 55616-2024")</f>
        <v/>
      </c>
      <c r="X210">
        <f>HYPERLINK("https://klasma.github.io/Logging_0883/tillsyn/A 55616-2024 tillsynsbegäran.docx", "A 55616-2024")</f>
        <v/>
      </c>
      <c r="Y210">
        <f>HYPERLINK("https://klasma.github.io/Logging_0883/tillsynsmail/A 55616-2024 tillsynsbegäran mail.docx", "A 55616-2024")</f>
        <v/>
      </c>
      <c r="Z210">
        <f>HYPERLINK("https://klasma.github.io/Logging_0883/fåglar/A 55616-2024 prioriterade fågelarter.docx", "A 55616-2024")</f>
        <v/>
      </c>
    </row>
    <row r="211" ht="15" customHeight="1">
      <c r="A211" t="inlineStr">
        <is>
          <t>A 1176-2024</t>
        </is>
      </c>
      <c r="B211" s="1" t="n">
        <v>45302</v>
      </c>
      <c r="C211" s="1" t="n">
        <v>45895</v>
      </c>
      <c r="D211" t="inlineStr">
        <is>
          <t>KALMAR LÄN</t>
        </is>
      </c>
      <c r="E211" t="inlineStr">
        <is>
          <t>VÄSTERVIK</t>
        </is>
      </c>
      <c r="G211" t="n">
        <v>2.5</v>
      </c>
      <c r="H211" t="n">
        <v>0</v>
      </c>
      <c r="I211" t="n">
        <v>0</v>
      </c>
      <c r="J211" t="n">
        <v>1</v>
      </c>
      <c r="K211" t="n">
        <v>0</v>
      </c>
      <c r="L211" t="n">
        <v>0</v>
      </c>
      <c r="M211" t="n">
        <v>0</v>
      </c>
      <c r="N211" t="n">
        <v>0</v>
      </c>
      <c r="O211" t="n">
        <v>1</v>
      </c>
      <c r="P211" t="n">
        <v>0</v>
      </c>
      <c r="Q211" t="n">
        <v>1</v>
      </c>
      <c r="R211" s="2" t="inlineStr">
        <is>
          <t>Tallticka</t>
        </is>
      </c>
      <c r="S211">
        <f>HYPERLINK("https://klasma.github.io/Logging_0883/artfynd/A 1176-2024 artfynd.xlsx", "A 1176-2024")</f>
        <v/>
      </c>
      <c r="T211">
        <f>HYPERLINK("https://klasma.github.io/Logging_0883/kartor/A 1176-2024 karta.png", "A 1176-2024")</f>
        <v/>
      </c>
      <c r="V211">
        <f>HYPERLINK("https://klasma.github.io/Logging_0883/klagomål/A 1176-2024 FSC-klagomål.docx", "A 1176-2024")</f>
        <v/>
      </c>
      <c r="W211">
        <f>HYPERLINK("https://klasma.github.io/Logging_0883/klagomålsmail/A 1176-2024 FSC-klagomål mail.docx", "A 1176-2024")</f>
        <v/>
      </c>
      <c r="X211">
        <f>HYPERLINK("https://klasma.github.io/Logging_0883/tillsyn/A 1176-2024 tillsynsbegäran.docx", "A 1176-2024")</f>
        <v/>
      </c>
      <c r="Y211">
        <f>HYPERLINK("https://klasma.github.io/Logging_0883/tillsynsmail/A 1176-2024 tillsynsbegäran mail.docx", "A 1176-2024")</f>
        <v/>
      </c>
    </row>
    <row r="212" ht="15" customHeight="1">
      <c r="A212" t="inlineStr">
        <is>
          <t>A 25436-2023</t>
        </is>
      </c>
      <c r="B212" s="1" t="n">
        <v>45089</v>
      </c>
      <c r="C212" s="1" t="n">
        <v>45895</v>
      </c>
      <c r="D212" t="inlineStr">
        <is>
          <t>KALMAR LÄN</t>
        </is>
      </c>
      <c r="E212" t="inlineStr">
        <is>
          <t>VÄSTERVIK</t>
        </is>
      </c>
      <c r="G212" t="n">
        <v>1.6</v>
      </c>
      <c r="H212" t="n">
        <v>1</v>
      </c>
      <c r="I212" t="n">
        <v>0</v>
      </c>
      <c r="J212" t="n">
        <v>0</v>
      </c>
      <c r="K212" t="n">
        <v>1</v>
      </c>
      <c r="L212" t="n">
        <v>0</v>
      </c>
      <c r="M212" t="n">
        <v>0</v>
      </c>
      <c r="N212" t="n">
        <v>0</v>
      </c>
      <c r="O212" t="n">
        <v>1</v>
      </c>
      <c r="P212" t="n">
        <v>1</v>
      </c>
      <c r="Q212" t="n">
        <v>1</v>
      </c>
      <c r="R212" s="2" t="inlineStr">
        <is>
          <t>Knärot</t>
        </is>
      </c>
      <c r="S212">
        <f>HYPERLINK("https://klasma.github.io/Logging_0883/artfynd/A 25436-2023 artfynd.xlsx", "A 25436-2023")</f>
        <v/>
      </c>
      <c r="T212">
        <f>HYPERLINK("https://klasma.github.io/Logging_0883/kartor/A 25436-2023 karta.png", "A 25436-2023")</f>
        <v/>
      </c>
      <c r="U212">
        <f>HYPERLINK("https://klasma.github.io/Logging_0883/knärot/A 25436-2023 karta knärot.png", "A 25436-2023")</f>
        <v/>
      </c>
      <c r="V212">
        <f>HYPERLINK("https://klasma.github.io/Logging_0883/klagomål/A 25436-2023 FSC-klagomål.docx", "A 25436-2023")</f>
        <v/>
      </c>
      <c r="W212">
        <f>HYPERLINK("https://klasma.github.io/Logging_0883/klagomålsmail/A 25436-2023 FSC-klagomål mail.docx", "A 25436-2023")</f>
        <v/>
      </c>
      <c r="X212">
        <f>HYPERLINK("https://klasma.github.io/Logging_0883/tillsyn/A 25436-2023 tillsynsbegäran.docx", "A 25436-2023")</f>
        <v/>
      </c>
      <c r="Y212">
        <f>HYPERLINK("https://klasma.github.io/Logging_0883/tillsynsmail/A 25436-2023 tillsynsbegäran mail.docx", "A 25436-2023")</f>
        <v/>
      </c>
    </row>
    <row r="213" ht="15" customHeight="1">
      <c r="A213" t="inlineStr">
        <is>
          <t>A 11609-2022</t>
        </is>
      </c>
      <c r="B213" s="1" t="n">
        <v>44631</v>
      </c>
      <c r="C213" s="1" t="n">
        <v>45895</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35028-2024</t>
        </is>
      </c>
      <c r="B214" s="1" t="n">
        <v>45527.60524305556</v>
      </c>
      <c r="C214" s="1" t="n">
        <v>45895</v>
      </c>
      <c r="D214" t="inlineStr">
        <is>
          <t>KALMAR LÄN</t>
        </is>
      </c>
      <c r="E214" t="inlineStr">
        <is>
          <t>VÄSTERVIK</t>
        </is>
      </c>
      <c r="G214" t="n">
        <v>1.3</v>
      </c>
      <c r="H214" t="n">
        <v>0</v>
      </c>
      <c r="I214" t="n">
        <v>1</v>
      </c>
      <c r="J214" t="n">
        <v>0</v>
      </c>
      <c r="K214" t="n">
        <v>0</v>
      </c>
      <c r="L214" t="n">
        <v>0</v>
      </c>
      <c r="M214" t="n">
        <v>0</v>
      </c>
      <c r="N214" t="n">
        <v>0</v>
      </c>
      <c r="O214" t="n">
        <v>0</v>
      </c>
      <c r="P214" t="n">
        <v>0</v>
      </c>
      <c r="Q214" t="n">
        <v>1</v>
      </c>
      <c r="R214" s="2" t="inlineStr">
        <is>
          <t>Blomkålssvamp</t>
        </is>
      </c>
      <c r="S214">
        <f>HYPERLINK("https://klasma.github.io/Logging_0883/artfynd/A 35028-2024 artfynd.xlsx", "A 35028-2024")</f>
        <v/>
      </c>
      <c r="T214">
        <f>HYPERLINK("https://klasma.github.io/Logging_0883/kartor/A 35028-2024 karta.png", "A 35028-2024")</f>
        <v/>
      </c>
      <c r="V214">
        <f>HYPERLINK("https://klasma.github.io/Logging_0883/klagomål/A 35028-2024 FSC-klagomål.docx", "A 35028-2024")</f>
        <v/>
      </c>
      <c r="W214">
        <f>HYPERLINK("https://klasma.github.io/Logging_0883/klagomålsmail/A 35028-2024 FSC-klagomål mail.docx", "A 35028-2024")</f>
        <v/>
      </c>
      <c r="X214">
        <f>HYPERLINK("https://klasma.github.io/Logging_0883/tillsyn/A 35028-2024 tillsynsbegäran.docx", "A 35028-2024")</f>
        <v/>
      </c>
      <c r="Y214">
        <f>HYPERLINK("https://klasma.github.io/Logging_0883/tillsynsmail/A 35028-2024 tillsynsbegäran mail.docx", "A 35028-2024")</f>
        <v/>
      </c>
    </row>
    <row r="215" ht="15" customHeight="1">
      <c r="A215" t="inlineStr">
        <is>
          <t>A 51488-2024</t>
        </is>
      </c>
      <c r="B215" s="1" t="n">
        <v>45604</v>
      </c>
      <c r="C215" s="1" t="n">
        <v>45895</v>
      </c>
      <c r="D215" t="inlineStr">
        <is>
          <t>KALMAR LÄN</t>
        </is>
      </c>
      <c r="E215" t="inlineStr">
        <is>
          <t>VÄSTERVIK</t>
        </is>
      </c>
      <c r="F215" t="inlineStr">
        <is>
          <t>Övriga Aktiebolag</t>
        </is>
      </c>
      <c r="G215" t="n">
        <v>2.9</v>
      </c>
      <c r="H215" t="n">
        <v>1</v>
      </c>
      <c r="I215" t="n">
        <v>0</v>
      </c>
      <c r="J215" t="n">
        <v>1</v>
      </c>
      <c r="K215" t="n">
        <v>0</v>
      </c>
      <c r="L215" t="n">
        <v>0</v>
      </c>
      <c r="M215" t="n">
        <v>0</v>
      </c>
      <c r="N215" t="n">
        <v>0</v>
      </c>
      <c r="O215" t="n">
        <v>1</v>
      </c>
      <c r="P215" t="n">
        <v>0</v>
      </c>
      <c r="Q215" t="n">
        <v>1</v>
      </c>
      <c r="R215" s="2" t="inlineStr">
        <is>
          <t>Entita</t>
        </is>
      </c>
      <c r="S215">
        <f>HYPERLINK("https://klasma.github.io/Logging_0883/artfynd/A 51488-2024 artfynd.xlsx", "A 51488-2024")</f>
        <v/>
      </c>
      <c r="T215">
        <f>HYPERLINK("https://klasma.github.io/Logging_0883/kartor/A 51488-2024 karta.png", "A 51488-2024")</f>
        <v/>
      </c>
      <c r="V215">
        <f>HYPERLINK("https://klasma.github.io/Logging_0883/klagomål/A 51488-2024 FSC-klagomål.docx", "A 51488-2024")</f>
        <v/>
      </c>
      <c r="W215">
        <f>HYPERLINK("https://klasma.github.io/Logging_0883/klagomålsmail/A 51488-2024 FSC-klagomål mail.docx", "A 51488-2024")</f>
        <v/>
      </c>
      <c r="X215">
        <f>HYPERLINK("https://klasma.github.io/Logging_0883/tillsyn/A 51488-2024 tillsynsbegäran.docx", "A 51488-2024")</f>
        <v/>
      </c>
      <c r="Y215">
        <f>HYPERLINK("https://klasma.github.io/Logging_0883/tillsynsmail/A 51488-2024 tillsynsbegäran mail.docx", "A 51488-2024")</f>
        <v/>
      </c>
      <c r="Z215">
        <f>HYPERLINK("https://klasma.github.io/Logging_0883/fåglar/A 51488-2024 prioriterade fågelarter.docx", "A 51488-2024")</f>
        <v/>
      </c>
    </row>
    <row r="216" ht="15" customHeight="1">
      <c r="A216" t="inlineStr">
        <is>
          <t>A 31315-2021</t>
        </is>
      </c>
      <c r="B216" s="1" t="n">
        <v>44368</v>
      </c>
      <c r="C216" s="1" t="n">
        <v>45895</v>
      </c>
      <c r="D216" t="inlineStr">
        <is>
          <t>KALMAR LÄN</t>
        </is>
      </c>
      <c r="E216" t="inlineStr">
        <is>
          <t>VÄSTERVIK</t>
        </is>
      </c>
      <c r="G216" t="n">
        <v>3.3</v>
      </c>
      <c r="H216" t="n">
        <v>1</v>
      </c>
      <c r="I216" t="n">
        <v>0</v>
      </c>
      <c r="J216" t="n">
        <v>0</v>
      </c>
      <c r="K216" t="n">
        <v>1</v>
      </c>
      <c r="L216" t="n">
        <v>0</v>
      </c>
      <c r="M216" t="n">
        <v>0</v>
      </c>
      <c r="N216" t="n">
        <v>0</v>
      </c>
      <c r="O216" t="n">
        <v>1</v>
      </c>
      <c r="P216" t="n">
        <v>1</v>
      </c>
      <c r="Q216" t="n">
        <v>1</v>
      </c>
      <c r="R216" s="2" t="inlineStr">
        <is>
          <t>Knärot</t>
        </is>
      </c>
      <c r="S216">
        <f>HYPERLINK("https://klasma.github.io/Logging_0883/artfynd/A 31315-2021 artfynd.xlsx", "A 31315-2021")</f>
        <v/>
      </c>
      <c r="T216">
        <f>HYPERLINK("https://klasma.github.io/Logging_0883/kartor/A 31315-2021 karta.png", "A 31315-2021")</f>
        <v/>
      </c>
      <c r="U216">
        <f>HYPERLINK("https://klasma.github.io/Logging_0883/knärot/A 31315-2021 karta knärot.png", "A 31315-2021")</f>
        <v/>
      </c>
      <c r="V216">
        <f>HYPERLINK("https://klasma.github.io/Logging_0883/klagomål/A 31315-2021 FSC-klagomål.docx", "A 31315-2021")</f>
        <v/>
      </c>
      <c r="W216">
        <f>HYPERLINK("https://klasma.github.io/Logging_0883/klagomålsmail/A 31315-2021 FSC-klagomål mail.docx", "A 31315-2021")</f>
        <v/>
      </c>
      <c r="X216">
        <f>HYPERLINK("https://klasma.github.io/Logging_0883/tillsyn/A 31315-2021 tillsynsbegäran.docx", "A 31315-2021")</f>
        <v/>
      </c>
      <c r="Y216">
        <f>HYPERLINK("https://klasma.github.io/Logging_0883/tillsynsmail/A 31315-2021 tillsynsbegäran mail.docx", "A 31315-2021")</f>
        <v/>
      </c>
    </row>
    <row r="217" ht="15" customHeight="1">
      <c r="A217" t="inlineStr">
        <is>
          <t>A 34563-2023</t>
        </is>
      </c>
      <c r="B217" s="1" t="n">
        <v>45140.52086805556</v>
      </c>
      <c r="C217" s="1" t="n">
        <v>45895</v>
      </c>
      <c r="D217" t="inlineStr">
        <is>
          <t>KALMAR LÄN</t>
        </is>
      </c>
      <c r="E217" t="inlineStr">
        <is>
          <t>VÄSTERVIK</t>
        </is>
      </c>
      <c r="G217" t="n">
        <v>1.4</v>
      </c>
      <c r="H217" t="n">
        <v>0</v>
      </c>
      <c r="I217" t="n">
        <v>1</v>
      </c>
      <c r="J217" t="n">
        <v>0</v>
      </c>
      <c r="K217" t="n">
        <v>0</v>
      </c>
      <c r="L217" t="n">
        <v>0</v>
      </c>
      <c r="M217" t="n">
        <v>0</v>
      </c>
      <c r="N217" t="n">
        <v>0</v>
      </c>
      <c r="O217" t="n">
        <v>0</v>
      </c>
      <c r="P217" t="n">
        <v>0</v>
      </c>
      <c r="Q217" t="n">
        <v>1</v>
      </c>
      <c r="R217" s="2" t="inlineStr">
        <is>
          <t>Fjällig taggsvamp s.str.</t>
        </is>
      </c>
      <c r="S217">
        <f>HYPERLINK("https://klasma.github.io/Logging_0883/artfynd/A 34563-2023 artfynd.xlsx", "A 34563-2023")</f>
        <v/>
      </c>
      <c r="T217">
        <f>HYPERLINK("https://klasma.github.io/Logging_0883/kartor/A 34563-2023 karta.png", "A 34563-2023")</f>
        <v/>
      </c>
      <c r="U217">
        <f>HYPERLINK("https://klasma.github.io/Logging_0883/knärot/A 34563-2023 karta knärot.png", "A 34563-2023")</f>
        <v/>
      </c>
      <c r="V217">
        <f>HYPERLINK("https://klasma.github.io/Logging_0883/klagomål/A 34563-2023 FSC-klagomål.docx", "A 34563-2023")</f>
        <v/>
      </c>
      <c r="W217">
        <f>HYPERLINK("https://klasma.github.io/Logging_0883/klagomålsmail/A 34563-2023 FSC-klagomål mail.docx", "A 34563-2023")</f>
        <v/>
      </c>
      <c r="X217">
        <f>HYPERLINK("https://klasma.github.io/Logging_0883/tillsyn/A 34563-2023 tillsynsbegäran.docx", "A 34563-2023")</f>
        <v/>
      </c>
      <c r="Y217">
        <f>HYPERLINK("https://klasma.github.io/Logging_0883/tillsynsmail/A 34563-2023 tillsynsbegäran mail.docx", "A 34563-2023")</f>
        <v/>
      </c>
    </row>
    <row r="218" ht="15" customHeight="1">
      <c r="A218" t="inlineStr">
        <is>
          <t>A 36595-2025</t>
        </is>
      </c>
      <c r="B218" s="1" t="n">
        <v>45870.513125</v>
      </c>
      <c r="C218" s="1" t="n">
        <v>45895</v>
      </c>
      <c r="D218" t="inlineStr">
        <is>
          <t>KALMAR LÄN</t>
        </is>
      </c>
      <c r="E218" t="inlineStr">
        <is>
          <t>VÄSTERVIK</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HYPERLINK("https://klasma.github.io/Logging_0883/artfynd/A 36595-2025 artfynd.xlsx", "A 36595-2025")</f>
        <v/>
      </c>
      <c r="T218">
        <f>HYPERLINK("https://klasma.github.io/Logging_0883/kartor/A 36595-2025 karta.png", "A 36595-2025")</f>
        <v/>
      </c>
      <c r="V218">
        <f>HYPERLINK("https://klasma.github.io/Logging_0883/klagomål/A 36595-2025 FSC-klagomål.docx", "A 36595-2025")</f>
        <v/>
      </c>
      <c r="W218">
        <f>HYPERLINK("https://klasma.github.io/Logging_0883/klagomålsmail/A 36595-2025 FSC-klagomål mail.docx", "A 36595-2025")</f>
        <v/>
      </c>
      <c r="X218">
        <f>HYPERLINK("https://klasma.github.io/Logging_0883/tillsyn/A 36595-2025 tillsynsbegäran.docx", "A 36595-2025")</f>
        <v/>
      </c>
      <c r="Y218">
        <f>HYPERLINK("https://klasma.github.io/Logging_0883/tillsynsmail/A 36595-2025 tillsynsbegäran mail.docx", "A 36595-2025")</f>
        <v/>
      </c>
      <c r="Z218">
        <f>HYPERLINK("https://klasma.github.io/Logging_0883/fåglar/A 36595-2025 prioriterade fågelarter.docx", "A 36595-2025")</f>
        <v/>
      </c>
    </row>
    <row r="219" ht="15" customHeight="1">
      <c r="A219" t="inlineStr">
        <is>
          <t>A 25447-2021</t>
        </is>
      </c>
      <c r="B219" s="1" t="n">
        <v>44342</v>
      </c>
      <c r="C219" s="1" t="n">
        <v>45895</v>
      </c>
      <c r="D219" t="inlineStr">
        <is>
          <t>KALMAR LÄN</t>
        </is>
      </c>
      <c r="E219" t="inlineStr">
        <is>
          <t>VÄSTERVIK</t>
        </is>
      </c>
      <c r="F219" t="inlineStr">
        <is>
          <t>Holmen skog AB</t>
        </is>
      </c>
      <c r="G219" t="n">
        <v>9</v>
      </c>
      <c r="H219" t="n">
        <v>1</v>
      </c>
      <c r="I219" t="n">
        <v>0</v>
      </c>
      <c r="J219" t="n">
        <v>0</v>
      </c>
      <c r="K219" t="n">
        <v>1</v>
      </c>
      <c r="L219" t="n">
        <v>0</v>
      </c>
      <c r="M219" t="n">
        <v>0</v>
      </c>
      <c r="N219" t="n">
        <v>0</v>
      </c>
      <c r="O219" t="n">
        <v>1</v>
      </c>
      <c r="P219" t="n">
        <v>1</v>
      </c>
      <c r="Q219" t="n">
        <v>1</v>
      </c>
      <c r="R219" s="2" t="inlineStr">
        <is>
          <t>Knärot</t>
        </is>
      </c>
      <c r="S219">
        <f>HYPERLINK("https://klasma.github.io/Logging_0883/artfynd/A 25447-2021 artfynd.xlsx", "A 25447-2021")</f>
        <v/>
      </c>
      <c r="T219">
        <f>HYPERLINK("https://klasma.github.io/Logging_0883/kartor/A 25447-2021 karta.png", "A 25447-2021")</f>
        <v/>
      </c>
      <c r="U219">
        <f>HYPERLINK("https://klasma.github.io/Logging_0883/knärot/A 25447-2021 karta knärot.png", "A 25447-2021")</f>
        <v/>
      </c>
      <c r="V219">
        <f>HYPERLINK("https://klasma.github.io/Logging_0883/klagomål/A 25447-2021 FSC-klagomål.docx", "A 25447-2021")</f>
        <v/>
      </c>
      <c r="W219">
        <f>HYPERLINK("https://klasma.github.io/Logging_0883/klagomålsmail/A 25447-2021 FSC-klagomål mail.docx", "A 25447-2021")</f>
        <v/>
      </c>
      <c r="X219">
        <f>HYPERLINK("https://klasma.github.io/Logging_0883/tillsyn/A 25447-2021 tillsynsbegäran.docx", "A 25447-2021")</f>
        <v/>
      </c>
      <c r="Y219">
        <f>HYPERLINK("https://klasma.github.io/Logging_0883/tillsynsmail/A 25447-2021 tillsynsbegäran mail.docx", "A 25447-2021")</f>
        <v/>
      </c>
    </row>
    <row r="220" ht="15" customHeight="1">
      <c r="A220" t="inlineStr">
        <is>
          <t>A 30794-2025</t>
        </is>
      </c>
      <c r="B220" s="1" t="n">
        <v>45831.63834490741</v>
      </c>
      <c r="C220" s="1" t="n">
        <v>45895</v>
      </c>
      <c r="D220" t="inlineStr">
        <is>
          <t>KALMAR LÄN</t>
        </is>
      </c>
      <c r="E220" t="inlineStr">
        <is>
          <t>VÄSTERVIK</t>
        </is>
      </c>
      <c r="G220" t="n">
        <v>4.8</v>
      </c>
      <c r="H220" t="n">
        <v>0</v>
      </c>
      <c r="I220" t="n">
        <v>0</v>
      </c>
      <c r="J220" t="n">
        <v>1</v>
      </c>
      <c r="K220" t="n">
        <v>0</v>
      </c>
      <c r="L220" t="n">
        <v>0</v>
      </c>
      <c r="M220" t="n">
        <v>0</v>
      </c>
      <c r="N220" t="n">
        <v>0</v>
      </c>
      <c r="O220" t="n">
        <v>1</v>
      </c>
      <c r="P220" t="n">
        <v>0</v>
      </c>
      <c r="Q220" t="n">
        <v>1</v>
      </c>
      <c r="R220" s="2" t="inlineStr">
        <is>
          <t>Tallticka</t>
        </is>
      </c>
      <c r="S220">
        <f>HYPERLINK("https://klasma.github.io/Logging_0883/artfynd/A 30794-2025 artfynd.xlsx", "A 30794-2025")</f>
        <v/>
      </c>
      <c r="T220">
        <f>HYPERLINK("https://klasma.github.io/Logging_0883/kartor/A 30794-2025 karta.png", "A 30794-2025")</f>
        <v/>
      </c>
      <c r="V220">
        <f>HYPERLINK("https://klasma.github.io/Logging_0883/klagomål/A 30794-2025 FSC-klagomål.docx", "A 30794-2025")</f>
        <v/>
      </c>
      <c r="W220">
        <f>HYPERLINK("https://klasma.github.io/Logging_0883/klagomålsmail/A 30794-2025 FSC-klagomål mail.docx", "A 30794-2025")</f>
        <v/>
      </c>
      <c r="X220">
        <f>HYPERLINK("https://klasma.github.io/Logging_0883/tillsyn/A 30794-2025 tillsynsbegäran.docx", "A 30794-2025")</f>
        <v/>
      </c>
      <c r="Y220">
        <f>HYPERLINK("https://klasma.github.io/Logging_0883/tillsynsmail/A 30794-2025 tillsynsbegäran mail.docx", "A 30794-2025")</f>
        <v/>
      </c>
    </row>
    <row r="221" ht="15" customHeight="1">
      <c r="A221" t="inlineStr">
        <is>
          <t>A 10768-2025</t>
        </is>
      </c>
      <c r="B221" s="1" t="n">
        <v>45722.46649305556</v>
      </c>
      <c r="C221" s="1" t="n">
        <v>45895</v>
      </c>
      <c r="D221" t="inlineStr">
        <is>
          <t>KALMAR LÄN</t>
        </is>
      </c>
      <c r="E221" t="inlineStr">
        <is>
          <t>VÄSTERVIK</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10768-2025 artfynd.xlsx", "A 10768-2025")</f>
        <v/>
      </c>
      <c r="T221">
        <f>HYPERLINK("https://klasma.github.io/Logging_0883/kartor/A 10768-2025 karta.png", "A 10768-2025")</f>
        <v/>
      </c>
      <c r="V221">
        <f>HYPERLINK("https://klasma.github.io/Logging_0883/klagomål/A 10768-2025 FSC-klagomål.docx", "A 10768-2025")</f>
        <v/>
      </c>
      <c r="W221">
        <f>HYPERLINK("https://klasma.github.io/Logging_0883/klagomålsmail/A 10768-2025 FSC-klagomål mail.docx", "A 10768-2025")</f>
        <v/>
      </c>
      <c r="X221">
        <f>HYPERLINK("https://klasma.github.io/Logging_0883/tillsyn/A 10768-2025 tillsynsbegäran.docx", "A 10768-2025")</f>
        <v/>
      </c>
      <c r="Y221">
        <f>HYPERLINK("https://klasma.github.io/Logging_0883/tillsynsmail/A 10768-2025 tillsynsbegäran mail.docx", "A 10768-2025")</f>
        <v/>
      </c>
      <c r="Z221">
        <f>HYPERLINK("https://klasma.github.io/Logging_0883/fåglar/A 10768-2025 prioriterade fågelarter.docx", "A 10768-2025")</f>
        <v/>
      </c>
    </row>
    <row r="222" ht="15" customHeight="1">
      <c r="A222" t="inlineStr">
        <is>
          <t>A 24048-2021</t>
        </is>
      </c>
      <c r="B222" s="1" t="n">
        <v>44336</v>
      </c>
      <c r="C222" s="1" t="n">
        <v>45895</v>
      </c>
      <c r="D222" t="inlineStr">
        <is>
          <t>KALMAR LÄN</t>
        </is>
      </c>
      <c r="E222" t="inlineStr">
        <is>
          <t>VÄSTERVIK</t>
        </is>
      </c>
      <c r="G222" t="n">
        <v>3.5</v>
      </c>
      <c r="H222" t="n">
        <v>1</v>
      </c>
      <c r="I222" t="n">
        <v>0</v>
      </c>
      <c r="J222" t="n">
        <v>0</v>
      </c>
      <c r="K222" t="n">
        <v>1</v>
      </c>
      <c r="L222" t="n">
        <v>0</v>
      </c>
      <c r="M222" t="n">
        <v>0</v>
      </c>
      <c r="N222" t="n">
        <v>0</v>
      </c>
      <c r="O222" t="n">
        <v>1</v>
      </c>
      <c r="P222" t="n">
        <v>1</v>
      </c>
      <c r="Q222" t="n">
        <v>1</v>
      </c>
      <c r="R222" s="2" t="inlineStr">
        <is>
          <t>Knärot</t>
        </is>
      </c>
      <c r="S222">
        <f>HYPERLINK("https://klasma.github.io/Logging_0883/artfynd/A 24048-2021 artfynd.xlsx", "A 24048-2021")</f>
        <v/>
      </c>
      <c r="T222">
        <f>HYPERLINK("https://klasma.github.io/Logging_0883/kartor/A 24048-2021 karta.png", "A 24048-2021")</f>
        <v/>
      </c>
      <c r="U222">
        <f>HYPERLINK("https://klasma.github.io/Logging_0883/knärot/A 24048-2021 karta knärot.png", "A 24048-2021")</f>
        <v/>
      </c>
      <c r="V222">
        <f>HYPERLINK("https://klasma.github.io/Logging_0883/klagomål/A 24048-2021 FSC-klagomål.docx", "A 24048-2021")</f>
        <v/>
      </c>
      <c r="W222">
        <f>HYPERLINK("https://klasma.github.io/Logging_0883/klagomålsmail/A 24048-2021 FSC-klagomål mail.docx", "A 24048-2021")</f>
        <v/>
      </c>
      <c r="X222">
        <f>HYPERLINK("https://klasma.github.io/Logging_0883/tillsyn/A 24048-2021 tillsynsbegäran.docx", "A 24048-2021")</f>
        <v/>
      </c>
      <c r="Y222">
        <f>HYPERLINK("https://klasma.github.io/Logging_0883/tillsynsmail/A 24048-2021 tillsynsbegäran mail.docx", "A 24048-2021")</f>
        <v/>
      </c>
    </row>
    <row r="223" ht="15" customHeight="1">
      <c r="A223" t="inlineStr">
        <is>
          <t>A 14089-2025</t>
        </is>
      </c>
      <c r="B223" s="1" t="n">
        <v>45740.44363425926</v>
      </c>
      <c r="C223" s="1" t="n">
        <v>45895</v>
      </c>
      <c r="D223" t="inlineStr">
        <is>
          <t>KALMAR LÄN</t>
        </is>
      </c>
      <c r="E223" t="inlineStr">
        <is>
          <t>VÄSTERVIK</t>
        </is>
      </c>
      <c r="F223" t="inlineStr">
        <is>
          <t>Sveaskog</t>
        </is>
      </c>
      <c r="G223" t="n">
        <v>1.3</v>
      </c>
      <c r="H223" t="n">
        <v>1</v>
      </c>
      <c r="I223" t="n">
        <v>0</v>
      </c>
      <c r="J223" t="n">
        <v>1</v>
      </c>
      <c r="K223" t="n">
        <v>0</v>
      </c>
      <c r="L223" t="n">
        <v>0</v>
      </c>
      <c r="M223" t="n">
        <v>0</v>
      </c>
      <c r="N223" t="n">
        <v>0</v>
      </c>
      <c r="O223" t="n">
        <v>1</v>
      </c>
      <c r="P223" t="n">
        <v>0</v>
      </c>
      <c r="Q223" t="n">
        <v>1</v>
      </c>
      <c r="R223" s="2" t="inlineStr">
        <is>
          <t>Spillkråka</t>
        </is>
      </c>
      <c r="S223">
        <f>HYPERLINK("https://klasma.github.io/Logging_0883/artfynd/A 14089-2025 artfynd.xlsx", "A 14089-2025")</f>
        <v/>
      </c>
      <c r="T223">
        <f>HYPERLINK("https://klasma.github.io/Logging_0883/kartor/A 14089-2025 karta.png", "A 14089-2025")</f>
        <v/>
      </c>
      <c r="V223">
        <f>HYPERLINK("https://klasma.github.io/Logging_0883/klagomål/A 14089-2025 FSC-klagomål.docx", "A 14089-2025")</f>
        <v/>
      </c>
      <c r="W223">
        <f>HYPERLINK("https://klasma.github.io/Logging_0883/klagomålsmail/A 14089-2025 FSC-klagomål mail.docx", "A 14089-2025")</f>
        <v/>
      </c>
      <c r="X223">
        <f>HYPERLINK("https://klasma.github.io/Logging_0883/tillsyn/A 14089-2025 tillsynsbegäran.docx", "A 14089-2025")</f>
        <v/>
      </c>
      <c r="Y223">
        <f>HYPERLINK("https://klasma.github.io/Logging_0883/tillsynsmail/A 14089-2025 tillsynsbegäran mail.docx", "A 14089-2025")</f>
        <v/>
      </c>
      <c r="Z223">
        <f>HYPERLINK("https://klasma.github.io/Logging_0883/fåglar/A 14089-2025 prioriterade fågelarter.docx", "A 14089-2025")</f>
        <v/>
      </c>
    </row>
    <row r="224" ht="15" customHeight="1">
      <c r="A224" t="inlineStr">
        <is>
          <t>A 51024-2022</t>
        </is>
      </c>
      <c r="B224" s="1" t="n">
        <v>44867</v>
      </c>
      <c r="C224" s="1" t="n">
        <v>45895</v>
      </c>
      <c r="D224" t="inlineStr">
        <is>
          <t>KALMAR LÄN</t>
        </is>
      </c>
      <c r="E224" t="inlineStr">
        <is>
          <t>VÄSTERVIK</t>
        </is>
      </c>
      <c r="F224" t="inlineStr">
        <is>
          <t>Holmen skog AB</t>
        </is>
      </c>
      <c r="G224" t="n">
        <v>7.6</v>
      </c>
      <c r="H224" t="n">
        <v>1</v>
      </c>
      <c r="I224" t="n">
        <v>0</v>
      </c>
      <c r="J224" t="n">
        <v>1</v>
      </c>
      <c r="K224" t="n">
        <v>0</v>
      </c>
      <c r="L224" t="n">
        <v>0</v>
      </c>
      <c r="M224" t="n">
        <v>0</v>
      </c>
      <c r="N224" t="n">
        <v>0</v>
      </c>
      <c r="O224" t="n">
        <v>1</v>
      </c>
      <c r="P224" t="n">
        <v>0</v>
      </c>
      <c r="Q224" t="n">
        <v>1</v>
      </c>
      <c r="R224" s="2" t="inlineStr">
        <is>
          <t>Talltita</t>
        </is>
      </c>
      <c r="S224">
        <f>HYPERLINK("https://klasma.github.io/Logging_0883/artfynd/A 51024-2022 artfynd.xlsx", "A 51024-2022")</f>
        <v/>
      </c>
      <c r="T224">
        <f>HYPERLINK("https://klasma.github.io/Logging_0883/kartor/A 51024-2022 karta.png", "A 51024-2022")</f>
        <v/>
      </c>
      <c r="V224">
        <f>HYPERLINK("https://klasma.github.io/Logging_0883/klagomål/A 51024-2022 FSC-klagomål.docx", "A 51024-2022")</f>
        <v/>
      </c>
      <c r="W224">
        <f>HYPERLINK("https://klasma.github.io/Logging_0883/klagomålsmail/A 51024-2022 FSC-klagomål mail.docx", "A 51024-2022")</f>
        <v/>
      </c>
      <c r="X224">
        <f>HYPERLINK("https://klasma.github.io/Logging_0883/tillsyn/A 51024-2022 tillsynsbegäran.docx", "A 51024-2022")</f>
        <v/>
      </c>
      <c r="Y224">
        <f>HYPERLINK("https://klasma.github.io/Logging_0883/tillsynsmail/A 51024-2022 tillsynsbegäran mail.docx", "A 51024-2022")</f>
        <v/>
      </c>
      <c r="Z224">
        <f>HYPERLINK("https://klasma.github.io/Logging_0883/fåglar/A 51024-2022 prioriterade fågelarter.docx", "A 51024-2022")</f>
        <v/>
      </c>
    </row>
    <row r="225" ht="15" customHeight="1">
      <c r="A225" t="inlineStr">
        <is>
          <t>A 14131-2025</t>
        </is>
      </c>
      <c r="B225" s="1" t="n">
        <v>45740.47480324074</v>
      </c>
      <c r="C225" s="1" t="n">
        <v>45895</v>
      </c>
      <c r="D225" t="inlineStr">
        <is>
          <t>KALMAR LÄN</t>
        </is>
      </c>
      <c r="E225" t="inlineStr">
        <is>
          <t>VÄSTERVIK</t>
        </is>
      </c>
      <c r="F225" t="inlineStr">
        <is>
          <t>Sveaskog</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HYPERLINK("https://klasma.github.io/Logging_0883/artfynd/A 14131-2025 artfynd.xlsx", "A 14131-2025")</f>
        <v/>
      </c>
      <c r="T225">
        <f>HYPERLINK("https://klasma.github.io/Logging_0883/kartor/A 14131-2025 karta.png", "A 14131-2025")</f>
        <v/>
      </c>
      <c r="V225">
        <f>HYPERLINK("https://klasma.github.io/Logging_0883/klagomål/A 14131-2025 FSC-klagomål.docx", "A 14131-2025")</f>
        <v/>
      </c>
      <c r="W225">
        <f>HYPERLINK("https://klasma.github.io/Logging_0883/klagomålsmail/A 14131-2025 FSC-klagomål mail.docx", "A 14131-2025")</f>
        <v/>
      </c>
      <c r="X225">
        <f>HYPERLINK("https://klasma.github.io/Logging_0883/tillsyn/A 14131-2025 tillsynsbegäran.docx", "A 14131-2025")</f>
        <v/>
      </c>
      <c r="Y225">
        <f>HYPERLINK("https://klasma.github.io/Logging_0883/tillsynsmail/A 14131-2025 tillsynsbegäran mail.docx", "A 14131-2025")</f>
        <v/>
      </c>
    </row>
    <row r="226" ht="15" customHeight="1">
      <c r="A226" t="inlineStr">
        <is>
          <t>A 29455-2021</t>
        </is>
      </c>
      <c r="B226" s="1" t="n">
        <v>44361</v>
      </c>
      <c r="C226" s="1" t="n">
        <v>45895</v>
      </c>
      <c r="D226" t="inlineStr">
        <is>
          <t>KALMAR LÄN</t>
        </is>
      </c>
      <c r="E226" t="inlineStr">
        <is>
          <t>VÄSTERVIK</t>
        </is>
      </c>
      <c r="F226" t="inlineStr">
        <is>
          <t>Övriga Aktiebolag</t>
        </is>
      </c>
      <c r="G226" t="n">
        <v>3.1</v>
      </c>
      <c r="H226" t="n">
        <v>1</v>
      </c>
      <c r="I226" t="n">
        <v>0</v>
      </c>
      <c r="J226" t="n">
        <v>0</v>
      </c>
      <c r="K226" t="n">
        <v>1</v>
      </c>
      <c r="L226" t="n">
        <v>0</v>
      </c>
      <c r="M226" t="n">
        <v>0</v>
      </c>
      <c r="N226" t="n">
        <v>0</v>
      </c>
      <c r="O226" t="n">
        <v>1</v>
      </c>
      <c r="P226" t="n">
        <v>1</v>
      </c>
      <c r="Q226" t="n">
        <v>1</v>
      </c>
      <c r="R226" s="2" t="inlineStr">
        <is>
          <t>Knärot</t>
        </is>
      </c>
      <c r="S226">
        <f>HYPERLINK("https://klasma.github.io/Logging_0883/artfynd/A 29455-2021 artfynd.xlsx", "A 29455-2021")</f>
        <v/>
      </c>
      <c r="T226">
        <f>HYPERLINK("https://klasma.github.io/Logging_0883/kartor/A 29455-2021 karta.png", "A 29455-2021")</f>
        <v/>
      </c>
      <c r="U226">
        <f>HYPERLINK("https://klasma.github.io/Logging_0883/knärot/A 29455-2021 karta knärot.png", "A 29455-2021")</f>
        <v/>
      </c>
      <c r="V226">
        <f>HYPERLINK("https://klasma.github.io/Logging_0883/klagomål/A 29455-2021 FSC-klagomål.docx", "A 29455-2021")</f>
        <v/>
      </c>
      <c r="W226">
        <f>HYPERLINK("https://klasma.github.io/Logging_0883/klagomålsmail/A 29455-2021 FSC-klagomål mail.docx", "A 29455-2021")</f>
        <v/>
      </c>
      <c r="X226">
        <f>HYPERLINK("https://klasma.github.io/Logging_0883/tillsyn/A 29455-2021 tillsynsbegäran.docx", "A 29455-2021")</f>
        <v/>
      </c>
      <c r="Y226">
        <f>HYPERLINK("https://klasma.github.io/Logging_0883/tillsynsmail/A 29455-2021 tillsynsbegäran mail.docx", "A 29455-2021")</f>
        <v/>
      </c>
    </row>
    <row r="227" ht="15" customHeight="1">
      <c r="A227" t="inlineStr">
        <is>
          <t>A 33916-2025</t>
        </is>
      </c>
      <c r="B227" s="1" t="n">
        <v>45842.61306712963</v>
      </c>
      <c r="C227" s="1" t="n">
        <v>45895</v>
      </c>
      <c r="D227" t="inlineStr">
        <is>
          <t>KALMAR LÄN</t>
        </is>
      </c>
      <c r="E227" t="inlineStr">
        <is>
          <t>VÄSTERVIK</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HYPERLINK("https://klasma.github.io/Logging_0883/artfynd/A 33916-2025 artfynd.xlsx", "A 33916-2025")</f>
        <v/>
      </c>
      <c r="T227">
        <f>HYPERLINK("https://klasma.github.io/Logging_0883/kartor/A 33916-2025 karta.png", "A 33916-2025")</f>
        <v/>
      </c>
      <c r="V227">
        <f>HYPERLINK("https://klasma.github.io/Logging_0883/klagomål/A 33916-2025 FSC-klagomål.docx", "A 33916-2025")</f>
        <v/>
      </c>
      <c r="W227">
        <f>HYPERLINK("https://klasma.github.io/Logging_0883/klagomålsmail/A 33916-2025 FSC-klagomål mail.docx", "A 33916-2025")</f>
        <v/>
      </c>
      <c r="X227">
        <f>HYPERLINK("https://klasma.github.io/Logging_0883/tillsyn/A 33916-2025 tillsynsbegäran.docx", "A 33916-2025")</f>
        <v/>
      </c>
      <c r="Y227">
        <f>HYPERLINK("https://klasma.github.io/Logging_0883/tillsynsmail/A 33916-2025 tillsynsbegäran mail.docx", "A 33916-2025")</f>
        <v/>
      </c>
      <c r="Z227">
        <f>HYPERLINK("https://klasma.github.io/Logging_0883/fåglar/A 33916-2025 prioriterade fågelarter.docx", "A 33916-2025")</f>
        <v/>
      </c>
    </row>
    <row r="228" ht="15" customHeight="1">
      <c r="A228" t="inlineStr">
        <is>
          <t>A 19900-2022</t>
        </is>
      </c>
      <c r="B228" s="1" t="n">
        <v>44697</v>
      </c>
      <c r="C228" s="1" t="n">
        <v>45895</v>
      </c>
      <c r="D228" t="inlineStr">
        <is>
          <t>KALMAR LÄN</t>
        </is>
      </c>
      <c r="E228" t="inlineStr">
        <is>
          <t>VÄSTERVIK</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HYPERLINK("https://klasma.github.io/Logging_0883/artfynd/A 19900-2022 artfynd.xlsx", "A 19900-2022")</f>
        <v/>
      </c>
      <c r="T228">
        <f>HYPERLINK("https://klasma.github.io/Logging_0883/kartor/A 19900-2022 karta.png", "A 19900-2022")</f>
        <v/>
      </c>
      <c r="U228">
        <f>HYPERLINK("https://klasma.github.io/Logging_0883/knärot/A 19900-2022 karta knärot.png", "A 19900-2022")</f>
        <v/>
      </c>
      <c r="V228">
        <f>HYPERLINK("https://klasma.github.io/Logging_0883/klagomål/A 19900-2022 FSC-klagomål.docx", "A 19900-2022")</f>
        <v/>
      </c>
      <c r="W228">
        <f>HYPERLINK("https://klasma.github.io/Logging_0883/klagomålsmail/A 19900-2022 FSC-klagomål mail.docx", "A 19900-2022")</f>
        <v/>
      </c>
      <c r="X228">
        <f>HYPERLINK("https://klasma.github.io/Logging_0883/tillsyn/A 19900-2022 tillsynsbegäran.docx", "A 19900-2022")</f>
        <v/>
      </c>
      <c r="Y228">
        <f>HYPERLINK("https://klasma.github.io/Logging_0883/tillsynsmail/A 19900-2022 tillsynsbegäran mail.docx", "A 19900-2022")</f>
        <v/>
      </c>
    </row>
    <row r="229" ht="15" customHeight="1">
      <c r="A229" t="inlineStr">
        <is>
          <t>A 11165-2024</t>
        </is>
      </c>
      <c r="B229" s="1" t="n">
        <v>45371</v>
      </c>
      <c r="C229" s="1" t="n">
        <v>45895</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4750-2025</t>
        </is>
      </c>
      <c r="B230" s="1" t="n">
        <v>45688</v>
      </c>
      <c r="C230" s="1" t="n">
        <v>45895</v>
      </c>
      <c r="D230" t="inlineStr">
        <is>
          <t>KALMAR LÄN</t>
        </is>
      </c>
      <c r="E230" t="inlineStr">
        <is>
          <t>VÄSTERVIK</t>
        </is>
      </c>
      <c r="F230" t="inlineStr">
        <is>
          <t>Holmen skog AB</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4750-2025 artfynd.xlsx", "A 4750-2025")</f>
        <v/>
      </c>
      <c r="T230">
        <f>HYPERLINK("https://klasma.github.io/Logging_0883/kartor/A 4750-2025 karta.png", "A 4750-2025")</f>
        <v/>
      </c>
      <c r="V230">
        <f>HYPERLINK("https://klasma.github.io/Logging_0883/klagomål/A 4750-2025 FSC-klagomål.docx", "A 4750-2025")</f>
        <v/>
      </c>
      <c r="W230">
        <f>HYPERLINK("https://klasma.github.io/Logging_0883/klagomålsmail/A 4750-2025 FSC-klagomål mail.docx", "A 4750-2025")</f>
        <v/>
      </c>
      <c r="X230">
        <f>HYPERLINK("https://klasma.github.io/Logging_0883/tillsyn/A 4750-2025 tillsynsbegäran.docx", "A 4750-2025")</f>
        <v/>
      </c>
      <c r="Y230">
        <f>HYPERLINK("https://klasma.github.io/Logging_0883/tillsynsmail/A 4750-2025 tillsynsbegäran mail.docx", "A 4750-2025")</f>
        <v/>
      </c>
      <c r="Z230">
        <f>HYPERLINK("https://klasma.github.io/Logging_0883/fåglar/A 4750-2025 prioriterade fågelarter.docx", "A 4750-2025")</f>
        <v/>
      </c>
    </row>
    <row r="231" ht="15" customHeight="1">
      <c r="A231" t="inlineStr">
        <is>
          <t>A 1024-2023</t>
        </is>
      </c>
      <c r="B231" s="1" t="n">
        <v>44935</v>
      </c>
      <c r="C231" s="1" t="n">
        <v>45895</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34168-2025</t>
        </is>
      </c>
      <c r="B232" s="1" t="n">
        <v>45845.58349537037</v>
      </c>
      <c r="C232" s="1" t="n">
        <v>45895</v>
      </c>
      <c r="D232" t="inlineStr">
        <is>
          <t>KALMAR LÄN</t>
        </is>
      </c>
      <c r="E232" t="inlineStr">
        <is>
          <t>VÄSTERVIK</t>
        </is>
      </c>
      <c r="G232" t="n">
        <v>2.7</v>
      </c>
      <c r="H232" t="n">
        <v>1</v>
      </c>
      <c r="I232" t="n">
        <v>0</v>
      </c>
      <c r="J232" t="n">
        <v>1</v>
      </c>
      <c r="K232" t="n">
        <v>0</v>
      </c>
      <c r="L232" t="n">
        <v>0</v>
      </c>
      <c r="M232" t="n">
        <v>0</v>
      </c>
      <c r="N232" t="n">
        <v>0</v>
      </c>
      <c r="O232" t="n">
        <v>1</v>
      </c>
      <c r="P232" t="n">
        <v>0</v>
      </c>
      <c r="Q232" t="n">
        <v>1</v>
      </c>
      <c r="R232" s="2" t="inlineStr">
        <is>
          <t>Grönsångare</t>
        </is>
      </c>
      <c r="S232">
        <f>HYPERLINK("https://klasma.github.io/Logging_0883/artfynd/A 34168-2025 artfynd.xlsx", "A 34168-2025")</f>
        <v/>
      </c>
      <c r="T232">
        <f>HYPERLINK("https://klasma.github.io/Logging_0883/kartor/A 34168-2025 karta.png", "A 34168-2025")</f>
        <v/>
      </c>
      <c r="V232">
        <f>HYPERLINK("https://klasma.github.io/Logging_0883/klagomål/A 34168-2025 FSC-klagomål.docx", "A 34168-2025")</f>
        <v/>
      </c>
      <c r="W232">
        <f>HYPERLINK("https://klasma.github.io/Logging_0883/klagomålsmail/A 34168-2025 FSC-klagomål mail.docx", "A 34168-2025")</f>
        <v/>
      </c>
      <c r="X232">
        <f>HYPERLINK("https://klasma.github.io/Logging_0883/tillsyn/A 34168-2025 tillsynsbegäran.docx", "A 34168-2025")</f>
        <v/>
      </c>
      <c r="Y232">
        <f>HYPERLINK("https://klasma.github.io/Logging_0883/tillsynsmail/A 34168-2025 tillsynsbegäran mail.docx", "A 34168-2025")</f>
        <v/>
      </c>
      <c r="Z232">
        <f>HYPERLINK("https://klasma.github.io/Logging_0883/fåglar/A 34168-2025 prioriterade fågelarter.docx", "A 34168-2025")</f>
        <v/>
      </c>
    </row>
    <row r="233" ht="15" customHeight="1">
      <c r="A233" t="inlineStr">
        <is>
          <t>A 34166-2025</t>
        </is>
      </c>
      <c r="B233" s="1" t="n">
        <v>45845.5819675926</v>
      </c>
      <c r="C233" s="1" t="n">
        <v>45895</v>
      </c>
      <c r="D233" t="inlineStr">
        <is>
          <t>KALMAR LÄN</t>
        </is>
      </c>
      <c r="E233" t="inlineStr">
        <is>
          <t>VÄSTERVIK</t>
        </is>
      </c>
      <c r="G233" t="n">
        <v>3.5</v>
      </c>
      <c r="H233" t="n">
        <v>0</v>
      </c>
      <c r="I233" t="n">
        <v>0</v>
      </c>
      <c r="J233" t="n">
        <v>0</v>
      </c>
      <c r="K233" t="n">
        <v>0</v>
      </c>
      <c r="L233" t="n">
        <v>0</v>
      </c>
      <c r="M233" t="n">
        <v>1</v>
      </c>
      <c r="N233" t="n">
        <v>0</v>
      </c>
      <c r="O233" t="n">
        <v>1</v>
      </c>
      <c r="P233" t="n">
        <v>1</v>
      </c>
      <c r="Q233" t="n">
        <v>1</v>
      </c>
      <c r="R233" s="2" t="inlineStr">
        <is>
          <t>Skogsalm</t>
        </is>
      </c>
      <c r="S233">
        <f>HYPERLINK("https://klasma.github.io/Logging_0883/artfynd/A 34166-2025 artfynd.xlsx", "A 34166-2025")</f>
        <v/>
      </c>
      <c r="T233">
        <f>HYPERLINK("https://klasma.github.io/Logging_0883/kartor/A 34166-2025 karta.png", "A 34166-2025")</f>
        <v/>
      </c>
      <c r="V233">
        <f>HYPERLINK("https://klasma.github.io/Logging_0883/klagomål/A 34166-2025 FSC-klagomål.docx", "A 34166-2025")</f>
        <v/>
      </c>
      <c r="W233">
        <f>HYPERLINK("https://klasma.github.io/Logging_0883/klagomålsmail/A 34166-2025 FSC-klagomål mail.docx", "A 34166-2025")</f>
        <v/>
      </c>
      <c r="X233">
        <f>HYPERLINK("https://klasma.github.io/Logging_0883/tillsyn/A 34166-2025 tillsynsbegäran.docx", "A 34166-2025")</f>
        <v/>
      </c>
      <c r="Y233">
        <f>HYPERLINK("https://klasma.github.io/Logging_0883/tillsynsmail/A 34166-2025 tillsynsbegäran mail.docx", "A 34166-2025")</f>
        <v/>
      </c>
    </row>
    <row r="234" ht="15" customHeight="1">
      <c r="A234" t="inlineStr">
        <is>
          <t>A 34212-2025</t>
        </is>
      </c>
      <c r="B234" s="1" t="n">
        <v>45845.64383101852</v>
      </c>
      <c r="C234" s="1" t="n">
        <v>45895</v>
      </c>
      <c r="D234" t="inlineStr">
        <is>
          <t>KALMAR LÄN</t>
        </is>
      </c>
      <c r="E234" t="inlineStr">
        <is>
          <t>VÄSTERVIK</t>
        </is>
      </c>
      <c r="G234" t="n">
        <v>6.4</v>
      </c>
      <c r="H234" t="n">
        <v>0</v>
      </c>
      <c r="I234" t="n">
        <v>1</v>
      </c>
      <c r="J234" t="n">
        <v>0</v>
      </c>
      <c r="K234" t="n">
        <v>0</v>
      </c>
      <c r="L234" t="n">
        <v>0</v>
      </c>
      <c r="M234" t="n">
        <v>0</v>
      </c>
      <c r="N234" t="n">
        <v>0</v>
      </c>
      <c r="O234" t="n">
        <v>0</v>
      </c>
      <c r="P234" t="n">
        <v>0</v>
      </c>
      <c r="Q234" t="n">
        <v>1</v>
      </c>
      <c r="R234" s="2" t="inlineStr">
        <is>
          <t>Blåmossa</t>
        </is>
      </c>
      <c r="S234">
        <f>HYPERLINK("https://klasma.github.io/Logging_0883/artfynd/A 34212-2025 artfynd.xlsx", "A 34212-2025")</f>
        <v/>
      </c>
      <c r="T234">
        <f>HYPERLINK("https://klasma.github.io/Logging_0883/kartor/A 34212-2025 karta.png", "A 34212-2025")</f>
        <v/>
      </c>
      <c r="V234">
        <f>HYPERLINK("https://klasma.github.io/Logging_0883/klagomål/A 34212-2025 FSC-klagomål.docx", "A 34212-2025")</f>
        <v/>
      </c>
      <c r="W234">
        <f>HYPERLINK("https://klasma.github.io/Logging_0883/klagomålsmail/A 34212-2025 FSC-klagomål mail.docx", "A 34212-2025")</f>
        <v/>
      </c>
      <c r="X234">
        <f>HYPERLINK("https://klasma.github.io/Logging_0883/tillsyn/A 34212-2025 tillsynsbegäran.docx", "A 34212-2025")</f>
        <v/>
      </c>
      <c r="Y234">
        <f>HYPERLINK("https://klasma.github.io/Logging_0883/tillsynsmail/A 34212-2025 tillsynsbegäran mail.docx", "A 34212-2025")</f>
        <v/>
      </c>
    </row>
    <row r="235" ht="15" customHeight="1">
      <c r="A235" t="inlineStr">
        <is>
          <t>A 12292-2025</t>
        </is>
      </c>
      <c r="B235" s="1" t="n">
        <v>45729.68322916667</v>
      </c>
      <c r="C235" s="1" t="n">
        <v>45895</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HYPERLINK("https://klasma.github.io/Logging_0883/artfynd/A 12292-2025 artfynd.xlsx", "A 12292-2025")</f>
        <v/>
      </c>
      <c r="T235">
        <f>HYPERLINK("https://klasma.github.io/Logging_0883/kartor/A 12292-2025 karta.png", "A 12292-2025")</f>
        <v/>
      </c>
      <c r="U235">
        <f>HYPERLINK("https://klasma.github.io/Logging_0883/knärot/A 12292-2025 karta knärot.png", "A 12292-2025")</f>
        <v/>
      </c>
      <c r="V235">
        <f>HYPERLINK("https://klasma.github.io/Logging_0883/klagomål/A 12292-2025 FSC-klagomål.docx", "A 12292-2025")</f>
        <v/>
      </c>
      <c r="W235">
        <f>HYPERLINK("https://klasma.github.io/Logging_0883/klagomålsmail/A 12292-2025 FSC-klagomål mail.docx", "A 12292-2025")</f>
        <v/>
      </c>
      <c r="X235">
        <f>HYPERLINK("https://klasma.github.io/Logging_0883/tillsyn/A 12292-2025 tillsynsbegäran.docx", "A 12292-2025")</f>
        <v/>
      </c>
      <c r="Y235">
        <f>HYPERLINK("https://klasma.github.io/Logging_0883/tillsynsmail/A 12292-2025 tillsynsbegäran mail.docx", "A 12292-2025")</f>
        <v/>
      </c>
    </row>
    <row r="236" ht="15" customHeight="1">
      <c r="A236" t="inlineStr">
        <is>
          <t>A 11195-2024</t>
        </is>
      </c>
      <c r="B236" s="1" t="n">
        <v>45371</v>
      </c>
      <c r="C236" s="1" t="n">
        <v>45895</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16695-2025</t>
        </is>
      </c>
      <c r="B237" s="1" t="n">
        <v>45754.46579861111</v>
      </c>
      <c r="C237" s="1" t="n">
        <v>45895</v>
      </c>
      <c r="D237" t="inlineStr">
        <is>
          <t>KALMAR LÄN</t>
        </is>
      </c>
      <c r="E237" t="inlineStr">
        <is>
          <t>VÄSTERVIK</t>
        </is>
      </c>
      <c r="F237" t="inlineStr">
        <is>
          <t>Sveaskog</t>
        </is>
      </c>
      <c r="G237" t="n">
        <v>1.8</v>
      </c>
      <c r="H237" t="n">
        <v>1</v>
      </c>
      <c r="I237" t="n">
        <v>0</v>
      </c>
      <c r="J237" t="n">
        <v>0</v>
      </c>
      <c r="K237" t="n">
        <v>0</v>
      </c>
      <c r="L237" t="n">
        <v>0</v>
      </c>
      <c r="M237" t="n">
        <v>0</v>
      </c>
      <c r="N237" t="n">
        <v>0</v>
      </c>
      <c r="O237" t="n">
        <v>0</v>
      </c>
      <c r="P237" t="n">
        <v>0</v>
      </c>
      <c r="Q237" t="n">
        <v>1</v>
      </c>
      <c r="R237" s="2" t="inlineStr">
        <is>
          <t>Kungsfågel</t>
        </is>
      </c>
      <c r="S237">
        <f>HYPERLINK("https://klasma.github.io/Logging_0883/artfynd/A 16695-2025 artfynd.xlsx", "A 16695-2025")</f>
        <v/>
      </c>
      <c r="T237">
        <f>HYPERLINK("https://klasma.github.io/Logging_0883/kartor/A 16695-2025 karta.png", "A 16695-2025")</f>
        <v/>
      </c>
      <c r="V237">
        <f>HYPERLINK("https://klasma.github.io/Logging_0883/klagomål/A 16695-2025 FSC-klagomål.docx", "A 16695-2025")</f>
        <v/>
      </c>
      <c r="W237">
        <f>HYPERLINK("https://klasma.github.io/Logging_0883/klagomålsmail/A 16695-2025 FSC-klagomål mail.docx", "A 16695-2025")</f>
        <v/>
      </c>
      <c r="X237">
        <f>HYPERLINK("https://klasma.github.io/Logging_0883/tillsyn/A 16695-2025 tillsynsbegäran.docx", "A 16695-2025")</f>
        <v/>
      </c>
      <c r="Y237">
        <f>HYPERLINK("https://klasma.github.io/Logging_0883/tillsynsmail/A 16695-2025 tillsynsbegäran mail.docx", "A 16695-2025")</f>
        <v/>
      </c>
      <c r="Z237">
        <f>HYPERLINK("https://klasma.github.io/Logging_0883/fåglar/A 16695-2025 prioriterade fågelarter.docx", "A 16695-2025")</f>
        <v/>
      </c>
    </row>
    <row r="238" ht="15" customHeight="1">
      <c r="A238" t="inlineStr">
        <is>
          <t>A 16697-2025</t>
        </is>
      </c>
      <c r="B238" s="1" t="n">
        <v>45754.46709490741</v>
      </c>
      <c r="C238" s="1" t="n">
        <v>45895</v>
      </c>
      <c r="D238" t="inlineStr">
        <is>
          <t>KALMAR LÄN</t>
        </is>
      </c>
      <c r="E238" t="inlineStr">
        <is>
          <t>VÄSTERVIK</t>
        </is>
      </c>
      <c r="F238" t="inlineStr">
        <is>
          <t>Sveaskog</t>
        </is>
      </c>
      <c r="G238" t="n">
        <v>1.3</v>
      </c>
      <c r="H238" t="n">
        <v>1</v>
      </c>
      <c r="I238" t="n">
        <v>0</v>
      </c>
      <c r="J238" t="n">
        <v>1</v>
      </c>
      <c r="K238" t="n">
        <v>0</v>
      </c>
      <c r="L238" t="n">
        <v>0</v>
      </c>
      <c r="M238" t="n">
        <v>0</v>
      </c>
      <c r="N238" t="n">
        <v>0</v>
      </c>
      <c r="O238" t="n">
        <v>1</v>
      </c>
      <c r="P238" t="n">
        <v>0</v>
      </c>
      <c r="Q238" t="n">
        <v>1</v>
      </c>
      <c r="R238" s="2" t="inlineStr">
        <is>
          <t>Spillkråka</t>
        </is>
      </c>
      <c r="S238">
        <f>HYPERLINK("https://klasma.github.io/Logging_0883/artfynd/A 16697-2025 artfynd.xlsx", "A 16697-2025")</f>
        <v/>
      </c>
      <c r="T238">
        <f>HYPERLINK("https://klasma.github.io/Logging_0883/kartor/A 16697-2025 karta.png", "A 16697-2025")</f>
        <v/>
      </c>
      <c r="V238">
        <f>HYPERLINK("https://klasma.github.io/Logging_0883/klagomål/A 16697-2025 FSC-klagomål.docx", "A 16697-2025")</f>
        <v/>
      </c>
      <c r="W238">
        <f>HYPERLINK("https://klasma.github.io/Logging_0883/klagomålsmail/A 16697-2025 FSC-klagomål mail.docx", "A 16697-2025")</f>
        <v/>
      </c>
      <c r="X238">
        <f>HYPERLINK("https://klasma.github.io/Logging_0883/tillsyn/A 16697-2025 tillsynsbegäran.docx", "A 16697-2025")</f>
        <v/>
      </c>
      <c r="Y238">
        <f>HYPERLINK("https://klasma.github.io/Logging_0883/tillsynsmail/A 16697-2025 tillsynsbegäran mail.docx", "A 16697-2025")</f>
        <v/>
      </c>
      <c r="Z238">
        <f>HYPERLINK("https://klasma.github.io/Logging_0883/fåglar/A 16697-2025 prioriterade fågelarter.docx", "A 16697-2025")</f>
        <v/>
      </c>
    </row>
    <row r="239" ht="15" customHeight="1">
      <c r="A239" t="inlineStr">
        <is>
          <t>A 54272-2023</t>
        </is>
      </c>
      <c r="B239" s="1" t="n">
        <v>45232</v>
      </c>
      <c r="C239" s="1" t="n">
        <v>45895</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17952-2025</t>
        </is>
      </c>
      <c r="B240" s="1" t="n">
        <v>45760.85842592592</v>
      </c>
      <c r="C240" s="1" t="n">
        <v>45895</v>
      </c>
      <c r="D240" t="inlineStr">
        <is>
          <t>KALMAR LÄN</t>
        </is>
      </c>
      <c r="E240" t="inlineStr">
        <is>
          <t>VÄSTERVIK</t>
        </is>
      </c>
      <c r="G240" t="n">
        <v>3.3</v>
      </c>
      <c r="H240" t="n">
        <v>1</v>
      </c>
      <c r="I240" t="n">
        <v>0</v>
      </c>
      <c r="J240" t="n">
        <v>0</v>
      </c>
      <c r="K240" t="n">
        <v>0</v>
      </c>
      <c r="L240" t="n">
        <v>0</v>
      </c>
      <c r="M240" t="n">
        <v>0</v>
      </c>
      <c r="N240" t="n">
        <v>0</v>
      </c>
      <c r="O240" t="n">
        <v>0</v>
      </c>
      <c r="P240" t="n">
        <v>0</v>
      </c>
      <c r="Q240" t="n">
        <v>1</v>
      </c>
      <c r="R240" s="2" t="inlineStr">
        <is>
          <t>Revlummer</t>
        </is>
      </c>
      <c r="S240">
        <f>HYPERLINK("https://klasma.github.io/Logging_0883/artfynd/A 17952-2025 artfynd.xlsx", "A 17952-2025")</f>
        <v/>
      </c>
      <c r="T240">
        <f>HYPERLINK("https://klasma.github.io/Logging_0883/kartor/A 17952-2025 karta.png", "A 17952-2025")</f>
        <v/>
      </c>
      <c r="V240">
        <f>HYPERLINK("https://klasma.github.io/Logging_0883/klagomål/A 17952-2025 FSC-klagomål.docx", "A 17952-2025")</f>
        <v/>
      </c>
      <c r="W240">
        <f>HYPERLINK("https://klasma.github.io/Logging_0883/klagomålsmail/A 17952-2025 FSC-klagomål mail.docx", "A 17952-2025")</f>
        <v/>
      </c>
      <c r="X240">
        <f>HYPERLINK("https://klasma.github.io/Logging_0883/tillsyn/A 17952-2025 tillsynsbegäran.docx", "A 17952-2025")</f>
        <v/>
      </c>
      <c r="Y240">
        <f>HYPERLINK("https://klasma.github.io/Logging_0883/tillsynsmail/A 17952-2025 tillsynsbegäran mail.docx", "A 17952-2025")</f>
        <v/>
      </c>
    </row>
    <row r="241" ht="15" customHeight="1">
      <c r="A241" t="inlineStr">
        <is>
          <t>A 44635-2021</t>
        </is>
      </c>
      <c r="B241" s="1" t="n">
        <v>44437</v>
      </c>
      <c r="C241" s="1" t="n">
        <v>45895</v>
      </c>
      <c r="D241" t="inlineStr">
        <is>
          <t>KALMAR LÄN</t>
        </is>
      </c>
      <c r="E241" t="inlineStr">
        <is>
          <t>VÄSTERVIK</t>
        </is>
      </c>
      <c r="G241" t="n">
        <v>0.9</v>
      </c>
      <c r="H241" t="n">
        <v>0</v>
      </c>
      <c r="I241" t="n">
        <v>1</v>
      </c>
      <c r="J241" t="n">
        <v>0</v>
      </c>
      <c r="K241" t="n">
        <v>0</v>
      </c>
      <c r="L241" t="n">
        <v>0</v>
      </c>
      <c r="M241" t="n">
        <v>0</v>
      </c>
      <c r="N241" t="n">
        <v>0</v>
      </c>
      <c r="O241" t="n">
        <v>0</v>
      </c>
      <c r="P241" t="n">
        <v>0</v>
      </c>
      <c r="Q241" t="n">
        <v>1</v>
      </c>
      <c r="R241" s="2" t="inlineStr">
        <is>
          <t>Brandticka</t>
        </is>
      </c>
      <c r="S241">
        <f>HYPERLINK("https://klasma.github.io/Logging_0883/artfynd/A 44635-2021 artfynd.xlsx", "A 44635-2021")</f>
        <v/>
      </c>
      <c r="T241">
        <f>HYPERLINK("https://klasma.github.io/Logging_0883/kartor/A 44635-2021 karta.png", "A 44635-2021")</f>
        <v/>
      </c>
      <c r="V241">
        <f>HYPERLINK("https://klasma.github.io/Logging_0883/klagomål/A 44635-2021 FSC-klagomål.docx", "A 44635-2021")</f>
        <v/>
      </c>
      <c r="W241">
        <f>HYPERLINK("https://klasma.github.io/Logging_0883/klagomålsmail/A 44635-2021 FSC-klagomål mail.docx", "A 44635-2021")</f>
        <v/>
      </c>
      <c r="X241">
        <f>HYPERLINK("https://klasma.github.io/Logging_0883/tillsyn/A 44635-2021 tillsynsbegäran.docx", "A 44635-2021")</f>
        <v/>
      </c>
      <c r="Y241">
        <f>HYPERLINK("https://klasma.github.io/Logging_0883/tillsynsmail/A 44635-2021 tillsynsbegäran mail.docx", "A 44635-2021")</f>
        <v/>
      </c>
    </row>
    <row r="242" ht="15" customHeight="1">
      <c r="A242" t="inlineStr">
        <is>
          <t>A 59178-2022</t>
        </is>
      </c>
      <c r="B242" s="1" t="n">
        <v>44904</v>
      </c>
      <c r="C242" s="1" t="n">
        <v>45895</v>
      </c>
      <c r="D242" t="inlineStr">
        <is>
          <t>KALMAR LÄN</t>
        </is>
      </c>
      <c r="E242" t="inlineStr">
        <is>
          <t>VÄSTERVIK</t>
        </is>
      </c>
      <c r="G242" t="n">
        <v>3.3</v>
      </c>
      <c r="H242" t="n">
        <v>0</v>
      </c>
      <c r="I242" t="n">
        <v>0</v>
      </c>
      <c r="J242" t="n">
        <v>1</v>
      </c>
      <c r="K242" t="n">
        <v>0</v>
      </c>
      <c r="L242" t="n">
        <v>0</v>
      </c>
      <c r="M242" t="n">
        <v>0</v>
      </c>
      <c r="N242" t="n">
        <v>0</v>
      </c>
      <c r="O242" t="n">
        <v>1</v>
      </c>
      <c r="P242" t="n">
        <v>0</v>
      </c>
      <c r="Q242" t="n">
        <v>1</v>
      </c>
      <c r="R242" s="2" t="inlineStr">
        <is>
          <t>Tallticka</t>
        </is>
      </c>
      <c r="S242">
        <f>HYPERLINK("https://klasma.github.io/Logging_0883/artfynd/A 59178-2022 artfynd.xlsx", "A 59178-2022")</f>
        <v/>
      </c>
      <c r="T242">
        <f>HYPERLINK("https://klasma.github.io/Logging_0883/kartor/A 59178-2022 karta.png", "A 59178-2022")</f>
        <v/>
      </c>
      <c r="V242">
        <f>HYPERLINK("https://klasma.github.io/Logging_0883/klagomål/A 59178-2022 FSC-klagomål.docx", "A 59178-2022")</f>
        <v/>
      </c>
      <c r="W242">
        <f>HYPERLINK("https://klasma.github.io/Logging_0883/klagomålsmail/A 59178-2022 FSC-klagomål mail.docx", "A 59178-2022")</f>
        <v/>
      </c>
      <c r="X242">
        <f>HYPERLINK("https://klasma.github.io/Logging_0883/tillsyn/A 59178-2022 tillsynsbegäran.docx", "A 59178-2022")</f>
        <v/>
      </c>
      <c r="Y242">
        <f>HYPERLINK("https://klasma.github.io/Logging_0883/tillsynsmail/A 59178-2022 tillsynsbegäran mail.docx", "A 59178-2022")</f>
        <v/>
      </c>
    </row>
    <row r="243" ht="15" customHeight="1">
      <c r="A243" t="inlineStr">
        <is>
          <t>A 12662-2022</t>
        </is>
      </c>
      <c r="B243" s="1" t="n">
        <v>44641</v>
      </c>
      <c r="C243" s="1" t="n">
        <v>45895</v>
      </c>
      <c r="D243" t="inlineStr">
        <is>
          <t>KALMAR LÄN</t>
        </is>
      </c>
      <c r="E243" t="inlineStr">
        <is>
          <t>VÄSTERVIK</t>
        </is>
      </c>
      <c r="G243" t="n">
        <v>2.1</v>
      </c>
      <c r="H243" t="n">
        <v>0</v>
      </c>
      <c r="I243" t="n">
        <v>1</v>
      </c>
      <c r="J243" t="n">
        <v>0</v>
      </c>
      <c r="K243" t="n">
        <v>0</v>
      </c>
      <c r="L243" t="n">
        <v>0</v>
      </c>
      <c r="M243" t="n">
        <v>0</v>
      </c>
      <c r="N243" t="n">
        <v>0</v>
      </c>
      <c r="O243" t="n">
        <v>0</v>
      </c>
      <c r="P243" t="n">
        <v>0</v>
      </c>
      <c r="Q243" t="n">
        <v>1</v>
      </c>
      <c r="R243" s="2" t="inlineStr">
        <is>
          <t>Blåmossa</t>
        </is>
      </c>
      <c r="S243">
        <f>HYPERLINK("https://klasma.github.io/Logging_0883/artfynd/A 12662-2022 artfynd.xlsx", "A 12662-2022")</f>
        <v/>
      </c>
      <c r="T243">
        <f>HYPERLINK("https://klasma.github.io/Logging_0883/kartor/A 12662-2022 karta.png", "A 12662-2022")</f>
        <v/>
      </c>
      <c r="V243">
        <f>HYPERLINK("https://klasma.github.io/Logging_0883/klagomål/A 12662-2022 FSC-klagomål.docx", "A 12662-2022")</f>
        <v/>
      </c>
      <c r="W243">
        <f>HYPERLINK("https://klasma.github.io/Logging_0883/klagomålsmail/A 12662-2022 FSC-klagomål mail.docx", "A 12662-2022")</f>
        <v/>
      </c>
      <c r="X243">
        <f>HYPERLINK("https://klasma.github.io/Logging_0883/tillsyn/A 12662-2022 tillsynsbegäran.docx", "A 12662-2022")</f>
        <v/>
      </c>
      <c r="Y243">
        <f>HYPERLINK("https://klasma.github.io/Logging_0883/tillsynsmail/A 12662-2022 tillsynsbegäran mail.docx", "A 12662-2022")</f>
        <v/>
      </c>
    </row>
    <row r="244" ht="15" customHeight="1">
      <c r="A244" t="inlineStr">
        <is>
          <t>A 5575-2021</t>
        </is>
      </c>
      <c r="B244" s="1" t="n">
        <v>44230</v>
      </c>
      <c r="C244" s="1" t="n">
        <v>45895</v>
      </c>
      <c r="D244" t="inlineStr">
        <is>
          <t>KALMAR LÄN</t>
        </is>
      </c>
      <c r="E244" t="inlineStr">
        <is>
          <t>VÄSTERVIK</t>
        </is>
      </c>
      <c r="G244" t="n">
        <v>2.6</v>
      </c>
      <c r="H244" t="n">
        <v>1</v>
      </c>
      <c r="I244" t="n">
        <v>1</v>
      </c>
      <c r="J244" t="n">
        <v>0</v>
      </c>
      <c r="K244" t="n">
        <v>0</v>
      </c>
      <c r="L244" t="n">
        <v>0</v>
      </c>
      <c r="M244" t="n">
        <v>0</v>
      </c>
      <c r="N244" t="n">
        <v>0</v>
      </c>
      <c r="O244" t="n">
        <v>0</v>
      </c>
      <c r="P244" t="n">
        <v>0</v>
      </c>
      <c r="Q244" t="n">
        <v>1</v>
      </c>
      <c r="R244" s="2" t="inlineStr">
        <is>
          <t>Ekoxe</t>
        </is>
      </c>
      <c r="S244">
        <f>HYPERLINK("https://klasma.github.io/Logging_0883/artfynd/A 5575-2021 artfynd.xlsx", "A 5575-2021")</f>
        <v/>
      </c>
      <c r="T244">
        <f>HYPERLINK("https://klasma.github.io/Logging_0883/kartor/A 5575-2021 karta.png", "A 5575-2021")</f>
        <v/>
      </c>
      <c r="V244">
        <f>HYPERLINK("https://klasma.github.io/Logging_0883/klagomål/A 5575-2021 FSC-klagomål.docx", "A 5575-2021")</f>
        <v/>
      </c>
      <c r="W244">
        <f>HYPERLINK("https://klasma.github.io/Logging_0883/klagomålsmail/A 5575-2021 FSC-klagomål mail.docx", "A 5575-2021")</f>
        <v/>
      </c>
      <c r="X244">
        <f>HYPERLINK("https://klasma.github.io/Logging_0883/tillsyn/A 5575-2021 tillsynsbegäran.docx", "A 5575-2021")</f>
        <v/>
      </c>
      <c r="Y244">
        <f>HYPERLINK("https://klasma.github.io/Logging_0883/tillsynsmail/A 5575-2021 tillsynsbegäran mail.docx", "A 5575-2021")</f>
        <v/>
      </c>
    </row>
    <row r="245" ht="15" customHeight="1">
      <c r="A245" t="inlineStr">
        <is>
          <t>A 51514-2024</t>
        </is>
      </c>
      <c r="B245" s="1" t="n">
        <v>45604.5640625</v>
      </c>
      <c r="C245" s="1" t="n">
        <v>45895</v>
      </c>
      <c r="D245" t="inlineStr">
        <is>
          <t>KALMAR LÄN</t>
        </is>
      </c>
      <c r="E245" t="inlineStr">
        <is>
          <t>VÄSTERVIK</t>
        </is>
      </c>
      <c r="F245" t="inlineStr">
        <is>
          <t>Övriga Aktiebolag</t>
        </is>
      </c>
      <c r="G245" t="n">
        <v>2.4</v>
      </c>
      <c r="H245" t="n">
        <v>1</v>
      </c>
      <c r="I245" t="n">
        <v>0</v>
      </c>
      <c r="J245" t="n">
        <v>1</v>
      </c>
      <c r="K245" t="n">
        <v>0</v>
      </c>
      <c r="L245" t="n">
        <v>0</v>
      </c>
      <c r="M245" t="n">
        <v>0</v>
      </c>
      <c r="N245" t="n">
        <v>0</v>
      </c>
      <c r="O245" t="n">
        <v>1</v>
      </c>
      <c r="P245" t="n">
        <v>0</v>
      </c>
      <c r="Q245" t="n">
        <v>1</v>
      </c>
      <c r="R245" s="2" t="inlineStr">
        <is>
          <t>Havsörn</t>
        </is>
      </c>
      <c r="S245">
        <f>HYPERLINK("https://klasma.github.io/Logging_0883/artfynd/A 51514-2024 artfynd.xlsx", "A 51514-2024")</f>
        <v/>
      </c>
      <c r="T245">
        <f>HYPERLINK("https://klasma.github.io/Logging_0883/kartor/A 51514-2024 karta.png", "A 51514-2024")</f>
        <v/>
      </c>
      <c r="V245">
        <f>HYPERLINK("https://klasma.github.io/Logging_0883/klagomål/A 51514-2024 FSC-klagomål.docx", "A 51514-2024")</f>
        <v/>
      </c>
      <c r="W245">
        <f>HYPERLINK("https://klasma.github.io/Logging_0883/klagomålsmail/A 51514-2024 FSC-klagomål mail.docx", "A 51514-2024")</f>
        <v/>
      </c>
      <c r="X245">
        <f>HYPERLINK("https://klasma.github.io/Logging_0883/tillsyn/A 51514-2024 tillsynsbegäran.docx", "A 51514-2024")</f>
        <v/>
      </c>
      <c r="Y245">
        <f>HYPERLINK("https://klasma.github.io/Logging_0883/tillsynsmail/A 51514-2024 tillsynsbegäran mail.docx", "A 51514-2024")</f>
        <v/>
      </c>
      <c r="Z245">
        <f>HYPERLINK("https://klasma.github.io/Logging_0883/fåglar/A 51514-2024 prioriterade fågelarter.docx", "A 51514-2024")</f>
        <v/>
      </c>
    </row>
    <row r="246" ht="15" customHeight="1">
      <c r="A246" t="inlineStr">
        <is>
          <t>A 975-2023</t>
        </is>
      </c>
      <c r="B246" s="1" t="n">
        <v>44935</v>
      </c>
      <c r="C246" s="1" t="n">
        <v>45895</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Läderbagge</t>
        </is>
      </c>
      <c r="S246">
        <f>HYPERLINK("https://klasma.github.io/Logging_0883/artfynd/A 975-2023 artfynd.xlsx", "A 975-2023")</f>
        <v/>
      </c>
      <c r="T246">
        <f>HYPERLINK("https://klasma.github.io/Logging_0883/kartor/A 975-2023 karta.png", "A 975-2023")</f>
        <v/>
      </c>
      <c r="V246">
        <f>HYPERLINK("https://klasma.github.io/Logging_0883/klagomål/A 975-2023 FSC-klagomål.docx", "A 975-2023")</f>
        <v/>
      </c>
      <c r="W246">
        <f>HYPERLINK("https://klasma.github.io/Logging_0883/klagomålsmail/A 975-2023 FSC-klagomål mail.docx", "A 975-2023")</f>
        <v/>
      </c>
      <c r="X246">
        <f>HYPERLINK("https://klasma.github.io/Logging_0883/tillsyn/A 975-2023 tillsynsbegäran.docx", "A 975-2023")</f>
        <v/>
      </c>
      <c r="Y246">
        <f>HYPERLINK("https://klasma.github.io/Logging_0883/tillsynsmail/A 975-2023 tillsynsbegäran mail.docx", "A 975-2023")</f>
        <v/>
      </c>
    </row>
    <row r="247" ht="15" customHeight="1">
      <c r="A247" t="inlineStr">
        <is>
          <t>A 61319-2021</t>
        </is>
      </c>
      <c r="B247" s="1" t="n">
        <v>44498</v>
      </c>
      <c r="C247" s="1" t="n">
        <v>45895</v>
      </c>
      <c r="D247" t="inlineStr">
        <is>
          <t>KALMAR LÄN</t>
        </is>
      </c>
      <c r="E247" t="inlineStr">
        <is>
          <t>VÄSTERVIK</t>
        </is>
      </c>
      <c r="G247" t="n">
        <v>2.2</v>
      </c>
      <c r="H247" t="n">
        <v>1</v>
      </c>
      <c r="I247" t="n">
        <v>1</v>
      </c>
      <c r="J247" t="n">
        <v>0</v>
      </c>
      <c r="K247" t="n">
        <v>0</v>
      </c>
      <c r="L247" t="n">
        <v>0</v>
      </c>
      <c r="M247" t="n">
        <v>0</v>
      </c>
      <c r="N247" t="n">
        <v>0</v>
      </c>
      <c r="O247" t="n">
        <v>0</v>
      </c>
      <c r="P247" t="n">
        <v>0</v>
      </c>
      <c r="Q247" t="n">
        <v>1</v>
      </c>
      <c r="R247" s="2" t="inlineStr">
        <is>
          <t>Ekoxe</t>
        </is>
      </c>
      <c r="S247">
        <f>HYPERLINK("https://klasma.github.io/Logging_0883/artfynd/A 61319-2021 artfynd.xlsx", "A 61319-2021")</f>
        <v/>
      </c>
      <c r="T247">
        <f>HYPERLINK("https://klasma.github.io/Logging_0883/kartor/A 61319-2021 karta.png", "A 61319-2021")</f>
        <v/>
      </c>
      <c r="V247">
        <f>HYPERLINK("https://klasma.github.io/Logging_0883/klagomål/A 61319-2021 FSC-klagomål.docx", "A 61319-2021")</f>
        <v/>
      </c>
      <c r="W247">
        <f>HYPERLINK("https://klasma.github.io/Logging_0883/klagomålsmail/A 61319-2021 FSC-klagomål mail.docx", "A 61319-2021")</f>
        <v/>
      </c>
      <c r="X247">
        <f>HYPERLINK("https://klasma.github.io/Logging_0883/tillsyn/A 61319-2021 tillsynsbegäran.docx", "A 61319-2021")</f>
        <v/>
      </c>
      <c r="Y247">
        <f>HYPERLINK("https://klasma.github.io/Logging_0883/tillsynsmail/A 61319-2021 tillsynsbegäran mail.docx", "A 61319-2021")</f>
        <v/>
      </c>
    </row>
    <row r="248" ht="15" customHeight="1">
      <c r="A248" t="inlineStr">
        <is>
          <t>A 9265-2025</t>
        </is>
      </c>
      <c r="B248" s="1" t="n">
        <v>45714.61153935185</v>
      </c>
      <c r="C248" s="1" t="n">
        <v>45895</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56439-2024</t>
        </is>
      </c>
      <c r="B249" s="1" t="n">
        <v>45625.4175</v>
      </c>
      <c r="C249" s="1" t="n">
        <v>45895</v>
      </c>
      <c r="D249" t="inlineStr">
        <is>
          <t>KALMAR LÄN</t>
        </is>
      </c>
      <c r="E249" t="inlineStr">
        <is>
          <t>VÄSTERVIK</t>
        </is>
      </c>
      <c r="F249" t="inlineStr">
        <is>
          <t>Övriga Aktiebolag</t>
        </is>
      </c>
      <c r="G249" t="n">
        <v>3.3</v>
      </c>
      <c r="H249" t="n">
        <v>0</v>
      </c>
      <c r="I249" t="n">
        <v>1</v>
      </c>
      <c r="J249" t="n">
        <v>0</v>
      </c>
      <c r="K249" t="n">
        <v>0</v>
      </c>
      <c r="L249" t="n">
        <v>0</v>
      </c>
      <c r="M249" t="n">
        <v>0</v>
      </c>
      <c r="N249" t="n">
        <v>0</v>
      </c>
      <c r="O249" t="n">
        <v>0</v>
      </c>
      <c r="P249" t="n">
        <v>0</v>
      </c>
      <c r="Q249" t="n">
        <v>1</v>
      </c>
      <c r="R249" s="2" t="inlineStr">
        <is>
          <t>Hasselticka</t>
        </is>
      </c>
      <c r="S249">
        <f>HYPERLINK("https://klasma.github.io/Logging_0883/artfynd/A 56439-2024 artfynd.xlsx", "A 56439-2024")</f>
        <v/>
      </c>
      <c r="T249">
        <f>HYPERLINK("https://klasma.github.io/Logging_0883/kartor/A 56439-2024 karta.png", "A 56439-2024")</f>
        <v/>
      </c>
      <c r="V249">
        <f>HYPERLINK("https://klasma.github.io/Logging_0883/klagomål/A 56439-2024 FSC-klagomål.docx", "A 56439-2024")</f>
        <v/>
      </c>
      <c r="W249">
        <f>HYPERLINK("https://klasma.github.io/Logging_0883/klagomålsmail/A 56439-2024 FSC-klagomål mail.docx", "A 56439-2024")</f>
        <v/>
      </c>
      <c r="X249">
        <f>HYPERLINK("https://klasma.github.io/Logging_0883/tillsyn/A 56439-2024 tillsynsbegäran.docx", "A 56439-2024")</f>
        <v/>
      </c>
      <c r="Y249">
        <f>HYPERLINK("https://klasma.github.io/Logging_0883/tillsynsmail/A 56439-2024 tillsynsbegäran mail.docx", "A 56439-2024")</f>
        <v/>
      </c>
    </row>
    <row r="250" ht="15" customHeight="1">
      <c r="A250" t="inlineStr">
        <is>
          <t>A 28495-2023</t>
        </is>
      </c>
      <c r="B250" s="1" t="n">
        <v>45103</v>
      </c>
      <c r="C250" s="1" t="n">
        <v>45895</v>
      </c>
      <c r="D250" t="inlineStr">
        <is>
          <t>KALMAR LÄN</t>
        </is>
      </c>
      <c r="E250" t="inlineStr">
        <is>
          <t>VÄSTERVIK</t>
        </is>
      </c>
      <c r="G250" t="n">
        <v>3.1</v>
      </c>
      <c r="H250" t="n">
        <v>1</v>
      </c>
      <c r="I250" t="n">
        <v>0</v>
      </c>
      <c r="J250" t="n">
        <v>0</v>
      </c>
      <c r="K250" t="n">
        <v>1</v>
      </c>
      <c r="L250" t="n">
        <v>0</v>
      </c>
      <c r="M250" t="n">
        <v>0</v>
      </c>
      <c r="N250" t="n">
        <v>0</v>
      </c>
      <c r="O250" t="n">
        <v>1</v>
      </c>
      <c r="P250" t="n">
        <v>1</v>
      </c>
      <c r="Q250" t="n">
        <v>1</v>
      </c>
      <c r="R250" s="2" t="inlineStr">
        <is>
          <t>Knärot</t>
        </is>
      </c>
      <c r="S250">
        <f>HYPERLINK("https://klasma.github.io/Logging_0883/artfynd/A 28495-2023 artfynd.xlsx", "A 28495-2023")</f>
        <v/>
      </c>
      <c r="T250">
        <f>HYPERLINK("https://klasma.github.io/Logging_0883/kartor/A 28495-2023 karta.png", "A 28495-2023")</f>
        <v/>
      </c>
      <c r="U250">
        <f>HYPERLINK("https://klasma.github.io/Logging_0883/knärot/A 28495-2023 karta knärot.png", "A 28495-2023")</f>
        <v/>
      </c>
      <c r="V250">
        <f>HYPERLINK("https://klasma.github.io/Logging_0883/klagomål/A 28495-2023 FSC-klagomål.docx", "A 28495-2023")</f>
        <v/>
      </c>
      <c r="W250">
        <f>HYPERLINK("https://klasma.github.io/Logging_0883/klagomålsmail/A 28495-2023 FSC-klagomål mail.docx", "A 28495-2023")</f>
        <v/>
      </c>
      <c r="X250">
        <f>HYPERLINK("https://klasma.github.io/Logging_0883/tillsyn/A 28495-2023 tillsynsbegäran.docx", "A 28495-2023")</f>
        <v/>
      </c>
      <c r="Y250">
        <f>HYPERLINK("https://klasma.github.io/Logging_0883/tillsynsmail/A 28495-2023 tillsynsbegäran mail.docx", "A 28495-2023")</f>
        <v/>
      </c>
    </row>
    <row r="251" ht="15" customHeight="1">
      <c r="A251" t="inlineStr">
        <is>
          <t>A 14103-2025</t>
        </is>
      </c>
      <c r="B251" s="1" t="n">
        <v>45740.45232638889</v>
      </c>
      <c r="C251" s="1" t="n">
        <v>45895</v>
      </c>
      <c r="D251" t="inlineStr">
        <is>
          <t>KALMAR LÄN</t>
        </is>
      </c>
      <c r="E251" t="inlineStr">
        <is>
          <t>VÄSTERVIK</t>
        </is>
      </c>
      <c r="F251" t="inlineStr">
        <is>
          <t>Sveaskog</t>
        </is>
      </c>
      <c r="G251" t="n">
        <v>0.8</v>
      </c>
      <c r="H251" t="n">
        <v>1</v>
      </c>
      <c r="I251" t="n">
        <v>0</v>
      </c>
      <c r="J251" t="n">
        <v>0</v>
      </c>
      <c r="K251" t="n">
        <v>0</v>
      </c>
      <c r="L251" t="n">
        <v>0</v>
      </c>
      <c r="M251" t="n">
        <v>0</v>
      </c>
      <c r="N251" t="n">
        <v>0</v>
      </c>
      <c r="O251" t="n">
        <v>0</v>
      </c>
      <c r="P251" t="n">
        <v>0</v>
      </c>
      <c r="Q251" t="n">
        <v>1</v>
      </c>
      <c r="R251" s="2" t="inlineStr">
        <is>
          <t>Grönvit nattviol</t>
        </is>
      </c>
      <c r="S251">
        <f>HYPERLINK("https://klasma.github.io/Logging_0883/artfynd/A 14103-2025 artfynd.xlsx", "A 14103-2025")</f>
        <v/>
      </c>
      <c r="T251">
        <f>HYPERLINK("https://klasma.github.io/Logging_0883/kartor/A 14103-2025 karta.png", "A 14103-2025")</f>
        <v/>
      </c>
      <c r="V251">
        <f>HYPERLINK("https://klasma.github.io/Logging_0883/klagomål/A 14103-2025 FSC-klagomål.docx", "A 14103-2025")</f>
        <v/>
      </c>
      <c r="W251">
        <f>HYPERLINK("https://klasma.github.io/Logging_0883/klagomålsmail/A 14103-2025 FSC-klagomål mail.docx", "A 14103-2025")</f>
        <v/>
      </c>
      <c r="X251">
        <f>HYPERLINK("https://klasma.github.io/Logging_0883/tillsyn/A 14103-2025 tillsynsbegäran.docx", "A 14103-2025")</f>
        <v/>
      </c>
      <c r="Y251">
        <f>HYPERLINK("https://klasma.github.io/Logging_0883/tillsynsmail/A 14103-2025 tillsynsbegäran mail.docx", "A 14103-2025")</f>
        <v/>
      </c>
    </row>
    <row r="252" ht="15" customHeight="1">
      <c r="A252" t="inlineStr">
        <is>
          <t>A 1959-2021</t>
        </is>
      </c>
      <c r="B252" s="1" t="n">
        <v>44210.65167824074</v>
      </c>
      <c r="C252" s="1" t="n">
        <v>45895</v>
      </c>
      <c r="D252" t="inlineStr">
        <is>
          <t>KALMAR LÄN</t>
        </is>
      </c>
      <c r="E252" t="inlineStr">
        <is>
          <t>VÄSTERVIK</t>
        </is>
      </c>
      <c r="G252" t="n">
        <v>0.8</v>
      </c>
      <c r="H252" t="n">
        <v>0</v>
      </c>
      <c r="I252" t="n">
        <v>0</v>
      </c>
      <c r="J252" t="n">
        <v>0</v>
      </c>
      <c r="K252" t="n">
        <v>0</v>
      </c>
      <c r="L252" t="n">
        <v>0</v>
      </c>
      <c r="M252" t="n">
        <v>0</v>
      </c>
      <c r="N252" t="n">
        <v>0</v>
      </c>
      <c r="O252" t="n">
        <v>0</v>
      </c>
      <c r="P252" t="n">
        <v>0</v>
      </c>
      <c r="Q252" t="n">
        <v>0</v>
      </c>
      <c r="R252" s="2" t="inlineStr"/>
    </row>
    <row r="253" ht="15" customHeight="1">
      <c r="A253" t="inlineStr">
        <is>
          <t>A 8074-2021</t>
        </is>
      </c>
      <c r="B253" s="1" t="n">
        <v>44243.6503125</v>
      </c>
      <c r="C253" s="1" t="n">
        <v>45895</v>
      </c>
      <c r="D253" t="inlineStr">
        <is>
          <t>KALMAR LÄN</t>
        </is>
      </c>
      <c r="E253" t="inlineStr">
        <is>
          <t>VÄSTERVIK</t>
        </is>
      </c>
      <c r="G253" t="n">
        <v>0.7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45895</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45895</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23626-2021</t>
        </is>
      </c>
      <c r="B256" s="1" t="n">
        <v>44334</v>
      </c>
      <c r="C256" s="1" t="n">
        <v>45895</v>
      </c>
      <c r="D256" t="inlineStr">
        <is>
          <t>KALMAR LÄN</t>
        </is>
      </c>
      <c r="E256" t="inlineStr">
        <is>
          <t>VÄSTERVIK</t>
        </is>
      </c>
      <c r="G256" t="n">
        <v>9</v>
      </c>
      <c r="H256" t="n">
        <v>0</v>
      </c>
      <c r="I256" t="n">
        <v>0</v>
      </c>
      <c r="J256" t="n">
        <v>0</v>
      </c>
      <c r="K256" t="n">
        <v>0</v>
      </c>
      <c r="L256" t="n">
        <v>0</v>
      </c>
      <c r="M256" t="n">
        <v>0</v>
      </c>
      <c r="N256" t="n">
        <v>0</v>
      </c>
      <c r="O256" t="n">
        <v>0</v>
      </c>
      <c r="P256" t="n">
        <v>0</v>
      </c>
      <c r="Q256" t="n">
        <v>0</v>
      </c>
      <c r="R256" s="2" t="inlineStr"/>
    </row>
    <row r="257" ht="15" customHeight="1">
      <c r="A257" t="inlineStr">
        <is>
          <t>A 16697-2021</t>
        </is>
      </c>
      <c r="B257" s="1" t="n">
        <v>44294</v>
      </c>
      <c r="C257" s="1" t="n">
        <v>45895</v>
      </c>
      <c r="D257" t="inlineStr">
        <is>
          <t>KALMAR LÄN</t>
        </is>
      </c>
      <c r="E257" t="inlineStr">
        <is>
          <t>VÄSTERVIK</t>
        </is>
      </c>
      <c r="G257" t="n">
        <v>1.5</v>
      </c>
      <c r="H257" t="n">
        <v>0</v>
      </c>
      <c r="I257" t="n">
        <v>0</v>
      </c>
      <c r="J257" t="n">
        <v>0</v>
      </c>
      <c r="K257" t="n">
        <v>0</v>
      </c>
      <c r="L257" t="n">
        <v>0</v>
      </c>
      <c r="M257" t="n">
        <v>0</v>
      </c>
      <c r="N257" t="n">
        <v>0</v>
      </c>
      <c r="O257" t="n">
        <v>0</v>
      </c>
      <c r="P257" t="n">
        <v>0</v>
      </c>
      <c r="Q257" t="n">
        <v>0</v>
      </c>
      <c r="R257" s="2" t="inlineStr"/>
    </row>
    <row r="258" ht="15" customHeight="1">
      <c r="A258" t="inlineStr">
        <is>
          <t>A 14317-2021</t>
        </is>
      </c>
      <c r="B258" s="1" t="n">
        <v>44278</v>
      </c>
      <c r="C258" s="1" t="n">
        <v>45895</v>
      </c>
      <c r="D258" t="inlineStr">
        <is>
          <t>KALMAR LÄN</t>
        </is>
      </c>
      <c r="E258" t="inlineStr">
        <is>
          <t>VÄSTERVIK</t>
        </is>
      </c>
      <c r="G258" t="n">
        <v>2.1</v>
      </c>
      <c r="H258" t="n">
        <v>0</v>
      </c>
      <c r="I258" t="n">
        <v>0</v>
      </c>
      <c r="J258" t="n">
        <v>0</v>
      </c>
      <c r="K258" t="n">
        <v>0</v>
      </c>
      <c r="L258" t="n">
        <v>0</v>
      </c>
      <c r="M258" t="n">
        <v>0</v>
      </c>
      <c r="N258" t="n">
        <v>0</v>
      </c>
      <c r="O258" t="n">
        <v>0</v>
      </c>
      <c r="P258" t="n">
        <v>0</v>
      </c>
      <c r="Q258" t="n">
        <v>0</v>
      </c>
      <c r="R258" s="2" t="inlineStr"/>
    </row>
    <row r="259" ht="15" customHeight="1">
      <c r="A259" t="inlineStr">
        <is>
          <t>A 19219-2021</t>
        </is>
      </c>
      <c r="B259" s="1" t="n">
        <v>44309</v>
      </c>
      <c r="C259" s="1" t="n">
        <v>45895</v>
      </c>
      <c r="D259" t="inlineStr">
        <is>
          <t>KALMAR LÄN</t>
        </is>
      </c>
      <c r="E259" t="inlineStr">
        <is>
          <t>VÄSTERVIK</t>
        </is>
      </c>
      <c r="G259" t="n">
        <v>0.9</v>
      </c>
      <c r="H259" t="n">
        <v>0</v>
      </c>
      <c r="I259" t="n">
        <v>0</v>
      </c>
      <c r="J259" t="n">
        <v>0</v>
      </c>
      <c r="K259" t="n">
        <v>0</v>
      </c>
      <c r="L259" t="n">
        <v>0</v>
      </c>
      <c r="M259" t="n">
        <v>0</v>
      </c>
      <c r="N259" t="n">
        <v>0</v>
      </c>
      <c r="O259" t="n">
        <v>0</v>
      </c>
      <c r="P259" t="n">
        <v>0</v>
      </c>
      <c r="Q259" t="n">
        <v>0</v>
      </c>
      <c r="R259" s="2" t="inlineStr"/>
    </row>
    <row r="260" ht="15" customHeight="1">
      <c r="A260" t="inlineStr">
        <is>
          <t>A 61696-2020</t>
        </is>
      </c>
      <c r="B260" s="1" t="n">
        <v>44158</v>
      </c>
      <c r="C260" s="1" t="n">
        <v>45895</v>
      </c>
      <c r="D260" t="inlineStr">
        <is>
          <t>KALMAR LÄN</t>
        </is>
      </c>
      <c r="E260" t="inlineStr">
        <is>
          <t>VÄSTERVIK</t>
        </is>
      </c>
      <c r="G260" t="n">
        <v>1.7</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45895</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16728-2021</t>
        </is>
      </c>
      <c r="B262" s="1" t="n">
        <v>44294.68079861111</v>
      </c>
      <c r="C262" s="1" t="n">
        <v>45895</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37748-2021</t>
        </is>
      </c>
      <c r="B263" s="1" t="n">
        <v>44400.63459490741</v>
      </c>
      <c r="C263" s="1" t="n">
        <v>45895</v>
      </c>
      <c r="D263" t="inlineStr">
        <is>
          <t>KALMAR LÄN</t>
        </is>
      </c>
      <c r="E263" t="inlineStr">
        <is>
          <t>VÄSTERVIK</t>
        </is>
      </c>
      <c r="G263" t="n">
        <v>0.5</v>
      </c>
      <c r="H263" t="n">
        <v>0</v>
      </c>
      <c r="I263" t="n">
        <v>0</v>
      </c>
      <c r="J263" t="n">
        <v>0</v>
      </c>
      <c r="K263" t="n">
        <v>0</v>
      </c>
      <c r="L263" t="n">
        <v>0</v>
      </c>
      <c r="M263" t="n">
        <v>0</v>
      </c>
      <c r="N263" t="n">
        <v>0</v>
      </c>
      <c r="O263" t="n">
        <v>0</v>
      </c>
      <c r="P263" t="n">
        <v>0</v>
      </c>
      <c r="Q263" t="n">
        <v>0</v>
      </c>
      <c r="R263" s="2" t="inlineStr"/>
    </row>
    <row r="264" ht="15" customHeight="1">
      <c r="A264" t="inlineStr">
        <is>
          <t>A 8196-2021</t>
        </is>
      </c>
      <c r="B264" s="1" t="n">
        <v>44244</v>
      </c>
      <c r="C264" s="1" t="n">
        <v>45895</v>
      </c>
      <c r="D264" t="inlineStr">
        <is>
          <t>KALMAR LÄN</t>
        </is>
      </c>
      <c r="E264" t="inlineStr">
        <is>
          <t>VÄSTERVIK</t>
        </is>
      </c>
      <c r="G264" t="n">
        <v>3.5</v>
      </c>
      <c r="H264" t="n">
        <v>0</v>
      </c>
      <c r="I264" t="n">
        <v>0</v>
      </c>
      <c r="J264" t="n">
        <v>0</v>
      </c>
      <c r="K264" t="n">
        <v>0</v>
      </c>
      <c r="L264" t="n">
        <v>0</v>
      </c>
      <c r="M264" t="n">
        <v>0</v>
      </c>
      <c r="N264" t="n">
        <v>0</v>
      </c>
      <c r="O264" t="n">
        <v>0</v>
      </c>
      <c r="P264" t="n">
        <v>0</v>
      </c>
      <c r="Q264" t="n">
        <v>0</v>
      </c>
      <c r="R264" s="2" t="inlineStr"/>
    </row>
    <row r="265" ht="15" customHeight="1">
      <c r="A265" t="inlineStr">
        <is>
          <t>A 3145-2022</t>
        </is>
      </c>
      <c r="B265" s="1" t="n">
        <v>44582.5518287037</v>
      </c>
      <c r="C265" s="1" t="n">
        <v>45895</v>
      </c>
      <c r="D265" t="inlineStr">
        <is>
          <t>KALMAR LÄN</t>
        </is>
      </c>
      <c r="E265" t="inlineStr">
        <is>
          <t>VÄSTERVIK</t>
        </is>
      </c>
      <c r="G265" t="n">
        <v>0.8</v>
      </c>
      <c r="H265" t="n">
        <v>0</v>
      </c>
      <c r="I265" t="n">
        <v>0</v>
      </c>
      <c r="J265" t="n">
        <v>0</v>
      </c>
      <c r="K265" t="n">
        <v>0</v>
      </c>
      <c r="L265" t="n">
        <v>0</v>
      </c>
      <c r="M265" t="n">
        <v>0</v>
      </c>
      <c r="N265" t="n">
        <v>0</v>
      </c>
      <c r="O265" t="n">
        <v>0</v>
      </c>
      <c r="P265" t="n">
        <v>0</v>
      </c>
      <c r="Q265" t="n">
        <v>0</v>
      </c>
      <c r="R265" s="2" t="inlineStr"/>
    </row>
    <row r="266" ht="15" customHeight="1">
      <c r="A266" t="inlineStr">
        <is>
          <t>A 14149-2021</t>
        </is>
      </c>
      <c r="B266" s="1" t="n">
        <v>44278</v>
      </c>
      <c r="C266" s="1" t="n">
        <v>45895</v>
      </c>
      <c r="D266" t="inlineStr">
        <is>
          <t>KALMAR LÄN</t>
        </is>
      </c>
      <c r="E266" t="inlineStr">
        <is>
          <t>VÄSTERVIK</t>
        </is>
      </c>
      <c r="G266" t="n">
        <v>4.1</v>
      </c>
      <c r="H266" t="n">
        <v>0</v>
      </c>
      <c r="I266" t="n">
        <v>0</v>
      </c>
      <c r="J266" t="n">
        <v>0</v>
      </c>
      <c r="K266" t="n">
        <v>0</v>
      </c>
      <c r="L266" t="n">
        <v>0</v>
      </c>
      <c r="M266" t="n">
        <v>0</v>
      </c>
      <c r="N266" t="n">
        <v>0</v>
      </c>
      <c r="O266" t="n">
        <v>0</v>
      </c>
      <c r="P266" t="n">
        <v>0</v>
      </c>
      <c r="Q266" t="n">
        <v>0</v>
      </c>
      <c r="R266" s="2" t="inlineStr"/>
    </row>
    <row r="267" ht="15" customHeight="1">
      <c r="A267" t="inlineStr">
        <is>
          <t>A 17953-2022</t>
        </is>
      </c>
      <c r="B267" s="1" t="n">
        <v>44683.64341435185</v>
      </c>
      <c r="C267" s="1" t="n">
        <v>45895</v>
      </c>
      <c r="D267" t="inlineStr">
        <is>
          <t>KALMAR LÄN</t>
        </is>
      </c>
      <c r="E267" t="inlineStr">
        <is>
          <t>VÄSTERVIK</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42131-2021</t>
        </is>
      </c>
      <c r="B268" s="1" t="n">
        <v>44426</v>
      </c>
      <c r="C268" s="1" t="n">
        <v>45895</v>
      </c>
      <c r="D268" t="inlineStr">
        <is>
          <t>KALMAR LÄN</t>
        </is>
      </c>
      <c r="E268" t="inlineStr">
        <is>
          <t>VÄSTERVIK</t>
        </is>
      </c>
      <c r="G268" t="n">
        <v>2.3</v>
      </c>
      <c r="H268" t="n">
        <v>0</v>
      </c>
      <c r="I268" t="n">
        <v>0</v>
      </c>
      <c r="J268" t="n">
        <v>0</v>
      </c>
      <c r="K268" t="n">
        <v>0</v>
      </c>
      <c r="L268" t="n">
        <v>0</v>
      </c>
      <c r="M268" t="n">
        <v>0</v>
      </c>
      <c r="N268" t="n">
        <v>0</v>
      </c>
      <c r="O268" t="n">
        <v>0</v>
      </c>
      <c r="P268" t="n">
        <v>0</v>
      </c>
      <c r="Q268" t="n">
        <v>0</v>
      </c>
      <c r="R268" s="2" t="inlineStr"/>
    </row>
    <row r="269" ht="15" customHeight="1">
      <c r="A269" t="inlineStr">
        <is>
          <t>A 40062-2022</t>
        </is>
      </c>
      <c r="B269" s="1" t="n">
        <v>44820</v>
      </c>
      <c r="C269" s="1" t="n">
        <v>45895</v>
      </c>
      <c r="D269" t="inlineStr">
        <is>
          <t>KALMAR LÄN</t>
        </is>
      </c>
      <c r="E269" t="inlineStr">
        <is>
          <t>VÄSTERVIK</t>
        </is>
      </c>
      <c r="G269" t="n">
        <v>0.7</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45895</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64822-2021</t>
        </is>
      </c>
      <c r="B271" s="1" t="n">
        <v>44512</v>
      </c>
      <c r="C271" s="1" t="n">
        <v>45895</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45895</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45895</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45895</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45895</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57808-2021</t>
        </is>
      </c>
      <c r="B276" s="1" t="n">
        <v>44484</v>
      </c>
      <c r="C276" s="1" t="n">
        <v>45895</v>
      </c>
      <c r="D276" t="inlineStr">
        <is>
          <t>KALMAR LÄN</t>
        </is>
      </c>
      <c r="E276" t="inlineStr">
        <is>
          <t>VÄSTERVIK</t>
        </is>
      </c>
      <c r="G276" t="n">
        <v>1</v>
      </c>
      <c r="H276" t="n">
        <v>0</v>
      </c>
      <c r="I276" t="n">
        <v>0</v>
      </c>
      <c r="J276" t="n">
        <v>0</v>
      </c>
      <c r="K276" t="n">
        <v>0</v>
      </c>
      <c r="L276" t="n">
        <v>0</v>
      </c>
      <c r="M276" t="n">
        <v>0</v>
      </c>
      <c r="N276" t="n">
        <v>0</v>
      </c>
      <c r="O276" t="n">
        <v>0</v>
      </c>
      <c r="P276" t="n">
        <v>0</v>
      </c>
      <c r="Q276" t="n">
        <v>0</v>
      </c>
      <c r="R276" s="2" t="inlineStr"/>
    </row>
    <row r="277" ht="15" customHeight="1">
      <c r="A277" t="inlineStr">
        <is>
          <t>A 13626-2021</t>
        </is>
      </c>
      <c r="B277" s="1" t="n">
        <v>44274.39513888889</v>
      </c>
      <c r="C277" s="1" t="n">
        <v>45895</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43730-2020</t>
        </is>
      </c>
      <c r="B278" s="1" t="n">
        <v>44082.63233796296</v>
      </c>
      <c r="C278" s="1" t="n">
        <v>45895</v>
      </c>
      <c r="D278" t="inlineStr">
        <is>
          <t>KALMAR LÄN</t>
        </is>
      </c>
      <c r="E278" t="inlineStr">
        <is>
          <t>VÄSTERVIK</t>
        </is>
      </c>
      <c r="G278" t="n">
        <v>0.1</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45895</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45895</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45895</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45895</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45895</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45895</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45895</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45895</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8355-2022</t>
        </is>
      </c>
      <c r="B287" s="1" t="n">
        <v>44610</v>
      </c>
      <c r="C287" s="1" t="n">
        <v>45895</v>
      </c>
      <c r="D287" t="inlineStr">
        <is>
          <t>KALMAR LÄN</t>
        </is>
      </c>
      <c r="E287" t="inlineStr">
        <is>
          <t>VÄSTERVIK</t>
        </is>
      </c>
      <c r="F287" t="inlineStr">
        <is>
          <t>Holmen skog AB</t>
        </is>
      </c>
      <c r="G287" t="n">
        <v>2.3</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45895</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58555-2021</t>
        </is>
      </c>
      <c r="B289" s="1" t="n">
        <v>44488</v>
      </c>
      <c r="C289" s="1" t="n">
        <v>45895</v>
      </c>
      <c r="D289" t="inlineStr">
        <is>
          <t>KALMAR LÄN</t>
        </is>
      </c>
      <c r="E289" t="inlineStr">
        <is>
          <t>VÄSTERVIK</t>
        </is>
      </c>
      <c r="G289" t="n">
        <v>2.2</v>
      </c>
      <c r="H289" t="n">
        <v>0</v>
      </c>
      <c r="I289" t="n">
        <v>0</v>
      </c>
      <c r="J289" t="n">
        <v>0</v>
      </c>
      <c r="K289" t="n">
        <v>0</v>
      </c>
      <c r="L289" t="n">
        <v>0</v>
      </c>
      <c r="M289" t="n">
        <v>0</v>
      </c>
      <c r="N289" t="n">
        <v>0</v>
      </c>
      <c r="O289" t="n">
        <v>0</v>
      </c>
      <c r="P289" t="n">
        <v>0</v>
      </c>
      <c r="Q289" t="n">
        <v>0</v>
      </c>
      <c r="R289" s="2" t="inlineStr"/>
    </row>
    <row r="290" ht="15" customHeight="1">
      <c r="A290" t="inlineStr">
        <is>
          <t>A 37545-2021</t>
        </is>
      </c>
      <c r="B290" s="1" t="n">
        <v>44399</v>
      </c>
      <c r="C290" s="1" t="n">
        <v>45895</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43808-2021</t>
        </is>
      </c>
      <c r="B291" s="1" t="n">
        <v>44433</v>
      </c>
      <c r="C291" s="1" t="n">
        <v>45895</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42137-2021</t>
        </is>
      </c>
      <c r="B292" s="1" t="n">
        <v>44426</v>
      </c>
      <c r="C292" s="1" t="n">
        <v>45895</v>
      </c>
      <c r="D292" t="inlineStr">
        <is>
          <t>KALMAR LÄN</t>
        </is>
      </c>
      <c r="E292" t="inlineStr">
        <is>
          <t>VÄSTERVIK</t>
        </is>
      </c>
      <c r="G292" t="n">
        <v>1.2</v>
      </c>
      <c r="H292" t="n">
        <v>0</v>
      </c>
      <c r="I292" t="n">
        <v>0</v>
      </c>
      <c r="J292" t="n">
        <v>0</v>
      </c>
      <c r="K292" t="n">
        <v>0</v>
      </c>
      <c r="L292" t="n">
        <v>0</v>
      </c>
      <c r="M292" t="n">
        <v>0</v>
      </c>
      <c r="N292" t="n">
        <v>0</v>
      </c>
      <c r="O292" t="n">
        <v>0</v>
      </c>
      <c r="P292" t="n">
        <v>0</v>
      </c>
      <c r="Q292" t="n">
        <v>0</v>
      </c>
      <c r="R292" s="2" t="inlineStr"/>
    </row>
    <row r="293" ht="15" customHeight="1">
      <c r="A293" t="inlineStr">
        <is>
          <t>A 48021-2021</t>
        </is>
      </c>
      <c r="B293" s="1" t="n">
        <v>44449</v>
      </c>
      <c r="C293" s="1" t="n">
        <v>45895</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50977-2021</t>
        </is>
      </c>
      <c r="B294" s="1" t="n">
        <v>44460.68069444445</v>
      </c>
      <c r="C294" s="1" t="n">
        <v>45895</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8788-2021</t>
        </is>
      </c>
      <c r="B295" s="1" t="n">
        <v>44246</v>
      </c>
      <c r="C295" s="1" t="n">
        <v>45895</v>
      </c>
      <c r="D295" t="inlineStr">
        <is>
          <t>KALMAR LÄN</t>
        </is>
      </c>
      <c r="E295" t="inlineStr">
        <is>
          <t>VÄSTERVIK</t>
        </is>
      </c>
      <c r="G295" t="n">
        <v>1.2</v>
      </c>
      <c r="H295" t="n">
        <v>0</v>
      </c>
      <c r="I295" t="n">
        <v>0</v>
      </c>
      <c r="J295" t="n">
        <v>0</v>
      </c>
      <c r="K295" t="n">
        <v>0</v>
      </c>
      <c r="L295" t="n">
        <v>0</v>
      </c>
      <c r="M295" t="n">
        <v>0</v>
      </c>
      <c r="N295" t="n">
        <v>0</v>
      </c>
      <c r="O295" t="n">
        <v>0</v>
      </c>
      <c r="P295" t="n">
        <v>0</v>
      </c>
      <c r="Q295" t="n">
        <v>0</v>
      </c>
      <c r="R295" s="2" t="inlineStr"/>
    </row>
    <row r="296" ht="15" customHeight="1">
      <c r="A296" t="inlineStr">
        <is>
          <t>A 42150-2021</t>
        </is>
      </c>
      <c r="B296" s="1" t="n">
        <v>44426</v>
      </c>
      <c r="C296" s="1" t="n">
        <v>45895</v>
      </c>
      <c r="D296" t="inlineStr">
        <is>
          <t>KALMAR LÄN</t>
        </is>
      </c>
      <c r="E296" t="inlineStr">
        <is>
          <t>VÄSTERVIK</t>
        </is>
      </c>
      <c r="G296" t="n">
        <v>0.3</v>
      </c>
      <c r="H296" t="n">
        <v>0</v>
      </c>
      <c r="I296" t="n">
        <v>0</v>
      </c>
      <c r="J296" t="n">
        <v>0</v>
      </c>
      <c r="K296" t="n">
        <v>0</v>
      </c>
      <c r="L296" t="n">
        <v>0</v>
      </c>
      <c r="M296" t="n">
        <v>0</v>
      </c>
      <c r="N296" t="n">
        <v>0</v>
      </c>
      <c r="O296" t="n">
        <v>0</v>
      </c>
      <c r="P296" t="n">
        <v>0</v>
      </c>
      <c r="Q296" t="n">
        <v>0</v>
      </c>
      <c r="R296" s="2" t="inlineStr"/>
    </row>
    <row r="297" ht="15" customHeight="1">
      <c r="A297" t="inlineStr">
        <is>
          <t>A 34958-2021</t>
        </is>
      </c>
      <c r="B297" s="1" t="n">
        <v>44383</v>
      </c>
      <c r="C297" s="1" t="n">
        <v>45895</v>
      </c>
      <c r="D297" t="inlineStr">
        <is>
          <t>KALMAR LÄN</t>
        </is>
      </c>
      <c r="E297" t="inlineStr">
        <is>
          <t>VÄSTERVIK</t>
        </is>
      </c>
      <c r="G297" t="n">
        <v>2.7</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45895</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45895</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45895</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72733-2021</t>
        </is>
      </c>
      <c r="B301" s="1" t="n">
        <v>44546</v>
      </c>
      <c r="C301" s="1" t="n">
        <v>45895</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46781-2022</t>
        </is>
      </c>
      <c r="B302" s="1" t="n">
        <v>44851.49836805555</v>
      </c>
      <c r="C302" s="1" t="n">
        <v>45895</v>
      </c>
      <c r="D302" t="inlineStr">
        <is>
          <t>KALMAR LÄN</t>
        </is>
      </c>
      <c r="E302" t="inlineStr">
        <is>
          <t>VÄSTERVIK</t>
        </is>
      </c>
      <c r="G302" t="n">
        <v>13.2</v>
      </c>
      <c r="H302" t="n">
        <v>0</v>
      </c>
      <c r="I302" t="n">
        <v>0</v>
      </c>
      <c r="J302" t="n">
        <v>0</v>
      </c>
      <c r="K302" t="n">
        <v>0</v>
      </c>
      <c r="L302" t="n">
        <v>0</v>
      </c>
      <c r="M302" t="n">
        <v>0</v>
      </c>
      <c r="N302" t="n">
        <v>0</v>
      </c>
      <c r="O302" t="n">
        <v>0</v>
      </c>
      <c r="P302" t="n">
        <v>0</v>
      </c>
      <c r="Q302" t="n">
        <v>0</v>
      </c>
      <c r="R302" s="2" t="inlineStr"/>
    </row>
    <row r="303" ht="15" customHeight="1">
      <c r="A303" t="inlineStr">
        <is>
          <t>A 38613-2021</t>
        </is>
      </c>
      <c r="B303" s="1" t="n">
        <v>44409</v>
      </c>
      <c r="C303" s="1" t="n">
        <v>45895</v>
      </c>
      <c r="D303" t="inlineStr">
        <is>
          <t>KALMAR LÄN</t>
        </is>
      </c>
      <c r="E303" t="inlineStr">
        <is>
          <t>VÄSTERVIK</t>
        </is>
      </c>
      <c r="G303" t="n">
        <v>7</v>
      </c>
      <c r="H303" t="n">
        <v>0</v>
      </c>
      <c r="I303" t="n">
        <v>0</v>
      </c>
      <c r="J303" t="n">
        <v>0</v>
      </c>
      <c r="K303" t="n">
        <v>0</v>
      </c>
      <c r="L303" t="n">
        <v>0</v>
      </c>
      <c r="M303" t="n">
        <v>0</v>
      </c>
      <c r="N303" t="n">
        <v>0</v>
      </c>
      <c r="O303" t="n">
        <v>0</v>
      </c>
      <c r="P303" t="n">
        <v>0</v>
      </c>
      <c r="Q303" t="n">
        <v>0</v>
      </c>
      <c r="R303" s="2" t="inlineStr"/>
    </row>
    <row r="304" ht="15" customHeight="1">
      <c r="A304" t="inlineStr">
        <is>
          <t>A 45537-2020</t>
        </is>
      </c>
      <c r="B304" s="1" t="n">
        <v>44089</v>
      </c>
      <c r="C304" s="1" t="n">
        <v>45895</v>
      </c>
      <c r="D304" t="inlineStr">
        <is>
          <t>KALMAR LÄN</t>
        </is>
      </c>
      <c r="E304" t="inlineStr">
        <is>
          <t>VÄSTERVIK</t>
        </is>
      </c>
      <c r="G304" t="n">
        <v>2.1</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45895</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45895</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45895</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45895</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23628-2021</t>
        </is>
      </c>
      <c r="B309" s="1" t="n">
        <v>44334</v>
      </c>
      <c r="C309" s="1" t="n">
        <v>45895</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45895</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45895</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44673.48178240741</v>
      </c>
      <c r="C312" s="1" t="n">
        <v>45895</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45895</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45895</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45895</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45895</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45895</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45895</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45895</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45895</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45895</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45895</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45895</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45895</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45895</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45895</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45895</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45895</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45895</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45895</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4057-2022</t>
        </is>
      </c>
      <c r="B331" s="1" t="n">
        <v>44588</v>
      </c>
      <c r="C331" s="1" t="n">
        <v>45895</v>
      </c>
      <c r="D331" t="inlineStr">
        <is>
          <t>KALMAR LÄN</t>
        </is>
      </c>
      <c r="E331" t="inlineStr">
        <is>
          <t>VÄSTERVIK</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66748-2020</t>
        </is>
      </c>
      <c r="B332" s="1" t="n">
        <v>44175</v>
      </c>
      <c r="C332" s="1" t="n">
        <v>45895</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166-2022</t>
        </is>
      </c>
      <c r="B333" s="1" t="n">
        <v>44564</v>
      </c>
      <c r="C333" s="1" t="n">
        <v>45895</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34953-2021</t>
        </is>
      </c>
      <c r="B334" s="1" t="n">
        <v>44383</v>
      </c>
      <c r="C334" s="1" t="n">
        <v>45895</v>
      </c>
      <c r="D334" t="inlineStr">
        <is>
          <t>KALMAR LÄN</t>
        </is>
      </c>
      <c r="E334" t="inlineStr">
        <is>
          <t>VÄSTERVIK</t>
        </is>
      </c>
      <c r="G334" t="n">
        <v>4.4</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45895</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17124-2021</t>
        </is>
      </c>
      <c r="B336" s="1" t="n">
        <v>44298</v>
      </c>
      <c r="C336" s="1" t="n">
        <v>45895</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64558-2021</t>
        </is>
      </c>
      <c r="B337" s="1" t="n">
        <v>44511</v>
      </c>
      <c r="C337" s="1" t="n">
        <v>45895</v>
      </c>
      <c r="D337" t="inlineStr">
        <is>
          <t>KALMAR LÄN</t>
        </is>
      </c>
      <c r="E337" t="inlineStr">
        <is>
          <t>VÄSTERVIK</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24570-2021</t>
        </is>
      </c>
      <c r="B338" s="1" t="n">
        <v>44339</v>
      </c>
      <c r="C338" s="1" t="n">
        <v>45895</v>
      </c>
      <c r="D338" t="inlineStr">
        <is>
          <t>KALMAR LÄN</t>
        </is>
      </c>
      <c r="E338" t="inlineStr">
        <is>
          <t>VÄSTERVIK</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72378-2021</t>
        </is>
      </c>
      <c r="B339" s="1" t="n">
        <v>44545.56285879629</v>
      </c>
      <c r="C339" s="1" t="n">
        <v>45895</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47530-2021</t>
        </is>
      </c>
      <c r="B340" s="1" t="n">
        <v>44447</v>
      </c>
      <c r="C340" s="1" t="n">
        <v>45895</v>
      </c>
      <c r="D340" t="inlineStr">
        <is>
          <t>KALMAR LÄN</t>
        </is>
      </c>
      <c r="E340" t="inlineStr">
        <is>
          <t>VÄSTERVIK</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45895</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31558-2021</t>
        </is>
      </c>
      <c r="B342" s="1" t="n">
        <v>44369</v>
      </c>
      <c r="C342" s="1" t="n">
        <v>45895</v>
      </c>
      <c r="D342" t="inlineStr">
        <is>
          <t>KALMAR LÄN</t>
        </is>
      </c>
      <c r="E342" t="inlineStr">
        <is>
          <t>VÄSTERVIK</t>
        </is>
      </c>
      <c r="G342" t="n">
        <v>22.9</v>
      </c>
      <c r="H342" t="n">
        <v>0</v>
      </c>
      <c r="I342" t="n">
        <v>0</v>
      </c>
      <c r="J342" t="n">
        <v>0</v>
      </c>
      <c r="K342" t="n">
        <v>0</v>
      </c>
      <c r="L342" t="n">
        <v>0</v>
      </c>
      <c r="M342" t="n">
        <v>0</v>
      </c>
      <c r="N342" t="n">
        <v>0</v>
      </c>
      <c r="O342" t="n">
        <v>0</v>
      </c>
      <c r="P342" t="n">
        <v>0</v>
      </c>
      <c r="Q342" t="n">
        <v>0</v>
      </c>
      <c r="R342" s="2" t="inlineStr"/>
    </row>
    <row r="343" ht="15" customHeight="1">
      <c r="A343" t="inlineStr">
        <is>
          <t>A 23090-2021</t>
        </is>
      </c>
      <c r="B343" s="1" t="n">
        <v>44330</v>
      </c>
      <c r="C343" s="1" t="n">
        <v>45895</v>
      </c>
      <c r="D343" t="inlineStr">
        <is>
          <t>KALMAR LÄN</t>
        </is>
      </c>
      <c r="E343" t="inlineStr">
        <is>
          <t>VÄSTERVIK</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46822-2020</t>
        </is>
      </c>
      <c r="B344" s="1" t="n">
        <v>44096</v>
      </c>
      <c r="C344" s="1" t="n">
        <v>45895</v>
      </c>
      <c r="D344" t="inlineStr">
        <is>
          <t>KALMAR LÄN</t>
        </is>
      </c>
      <c r="E344" t="inlineStr">
        <is>
          <t>VÄSTERVIK</t>
        </is>
      </c>
      <c r="G344" t="n">
        <v>0.2</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45895</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47404-2021</t>
        </is>
      </c>
      <c r="B346" s="1" t="n">
        <v>44447</v>
      </c>
      <c r="C346" s="1" t="n">
        <v>45895</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57922-2020</t>
        </is>
      </c>
      <c r="B347" s="1" t="n">
        <v>44141</v>
      </c>
      <c r="C347" s="1" t="n">
        <v>45895</v>
      </c>
      <c r="D347" t="inlineStr">
        <is>
          <t>KALMAR LÄN</t>
        </is>
      </c>
      <c r="E347" t="inlineStr">
        <is>
          <t>VÄSTERVIK</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2106-2021</t>
        </is>
      </c>
      <c r="B348" s="1" t="n">
        <v>44211</v>
      </c>
      <c r="C348" s="1" t="n">
        <v>45895</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34644-2022</t>
        </is>
      </c>
      <c r="B349" s="1" t="n">
        <v>44795</v>
      </c>
      <c r="C349" s="1" t="n">
        <v>45895</v>
      </c>
      <c r="D349" t="inlineStr">
        <is>
          <t>KALMAR LÄN</t>
        </is>
      </c>
      <c r="E349" t="inlineStr">
        <is>
          <t>VÄSTERVIK</t>
        </is>
      </c>
      <c r="G349" t="n">
        <v>0.5</v>
      </c>
      <c r="H349" t="n">
        <v>0</v>
      </c>
      <c r="I349" t="n">
        <v>0</v>
      </c>
      <c r="J349" t="n">
        <v>0</v>
      </c>
      <c r="K349" t="n">
        <v>0</v>
      </c>
      <c r="L349" t="n">
        <v>0</v>
      </c>
      <c r="M349" t="n">
        <v>0</v>
      </c>
      <c r="N349" t="n">
        <v>0</v>
      </c>
      <c r="O349" t="n">
        <v>0</v>
      </c>
      <c r="P349" t="n">
        <v>0</v>
      </c>
      <c r="Q349" t="n">
        <v>0</v>
      </c>
      <c r="R349" s="2" t="inlineStr"/>
    </row>
    <row r="350" ht="15" customHeight="1">
      <c r="A350" t="inlineStr">
        <is>
          <t>A 18837-2021</t>
        </is>
      </c>
      <c r="B350" s="1" t="n">
        <v>44307</v>
      </c>
      <c r="C350" s="1" t="n">
        <v>45895</v>
      </c>
      <c r="D350" t="inlineStr">
        <is>
          <t>KALMAR LÄN</t>
        </is>
      </c>
      <c r="E350" t="inlineStr">
        <is>
          <t>VÄSTERVIK</t>
        </is>
      </c>
      <c r="G350" t="n">
        <v>1.6</v>
      </c>
      <c r="H350" t="n">
        <v>0</v>
      </c>
      <c r="I350" t="n">
        <v>0</v>
      </c>
      <c r="J350" t="n">
        <v>0</v>
      </c>
      <c r="K350" t="n">
        <v>0</v>
      </c>
      <c r="L350" t="n">
        <v>0</v>
      </c>
      <c r="M350" t="n">
        <v>0</v>
      </c>
      <c r="N350" t="n">
        <v>0</v>
      </c>
      <c r="O350" t="n">
        <v>0</v>
      </c>
      <c r="P350" t="n">
        <v>0</v>
      </c>
      <c r="Q350" t="n">
        <v>0</v>
      </c>
      <c r="R350" s="2" t="inlineStr"/>
    </row>
    <row r="351" ht="15" customHeight="1">
      <c r="A351" t="inlineStr">
        <is>
          <t>A 19644-2021</t>
        </is>
      </c>
      <c r="B351" s="1" t="n">
        <v>44312</v>
      </c>
      <c r="C351" s="1" t="n">
        <v>45895</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15591-2021</t>
        </is>
      </c>
      <c r="B352" s="1" t="n">
        <v>44285.66303240741</v>
      </c>
      <c r="C352" s="1" t="n">
        <v>45895</v>
      </c>
      <c r="D352" t="inlineStr">
        <is>
          <t>KALMAR LÄN</t>
        </is>
      </c>
      <c r="E352" t="inlineStr">
        <is>
          <t>VÄSTERVIK</t>
        </is>
      </c>
      <c r="G352" t="n">
        <v>2.1</v>
      </c>
      <c r="H352" t="n">
        <v>0</v>
      </c>
      <c r="I352" t="n">
        <v>0</v>
      </c>
      <c r="J352" t="n">
        <v>0</v>
      </c>
      <c r="K352" t="n">
        <v>0</v>
      </c>
      <c r="L352" t="n">
        <v>0</v>
      </c>
      <c r="M352" t="n">
        <v>0</v>
      </c>
      <c r="N352" t="n">
        <v>0</v>
      </c>
      <c r="O352" t="n">
        <v>0</v>
      </c>
      <c r="P352" t="n">
        <v>0</v>
      </c>
      <c r="Q352" t="n">
        <v>0</v>
      </c>
      <c r="R352" s="2" t="inlineStr"/>
    </row>
    <row r="353" ht="15" customHeight="1">
      <c r="A353" t="inlineStr">
        <is>
          <t>A 40925-2022</t>
        </is>
      </c>
      <c r="B353" s="1" t="n">
        <v>44825.41880787037</v>
      </c>
      <c r="C353" s="1" t="n">
        <v>45895</v>
      </c>
      <c r="D353" t="inlineStr">
        <is>
          <t>KALMAR LÄN</t>
        </is>
      </c>
      <c r="E353" t="inlineStr">
        <is>
          <t>VÄSTERVIK</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18470-2021</t>
        </is>
      </c>
      <c r="B354" s="1" t="n">
        <v>44306.31681712963</v>
      </c>
      <c r="C354" s="1" t="n">
        <v>45895</v>
      </c>
      <c r="D354" t="inlineStr">
        <is>
          <t>KALMAR LÄN</t>
        </is>
      </c>
      <c r="E354" t="inlineStr">
        <is>
          <t>VÄSTERVIK</t>
        </is>
      </c>
      <c r="G354" t="n">
        <v>0.7</v>
      </c>
      <c r="H354" t="n">
        <v>0</v>
      </c>
      <c r="I354" t="n">
        <v>0</v>
      </c>
      <c r="J354" t="n">
        <v>0</v>
      </c>
      <c r="K354" t="n">
        <v>0</v>
      </c>
      <c r="L354" t="n">
        <v>0</v>
      </c>
      <c r="M354" t="n">
        <v>0</v>
      </c>
      <c r="N354" t="n">
        <v>0</v>
      </c>
      <c r="O354" t="n">
        <v>0</v>
      </c>
      <c r="P354" t="n">
        <v>0</v>
      </c>
      <c r="Q354" t="n">
        <v>0</v>
      </c>
      <c r="R354" s="2" t="inlineStr"/>
    </row>
    <row r="355" ht="15" customHeight="1">
      <c r="A355" t="inlineStr">
        <is>
          <t>A 49398-2021</t>
        </is>
      </c>
      <c r="B355" s="1" t="n">
        <v>44454.63141203704</v>
      </c>
      <c r="C355" s="1" t="n">
        <v>45895</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23996-2021</t>
        </is>
      </c>
      <c r="B356" s="1" t="n">
        <v>44335.88916666667</v>
      </c>
      <c r="C356" s="1" t="n">
        <v>45895</v>
      </c>
      <c r="D356" t="inlineStr">
        <is>
          <t>KALMAR LÄN</t>
        </is>
      </c>
      <c r="E356" t="inlineStr">
        <is>
          <t>VÄSTERVIK</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37441-2021</t>
        </is>
      </c>
      <c r="B357" s="1" t="n">
        <v>44398</v>
      </c>
      <c r="C357" s="1" t="n">
        <v>45895</v>
      </c>
      <c r="D357" t="inlineStr">
        <is>
          <t>KALMAR LÄN</t>
        </is>
      </c>
      <c r="E357" t="inlineStr">
        <is>
          <t>VÄSTERVIK</t>
        </is>
      </c>
      <c r="G357" t="n">
        <v>1.6</v>
      </c>
      <c r="H357" t="n">
        <v>0</v>
      </c>
      <c r="I357" t="n">
        <v>0</v>
      </c>
      <c r="J357" t="n">
        <v>0</v>
      </c>
      <c r="K357" t="n">
        <v>0</v>
      </c>
      <c r="L357" t="n">
        <v>0</v>
      </c>
      <c r="M357" t="n">
        <v>0</v>
      </c>
      <c r="N357" t="n">
        <v>0</v>
      </c>
      <c r="O357" t="n">
        <v>0</v>
      </c>
      <c r="P357" t="n">
        <v>0</v>
      </c>
      <c r="Q357" t="n">
        <v>0</v>
      </c>
      <c r="R357" s="2" t="inlineStr"/>
    </row>
    <row r="358" ht="15" customHeight="1">
      <c r="A358" t="inlineStr">
        <is>
          <t>A 31317-2021</t>
        </is>
      </c>
      <c r="B358" s="1" t="n">
        <v>44368.90879629629</v>
      </c>
      <c r="C358" s="1" t="n">
        <v>45895</v>
      </c>
      <c r="D358" t="inlineStr">
        <is>
          <t>KALMAR LÄN</t>
        </is>
      </c>
      <c r="E358" t="inlineStr">
        <is>
          <t>VÄSTERVIK</t>
        </is>
      </c>
      <c r="G358" t="n">
        <v>2.3</v>
      </c>
      <c r="H358" t="n">
        <v>0</v>
      </c>
      <c r="I358" t="n">
        <v>0</v>
      </c>
      <c r="J358" t="n">
        <v>0</v>
      </c>
      <c r="K358" t="n">
        <v>0</v>
      </c>
      <c r="L358" t="n">
        <v>0</v>
      </c>
      <c r="M358" t="n">
        <v>0</v>
      </c>
      <c r="N358" t="n">
        <v>0</v>
      </c>
      <c r="O358" t="n">
        <v>0</v>
      </c>
      <c r="P358" t="n">
        <v>0</v>
      </c>
      <c r="Q358" t="n">
        <v>0</v>
      </c>
      <c r="R358" s="2" t="inlineStr"/>
    </row>
    <row r="359" ht="15" customHeight="1">
      <c r="A359" t="inlineStr">
        <is>
          <t>A 789-2021</t>
        </is>
      </c>
      <c r="B359" s="1" t="n">
        <v>44204</v>
      </c>
      <c r="C359" s="1" t="n">
        <v>45895</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45895</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43807-2021</t>
        </is>
      </c>
      <c r="B361" s="1" t="n">
        <v>44433</v>
      </c>
      <c r="C361" s="1" t="n">
        <v>45895</v>
      </c>
      <c r="D361" t="inlineStr">
        <is>
          <t>KALMAR LÄN</t>
        </is>
      </c>
      <c r="E361" t="inlineStr">
        <is>
          <t>VÄSTERVIK</t>
        </is>
      </c>
      <c r="G361" t="n">
        <v>3.2</v>
      </c>
      <c r="H361" t="n">
        <v>0</v>
      </c>
      <c r="I361" t="n">
        <v>0</v>
      </c>
      <c r="J361" t="n">
        <v>0</v>
      </c>
      <c r="K361" t="n">
        <v>0</v>
      </c>
      <c r="L361" t="n">
        <v>0</v>
      </c>
      <c r="M361" t="n">
        <v>0</v>
      </c>
      <c r="N361" t="n">
        <v>0</v>
      </c>
      <c r="O361" t="n">
        <v>0</v>
      </c>
      <c r="P361" t="n">
        <v>0</v>
      </c>
      <c r="Q361" t="n">
        <v>0</v>
      </c>
      <c r="R361" s="2" t="inlineStr"/>
    </row>
    <row r="362" ht="15" customHeight="1">
      <c r="A362" t="inlineStr">
        <is>
          <t>A 40920-2022</t>
        </is>
      </c>
      <c r="B362" s="1" t="n">
        <v>44825.40943287037</v>
      </c>
      <c r="C362" s="1" t="n">
        <v>45895</v>
      </c>
      <c r="D362" t="inlineStr">
        <is>
          <t>KALMAR LÄN</t>
        </is>
      </c>
      <c r="E362" t="inlineStr">
        <is>
          <t>VÄSTERVIK</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45895</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45895</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63635-2020</t>
        </is>
      </c>
      <c r="B365" s="1" t="n">
        <v>44162</v>
      </c>
      <c r="C365" s="1" t="n">
        <v>45895</v>
      </c>
      <c r="D365" t="inlineStr">
        <is>
          <t>KALMAR LÄN</t>
        </is>
      </c>
      <c r="E365" t="inlineStr">
        <is>
          <t>VÄSTERVIK</t>
        </is>
      </c>
      <c r="G365" t="n">
        <v>1</v>
      </c>
      <c r="H365" t="n">
        <v>0</v>
      </c>
      <c r="I365" t="n">
        <v>0</v>
      </c>
      <c r="J365" t="n">
        <v>0</v>
      </c>
      <c r="K365" t="n">
        <v>0</v>
      </c>
      <c r="L365" t="n">
        <v>0</v>
      </c>
      <c r="M365" t="n">
        <v>0</v>
      </c>
      <c r="N365" t="n">
        <v>0</v>
      </c>
      <c r="O365" t="n">
        <v>0</v>
      </c>
      <c r="P365" t="n">
        <v>0</v>
      </c>
      <c r="Q365" t="n">
        <v>0</v>
      </c>
      <c r="R365" s="2" t="inlineStr"/>
    </row>
    <row r="366" ht="15" customHeight="1">
      <c r="A366" t="inlineStr">
        <is>
          <t>A 61799-2020</t>
        </is>
      </c>
      <c r="B366" s="1" t="n">
        <v>44158</v>
      </c>
      <c r="C366" s="1" t="n">
        <v>45895</v>
      </c>
      <c r="D366" t="inlineStr">
        <is>
          <t>KALMAR LÄN</t>
        </is>
      </c>
      <c r="E366" t="inlineStr">
        <is>
          <t>VÄSTERVIK</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10517-2021</t>
        </is>
      </c>
      <c r="B367" s="1" t="n">
        <v>44258</v>
      </c>
      <c r="C367" s="1" t="n">
        <v>45895</v>
      </c>
      <c r="D367" t="inlineStr">
        <is>
          <t>KALMAR LÄN</t>
        </is>
      </c>
      <c r="E367" t="inlineStr">
        <is>
          <t>VÄSTERVIK</t>
        </is>
      </c>
      <c r="G367" t="n">
        <v>3.6</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45895</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13230-2021</t>
        </is>
      </c>
      <c r="B369" s="1" t="n">
        <v>44272</v>
      </c>
      <c r="C369" s="1" t="n">
        <v>45895</v>
      </c>
      <c r="D369" t="inlineStr">
        <is>
          <t>KALMAR LÄN</t>
        </is>
      </c>
      <c r="E369" t="inlineStr">
        <is>
          <t>VÄSTERVIK</t>
        </is>
      </c>
      <c r="G369" t="n">
        <v>7.2</v>
      </c>
      <c r="H369" t="n">
        <v>0</v>
      </c>
      <c r="I369" t="n">
        <v>0</v>
      </c>
      <c r="J369" t="n">
        <v>0</v>
      </c>
      <c r="K369" t="n">
        <v>0</v>
      </c>
      <c r="L369" t="n">
        <v>0</v>
      </c>
      <c r="M369" t="n">
        <v>0</v>
      </c>
      <c r="N369" t="n">
        <v>0</v>
      </c>
      <c r="O369" t="n">
        <v>0</v>
      </c>
      <c r="P369" t="n">
        <v>0</v>
      </c>
      <c r="Q369" t="n">
        <v>0</v>
      </c>
      <c r="R369" s="2" t="inlineStr"/>
    </row>
    <row r="370" ht="15" customHeight="1">
      <c r="A370" t="inlineStr">
        <is>
          <t>A 55240-2020</t>
        </is>
      </c>
      <c r="B370" s="1" t="n">
        <v>44130.63965277778</v>
      </c>
      <c r="C370" s="1" t="n">
        <v>45895</v>
      </c>
      <c r="D370" t="inlineStr">
        <is>
          <t>KALMAR LÄN</t>
        </is>
      </c>
      <c r="E370" t="inlineStr">
        <is>
          <t>VÄSTERVIK</t>
        </is>
      </c>
      <c r="G370" t="n">
        <v>1.2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45895</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45895</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45895</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45895</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10119-2022</t>
        </is>
      </c>
      <c r="B375" s="1" t="n">
        <v>44621.91652777778</v>
      </c>
      <c r="C375" s="1" t="n">
        <v>45895</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49404-2021</t>
        </is>
      </c>
      <c r="B376" s="1" t="n">
        <v>44454.63494212963</v>
      </c>
      <c r="C376" s="1" t="n">
        <v>45895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49407-2021</t>
        </is>
      </c>
      <c r="B377" s="1" t="n">
        <v>44454.63644675926</v>
      </c>
      <c r="C377" s="1" t="n">
        <v>45895</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61317-2021</t>
        </is>
      </c>
      <c r="B378" s="1" t="n">
        <v>44498.65975694444</v>
      </c>
      <c r="C378" s="1" t="n">
        <v>45895</v>
      </c>
      <c r="D378" t="inlineStr">
        <is>
          <t>KALMAR LÄN</t>
        </is>
      </c>
      <c r="E378" t="inlineStr">
        <is>
          <t>VÄSTERVIK</t>
        </is>
      </c>
      <c r="G378" t="n">
        <v>0.6</v>
      </c>
      <c r="H378" t="n">
        <v>0</v>
      </c>
      <c r="I378" t="n">
        <v>0</v>
      </c>
      <c r="J378" t="n">
        <v>0</v>
      </c>
      <c r="K378" t="n">
        <v>0</v>
      </c>
      <c r="L378" t="n">
        <v>0</v>
      </c>
      <c r="M378" t="n">
        <v>0</v>
      </c>
      <c r="N378" t="n">
        <v>0</v>
      </c>
      <c r="O378" t="n">
        <v>0</v>
      </c>
      <c r="P378" t="n">
        <v>0</v>
      </c>
      <c r="Q378" t="n">
        <v>0</v>
      </c>
      <c r="R378" s="2" t="inlineStr"/>
    </row>
    <row r="379" ht="15" customHeight="1">
      <c r="A379" t="inlineStr">
        <is>
          <t>A 56127-2020</t>
        </is>
      </c>
      <c r="B379" s="1" t="n">
        <v>44132</v>
      </c>
      <c r="C379" s="1" t="n">
        <v>45895</v>
      </c>
      <c r="D379" t="inlineStr">
        <is>
          <t>KALMAR LÄN</t>
        </is>
      </c>
      <c r="E379" t="inlineStr">
        <is>
          <t>VÄSTERVIK</t>
        </is>
      </c>
      <c r="G379" t="n">
        <v>1.6</v>
      </c>
      <c r="H379" t="n">
        <v>0</v>
      </c>
      <c r="I379" t="n">
        <v>0</v>
      </c>
      <c r="J379" t="n">
        <v>0</v>
      </c>
      <c r="K379" t="n">
        <v>0</v>
      </c>
      <c r="L379" t="n">
        <v>0</v>
      </c>
      <c r="M379" t="n">
        <v>0</v>
      </c>
      <c r="N379" t="n">
        <v>0</v>
      </c>
      <c r="O379" t="n">
        <v>0</v>
      </c>
      <c r="P379" t="n">
        <v>0</v>
      </c>
      <c r="Q379" t="n">
        <v>0</v>
      </c>
      <c r="R379" s="2" t="inlineStr"/>
    </row>
    <row r="380" ht="15" customHeight="1">
      <c r="A380" t="inlineStr">
        <is>
          <t>A 42113-2020</t>
        </is>
      </c>
      <c r="B380" s="1" t="n">
        <v>44071</v>
      </c>
      <c r="C380" s="1" t="n">
        <v>45895</v>
      </c>
      <c r="D380" t="inlineStr">
        <is>
          <t>KALMAR LÄN</t>
        </is>
      </c>
      <c r="E380" t="inlineStr">
        <is>
          <t>VÄSTERVIK</t>
        </is>
      </c>
      <c r="G380" t="n">
        <v>2.6</v>
      </c>
      <c r="H380" t="n">
        <v>0</v>
      </c>
      <c r="I380" t="n">
        <v>0</v>
      </c>
      <c r="J380" t="n">
        <v>0</v>
      </c>
      <c r="K380" t="n">
        <v>0</v>
      </c>
      <c r="L380" t="n">
        <v>0</v>
      </c>
      <c r="M380" t="n">
        <v>0</v>
      </c>
      <c r="N380" t="n">
        <v>0</v>
      </c>
      <c r="O380" t="n">
        <v>0</v>
      </c>
      <c r="P380" t="n">
        <v>0</v>
      </c>
      <c r="Q380" t="n">
        <v>0</v>
      </c>
      <c r="R380" s="2" t="inlineStr"/>
    </row>
    <row r="381" ht="15" customHeight="1">
      <c r="A381" t="inlineStr">
        <is>
          <t>A 56620-2021</t>
        </is>
      </c>
      <c r="B381" s="1" t="n">
        <v>44480.82778935185</v>
      </c>
      <c r="C381" s="1" t="n">
        <v>45895</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45895</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19660-2021</t>
        </is>
      </c>
      <c r="B383" s="1" t="n">
        <v>44312</v>
      </c>
      <c r="C383" s="1" t="n">
        <v>45895</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46527-2022</t>
        </is>
      </c>
      <c r="B384" s="1" t="n">
        <v>44848.59880787037</v>
      </c>
      <c r="C384" s="1" t="n">
        <v>45895</v>
      </c>
      <c r="D384" t="inlineStr">
        <is>
          <t>KALMAR LÄN</t>
        </is>
      </c>
      <c r="E384" t="inlineStr">
        <is>
          <t>VÄSTERVIK</t>
        </is>
      </c>
      <c r="G384" t="n">
        <v>1.7</v>
      </c>
      <c r="H384" t="n">
        <v>0</v>
      </c>
      <c r="I384" t="n">
        <v>0</v>
      </c>
      <c r="J384" t="n">
        <v>0</v>
      </c>
      <c r="K384" t="n">
        <v>0</v>
      </c>
      <c r="L384" t="n">
        <v>0</v>
      </c>
      <c r="M384" t="n">
        <v>0</v>
      </c>
      <c r="N384" t="n">
        <v>0</v>
      </c>
      <c r="O384" t="n">
        <v>0</v>
      </c>
      <c r="P384" t="n">
        <v>0</v>
      </c>
      <c r="Q384" t="n">
        <v>0</v>
      </c>
      <c r="R384" s="2" t="inlineStr"/>
    </row>
    <row r="385" ht="15" customHeight="1">
      <c r="A385" t="inlineStr">
        <is>
          <t>A 63212-2020</t>
        </is>
      </c>
      <c r="B385" s="1" t="n">
        <v>44163</v>
      </c>
      <c r="C385" s="1" t="n">
        <v>45895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61682-2020</t>
        </is>
      </c>
      <c r="B386" s="1" t="n">
        <v>44154</v>
      </c>
      <c r="C386" s="1" t="n">
        <v>45895</v>
      </c>
      <c r="D386" t="inlineStr">
        <is>
          <t>KALMAR LÄN</t>
        </is>
      </c>
      <c r="E386" t="inlineStr">
        <is>
          <t>VÄSTERVIK</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66757-2020</t>
        </is>
      </c>
      <c r="B387" s="1" t="n">
        <v>44175</v>
      </c>
      <c r="C387" s="1" t="n">
        <v>45895</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45895</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43803-2021</t>
        </is>
      </c>
      <c r="B389" s="1" t="n">
        <v>44433</v>
      </c>
      <c r="C389" s="1" t="n">
        <v>45895</v>
      </c>
      <c r="D389" t="inlineStr">
        <is>
          <t>KALMAR LÄN</t>
        </is>
      </c>
      <c r="E389" t="inlineStr">
        <is>
          <t>VÄSTERVIK</t>
        </is>
      </c>
      <c r="G389" t="n">
        <v>4.2</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45895</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57937-2021</t>
        </is>
      </c>
      <c r="B391" s="1" t="n">
        <v>44487</v>
      </c>
      <c r="C391" s="1" t="n">
        <v>45895</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45895</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68811-2020</t>
        </is>
      </c>
      <c r="B393" s="1" t="n">
        <v>44187</v>
      </c>
      <c r="C393" s="1" t="n">
        <v>45895</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37753-2021</t>
        </is>
      </c>
      <c r="B394" s="1" t="n">
        <v>44400.63810185185</v>
      </c>
      <c r="C394" s="1" t="n">
        <v>45895</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45895</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45895</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45895</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29909-2022</t>
        </is>
      </c>
      <c r="B398" s="1" t="n">
        <v>44756</v>
      </c>
      <c r="C398" s="1" t="n">
        <v>45895</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46018-2022</t>
        </is>
      </c>
      <c r="B399" s="1" t="n">
        <v>44846</v>
      </c>
      <c r="C399" s="1" t="n">
        <v>45895</v>
      </c>
      <c r="D399" t="inlineStr">
        <is>
          <t>KALMAR LÄN</t>
        </is>
      </c>
      <c r="E399" t="inlineStr">
        <is>
          <t>VÄSTERVIK</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6974-2021</t>
        </is>
      </c>
      <c r="B400" s="1" t="n">
        <v>44237</v>
      </c>
      <c r="C400" s="1" t="n">
        <v>45895</v>
      </c>
      <c r="D400" t="inlineStr">
        <is>
          <t>KALMAR LÄN</t>
        </is>
      </c>
      <c r="E400" t="inlineStr">
        <is>
          <t>VÄSTERVIK</t>
        </is>
      </c>
      <c r="G400" t="n">
        <v>2.2</v>
      </c>
      <c r="H400" t="n">
        <v>0</v>
      </c>
      <c r="I400" t="n">
        <v>0</v>
      </c>
      <c r="J400" t="n">
        <v>0</v>
      </c>
      <c r="K400" t="n">
        <v>0</v>
      </c>
      <c r="L400" t="n">
        <v>0</v>
      </c>
      <c r="M400" t="n">
        <v>0</v>
      </c>
      <c r="N400" t="n">
        <v>0</v>
      </c>
      <c r="O400" t="n">
        <v>0</v>
      </c>
      <c r="P400" t="n">
        <v>0</v>
      </c>
      <c r="Q400" t="n">
        <v>0</v>
      </c>
      <c r="R400" s="2" t="inlineStr"/>
    </row>
    <row r="401" ht="15" customHeight="1">
      <c r="A401" t="inlineStr">
        <is>
          <t>A 17216-2021</t>
        </is>
      </c>
      <c r="B401" s="1" t="n">
        <v>44298.49047453704</v>
      </c>
      <c r="C401" s="1" t="n">
        <v>45895</v>
      </c>
      <c r="D401" t="inlineStr">
        <is>
          <t>KALMAR LÄN</t>
        </is>
      </c>
      <c r="E401" t="inlineStr">
        <is>
          <t>VÄSTERVIK</t>
        </is>
      </c>
      <c r="G401" t="n">
        <v>1.4</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45895</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38399-2022</t>
        </is>
      </c>
      <c r="B403" s="1" t="n">
        <v>44812</v>
      </c>
      <c r="C403" s="1" t="n">
        <v>45895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57009-2020</t>
        </is>
      </c>
      <c r="B404" s="1" t="n">
        <v>44138</v>
      </c>
      <c r="C404" s="1" t="n">
        <v>45895</v>
      </c>
      <c r="D404" t="inlineStr">
        <is>
          <t>KALMAR LÄN</t>
        </is>
      </c>
      <c r="E404" t="inlineStr">
        <is>
          <t>VÄSTERVIK</t>
        </is>
      </c>
      <c r="F404" t="inlineStr">
        <is>
          <t>Holmen skog AB</t>
        </is>
      </c>
      <c r="G404" t="n">
        <v>1.7</v>
      </c>
      <c r="H404" t="n">
        <v>0</v>
      </c>
      <c r="I404" t="n">
        <v>0</v>
      </c>
      <c r="J404" t="n">
        <v>0</v>
      </c>
      <c r="K404" t="n">
        <v>0</v>
      </c>
      <c r="L404" t="n">
        <v>0</v>
      </c>
      <c r="M404" t="n">
        <v>0</v>
      </c>
      <c r="N404" t="n">
        <v>0</v>
      </c>
      <c r="O404" t="n">
        <v>0</v>
      </c>
      <c r="P404" t="n">
        <v>0</v>
      </c>
      <c r="Q404" t="n">
        <v>0</v>
      </c>
      <c r="R404" s="2" t="inlineStr"/>
      <c r="U404">
        <f>HYPERLINK("https://klasma.github.io/Logging_0883/knärot/A 57009-2020 karta knärot.png", "A 57009-2020")</f>
        <v/>
      </c>
      <c r="V404">
        <f>HYPERLINK("https://klasma.github.io/Logging_0883/klagomål/A 57009-2020 FSC-klagomål.docx", "A 57009-2020")</f>
        <v/>
      </c>
      <c r="W404">
        <f>HYPERLINK("https://klasma.github.io/Logging_0883/klagomålsmail/A 57009-2020 FSC-klagomål mail.docx", "A 57009-2020")</f>
        <v/>
      </c>
      <c r="X404">
        <f>HYPERLINK("https://klasma.github.io/Logging_0883/tillsyn/A 57009-2020 tillsynsbegäran.docx", "A 57009-2020")</f>
        <v/>
      </c>
      <c r="Y404">
        <f>HYPERLINK("https://klasma.github.io/Logging_0883/tillsynsmail/A 57009-2020 tillsynsbegäran mail.docx", "A 57009-2020")</f>
        <v/>
      </c>
    </row>
    <row r="405" ht="15" customHeight="1">
      <c r="A405" t="inlineStr">
        <is>
          <t>A 66149-2020</t>
        </is>
      </c>
      <c r="B405" s="1" t="n">
        <v>44173</v>
      </c>
      <c r="C405" s="1" t="n">
        <v>45895</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47363-2023</t>
        </is>
      </c>
      <c r="B406" s="1" t="n">
        <v>45202.59584490741</v>
      </c>
      <c r="C406" s="1" t="n">
        <v>45895</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69064-2020</t>
        </is>
      </c>
      <c r="B407" s="1" t="n">
        <v>44188.47537037037</v>
      </c>
      <c r="C407" s="1" t="n">
        <v>45895</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5355-2024</t>
        </is>
      </c>
      <c r="B408" s="1" t="n">
        <v>45331</v>
      </c>
      <c r="C408" s="1" t="n">
        <v>45895</v>
      </c>
      <c r="D408" t="inlineStr">
        <is>
          <t>KALMAR LÄN</t>
        </is>
      </c>
      <c r="E408" t="inlineStr">
        <is>
          <t>VÄSTERVIK</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55053-2024</t>
        </is>
      </c>
      <c r="B409" s="1" t="n">
        <v>45621.39938657408</v>
      </c>
      <c r="C409" s="1" t="n">
        <v>45895</v>
      </c>
      <c r="D409" t="inlineStr">
        <is>
          <t>KALMAR LÄN</t>
        </is>
      </c>
      <c r="E409" t="inlineStr">
        <is>
          <t>VÄSTERVIK</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18728-2025</t>
        </is>
      </c>
      <c r="B410" s="1" t="n">
        <v>45763.67365740741</v>
      </c>
      <c r="C410" s="1" t="n">
        <v>45895</v>
      </c>
      <c r="D410" t="inlineStr">
        <is>
          <t>KALMAR LÄN</t>
        </is>
      </c>
      <c r="E410" t="inlineStr">
        <is>
          <t>VÄSTERVIK</t>
        </is>
      </c>
      <c r="G410" t="n">
        <v>6.6</v>
      </c>
      <c r="H410" t="n">
        <v>0</v>
      </c>
      <c r="I410" t="n">
        <v>0</v>
      </c>
      <c r="J410" t="n">
        <v>0</v>
      </c>
      <c r="K410" t="n">
        <v>0</v>
      </c>
      <c r="L410" t="n">
        <v>0</v>
      </c>
      <c r="M410" t="n">
        <v>0</v>
      </c>
      <c r="N410" t="n">
        <v>0</v>
      </c>
      <c r="O410" t="n">
        <v>0</v>
      </c>
      <c r="P410" t="n">
        <v>0</v>
      </c>
      <c r="Q410" t="n">
        <v>0</v>
      </c>
      <c r="R410" s="2" t="inlineStr"/>
    </row>
    <row r="411" ht="15" customHeight="1">
      <c r="A411" t="inlineStr">
        <is>
          <t>A 43759-2023</t>
        </is>
      </c>
      <c r="B411" s="1" t="n">
        <v>45187</v>
      </c>
      <c r="C411" s="1" t="n">
        <v>45895</v>
      </c>
      <c r="D411" t="inlineStr">
        <is>
          <t>KALMAR LÄN</t>
        </is>
      </c>
      <c r="E411" t="inlineStr">
        <is>
          <t>VÄSTERVIK</t>
        </is>
      </c>
      <c r="G411" t="n">
        <v>3.3</v>
      </c>
      <c r="H411" t="n">
        <v>0</v>
      </c>
      <c r="I411" t="n">
        <v>0</v>
      </c>
      <c r="J411" t="n">
        <v>0</v>
      </c>
      <c r="K411" t="n">
        <v>0</v>
      </c>
      <c r="L411" t="n">
        <v>0</v>
      </c>
      <c r="M411" t="n">
        <v>0</v>
      </c>
      <c r="N411" t="n">
        <v>0</v>
      </c>
      <c r="O411" t="n">
        <v>0</v>
      </c>
      <c r="P411" t="n">
        <v>0</v>
      </c>
      <c r="Q411" t="n">
        <v>0</v>
      </c>
      <c r="R411" s="2" t="inlineStr"/>
    </row>
    <row r="412" ht="15" customHeight="1">
      <c r="A412" t="inlineStr">
        <is>
          <t>A 44705-2023</t>
        </is>
      </c>
      <c r="B412" s="1" t="n">
        <v>45190</v>
      </c>
      <c r="C412" s="1" t="n">
        <v>45895</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46070-2023</t>
        </is>
      </c>
      <c r="B413" s="1" t="n">
        <v>45196</v>
      </c>
      <c r="C413" s="1" t="n">
        <v>45895</v>
      </c>
      <c r="D413" t="inlineStr">
        <is>
          <t>KALMAR LÄN</t>
        </is>
      </c>
      <c r="E413" t="inlineStr">
        <is>
          <t>VÄSTERVIK</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38174-2023</t>
        </is>
      </c>
      <c r="B414" s="1" t="n">
        <v>45161</v>
      </c>
      <c r="C414" s="1" t="n">
        <v>45895</v>
      </c>
      <c r="D414" t="inlineStr">
        <is>
          <t>KALMAR LÄN</t>
        </is>
      </c>
      <c r="E414" t="inlineStr">
        <is>
          <t>VÄSTERVIK</t>
        </is>
      </c>
      <c r="G414" t="n">
        <v>3.4</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45895</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9760-2024</t>
        </is>
      </c>
      <c r="B416" s="1" t="n">
        <v>45362</v>
      </c>
      <c r="C416" s="1" t="n">
        <v>45895</v>
      </c>
      <c r="D416" t="inlineStr">
        <is>
          <t>KALMAR LÄN</t>
        </is>
      </c>
      <c r="E416" t="inlineStr">
        <is>
          <t>VÄSTERVIK</t>
        </is>
      </c>
      <c r="G416" t="n">
        <v>2.1</v>
      </c>
      <c r="H416" t="n">
        <v>0</v>
      </c>
      <c r="I416" t="n">
        <v>0</v>
      </c>
      <c r="J416" t="n">
        <v>0</v>
      </c>
      <c r="K416" t="n">
        <v>0</v>
      </c>
      <c r="L416" t="n">
        <v>0</v>
      </c>
      <c r="M416" t="n">
        <v>0</v>
      </c>
      <c r="N416" t="n">
        <v>0</v>
      </c>
      <c r="O416" t="n">
        <v>0</v>
      </c>
      <c r="P416" t="n">
        <v>0</v>
      </c>
      <c r="Q416" t="n">
        <v>0</v>
      </c>
      <c r="R416" s="2" t="inlineStr"/>
    </row>
    <row r="417" ht="15" customHeight="1">
      <c r="A417" t="inlineStr">
        <is>
          <t>A 37716-2023</t>
        </is>
      </c>
      <c r="B417" s="1" t="n">
        <v>45159</v>
      </c>
      <c r="C417" s="1" t="n">
        <v>45895</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58216-2022</t>
        </is>
      </c>
      <c r="B418" s="1" t="n">
        <v>44901.36292824074</v>
      </c>
      <c r="C418" s="1" t="n">
        <v>45895</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21255-2021</t>
        </is>
      </c>
      <c r="B419" s="1" t="n">
        <v>44320.5672337963</v>
      </c>
      <c r="C419" s="1" t="n">
        <v>45895</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5234-2024</t>
        </is>
      </c>
      <c r="B420" s="1" t="n">
        <v>45330.80729166666</v>
      </c>
      <c r="C420" s="1" t="n">
        <v>45895</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8619-2024</t>
        </is>
      </c>
      <c r="B421" s="1" t="n">
        <v>45355.73599537037</v>
      </c>
      <c r="C421" s="1" t="n">
        <v>45895</v>
      </c>
      <c r="D421" t="inlineStr">
        <is>
          <t>KALMAR LÄN</t>
        </is>
      </c>
      <c r="E421" t="inlineStr">
        <is>
          <t>VÄSTERVIK</t>
        </is>
      </c>
      <c r="G421" t="n">
        <v>1.6</v>
      </c>
      <c r="H421" t="n">
        <v>0</v>
      </c>
      <c r="I421" t="n">
        <v>0</v>
      </c>
      <c r="J421" t="n">
        <v>0</v>
      </c>
      <c r="K421" t="n">
        <v>0</v>
      </c>
      <c r="L421" t="n">
        <v>0</v>
      </c>
      <c r="M421" t="n">
        <v>0</v>
      </c>
      <c r="N421" t="n">
        <v>0</v>
      </c>
      <c r="O421" t="n">
        <v>0</v>
      </c>
      <c r="P421" t="n">
        <v>0</v>
      </c>
      <c r="Q421" t="n">
        <v>0</v>
      </c>
      <c r="R421" s="2" t="inlineStr"/>
    </row>
    <row r="422" ht="15" customHeight="1">
      <c r="A422" t="inlineStr">
        <is>
          <t>A 45450-2023</t>
        </is>
      </c>
      <c r="B422" s="1" t="n">
        <v>45194</v>
      </c>
      <c r="C422" s="1" t="n">
        <v>45895</v>
      </c>
      <c r="D422" t="inlineStr">
        <is>
          <t>KALMAR LÄN</t>
        </is>
      </c>
      <c r="E422" t="inlineStr">
        <is>
          <t>VÄSTERVIK</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45474-2023</t>
        </is>
      </c>
      <c r="B423" s="1" t="n">
        <v>45194</v>
      </c>
      <c r="C423" s="1" t="n">
        <v>45895</v>
      </c>
      <c r="D423" t="inlineStr">
        <is>
          <t>KALMAR LÄN</t>
        </is>
      </c>
      <c r="E423" t="inlineStr">
        <is>
          <t>VÄSTERVIK</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562-2023</t>
        </is>
      </c>
      <c r="B424" s="1" t="n">
        <v>44930</v>
      </c>
      <c r="C424" s="1" t="n">
        <v>45895</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13748-2024</t>
        </is>
      </c>
      <c r="B425" s="1" t="n">
        <v>45390</v>
      </c>
      <c r="C425" s="1" t="n">
        <v>45895</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36888-2024</t>
        </is>
      </c>
      <c r="B426" s="1" t="n">
        <v>45538</v>
      </c>
      <c r="C426" s="1" t="n">
        <v>45895</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45895</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2746-2023</t>
        </is>
      </c>
      <c r="B428" s="1" t="n">
        <v>44944</v>
      </c>
      <c r="C428" s="1" t="n">
        <v>45895</v>
      </c>
      <c r="D428" t="inlineStr">
        <is>
          <t>KALMAR LÄN</t>
        </is>
      </c>
      <c r="E428" t="inlineStr">
        <is>
          <t>VÄSTERVIK</t>
        </is>
      </c>
      <c r="G428" t="n">
        <v>5.5</v>
      </c>
      <c r="H428" t="n">
        <v>0</v>
      </c>
      <c r="I428" t="n">
        <v>0</v>
      </c>
      <c r="J428" t="n">
        <v>0</v>
      </c>
      <c r="K428" t="n">
        <v>0</v>
      </c>
      <c r="L428" t="n">
        <v>0</v>
      </c>
      <c r="M428" t="n">
        <v>0</v>
      </c>
      <c r="N428" t="n">
        <v>0</v>
      </c>
      <c r="O428" t="n">
        <v>0</v>
      </c>
      <c r="P428" t="n">
        <v>0</v>
      </c>
      <c r="Q428" t="n">
        <v>0</v>
      </c>
      <c r="R428" s="2" t="inlineStr"/>
    </row>
    <row r="429" ht="15" customHeight="1">
      <c r="A429" t="inlineStr">
        <is>
          <t>A 58209-2022</t>
        </is>
      </c>
      <c r="B429" s="1" t="n">
        <v>44901</v>
      </c>
      <c r="C429" s="1" t="n">
        <v>45895</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52155-2021</t>
        </is>
      </c>
      <c r="B430" s="1" t="n">
        <v>44463</v>
      </c>
      <c r="C430" s="1" t="n">
        <v>45895</v>
      </c>
      <c r="D430" t="inlineStr">
        <is>
          <t>KALMAR LÄN</t>
        </is>
      </c>
      <c r="E430" t="inlineStr">
        <is>
          <t>VÄSTERVIK</t>
        </is>
      </c>
      <c r="G430" t="n">
        <v>0.7</v>
      </c>
      <c r="H430" t="n">
        <v>0</v>
      </c>
      <c r="I430" t="n">
        <v>0</v>
      </c>
      <c r="J430" t="n">
        <v>0</v>
      </c>
      <c r="K430" t="n">
        <v>0</v>
      </c>
      <c r="L430" t="n">
        <v>0</v>
      </c>
      <c r="M430" t="n">
        <v>0</v>
      </c>
      <c r="N430" t="n">
        <v>0</v>
      </c>
      <c r="O430" t="n">
        <v>0</v>
      </c>
      <c r="P430" t="n">
        <v>0</v>
      </c>
      <c r="Q430" t="n">
        <v>0</v>
      </c>
      <c r="R430" s="2" t="inlineStr"/>
    </row>
    <row r="431" ht="15" customHeight="1">
      <c r="A431" t="inlineStr">
        <is>
          <t>A 1877-2025</t>
        </is>
      </c>
      <c r="B431" s="1" t="n">
        <v>45671.62141203704</v>
      </c>
      <c r="C431" s="1" t="n">
        <v>45895</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12433-2024</t>
        </is>
      </c>
      <c r="B432" s="1" t="n">
        <v>45379.44450231481</v>
      </c>
      <c r="C432" s="1" t="n">
        <v>45895</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15444-2025</t>
        </is>
      </c>
      <c r="B433" s="1" t="n">
        <v>45747.48377314815</v>
      </c>
      <c r="C433" s="1" t="n">
        <v>45895</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37858-2023</t>
        </is>
      </c>
      <c r="B434" s="1" t="n">
        <v>45160.40577546296</v>
      </c>
      <c r="C434" s="1" t="n">
        <v>45895</v>
      </c>
      <c r="D434" t="inlineStr">
        <is>
          <t>KALMAR LÄN</t>
        </is>
      </c>
      <c r="E434" t="inlineStr">
        <is>
          <t>VÄSTERVIK</t>
        </is>
      </c>
      <c r="G434" t="n">
        <v>3</v>
      </c>
      <c r="H434" t="n">
        <v>0</v>
      </c>
      <c r="I434" t="n">
        <v>0</v>
      </c>
      <c r="J434" t="n">
        <v>0</v>
      </c>
      <c r="K434" t="n">
        <v>0</v>
      </c>
      <c r="L434" t="n">
        <v>0</v>
      </c>
      <c r="M434" t="n">
        <v>0</v>
      </c>
      <c r="N434" t="n">
        <v>0</v>
      </c>
      <c r="O434" t="n">
        <v>0</v>
      </c>
      <c r="P434" t="n">
        <v>0</v>
      </c>
      <c r="Q434" t="n">
        <v>0</v>
      </c>
      <c r="R434" s="2" t="inlineStr"/>
    </row>
    <row r="435" ht="15" customHeight="1">
      <c r="A435" t="inlineStr">
        <is>
          <t>A 17650-2023</t>
        </is>
      </c>
      <c r="B435" s="1" t="n">
        <v>45036.70215277778</v>
      </c>
      <c r="C435" s="1" t="n">
        <v>45895</v>
      </c>
      <c r="D435" t="inlineStr">
        <is>
          <t>KALMAR LÄN</t>
        </is>
      </c>
      <c r="E435" t="inlineStr">
        <is>
          <t>VÄSTERVIK</t>
        </is>
      </c>
      <c r="G435" t="n">
        <v>0.3</v>
      </c>
      <c r="H435" t="n">
        <v>0</v>
      </c>
      <c r="I435" t="n">
        <v>0</v>
      </c>
      <c r="J435" t="n">
        <v>0</v>
      </c>
      <c r="K435" t="n">
        <v>0</v>
      </c>
      <c r="L435" t="n">
        <v>0</v>
      </c>
      <c r="M435" t="n">
        <v>0</v>
      </c>
      <c r="N435" t="n">
        <v>0</v>
      </c>
      <c r="O435" t="n">
        <v>0</v>
      </c>
      <c r="P435" t="n">
        <v>0</v>
      </c>
      <c r="Q435" t="n">
        <v>0</v>
      </c>
      <c r="R435" s="2" t="inlineStr"/>
    </row>
    <row r="436" ht="15" customHeight="1">
      <c r="A436" t="inlineStr">
        <is>
          <t>A 4583-2023</t>
        </is>
      </c>
      <c r="B436" s="1" t="n">
        <v>44956</v>
      </c>
      <c r="C436" s="1" t="n">
        <v>45895</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11848-2024</t>
        </is>
      </c>
      <c r="B437" s="1" t="n">
        <v>45376.41653935185</v>
      </c>
      <c r="C437" s="1" t="n">
        <v>45895</v>
      </c>
      <c r="D437" t="inlineStr">
        <is>
          <t>KALMAR LÄN</t>
        </is>
      </c>
      <c r="E437" t="inlineStr">
        <is>
          <t>VÄSTERVIK</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46267-2022</t>
        </is>
      </c>
      <c r="B438" s="1" t="n">
        <v>44847</v>
      </c>
      <c r="C438" s="1" t="n">
        <v>45895</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31952-2021</t>
        </is>
      </c>
      <c r="B439" s="1" t="n">
        <v>44370</v>
      </c>
      <c r="C439" s="1" t="n">
        <v>45895</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14092-2025</t>
        </is>
      </c>
      <c r="B440" s="1" t="n">
        <v>45740.44686342592</v>
      </c>
      <c r="C440" s="1" t="n">
        <v>45895</v>
      </c>
      <c r="D440" t="inlineStr">
        <is>
          <t>KALMAR LÄN</t>
        </is>
      </c>
      <c r="E440" t="inlineStr">
        <is>
          <t>VÄSTERVIK</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46560-2022</t>
        </is>
      </c>
      <c r="B441" s="1" t="n">
        <v>44848</v>
      </c>
      <c r="C441" s="1" t="n">
        <v>45895</v>
      </c>
      <c r="D441" t="inlineStr">
        <is>
          <t>KALMAR LÄN</t>
        </is>
      </c>
      <c r="E441" t="inlineStr">
        <is>
          <t>VÄSTERVIK</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13836-2024</t>
        </is>
      </c>
      <c r="B442" s="1" t="n">
        <v>45391.44385416667</v>
      </c>
      <c r="C442" s="1" t="n">
        <v>45895</v>
      </c>
      <c r="D442" t="inlineStr">
        <is>
          <t>KALMAR LÄN</t>
        </is>
      </c>
      <c r="E442" t="inlineStr">
        <is>
          <t>VÄSTERVIK</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64920-2021</t>
        </is>
      </c>
      <c r="B443" s="1" t="n">
        <v>44512</v>
      </c>
      <c r="C443" s="1" t="n">
        <v>45895</v>
      </c>
      <c r="D443" t="inlineStr">
        <is>
          <t>KALMAR LÄN</t>
        </is>
      </c>
      <c r="E443" t="inlineStr">
        <is>
          <t>VÄSTERVIK</t>
        </is>
      </c>
      <c r="G443" t="n">
        <v>1.2</v>
      </c>
      <c r="H443" t="n">
        <v>0</v>
      </c>
      <c r="I443" t="n">
        <v>0</v>
      </c>
      <c r="J443" t="n">
        <v>0</v>
      </c>
      <c r="K443" t="n">
        <v>0</v>
      </c>
      <c r="L443" t="n">
        <v>0</v>
      </c>
      <c r="M443" t="n">
        <v>0</v>
      </c>
      <c r="N443" t="n">
        <v>0</v>
      </c>
      <c r="O443" t="n">
        <v>0</v>
      </c>
      <c r="P443" t="n">
        <v>0</v>
      </c>
      <c r="Q443" t="n">
        <v>0</v>
      </c>
      <c r="R443" s="2" t="inlineStr"/>
      <c r="U443">
        <f>HYPERLINK("https://klasma.github.io/Logging_0883/knärot/A 64920-2021 karta knärot.png", "A 64920-2021")</f>
        <v/>
      </c>
      <c r="V443">
        <f>HYPERLINK("https://klasma.github.io/Logging_0883/klagomål/A 64920-2021 FSC-klagomål.docx", "A 64920-2021")</f>
        <v/>
      </c>
      <c r="W443">
        <f>HYPERLINK("https://klasma.github.io/Logging_0883/klagomålsmail/A 64920-2021 FSC-klagomål mail.docx", "A 64920-2021")</f>
        <v/>
      </c>
      <c r="X443">
        <f>HYPERLINK("https://klasma.github.io/Logging_0883/tillsyn/A 64920-2021 tillsynsbegäran.docx", "A 64920-2021")</f>
        <v/>
      </c>
      <c r="Y443">
        <f>HYPERLINK("https://klasma.github.io/Logging_0883/tillsynsmail/A 64920-2021 tillsynsbegäran mail.docx", "A 64920-2021")</f>
        <v/>
      </c>
    </row>
    <row r="444" ht="15" customHeight="1">
      <c r="A444" t="inlineStr">
        <is>
          <t>A 47120-2023</t>
        </is>
      </c>
      <c r="B444" s="1" t="n">
        <v>45201</v>
      </c>
      <c r="C444" s="1" t="n">
        <v>45895</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47123-2023</t>
        </is>
      </c>
      <c r="B445" s="1" t="n">
        <v>45201.68075231482</v>
      </c>
      <c r="C445" s="1" t="n">
        <v>45895</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46718-2023</t>
        </is>
      </c>
      <c r="B446" s="1" t="n">
        <v>45198</v>
      </c>
      <c r="C446" s="1" t="n">
        <v>45895</v>
      </c>
      <c r="D446" t="inlineStr">
        <is>
          <t>KALMAR LÄN</t>
        </is>
      </c>
      <c r="E446" t="inlineStr">
        <is>
          <t>VÄSTERVIK</t>
        </is>
      </c>
      <c r="G446" t="n">
        <v>0.4</v>
      </c>
      <c r="H446" t="n">
        <v>0</v>
      </c>
      <c r="I446" t="n">
        <v>0</v>
      </c>
      <c r="J446" t="n">
        <v>0</v>
      </c>
      <c r="K446" t="n">
        <v>0</v>
      </c>
      <c r="L446" t="n">
        <v>0</v>
      </c>
      <c r="M446" t="n">
        <v>0</v>
      </c>
      <c r="N446" t="n">
        <v>0</v>
      </c>
      <c r="O446" t="n">
        <v>0</v>
      </c>
      <c r="P446" t="n">
        <v>0</v>
      </c>
      <c r="Q446" t="n">
        <v>0</v>
      </c>
      <c r="R446" s="2" t="inlineStr"/>
    </row>
    <row r="447" ht="15" customHeight="1">
      <c r="A447" t="inlineStr">
        <is>
          <t>A 51264-2020</t>
        </is>
      </c>
      <c r="B447" s="1" t="n">
        <v>44112</v>
      </c>
      <c r="C447" s="1" t="n">
        <v>45895</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14072-2025</t>
        </is>
      </c>
      <c r="B448" s="1" t="n">
        <v>45740.42978009259</v>
      </c>
      <c r="C448" s="1" t="n">
        <v>45895</v>
      </c>
      <c r="D448" t="inlineStr">
        <is>
          <t>KALMAR LÄN</t>
        </is>
      </c>
      <c r="E448" t="inlineStr">
        <is>
          <t>VÄSTERVIK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14075-2025</t>
        </is>
      </c>
      <c r="B449" s="1" t="n">
        <v>45740.43222222223</v>
      </c>
      <c r="C449" s="1" t="n">
        <v>45895</v>
      </c>
      <c r="D449" t="inlineStr">
        <is>
          <t>KALMAR LÄN</t>
        </is>
      </c>
      <c r="E449" t="inlineStr">
        <is>
          <t>VÄSTERVIK</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60263-2022</t>
        </is>
      </c>
      <c r="B450" s="1" t="n">
        <v>44910.48520833333</v>
      </c>
      <c r="C450" s="1" t="n">
        <v>45895</v>
      </c>
      <c r="D450" t="inlineStr">
        <is>
          <t>KALMAR LÄN</t>
        </is>
      </c>
      <c r="E450" t="inlineStr">
        <is>
          <t>VÄSTERVIK</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1798-2023</t>
        </is>
      </c>
      <c r="B451" s="1" t="n">
        <v>44938</v>
      </c>
      <c r="C451" s="1" t="n">
        <v>45895</v>
      </c>
      <c r="D451" t="inlineStr">
        <is>
          <t>KALMAR LÄN</t>
        </is>
      </c>
      <c r="E451" t="inlineStr">
        <is>
          <t>VÄSTERVIK</t>
        </is>
      </c>
      <c r="G451" t="n">
        <v>3.9</v>
      </c>
      <c r="H451" t="n">
        <v>0</v>
      </c>
      <c r="I451" t="n">
        <v>0</v>
      </c>
      <c r="J451" t="n">
        <v>0</v>
      </c>
      <c r="K451" t="n">
        <v>0</v>
      </c>
      <c r="L451" t="n">
        <v>0</v>
      </c>
      <c r="M451" t="n">
        <v>0</v>
      </c>
      <c r="N451" t="n">
        <v>0</v>
      </c>
      <c r="O451" t="n">
        <v>0</v>
      </c>
      <c r="P451" t="n">
        <v>0</v>
      </c>
      <c r="Q451" t="n">
        <v>0</v>
      </c>
      <c r="R451" s="2" t="inlineStr"/>
    </row>
    <row r="452" ht="15" customHeight="1">
      <c r="A452" t="inlineStr">
        <is>
          <t>A 26776-2023</t>
        </is>
      </c>
      <c r="B452" s="1" t="n">
        <v>45093</v>
      </c>
      <c r="C452" s="1" t="n">
        <v>45895</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949-2024</t>
        </is>
      </c>
      <c r="B453" s="1" t="n">
        <v>45301</v>
      </c>
      <c r="C453" s="1" t="n">
        <v>45895</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12643-2024</t>
        </is>
      </c>
      <c r="B454" s="1" t="n">
        <v>45379</v>
      </c>
      <c r="C454" s="1" t="n">
        <v>45895</v>
      </c>
      <c r="D454" t="inlineStr">
        <is>
          <t>KALMAR LÄN</t>
        </is>
      </c>
      <c r="E454" t="inlineStr">
        <is>
          <t>VÄSTERVIK</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29786-2024</t>
        </is>
      </c>
      <c r="B455" s="1" t="n">
        <v>45485.46388888889</v>
      </c>
      <c r="C455" s="1" t="n">
        <v>45895</v>
      </c>
      <c r="D455" t="inlineStr">
        <is>
          <t>KALMAR LÄN</t>
        </is>
      </c>
      <c r="E455" t="inlineStr">
        <is>
          <t>VÄSTERVIK</t>
        </is>
      </c>
      <c r="G455" t="n">
        <v>2.1</v>
      </c>
      <c r="H455" t="n">
        <v>0</v>
      </c>
      <c r="I455" t="n">
        <v>0</v>
      </c>
      <c r="J455" t="n">
        <v>0</v>
      </c>
      <c r="K455" t="n">
        <v>0</v>
      </c>
      <c r="L455" t="n">
        <v>0</v>
      </c>
      <c r="M455" t="n">
        <v>0</v>
      </c>
      <c r="N455" t="n">
        <v>0</v>
      </c>
      <c r="O455" t="n">
        <v>0</v>
      </c>
      <c r="P455" t="n">
        <v>0</v>
      </c>
      <c r="Q455" t="n">
        <v>0</v>
      </c>
      <c r="R455" s="2" t="inlineStr"/>
    </row>
    <row r="456" ht="15" customHeight="1">
      <c r="A456" t="inlineStr">
        <is>
          <t>A 1096-2024</t>
        </is>
      </c>
      <c r="B456" s="1" t="n">
        <v>45302</v>
      </c>
      <c r="C456" s="1" t="n">
        <v>45895</v>
      </c>
      <c r="D456" t="inlineStr">
        <is>
          <t>KALMAR LÄN</t>
        </is>
      </c>
      <c r="E456" t="inlineStr">
        <is>
          <t>VÄSTERVIK</t>
        </is>
      </c>
      <c r="G456" t="n">
        <v>2.6</v>
      </c>
      <c r="H456" t="n">
        <v>0</v>
      </c>
      <c r="I456" t="n">
        <v>0</v>
      </c>
      <c r="J456" t="n">
        <v>0</v>
      </c>
      <c r="K456" t="n">
        <v>0</v>
      </c>
      <c r="L456" t="n">
        <v>0</v>
      </c>
      <c r="M456" t="n">
        <v>0</v>
      </c>
      <c r="N456" t="n">
        <v>0</v>
      </c>
      <c r="O456" t="n">
        <v>0</v>
      </c>
      <c r="P456" t="n">
        <v>0</v>
      </c>
      <c r="Q456" t="n">
        <v>0</v>
      </c>
      <c r="R456" s="2" t="inlineStr"/>
    </row>
    <row r="457" ht="15" customHeight="1">
      <c r="A457" t="inlineStr">
        <is>
          <t>A 24567-2024</t>
        </is>
      </c>
      <c r="B457" s="1" t="n">
        <v>45460.44732638889</v>
      </c>
      <c r="C457" s="1" t="n">
        <v>45895</v>
      </c>
      <c r="D457" t="inlineStr">
        <is>
          <t>KALMAR LÄN</t>
        </is>
      </c>
      <c r="E457" t="inlineStr">
        <is>
          <t>VÄSTERVIK</t>
        </is>
      </c>
      <c r="G457" t="n">
        <v>5.1</v>
      </c>
      <c r="H457" t="n">
        <v>0</v>
      </c>
      <c r="I457" t="n">
        <v>0</v>
      </c>
      <c r="J457" t="n">
        <v>0</v>
      </c>
      <c r="K457" t="n">
        <v>0</v>
      </c>
      <c r="L457" t="n">
        <v>0</v>
      </c>
      <c r="M457" t="n">
        <v>0</v>
      </c>
      <c r="N457" t="n">
        <v>0</v>
      </c>
      <c r="O457" t="n">
        <v>0</v>
      </c>
      <c r="P457" t="n">
        <v>0</v>
      </c>
      <c r="Q457" t="n">
        <v>0</v>
      </c>
      <c r="R457" s="2" t="inlineStr"/>
    </row>
    <row r="458" ht="15" customHeight="1">
      <c r="A458" t="inlineStr">
        <is>
          <t>A 25561-2024</t>
        </is>
      </c>
      <c r="B458" s="1" t="n">
        <v>45463.58467592593</v>
      </c>
      <c r="C458" s="1" t="n">
        <v>45895</v>
      </c>
      <c r="D458" t="inlineStr">
        <is>
          <t>KALMAR LÄN</t>
        </is>
      </c>
      <c r="E458" t="inlineStr">
        <is>
          <t>VÄSTERVIK</t>
        </is>
      </c>
      <c r="F458" t="inlineStr">
        <is>
          <t>Holmen skog AB</t>
        </is>
      </c>
      <c r="G458" t="n">
        <v>7.2</v>
      </c>
      <c r="H458" t="n">
        <v>0</v>
      </c>
      <c r="I458" t="n">
        <v>0</v>
      </c>
      <c r="J458" t="n">
        <v>0</v>
      </c>
      <c r="K458" t="n">
        <v>0</v>
      </c>
      <c r="L458" t="n">
        <v>0</v>
      </c>
      <c r="M458" t="n">
        <v>0</v>
      </c>
      <c r="N458" t="n">
        <v>0</v>
      </c>
      <c r="O458" t="n">
        <v>0</v>
      </c>
      <c r="P458" t="n">
        <v>0</v>
      </c>
      <c r="Q458" t="n">
        <v>0</v>
      </c>
      <c r="R458" s="2" t="inlineStr"/>
    </row>
    <row r="459" ht="15" customHeight="1">
      <c r="A459" t="inlineStr">
        <is>
          <t>A 18143-2024</t>
        </is>
      </c>
      <c r="B459" s="1" t="n">
        <v>45420</v>
      </c>
      <c r="C459" s="1" t="n">
        <v>45895</v>
      </c>
      <c r="D459" t="inlineStr">
        <is>
          <t>KALMAR LÄN</t>
        </is>
      </c>
      <c r="E459" t="inlineStr">
        <is>
          <t>VÄSTERVIK</t>
        </is>
      </c>
      <c r="G459" t="n">
        <v>3</v>
      </c>
      <c r="H459" t="n">
        <v>0</v>
      </c>
      <c r="I459" t="n">
        <v>0</v>
      </c>
      <c r="J459" t="n">
        <v>0</v>
      </c>
      <c r="K459" t="n">
        <v>0</v>
      </c>
      <c r="L459" t="n">
        <v>0</v>
      </c>
      <c r="M459" t="n">
        <v>0</v>
      </c>
      <c r="N459" t="n">
        <v>0</v>
      </c>
      <c r="O459" t="n">
        <v>0</v>
      </c>
      <c r="P459" t="n">
        <v>0</v>
      </c>
      <c r="Q459" t="n">
        <v>0</v>
      </c>
      <c r="R459" s="2" t="inlineStr"/>
    </row>
    <row r="460" ht="15" customHeight="1">
      <c r="A460" t="inlineStr">
        <is>
          <t>A 73640-2021</t>
        </is>
      </c>
      <c r="B460" s="1" t="n">
        <v>44552.43644675926</v>
      </c>
      <c r="C460" s="1" t="n">
        <v>45895</v>
      </c>
      <c r="D460" t="inlineStr">
        <is>
          <t>KALMAR LÄN</t>
        </is>
      </c>
      <c r="E460" t="inlineStr">
        <is>
          <t>VÄSTERVIK</t>
        </is>
      </c>
      <c r="G460" t="n">
        <v>1.9</v>
      </c>
      <c r="H460" t="n">
        <v>0</v>
      </c>
      <c r="I460" t="n">
        <v>0</v>
      </c>
      <c r="J460" t="n">
        <v>0</v>
      </c>
      <c r="K460" t="n">
        <v>0</v>
      </c>
      <c r="L460" t="n">
        <v>0</v>
      </c>
      <c r="M460" t="n">
        <v>0</v>
      </c>
      <c r="N460" t="n">
        <v>0</v>
      </c>
      <c r="O460" t="n">
        <v>0</v>
      </c>
      <c r="P460" t="n">
        <v>0</v>
      </c>
      <c r="Q460" t="n">
        <v>0</v>
      </c>
      <c r="R460" s="2" t="inlineStr"/>
    </row>
    <row r="461" ht="15" customHeight="1">
      <c r="A461" t="inlineStr">
        <is>
          <t>A 31592-2021</t>
        </is>
      </c>
      <c r="B461" s="1" t="n">
        <v>44369.56576388889</v>
      </c>
      <c r="C461" s="1" t="n">
        <v>45895</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39278-2024</t>
        </is>
      </c>
      <c r="B462" s="1" t="n">
        <v>45551.35216435185</v>
      </c>
      <c r="C462" s="1" t="n">
        <v>45895</v>
      </c>
      <c r="D462" t="inlineStr">
        <is>
          <t>KALMAR LÄN</t>
        </is>
      </c>
      <c r="E462" t="inlineStr">
        <is>
          <t>VÄSTERVIK</t>
        </is>
      </c>
      <c r="G462" t="n">
        <v>2.9</v>
      </c>
      <c r="H462" t="n">
        <v>0</v>
      </c>
      <c r="I462" t="n">
        <v>0</v>
      </c>
      <c r="J462" t="n">
        <v>0</v>
      </c>
      <c r="K462" t="n">
        <v>0</v>
      </c>
      <c r="L462" t="n">
        <v>0</v>
      </c>
      <c r="M462" t="n">
        <v>0</v>
      </c>
      <c r="N462" t="n">
        <v>0</v>
      </c>
      <c r="O462" t="n">
        <v>0</v>
      </c>
      <c r="P462" t="n">
        <v>0</v>
      </c>
      <c r="Q462" t="n">
        <v>0</v>
      </c>
      <c r="R462" s="2" t="inlineStr"/>
    </row>
    <row r="463" ht="15" customHeight="1">
      <c r="A463" t="inlineStr">
        <is>
          <t>A 944-2024</t>
        </is>
      </c>
      <c r="B463" s="1" t="n">
        <v>45301.54230324074</v>
      </c>
      <c r="C463" s="1" t="n">
        <v>45895</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946-2024</t>
        </is>
      </c>
      <c r="B464" s="1" t="n">
        <v>45301.54412037037</v>
      </c>
      <c r="C464" s="1" t="n">
        <v>45895</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16841-2025</t>
        </is>
      </c>
      <c r="B465" s="1" t="n">
        <v>45754.6719212963</v>
      </c>
      <c r="C465" s="1" t="n">
        <v>45895</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40050-2022</t>
        </is>
      </c>
      <c r="B466" s="1" t="n">
        <v>44820.44106481481</v>
      </c>
      <c r="C466" s="1" t="n">
        <v>45895</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21015-2025</t>
        </is>
      </c>
      <c r="B467" s="1" t="n">
        <v>45777.50200231482</v>
      </c>
      <c r="C467" s="1" t="n">
        <v>45895</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39980-2024</t>
        </is>
      </c>
      <c r="B468" s="1" t="n">
        <v>45553.61098379629</v>
      </c>
      <c r="C468" s="1" t="n">
        <v>45895</v>
      </c>
      <c r="D468" t="inlineStr">
        <is>
          <t>KALMAR LÄN</t>
        </is>
      </c>
      <c r="E468" t="inlineStr">
        <is>
          <t>VÄSTERVIK</t>
        </is>
      </c>
      <c r="G468" t="n">
        <v>2.3</v>
      </c>
      <c r="H468" t="n">
        <v>0</v>
      </c>
      <c r="I468" t="n">
        <v>0</v>
      </c>
      <c r="J468" t="n">
        <v>0</v>
      </c>
      <c r="K468" t="n">
        <v>0</v>
      </c>
      <c r="L468" t="n">
        <v>0</v>
      </c>
      <c r="M468" t="n">
        <v>0</v>
      </c>
      <c r="N468" t="n">
        <v>0</v>
      </c>
      <c r="O468" t="n">
        <v>0</v>
      </c>
      <c r="P468" t="n">
        <v>0</v>
      </c>
      <c r="Q468" t="n">
        <v>0</v>
      </c>
      <c r="R468" s="2" t="inlineStr"/>
    </row>
    <row r="469" ht="15" customHeight="1">
      <c r="A469" t="inlineStr">
        <is>
          <t>A 39982-2024</t>
        </is>
      </c>
      <c r="B469" s="1" t="n">
        <v>45553.61355324074</v>
      </c>
      <c r="C469" s="1" t="n">
        <v>45895</v>
      </c>
      <c r="D469" t="inlineStr">
        <is>
          <t>KALMAR LÄN</t>
        </is>
      </c>
      <c r="E469" t="inlineStr">
        <is>
          <t>VÄSTERVIK</t>
        </is>
      </c>
      <c r="G469" t="n">
        <v>2.1</v>
      </c>
      <c r="H469" t="n">
        <v>0</v>
      </c>
      <c r="I469" t="n">
        <v>0</v>
      </c>
      <c r="J469" t="n">
        <v>0</v>
      </c>
      <c r="K469" t="n">
        <v>0</v>
      </c>
      <c r="L469" t="n">
        <v>0</v>
      </c>
      <c r="M469" t="n">
        <v>0</v>
      </c>
      <c r="N469" t="n">
        <v>0</v>
      </c>
      <c r="O469" t="n">
        <v>0</v>
      </c>
      <c r="P469" t="n">
        <v>0</v>
      </c>
      <c r="Q469" t="n">
        <v>0</v>
      </c>
      <c r="R469" s="2" t="inlineStr"/>
    </row>
    <row r="470" ht="15" customHeight="1">
      <c r="A470" t="inlineStr">
        <is>
          <t>A 1568-2024</t>
        </is>
      </c>
      <c r="B470" s="1" t="n">
        <v>45306.53221064815</v>
      </c>
      <c r="C470" s="1" t="n">
        <v>45895</v>
      </c>
      <c r="D470" t="inlineStr">
        <is>
          <t>KALMAR LÄN</t>
        </is>
      </c>
      <c r="E470" t="inlineStr">
        <is>
          <t>VÄSTERVIK</t>
        </is>
      </c>
      <c r="G470" t="n">
        <v>3.4</v>
      </c>
      <c r="H470" t="n">
        <v>0</v>
      </c>
      <c r="I470" t="n">
        <v>0</v>
      </c>
      <c r="J470" t="n">
        <v>0</v>
      </c>
      <c r="K470" t="n">
        <v>0</v>
      </c>
      <c r="L470" t="n">
        <v>0</v>
      </c>
      <c r="M470" t="n">
        <v>0</v>
      </c>
      <c r="N470" t="n">
        <v>0</v>
      </c>
      <c r="O470" t="n">
        <v>0</v>
      </c>
      <c r="P470" t="n">
        <v>0</v>
      </c>
      <c r="Q470" t="n">
        <v>0</v>
      </c>
      <c r="R470" s="2" t="inlineStr"/>
    </row>
    <row r="471" ht="15" customHeight="1">
      <c r="A471" t="inlineStr">
        <is>
          <t>A 1572-2024</t>
        </is>
      </c>
      <c r="B471" s="1" t="n">
        <v>45306</v>
      </c>
      <c r="C471" s="1" t="n">
        <v>45895</v>
      </c>
      <c r="D471" t="inlineStr">
        <is>
          <t>KALMAR LÄN</t>
        </is>
      </c>
      <c r="E471" t="inlineStr">
        <is>
          <t>VÄSTERVIK</t>
        </is>
      </c>
      <c r="G471" t="n">
        <v>4.4</v>
      </c>
      <c r="H471" t="n">
        <v>0</v>
      </c>
      <c r="I471" t="n">
        <v>0</v>
      </c>
      <c r="J471" t="n">
        <v>0</v>
      </c>
      <c r="K471" t="n">
        <v>0</v>
      </c>
      <c r="L471" t="n">
        <v>0</v>
      </c>
      <c r="M471" t="n">
        <v>0</v>
      </c>
      <c r="N471" t="n">
        <v>0</v>
      </c>
      <c r="O471" t="n">
        <v>0</v>
      </c>
      <c r="P471" t="n">
        <v>0</v>
      </c>
      <c r="Q471" t="n">
        <v>0</v>
      </c>
      <c r="R471" s="2" t="inlineStr"/>
    </row>
    <row r="472" ht="15" customHeight="1">
      <c r="A472" t="inlineStr">
        <is>
          <t>A 21752-2024</t>
        </is>
      </c>
      <c r="B472" s="1" t="n">
        <v>45442.58048611111</v>
      </c>
      <c r="C472" s="1" t="n">
        <v>45895</v>
      </c>
      <c r="D472" t="inlineStr">
        <is>
          <t>KALMAR LÄN</t>
        </is>
      </c>
      <c r="E472" t="inlineStr">
        <is>
          <t>VÄSTERVIK</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13837-2024</t>
        </is>
      </c>
      <c r="B473" s="1" t="n">
        <v>45391.4450462963</v>
      </c>
      <c r="C473" s="1" t="n">
        <v>45895</v>
      </c>
      <c r="D473" t="inlineStr">
        <is>
          <t>KALMAR LÄN</t>
        </is>
      </c>
      <c r="E473" t="inlineStr">
        <is>
          <t>VÄSTERVIK</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13839-2024</t>
        </is>
      </c>
      <c r="B474" s="1" t="n">
        <v>45391.44789351852</v>
      </c>
      <c r="C474" s="1" t="n">
        <v>45895</v>
      </c>
      <c r="D474" t="inlineStr">
        <is>
          <t>KALMAR LÄN</t>
        </is>
      </c>
      <c r="E474" t="inlineStr">
        <is>
          <t>VÄSTERVIK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7934-2023</t>
        </is>
      </c>
      <c r="B475" s="1" t="n">
        <v>44973.65422453704</v>
      </c>
      <c r="C475" s="1" t="n">
        <v>45895</v>
      </c>
      <c r="D475" t="inlineStr">
        <is>
          <t>KALMAR LÄN</t>
        </is>
      </c>
      <c r="E475" t="inlineStr">
        <is>
          <t>VÄSTERVIK</t>
        </is>
      </c>
      <c r="G475" t="n">
        <v>4.1</v>
      </c>
      <c r="H475" t="n">
        <v>0</v>
      </c>
      <c r="I475" t="n">
        <v>0</v>
      </c>
      <c r="J475" t="n">
        <v>0</v>
      </c>
      <c r="K475" t="n">
        <v>0</v>
      </c>
      <c r="L475" t="n">
        <v>0</v>
      </c>
      <c r="M475" t="n">
        <v>0</v>
      </c>
      <c r="N475" t="n">
        <v>0</v>
      </c>
      <c r="O475" t="n">
        <v>0</v>
      </c>
      <c r="P475" t="n">
        <v>0</v>
      </c>
      <c r="Q475" t="n">
        <v>0</v>
      </c>
      <c r="R475" s="2" t="inlineStr"/>
    </row>
    <row r="476" ht="15" customHeight="1">
      <c r="A476" t="inlineStr">
        <is>
          <t>A 21503-2025</t>
        </is>
      </c>
      <c r="B476" s="1" t="n">
        <v>45782.61456018518</v>
      </c>
      <c r="C476" s="1" t="n">
        <v>45895</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31686-2023</t>
        </is>
      </c>
      <c r="B477" s="1" t="n">
        <v>45117</v>
      </c>
      <c r="C477" s="1" t="n">
        <v>45895</v>
      </c>
      <c r="D477" t="inlineStr">
        <is>
          <t>KALMAR LÄN</t>
        </is>
      </c>
      <c r="E477" t="inlineStr">
        <is>
          <t>VÄSTERVIK</t>
        </is>
      </c>
      <c r="G477" t="n">
        <v>1.7</v>
      </c>
      <c r="H477" t="n">
        <v>0</v>
      </c>
      <c r="I477" t="n">
        <v>0</v>
      </c>
      <c r="J477" t="n">
        <v>0</v>
      </c>
      <c r="K477" t="n">
        <v>0</v>
      </c>
      <c r="L477" t="n">
        <v>0</v>
      </c>
      <c r="M477" t="n">
        <v>0</v>
      </c>
      <c r="N477" t="n">
        <v>0</v>
      </c>
      <c r="O477" t="n">
        <v>0</v>
      </c>
      <c r="P477" t="n">
        <v>0</v>
      </c>
      <c r="Q477" t="n">
        <v>0</v>
      </c>
      <c r="R477" s="2" t="inlineStr"/>
    </row>
    <row r="478" ht="15" customHeight="1">
      <c r="A478" t="inlineStr">
        <is>
          <t>A 17314-2023</t>
        </is>
      </c>
      <c r="B478" s="1" t="n">
        <v>45035</v>
      </c>
      <c r="C478" s="1" t="n">
        <v>45895</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25180-2023</t>
        </is>
      </c>
      <c r="B479" s="1" t="n">
        <v>45086</v>
      </c>
      <c r="C479" s="1" t="n">
        <v>45895</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8594-2023</t>
        </is>
      </c>
      <c r="B480" s="1" t="n">
        <v>44977</v>
      </c>
      <c r="C480" s="1" t="n">
        <v>45895</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28344-2024</t>
        </is>
      </c>
      <c r="B481" s="1" t="n">
        <v>45477.55280092593</v>
      </c>
      <c r="C481" s="1" t="n">
        <v>45895</v>
      </c>
      <c r="D481" t="inlineStr">
        <is>
          <t>KALMAR LÄN</t>
        </is>
      </c>
      <c r="E481" t="inlineStr">
        <is>
          <t>VÄSTERVIK</t>
        </is>
      </c>
      <c r="G481" t="n">
        <v>1.4</v>
      </c>
      <c r="H481" t="n">
        <v>0</v>
      </c>
      <c r="I481" t="n">
        <v>0</v>
      </c>
      <c r="J481" t="n">
        <v>0</v>
      </c>
      <c r="K481" t="n">
        <v>0</v>
      </c>
      <c r="L481" t="n">
        <v>0</v>
      </c>
      <c r="M481" t="n">
        <v>0</v>
      </c>
      <c r="N481" t="n">
        <v>0</v>
      </c>
      <c r="O481" t="n">
        <v>0</v>
      </c>
      <c r="P481" t="n">
        <v>0</v>
      </c>
      <c r="Q481" t="n">
        <v>0</v>
      </c>
      <c r="R481" s="2" t="inlineStr"/>
    </row>
    <row r="482" ht="15" customHeight="1">
      <c r="A482" t="inlineStr">
        <is>
          <t>A 4461-2025</t>
        </is>
      </c>
      <c r="B482" s="1" t="n">
        <v>45686</v>
      </c>
      <c r="C482" s="1" t="n">
        <v>45895</v>
      </c>
      <c r="D482" t="inlineStr">
        <is>
          <t>KALMAR LÄN</t>
        </is>
      </c>
      <c r="E482" t="inlineStr">
        <is>
          <t>VÄSTERVIK</t>
        </is>
      </c>
      <c r="G482" t="n">
        <v>0.8</v>
      </c>
      <c r="H482" t="n">
        <v>0</v>
      </c>
      <c r="I482" t="n">
        <v>0</v>
      </c>
      <c r="J482" t="n">
        <v>0</v>
      </c>
      <c r="K482" t="n">
        <v>0</v>
      </c>
      <c r="L482" t="n">
        <v>0</v>
      </c>
      <c r="M482" t="n">
        <v>0</v>
      </c>
      <c r="N482" t="n">
        <v>0</v>
      </c>
      <c r="O482" t="n">
        <v>0</v>
      </c>
      <c r="P482" t="n">
        <v>0</v>
      </c>
      <c r="Q482" t="n">
        <v>0</v>
      </c>
      <c r="R482" s="2" t="inlineStr"/>
      <c r="U482">
        <f>HYPERLINK("https://klasma.github.io/Logging_0883/knärot/A 4461-2025 karta knärot.png", "A 4461-2025")</f>
        <v/>
      </c>
      <c r="V482">
        <f>HYPERLINK("https://klasma.github.io/Logging_0883/klagomål/A 4461-2025 FSC-klagomål.docx", "A 4461-2025")</f>
        <v/>
      </c>
      <c r="W482">
        <f>HYPERLINK("https://klasma.github.io/Logging_0883/klagomålsmail/A 4461-2025 FSC-klagomål mail.docx", "A 4461-2025")</f>
        <v/>
      </c>
      <c r="X482">
        <f>HYPERLINK("https://klasma.github.io/Logging_0883/tillsyn/A 4461-2025 tillsynsbegäran.docx", "A 4461-2025")</f>
        <v/>
      </c>
      <c r="Y482">
        <f>HYPERLINK("https://klasma.github.io/Logging_0883/tillsynsmail/A 4461-2025 tillsynsbegäran mail.docx", "A 4461-2025")</f>
        <v/>
      </c>
    </row>
    <row r="483" ht="15" customHeight="1">
      <c r="A483" t="inlineStr">
        <is>
          <t>A 21657-2025</t>
        </is>
      </c>
      <c r="B483" s="1" t="n">
        <v>45783.45325231482</v>
      </c>
      <c r="C483" s="1" t="n">
        <v>45895</v>
      </c>
      <c r="D483" t="inlineStr">
        <is>
          <t>KALMAR LÄN</t>
        </is>
      </c>
      <c r="E483" t="inlineStr">
        <is>
          <t>VÄSTERVIK</t>
        </is>
      </c>
      <c r="F483" t="inlineStr">
        <is>
          <t>Sveaskog</t>
        </is>
      </c>
      <c r="G483" t="n">
        <v>5.8</v>
      </c>
      <c r="H483" t="n">
        <v>0</v>
      </c>
      <c r="I483" t="n">
        <v>0</v>
      </c>
      <c r="J483" t="n">
        <v>0</v>
      </c>
      <c r="K483" t="n">
        <v>0</v>
      </c>
      <c r="L483" t="n">
        <v>0</v>
      </c>
      <c r="M483" t="n">
        <v>0</v>
      </c>
      <c r="N483" t="n">
        <v>0</v>
      </c>
      <c r="O483" t="n">
        <v>0</v>
      </c>
      <c r="P483" t="n">
        <v>0</v>
      </c>
      <c r="Q483" t="n">
        <v>0</v>
      </c>
      <c r="R483" s="2" t="inlineStr"/>
    </row>
    <row r="484" ht="15" customHeight="1">
      <c r="A484" t="inlineStr">
        <is>
          <t>A 23626-2024</t>
        </is>
      </c>
      <c r="B484" s="1" t="n">
        <v>45454</v>
      </c>
      <c r="C484" s="1" t="n">
        <v>45895</v>
      </c>
      <c r="D484" t="inlineStr">
        <is>
          <t>KALMAR LÄN</t>
        </is>
      </c>
      <c r="E484" t="inlineStr">
        <is>
          <t>VÄSTERVIK</t>
        </is>
      </c>
      <c r="G484" t="n">
        <v>2.1</v>
      </c>
      <c r="H484" t="n">
        <v>0</v>
      </c>
      <c r="I484" t="n">
        <v>0</v>
      </c>
      <c r="J484" t="n">
        <v>0</v>
      </c>
      <c r="K484" t="n">
        <v>0</v>
      </c>
      <c r="L484" t="n">
        <v>0</v>
      </c>
      <c r="M484" t="n">
        <v>0</v>
      </c>
      <c r="N484" t="n">
        <v>0</v>
      </c>
      <c r="O484" t="n">
        <v>0</v>
      </c>
      <c r="P484" t="n">
        <v>0</v>
      </c>
      <c r="Q484" t="n">
        <v>0</v>
      </c>
      <c r="R484" s="2" t="inlineStr"/>
    </row>
    <row r="485" ht="15" customHeight="1">
      <c r="A485" t="inlineStr">
        <is>
          <t>A 26140-2024</t>
        </is>
      </c>
      <c r="B485" s="1" t="n">
        <v>45468</v>
      </c>
      <c r="C485" s="1" t="n">
        <v>45895</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21991-2025</t>
        </is>
      </c>
      <c r="B486" s="1" t="n">
        <v>45784.6615625</v>
      </c>
      <c r="C486" s="1" t="n">
        <v>45895</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60634-2023</t>
        </is>
      </c>
      <c r="B487" s="1" t="n">
        <v>45260.40186342593</v>
      </c>
      <c r="C487" s="1" t="n">
        <v>45895</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42746-2024</t>
        </is>
      </c>
      <c r="B488" s="1" t="n">
        <v>45566.48361111111</v>
      </c>
      <c r="C488" s="1" t="n">
        <v>45895</v>
      </c>
      <c r="D488" t="inlineStr">
        <is>
          <t>KALMAR LÄN</t>
        </is>
      </c>
      <c r="E488" t="inlineStr">
        <is>
          <t>VÄSTERVIK</t>
        </is>
      </c>
      <c r="G488" t="n">
        <v>2</v>
      </c>
      <c r="H488" t="n">
        <v>0</v>
      </c>
      <c r="I488" t="n">
        <v>0</v>
      </c>
      <c r="J488" t="n">
        <v>0</v>
      </c>
      <c r="K488" t="n">
        <v>0</v>
      </c>
      <c r="L488" t="n">
        <v>0</v>
      </c>
      <c r="M488" t="n">
        <v>0</v>
      </c>
      <c r="N488" t="n">
        <v>0</v>
      </c>
      <c r="O488" t="n">
        <v>0</v>
      </c>
      <c r="P488" t="n">
        <v>0</v>
      </c>
      <c r="Q488" t="n">
        <v>0</v>
      </c>
      <c r="R488" s="2" t="inlineStr"/>
    </row>
    <row r="489" ht="15" customHeight="1">
      <c r="A489" t="inlineStr">
        <is>
          <t>A 61529-2022</t>
        </is>
      </c>
      <c r="B489" s="1" t="n">
        <v>44910</v>
      </c>
      <c r="C489" s="1" t="n">
        <v>45895</v>
      </c>
      <c r="D489" t="inlineStr">
        <is>
          <t>KALMAR LÄN</t>
        </is>
      </c>
      <c r="E489" t="inlineStr">
        <is>
          <t>VÄSTERVIK</t>
        </is>
      </c>
      <c r="G489" t="n">
        <v>6.5</v>
      </c>
      <c r="H489" t="n">
        <v>0</v>
      </c>
      <c r="I489" t="n">
        <v>0</v>
      </c>
      <c r="J489" t="n">
        <v>0</v>
      </c>
      <c r="K489" t="n">
        <v>0</v>
      </c>
      <c r="L489" t="n">
        <v>0</v>
      </c>
      <c r="M489" t="n">
        <v>0</v>
      </c>
      <c r="N489" t="n">
        <v>0</v>
      </c>
      <c r="O489" t="n">
        <v>0</v>
      </c>
      <c r="P489" t="n">
        <v>0</v>
      </c>
      <c r="Q489" t="n">
        <v>0</v>
      </c>
      <c r="R489" s="2" t="inlineStr"/>
    </row>
    <row r="490" ht="15" customHeight="1">
      <c r="A490" t="inlineStr">
        <is>
          <t>A 21660-2025</t>
        </is>
      </c>
      <c r="B490" s="1" t="n">
        <v>45783.45542824074</v>
      </c>
      <c r="C490" s="1" t="n">
        <v>45895</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21661-2025</t>
        </is>
      </c>
      <c r="B491" s="1" t="n">
        <v>45783.45644675926</v>
      </c>
      <c r="C491" s="1" t="n">
        <v>45895</v>
      </c>
      <c r="D491" t="inlineStr">
        <is>
          <t>KALMAR LÄN</t>
        </is>
      </c>
      <c r="E491" t="inlineStr">
        <is>
          <t>VÄSTERVIK</t>
        </is>
      </c>
      <c r="G491" t="n">
        <v>3.5</v>
      </c>
      <c r="H491" t="n">
        <v>0</v>
      </c>
      <c r="I491" t="n">
        <v>0</v>
      </c>
      <c r="J491" t="n">
        <v>0</v>
      </c>
      <c r="K491" t="n">
        <v>0</v>
      </c>
      <c r="L491" t="n">
        <v>0</v>
      </c>
      <c r="M491" t="n">
        <v>0</v>
      </c>
      <c r="N491" t="n">
        <v>0</v>
      </c>
      <c r="O491" t="n">
        <v>0</v>
      </c>
      <c r="P491" t="n">
        <v>0</v>
      </c>
      <c r="Q491" t="n">
        <v>0</v>
      </c>
      <c r="R491" s="2" t="inlineStr"/>
    </row>
    <row r="492" ht="15" customHeight="1">
      <c r="A492" t="inlineStr">
        <is>
          <t>A 53259-2021</t>
        </is>
      </c>
      <c r="B492" s="1" t="n">
        <v>44468.47153935185</v>
      </c>
      <c r="C492" s="1" t="n">
        <v>45895</v>
      </c>
      <c r="D492" t="inlineStr">
        <is>
          <t>KALMAR LÄN</t>
        </is>
      </c>
      <c r="E492" t="inlineStr">
        <is>
          <t>VÄSTERVIK</t>
        </is>
      </c>
      <c r="G492" t="n">
        <v>2.8</v>
      </c>
      <c r="H492" t="n">
        <v>0</v>
      </c>
      <c r="I492" t="n">
        <v>0</v>
      </c>
      <c r="J492" t="n">
        <v>0</v>
      </c>
      <c r="K492" t="n">
        <v>0</v>
      </c>
      <c r="L492" t="n">
        <v>0</v>
      </c>
      <c r="M492" t="n">
        <v>0</v>
      </c>
      <c r="N492" t="n">
        <v>0</v>
      </c>
      <c r="O492" t="n">
        <v>0</v>
      </c>
      <c r="P492" t="n">
        <v>0</v>
      </c>
      <c r="Q492" t="n">
        <v>0</v>
      </c>
      <c r="R492" s="2" t="inlineStr"/>
    </row>
    <row r="493" ht="15" customHeight="1">
      <c r="A493" t="inlineStr">
        <is>
          <t>A 10116-2022</t>
        </is>
      </c>
      <c r="B493" s="1" t="n">
        <v>44621</v>
      </c>
      <c r="C493" s="1" t="n">
        <v>45895</v>
      </c>
      <c r="D493" t="inlineStr">
        <is>
          <t>KALMAR LÄN</t>
        </is>
      </c>
      <c r="E493" t="inlineStr">
        <is>
          <t>VÄSTERVIK</t>
        </is>
      </c>
      <c r="G493" t="n">
        <v>1.6</v>
      </c>
      <c r="H493" t="n">
        <v>0</v>
      </c>
      <c r="I493" t="n">
        <v>0</v>
      </c>
      <c r="J493" t="n">
        <v>0</v>
      </c>
      <c r="K493" t="n">
        <v>0</v>
      </c>
      <c r="L493" t="n">
        <v>0</v>
      </c>
      <c r="M493" t="n">
        <v>0</v>
      </c>
      <c r="N493" t="n">
        <v>0</v>
      </c>
      <c r="O493" t="n">
        <v>0</v>
      </c>
      <c r="P493" t="n">
        <v>0</v>
      </c>
      <c r="Q493" t="n">
        <v>0</v>
      </c>
      <c r="R493" s="2" t="inlineStr"/>
    </row>
    <row r="494" ht="15" customHeight="1">
      <c r="A494" t="inlineStr">
        <is>
          <t>A 56188-2023</t>
        </is>
      </c>
      <c r="B494" s="1" t="n">
        <v>45240.65173611111</v>
      </c>
      <c r="C494" s="1" t="n">
        <v>45895</v>
      </c>
      <c r="D494" t="inlineStr">
        <is>
          <t>KALMAR LÄN</t>
        </is>
      </c>
      <c r="E494" t="inlineStr">
        <is>
          <t>VÄSTERVIK</t>
        </is>
      </c>
      <c r="G494" t="n">
        <v>1.9</v>
      </c>
      <c r="H494" t="n">
        <v>0</v>
      </c>
      <c r="I494" t="n">
        <v>0</v>
      </c>
      <c r="J494" t="n">
        <v>0</v>
      </c>
      <c r="K494" t="n">
        <v>0</v>
      </c>
      <c r="L494" t="n">
        <v>0</v>
      </c>
      <c r="M494" t="n">
        <v>0</v>
      </c>
      <c r="N494" t="n">
        <v>0</v>
      </c>
      <c r="O494" t="n">
        <v>0</v>
      </c>
      <c r="P494" t="n">
        <v>0</v>
      </c>
      <c r="Q494" t="n">
        <v>0</v>
      </c>
      <c r="R494" s="2" t="inlineStr"/>
    </row>
    <row r="495" ht="15" customHeight="1">
      <c r="A495" t="inlineStr">
        <is>
          <t>A 49286-2022</t>
        </is>
      </c>
      <c r="B495" s="1" t="n">
        <v>44861.45876157407</v>
      </c>
      <c r="C495" s="1" t="n">
        <v>45895</v>
      </c>
      <c r="D495" t="inlineStr">
        <is>
          <t>KALMAR LÄN</t>
        </is>
      </c>
      <c r="E495" t="inlineStr">
        <is>
          <t>VÄSTERVIK</t>
        </is>
      </c>
      <c r="G495" t="n">
        <v>2.6</v>
      </c>
      <c r="H495" t="n">
        <v>0</v>
      </c>
      <c r="I495" t="n">
        <v>0</v>
      </c>
      <c r="J495" t="n">
        <v>0</v>
      </c>
      <c r="K495" t="n">
        <v>0</v>
      </c>
      <c r="L495" t="n">
        <v>0</v>
      </c>
      <c r="M495" t="n">
        <v>0</v>
      </c>
      <c r="N495" t="n">
        <v>0</v>
      </c>
      <c r="O495" t="n">
        <v>0</v>
      </c>
      <c r="P495" t="n">
        <v>0</v>
      </c>
      <c r="Q495" t="n">
        <v>0</v>
      </c>
      <c r="R495" s="2" t="inlineStr"/>
    </row>
    <row r="496" ht="15" customHeight="1">
      <c r="A496" t="inlineStr">
        <is>
          <t>A 8402-2025</t>
        </is>
      </c>
      <c r="B496" s="1" t="n">
        <v>45709.38065972222</v>
      </c>
      <c r="C496" s="1" t="n">
        <v>45895</v>
      </c>
      <c r="D496" t="inlineStr">
        <is>
          <t>KALMAR LÄN</t>
        </is>
      </c>
      <c r="E496" t="inlineStr">
        <is>
          <t>VÄSTERVIK</t>
        </is>
      </c>
      <c r="G496" t="n">
        <v>4.3</v>
      </c>
      <c r="H496" t="n">
        <v>0</v>
      </c>
      <c r="I496" t="n">
        <v>0</v>
      </c>
      <c r="J496" t="n">
        <v>0</v>
      </c>
      <c r="K496" t="n">
        <v>0</v>
      </c>
      <c r="L496" t="n">
        <v>0</v>
      </c>
      <c r="M496" t="n">
        <v>0</v>
      </c>
      <c r="N496" t="n">
        <v>0</v>
      </c>
      <c r="O496" t="n">
        <v>0</v>
      </c>
      <c r="P496" t="n">
        <v>0</v>
      </c>
      <c r="Q496" t="n">
        <v>0</v>
      </c>
      <c r="R496" s="2" t="inlineStr"/>
    </row>
    <row r="497" ht="15" customHeight="1">
      <c r="A497" t="inlineStr">
        <is>
          <t>A 9973-2025</t>
        </is>
      </c>
      <c r="B497" s="1" t="n">
        <v>45719.38739583334</v>
      </c>
      <c r="C497" s="1" t="n">
        <v>45895</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8005-2023</t>
        </is>
      </c>
      <c r="B498" s="1" t="n">
        <v>44973.88452546296</v>
      </c>
      <c r="C498" s="1" t="n">
        <v>45895</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59696-2023</t>
        </is>
      </c>
      <c r="B499" s="1" t="n">
        <v>45256.85211805555</v>
      </c>
      <c r="C499" s="1" t="n">
        <v>45895</v>
      </c>
      <c r="D499" t="inlineStr">
        <is>
          <t>KALMAR LÄN</t>
        </is>
      </c>
      <c r="E499" t="inlineStr">
        <is>
          <t>VÄSTERVIK</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54629-2024</t>
        </is>
      </c>
      <c r="B500" s="1" t="n">
        <v>45617.85399305556</v>
      </c>
      <c r="C500" s="1" t="n">
        <v>45895</v>
      </c>
      <c r="D500" t="inlineStr">
        <is>
          <t>KALMAR LÄN</t>
        </is>
      </c>
      <c r="E500" t="inlineStr">
        <is>
          <t>VÄSTERVIK</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29557-2024</t>
        </is>
      </c>
      <c r="B501" s="1" t="n">
        <v>45484.52023148148</v>
      </c>
      <c r="C501" s="1" t="n">
        <v>45895</v>
      </c>
      <c r="D501" t="inlineStr">
        <is>
          <t>KALMAR LÄN</t>
        </is>
      </c>
      <c r="E501" t="inlineStr">
        <is>
          <t>VÄSTERVIK</t>
        </is>
      </c>
      <c r="G501" t="n">
        <v>5.9</v>
      </c>
      <c r="H501" t="n">
        <v>0</v>
      </c>
      <c r="I501" t="n">
        <v>0</v>
      </c>
      <c r="J501" t="n">
        <v>0</v>
      </c>
      <c r="K501" t="n">
        <v>0</v>
      </c>
      <c r="L501" t="n">
        <v>0</v>
      </c>
      <c r="M501" t="n">
        <v>0</v>
      </c>
      <c r="N501" t="n">
        <v>0</v>
      </c>
      <c r="O501" t="n">
        <v>0</v>
      </c>
      <c r="P501" t="n">
        <v>0</v>
      </c>
      <c r="Q501" t="n">
        <v>0</v>
      </c>
      <c r="R501" s="2" t="inlineStr"/>
    </row>
    <row r="502" ht="15" customHeight="1">
      <c r="A502" t="inlineStr">
        <is>
          <t>A 60056-2023</t>
        </is>
      </c>
      <c r="B502" s="1" t="n">
        <v>45258</v>
      </c>
      <c r="C502" s="1" t="n">
        <v>45895</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8382-2023</t>
        </is>
      </c>
      <c r="B503" s="1" t="n">
        <v>44977.40112268519</v>
      </c>
      <c r="C503" s="1" t="n">
        <v>45895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35959-2023</t>
        </is>
      </c>
      <c r="B504" s="1" t="n">
        <v>45148.84875</v>
      </c>
      <c r="C504" s="1" t="n">
        <v>45895</v>
      </c>
      <c r="D504" t="inlineStr">
        <is>
          <t>KALMAR LÄN</t>
        </is>
      </c>
      <c r="E504" t="inlineStr">
        <is>
          <t>VÄSTERVIK</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27568-2024</t>
        </is>
      </c>
      <c r="B505" s="1" t="n">
        <v>45474</v>
      </c>
      <c r="C505" s="1" t="n">
        <v>45895</v>
      </c>
      <c r="D505" t="inlineStr">
        <is>
          <t>KALMAR LÄN</t>
        </is>
      </c>
      <c r="E505" t="inlineStr">
        <is>
          <t>VÄSTERVIK</t>
        </is>
      </c>
      <c r="G505" t="n">
        <v>7.7</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45895</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28037-2024</t>
        </is>
      </c>
      <c r="B507" s="1" t="n">
        <v>45476</v>
      </c>
      <c r="C507" s="1" t="n">
        <v>45895</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27094-2024</t>
        </is>
      </c>
      <c r="B508" s="1" t="n">
        <v>45471</v>
      </c>
      <c r="C508" s="1" t="n">
        <v>45895</v>
      </c>
      <c r="D508" t="inlineStr">
        <is>
          <t>KALMAR LÄN</t>
        </is>
      </c>
      <c r="E508" t="inlineStr">
        <is>
          <t>VÄSTERVIK</t>
        </is>
      </c>
      <c r="F508" t="inlineStr">
        <is>
          <t>Holmen skog AB</t>
        </is>
      </c>
      <c r="G508" t="n">
        <v>2.4</v>
      </c>
      <c r="H508" t="n">
        <v>0</v>
      </c>
      <c r="I508" t="n">
        <v>0</v>
      </c>
      <c r="J508" t="n">
        <v>0</v>
      </c>
      <c r="K508" t="n">
        <v>0</v>
      </c>
      <c r="L508" t="n">
        <v>0</v>
      </c>
      <c r="M508" t="n">
        <v>0</v>
      </c>
      <c r="N508" t="n">
        <v>0</v>
      </c>
      <c r="O508" t="n">
        <v>0</v>
      </c>
      <c r="P508" t="n">
        <v>0</v>
      </c>
      <c r="Q508" t="n">
        <v>0</v>
      </c>
      <c r="R508" s="2" t="inlineStr"/>
      <c r="U508">
        <f>HYPERLINK("https://klasma.github.io/Logging_0883/knärot/A 27094-2024 karta knärot.png", "A 27094-2024")</f>
        <v/>
      </c>
      <c r="V508">
        <f>HYPERLINK("https://klasma.github.io/Logging_0883/klagomål/A 27094-2024 FSC-klagomål.docx", "A 27094-2024")</f>
        <v/>
      </c>
      <c r="W508">
        <f>HYPERLINK("https://klasma.github.io/Logging_0883/klagomålsmail/A 27094-2024 FSC-klagomål mail.docx", "A 27094-2024")</f>
        <v/>
      </c>
      <c r="X508">
        <f>HYPERLINK("https://klasma.github.io/Logging_0883/tillsyn/A 27094-2024 tillsynsbegäran.docx", "A 27094-2024")</f>
        <v/>
      </c>
      <c r="Y508">
        <f>HYPERLINK("https://klasma.github.io/Logging_0883/tillsynsmail/A 27094-2024 tillsynsbegäran mail.docx", "A 27094-2024")</f>
        <v/>
      </c>
    </row>
    <row r="509" ht="15" customHeight="1">
      <c r="A509" t="inlineStr">
        <is>
          <t>A 33814-2023</t>
        </is>
      </c>
      <c r="B509" s="1" t="n">
        <v>45133.59230324074</v>
      </c>
      <c r="C509" s="1" t="n">
        <v>45895</v>
      </c>
      <c r="D509" t="inlineStr">
        <is>
          <t>KALMAR LÄN</t>
        </is>
      </c>
      <c r="E509" t="inlineStr">
        <is>
          <t>VÄSTERVIK</t>
        </is>
      </c>
      <c r="G509" t="n">
        <v>3.9</v>
      </c>
      <c r="H509" t="n">
        <v>0</v>
      </c>
      <c r="I509" t="n">
        <v>0</v>
      </c>
      <c r="J509" t="n">
        <v>0</v>
      </c>
      <c r="K509" t="n">
        <v>0</v>
      </c>
      <c r="L509" t="n">
        <v>0</v>
      </c>
      <c r="M509" t="n">
        <v>0</v>
      </c>
      <c r="N509" t="n">
        <v>0</v>
      </c>
      <c r="O509" t="n">
        <v>0</v>
      </c>
      <c r="P509" t="n">
        <v>0</v>
      </c>
      <c r="Q509" t="n">
        <v>0</v>
      </c>
      <c r="R509" s="2" t="inlineStr"/>
    </row>
    <row r="510" ht="15" customHeight="1">
      <c r="A510" t="inlineStr">
        <is>
          <t>A 6731-2024</t>
        </is>
      </c>
      <c r="B510" s="1" t="n">
        <v>45342.38787037037</v>
      </c>
      <c r="C510" s="1" t="n">
        <v>45895</v>
      </c>
      <c r="D510" t="inlineStr">
        <is>
          <t>KALMAR LÄN</t>
        </is>
      </c>
      <c r="E510" t="inlineStr">
        <is>
          <t>VÄSTERVIK</t>
        </is>
      </c>
      <c r="F510" t="inlineStr">
        <is>
          <t>Holmen skog AB</t>
        </is>
      </c>
      <c r="G510" t="n">
        <v>6.7</v>
      </c>
      <c r="H510" t="n">
        <v>0</v>
      </c>
      <c r="I510" t="n">
        <v>0</v>
      </c>
      <c r="J510" t="n">
        <v>0</v>
      </c>
      <c r="K510" t="n">
        <v>0</v>
      </c>
      <c r="L510" t="n">
        <v>0</v>
      </c>
      <c r="M510" t="n">
        <v>0</v>
      </c>
      <c r="N510" t="n">
        <v>0</v>
      </c>
      <c r="O510" t="n">
        <v>0</v>
      </c>
      <c r="P510" t="n">
        <v>0</v>
      </c>
      <c r="Q510" t="n">
        <v>0</v>
      </c>
      <c r="R510" s="2" t="inlineStr"/>
    </row>
    <row r="511" ht="15" customHeight="1">
      <c r="A511" t="inlineStr">
        <is>
          <t>A 1787-2025</t>
        </is>
      </c>
      <c r="B511" s="1" t="n">
        <v>45671.45357638889</v>
      </c>
      <c r="C511" s="1" t="n">
        <v>45895</v>
      </c>
      <c r="D511" t="inlineStr">
        <is>
          <t>KALMAR LÄN</t>
        </is>
      </c>
      <c r="E511" t="inlineStr">
        <is>
          <t>VÄSTERVIK</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40674-2023</t>
        </is>
      </c>
      <c r="B512" s="1" t="n">
        <v>45170.59288194445</v>
      </c>
      <c r="C512" s="1" t="n">
        <v>45895</v>
      </c>
      <c r="D512" t="inlineStr">
        <is>
          <t>KALMAR LÄN</t>
        </is>
      </c>
      <c r="E512" t="inlineStr">
        <is>
          <t>VÄSTERVIK</t>
        </is>
      </c>
      <c r="G512" t="n">
        <v>4.2</v>
      </c>
      <c r="H512" t="n">
        <v>0</v>
      </c>
      <c r="I512" t="n">
        <v>0</v>
      </c>
      <c r="J512" t="n">
        <v>0</v>
      </c>
      <c r="K512" t="n">
        <v>0</v>
      </c>
      <c r="L512" t="n">
        <v>0</v>
      </c>
      <c r="M512" t="n">
        <v>0</v>
      </c>
      <c r="N512" t="n">
        <v>0</v>
      </c>
      <c r="O512" t="n">
        <v>0</v>
      </c>
      <c r="P512" t="n">
        <v>0</v>
      </c>
      <c r="Q512" t="n">
        <v>0</v>
      </c>
      <c r="R512" s="2" t="inlineStr"/>
    </row>
    <row r="513" ht="15" customHeight="1">
      <c r="A513" t="inlineStr">
        <is>
          <t>A 40677-2023</t>
        </is>
      </c>
      <c r="B513" s="1" t="n">
        <v>45170.59443287037</v>
      </c>
      <c r="C513" s="1" t="n">
        <v>45895</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57688-2024</t>
        </is>
      </c>
      <c r="B514" s="1" t="n">
        <v>45630.65180555556</v>
      </c>
      <c r="C514" s="1" t="n">
        <v>45895</v>
      </c>
      <c r="D514" t="inlineStr">
        <is>
          <t>KALMAR LÄN</t>
        </is>
      </c>
      <c r="E514" t="inlineStr">
        <is>
          <t>VÄSTERVIK</t>
        </is>
      </c>
      <c r="G514" t="n">
        <v>3.1</v>
      </c>
      <c r="H514" t="n">
        <v>0</v>
      </c>
      <c r="I514" t="n">
        <v>0</v>
      </c>
      <c r="J514" t="n">
        <v>0</v>
      </c>
      <c r="K514" t="n">
        <v>0</v>
      </c>
      <c r="L514" t="n">
        <v>0</v>
      </c>
      <c r="M514" t="n">
        <v>0</v>
      </c>
      <c r="N514" t="n">
        <v>0</v>
      </c>
      <c r="O514" t="n">
        <v>0</v>
      </c>
      <c r="P514" t="n">
        <v>0</v>
      </c>
      <c r="Q514" t="n">
        <v>0</v>
      </c>
      <c r="R514" s="2" t="inlineStr"/>
    </row>
    <row r="515" ht="15" customHeight="1">
      <c r="A515" t="inlineStr">
        <is>
          <t>A 5923-2024</t>
        </is>
      </c>
      <c r="B515" s="1" t="n">
        <v>45335</v>
      </c>
      <c r="C515" s="1" t="n">
        <v>45895</v>
      </c>
      <c r="D515" t="inlineStr">
        <is>
          <t>KALMAR LÄN</t>
        </is>
      </c>
      <c r="E515" t="inlineStr">
        <is>
          <t>VÄSTERVIK</t>
        </is>
      </c>
      <c r="F515" t="inlineStr">
        <is>
          <t>Holmen skog AB</t>
        </is>
      </c>
      <c r="G515" t="n">
        <v>2.7</v>
      </c>
      <c r="H515" t="n">
        <v>0</v>
      </c>
      <c r="I515" t="n">
        <v>0</v>
      </c>
      <c r="J515" t="n">
        <v>0</v>
      </c>
      <c r="K515" t="n">
        <v>0</v>
      </c>
      <c r="L515" t="n">
        <v>0</v>
      </c>
      <c r="M515" t="n">
        <v>0</v>
      </c>
      <c r="N515" t="n">
        <v>0</v>
      </c>
      <c r="O515" t="n">
        <v>0</v>
      </c>
      <c r="P515" t="n">
        <v>0</v>
      </c>
      <c r="Q515" t="n">
        <v>0</v>
      </c>
      <c r="R515" s="2" t="inlineStr"/>
    </row>
    <row r="516" ht="15" customHeight="1">
      <c r="A516" t="inlineStr">
        <is>
          <t>A 55359-2024</t>
        </is>
      </c>
      <c r="B516" s="1" t="n">
        <v>45621.82230324074</v>
      </c>
      <c r="C516" s="1" t="n">
        <v>45895</v>
      </c>
      <c r="D516" t="inlineStr">
        <is>
          <t>KALMAR LÄN</t>
        </is>
      </c>
      <c r="E516" t="inlineStr">
        <is>
          <t>VÄSTERVIK</t>
        </is>
      </c>
      <c r="F516" t="inlineStr">
        <is>
          <t>Sveaskog</t>
        </is>
      </c>
      <c r="G516" t="n">
        <v>6.8</v>
      </c>
      <c r="H516" t="n">
        <v>0</v>
      </c>
      <c r="I516" t="n">
        <v>0</v>
      </c>
      <c r="J516" t="n">
        <v>0</v>
      </c>
      <c r="K516" t="n">
        <v>0</v>
      </c>
      <c r="L516" t="n">
        <v>0</v>
      </c>
      <c r="M516" t="n">
        <v>0</v>
      </c>
      <c r="N516" t="n">
        <v>0</v>
      </c>
      <c r="O516" t="n">
        <v>0</v>
      </c>
      <c r="P516" t="n">
        <v>0</v>
      </c>
      <c r="Q516" t="n">
        <v>0</v>
      </c>
      <c r="R516" s="2" t="inlineStr"/>
    </row>
    <row r="517" ht="15" customHeight="1">
      <c r="A517" t="inlineStr">
        <is>
          <t>A 32388-2024</t>
        </is>
      </c>
      <c r="B517" s="1" t="n">
        <v>45512.63465277778</v>
      </c>
      <c r="C517" s="1" t="n">
        <v>45895</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32389-2024</t>
        </is>
      </c>
      <c r="B518" s="1" t="n">
        <v>45512.63642361111</v>
      </c>
      <c r="C518" s="1" t="n">
        <v>45895</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34463-2024</t>
        </is>
      </c>
      <c r="B519" s="1" t="n">
        <v>45525.57712962963</v>
      </c>
      <c r="C519" s="1" t="n">
        <v>45895</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54190-2022</t>
        </is>
      </c>
      <c r="B520" s="1" t="n">
        <v>44881.68282407407</v>
      </c>
      <c r="C520" s="1" t="n">
        <v>45895</v>
      </c>
      <c r="D520" t="inlineStr">
        <is>
          <t>KALMAR LÄN</t>
        </is>
      </c>
      <c r="E520" t="inlineStr">
        <is>
          <t>VÄSTERVIK</t>
        </is>
      </c>
      <c r="G520" t="n">
        <v>7.4</v>
      </c>
      <c r="H520" t="n">
        <v>0</v>
      </c>
      <c r="I520" t="n">
        <v>0</v>
      </c>
      <c r="J520" t="n">
        <v>0</v>
      </c>
      <c r="K520" t="n">
        <v>0</v>
      </c>
      <c r="L520" t="n">
        <v>0</v>
      </c>
      <c r="M520" t="n">
        <v>0</v>
      </c>
      <c r="N520" t="n">
        <v>0</v>
      </c>
      <c r="O520" t="n">
        <v>0</v>
      </c>
      <c r="P520" t="n">
        <v>0</v>
      </c>
      <c r="Q520" t="n">
        <v>0</v>
      </c>
      <c r="R520" s="2" t="inlineStr"/>
    </row>
    <row r="521" ht="15" customHeight="1">
      <c r="A521" t="inlineStr">
        <is>
          <t>A 9263-2025</t>
        </is>
      </c>
      <c r="B521" s="1" t="n">
        <v>45714.60927083333</v>
      </c>
      <c r="C521" s="1" t="n">
        <v>45895</v>
      </c>
      <c r="D521" t="inlineStr">
        <is>
          <t>KALMAR LÄN</t>
        </is>
      </c>
      <c r="E521" t="inlineStr">
        <is>
          <t>VÄSTERVIK</t>
        </is>
      </c>
      <c r="F521" t="inlineStr">
        <is>
          <t>Sveaskog</t>
        </is>
      </c>
      <c r="G521" t="n">
        <v>5.2</v>
      </c>
      <c r="H521" t="n">
        <v>0</v>
      </c>
      <c r="I521" t="n">
        <v>0</v>
      </c>
      <c r="J521" t="n">
        <v>0</v>
      </c>
      <c r="K521" t="n">
        <v>0</v>
      </c>
      <c r="L521" t="n">
        <v>0</v>
      </c>
      <c r="M521" t="n">
        <v>0</v>
      </c>
      <c r="N521" t="n">
        <v>0</v>
      </c>
      <c r="O521" t="n">
        <v>0</v>
      </c>
      <c r="P521" t="n">
        <v>0</v>
      </c>
      <c r="Q521" t="n">
        <v>0</v>
      </c>
      <c r="R521" s="2" t="inlineStr"/>
    </row>
    <row r="522" ht="15" customHeight="1">
      <c r="A522" t="inlineStr">
        <is>
          <t>A 36725-2024</t>
        </is>
      </c>
      <c r="B522" s="1" t="n">
        <v>45537.90300925926</v>
      </c>
      <c r="C522" s="1" t="n">
        <v>45895</v>
      </c>
      <c r="D522" t="inlineStr">
        <is>
          <t>KALMAR LÄN</t>
        </is>
      </c>
      <c r="E522" t="inlineStr">
        <is>
          <t>VÄSTERVIK</t>
        </is>
      </c>
      <c r="G522" t="n">
        <v>10.1</v>
      </c>
      <c r="H522" t="n">
        <v>0</v>
      </c>
      <c r="I522" t="n">
        <v>0</v>
      </c>
      <c r="J522" t="n">
        <v>0</v>
      </c>
      <c r="K522" t="n">
        <v>0</v>
      </c>
      <c r="L522" t="n">
        <v>0</v>
      </c>
      <c r="M522" t="n">
        <v>0</v>
      </c>
      <c r="N522" t="n">
        <v>0</v>
      </c>
      <c r="O522" t="n">
        <v>0</v>
      </c>
      <c r="P522" t="n">
        <v>0</v>
      </c>
      <c r="Q522" t="n">
        <v>0</v>
      </c>
      <c r="R522" s="2" t="inlineStr"/>
    </row>
    <row r="523" ht="15" customHeight="1">
      <c r="A523" t="inlineStr">
        <is>
          <t>A 38045-2023</t>
        </is>
      </c>
      <c r="B523" s="1" t="n">
        <v>45160.67251157408</v>
      </c>
      <c r="C523" s="1" t="n">
        <v>45895</v>
      </c>
      <c r="D523" t="inlineStr">
        <is>
          <t>KALMAR LÄN</t>
        </is>
      </c>
      <c r="E523" t="inlineStr">
        <is>
          <t>VÄSTERVIK</t>
        </is>
      </c>
      <c r="F523" t="inlineStr">
        <is>
          <t>Sveaskog</t>
        </is>
      </c>
      <c r="G523" t="n">
        <v>7.9</v>
      </c>
      <c r="H523" t="n">
        <v>0</v>
      </c>
      <c r="I523" t="n">
        <v>0</v>
      </c>
      <c r="J523" t="n">
        <v>0</v>
      </c>
      <c r="K523" t="n">
        <v>0</v>
      </c>
      <c r="L523" t="n">
        <v>0</v>
      </c>
      <c r="M523" t="n">
        <v>0</v>
      </c>
      <c r="N523" t="n">
        <v>0</v>
      </c>
      <c r="O523" t="n">
        <v>0</v>
      </c>
      <c r="P523" t="n">
        <v>0</v>
      </c>
      <c r="Q523" t="n">
        <v>0</v>
      </c>
      <c r="R523" s="2" t="inlineStr"/>
    </row>
    <row r="524" ht="15" customHeight="1">
      <c r="A524" t="inlineStr">
        <is>
          <t>A 36555-2024</t>
        </is>
      </c>
      <c r="B524" s="1" t="n">
        <v>45537</v>
      </c>
      <c r="C524" s="1" t="n">
        <v>45895</v>
      </c>
      <c r="D524" t="inlineStr">
        <is>
          <t>KALMAR LÄN</t>
        </is>
      </c>
      <c r="E524" t="inlineStr">
        <is>
          <t>VÄSTERVIK</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56377-2024</t>
        </is>
      </c>
      <c r="B525" s="1" t="n">
        <v>45625.33342592593</v>
      </c>
      <c r="C525" s="1" t="n">
        <v>45895</v>
      </c>
      <c r="D525" t="inlineStr">
        <is>
          <t>KALMAR LÄN</t>
        </is>
      </c>
      <c r="E525" t="inlineStr">
        <is>
          <t>VÄSTERVIK</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51496-2024</t>
        </is>
      </c>
      <c r="B526" s="1" t="n">
        <v>45604.54060185186</v>
      </c>
      <c r="C526" s="1" t="n">
        <v>45895</v>
      </c>
      <c r="D526" t="inlineStr">
        <is>
          <t>KALMAR LÄN</t>
        </is>
      </c>
      <c r="E526" t="inlineStr">
        <is>
          <t>VÄSTERVIK</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6406-2024</t>
        </is>
      </c>
      <c r="B527" s="1" t="n">
        <v>45338</v>
      </c>
      <c r="C527" s="1" t="n">
        <v>45895</v>
      </c>
      <c r="D527" t="inlineStr">
        <is>
          <t>KALMAR LÄN</t>
        </is>
      </c>
      <c r="E527" t="inlineStr">
        <is>
          <t>VÄSTERVIK</t>
        </is>
      </c>
      <c r="G527" t="n">
        <v>5.5</v>
      </c>
      <c r="H527" t="n">
        <v>0</v>
      </c>
      <c r="I527" t="n">
        <v>0</v>
      </c>
      <c r="J527" t="n">
        <v>0</v>
      </c>
      <c r="K527" t="n">
        <v>0</v>
      </c>
      <c r="L527" t="n">
        <v>0</v>
      </c>
      <c r="M527" t="n">
        <v>0</v>
      </c>
      <c r="N527" t="n">
        <v>0</v>
      </c>
      <c r="O527" t="n">
        <v>0</v>
      </c>
      <c r="P527" t="n">
        <v>0</v>
      </c>
      <c r="Q527" t="n">
        <v>0</v>
      </c>
      <c r="R527" s="2" t="inlineStr"/>
      <c r="U527">
        <f>HYPERLINK("https://klasma.github.io/Logging_0883/knärot/A 6406-2024 karta knärot.png", "A 6406-2024")</f>
        <v/>
      </c>
      <c r="V527">
        <f>HYPERLINK("https://klasma.github.io/Logging_0883/klagomål/A 6406-2024 FSC-klagomål.docx", "A 6406-2024")</f>
        <v/>
      </c>
      <c r="W527">
        <f>HYPERLINK("https://klasma.github.io/Logging_0883/klagomålsmail/A 6406-2024 FSC-klagomål mail.docx", "A 6406-2024")</f>
        <v/>
      </c>
      <c r="X527">
        <f>HYPERLINK("https://klasma.github.io/Logging_0883/tillsyn/A 6406-2024 tillsynsbegäran.docx", "A 6406-2024")</f>
        <v/>
      </c>
      <c r="Y527">
        <f>HYPERLINK("https://klasma.github.io/Logging_0883/tillsynsmail/A 6406-2024 tillsynsbegäran mail.docx", "A 6406-2024")</f>
        <v/>
      </c>
    </row>
    <row r="528" ht="15" customHeight="1">
      <c r="A528" t="inlineStr">
        <is>
          <t>A 22891-2025</t>
        </is>
      </c>
      <c r="B528" s="1" t="n">
        <v>45790.39267361111</v>
      </c>
      <c r="C528" s="1" t="n">
        <v>45895</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22893-2025</t>
        </is>
      </c>
      <c r="B529" s="1" t="n">
        <v>45790.39622685185</v>
      </c>
      <c r="C529" s="1" t="n">
        <v>45895</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23042-2025</t>
        </is>
      </c>
      <c r="B530" s="1" t="n">
        <v>45790.67273148148</v>
      </c>
      <c r="C530" s="1" t="n">
        <v>45895</v>
      </c>
      <c r="D530" t="inlineStr">
        <is>
          <t>KALMAR LÄN</t>
        </is>
      </c>
      <c r="E530" t="inlineStr">
        <is>
          <t>VÄSTERVIK</t>
        </is>
      </c>
      <c r="G530" t="n">
        <v>0.6</v>
      </c>
      <c r="H530" t="n">
        <v>0</v>
      </c>
      <c r="I530" t="n">
        <v>0</v>
      </c>
      <c r="J530" t="n">
        <v>0</v>
      </c>
      <c r="K530" t="n">
        <v>0</v>
      </c>
      <c r="L530" t="n">
        <v>0</v>
      </c>
      <c r="M530" t="n">
        <v>0</v>
      </c>
      <c r="N530" t="n">
        <v>0</v>
      </c>
      <c r="O530" t="n">
        <v>0</v>
      </c>
      <c r="P530" t="n">
        <v>0</v>
      </c>
      <c r="Q530" t="n">
        <v>0</v>
      </c>
      <c r="R530" s="2" t="inlineStr"/>
    </row>
    <row r="531" ht="15" customHeight="1">
      <c r="A531" t="inlineStr">
        <is>
          <t>A 55361-2024</t>
        </is>
      </c>
      <c r="B531" s="1" t="n">
        <v>45621.83300925926</v>
      </c>
      <c r="C531" s="1" t="n">
        <v>45895</v>
      </c>
      <c r="D531" t="inlineStr">
        <is>
          <t>KALMAR LÄN</t>
        </is>
      </c>
      <c r="E531" t="inlineStr">
        <is>
          <t>VÄSTERVIK</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55362-2024</t>
        </is>
      </c>
      <c r="B532" s="1" t="n">
        <v>45621.83461805555</v>
      </c>
      <c r="C532" s="1" t="n">
        <v>45895</v>
      </c>
      <c r="D532" t="inlineStr">
        <is>
          <t>KALMAR LÄN</t>
        </is>
      </c>
      <c r="E532" t="inlineStr">
        <is>
          <t>VÄSTERVIK</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3041-2025</t>
        </is>
      </c>
      <c r="B533" s="1" t="n">
        <v>45678.60493055556</v>
      </c>
      <c r="C533" s="1" t="n">
        <v>45895</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c r="U533">
        <f>HYPERLINK("https://klasma.github.io/Logging_0883/knärot/A 3041-2025 karta knärot.png", "A 3041-2025")</f>
        <v/>
      </c>
      <c r="V533">
        <f>HYPERLINK("https://klasma.github.io/Logging_0883/klagomål/A 3041-2025 FSC-klagomål.docx", "A 3041-2025")</f>
        <v/>
      </c>
      <c r="W533">
        <f>HYPERLINK("https://klasma.github.io/Logging_0883/klagomålsmail/A 3041-2025 FSC-klagomål mail.docx", "A 3041-2025")</f>
        <v/>
      </c>
      <c r="X533">
        <f>HYPERLINK("https://klasma.github.io/Logging_0883/tillsyn/A 3041-2025 tillsynsbegäran.docx", "A 3041-2025")</f>
        <v/>
      </c>
      <c r="Y533">
        <f>HYPERLINK("https://klasma.github.io/Logging_0883/tillsynsmail/A 3041-2025 tillsynsbegäran mail.docx", "A 3041-2025")</f>
        <v/>
      </c>
    </row>
    <row r="534" ht="15" customHeight="1">
      <c r="A534" t="inlineStr">
        <is>
          <t>A 2360-2025</t>
        </is>
      </c>
      <c r="B534" s="1" t="n">
        <v>45673.69037037037</v>
      </c>
      <c r="C534" s="1" t="n">
        <v>45895</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42816-2024</t>
        </is>
      </c>
      <c r="B535" s="1" t="n">
        <v>45566</v>
      </c>
      <c r="C535" s="1" t="n">
        <v>45895</v>
      </c>
      <c r="D535" t="inlineStr">
        <is>
          <t>KALMAR LÄN</t>
        </is>
      </c>
      <c r="E535" t="inlineStr">
        <is>
          <t>VÄSTERVIK</t>
        </is>
      </c>
      <c r="G535" t="n">
        <v>0.1</v>
      </c>
      <c r="H535" t="n">
        <v>0</v>
      </c>
      <c r="I535" t="n">
        <v>0</v>
      </c>
      <c r="J535" t="n">
        <v>0</v>
      </c>
      <c r="K535" t="n">
        <v>0</v>
      </c>
      <c r="L535" t="n">
        <v>0</v>
      </c>
      <c r="M535" t="n">
        <v>0</v>
      </c>
      <c r="N535" t="n">
        <v>0</v>
      </c>
      <c r="O535" t="n">
        <v>0</v>
      </c>
      <c r="P535" t="n">
        <v>0</v>
      </c>
      <c r="Q535" t="n">
        <v>0</v>
      </c>
      <c r="R535" s="2" t="inlineStr"/>
    </row>
    <row r="536" ht="15" customHeight="1">
      <c r="A536" t="inlineStr">
        <is>
          <t>A 23033-2025</t>
        </is>
      </c>
      <c r="B536" s="1" t="n">
        <v>45790.65793981482</v>
      </c>
      <c r="C536" s="1" t="n">
        <v>45895</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29405-2024</t>
        </is>
      </c>
      <c r="B537" s="1" t="n">
        <v>45483</v>
      </c>
      <c r="C537" s="1" t="n">
        <v>45895</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55023-2021</t>
        </is>
      </c>
      <c r="B538" s="1" t="n">
        <v>44474</v>
      </c>
      <c r="C538" s="1" t="n">
        <v>45895</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3190-2023</t>
        </is>
      </c>
      <c r="B539" s="1" t="n">
        <v>44946.61086805556</v>
      </c>
      <c r="C539" s="1" t="n">
        <v>45895</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55047-2024</t>
        </is>
      </c>
      <c r="B540" s="1" t="n">
        <v>45621.39516203704</v>
      </c>
      <c r="C540" s="1" t="n">
        <v>45895</v>
      </c>
      <c r="D540" t="inlineStr">
        <is>
          <t>KALMAR LÄN</t>
        </is>
      </c>
      <c r="E540" t="inlineStr">
        <is>
          <t>VÄSTERVIK</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21824-2023</t>
        </is>
      </c>
      <c r="B541" s="1" t="n">
        <v>45068</v>
      </c>
      <c r="C541" s="1" t="n">
        <v>45895</v>
      </c>
      <c r="D541" t="inlineStr">
        <is>
          <t>KALMAR LÄN</t>
        </is>
      </c>
      <c r="E541" t="inlineStr">
        <is>
          <t>VÄSTERVIK</t>
        </is>
      </c>
      <c r="G541" t="n">
        <v>1.7</v>
      </c>
      <c r="H541" t="n">
        <v>0</v>
      </c>
      <c r="I541" t="n">
        <v>0</v>
      </c>
      <c r="J541" t="n">
        <v>0</v>
      </c>
      <c r="K541" t="n">
        <v>0</v>
      </c>
      <c r="L541" t="n">
        <v>0</v>
      </c>
      <c r="M541" t="n">
        <v>0</v>
      </c>
      <c r="N541" t="n">
        <v>0</v>
      </c>
      <c r="O541" t="n">
        <v>0</v>
      </c>
      <c r="P541" t="n">
        <v>0</v>
      </c>
      <c r="Q541" t="n">
        <v>0</v>
      </c>
      <c r="R541" s="2" t="inlineStr"/>
    </row>
    <row r="542" ht="15" customHeight="1">
      <c r="A542" t="inlineStr">
        <is>
          <t>A 35162-2024</t>
        </is>
      </c>
      <c r="B542" s="1" t="n">
        <v>45530.40025462963</v>
      </c>
      <c r="C542" s="1" t="n">
        <v>45895</v>
      </c>
      <c r="D542" t="inlineStr">
        <is>
          <t>KALMAR LÄN</t>
        </is>
      </c>
      <c r="E542" t="inlineStr">
        <is>
          <t>VÄSTERVIK</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52645-2021</t>
        </is>
      </c>
      <c r="B543" s="1" t="n">
        <v>44466</v>
      </c>
      <c r="C543" s="1" t="n">
        <v>45895</v>
      </c>
      <c r="D543" t="inlineStr">
        <is>
          <t>KALMAR LÄN</t>
        </is>
      </c>
      <c r="E543" t="inlineStr">
        <is>
          <t>VÄSTERVIK</t>
        </is>
      </c>
      <c r="G543" t="n">
        <v>5</v>
      </c>
      <c r="H543" t="n">
        <v>0</v>
      </c>
      <c r="I543" t="n">
        <v>0</v>
      </c>
      <c r="J543" t="n">
        <v>0</v>
      </c>
      <c r="K543" t="n">
        <v>0</v>
      </c>
      <c r="L543" t="n">
        <v>0</v>
      </c>
      <c r="M543" t="n">
        <v>0</v>
      </c>
      <c r="N543" t="n">
        <v>0</v>
      </c>
      <c r="O543" t="n">
        <v>0</v>
      </c>
      <c r="P543" t="n">
        <v>0</v>
      </c>
      <c r="Q543" t="n">
        <v>0</v>
      </c>
      <c r="R543" s="2" t="inlineStr"/>
    </row>
    <row r="544" ht="15" customHeight="1">
      <c r="A544" t="inlineStr">
        <is>
          <t>A 1568-2023</t>
        </is>
      </c>
      <c r="B544" s="1" t="n">
        <v>44937</v>
      </c>
      <c r="C544" s="1" t="n">
        <v>45895</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1788-2025</t>
        </is>
      </c>
      <c r="B545" s="1" t="n">
        <v>45671.45521990741</v>
      </c>
      <c r="C545" s="1" t="n">
        <v>45895</v>
      </c>
      <c r="D545" t="inlineStr">
        <is>
          <t>KALMAR LÄN</t>
        </is>
      </c>
      <c r="E545" t="inlineStr">
        <is>
          <t>VÄSTERVIK</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45721-2022</t>
        </is>
      </c>
      <c r="B546" s="1" t="n">
        <v>44845</v>
      </c>
      <c r="C546" s="1" t="n">
        <v>45895</v>
      </c>
      <c r="D546" t="inlineStr">
        <is>
          <t>KALMAR LÄN</t>
        </is>
      </c>
      <c r="E546" t="inlineStr">
        <is>
          <t>VÄSTERVIK</t>
        </is>
      </c>
      <c r="F546" t="inlineStr">
        <is>
          <t>Holmen skog AB</t>
        </is>
      </c>
      <c r="G546" t="n">
        <v>3.3</v>
      </c>
      <c r="H546" t="n">
        <v>0</v>
      </c>
      <c r="I546" t="n">
        <v>0</v>
      </c>
      <c r="J546" t="n">
        <v>0</v>
      </c>
      <c r="K546" t="n">
        <v>0</v>
      </c>
      <c r="L546" t="n">
        <v>0</v>
      </c>
      <c r="M546" t="n">
        <v>0</v>
      </c>
      <c r="N546" t="n">
        <v>0</v>
      </c>
      <c r="O546" t="n">
        <v>0</v>
      </c>
      <c r="P546" t="n">
        <v>0</v>
      </c>
      <c r="Q546" t="n">
        <v>0</v>
      </c>
      <c r="R546" s="2" t="inlineStr"/>
      <c r="U546">
        <f>HYPERLINK("https://klasma.github.io/Logging_0883/knärot/A 45721-2022 karta knärot.png", "A 45721-2022")</f>
        <v/>
      </c>
      <c r="V546">
        <f>HYPERLINK("https://klasma.github.io/Logging_0883/klagomål/A 45721-2022 FSC-klagomål.docx", "A 45721-2022")</f>
        <v/>
      </c>
      <c r="W546">
        <f>HYPERLINK("https://klasma.github.io/Logging_0883/klagomålsmail/A 45721-2022 FSC-klagomål mail.docx", "A 45721-2022")</f>
        <v/>
      </c>
      <c r="X546">
        <f>HYPERLINK("https://klasma.github.io/Logging_0883/tillsyn/A 45721-2022 tillsynsbegäran.docx", "A 45721-2022")</f>
        <v/>
      </c>
      <c r="Y546">
        <f>HYPERLINK("https://klasma.github.io/Logging_0883/tillsynsmail/A 45721-2022 tillsynsbegäran mail.docx", "A 45721-2022")</f>
        <v/>
      </c>
    </row>
    <row r="547" ht="15" customHeight="1">
      <c r="A547" t="inlineStr">
        <is>
          <t>A 55565-2024</t>
        </is>
      </c>
      <c r="B547" s="1" t="n">
        <v>45622.54515046296</v>
      </c>
      <c r="C547" s="1" t="n">
        <v>45895</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10771-2025</t>
        </is>
      </c>
      <c r="B548" s="1" t="n">
        <v>45722.46953703704</v>
      </c>
      <c r="C548" s="1" t="n">
        <v>45895</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28657-2024</t>
        </is>
      </c>
      <c r="B549" s="1" t="n">
        <v>45478</v>
      </c>
      <c r="C549" s="1" t="n">
        <v>45895</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26061-2024</t>
        </is>
      </c>
      <c r="B550" s="1" t="n">
        <v>45468.35030092593</v>
      </c>
      <c r="C550" s="1" t="n">
        <v>45895</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26066-2024</t>
        </is>
      </c>
      <c r="B551" s="1" t="n">
        <v>45468.35390046296</v>
      </c>
      <c r="C551" s="1" t="n">
        <v>45895</v>
      </c>
      <c r="D551" t="inlineStr">
        <is>
          <t>KALMAR LÄN</t>
        </is>
      </c>
      <c r="E551" t="inlineStr">
        <is>
          <t>VÄSTERVIK</t>
        </is>
      </c>
      <c r="G551" t="n">
        <v>0.6</v>
      </c>
      <c r="H551" t="n">
        <v>0</v>
      </c>
      <c r="I551" t="n">
        <v>0</v>
      </c>
      <c r="J551" t="n">
        <v>0</v>
      </c>
      <c r="K551" t="n">
        <v>0</v>
      </c>
      <c r="L551" t="n">
        <v>0</v>
      </c>
      <c r="M551" t="n">
        <v>0</v>
      </c>
      <c r="N551" t="n">
        <v>0</v>
      </c>
      <c r="O551" t="n">
        <v>0</v>
      </c>
      <c r="P551" t="n">
        <v>0</v>
      </c>
      <c r="Q551" t="n">
        <v>0</v>
      </c>
      <c r="R551" s="2" t="inlineStr"/>
    </row>
    <row r="552" ht="15" customHeight="1">
      <c r="A552" t="inlineStr">
        <is>
          <t>A 58764-2024</t>
        </is>
      </c>
      <c r="B552" s="1" t="n">
        <v>45635.72293981481</v>
      </c>
      <c r="C552" s="1" t="n">
        <v>45895</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13489-2022</t>
        </is>
      </c>
      <c r="B553" s="1" t="n">
        <v>44646</v>
      </c>
      <c r="C553" s="1" t="n">
        <v>45895</v>
      </c>
      <c r="D553" t="inlineStr">
        <is>
          <t>KALMAR LÄN</t>
        </is>
      </c>
      <c r="E553" t="inlineStr">
        <is>
          <t>VÄSTERVIK</t>
        </is>
      </c>
      <c r="G553" t="n">
        <v>2.5</v>
      </c>
      <c r="H553" t="n">
        <v>0</v>
      </c>
      <c r="I553" t="n">
        <v>0</v>
      </c>
      <c r="J553" t="n">
        <v>0</v>
      </c>
      <c r="K553" t="n">
        <v>0</v>
      </c>
      <c r="L553" t="n">
        <v>0</v>
      </c>
      <c r="M553" t="n">
        <v>0</v>
      </c>
      <c r="N553" t="n">
        <v>0</v>
      </c>
      <c r="O553" t="n">
        <v>0</v>
      </c>
      <c r="P553" t="n">
        <v>0</v>
      </c>
      <c r="Q553" t="n">
        <v>0</v>
      </c>
      <c r="R553" s="2" t="inlineStr"/>
    </row>
    <row r="554" ht="15" customHeight="1">
      <c r="A554" t="inlineStr">
        <is>
          <t>A 23148-2025</t>
        </is>
      </c>
      <c r="B554" s="1" t="n">
        <v>45791.40225694444</v>
      </c>
      <c r="C554" s="1" t="n">
        <v>45895</v>
      </c>
      <c r="D554" t="inlineStr">
        <is>
          <t>KALMAR LÄN</t>
        </is>
      </c>
      <c r="E554" t="inlineStr">
        <is>
          <t>VÄSTERVIK</t>
        </is>
      </c>
      <c r="G554" t="n">
        <v>1.5</v>
      </c>
      <c r="H554" t="n">
        <v>0</v>
      </c>
      <c r="I554" t="n">
        <v>0</v>
      </c>
      <c r="J554" t="n">
        <v>0</v>
      </c>
      <c r="K554" t="n">
        <v>0</v>
      </c>
      <c r="L554" t="n">
        <v>0</v>
      </c>
      <c r="M554" t="n">
        <v>0</v>
      </c>
      <c r="N554" t="n">
        <v>0</v>
      </c>
      <c r="O554" t="n">
        <v>0</v>
      </c>
      <c r="P554" t="n">
        <v>0</v>
      </c>
      <c r="Q554" t="n">
        <v>0</v>
      </c>
      <c r="R554" s="2" t="inlineStr"/>
    </row>
    <row r="555" ht="15" customHeight="1">
      <c r="A555" t="inlineStr">
        <is>
          <t>A 45877-2020</t>
        </is>
      </c>
      <c r="B555" s="1" t="n">
        <v>44091</v>
      </c>
      <c r="C555" s="1" t="n">
        <v>45895</v>
      </c>
      <c r="D555" t="inlineStr">
        <is>
          <t>KALMAR LÄN</t>
        </is>
      </c>
      <c r="E555" t="inlineStr">
        <is>
          <t>VÄSTERVIK</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7883-2025</t>
        </is>
      </c>
      <c r="B556" s="1" t="n">
        <v>45706.8156712963</v>
      </c>
      <c r="C556" s="1" t="n">
        <v>45895</v>
      </c>
      <c r="D556" t="inlineStr">
        <is>
          <t>KALMAR LÄN</t>
        </is>
      </c>
      <c r="E556" t="inlineStr">
        <is>
          <t>VÄSTERVIK</t>
        </is>
      </c>
      <c r="G556" t="n">
        <v>0.2</v>
      </c>
      <c r="H556" t="n">
        <v>0</v>
      </c>
      <c r="I556" t="n">
        <v>0</v>
      </c>
      <c r="J556" t="n">
        <v>0</v>
      </c>
      <c r="K556" t="n">
        <v>0</v>
      </c>
      <c r="L556" t="n">
        <v>0</v>
      </c>
      <c r="M556" t="n">
        <v>0</v>
      </c>
      <c r="N556" t="n">
        <v>0</v>
      </c>
      <c r="O556" t="n">
        <v>0</v>
      </c>
      <c r="P556" t="n">
        <v>0</v>
      </c>
      <c r="Q556" t="n">
        <v>0</v>
      </c>
      <c r="R556" s="2" t="inlineStr"/>
    </row>
    <row r="557" ht="15" customHeight="1">
      <c r="A557" t="inlineStr">
        <is>
          <t>A 2738-2023</t>
        </is>
      </c>
      <c r="B557" s="1" t="n">
        <v>44944</v>
      </c>
      <c r="C557" s="1" t="n">
        <v>45895</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57178-2024</t>
        </is>
      </c>
      <c r="B558" s="1" t="n">
        <v>45629.43973379629</v>
      </c>
      <c r="C558" s="1" t="n">
        <v>45895</v>
      </c>
      <c r="D558" t="inlineStr">
        <is>
          <t>KALMAR LÄN</t>
        </is>
      </c>
      <c r="E558" t="inlineStr">
        <is>
          <t>VÄSTERVIK</t>
        </is>
      </c>
      <c r="G558" t="n">
        <v>2</v>
      </c>
      <c r="H558" t="n">
        <v>0</v>
      </c>
      <c r="I558" t="n">
        <v>0</v>
      </c>
      <c r="J558" t="n">
        <v>0</v>
      </c>
      <c r="K558" t="n">
        <v>0</v>
      </c>
      <c r="L558" t="n">
        <v>0</v>
      </c>
      <c r="M558" t="n">
        <v>0</v>
      </c>
      <c r="N558" t="n">
        <v>0</v>
      </c>
      <c r="O558" t="n">
        <v>0</v>
      </c>
      <c r="P558" t="n">
        <v>0</v>
      </c>
      <c r="Q558" t="n">
        <v>0</v>
      </c>
      <c r="R558" s="2" t="inlineStr"/>
    </row>
    <row r="559" ht="15" customHeight="1">
      <c r="A559" t="inlineStr">
        <is>
          <t>A 170-2022</t>
        </is>
      </c>
      <c r="B559" s="1" t="n">
        <v>44564.62540509259</v>
      </c>
      <c r="C559" s="1" t="n">
        <v>45895</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174-2022</t>
        </is>
      </c>
      <c r="B560" s="1" t="n">
        <v>44564.62763888889</v>
      </c>
      <c r="C560" s="1" t="n">
        <v>45895</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58731-2024</t>
        </is>
      </c>
      <c r="B561" s="1" t="n">
        <v>45635.67120370371</v>
      </c>
      <c r="C561" s="1" t="n">
        <v>45895</v>
      </c>
      <c r="D561" t="inlineStr">
        <is>
          <t>KALMAR LÄN</t>
        </is>
      </c>
      <c r="E561" t="inlineStr">
        <is>
          <t>VÄSTERVIK</t>
        </is>
      </c>
      <c r="G561" t="n">
        <v>2.3</v>
      </c>
      <c r="H561" t="n">
        <v>0</v>
      </c>
      <c r="I561" t="n">
        <v>0</v>
      </c>
      <c r="J561" t="n">
        <v>0</v>
      </c>
      <c r="K561" t="n">
        <v>0</v>
      </c>
      <c r="L561" t="n">
        <v>0</v>
      </c>
      <c r="M561" t="n">
        <v>0</v>
      </c>
      <c r="N561" t="n">
        <v>0</v>
      </c>
      <c r="O561" t="n">
        <v>0</v>
      </c>
      <c r="P561" t="n">
        <v>0</v>
      </c>
      <c r="Q561" t="n">
        <v>0</v>
      </c>
      <c r="R561" s="2" t="inlineStr"/>
    </row>
    <row r="562" ht="15" customHeight="1">
      <c r="A562" t="inlineStr">
        <is>
          <t>A 11198-2024</t>
        </is>
      </c>
      <c r="B562" s="1" t="n">
        <v>45371</v>
      </c>
      <c r="C562" s="1" t="n">
        <v>45895</v>
      </c>
      <c r="D562" t="inlineStr">
        <is>
          <t>KALMAR LÄN</t>
        </is>
      </c>
      <c r="E562" t="inlineStr">
        <is>
          <t>VÄSTERVIK</t>
        </is>
      </c>
      <c r="G562" t="n">
        <v>4.1</v>
      </c>
      <c r="H562" t="n">
        <v>0</v>
      </c>
      <c r="I562" t="n">
        <v>0</v>
      </c>
      <c r="J562" t="n">
        <v>0</v>
      </c>
      <c r="K562" t="n">
        <v>0</v>
      </c>
      <c r="L562" t="n">
        <v>0</v>
      </c>
      <c r="M562" t="n">
        <v>0</v>
      </c>
      <c r="N562" t="n">
        <v>0</v>
      </c>
      <c r="O562" t="n">
        <v>0</v>
      </c>
      <c r="P562" t="n">
        <v>0</v>
      </c>
      <c r="Q562" t="n">
        <v>0</v>
      </c>
      <c r="R562" s="2" t="inlineStr"/>
    </row>
    <row r="563" ht="15" customHeight="1">
      <c r="A563" t="inlineStr">
        <is>
          <t>A 4463-2022</t>
        </is>
      </c>
      <c r="B563" s="1" t="n">
        <v>44589</v>
      </c>
      <c r="C563" s="1" t="n">
        <v>45895</v>
      </c>
      <c r="D563" t="inlineStr">
        <is>
          <t>KALMAR LÄN</t>
        </is>
      </c>
      <c r="E563" t="inlineStr">
        <is>
          <t>VÄSTERVIK</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16381-2024</t>
        </is>
      </c>
      <c r="B564" s="1" t="n">
        <v>45407.61327546297</v>
      </c>
      <c r="C564" s="1" t="n">
        <v>45895</v>
      </c>
      <c r="D564" t="inlineStr">
        <is>
          <t>KALMAR LÄN</t>
        </is>
      </c>
      <c r="E564" t="inlineStr">
        <is>
          <t>VÄSTERVIK</t>
        </is>
      </c>
      <c r="F564" t="inlineStr">
        <is>
          <t>Holmen skog AB</t>
        </is>
      </c>
      <c r="G564" t="n">
        <v>6.5</v>
      </c>
      <c r="H564" t="n">
        <v>0</v>
      </c>
      <c r="I564" t="n">
        <v>0</v>
      </c>
      <c r="J564" t="n">
        <v>0</v>
      </c>
      <c r="K564" t="n">
        <v>0</v>
      </c>
      <c r="L564" t="n">
        <v>0</v>
      </c>
      <c r="M564" t="n">
        <v>0</v>
      </c>
      <c r="N564" t="n">
        <v>0</v>
      </c>
      <c r="O564" t="n">
        <v>0</v>
      </c>
      <c r="P564" t="n">
        <v>0</v>
      </c>
      <c r="Q564" t="n">
        <v>0</v>
      </c>
      <c r="R564" s="2" t="inlineStr"/>
    </row>
    <row r="565" ht="15" customHeight="1">
      <c r="A565" t="inlineStr">
        <is>
          <t>A 2859-2025</t>
        </is>
      </c>
      <c r="B565" s="1" t="n">
        <v>45677.67003472222</v>
      </c>
      <c r="C565" s="1" t="n">
        <v>45895</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2870-2025</t>
        </is>
      </c>
      <c r="B566" s="1" t="n">
        <v>45677.68149305556</v>
      </c>
      <c r="C566" s="1" t="n">
        <v>45895</v>
      </c>
      <c r="D566" t="inlineStr">
        <is>
          <t>KALMAR LÄN</t>
        </is>
      </c>
      <c r="E566" t="inlineStr">
        <is>
          <t>VÄSTERVIK</t>
        </is>
      </c>
      <c r="G566" t="n">
        <v>1.2</v>
      </c>
      <c r="H566" t="n">
        <v>0</v>
      </c>
      <c r="I566" t="n">
        <v>0</v>
      </c>
      <c r="J566" t="n">
        <v>0</v>
      </c>
      <c r="K566" t="n">
        <v>0</v>
      </c>
      <c r="L566" t="n">
        <v>0</v>
      </c>
      <c r="M566" t="n">
        <v>0</v>
      </c>
      <c r="N566" t="n">
        <v>0</v>
      </c>
      <c r="O566" t="n">
        <v>0</v>
      </c>
      <c r="P566" t="n">
        <v>0</v>
      </c>
      <c r="Q566" t="n">
        <v>0</v>
      </c>
      <c r="R566" s="2" t="inlineStr"/>
    </row>
    <row r="567" ht="15" customHeight="1">
      <c r="A567" t="inlineStr">
        <is>
          <t>A 23745-2025</t>
        </is>
      </c>
      <c r="B567" s="1" t="n">
        <v>45793.44484953704</v>
      </c>
      <c r="C567" s="1" t="n">
        <v>45895</v>
      </c>
      <c r="D567" t="inlineStr">
        <is>
          <t>KALMAR LÄN</t>
        </is>
      </c>
      <c r="E567" t="inlineStr">
        <is>
          <t>VÄSTERVIK</t>
        </is>
      </c>
      <c r="F567" t="inlineStr">
        <is>
          <t>Holmen skog AB</t>
        </is>
      </c>
      <c r="G567" t="n">
        <v>3.7</v>
      </c>
      <c r="H567" t="n">
        <v>0</v>
      </c>
      <c r="I567" t="n">
        <v>0</v>
      </c>
      <c r="J567" t="n">
        <v>0</v>
      </c>
      <c r="K567" t="n">
        <v>0</v>
      </c>
      <c r="L567" t="n">
        <v>0</v>
      </c>
      <c r="M567" t="n">
        <v>0</v>
      </c>
      <c r="N567" t="n">
        <v>0</v>
      </c>
      <c r="O567" t="n">
        <v>0</v>
      </c>
      <c r="P567" t="n">
        <v>0</v>
      </c>
      <c r="Q567" t="n">
        <v>0</v>
      </c>
      <c r="R567" s="2" t="inlineStr"/>
    </row>
    <row r="568" ht="15" customHeight="1">
      <c r="A568" t="inlineStr">
        <is>
          <t>A 23739-2025</t>
        </is>
      </c>
      <c r="B568" s="1" t="n">
        <v>45793.42939814815</v>
      </c>
      <c r="C568" s="1" t="n">
        <v>45895</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23859-2025</t>
        </is>
      </c>
      <c r="B569" s="1" t="n">
        <v>45793.65996527778</v>
      </c>
      <c r="C569" s="1" t="n">
        <v>45895</v>
      </c>
      <c r="D569" t="inlineStr">
        <is>
          <t>KALMAR LÄN</t>
        </is>
      </c>
      <c r="E569" t="inlineStr">
        <is>
          <t>VÄSTERVIK</t>
        </is>
      </c>
      <c r="F569" t="inlineStr">
        <is>
          <t>Holmen skog AB</t>
        </is>
      </c>
      <c r="G569" t="n">
        <v>17.7</v>
      </c>
      <c r="H569" t="n">
        <v>0</v>
      </c>
      <c r="I569" t="n">
        <v>0</v>
      </c>
      <c r="J569" t="n">
        <v>0</v>
      </c>
      <c r="K569" t="n">
        <v>0</v>
      </c>
      <c r="L569" t="n">
        <v>0</v>
      </c>
      <c r="M569" t="n">
        <v>0</v>
      </c>
      <c r="N569" t="n">
        <v>0</v>
      </c>
      <c r="O569" t="n">
        <v>0</v>
      </c>
      <c r="P569" t="n">
        <v>0</v>
      </c>
      <c r="Q569" t="n">
        <v>0</v>
      </c>
      <c r="R569" s="2" t="inlineStr"/>
    </row>
    <row r="570" ht="15" customHeight="1">
      <c r="A570" t="inlineStr">
        <is>
          <t>A 14068-2025</t>
        </is>
      </c>
      <c r="B570" s="1" t="n">
        <v>45740.42127314815</v>
      </c>
      <c r="C570" s="1" t="n">
        <v>45895</v>
      </c>
      <c r="D570" t="inlineStr">
        <is>
          <t>KALMAR LÄN</t>
        </is>
      </c>
      <c r="E570" t="inlineStr">
        <is>
          <t>VÄSTERVIK</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14071-2025</t>
        </is>
      </c>
      <c r="B571" s="1" t="n">
        <v>45740.42738425926</v>
      </c>
      <c r="C571" s="1" t="n">
        <v>45895</v>
      </c>
      <c r="D571" t="inlineStr">
        <is>
          <t>KALMAR LÄN</t>
        </is>
      </c>
      <c r="E571" t="inlineStr">
        <is>
          <t>VÄSTERVIK</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24578-2024</t>
        </is>
      </c>
      <c r="B572" s="1" t="n">
        <v>45460</v>
      </c>
      <c r="C572" s="1" t="n">
        <v>45895</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36400-2024</t>
        </is>
      </c>
      <c r="B573" s="1" t="n">
        <v>45535.67180555555</v>
      </c>
      <c r="C573" s="1" t="n">
        <v>45895</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3776-2024</t>
        </is>
      </c>
      <c r="B574" s="1" t="n">
        <v>45321.58569444445</v>
      </c>
      <c r="C574" s="1" t="n">
        <v>45895</v>
      </c>
      <c r="D574" t="inlineStr">
        <is>
          <t>KALMAR LÄN</t>
        </is>
      </c>
      <c r="E574" t="inlineStr">
        <is>
          <t>VÄSTERVIK</t>
        </is>
      </c>
      <c r="G574" t="n">
        <v>4.8</v>
      </c>
      <c r="H574" t="n">
        <v>0</v>
      </c>
      <c r="I574" t="n">
        <v>0</v>
      </c>
      <c r="J574" t="n">
        <v>0</v>
      </c>
      <c r="K574" t="n">
        <v>0</v>
      </c>
      <c r="L574" t="n">
        <v>0</v>
      </c>
      <c r="M574" t="n">
        <v>0</v>
      </c>
      <c r="N574" t="n">
        <v>0</v>
      </c>
      <c r="O574" t="n">
        <v>0</v>
      </c>
      <c r="P574" t="n">
        <v>0</v>
      </c>
      <c r="Q574" t="n">
        <v>0</v>
      </c>
      <c r="R574" s="2" t="inlineStr"/>
    </row>
    <row r="575" ht="15" customHeight="1">
      <c r="A575" t="inlineStr">
        <is>
          <t>A 60710-2022</t>
        </is>
      </c>
      <c r="B575" s="1" t="n">
        <v>44912</v>
      </c>
      <c r="C575" s="1" t="n">
        <v>45895</v>
      </c>
      <c r="D575" t="inlineStr">
        <is>
          <t>KALMAR LÄN</t>
        </is>
      </c>
      <c r="E575" t="inlineStr">
        <is>
          <t>VÄSTERVIK</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60713-2022</t>
        </is>
      </c>
      <c r="B576" s="1" t="n">
        <v>44912</v>
      </c>
      <c r="C576" s="1" t="n">
        <v>45895</v>
      </c>
      <c r="D576" t="inlineStr">
        <is>
          <t>KALMAR LÄN</t>
        </is>
      </c>
      <c r="E576" t="inlineStr">
        <is>
          <t>VÄSTERVIK</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56440-2024</t>
        </is>
      </c>
      <c r="B577" s="1" t="n">
        <v>45625.41949074074</v>
      </c>
      <c r="C577" s="1" t="n">
        <v>45895</v>
      </c>
      <c r="D577" t="inlineStr">
        <is>
          <t>KALMAR LÄN</t>
        </is>
      </c>
      <c r="E577" t="inlineStr">
        <is>
          <t>VÄSTERVIK</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50911-2022</t>
        </is>
      </c>
      <c r="B578" s="1" t="n">
        <v>44867.62262731481</v>
      </c>
      <c r="C578" s="1" t="n">
        <v>45895</v>
      </c>
      <c r="D578" t="inlineStr">
        <is>
          <t>KALMAR LÄN</t>
        </is>
      </c>
      <c r="E578" t="inlineStr">
        <is>
          <t>VÄSTERVIK</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36906-2024</t>
        </is>
      </c>
      <c r="B579" s="1" t="n">
        <v>45538</v>
      </c>
      <c r="C579" s="1" t="n">
        <v>45895</v>
      </c>
      <c r="D579" t="inlineStr">
        <is>
          <t>KALMAR LÄN</t>
        </is>
      </c>
      <c r="E579" t="inlineStr">
        <is>
          <t>VÄSTERVIK</t>
        </is>
      </c>
      <c r="G579" t="n">
        <v>2</v>
      </c>
      <c r="H579" t="n">
        <v>0</v>
      </c>
      <c r="I579" t="n">
        <v>0</v>
      </c>
      <c r="J579" t="n">
        <v>0</v>
      </c>
      <c r="K579" t="n">
        <v>0</v>
      </c>
      <c r="L579" t="n">
        <v>0</v>
      </c>
      <c r="M579" t="n">
        <v>0</v>
      </c>
      <c r="N579" t="n">
        <v>0</v>
      </c>
      <c r="O579" t="n">
        <v>0</v>
      </c>
      <c r="P579" t="n">
        <v>0</v>
      </c>
      <c r="Q579" t="n">
        <v>0</v>
      </c>
      <c r="R579" s="2" t="inlineStr"/>
    </row>
    <row r="580" ht="15" customHeight="1">
      <c r="A580" t="inlineStr">
        <is>
          <t>A 55032-2024</t>
        </is>
      </c>
      <c r="B580" s="1" t="n">
        <v>45621.38190972222</v>
      </c>
      <c r="C580" s="1" t="n">
        <v>45895</v>
      </c>
      <c r="D580" t="inlineStr">
        <is>
          <t>KALMAR LÄN</t>
        </is>
      </c>
      <c r="E580" t="inlineStr">
        <is>
          <t>VÄSTERVIK</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55037-2024</t>
        </is>
      </c>
      <c r="B581" s="1" t="n">
        <v>45621.38459490741</v>
      </c>
      <c r="C581" s="1" t="n">
        <v>45895</v>
      </c>
      <c r="D581" t="inlineStr">
        <is>
          <t>KALMAR LÄN</t>
        </is>
      </c>
      <c r="E581" t="inlineStr">
        <is>
          <t>VÄSTERVIK</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55358-2024</t>
        </is>
      </c>
      <c r="B582" s="1" t="n">
        <v>45621.82039351852</v>
      </c>
      <c r="C582" s="1" t="n">
        <v>45895</v>
      </c>
      <c r="D582" t="inlineStr">
        <is>
          <t>KALMAR LÄN</t>
        </is>
      </c>
      <c r="E582" t="inlineStr">
        <is>
          <t>VÄSTERVIK</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19551-2023</t>
        </is>
      </c>
      <c r="B583" s="1" t="n">
        <v>45049</v>
      </c>
      <c r="C583" s="1" t="n">
        <v>45895</v>
      </c>
      <c r="D583" t="inlineStr">
        <is>
          <t>KALMAR LÄN</t>
        </is>
      </c>
      <c r="E583" t="inlineStr">
        <is>
          <t>VÄSTERVIK</t>
        </is>
      </c>
      <c r="G583" t="n">
        <v>3.2</v>
      </c>
      <c r="H583" t="n">
        <v>0</v>
      </c>
      <c r="I583" t="n">
        <v>0</v>
      </c>
      <c r="J583" t="n">
        <v>0</v>
      </c>
      <c r="K583" t="n">
        <v>0</v>
      </c>
      <c r="L583" t="n">
        <v>0</v>
      </c>
      <c r="M583" t="n">
        <v>0</v>
      </c>
      <c r="N583" t="n">
        <v>0</v>
      </c>
      <c r="O583" t="n">
        <v>0</v>
      </c>
      <c r="P583" t="n">
        <v>0</v>
      </c>
      <c r="Q583" t="n">
        <v>0</v>
      </c>
      <c r="R583" s="2" t="inlineStr"/>
    </row>
    <row r="584" ht="15" customHeight="1">
      <c r="A584" t="inlineStr">
        <is>
          <t>A 23022-2025</t>
        </is>
      </c>
      <c r="B584" s="1" t="n">
        <v>45790.65489583334</v>
      </c>
      <c r="C584" s="1" t="n">
        <v>45895</v>
      </c>
      <c r="D584" t="inlineStr">
        <is>
          <t>KALMAR LÄN</t>
        </is>
      </c>
      <c r="E584" t="inlineStr">
        <is>
          <t>VÄSTERVIK</t>
        </is>
      </c>
      <c r="G584" t="n">
        <v>3.3</v>
      </c>
      <c r="H584" t="n">
        <v>0</v>
      </c>
      <c r="I584" t="n">
        <v>0</v>
      </c>
      <c r="J584" t="n">
        <v>0</v>
      </c>
      <c r="K584" t="n">
        <v>0</v>
      </c>
      <c r="L584" t="n">
        <v>0</v>
      </c>
      <c r="M584" t="n">
        <v>0</v>
      </c>
      <c r="N584" t="n">
        <v>0</v>
      </c>
      <c r="O584" t="n">
        <v>0</v>
      </c>
      <c r="P584" t="n">
        <v>0</v>
      </c>
      <c r="Q584" t="n">
        <v>0</v>
      </c>
      <c r="R584" s="2" t="inlineStr"/>
    </row>
    <row r="585" ht="15" customHeight="1">
      <c r="A585" t="inlineStr">
        <is>
          <t>A 24212-2025</t>
        </is>
      </c>
      <c r="B585" s="1" t="n">
        <v>45797.34990740741</v>
      </c>
      <c r="C585" s="1" t="n">
        <v>45895</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32394-2021</t>
        </is>
      </c>
      <c r="B586" s="1" t="n">
        <v>44371.63414351852</v>
      </c>
      <c r="C586" s="1" t="n">
        <v>45895</v>
      </c>
      <c r="D586" t="inlineStr">
        <is>
          <t>KALMAR LÄN</t>
        </is>
      </c>
      <c r="E586" t="inlineStr">
        <is>
          <t>VÄSTERVIK</t>
        </is>
      </c>
      <c r="G586" t="n">
        <v>2.2</v>
      </c>
      <c r="H586" t="n">
        <v>0</v>
      </c>
      <c r="I586" t="n">
        <v>0</v>
      </c>
      <c r="J586" t="n">
        <v>0</v>
      </c>
      <c r="K586" t="n">
        <v>0</v>
      </c>
      <c r="L586" t="n">
        <v>0</v>
      </c>
      <c r="M586" t="n">
        <v>0</v>
      </c>
      <c r="N586" t="n">
        <v>0</v>
      </c>
      <c r="O586" t="n">
        <v>0</v>
      </c>
      <c r="P586" t="n">
        <v>0</v>
      </c>
      <c r="Q586" t="n">
        <v>0</v>
      </c>
      <c r="R586" s="2" t="inlineStr"/>
    </row>
    <row r="587" ht="15" customHeight="1">
      <c r="A587" t="inlineStr">
        <is>
          <t>A 62921-2023</t>
        </is>
      </c>
      <c r="B587" s="1" t="n">
        <v>45272</v>
      </c>
      <c r="C587" s="1" t="n">
        <v>45895</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17052-2025</t>
        </is>
      </c>
      <c r="B588" s="1" t="n">
        <v>45755.60236111111</v>
      </c>
      <c r="C588" s="1" t="n">
        <v>45895</v>
      </c>
      <c r="D588" t="inlineStr">
        <is>
          <t>KALMAR LÄN</t>
        </is>
      </c>
      <c r="E588" t="inlineStr">
        <is>
          <t>VÄSTERVIK</t>
        </is>
      </c>
      <c r="G588" t="n">
        <v>2.3</v>
      </c>
      <c r="H588" t="n">
        <v>0</v>
      </c>
      <c r="I588" t="n">
        <v>0</v>
      </c>
      <c r="J588" t="n">
        <v>0</v>
      </c>
      <c r="K588" t="n">
        <v>0</v>
      </c>
      <c r="L588" t="n">
        <v>0</v>
      </c>
      <c r="M588" t="n">
        <v>0</v>
      </c>
      <c r="N588" t="n">
        <v>0</v>
      </c>
      <c r="O588" t="n">
        <v>0</v>
      </c>
      <c r="P588" t="n">
        <v>0</v>
      </c>
      <c r="Q588" t="n">
        <v>0</v>
      </c>
      <c r="R588" s="2" t="inlineStr"/>
    </row>
    <row r="589" ht="15" customHeight="1">
      <c r="A589" t="inlineStr">
        <is>
          <t>A 17054-2025</t>
        </is>
      </c>
      <c r="B589" s="1" t="n">
        <v>45755.60278935185</v>
      </c>
      <c r="C589" s="1" t="n">
        <v>45895</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2872-2025</t>
        </is>
      </c>
      <c r="B590" s="1" t="n">
        <v>45677.68357638889</v>
      </c>
      <c r="C590" s="1" t="n">
        <v>45895</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26770-2023</t>
        </is>
      </c>
      <c r="B591" s="1" t="n">
        <v>45093</v>
      </c>
      <c r="C591" s="1" t="n">
        <v>45895</v>
      </c>
      <c r="D591" t="inlineStr">
        <is>
          <t>KALMAR LÄN</t>
        </is>
      </c>
      <c r="E591" t="inlineStr">
        <is>
          <t>VÄSTERVIK</t>
        </is>
      </c>
      <c r="G591" t="n">
        <v>2.6</v>
      </c>
      <c r="H591" t="n">
        <v>0</v>
      </c>
      <c r="I591" t="n">
        <v>0</v>
      </c>
      <c r="J591" t="n">
        <v>0</v>
      </c>
      <c r="K591" t="n">
        <v>0</v>
      </c>
      <c r="L591" t="n">
        <v>0</v>
      </c>
      <c r="M591" t="n">
        <v>0</v>
      </c>
      <c r="N591" t="n">
        <v>0</v>
      </c>
      <c r="O591" t="n">
        <v>0</v>
      </c>
      <c r="P591" t="n">
        <v>0</v>
      </c>
      <c r="Q591" t="n">
        <v>0</v>
      </c>
      <c r="R591" s="2" t="inlineStr"/>
    </row>
    <row r="592" ht="15" customHeight="1">
      <c r="A592" t="inlineStr">
        <is>
          <t>A 26772-2023</t>
        </is>
      </c>
      <c r="B592" s="1" t="n">
        <v>45093</v>
      </c>
      <c r="C592" s="1" t="n">
        <v>45895</v>
      </c>
      <c r="D592" t="inlineStr">
        <is>
          <t>KALMAR LÄN</t>
        </is>
      </c>
      <c r="E592" t="inlineStr">
        <is>
          <t>VÄSTERVIK</t>
        </is>
      </c>
      <c r="G592" t="n">
        <v>2</v>
      </c>
      <c r="H592" t="n">
        <v>0</v>
      </c>
      <c r="I592" t="n">
        <v>0</v>
      </c>
      <c r="J592" t="n">
        <v>0</v>
      </c>
      <c r="K592" t="n">
        <v>0</v>
      </c>
      <c r="L592" t="n">
        <v>0</v>
      </c>
      <c r="M592" t="n">
        <v>0</v>
      </c>
      <c r="N592" t="n">
        <v>0</v>
      </c>
      <c r="O592" t="n">
        <v>0</v>
      </c>
      <c r="P592" t="n">
        <v>0</v>
      </c>
      <c r="Q592" t="n">
        <v>0</v>
      </c>
      <c r="R592" s="2" t="inlineStr"/>
    </row>
    <row r="593" ht="15" customHeight="1">
      <c r="A593" t="inlineStr">
        <is>
          <t>A 26773-2023</t>
        </is>
      </c>
      <c r="B593" s="1" t="n">
        <v>45093</v>
      </c>
      <c r="C593" s="1" t="n">
        <v>45895</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46130-2023</t>
        </is>
      </c>
      <c r="B594" s="1" t="n">
        <v>45196.55849537037</v>
      </c>
      <c r="C594" s="1" t="n">
        <v>45895</v>
      </c>
      <c r="D594" t="inlineStr">
        <is>
          <t>KALMAR LÄN</t>
        </is>
      </c>
      <c r="E594" t="inlineStr">
        <is>
          <t>VÄSTERVIK</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16207-2022</t>
        </is>
      </c>
      <c r="B595" s="1" t="n">
        <v>44669</v>
      </c>
      <c r="C595" s="1" t="n">
        <v>45895</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5982-2023</t>
        </is>
      </c>
      <c r="B596" s="1" t="n">
        <v>44964.35730324074</v>
      </c>
      <c r="C596" s="1" t="n">
        <v>45895</v>
      </c>
      <c r="D596" t="inlineStr">
        <is>
          <t>KALMAR LÄN</t>
        </is>
      </c>
      <c r="E596" t="inlineStr">
        <is>
          <t>VÄSTERVIK</t>
        </is>
      </c>
      <c r="G596" t="n">
        <v>2.8</v>
      </c>
      <c r="H596" t="n">
        <v>0</v>
      </c>
      <c r="I596" t="n">
        <v>0</v>
      </c>
      <c r="J596" t="n">
        <v>0</v>
      </c>
      <c r="K596" t="n">
        <v>0</v>
      </c>
      <c r="L596" t="n">
        <v>0</v>
      </c>
      <c r="M596" t="n">
        <v>0</v>
      </c>
      <c r="N596" t="n">
        <v>0</v>
      </c>
      <c r="O596" t="n">
        <v>0</v>
      </c>
      <c r="P596" t="n">
        <v>0</v>
      </c>
      <c r="Q596" t="n">
        <v>0</v>
      </c>
      <c r="R596" s="2" t="inlineStr"/>
    </row>
    <row r="597" ht="15" customHeight="1">
      <c r="A597" t="inlineStr">
        <is>
          <t>A 60453-2024</t>
        </is>
      </c>
      <c r="B597" s="1" t="n">
        <v>45643.60487268519</v>
      </c>
      <c r="C597" s="1" t="n">
        <v>45895</v>
      </c>
      <c r="D597" t="inlineStr">
        <is>
          <t>KALMAR LÄN</t>
        </is>
      </c>
      <c r="E597" t="inlineStr">
        <is>
          <t>VÄSTERVIK</t>
        </is>
      </c>
      <c r="G597" t="n">
        <v>7.1</v>
      </c>
      <c r="H597" t="n">
        <v>0</v>
      </c>
      <c r="I597" t="n">
        <v>0</v>
      </c>
      <c r="J597" t="n">
        <v>0</v>
      </c>
      <c r="K597" t="n">
        <v>0</v>
      </c>
      <c r="L597" t="n">
        <v>0</v>
      </c>
      <c r="M597" t="n">
        <v>0</v>
      </c>
      <c r="N597" t="n">
        <v>0</v>
      </c>
      <c r="O597" t="n">
        <v>0</v>
      </c>
      <c r="P597" t="n">
        <v>0</v>
      </c>
      <c r="Q597" t="n">
        <v>0</v>
      </c>
      <c r="R597" s="2" t="inlineStr"/>
    </row>
    <row r="598" ht="15" customHeight="1">
      <c r="A598" t="inlineStr">
        <is>
          <t>A 7840-2025</t>
        </is>
      </c>
      <c r="B598" s="1" t="n">
        <v>45706.65895833333</v>
      </c>
      <c r="C598" s="1" t="n">
        <v>45895</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45895</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5079-2025</t>
        </is>
      </c>
      <c r="B600" s="1" t="n">
        <v>45691.50069444445</v>
      </c>
      <c r="C600" s="1" t="n">
        <v>45895</v>
      </c>
      <c r="D600" t="inlineStr">
        <is>
          <t>KALMAR LÄN</t>
        </is>
      </c>
      <c r="E600" t="inlineStr">
        <is>
          <t>VÄSTERVIK</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19694-2025</t>
        </is>
      </c>
      <c r="B601" s="1" t="n">
        <v>45771.30550925926</v>
      </c>
      <c r="C601" s="1" t="n">
        <v>45895</v>
      </c>
      <c r="D601" t="inlineStr">
        <is>
          <t>KALMAR LÄN</t>
        </is>
      </c>
      <c r="E601" t="inlineStr">
        <is>
          <t>VÄSTERVIK</t>
        </is>
      </c>
      <c r="G601" t="n">
        <v>1.4</v>
      </c>
      <c r="H601" t="n">
        <v>0</v>
      </c>
      <c r="I601" t="n">
        <v>0</v>
      </c>
      <c r="J601" t="n">
        <v>0</v>
      </c>
      <c r="K601" t="n">
        <v>0</v>
      </c>
      <c r="L601" t="n">
        <v>0</v>
      </c>
      <c r="M601" t="n">
        <v>0</v>
      </c>
      <c r="N601" t="n">
        <v>0</v>
      </c>
      <c r="O601" t="n">
        <v>0</v>
      </c>
      <c r="P601" t="n">
        <v>0</v>
      </c>
      <c r="Q601" t="n">
        <v>0</v>
      </c>
      <c r="R601" s="2" t="inlineStr"/>
    </row>
    <row r="602" ht="15" customHeight="1">
      <c r="A602" t="inlineStr">
        <is>
          <t>A 24819-2025</t>
        </is>
      </c>
      <c r="B602" s="1" t="n">
        <v>45799.45109953704</v>
      </c>
      <c r="C602" s="1" t="n">
        <v>45895</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32137-2024</t>
        </is>
      </c>
      <c r="B603" s="1" t="n">
        <v>45511</v>
      </c>
      <c r="C603" s="1" t="n">
        <v>45895</v>
      </c>
      <c r="D603" t="inlineStr">
        <is>
          <t>KALMAR LÄN</t>
        </is>
      </c>
      <c r="E603" t="inlineStr">
        <is>
          <t>VÄSTERVIK</t>
        </is>
      </c>
      <c r="F603" t="inlineStr">
        <is>
          <t>Övriga Aktiebolag</t>
        </is>
      </c>
      <c r="G603" t="n">
        <v>1.4</v>
      </c>
      <c r="H603" t="n">
        <v>0</v>
      </c>
      <c r="I603" t="n">
        <v>0</v>
      </c>
      <c r="J603" t="n">
        <v>0</v>
      </c>
      <c r="K603" t="n">
        <v>0</v>
      </c>
      <c r="L603" t="n">
        <v>0</v>
      </c>
      <c r="M603" t="n">
        <v>0</v>
      </c>
      <c r="N603" t="n">
        <v>0</v>
      </c>
      <c r="O603" t="n">
        <v>0</v>
      </c>
      <c r="P603" t="n">
        <v>0</v>
      </c>
      <c r="Q603" t="n">
        <v>0</v>
      </c>
      <c r="R603" s="2" t="inlineStr"/>
    </row>
    <row r="604" ht="15" customHeight="1">
      <c r="A604" t="inlineStr">
        <is>
          <t>A 16080-2025</t>
        </is>
      </c>
      <c r="B604" s="1" t="n">
        <v>45749.72953703703</v>
      </c>
      <c r="C604" s="1" t="n">
        <v>45895</v>
      </c>
      <c r="D604" t="inlineStr">
        <is>
          <t>KALMAR LÄN</t>
        </is>
      </c>
      <c r="E604" t="inlineStr">
        <is>
          <t>VÄSTERVIK</t>
        </is>
      </c>
      <c r="G604" t="n">
        <v>1.9</v>
      </c>
      <c r="H604" t="n">
        <v>0</v>
      </c>
      <c r="I604" t="n">
        <v>0</v>
      </c>
      <c r="J604" t="n">
        <v>0</v>
      </c>
      <c r="K604" t="n">
        <v>0</v>
      </c>
      <c r="L604" t="n">
        <v>0</v>
      </c>
      <c r="M604" t="n">
        <v>0</v>
      </c>
      <c r="N604" t="n">
        <v>0</v>
      </c>
      <c r="O604" t="n">
        <v>0</v>
      </c>
      <c r="P604" t="n">
        <v>0</v>
      </c>
      <c r="Q604" t="n">
        <v>0</v>
      </c>
      <c r="R604" s="2" t="inlineStr"/>
    </row>
    <row r="605" ht="15" customHeight="1">
      <c r="A605" t="inlineStr">
        <is>
          <t>A 41926-2024</t>
        </is>
      </c>
      <c r="B605" s="1" t="n">
        <v>45561</v>
      </c>
      <c r="C605" s="1" t="n">
        <v>45895</v>
      </c>
      <c r="D605" t="inlineStr">
        <is>
          <t>KALMAR LÄN</t>
        </is>
      </c>
      <c r="E605" t="inlineStr">
        <is>
          <t>VÄSTERVIK</t>
        </is>
      </c>
      <c r="F605" t="inlineStr">
        <is>
          <t>Kyrkan</t>
        </is>
      </c>
      <c r="G605" t="n">
        <v>10</v>
      </c>
      <c r="H605" t="n">
        <v>0</v>
      </c>
      <c r="I605" t="n">
        <v>0</v>
      </c>
      <c r="J605" t="n">
        <v>0</v>
      </c>
      <c r="K605" t="n">
        <v>0</v>
      </c>
      <c r="L605" t="n">
        <v>0</v>
      </c>
      <c r="M605" t="n">
        <v>0</v>
      </c>
      <c r="N605" t="n">
        <v>0</v>
      </c>
      <c r="O605" t="n">
        <v>0</v>
      </c>
      <c r="P605" t="n">
        <v>0</v>
      </c>
      <c r="Q605" t="n">
        <v>0</v>
      </c>
      <c r="R605" s="2" t="inlineStr"/>
    </row>
    <row r="606" ht="15" customHeight="1">
      <c r="A606" t="inlineStr">
        <is>
          <t>A 14237-2024</t>
        </is>
      </c>
      <c r="B606" s="1" t="n">
        <v>45393.47158564815</v>
      </c>
      <c r="C606" s="1" t="n">
        <v>45895</v>
      </c>
      <c r="D606" t="inlineStr">
        <is>
          <t>KALMAR LÄN</t>
        </is>
      </c>
      <c r="E606" t="inlineStr">
        <is>
          <t>VÄSTERVIK</t>
        </is>
      </c>
      <c r="G606" t="n">
        <v>0.9</v>
      </c>
      <c r="H606" t="n">
        <v>0</v>
      </c>
      <c r="I606" t="n">
        <v>0</v>
      </c>
      <c r="J606" t="n">
        <v>0</v>
      </c>
      <c r="K606" t="n">
        <v>0</v>
      </c>
      <c r="L606" t="n">
        <v>0</v>
      </c>
      <c r="M606" t="n">
        <v>0</v>
      </c>
      <c r="N606" t="n">
        <v>0</v>
      </c>
      <c r="O606" t="n">
        <v>0</v>
      </c>
      <c r="P606" t="n">
        <v>0</v>
      </c>
      <c r="Q606" t="n">
        <v>0</v>
      </c>
      <c r="R606" s="2" t="inlineStr"/>
    </row>
    <row r="607" ht="15" customHeight="1">
      <c r="A607" t="inlineStr">
        <is>
          <t>A 5450-2022</t>
        </is>
      </c>
      <c r="B607" s="1" t="n">
        <v>44595</v>
      </c>
      <c r="C607" s="1" t="n">
        <v>45895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56042-2023</t>
        </is>
      </c>
      <c r="B608" s="1" t="n">
        <v>45240.44670138889</v>
      </c>
      <c r="C608" s="1" t="n">
        <v>45895</v>
      </c>
      <c r="D608" t="inlineStr">
        <is>
          <t>KALMAR LÄN</t>
        </is>
      </c>
      <c r="E608" t="inlineStr">
        <is>
          <t>VÄSTERVIK</t>
        </is>
      </c>
      <c r="G608" t="n">
        <v>0.7</v>
      </c>
      <c r="H608" t="n">
        <v>0</v>
      </c>
      <c r="I608" t="n">
        <v>0</v>
      </c>
      <c r="J608" t="n">
        <v>0</v>
      </c>
      <c r="K608" t="n">
        <v>0</v>
      </c>
      <c r="L608" t="n">
        <v>0</v>
      </c>
      <c r="M608" t="n">
        <v>0</v>
      </c>
      <c r="N608" t="n">
        <v>0</v>
      </c>
      <c r="O608" t="n">
        <v>0</v>
      </c>
      <c r="P608" t="n">
        <v>0</v>
      </c>
      <c r="Q608" t="n">
        <v>0</v>
      </c>
      <c r="R608" s="2" t="inlineStr"/>
    </row>
    <row r="609" ht="15" customHeight="1">
      <c r="A609" t="inlineStr">
        <is>
          <t>A 35662-2023</t>
        </is>
      </c>
      <c r="B609" s="1" t="n">
        <v>45147</v>
      </c>
      <c r="C609" s="1" t="n">
        <v>45895</v>
      </c>
      <c r="D609" t="inlineStr">
        <is>
          <t>KALMAR LÄN</t>
        </is>
      </c>
      <c r="E609" t="inlineStr">
        <is>
          <t>VÄSTERVIK</t>
        </is>
      </c>
      <c r="G609" t="n">
        <v>0.4</v>
      </c>
      <c r="H609" t="n">
        <v>0</v>
      </c>
      <c r="I609" t="n">
        <v>0</v>
      </c>
      <c r="J609" t="n">
        <v>0</v>
      </c>
      <c r="K609" t="n">
        <v>0</v>
      </c>
      <c r="L609" t="n">
        <v>0</v>
      </c>
      <c r="M609" t="n">
        <v>0</v>
      </c>
      <c r="N609" t="n">
        <v>0</v>
      </c>
      <c r="O609" t="n">
        <v>0</v>
      </c>
      <c r="P609" t="n">
        <v>0</v>
      </c>
      <c r="Q609" t="n">
        <v>0</v>
      </c>
      <c r="R609" s="2" t="inlineStr"/>
    </row>
    <row r="610" ht="15" customHeight="1">
      <c r="A610" t="inlineStr">
        <is>
          <t>A 16586-2022</t>
        </is>
      </c>
      <c r="B610" s="1" t="n">
        <v>44672.47105324074</v>
      </c>
      <c r="C610" s="1" t="n">
        <v>45895</v>
      </c>
      <c r="D610" t="inlineStr">
        <is>
          <t>KALMAR LÄN</t>
        </is>
      </c>
      <c r="E610" t="inlineStr">
        <is>
          <t>VÄSTERVIK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15451-2025</t>
        </is>
      </c>
      <c r="B611" s="1" t="n">
        <v>45747.49021990741</v>
      </c>
      <c r="C611" s="1" t="n">
        <v>45895</v>
      </c>
      <c r="D611" t="inlineStr">
        <is>
          <t>KALMAR LÄN</t>
        </is>
      </c>
      <c r="E611" t="inlineStr">
        <is>
          <t>VÄSTERVIK</t>
        </is>
      </c>
      <c r="G611" t="n">
        <v>0.9</v>
      </c>
      <c r="H611" t="n">
        <v>0</v>
      </c>
      <c r="I611" t="n">
        <v>0</v>
      </c>
      <c r="J611" t="n">
        <v>0</v>
      </c>
      <c r="K611" t="n">
        <v>0</v>
      </c>
      <c r="L611" t="n">
        <v>0</v>
      </c>
      <c r="M611" t="n">
        <v>0</v>
      </c>
      <c r="N611" t="n">
        <v>0</v>
      </c>
      <c r="O611" t="n">
        <v>0</v>
      </c>
      <c r="P611" t="n">
        <v>0</v>
      </c>
      <c r="Q611" t="n">
        <v>0</v>
      </c>
      <c r="R611" s="2" t="inlineStr"/>
    </row>
    <row r="612" ht="15" customHeight="1">
      <c r="A612" t="inlineStr">
        <is>
          <t>A 16839-2025</t>
        </is>
      </c>
      <c r="B612" s="1" t="n">
        <v>45754.66733796296</v>
      </c>
      <c r="C612" s="1" t="n">
        <v>45895</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1867-2025</t>
        </is>
      </c>
      <c r="B613" s="1" t="n">
        <v>45671.61569444444</v>
      </c>
      <c r="C613" s="1" t="n">
        <v>45895</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4579-2023</t>
        </is>
      </c>
      <c r="B614" s="1" t="n">
        <v>44956.72383101852</v>
      </c>
      <c r="C614" s="1" t="n">
        <v>45895</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65059-2023</t>
        </is>
      </c>
      <c r="B615" s="1" t="n">
        <v>45287</v>
      </c>
      <c r="C615" s="1" t="n">
        <v>45895</v>
      </c>
      <c r="D615" t="inlineStr">
        <is>
          <t>KALMAR LÄN</t>
        </is>
      </c>
      <c r="E615" t="inlineStr">
        <is>
          <t>VÄSTERVIK</t>
        </is>
      </c>
      <c r="F615" t="inlineStr">
        <is>
          <t>Holmen skog AB</t>
        </is>
      </c>
      <c r="G615" t="n">
        <v>4.9</v>
      </c>
      <c r="H615" t="n">
        <v>0</v>
      </c>
      <c r="I615" t="n">
        <v>0</v>
      </c>
      <c r="J615" t="n">
        <v>0</v>
      </c>
      <c r="K615" t="n">
        <v>0</v>
      </c>
      <c r="L615" t="n">
        <v>0</v>
      </c>
      <c r="M615" t="n">
        <v>0</v>
      </c>
      <c r="N615" t="n">
        <v>0</v>
      </c>
      <c r="O615" t="n">
        <v>0</v>
      </c>
      <c r="P615" t="n">
        <v>0</v>
      </c>
      <c r="Q615" t="n">
        <v>0</v>
      </c>
      <c r="R615" s="2" t="inlineStr"/>
    </row>
    <row r="616" ht="15" customHeight="1">
      <c r="A616" t="inlineStr">
        <is>
          <t>A 25819-2025</t>
        </is>
      </c>
      <c r="B616" s="1" t="n">
        <v>45804.43547453704</v>
      </c>
      <c r="C616" s="1" t="n">
        <v>45895</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25827-2025</t>
        </is>
      </c>
      <c r="B617" s="1" t="n">
        <v>45804.443125</v>
      </c>
      <c r="C617" s="1" t="n">
        <v>45895</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7164-2025</t>
        </is>
      </c>
      <c r="B618" s="1" t="n">
        <v>45702.39331018519</v>
      </c>
      <c r="C618" s="1" t="n">
        <v>45895</v>
      </c>
      <c r="D618" t="inlineStr">
        <is>
          <t>KALMAR LÄN</t>
        </is>
      </c>
      <c r="E618" t="inlineStr">
        <is>
          <t>VÄSTERVIK</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1585-2022</t>
        </is>
      </c>
      <c r="B619" s="1" t="n">
        <v>44573</v>
      </c>
      <c r="C619" s="1" t="n">
        <v>45895</v>
      </c>
      <c r="D619" t="inlineStr">
        <is>
          <t>KALMAR LÄN</t>
        </is>
      </c>
      <c r="E619" t="inlineStr">
        <is>
          <t>VÄSTERVIK</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35108-2024</t>
        </is>
      </c>
      <c r="B620" s="1" t="n">
        <v>45529.64638888889</v>
      </c>
      <c r="C620" s="1" t="n">
        <v>45895</v>
      </c>
      <c r="D620" t="inlineStr">
        <is>
          <t>KALMAR LÄN</t>
        </is>
      </c>
      <c r="E620" t="inlineStr">
        <is>
          <t>VÄSTERVIK</t>
        </is>
      </c>
      <c r="G620" t="n">
        <v>10.5</v>
      </c>
      <c r="H620" t="n">
        <v>0</v>
      </c>
      <c r="I620" t="n">
        <v>0</v>
      </c>
      <c r="J620" t="n">
        <v>0</v>
      </c>
      <c r="K620" t="n">
        <v>0</v>
      </c>
      <c r="L620" t="n">
        <v>0</v>
      </c>
      <c r="M620" t="n">
        <v>0</v>
      </c>
      <c r="N620" t="n">
        <v>0</v>
      </c>
      <c r="O620" t="n">
        <v>0</v>
      </c>
      <c r="P620" t="n">
        <v>0</v>
      </c>
      <c r="Q620" t="n">
        <v>0</v>
      </c>
      <c r="R620" s="2" t="inlineStr"/>
    </row>
    <row r="621" ht="15" customHeight="1">
      <c r="A621" t="inlineStr">
        <is>
          <t>A 56077-2024</t>
        </is>
      </c>
      <c r="B621" s="1" t="n">
        <v>45624.38690972222</v>
      </c>
      <c r="C621" s="1" t="n">
        <v>45895</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47527-2021</t>
        </is>
      </c>
      <c r="B622" s="1" t="n">
        <v>44447</v>
      </c>
      <c r="C622" s="1" t="n">
        <v>45895</v>
      </c>
      <c r="D622" t="inlineStr">
        <is>
          <t>KALMAR LÄN</t>
        </is>
      </c>
      <c r="E622" t="inlineStr">
        <is>
          <t>VÄSTERVIK</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11856-2024</t>
        </is>
      </c>
      <c r="B623" s="1" t="n">
        <v>45376.43302083333</v>
      </c>
      <c r="C623" s="1" t="n">
        <v>45895</v>
      </c>
      <c r="D623" t="inlineStr">
        <is>
          <t>KALMAR LÄN</t>
        </is>
      </c>
      <c r="E623" t="inlineStr">
        <is>
          <t>VÄSTERVIK</t>
        </is>
      </c>
      <c r="F623" t="inlineStr">
        <is>
          <t>Sveaskog</t>
        </is>
      </c>
      <c r="G623" t="n">
        <v>3.4</v>
      </c>
      <c r="H623" t="n">
        <v>0</v>
      </c>
      <c r="I623" t="n">
        <v>0</v>
      </c>
      <c r="J623" t="n">
        <v>0</v>
      </c>
      <c r="K623" t="n">
        <v>0</v>
      </c>
      <c r="L623" t="n">
        <v>0</v>
      </c>
      <c r="M623" t="n">
        <v>0</v>
      </c>
      <c r="N623" t="n">
        <v>0</v>
      </c>
      <c r="O623" t="n">
        <v>0</v>
      </c>
      <c r="P623" t="n">
        <v>0</v>
      </c>
      <c r="Q623" t="n">
        <v>0</v>
      </c>
      <c r="R623" s="2" t="inlineStr"/>
    </row>
    <row r="624" ht="15" customHeight="1">
      <c r="A624" t="inlineStr">
        <is>
          <t>A 35456-2024</t>
        </is>
      </c>
      <c r="B624" s="1" t="n">
        <v>45531</v>
      </c>
      <c r="C624" s="1" t="n">
        <v>45895</v>
      </c>
      <c r="D624" t="inlineStr">
        <is>
          <t>KALMAR LÄN</t>
        </is>
      </c>
      <c r="E624" t="inlineStr">
        <is>
          <t>VÄSTERVIK</t>
        </is>
      </c>
      <c r="G624" t="n">
        <v>5.8</v>
      </c>
      <c r="H624" t="n">
        <v>0</v>
      </c>
      <c r="I624" t="n">
        <v>0</v>
      </c>
      <c r="J624" t="n">
        <v>0</v>
      </c>
      <c r="K624" t="n">
        <v>0</v>
      </c>
      <c r="L624" t="n">
        <v>0</v>
      </c>
      <c r="M624" t="n">
        <v>0</v>
      </c>
      <c r="N624" t="n">
        <v>0</v>
      </c>
      <c r="O624" t="n">
        <v>0</v>
      </c>
      <c r="P624" t="n">
        <v>0</v>
      </c>
      <c r="Q624" t="n">
        <v>0</v>
      </c>
      <c r="R624" s="2" t="inlineStr"/>
    </row>
    <row r="625" ht="15" customHeight="1">
      <c r="A625" t="inlineStr">
        <is>
          <t>A 57367-2023</t>
        </is>
      </c>
      <c r="B625" s="1" t="n">
        <v>45245</v>
      </c>
      <c r="C625" s="1" t="n">
        <v>45895</v>
      </c>
      <c r="D625" t="inlineStr">
        <is>
          <t>KALMAR LÄN</t>
        </is>
      </c>
      <c r="E625" t="inlineStr">
        <is>
          <t>VÄSTERVIK</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31691-2023</t>
        </is>
      </c>
      <c r="B626" s="1" t="n">
        <v>45117.72543981481</v>
      </c>
      <c r="C626" s="1" t="n">
        <v>45895</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52035-2023</t>
        </is>
      </c>
      <c r="B627" s="1" t="n">
        <v>45216</v>
      </c>
      <c r="C627" s="1" t="n">
        <v>45895</v>
      </c>
      <c r="D627" t="inlineStr">
        <is>
          <t>KALMAR LÄN</t>
        </is>
      </c>
      <c r="E627" t="inlineStr">
        <is>
          <t>VÄSTERVIK</t>
        </is>
      </c>
      <c r="G627" t="n">
        <v>3.4</v>
      </c>
      <c r="H627" t="n">
        <v>0</v>
      </c>
      <c r="I627" t="n">
        <v>0</v>
      </c>
      <c r="J627" t="n">
        <v>0</v>
      </c>
      <c r="K627" t="n">
        <v>0</v>
      </c>
      <c r="L627" t="n">
        <v>0</v>
      </c>
      <c r="M627" t="n">
        <v>0</v>
      </c>
      <c r="N627" t="n">
        <v>0</v>
      </c>
      <c r="O627" t="n">
        <v>0</v>
      </c>
      <c r="P627" t="n">
        <v>0</v>
      </c>
      <c r="Q627" t="n">
        <v>0</v>
      </c>
      <c r="R627" s="2" t="inlineStr"/>
    </row>
    <row r="628" ht="15" customHeight="1">
      <c r="A628" t="inlineStr">
        <is>
          <t>A 9249-2024</t>
        </is>
      </c>
      <c r="B628" s="1" t="n">
        <v>45358.59056712963</v>
      </c>
      <c r="C628" s="1" t="n">
        <v>45895</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12435-2024</t>
        </is>
      </c>
      <c r="B629" s="1" t="n">
        <v>45379.4459375</v>
      </c>
      <c r="C629" s="1" t="n">
        <v>45895</v>
      </c>
      <c r="D629" t="inlineStr">
        <is>
          <t>KALMAR LÄN</t>
        </is>
      </c>
      <c r="E629" t="inlineStr">
        <is>
          <t>VÄSTERVIK</t>
        </is>
      </c>
      <c r="G629" t="n">
        <v>0.4</v>
      </c>
      <c r="H629" t="n">
        <v>0</v>
      </c>
      <c r="I629" t="n">
        <v>0</v>
      </c>
      <c r="J629" t="n">
        <v>0</v>
      </c>
      <c r="K629" t="n">
        <v>0</v>
      </c>
      <c r="L629" t="n">
        <v>0</v>
      </c>
      <c r="M629" t="n">
        <v>0</v>
      </c>
      <c r="N629" t="n">
        <v>0</v>
      </c>
      <c r="O629" t="n">
        <v>0</v>
      </c>
      <c r="P629" t="n">
        <v>0</v>
      </c>
      <c r="Q629" t="n">
        <v>0</v>
      </c>
      <c r="R629" s="2" t="inlineStr"/>
    </row>
    <row r="630" ht="15" customHeight="1">
      <c r="A630" t="inlineStr">
        <is>
          <t>A 3828-2024</t>
        </is>
      </c>
      <c r="B630" s="1" t="n">
        <v>45321</v>
      </c>
      <c r="C630" s="1" t="n">
        <v>45895</v>
      </c>
      <c r="D630" t="inlineStr">
        <is>
          <t>KALMAR LÄN</t>
        </is>
      </c>
      <c r="E630" t="inlineStr">
        <is>
          <t>VÄSTERVIK</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35960-2023</t>
        </is>
      </c>
      <c r="B631" s="1" t="n">
        <v>45148.84990740741</v>
      </c>
      <c r="C631" s="1" t="n">
        <v>45895</v>
      </c>
      <c r="D631" t="inlineStr">
        <is>
          <t>KALMAR LÄN</t>
        </is>
      </c>
      <c r="E631" t="inlineStr">
        <is>
          <t>VÄSTERVIK</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35962-2023</t>
        </is>
      </c>
      <c r="B632" s="1" t="n">
        <v>45148</v>
      </c>
      <c r="C632" s="1" t="n">
        <v>45895</v>
      </c>
      <c r="D632" t="inlineStr">
        <is>
          <t>KALMAR LÄN</t>
        </is>
      </c>
      <c r="E632" t="inlineStr">
        <is>
          <t>VÄSTERVIK</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10441-2022</t>
        </is>
      </c>
      <c r="B633" s="1" t="n">
        <v>44623</v>
      </c>
      <c r="C633" s="1" t="n">
        <v>45895</v>
      </c>
      <c r="D633" t="inlineStr">
        <is>
          <t>KALMAR LÄN</t>
        </is>
      </c>
      <c r="E633" t="inlineStr">
        <is>
          <t>VÄSTERVIK</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11988-2022</t>
        </is>
      </c>
      <c r="B634" s="1" t="n">
        <v>44635.68771990741</v>
      </c>
      <c r="C634" s="1" t="n">
        <v>45895</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64741-2020</t>
        </is>
      </c>
      <c r="B635" s="1" t="n">
        <v>44169</v>
      </c>
      <c r="C635" s="1" t="n">
        <v>45895</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39193-2024</t>
        </is>
      </c>
      <c r="B636" s="1" t="n">
        <v>45548.68</v>
      </c>
      <c r="C636" s="1" t="n">
        <v>45895</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16689-2025</t>
        </is>
      </c>
      <c r="B637" s="1" t="n">
        <v>45754.45739583333</v>
      </c>
      <c r="C637" s="1" t="n">
        <v>45895</v>
      </c>
      <c r="D637" t="inlineStr">
        <is>
          <t>KALMAR LÄN</t>
        </is>
      </c>
      <c r="E637" t="inlineStr">
        <is>
          <t>VÄSTERVIK</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16693-2025</t>
        </is>
      </c>
      <c r="B638" s="1" t="n">
        <v>45754.4644675926</v>
      </c>
      <c r="C638" s="1" t="n">
        <v>45895</v>
      </c>
      <c r="D638" t="inlineStr">
        <is>
          <t>KALMAR LÄN</t>
        </is>
      </c>
      <c r="E638" t="inlineStr">
        <is>
          <t>VÄSTERVIK</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55866-2023</t>
        </is>
      </c>
      <c r="B639" s="1" t="n">
        <v>45239</v>
      </c>
      <c r="C639" s="1" t="n">
        <v>45895</v>
      </c>
      <c r="D639" t="inlineStr">
        <is>
          <t>KALMAR LÄN</t>
        </is>
      </c>
      <c r="E639" t="inlineStr">
        <is>
          <t>VÄSTERVIK</t>
        </is>
      </c>
      <c r="G639" t="n">
        <v>1.3</v>
      </c>
      <c r="H639" t="n">
        <v>0</v>
      </c>
      <c r="I639" t="n">
        <v>0</v>
      </c>
      <c r="J639" t="n">
        <v>0</v>
      </c>
      <c r="K639" t="n">
        <v>0</v>
      </c>
      <c r="L639" t="n">
        <v>0</v>
      </c>
      <c r="M639" t="n">
        <v>0</v>
      </c>
      <c r="N639" t="n">
        <v>0</v>
      </c>
      <c r="O639" t="n">
        <v>0</v>
      </c>
      <c r="P639" t="n">
        <v>0</v>
      </c>
      <c r="Q639" t="n">
        <v>0</v>
      </c>
      <c r="R639" s="2" t="inlineStr"/>
    </row>
    <row r="640" ht="15" customHeight="1">
      <c r="A640" t="inlineStr">
        <is>
          <t>A 10778-2025</t>
        </is>
      </c>
      <c r="B640" s="1" t="n">
        <v>45722</v>
      </c>
      <c r="C640" s="1" t="n">
        <v>45895</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7925-2023</t>
        </is>
      </c>
      <c r="B641" s="1" t="n">
        <v>44973.64606481481</v>
      </c>
      <c r="C641" s="1" t="n">
        <v>45895</v>
      </c>
      <c r="D641" t="inlineStr">
        <is>
          <t>KALMAR LÄN</t>
        </is>
      </c>
      <c r="E641" t="inlineStr">
        <is>
          <t>VÄSTERVIK</t>
        </is>
      </c>
      <c r="G641" t="n">
        <v>4.9</v>
      </c>
      <c r="H641" t="n">
        <v>0</v>
      </c>
      <c r="I641" t="n">
        <v>0</v>
      </c>
      <c r="J641" t="n">
        <v>0</v>
      </c>
      <c r="K641" t="n">
        <v>0</v>
      </c>
      <c r="L641" t="n">
        <v>0</v>
      </c>
      <c r="M641" t="n">
        <v>0</v>
      </c>
      <c r="N641" t="n">
        <v>0</v>
      </c>
      <c r="O641" t="n">
        <v>0</v>
      </c>
      <c r="P641" t="n">
        <v>0</v>
      </c>
      <c r="Q641" t="n">
        <v>0</v>
      </c>
      <c r="R641" s="2" t="inlineStr"/>
    </row>
    <row r="642" ht="15" customHeight="1">
      <c r="A642" t="inlineStr">
        <is>
          <t>A 51510-2024</t>
        </is>
      </c>
      <c r="B642" s="1" t="n">
        <v>45604.55837962963</v>
      </c>
      <c r="C642" s="1" t="n">
        <v>45895</v>
      </c>
      <c r="D642" t="inlineStr">
        <is>
          <t>KALMAR LÄN</t>
        </is>
      </c>
      <c r="E642" t="inlineStr">
        <is>
          <t>VÄSTERVIK</t>
        </is>
      </c>
      <c r="F642" t="inlineStr">
        <is>
          <t>Övriga Aktiebolag</t>
        </is>
      </c>
      <c r="G642" t="n">
        <v>1.5</v>
      </c>
      <c r="H642" t="n">
        <v>0</v>
      </c>
      <c r="I642" t="n">
        <v>0</v>
      </c>
      <c r="J642" t="n">
        <v>0</v>
      </c>
      <c r="K642" t="n">
        <v>0</v>
      </c>
      <c r="L642" t="n">
        <v>0</v>
      </c>
      <c r="M642" t="n">
        <v>0</v>
      </c>
      <c r="N642" t="n">
        <v>0</v>
      </c>
      <c r="O642" t="n">
        <v>0</v>
      </c>
      <c r="P642" t="n">
        <v>0</v>
      </c>
      <c r="Q642" t="n">
        <v>0</v>
      </c>
      <c r="R642" s="2" t="inlineStr"/>
    </row>
    <row r="643" ht="15" customHeight="1">
      <c r="A643" t="inlineStr">
        <is>
          <t>A 35770-2023</t>
        </is>
      </c>
      <c r="B643" s="1" t="n">
        <v>45147</v>
      </c>
      <c r="C643" s="1" t="n">
        <v>45895</v>
      </c>
      <c r="D643" t="inlineStr">
        <is>
          <t>KALMAR LÄN</t>
        </is>
      </c>
      <c r="E643" t="inlineStr">
        <is>
          <t>VÄSTERVIK</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36643-2023</t>
        </is>
      </c>
      <c r="B644" s="1" t="n">
        <v>45153</v>
      </c>
      <c r="C644" s="1" t="n">
        <v>45895</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8007-2023</t>
        </is>
      </c>
      <c r="B645" s="1" t="n">
        <v>44973.88759259259</v>
      </c>
      <c r="C645" s="1" t="n">
        <v>45895</v>
      </c>
      <c r="D645" t="inlineStr">
        <is>
          <t>KALMAR LÄN</t>
        </is>
      </c>
      <c r="E645" t="inlineStr">
        <is>
          <t>VÄSTERVIK</t>
        </is>
      </c>
      <c r="G645" t="n">
        <v>4.5</v>
      </c>
      <c r="H645" t="n">
        <v>0</v>
      </c>
      <c r="I645" t="n">
        <v>0</v>
      </c>
      <c r="J645" t="n">
        <v>0</v>
      </c>
      <c r="K645" t="n">
        <v>0</v>
      </c>
      <c r="L645" t="n">
        <v>0</v>
      </c>
      <c r="M645" t="n">
        <v>0</v>
      </c>
      <c r="N645" t="n">
        <v>0</v>
      </c>
      <c r="O645" t="n">
        <v>0</v>
      </c>
      <c r="P645" t="n">
        <v>0</v>
      </c>
      <c r="Q645" t="n">
        <v>0</v>
      </c>
      <c r="R645" s="2" t="inlineStr"/>
    </row>
    <row r="646" ht="15" customHeight="1">
      <c r="A646" t="inlineStr">
        <is>
          <t>A 54784-2023</t>
        </is>
      </c>
      <c r="B646" s="1" t="n">
        <v>45236.4803587963</v>
      </c>
      <c r="C646" s="1" t="n">
        <v>45895</v>
      </c>
      <c r="D646" t="inlineStr">
        <is>
          <t>KALMAR LÄN</t>
        </is>
      </c>
      <c r="E646" t="inlineStr">
        <is>
          <t>VÄSTERVIK</t>
        </is>
      </c>
      <c r="G646" t="n">
        <v>1.3</v>
      </c>
      <c r="H646" t="n">
        <v>0</v>
      </c>
      <c r="I646" t="n">
        <v>0</v>
      </c>
      <c r="J646" t="n">
        <v>0</v>
      </c>
      <c r="K646" t="n">
        <v>0</v>
      </c>
      <c r="L646" t="n">
        <v>0</v>
      </c>
      <c r="M646" t="n">
        <v>0</v>
      </c>
      <c r="N646" t="n">
        <v>0</v>
      </c>
      <c r="O646" t="n">
        <v>0</v>
      </c>
      <c r="P646" t="n">
        <v>0</v>
      </c>
      <c r="Q646" t="n">
        <v>0</v>
      </c>
      <c r="R646" s="2" t="inlineStr"/>
    </row>
    <row r="647" ht="15" customHeight="1">
      <c r="A647" t="inlineStr">
        <is>
          <t>A 67133-2020</t>
        </is>
      </c>
      <c r="B647" s="1" t="n">
        <v>44180</v>
      </c>
      <c r="C647" s="1" t="n">
        <v>45895</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49507-2023</t>
        </is>
      </c>
      <c r="B648" s="1" t="n">
        <v>45211.5790625</v>
      </c>
      <c r="C648" s="1" t="n">
        <v>45895</v>
      </c>
      <c r="D648" t="inlineStr">
        <is>
          <t>KALMAR LÄN</t>
        </is>
      </c>
      <c r="E648" t="inlineStr">
        <is>
          <t>VÄSTERVIK</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48035-2024</t>
        </is>
      </c>
      <c r="B649" s="1" t="n">
        <v>45589.49168981481</v>
      </c>
      <c r="C649" s="1" t="n">
        <v>45895</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58703-2023</t>
        </is>
      </c>
      <c r="B650" s="1" t="n">
        <v>45251</v>
      </c>
      <c r="C650" s="1" t="n">
        <v>45895</v>
      </c>
      <c r="D650" t="inlineStr">
        <is>
          <t>KALMAR LÄN</t>
        </is>
      </c>
      <c r="E650" t="inlineStr">
        <is>
          <t>VÄSTERVIK</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26633-2025</t>
        </is>
      </c>
      <c r="B651" s="1" t="n">
        <v>45810.35262731482</v>
      </c>
      <c r="C651" s="1" t="n">
        <v>45895</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26566-2025</t>
        </is>
      </c>
      <c r="B652" s="1" t="n">
        <v>45807.66685185185</v>
      </c>
      <c r="C652" s="1" t="n">
        <v>45895</v>
      </c>
      <c r="D652" t="inlineStr">
        <is>
          <t>KALMAR LÄN</t>
        </is>
      </c>
      <c r="E652" t="inlineStr">
        <is>
          <t>VÄSTERVIK</t>
        </is>
      </c>
      <c r="G652" t="n">
        <v>2.5</v>
      </c>
      <c r="H652" t="n">
        <v>0</v>
      </c>
      <c r="I652" t="n">
        <v>0</v>
      </c>
      <c r="J652" t="n">
        <v>0</v>
      </c>
      <c r="K652" t="n">
        <v>0</v>
      </c>
      <c r="L652" t="n">
        <v>0</v>
      </c>
      <c r="M652" t="n">
        <v>0</v>
      </c>
      <c r="N652" t="n">
        <v>0</v>
      </c>
      <c r="O652" t="n">
        <v>0</v>
      </c>
      <c r="P652" t="n">
        <v>0</v>
      </c>
      <c r="Q652" t="n">
        <v>0</v>
      </c>
      <c r="R652" s="2" t="inlineStr"/>
    </row>
    <row r="653" ht="15" customHeight="1">
      <c r="A653" t="inlineStr">
        <is>
          <t>A 26569-2025</t>
        </is>
      </c>
      <c r="B653" s="1" t="n">
        <v>45807.67638888889</v>
      </c>
      <c r="C653" s="1" t="n">
        <v>45895</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26572-2025</t>
        </is>
      </c>
      <c r="B654" s="1" t="n">
        <v>45807.68232638889</v>
      </c>
      <c r="C654" s="1" t="n">
        <v>45895</v>
      </c>
      <c r="D654" t="inlineStr">
        <is>
          <t>KALMAR LÄN</t>
        </is>
      </c>
      <c r="E654" t="inlineStr">
        <is>
          <t>VÄSTERVIK</t>
        </is>
      </c>
      <c r="G654" t="n">
        <v>2.9</v>
      </c>
      <c r="H654" t="n">
        <v>0</v>
      </c>
      <c r="I654" t="n">
        <v>0</v>
      </c>
      <c r="J654" t="n">
        <v>0</v>
      </c>
      <c r="K654" t="n">
        <v>0</v>
      </c>
      <c r="L654" t="n">
        <v>0</v>
      </c>
      <c r="M654" t="n">
        <v>0</v>
      </c>
      <c r="N654" t="n">
        <v>0</v>
      </c>
      <c r="O654" t="n">
        <v>0</v>
      </c>
      <c r="P654" t="n">
        <v>0</v>
      </c>
      <c r="Q654" t="n">
        <v>0</v>
      </c>
      <c r="R654" s="2" t="inlineStr"/>
    </row>
    <row r="655" ht="15" customHeight="1">
      <c r="A655" t="inlineStr">
        <is>
          <t>A 49452-2023</t>
        </is>
      </c>
      <c r="B655" s="1" t="n">
        <v>45211.49424768519</v>
      </c>
      <c r="C655" s="1" t="n">
        <v>45895</v>
      </c>
      <c r="D655" t="inlineStr">
        <is>
          <t>KALMAR LÄN</t>
        </is>
      </c>
      <c r="E655" t="inlineStr">
        <is>
          <t>VÄSTERVIK</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59170-2022</t>
        </is>
      </c>
      <c r="B656" s="1" t="n">
        <v>44904.48152777777</v>
      </c>
      <c r="C656" s="1" t="n">
        <v>45895</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59212-2022</t>
        </is>
      </c>
      <c r="B657" s="1" t="n">
        <v>44904.52560185185</v>
      </c>
      <c r="C657" s="1" t="n">
        <v>45895</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59227-2022</t>
        </is>
      </c>
      <c r="B658" s="1" t="n">
        <v>44904</v>
      </c>
      <c r="C658" s="1" t="n">
        <v>45895</v>
      </c>
      <c r="D658" t="inlineStr">
        <is>
          <t>KALMAR LÄN</t>
        </is>
      </c>
      <c r="E658" t="inlineStr">
        <is>
          <t>VÄSTERVIK</t>
        </is>
      </c>
      <c r="G658" t="n">
        <v>6</v>
      </c>
      <c r="H658" t="n">
        <v>0</v>
      </c>
      <c r="I658" t="n">
        <v>0</v>
      </c>
      <c r="J658" t="n">
        <v>0</v>
      </c>
      <c r="K658" t="n">
        <v>0</v>
      </c>
      <c r="L658" t="n">
        <v>0</v>
      </c>
      <c r="M658" t="n">
        <v>0</v>
      </c>
      <c r="N658" t="n">
        <v>0</v>
      </c>
      <c r="O658" t="n">
        <v>0</v>
      </c>
      <c r="P658" t="n">
        <v>0</v>
      </c>
      <c r="Q658" t="n">
        <v>0</v>
      </c>
      <c r="R658" s="2" t="inlineStr"/>
    </row>
    <row r="659" ht="15" customHeight="1">
      <c r="A659" t="inlineStr">
        <is>
          <t>A 16395-2024</t>
        </is>
      </c>
      <c r="B659" s="1" t="n">
        <v>45407.62733796296</v>
      </c>
      <c r="C659" s="1" t="n">
        <v>45895</v>
      </c>
      <c r="D659" t="inlineStr">
        <is>
          <t>KALMAR LÄN</t>
        </is>
      </c>
      <c r="E659" t="inlineStr">
        <is>
          <t>VÄSTERVIK</t>
        </is>
      </c>
      <c r="G659" t="n">
        <v>1.3</v>
      </c>
      <c r="H659" t="n">
        <v>0</v>
      </c>
      <c r="I659" t="n">
        <v>0</v>
      </c>
      <c r="J659" t="n">
        <v>0</v>
      </c>
      <c r="K659" t="n">
        <v>0</v>
      </c>
      <c r="L659" t="n">
        <v>0</v>
      </c>
      <c r="M659" t="n">
        <v>0</v>
      </c>
      <c r="N659" t="n">
        <v>0</v>
      </c>
      <c r="O659" t="n">
        <v>0</v>
      </c>
      <c r="P659" t="n">
        <v>0</v>
      </c>
      <c r="Q659" t="n">
        <v>0</v>
      </c>
      <c r="R659" s="2" t="inlineStr"/>
      <c r="U659">
        <f>HYPERLINK("https://klasma.github.io/Logging_0883/knärot/A 16395-2024 karta knärot.png", "A 16395-2024")</f>
        <v/>
      </c>
      <c r="V659">
        <f>HYPERLINK("https://klasma.github.io/Logging_0883/klagomål/A 16395-2024 FSC-klagomål.docx", "A 16395-2024")</f>
        <v/>
      </c>
      <c r="W659">
        <f>HYPERLINK("https://klasma.github.io/Logging_0883/klagomålsmail/A 16395-2024 FSC-klagomål mail.docx", "A 16395-2024")</f>
        <v/>
      </c>
      <c r="X659">
        <f>HYPERLINK("https://klasma.github.io/Logging_0883/tillsyn/A 16395-2024 tillsynsbegäran.docx", "A 16395-2024")</f>
        <v/>
      </c>
      <c r="Y659">
        <f>HYPERLINK("https://klasma.github.io/Logging_0883/tillsynsmail/A 16395-2024 tillsynsbegäran mail.docx", "A 16395-2024")</f>
        <v/>
      </c>
    </row>
    <row r="660" ht="15" customHeight="1">
      <c r="A660" t="inlineStr">
        <is>
          <t>A 55958-2023</t>
        </is>
      </c>
      <c r="B660" s="1" t="n">
        <v>45240.34900462963</v>
      </c>
      <c r="C660" s="1" t="n">
        <v>45895</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26568-2025</t>
        </is>
      </c>
      <c r="B661" s="1" t="n">
        <v>45807.67447916666</v>
      </c>
      <c r="C661" s="1" t="n">
        <v>45895</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26571-2025</t>
        </is>
      </c>
      <c r="B662" s="1" t="n">
        <v>45807.6794212963</v>
      </c>
      <c r="C662" s="1" t="n">
        <v>45895</v>
      </c>
      <c r="D662" t="inlineStr">
        <is>
          <t>KALMAR LÄN</t>
        </is>
      </c>
      <c r="E662" t="inlineStr">
        <is>
          <t>VÄSTERVIK</t>
        </is>
      </c>
      <c r="G662" t="n">
        <v>2.8</v>
      </c>
      <c r="H662" t="n">
        <v>0</v>
      </c>
      <c r="I662" t="n">
        <v>0</v>
      </c>
      <c r="J662" t="n">
        <v>0</v>
      </c>
      <c r="K662" t="n">
        <v>0</v>
      </c>
      <c r="L662" t="n">
        <v>0</v>
      </c>
      <c r="M662" t="n">
        <v>0</v>
      </c>
      <c r="N662" t="n">
        <v>0</v>
      </c>
      <c r="O662" t="n">
        <v>0</v>
      </c>
      <c r="P662" t="n">
        <v>0</v>
      </c>
      <c r="Q662" t="n">
        <v>0</v>
      </c>
      <c r="R662" s="2" t="inlineStr"/>
    </row>
    <row r="663" ht="15" customHeight="1">
      <c r="A663" t="inlineStr">
        <is>
          <t>A 35207-2025</t>
        </is>
      </c>
      <c r="B663" s="1" t="n">
        <v>45853.43320601852</v>
      </c>
      <c r="C663" s="1" t="n">
        <v>45895</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7255-2023</t>
        </is>
      </c>
      <c r="B664" s="1" t="n">
        <v>44970</v>
      </c>
      <c r="C664" s="1" t="n">
        <v>45895</v>
      </c>
      <c r="D664" t="inlineStr">
        <is>
          <t>KALMAR LÄN</t>
        </is>
      </c>
      <c r="E664" t="inlineStr">
        <is>
          <t>VÄSTERVIK</t>
        </is>
      </c>
      <c r="F664" t="inlineStr">
        <is>
          <t>Naturvårdsverket</t>
        </is>
      </c>
      <c r="G664" t="n">
        <v>0.6</v>
      </c>
      <c r="H664" t="n">
        <v>0</v>
      </c>
      <c r="I664" t="n">
        <v>0</v>
      </c>
      <c r="J664" t="n">
        <v>0</v>
      </c>
      <c r="K664" t="n">
        <v>0</v>
      </c>
      <c r="L664" t="n">
        <v>0</v>
      </c>
      <c r="M664" t="n">
        <v>0</v>
      </c>
      <c r="N664" t="n">
        <v>0</v>
      </c>
      <c r="O664" t="n">
        <v>0</v>
      </c>
      <c r="P664" t="n">
        <v>0</v>
      </c>
      <c r="Q664" t="n">
        <v>0</v>
      </c>
      <c r="R664" s="2" t="inlineStr"/>
      <c r="U664">
        <f>HYPERLINK("https://klasma.github.io/Logging_0883/knärot/A 7255-2023 karta knärot.png", "A 7255-2023")</f>
        <v/>
      </c>
      <c r="V664">
        <f>HYPERLINK("https://klasma.github.io/Logging_0883/klagomål/A 7255-2023 FSC-klagomål.docx", "A 7255-2023")</f>
        <v/>
      </c>
      <c r="W664">
        <f>HYPERLINK("https://klasma.github.io/Logging_0883/klagomålsmail/A 7255-2023 FSC-klagomål mail.docx", "A 7255-2023")</f>
        <v/>
      </c>
      <c r="X664">
        <f>HYPERLINK("https://klasma.github.io/Logging_0883/tillsyn/A 7255-2023 tillsynsbegäran.docx", "A 7255-2023")</f>
        <v/>
      </c>
      <c r="Y664">
        <f>HYPERLINK("https://klasma.github.io/Logging_0883/tillsynsmail/A 7255-2023 tillsynsbegäran mail.docx", "A 7255-2023")</f>
        <v/>
      </c>
    </row>
    <row r="665" ht="15" customHeight="1">
      <c r="A665" t="inlineStr">
        <is>
          <t>A 36050-2024</t>
        </is>
      </c>
      <c r="B665" s="1" t="n">
        <v>45533.620625</v>
      </c>
      <c r="C665" s="1" t="n">
        <v>45895</v>
      </c>
      <c r="D665" t="inlineStr">
        <is>
          <t>KALMAR LÄN</t>
        </is>
      </c>
      <c r="E665" t="inlineStr">
        <is>
          <t>VÄSTERVIK</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45463-2024</t>
        </is>
      </c>
      <c r="B666" s="1" t="n">
        <v>45576.69753472223</v>
      </c>
      <c r="C666" s="1" t="n">
        <v>45895</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9025-2022</t>
        </is>
      </c>
      <c r="B667" s="1" t="n">
        <v>44615</v>
      </c>
      <c r="C667" s="1" t="n">
        <v>45895</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10774-2025</t>
        </is>
      </c>
      <c r="B668" s="1" t="n">
        <v>45722.47424768518</v>
      </c>
      <c r="C668" s="1" t="n">
        <v>45895</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40977-2023</t>
        </is>
      </c>
      <c r="B669" s="1" t="n">
        <v>45173</v>
      </c>
      <c r="C669" s="1" t="n">
        <v>45895</v>
      </c>
      <c r="D669" t="inlineStr">
        <is>
          <t>KALMAR LÄN</t>
        </is>
      </c>
      <c r="E669" t="inlineStr">
        <is>
          <t>VÄSTERVIK</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23743-2022</t>
        </is>
      </c>
      <c r="B670" s="1" t="n">
        <v>44722.35611111111</v>
      </c>
      <c r="C670" s="1" t="n">
        <v>45895</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35214-2025</t>
        </is>
      </c>
      <c r="B671" s="1" t="n">
        <v>45853.47163194444</v>
      </c>
      <c r="C671" s="1" t="n">
        <v>45895</v>
      </c>
      <c r="D671" t="inlineStr">
        <is>
          <t>KALMAR LÄN</t>
        </is>
      </c>
      <c r="E671" t="inlineStr">
        <is>
          <t>VÄSTERVIK</t>
        </is>
      </c>
      <c r="G671" t="n">
        <v>10.7</v>
      </c>
      <c r="H671" t="n">
        <v>0</v>
      </c>
      <c r="I671" t="n">
        <v>0</v>
      </c>
      <c r="J671" t="n">
        <v>0</v>
      </c>
      <c r="K671" t="n">
        <v>0</v>
      </c>
      <c r="L671" t="n">
        <v>0</v>
      </c>
      <c r="M671" t="n">
        <v>0</v>
      </c>
      <c r="N671" t="n">
        <v>0</v>
      </c>
      <c r="O671" t="n">
        <v>0</v>
      </c>
      <c r="P671" t="n">
        <v>0</v>
      </c>
      <c r="Q671" t="n">
        <v>0</v>
      </c>
      <c r="R671" s="2" t="inlineStr"/>
    </row>
    <row r="672" ht="15" customHeight="1">
      <c r="A672" t="inlineStr">
        <is>
          <t>A 15106-2023</t>
        </is>
      </c>
      <c r="B672" s="1" t="n">
        <v>45016.41767361111</v>
      </c>
      <c r="C672" s="1" t="n">
        <v>45895</v>
      </c>
      <c r="D672" t="inlineStr">
        <is>
          <t>KALMAR LÄN</t>
        </is>
      </c>
      <c r="E672" t="inlineStr">
        <is>
          <t>VÄSTERVIK</t>
        </is>
      </c>
      <c r="G672" t="n">
        <v>0.4</v>
      </c>
      <c r="H672" t="n">
        <v>0</v>
      </c>
      <c r="I672" t="n">
        <v>0</v>
      </c>
      <c r="J672" t="n">
        <v>0</v>
      </c>
      <c r="K672" t="n">
        <v>0</v>
      </c>
      <c r="L672" t="n">
        <v>0</v>
      </c>
      <c r="M672" t="n">
        <v>0</v>
      </c>
      <c r="N672" t="n">
        <v>0</v>
      </c>
      <c r="O672" t="n">
        <v>0</v>
      </c>
      <c r="P672" t="n">
        <v>0</v>
      </c>
      <c r="Q672" t="n">
        <v>0</v>
      </c>
      <c r="R672" s="2" t="inlineStr"/>
    </row>
    <row r="673" ht="15" customHeight="1">
      <c r="A673" t="inlineStr">
        <is>
          <t>A 28588-2022</t>
        </is>
      </c>
      <c r="B673" s="1" t="n">
        <v>44748</v>
      </c>
      <c r="C673" s="1" t="n">
        <v>45895</v>
      </c>
      <c r="D673" t="inlineStr">
        <is>
          <t>KALMAR LÄN</t>
        </is>
      </c>
      <c r="E673" t="inlineStr">
        <is>
          <t>VÄSTERVIK</t>
        </is>
      </c>
      <c r="F673" t="inlineStr">
        <is>
          <t>Övriga Aktiebolag</t>
        </is>
      </c>
      <c r="G673" t="n">
        <v>1.7</v>
      </c>
      <c r="H673" t="n">
        <v>0</v>
      </c>
      <c r="I673" t="n">
        <v>0</v>
      </c>
      <c r="J673" t="n">
        <v>0</v>
      </c>
      <c r="K673" t="n">
        <v>0</v>
      </c>
      <c r="L673" t="n">
        <v>0</v>
      </c>
      <c r="M673" t="n">
        <v>0</v>
      </c>
      <c r="N673" t="n">
        <v>0</v>
      </c>
      <c r="O673" t="n">
        <v>0</v>
      </c>
      <c r="P673" t="n">
        <v>0</v>
      </c>
      <c r="Q673" t="n">
        <v>0</v>
      </c>
      <c r="R673" s="2" t="inlineStr"/>
    </row>
    <row r="674" ht="15" customHeight="1">
      <c r="A674" t="inlineStr">
        <is>
          <t>A 35187-2025</t>
        </is>
      </c>
      <c r="B674" s="1" t="n">
        <v>45853.31940972222</v>
      </c>
      <c r="C674" s="1" t="n">
        <v>45895</v>
      </c>
      <c r="D674" t="inlineStr">
        <is>
          <t>KALMAR LÄN</t>
        </is>
      </c>
      <c r="E674" t="inlineStr">
        <is>
          <t>VÄSTERVIK</t>
        </is>
      </c>
      <c r="G674" t="n">
        <v>1.6</v>
      </c>
      <c r="H674" t="n">
        <v>0</v>
      </c>
      <c r="I674" t="n">
        <v>0</v>
      </c>
      <c r="J674" t="n">
        <v>0</v>
      </c>
      <c r="K674" t="n">
        <v>0</v>
      </c>
      <c r="L674" t="n">
        <v>0</v>
      </c>
      <c r="M674" t="n">
        <v>0</v>
      </c>
      <c r="N674" t="n">
        <v>0</v>
      </c>
      <c r="O674" t="n">
        <v>0</v>
      </c>
      <c r="P674" t="n">
        <v>0</v>
      </c>
      <c r="Q674" t="n">
        <v>0</v>
      </c>
      <c r="R674" s="2" t="inlineStr"/>
    </row>
    <row r="675" ht="15" customHeight="1">
      <c r="A675" t="inlineStr">
        <is>
          <t>A 37642-2023</t>
        </is>
      </c>
      <c r="B675" s="1" t="n">
        <v>45159.47940972223</v>
      </c>
      <c r="C675" s="1" t="n">
        <v>45895</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54951-2023</t>
        </is>
      </c>
      <c r="B676" s="1" t="n">
        <v>45236.82902777778</v>
      </c>
      <c r="C676" s="1" t="n">
        <v>45895</v>
      </c>
      <c r="D676" t="inlineStr">
        <is>
          <t>KALMAR LÄN</t>
        </is>
      </c>
      <c r="E676" t="inlineStr">
        <is>
          <t>VÄSTERVIK</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15553-2024</t>
        </is>
      </c>
      <c r="B677" s="1" t="n">
        <v>45401.63736111111</v>
      </c>
      <c r="C677" s="1" t="n">
        <v>45895</v>
      </c>
      <c r="D677" t="inlineStr">
        <is>
          <t>KALMAR LÄN</t>
        </is>
      </c>
      <c r="E677" t="inlineStr">
        <is>
          <t>VÄSTERVIK</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52049-2023</t>
        </is>
      </c>
      <c r="B678" s="1" t="n">
        <v>45216</v>
      </c>
      <c r="C678" s="1" t="n">
        <v>45895</v>
      </c>
      <c r="D678" t="inlineStr">
        <is>
          <t>KALMAR LÄN</t>
        </is>
      </c>
      <c r="E678" t="inlineStr">
        <is>
          <t>VÄSTERVIK</t>
        </is>
      </c>
      <c r="G678" t="n">
        <v>4.4</v>
      </c>
      <c r="H678" t="n">
        <v>0</v>
      </c>
      <c r="I678" t="n">
        <v>0</v>
      </c>
      <c r="J678" t="n">
        <v>0</v>
      </c>
      <c r="K678" t="n">
        <v>0</v>
      </c>
      <c r="L678" t="n">
        <v>0</v>
      </c>
      <c r="M678" t="n">
        <v>0</v>
      </c>
      <c r="N678" t="n">
        <v>0</v>
      </c>
      <c r="O678" t="n">
        <v>0</v>
      </c>
      <c r="P678" t="n">
        <v>0</v>
      </c>
      <c r="Q678" t="n">
        <v>0</v>
      </c>
      <c r="R678" s="2" t="inlineStr"/>
    </row>
    <row r="679" ht="15" customHeight="1">
      <c r="A679" t="inlineStr">
        <is>
          <t>A 19608-2025</t>
        </is>
      </c>
      <c r="B679" s="1" t="n">
        <v>45770.60177083333</v>
      </c>
      <c r="C679" s="1" t="n">
        <v>45895</v>
      </c>
      <c r="D679" t="inlineStr">
        <is>
          <t>KALMAR LÄN</t>
        </is>
      </c>
      <c r="E679" t="inlineStr">
        <is>
          <t>VÄSTERVIK</t>
        </is>
      </c>
      <c r="G679" t="n">
        <v>3.5</v>
      </c>
      <c r="H679" t="n">
        <v>0</v>
      </c>
      <c r="I679" t="n">
        <v>0</v>
      </c>
      <c r="J679" t="n">
        <v>0</v>
      </c>
      <c r="K679" t="n">
        <v>0</v>
      </c>
      <c r="L679" t="n">
        <v>0</v>
      </c>
      <c r="M679" t="n">
        <v>0</v>
      </c>
      <c r="N679" t="n">
        <v>0</v>
      </c>
      <c r="O679" t="n">
        <v>0</v>
      </c>
      <c r="P679" t="n">
        <v>0</v>
      </c>
      <c r="Q679" t="n">
        <v>0</v>
      </c>
      <c r="R679" s="2" t="inlineStr"/>
    </row>
    <row r="680" ht="15" customHeight="1">
      <c r="A680" t="inlineStr">
        <is>
          <t>A 30035-2023</t>
        </is>
      </c>
      <c r="B680" s="1" t="n">
        <v>45110</v>
      </c>
      <c r="C680" s="1" t="n">
        <v>45895</v>
      </c>
      <c r="D680" t="inlineStr">
        <is>
          <t>KALMAR LÄN</t>
        </is>
      </c>
      <c r="E680" t="inlineStr">
        <is>
          <t>VÄSTERVIK</t>
        </is>
      </c>
      <c r="F680" t="inlineStr">
        <is>
          <t>Holmen skog AB</t>
        </is>
      </c>
      <c r="G680" t="n">
        <v>1.1</v>
      </c>
      <c r="H680" t="n">
        <v>0</v>
      </c>
      <c r="I680" t="n">
        <v>0</v>
      </c>
      <c r="J680" t="n">
        <v>0</v>
      </c>
      <c r="K680" t="n">
        <v>0</v>
      </c>
      <c r="L680" t="n">
        <v>0</v>
      </c>
      <c r="M680" t="n">
        <v>0</v>
      </c>
      <c r="N680" t="n">
        <v>0</v>
      </c>
      <c r="O680" t="n">
        <v>0</v>
      </c>
      <c r="P680" t="n">
        <v>0</v>
      </c>
      <c r="Q680" t="n">
        <v>0</v>
      </c>
      <c r="R680" s="2" t="inlineStr"/>
    </row>
    <row r="681" ht="15" customHeight="1">
      <c r="A681" t="inlineStr">
        <is>
          <t>A 13957-2025</t>
        </is>
      </c>
      <c r="B681" s="1" t="n">
        <v>45737.85231481482</v>
      </c>
      <c r="C681" s="1" t="n">
        <v>45895</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61556-2023</t>
        </is>
      </c>
      <c r="B682" s="1" t="n">
        <v>45261</v>
      </c>
      <c r="C682" s="1" t="n">
        <v>45895</v>
      </c>
      <c r="D682" t="inlineStr">
        <is>
          <t>KALMAR LÄN</t>
        </is>
      </c>
      <c r="E682" t="inlineStr">
        <is>
          <t>VÄSTERVIK</t>
        </is>
      </c>
      <c r="F682" t="inlineStr">
        <is>
          <t>Övriga Aktiebolag</t>
        </is>
      </c>
      <c r="G682" t="n">
        <v>13.9</v>
      </c>
      <c r="H682" t="n">
        <v>0</v>
      </c>
      <c r="I682" t="n">
        <v>0</v>
      </c>
      <c r="J682" t="n">
        <v>0</v>
      </c>
      <c r="K682" t="n">
        <v>0</v>
      </c>
      <c r="L682" t="n">
        <v>0</v>
      </c>
      <c r="M682" t="n">
        <v>0</v>
      </c>
      <c r="N682" t="n">
        <v>0</v>
      </c>
      <c r="O682" t="n">
        <v>0</v>
      </c>
      <c r="P682" t="n">
        <v>0</v>
      </c>
      <c r="Q682" t="n">
        <v>0</v>
      </c>
      <c r="R682" s="2" t="inlineStr"/>
    </row>
    <row r="683" ht="15" customHeight="1">
      <c r="A683" t="inlineStr">
        <is>
          <t>A 23580-2023</t>
        </is>
      </c>
      <c r="B683" s="1" t="n">
        <v>45077</v>
      </c>
      <c r="C683" s="1" t="n">
        <v>45895</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11584-2023</t>
        </is>
      </c>
      <c r="B684" s="1" t="n">
        <v>44994.35707175926</v>
      </c>
      <c r="C684" s="1" t="n">
        <v>45895</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27446-2025</t>
        </is>
      </c>
      <c r="B685" s="1" t="n">
        <v>45813.32667824074</v>
      </c>
      <c r="C685" s="1" t="n">
        <v>45895</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34420-2024</t>
        </is>
      </c>
      <c r="B686" s="1" t="n">
        <v>45525.49710648148</v>
      </c>
      <c r="C686" s="1" t="n">
        <v>45895</v>
      </c>
      <c r="D686" t="inlineStr">
        <is>
          <t>KALMAR LÄN</t>
        </is>
      </c>
      <c r="E686" t="inlineStr">
        <is>
          <t>VÄSTERVIK</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27980-2025</t>
        </is>
      </c>
      <c r="B687" s="1" t="n">
        <v>45817.57395833333</v>
      </c>
      <c r="C687" s="1" t="n">
        <v>45895</v>
      </c>
      <c r="D687" t="inlineStr">
        <is>
          <t>KALMAR LÄN</t>
        </is>
      </c>
      <c r="E687" t="inlineStr">
        <is>
          <t>VÄSTERVIK</t>
        </is>
      </c>
      <c r="F687" t="inlineStr">
        <is>
          <t>Sveaskog</t>
        </is>
      </c>
      <c r="G687" t="n">
        <v>7.2</v>
      </c>
      <c r="H687" t="n">
        <v>0</v>
      </c>
      <c r="I687" t="n">
        <v>0</v>
      </c>
      <c r="J687" t="n">
        <v>0</v>
      </c>
      <c r="K687" t="n">
        <v>0</v>
      </c>
      <c r="L687" t="n">
        <v>0</v>
      </c>
      <c r="M687" t="n">
        <v>0</v>
      </c>
      <c r="N687" t="n">
        <v>0</v>
      </c>
      <c r="O687" t="n">
        <v>0</v>
      </c>
      <c r="P687" t="n">
        <v>0</v>
      </c>
      <c r="Q687" t="n">
        <v>0</v>
      </c>
      <c r="R687" s="2" t="inlineStr"/>
    </row>
    <row r="688" ht="15" customHeight="1">
      <c r="A688" t="inlineStr">
        <is>
          <t>A 7100-2023</t>
        </is>
      </c>
      <c r="B688" s="1" t="n">
        <v>44970.37244212963</v>
      </c>
      <c r="C688" s="1" t="n">
        <v>45895</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63018-2023</t>
        </is>
      </c>
      <c r="B689" s="1" t="n">
        <v>45272</v>
      </c>
      <c r="C689" s="1" t="n">
        <v>45895</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24881-2023</t>
        </is>
      </c>
      <c r="B690" s="1" t="n">
        <v>45085</v>
      </c>
      <c r="C690" s="1" t="n">
        <v>45895</v>
      </c>
      <c r="D690" t="inlineStr">
        <is>
          <t>KALMAR LÄN</t>
        </is>
      </c>
      <c r="E690" t="inlineStr">
        <is>
          <t>VÄSTERVIK</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3467-2025</t>
        </is>
      </c>
      <c r="B691" s="1" t="n">
        <v>45680.50885416667</v>
      </c>
      <c r="C691" s="1" t="n">
        <v>45895</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6616-2021</t>
        </is>
      </c>
      <c r="B692" s="1" t="n">
        <v>44236</v>
      </c>
      <c r="C692" s="1" t="n">
        <v>45895</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6021-2024</t>
        </is>
      </c>
      <c r="B693" s="1" t="n">
        <v>45336.62131944444</v>
      </c>
      <c r="C693" s="1" t="n">
        <v>45895</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27978-2025</t>
        </is>
      </c>
      <c r="B694" s="1" t="n">
        <v>45817.57153935185</v>
      </c>
      <c r="C694" s="1" t="n">
        <v>45895</v>
      </c>
      <c r="D694" t="inlineStr">
        <is>
          <t>KALMAR LÄN</t>
        </is>
      </c>
      <c r="E694" t="inlineStr">
        <is>
          <t>VÄSTERVIK</t>
        </is>
      </c>
      <c r="F694" t="inlineStr">
        <is>
          <t>Sveaskog</t>
        </is>
      </c>
      <c r="G694" t="n">
        <v>10.8</v>
      </c>
      <c r="H694" t="n">
        <v>0</v>
      </c>
      <c r="I694" t="n">
        <v>0</v>
      </c>
      <c r="J694" t="n">
        <v>0</v>
      </c>
      <c r="K694" t="n">
        <v>0</v>
      </c>
      <c r="L694" t="n">
        <v>0</v>
      </c>
      <c r="M694" t="n">
        <v>0</v>
      </c>
      <c r="N694" t="n">
        <v>0</v>
      </c>
      <c r="O694" t="n">
        <v>0</v>
      </c>
      <c r="P694" t="n">
        <v>0</v>
      </c>
      <c r="Q694" t="n">
        <v>0</v>
      </c>
      <c r="R694" s="2" t="inlineStr"/>
    </row>
    <row r="695" ht="15" customHeight="1">
      <c r="A695" t="inlineStr">
        <is>
          <t>A 55287-2023</t>
        </is>
      </c>
      <c r="B695" s="1" t="n">
        <v>45237.75578703704</v>
      </c>
      <c r="C695" s="1" t="n">
        <v>45895</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32647-2023</t>
        </is>
      </c>
      <c r="B696" s="1" t="n">
        <v>45121</v>
      </c>
      <c r="C696" s="1" t="n">
        <v>45895</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1785-2025</t>
        </is>
      </c>
      <c r="B697" s="1" t="n">
        <v>45671.45061342593</v>
      </c>
      <c r="C697" s="1" t="n">
        <v>45895</v>
      </c>
      <c r="D697" t="inlineStr">
        <is>
          <t>KALMAR LÄN</t>
        </is>
      </c>
      <c r="E697" t="inlineStr">
        <is>
          <t>VÄSTERVIK</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28203-2025</t>
        </is>
      </c>
      <c r="B698" s="1" t="n">
        <v>45818.44662037037</v>
      </c>
      <c r="C698" s="1" t="n">
        <v>45895</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2168-2024</t>
        </is>
      </c>
      <c r="B699" s="1" t="n">
        <v>45309.61756944445</v>
      </c>
      <c r="C699" s="1" t="n">
        <v>45895</v>
      </c>
      <c r="D699" t="inlineStr">
        <is>
          <t>KALMAR LÄN</t>
        </is>
      </c>
      <c r="E699" t="inlineStr">
        <is>
          <t>VÄSTERVIK</t>
        </is>
      </c>
      <c r="G699" t="n">
        <v>2</v>
      </c>
      <c r="H699" t="n">
        <v>0</v>
      </c>
      <c r="I699" t="n">
        <v>0</v>
      </c>
      <c r="J699" t="n">
        <v>0</v>
      </c>
      <c r="K699" t="n">
        <v>0</v>
      </c>
      <c r="L699" t="n">
        <v>0</v>
      </c>
      <c r="M699" t="n">
        <v>0</v>
      </c>
      <c r="N699" t="n">
        <v>0</v>
      </c>
      <c r="O699" t="n">
        <v>0</v>
      </c>
      <c r="P699" t="n">
        <v>0</v>
      </c>
      <c r="Q699" t="n">
        <v>0</v>
      </c>
      <c r="R699" s="2" t="inlineStr"/>
    </row>
    <row r="700" ht="15" customHeight="1">
      <c r="A700" t="inlineStr">
        <is>
          <t>A 10688-2024</t>
        </is>
      </c>
      <c r="B700" s="1" t="n">
        <v>45369.39894675926</v>
      </c>
      <c r="C700" s="1" t="n">
        <v>45895</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24584-2024</t>
        </is>
      </c>
      <c r="B701" s="1" t="n">
        <v>45460</v>
      </c>
      <c r="C701" s="1" t="n">
        <v>45895</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27974-2025</t>
        </is>
      </c>
      <c r="B702" s="1" t="n">
        <v>45817.56891203704</v>
      </c>
      <c r="C702" s="1" t="n">
        <v>45895</v>
      </c>
      <c r="D702" t="inlineStr">
        <is>
          <t>KALMAR LÄN</t>
        </is>
      </c>
      <c r="E702" t="inlineStr">
        <is>
          <t>VÄSTERVIK</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37936-2022</t>
        </is>
      </c>
      <c r="B703" s="1" t="n">
        <v>44811.46958333333</v>
      </c>
      <c r="C703" s="1" t="n">
        <v>45895</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32764-2022</t>
        </is>
      </c>
      <c r="B704" s="1" t="n">
        <v>44783</v>
      </c>
      <c r="C704" s="1" t="n">
        <v>45895</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4624-2023</t>
        </is>
      </c>
      <c r="B705" s="1" t="n">
        <v>44956</v>
      </c>
      <c r="C705" s="1" t="n">
        <v>45895</v>
      </c>
      <c r="D705" t="inlineStr">
        <is>
          <t>KALMAR LÄN</t>
        </is>
      </c>
      <c r="E705" t="inlineStr">
        <is>
          <t>VÄSTERVIK</t>
        </is>
      </c>
      <c r="F705" t="inlineStr">
        <is>
          <t>Holmen skog AB</t>
        </is>
      </c>
      <c r="G705" t="n">
        <v>7.1</v>
      </c>
      <c r="H705" t="n">
        <v>0</v>
      </c>
      <c r="I705" t="n">
        <v>0</v>
      </c>
      <c r="J705" t="n">
        <v>0</v>
      </c>
      <c r="K705" t="n">
        <v>0</v>
      </c>
      <c r="L705" t="n">
        <v>0</v>
      </c>
      <c r="M705" t="n">
        <v>0</v>
      </c>
      <c r="N705" t="n">
        <v>0</v>
      </c>
      <c r="O705" t="n">
        <v>0</v>
      </c>
      <c r="P705" t="n">
        <v>0</v>
      </c>
      <c r="Q705" t="n">
        <v>0</v>
      </c>
      <c r="R705" s="2" t="inlineStr"/>
    </row>
    <row r="706" ht="15" customHeight="1">
      <c r="A706" t="inlineStr">
        <is>
          <t>A 55289-2023</t>
        </is>
      </c>
      <c r="B706" s="1" t="n">
        <v>45237.76106481482</v>
      </c>
      <c r="C706" s="1" t="n">
        <v>45895</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33207-2022</t>
        </is>
      </c>
      <c r="B707" s="1" t="n">
        <v>44785.72373842593</v>
      </c>
      <c r="C707" s="1" t="n">
        <v>45895</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33210-2022</t>
        </is>
      </c>
      <c r="B708" s="1" t="n">
        <v>44785.74811342593</v>
      </c>
      <c r="C708" s="1" t="n">
        <v>45895</v>
      </c>
      <c r="D708" t="inlineStr">
        <is>
          <t>KALMAR LÄN</t>
        </is>
      </c>
      <c r="E708" t="inlineStr">
        <is>
          <t>VÄSTERVIK</t>
        </is>
      </c>
      <c r="G708" t="n">
        <v>3.2</v>
      </c>
      <c r="H708" t="n">
        <v>0</v>
      </c>
      <c r="I708" t="n">
        <v>0</v>
      </c>
      <c r="J708" t="n">
        <v>0</v>
      </c>
      <c r="K708" t="n">
        <v>0</v>
      </c>
      <c r="L708" t="n">
        <v>0</v>
      </c>
      <c r="M708" t="n">
        <v>0</v>
      </c>
      <c r="N708" t="n">
        <v>0</v>
      </c>
      <c r="O708" t="n">
        <v>0</v>
      </c>
      <c r="P708" t="n">
        <v>0</v>
      </c>
      <c r="Q708" t="n">
        <v>0</v>
      </c>
      <c r="R708" s="2" t="inlineStr"/>
    </row>
    <row r="709" ht="15" customHeight="1">
      <c r="A709" t="inlineStr">
        <is>
          <t>A 28096-2025</t>
        </is>
      </c>
      <c r="B709" s="1" t="n">
        <v>45817.81831018518</v>
      </c>
      <c r="C709" s="1" t="n">
        <v>45895</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13105-2025</t>
        </is>
      </c>
      <c r="B710" s="1" t="n">
        <v>45734.68493055556</v>
      </c>
      <c r="C710" s="1" t="n">
        <v>45895</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9549-2024</t>
        </is>
      </c>
      <c r="B711" s="1" t="n">
        <v>45359.87989583334</v>
      </c>
      <c r="C711" s="1" t="n">
        <v>45895</v>
      </c>
      <c r="D711" t="inlineStr">
        <is>
          <t>KALMAR LÄN</t>
        </is>
      </c>
      <c r="E711" t="inlineStr">
        <is>
          <t>VÄSTERVIK</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10515-2024</t>
        </is>
      </c>
      <c r="B712" s="1" t="n">
        <v>45366</v>
      </c>
      <c r="C712" s="1" t="n">
        <v>45895</v>
      </c>
      <c r="D712" t="inlineStr">
        <is>
          <t>KALMAR LÄN</t>
        </is>
      </c>
      <c r="E712" t="inlineStr">
        <is>
          <t>VÄSTERVIK</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46088-2023</t>
        </is>
      </c>
      <c r="B713" s="1" t="n">
        <v>45196.50065972222</v>
      </c>
      <c r="C713" s="1" t="n">
        <v>45895</v>
      </c>
      <c r="D713" t="inlineStr">
        <is>
          <t>KALMAR LÄN</t>
        </is>
      </c>
      <c r="E713" t="inlineStr">
        <is>
          <t>VÄSTERVIK</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46121-2023</t>
        </is>
      </c>
      <c r="B714" s="1" t="n">
        <v>45196.55392361111</v>
      </c>
      <c r="C714" s="1" t="n">
        <v>45895</v>
      </c>
      <c r="D714" t="inlineStr">
        <is>
          <t>KALMAR LÄN</t>
        </is>
      </c>
      <c r="E714" t="inlineStr">
        <is>
          <t>VÄSTERVIK</t>
        </is>
      </c>
      <c r="F714" t="inlineStr">
        <is>
          <t>Sveaskog</t>
        </is>
      </c>
      <c r="G714" t="n">
        <v>3.3</v>
      </c>
      <c r="H714" t="n">
        <v>0</v>
      </c>
      <c r="I714" t="n">
        <v>0</v>
      </c>
      <c r="J714" t="n">
        <v>0</v>
      </c>
      <c r="K714" t="n">
        <v>0</v>
      </c>
      <c r="L714" t="n">
        <v>0</v>
      </c>
      <c r="M714" t="n">
        <v>0</v>
      </c>
      <c r="N714" t="n">
        <v>0</v>
      </c>
      <c r="O714" t="n">
        <v>0</v>
      </c>
      <c r="P714" t="n">
        <v>0</v>
      </c>
      <c r="Q714" t="n">
        <v>0</v>
      </c>
      <c r="R714" s="2" t="inlineStr"/>
    </row>
    <row r="715" ht="15" customHeight="1">
      <c r="A715" t="inlineStr">
        <is>
          <t>A 61450-2023</t>
        </is>
      </c>
      <c r="B715" s="1" t="n">
        <v>45264.8162037037</v>
      </c>
      <c r="C715" s="1" t="n">
        <v>45895</v>
      </c>
      <c r="D715" t="inlineStr">
        <is>
          <t>KALMAR LÄN</t>
        </is>
      </c>
      <c r="E715" t="inlineStr">
        <is>
          <t>VÄSTERVIK</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56033-2023</t>
        </is>
      </c>
      <c r="B716" s="1" t="n">
        <v>45240.43778935185</v>
      </c>
      <c r="C716" s="1" t="n">
        <v>45895</v>
      </c>
      <c r="D716" t="inlineStr">
        <is>
          <t>KALMAR LÄN</t>
        </is>
      </c>
      <c r="E716" t="inlineStr">
        <is>
          <t>VÄSTERVIK</t>
        </is>
      </c>
      <c r="G716" t="n">
        <v>0.4</v>
      </c>
      <c r="H716" t="n">
        <v>0</v>
      </c>
      <c r="I716" t="n">
        <v>0</v>
      </c>
      <c r="J716" t="n">
        <v>0</v>
      </c>
      <c r="K716" t="n">
        <v>0</v>
      </c>
      <c r="L716" t="n">
        <v>0</v>
      </c>
      <c r="M716" t="n">
        <v>0</v>
      </c>
      <c r="N716" t="n">
        <v>0</v>
      </c>
      <c r="O716" t="n">
        <v>0</v>
      </c>
      <c r="P716" t="n">
        <v>0</v>
      </c>
      <c r="Q716" t="n">
        <v>0</v>
      </c>
      <c r="R716" s="2" t="inlineStr"/>
    </row>
    <row r="717" ht="15" customHeight="1">
      <c r="A717" t="inlineStr">
        <is>
          <t>A 28404-2024</t>
        </is>
      </c>
      <c r="B717" s="1" t="n">
        <v>45477.61552083334</v>
      </c>
      <c r="C717" s="1" t="n">
        <v>45895</v>
      </c>
      <c r="D717" t="inlineStr">
        <is>
          <t>KALMAR LÄN</t>
        </is>
      </c>
      <c r="E717" t="inlineStr">
        <is>
          <t>VÄSTERVIK</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28415-2024</t>
        </is>
      </c>
      <c r="B718" s="1" t="n">
        <v>45477.62924768519</v>
      </c>
      <c r="C718" s="1" t="n">
        <v>45895</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934-2024</t>
        </is>
      </c>
      <c r="B719" s="1" t="n">
        <v>45301.51439814815</v>
      </c>
      <c r="C719" s="1" t="n">
        <v>45895</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936-2024</t>
        </is>
      </c>
      <c r="B720" s="1" t="n">
        <v>45301.51950231481</v>
      </c>
      <c r="C720" s="1" t="n">
        <v>45895</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3185-2023</t>
        </is>
      </c>
      <c r="B721" s="1" t="n">
        <v>44946.60753472222</v>
      </c>
      <c r="C721" s="1" t="n">
        <v>45895</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28696-2025</t>
        </is>
      </c>
      <c r="B722" s="1" t="n">
        <v>45819.91342592592</v>
      </c>
      <c r="C722" s="1" t="n">
        <v>45895</v>
      </c>
      <c r="D722" t="inlineStr">
        <is>
          <t>KALMAR LÄN</t>
        </is>
      </c>
      <c r="E722" t="inlineStr">
        <is>
          <t>VÄSTERVIK</t>
        </is>
      </c>
      <c r="G722" t="n">
        <v>2.8</v>
      </c>
      <c r="H722" t="n">
        <v>0</v>
      </c>
      <c r="I722" t="n">
        <v>0</v>
      </c>
      <c r="J722" t="n">
        <v>0</v>
      </c>
      <c r="K722" t="n">
        <v>0</v>
      </c>
      <c r="L722" t="n">
        <v>0</v>
      </c>
      <c r="M722" t="n">
        <v>0</v>
      </c>
      <c r="N722" t="n">
        <v>0</v>
      </c>
      <c r="O722" t="n">
        <v>0</v>
      </c>
      <c r="P722" t="n">
        <v>0</v>
      </c>
      <c r="Q722" t="n">
        <v>0</v>
      </c>
      <c r="R722" s="2" t="inlineStr"/>
    </row>
    <row r="723" ht="15" customHeight="1">
      <c r="A723" t="inlineStr">
        <is>
          <t>A 2098-2023</t>
        </is>
      </c>
      <c r="B723" s="1" t="n">
        <v>44939</v>
      </c>
      <c r="C723" s="1" t="n">
        <v>45895</v>
      </c>
      <c r="D723" t="inlineStr">
        <is>
          <t>KALMAR LÄN</t>
        </is>
      </c>
      <c r="E723" t="inlineStr">
        <is>
          <t>VÄSTERVIK</t>
        </is>
      </c>
      <c r="G723" t="n">
        <v>1.9</v>
      </c>
      <c r="H723" t="n">
        <v>0</v>
      </c>
      <c r="I723" t="n">
        <v>0</v>
      </c>
      <c r="J723" t="n">
        <v>0</v>
      </c>
      <c r="K723" t="n">
        <v>0</v>
      </c>
      <c r="L723" t="n">
        <v>0</v>
      </c>
      <c r="M723" t="n">
        <v>0</v>
      </c>
      <c r="N723" t="n">
        <v>0</v>
      </c>
      <c r="O723" t="n">
        <v>0</v>
      </c>
      <c r="P723" t="n">
        <v>0</v>
      </c>
      <c r="Q723" t="n">
        <v>0</v>
      </c>
      <c r="R723" s="2" t="inlineStr"/>
    </row>
    <row r="724" ht="15" customHeight="1">
      <c r="A724" t="inlineStr">
        <is>
          <t>A 25434-2023</t>
        </is>
      </c>
      <c r="B724" s="1" t="n">
        <v>45089.41912037037</v>
      </c>
      <c r="C724" s="1" t="n">
        <v>45895</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51883-2021</t>
        </is>
      </c>
      <c r="B725" s="1" t="n">
        <v>44462.80449074074</v>
      </c>
      <c r="C725" s="1" t="n">
        <v>45895</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51884-2021</t>
        </is>
      </c>
      <c r="B726" s="1" t="n">
        <v>44462.806875</v>
      </c>
      <c r="C726" s="1" t="n">
        <v>45895</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61728-2023</t>
        </is>
      </c>
      <c r="B727" s="1" t="n">
        <v>45265</v>
      </c>
      <c r="C727" s="1" t="n">
        <v>45895</v>
      </c>
      <c r="D727" t="inlineStr">
        <is>
          <t>KALMAR LÄN</t>
        </is>
      </c>
      <c r="E727" t="inlineStr">
        <is>
          <t>VÄSTERVIK</t>
        </is>
      </c>
      <c r="G727" t="n">
        <v>1.9</v>
      </c>
      <c r="H727" t="n">
        <v>0</v>
      </c>
      <c r="I727" t="n">
        <v>0</v>
      </c>
      <c r="J727" t="n">
        <v>0</v>
      </c>
      <c r="K727" t="n">
        <v>0</v>
      </c>
      <c r="L727" t="n">
        <v>0</v>
      </c>
      <c r="M727" t="n">
        <v>0</v>
      </c>
      <c r="N727" t="n">
        <v>0</v>
      </c>
      <c r="O727" t="n">
        <v>0</v>
      </c>
      <c r="P727" t="n">
        <v>0</v>
      </c>
      <c r="Q727" t="n">
        <v>0</v>
      </c>
      <c r="R727" s="2" t="inlineStr"/>
    </row>
    <row r="728" ht="15" customHeight="1">
      <c r="A728" t="inlineStr">
        <is>
          <t>A 35655-2023</t>
        </is>
      </c>
      <c r="B728" s="1" t="n">
        <v>45147.59408564815</v>
      </c>
      <c r="C728" s="1" t="n">
        <v>45895</v>
      </c>
      <c r="D728" t="inlineStr">
        <is>
          <t>KALMAR LÄN</t>
        </is>
      </c>
      <c r="E728" t="inlineStr">
        <is>
          <t>VÄSTERVIK</t>
        </is>
      </c>
      <c r="G728" t="n">
        <v>3.3</v>
      </c>
      <c r="H728" t="n">
        <v>0</v>
      </c>
      <c r="I728" t="n">
        <v>0</v>
      </c>
      <c r="J728" t="n">
        <v>0</v>
      </c>
      <c r="K728" t="n">
        <v>0</v>
      </c>
      <c r="L728" t="n">
        <v>0</v>
      </c>
      <c r="M728" t="n">
        <v>0</v>
      </c>
      <c r="N728" t="n">
        <v>0</v>
      </c>
      <c r="O728" t="n">
        <v>0</v>
      </c>
      <c r="P728" t="n">
        <v>0</v>
      </c>
      <c r="Q728" t="n">
        <v>0</v>
      </c>
      <c r="R728" s="2" t="inlineStr"/>
    </row>
    <row r="729" ht="15" customHeight="1">
      <c r="A729" t="inlineStr">
        <is>
          <t>A 18068-2023</t>
        </is>
      </c>
      <c r="B729" s="1" t="n">
        <v>45040</v>
      </c>
      <c r="C729" s="1" t="n">
        <v>45895</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925-2024</t>
        </is>
      </c>
      <c r="B730" s="1" t="n">
        <v>45301</v>
      </c>
      <c r="C730" s="1" t="n">
        <v>45895</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58090-2021</t>
        </is>
      </c>
      <c r="B731" s="1" t="n">
        <v>44487.50277777778</v>
      </c>
      <c r="C731" s="1" t="n">
        <v>45895</v>
      </c>
      <c r="D731" t="inlineStr">
        <is>
          <t>KALMAR LÄN</t>
        </is>
      </c>
      <c r="E731" t="inlineStr">
        <is>
          <t>VÄSTERVIK</t>
        </is>
      </c>
      <c r="G731" t="n">
        <v>2.9</v>
      </c>
      <c r="H731" t="n">
        <v>0</v>
      </c>
      <c r="I731" t="n">
        <v>0</v>
      </c>
      <c r="J731" t="n">
        <v>0</v>
      </c>
      <c r="K731" t="n">
        <v>0</v>
      </c>
      <c r="L731" t="n">
        <v>0</v>
      </c>
      <c r="M731" t="n">
        <v>0</v>
      </c>
      <c r="N731" t="n">
        <v>0</v>
      </c>
      <c r="O731" t="n">
        <v>0</v>
      </c>
      <c r="P731" t="n">
        <v>0</v>
      </c>
      <c r="Q731" t="n">
        <v>0</v>
      </c>
      <c r="R731" s="2" t="inlineStr"/>
    </row>
    <row r="732" ht="15" customHeight="1">
      <c r="A732" t="inlineStr">
        <is>
          <t>A 60483-2024</t>
        </is>
      </c>
      <c r="B732" s="1" t="n">
        <v>45643.63751157407</v>
      </c>
      <c r="C732" s="1" t="n">
        <v>45895</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31825-2022</t>
        </is>
      </c>
      <c r="B733" s="1" t="n">
        <v>44776.74908564815</v>
      </c>
      <c r="C733" s="1" t="n">
        <v>45895</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33277-2023</t>
        </is>
      </c>
      <c r="B734" s="1" t="n">
        <v>45114</v>
      </c>
      <c r="C734" s="1" t="n">
        <v>45895</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63606-2023</t>
        </is>
      </c>
      <c r="B735" s="1" t="n">
        <v>45275</v>
      </c>
      <c r="C735" s="1" t="n">
        <v>45895</v>
      </c>
      <c r="D735" t="inlineStr">
        <is>
          <t>KALMAR LÄN</t>
        </is>
      </c>
      <c r="E735" t="inlineStr">
        <is>
          <t>VÄSTERVIK</t>
        </is>
      </c>
      <c r="G735" t="n">
        <v>2.9</v>
      </c>
      <c r="H735" t="n">
        <v>0</v>
      </c>
      <c r="I735" t="n">
        <v>0</v>
      </c>
      <c r="J735" t="n">
        <v>0</v>
      </c>
      <c r="K735" t="n">
        <v>0</v>
      </c>
      <c r="L735" t="n">
        <v>0</v>
      </c>
      <c r="M735" t="n">
        <v>0</v>
      </c>
      <c r="N735" t="n">
        <v>0</v>
      </c>
      <c r="O735" t="n">
        <v>0</v>
      </c>
      <c r="P735" t="n">
        <v>0</v>
      </c>
      <c r="Q735" t="n">
        <v>0</v>
      </c>
      <c r="R735" s="2" t="inlineStr"/>
    </row>
    <row r="736" ht="15" customHeight="1">
      <c r="A736" t="inlineStr">
        <is>
          <t>A 57366-2023</t>
        </is>
      </c>
      <c r="B736" s="1" t="n">
        <v>45245</v>
      </c>
      <c r="C736" s="1" t="n">
        <v>45895</v>
      </c>
      <c r="D736" t="inlineStr">
        <is>
          <t>KALMAR LÄN</t>
        </is>
      </c>
      <c r="E736" t="inlineStr">
        <is>
          <t>VÄSTERVIK</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63890-2023</t>
        </is>
      </c>
      <c r="B737" s="1" t="n">
        <v>45278</v>
      </c>
      <c r="C737" s="1" t="n">
        <v>45895</v>
      </c>
      <c r="D737" t="inlineStr">
        <is>
          <t>KALMAR LÄN</t>
        </is>
      </c>
      <c r="E737" t="inlineStr">
        <is>
          <t>VÄSTERVIK</t>
        </is>
      </c>
      <c r="G737" t="n">
        <v>2.3</v>
      </c>
      <c r="H737" t="n">
        <v>0</v>
      </c>
      <c r="I737" t="n">
        <v>0</v>
      </c>
      <c r="J737" t="n">
        <v>0</v>
      </c>
      <c r="K737" t="n">
        <v>0</v>
      </c>
      <c r="L737" t="n">
        <v>0</v>
      </c>
      <c r="M737" t="n">
        <v>0</v>
      </c>
      <c r="N737" t="n">
        <v>0</v>
      </c>
      <c r="O737" t="n">
        <v>0</v>
      </c>
      <c r="P737" t="n">
        <v>0</v>
      </c>
      <c r="Q737" t="n">
        <v>0</v>
      </c>
      <c r="R737" s="2" t="inlineStr"/>
    </row>
    <row r="738" ht="15" customHeight="1">
      <c r="A738" t="inlineStr">
        <is>
          <t>A 12595-2023</t>
        </is>
      </c>
      <c r="B738" s="1" t="n">
        <v>45000.43240740741</v>
      </c>
      <c r="C738" s="1" t="n">
        <v>45895</v>
      </c>
      <c r="D738" t="inlineStr">
        <is>
          <t>KALMAR LÄN</t>
        </is>
      </c>
      <c r="E738" t="inlineStr">
        <is>
          <t>VÄSTERVIK</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23411-2022</t>
        </is>
      </c>
      <c r="B739" s="1" t="n">
        <v>44720.70361111111</v>
      </c>
      <c r="C739" s="1" t="n">
        <v>45895</v>
      </c>
      <c r="D739" t="inlineStr">
        <is>
          <t>KALMAR LÄN</t>
        </is>
      </c>
      <c r="E739" t="inlineStr">
        <is>
          <t>VÄSTERVIK</t>
        </is>
      </c>
      <c r="G739" t="n">
        <v>1.1</v>
      </c>
      <c r="H739" t="n">
        <v>0</v>
      </c>
      <c r="I739" t="n">
        <v>0</v>
      </c>
      <c r="J739" t="n">
        <v>0</v>
      </c>
      <c r="K739" t="n">
        <v>0</v>
      </c>
      <c r="L739" t="n">
        <v>0</v>
      </c>
      <c r="M739" t="n">
        <v>0</v>
      </c>
      <c r="N739" t="n">
        <v>0</v>
      </c>
      <c r="O739" t="n">
        <v>0</v>
      </c>
      <c r="P739" t="n">
        <v>0</v>
      </c>
      <c r="Q739" t="n">
        <v>0</v>
      </c>
      <c r="R739" s="2" t="inlineStr"/>
    </row>
    <row r="740" ht="15" customHeight="1">
      <c r="A740" t="inlineStr">
        <is>
          <t>A 6042-2023</t>
        </is>
      </c>
      <c r="B740" s="1" t="n">
        <v>44964</v>
      </c>
      <c r="C740" s="1" t="n">
        <v>45895</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43828-2021</t>
        </is>
      </c>
      <c r="B741" s="1" t="n">
        <v>44433</v>
      </c>
      <c r="C741" s="1" t="n">
        <v>45895</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4508-2023</t>
        </is>
      </c>
      <c r="B742" s="1" t="n">
        <v>44956</v>
      </c>
      <c r="C742" s="1" t="n">
        <v>45895</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928-2024</t>
        </is>
      </c>
      <c r="B743" s="1" t="n">
        <v>45301</v>
      </c>
      <c r="C743" s="1" t="n">
        <v>45895</v>
      </c>
      <c r="D743" t="inlineStr">
        <is>
          <t>KALMAR LÄN</t>
        </is>
      </c>
      <c r="E743" t="inlineStr">
        <is>
          <t>VÄSTERVIK</t>
        </is>
      </c>
      <c r="G743" t="n">
        <v>4.8</v>
      </c>
      <c r="H743" t="n">
        <v>0</v>
      </c>
      <c r="I743" t="n">
        <v>0</v>
      </c>
      <c r="J743" t="n">
        <v>0</v>
      </c>
      <c r="K743" t="n">
        <v>0</v>
      </c>
      <c r="L743" t="n">
        <v>0</v>
      </c>
      <c r="M743" t="n">
        <v>0</v>
      </c>
      <c r="N743" t="n">
        <v>0</v>
      </c>
      <c r="O743" t="n">
        <v>0</v>
      </c>
      <c r="P743" t="n">
        <v>0</v>
      </c>
      <c r="Q743" t="n">
        <v>0</v>
      </c>
      <c r="R743" s="2" t="inlineStr"/>
    </row>
    <row r="744" ht="15" customHeight="1">
      <c r="A744" t="inlineStr">
        <is>
          <t>A 29719-2025</t>
        </is>
      </c>
      <c r="B744" s="1" t="n">
        <v>45825.57315972223</v>
      </c>
      <c r="C744" s="1" t="n">
        <v>45895</v>
      </c>
      <c r="D744" t="inlineStr">
        <is>
          <t>KALMAR LÄN</t>
        </is>
      </c>
      <c r="E744" t="inlineStr">
        <is>
          <t>VÄSTERVIK</t>
        </is>
      </c>
      <c r="G744" t="n">
        <v>2.9</v>
      </c>
      <c r="H744" t="n">
        <v>0</v>
      </c>
      <c r="I744" t="n">
        <v>0</v>
      </c>
      <c r="J744" t="n">
        <v>0</v>
      </c>
      <c r="K744" t="n">
        <v>0</v>
      </c>
      <c r="L744" t="n">
        <v>0</v>
      </c>
      <c r="M744" t="n">
        <v>0</v>
      </c>
      <c r="N744" t="n">
        <v>0</v>
      </c>
      <c r="O744" t="n">
        <v>0</v>
      </c>
      <c r="P744" t="n">
        <v>0</v>
      </c>
      <c r="Q744" t="n">
        <v>0</v>
      </c>
      <c r="R744" s="2" t="inlineStr"/>
    </row>
    <row r="745" ht="15" customHeight="1">
      <c r="A745" t="inlineStr">
        <is>
          <t>A 29722-2025</t>
        </is>
      </c>
      <c r="B745" s="1" t="n">
        <v>45825.57524305556</v>
      </c>
      <c r="C745" s="1" t="n">
        <v>45895</v>
      </c>
      <c r="D745" t="inlineStr">
        <is>
          <t>KALMAR LÄN</t>
        </is>
      </c>
      <c r="E745" t="inlineStr">
        <is>
          <t>VÄSTERVIK</t>
        </is>
      </c>
      <c r="G745" t="n">
        <v>2.9</v>
      </c>
      <c r="H745" t="n">
        <v>0</v>
      </c>
      <c r="I745" t="n">
        <v>0</v>
      </c>
      <c r="J745" t="n">
        <v>0</v>
      </c>
      <c r="K745" t="n">
        <v>0</v>
      </c>
      <c r="L745" t="n">
        <v>0</v>
      </c>
      <c r="M745" t="n">
        <v>0</v>
      </c>
      <c r="N745" t="n">
        <v>0</v>
      </c>
      <c r="O745" t="n">
        <v>0</v>
      </c>
      <c r="P745" t="n">
        <v>0</v>
      </c>
      <c r="Q745" t="n">
        <v>0</v>
      </c>
      <c r="R745" s="2" t="inlineStr"/>
    </row>
    <row r="746" ht="15" customHeight="1">
      <c r="A746" t="inlineStr">
        <is>
          <t>A 63812-2021</t>
        </is>
      </c>
      <c r="B746" s="1" t="n">
        <v>44509.56346064815</v>
      </c>
      <c r="C746" s="1" t="n">
        <v>45895</v>
      </c>
      <c r="D746" t="inlineStr">
        <is>
          <t>KALMAR LÄN</t>
        </is>
      </c>
      <c r="E746" t="inlineStr">
        <is>
          <t>VÄSTERVIK</t>
        </is>
      </c>
      <c r="G746" t="n">
        <v>2.1</v>
      </c>
      <c r="H746" t="n">
        <v>0</v>
      </c>
      <c r="I746" t="n">
        <v>0</v>
      </c>
      <c r="J746" t="n">
        <v>0</v>
      </c>
      <c r="K746" t="n">
        <v>0</v>
      </c>
      <c r="L746" t="n">
        <v>0</v>
      </c>
      <c r="M746" t="n">
        <v>0</v>
      </c>
      <c r="N746" t="n">
        <v>0</v>
      </c>
      <c r="O746" t="n">
        <v>0</v>
      </c>
      <c r="P746" t="n">
        <v>0</v>
      </c>
      <c r="Q746" t="n">
        <v>0</v>
      </c>
      <c r="R746" s="2" t="inlineStr"/>
    </row>
    <row r="747" ht="15" customHeight="1">
      <c r="A747" t="inlineStr">
        <is>
          <t>A 13743-2024</t>
        </is>
      </c>
      <c r="B747" s="1" t="n">
        <v>45390.8940625</v>
      </c>
      <c r="C747" s="1" t="n">
        <v>45895</v>
      </c>
      <c r="D747" t="inlineStr">
        <is>
          <t>KALMAR LÄN</t>
        </is>
      </c>
      <c r="E747" t="inlineStr">
        <is>
          <t>VÄSTERVIK</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59196-2024</t>
        </is>
      </c>
      <c r="B748" s="1" t="n">
        <v>45637.54589120371</v>
      </c>
      <c r="C748" s="1" t="n">
        <v>45895</v>
      </c>
      <c r="D748" t="inlineStr">
        <is>
          <t>KALMAR LÄN</t>
        </is>
      </c>
      <c r="E748" t="inlineStr">
        <is>
          <t>VÄSTERVIK</t>
        </is>
      </c>
      <c r="G748" t="n">
        <v>1.7</v>
      </c>
      <c r="H748" t="n">
        <v>0</v>
      </c>
      <c r="I748" t="n">
        <v>0</v>
      </c>
      <c r="J748" t="n">
        <v>0</v>
      </c>
      <c r="K748" t="n">
        <v>0</v>
      </c>
      <c r="L748" t="n">
        <v>0</v>
      </c>
      <c r="M748" t="n">
        <v>0</v>
      </c>
      <c r="N748" t="n">
        <v>0</v>
      </c>
      <c r="O748" t="n">
        <v>0</v>
      </c>
      <c r="P748" t="n">
        <v>0</v>
      </c>
      <c r="Q748" t="n">
        <v>0</v>
      </c>
      <c r="R748" s="2" t="inlineStr"/>
    </row>
    <row r="749" ht="15" customHeight="1">
      <c r="A749" t="inlineStr">
        <is>
          <t>A 57924-2024</t>
        </is>
      </c>
      <c r="B749" s="1" t="n">
        <v>45631.51325231481</v>
      </c>
      <c r="C749" s="1" t="n">
        <v>45895</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29678-2025</t>
        </is>
      </c>
      <c r="B750" s="1" t="n">
        <v>45825.50804398148</v>
      </c>
      <c r="C750" s="1" t="n">
        <v>45895</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1699-2023</t>
        </is>
      </c>
      <c r="B751" s="1" t="n">
        <v>44935</v>
      </c>
      <c r="C751" s="1" t="n">
        <v>45895</v>
      </c>
      <c r="D751" t="inlineStr">
        <is>
          <t>KALMAR LÄN</t>
        </is>
      </c>
      <c r="E751" t="inlineStr">
        <is>
          <t>VÄSTERVIK</t>
        </is>
      </c>
      <c r="G751" t="n">
        <v>1.1</v>
      </c>
      <c r="H751" t="n">
        <v>0</v>
      </c>
      <c r="I751" t="n">
        <v>0</v>
      </c>
      <c r="J751" t="n">
        <v>0</v>
      </c>
      <c r="K751" t="n">
        <v>0</v>
      </c>
      <c r="L751" t="n">
        <v>0</v>
      </c>
      <c r="M751" t="n">
        <v>0</v>
      </c>
      <c r="N751" t="n">
        <v>0</v>
      </c>
      <c r="O751" t="n">
        <v>0</v>
      </c>
      <c r="P751" t="n">
        <v>0</v>
      </c>
      <c r="Q751" t="n">
        <v>0</v>
      </c>
      <c r="R751" s="2" t="inlineStr"/>
    </row>
    <row r="752" ht="15" customHeight="1">
      <c r="A752" t="inlineStr">
        <is>
          <t>A 60147-2024</t>
        </is>
      </c>
      <c r="B752" s="1" t="n">
        <v>45642.61109953704</v>
      </c>
      <c r="C752" s="1" t="n">
        <v>45895</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8456-2023</t>
        </is>
      </c>
      <c r="B753" s="1" t="n">
        <v>44977</v>
      </c>
      <c r="C753" s="1" t="n">
        <v>45895</v>
      </c>
      <c r="D753" t="inlineStr">
        <is>
          <t>KALMAR LÄN</t>
        </is>
      </c>
      <c r="E753" t="inlineStr">
        <is>
          <t>VÄSTERVIK</t>
        </is>
      </c>
      <c r="G753" t="n">
        <v>1.4</v>
      </c>
      <c r="H753" t="n">
        <v>0</v>
      </c>
      <c r="I753" t="n">
        <v>0</v>
      </c>
      <c r="J753" t="n">
        <v>0</v>
      </c>
      <c r="K753" t="n">
        <v>0</v>
      </c>
      <c r="L753" t="n">
        <v>0</v>
      </c>
      <c r="M753" t="n">
        <v>0</v>
      </c>
      <c r="N753" t="n">
        <v>0</v>
      </c>
      <c r="O753" t="n">
        <v>0</v>
      </c>
      <c r="P753" t="n">
        <v>0</v>
      </c>
      <c r="Q753" t="n">
        <v>0</v>
      </c>
      <c r="R753" s="2" t="inlineStr"/>
    </row>
    <row r="754" ht="15" customHeight="1">
      <c r="A754" t="inlineStr">
        <is>
          <t>A 31318-2021</t>
        </is>
      </c>
      <c r="B754" s="1" t="n">
        <v>44368</v>
      </c>
      <c r="C754" s="1" t="n">
        <v>45895</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7163-2025</t>
        </is>
      </c>
      <c r="B755" s="1" t="n">
        <v>45702.3918287037</v>
      </c>
      <c r="C755" s="1" t="n">
        <v>45895</v>
      </c>
      <c r="D755" t="inlineStr">
        <is>
          <t>KALMAR LÄN</t>
        </is>
      </c>
      <c r="E755" t="inlineStr">
        <is>
          <t>VÄSTERVIK</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45895</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25238-2021</t>
        </is>
      </c>
      <c r="B757" s="1" t="n">
        <v>44342</v>
      </c>
      <c r="C757" s="1" t="n">
        <v>45895</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49708-2024</t>
        </is>
      </c>
      <c r="B758" s="1" t="n">
        <v>45596.69846064815</v>
      </c>
      <c r="C758" s="1" t="n">
        <v>45895</v>
      </c>
      <c r="D758" t="inlineStr">
        <is>
          <t>KALMAR LÄN</t>
        </is>
      </c>
      <c r="E758" t="inlineStr">
        <is>
          <t>VÄSTERVIK</t>
        </is>
      </c>
      <c r="G758" t="n">
        <v>1.6</v>
      </c>
      <c r="H758" t="n">
        <v>0</v>
      </c>
      <c r="I758" t="n">
        <v>0</v>
      </c>
      <c r="J758" t="n">
        <v>0</v>
      </c>
      <c r="K758" t="n">
        <v>0</v>
      </c>
      <c r="L758" t="n">
        <v>0</v>
      </c>
      <c r="M758" t="n">
        <v>0</v>
      </c>
      <c r="N758" t="n">
        <v>0</v>
      </c>
      <c r="O758" t="n">
        <v>0</v>
      </c>
      <c r="P758" t="n">
        <v>0</v>
      </c>
      <c r="Q758" t="n">
        <v>0</v>
      </c>
      <c r="R758" s="2" t="inlineStr"/>
    </row>
    <row r="759" ht="15" customHeight="1">
      <c r="A759" t="inlineStr">
        <is>
          <t>A 12520-2021</t>
        </is>
      </c>
      <c r="B759" s="1" t="n">
        <v>44269</v>
      </c>
      <c r="C759" s="1" t="n">
        <v>45895</v>
      </c>
      <c r="D759" t="inlineStr">
        <is>
          <t>KALMAR LÄN</t>
        </is>
      </c>
      <c r="E759" t="inlineStr">
        <is>
          <t>VÄSTERVIK</t>
        </is>
      </c>
      <c r="G759" t="n">
        <v>1.6</v>
      </c>
      <c r="H759" t="n">
        <v>0</v>
      </c>
      <c r="I759" t="n">
        <v>0</v>
      </c>
      <c r="J759" t="n">
        <v>0</v>
      </c>
      <c r="K759" t="n">
        <v>0</v>
      </c>
      <c r="L759" t="n">
        <v>0</v>
      </c>
      <c r="M759" t="n">
        <v>0</v>
      </c>
      <c r="N759" t="n">
        <v>0</v>
      </c>
      <c r="O759" t="n">
        <v>0</v>
      </c>
      <c r="P759" t="n">
        <v>0</v>
      </c>
      <c r="Q759" t="n">
        <v>0</v>
      </c>
      <c r="R759" s="2" t="inlineStr"/>
    </row>
    <row r="760" ht="15" customHeight="1">
      <c r="A760" t="inlineStr">
        <is>
          <t>A 30644-2025</t>
        </is>
      </c>
      <c r="B760" s="1" t="n">
        <v>45831</v>
      </c>
      <c r="C760" s="1" t="n">
        <v>45895</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30811-2025</t>
        </is>
      </c>
      <c r="B761" s="1" t="n">
        <v>45831.65712962963</v>
      </c>
      <c r="C761" s="1" t="n">
        <v>45895</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30800-2025</t>
        </is>
      </c>
      <c r="B762" s="1" t="n">
        <v>45831.65177083333</v>
      </c>
      <c r="C762" s="1" t="n">
        <v>45895</v>
      </c>
      <c r="D762" t="inlineStr">
        <is>
          <t>KALMAR LÄN</t>
        </is>
      </c>
      <c r="E762" t="inlineStr">
        <is>
          <t>VÄSTERVIK</t>
        </is>
      </c>
      <c r="G762" t="n">
        <v>1.6</v>
      </c>
      <c r="H762" t="n">
        <v>0</v>
      </c>
      <c r="I762" t="n">
        <v>0</v>
      </c>
      <c r="J762" t="n">
        <v>0</v>
      </c>
      <c r="K762" t="n">
        <v>0</v>
      </c>
      <c r="L762" t="n">
        <v>0</v>
      </c>
      <c r="M762" t="n">
        <v>0</v>
      </c>
      <c r="N762" t="n">
        <v>0</v>
      </c>
      <c r="O762" t="n">
        <v>0</v>
      </c>
      <c r="P762" t="n">
        <v>0</v>
      </c>
      <c r="Q762" t="n">
        <v>0</v>
      </c>
      <c r="R762" s="2" t="inlineStr"/>
    </row>
    <row r="763" ht="15" customHeight="1">
      <c r="A763" t="inlineStr">
        <is>
          <t>A 58217-2022</t>
        </is>
      </c>
      <c r="B763" s="1" t="n">
        <v>44901.36453703704</v>
      </c>
      <c r="C763" s="1" t="n">
        <v>45895</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1874-2025</t>
        </is>
      </c>
      <c r="B764" s="1" t="n">
        <v>45671.61953703704</v>
      </c>
      <c r="C764" s="1" t="n">
        <v>45895</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59871-2022</t>
        </is>
      </c>
      <c r="B765" s="1" t="n">
        <v>44908</v>
      </c>
      <c r="C765" s="1" t="n">
        <v>45895</v>
      </c>
      <c r="D765" t="inlineStr">
        <is>
          <t>KALMAR LÄN</t>
        </is>
      </c>
      <c r="E765" t="inlineStr">
        <is>
          <t>VÄSTERVIK</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16834-2023</t>
        </is>
      </c>
      <c r="B766" s="1" t="n">
        <v>45033</v>
      </c>
      <c r="C766" s="1" t="n">
        <v>45895</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30789-2025</t>
        </is>
      </c>
      <c r="B767" s="1" t="n">
        <v>45831.63174768518</v>
      </c>
      <c r="C767" s="1" t="n">
        <v>45895</v>
      </c>
      <c r="D767" t="inlineStr">
        <is>
          <t>KALMAR LÄN</t>
        </is>
      </c>
      <c r="E767" t="inlineStr">
        <is>
          <t>VÄSTERVIK</t>
        </is>
      </c>
      <c r="G767" t="n">
        <v>7</v>
      </c>
      <c r="H767" t="n">
        <v>0</v>
      </c>
      <c r="I767" t="n">
        <v>0</v>
      </c>
      <c r="J767" t="n">
        <v>0</v>
      </c>
      <c r="K767" t="n">
        <v>0</v>
      </c>
      <c r="L767" t="n">
        <v>0</v>
      </c>
      <c r="M767" t="n">
        <v>0</v>
      </c>
      <c r="N767" t="n">
        <v>0</v>
      </c>
      <c r="O767" t="n">
        <v>0</v>
      </c>
      <c r="P767" t="n">
        <v>0</v>
      </c>
      <c r="Q767" t="n">
        <v>0</v>
      </c>
      <c r="R767" s="2" t="inlineStr"/>
    </row>
    <row r="768" ht="15" customHeight="1">
      <c r="A768" t="inlineStr">
        <is>
          <t>A 6940-2025</t>
        </is>
      </c>
      <c r="B768" s="1" t="n">
        <v>45701.46581018518</v>
      </c>
      <c r="C768" s="1" t="n">
        <v>45895</v>
      </c>
      <c r="D768" t="inlineStr">
        <is>
          <t>KALMAR LÄN</t>
        </is>
      </c>
      <c r="E768" t="inlineStr">
        <is>
          <t>VÄSTERVIK</t>
        </is>
      </c>
      <c r="G768" t="n">
        <v>1.2</v>
      </c>
      <c r="H768" t="n">
        <v>0</v>
      </c>
      <c r="I768" t="n">
        <v>0</v>
      </c>
      <c r="J768" t="n">
        <v>0</v>
      </c>
      <c r="K768" t="n">
        <v>0</v>
      </c>
      <c r="L768" t="n">
        <v>0</v>
      </c>
      <c r="M768" t="n">
        <v>0</v>
      </c>
      <c r="N768" t="n">
        <v>0</v>
      </c>
      <c r="O768" t="n">
        <v>0</v>
      </c>
      <c r="P768" t="n">
        <v>0</v>
      </c>
      <c r="Q768" t="n">
        <v>0</v>
      </c>
      <c r="R768" s="2" t="inlineStr"/>
    </row>
    <row r="769" ht="15" customHeight="1">
      <c r="A769" t="inlineStr">
        <is>
          <t>A 11183-2024</t>
        </is>
      </c>
      <c r="B769" s="1" t="n">
        <v>45371.53141203704</v>
      </c>
      <c r="C769" s="1" t="n">
        <v>45895</v>
      </c>
      <c r="D769" t="inlineStr">
        <is>
          <t>KALMAR LÄN</t>
        </is>
      </c>
      <c r="E769" t="inlineStr">
        <is>
          <t>VÄSTERVIK</t>
        </is>
      </c>
      <c r="G769" t="n">
        <v>4.5</v>
      </c>
      <c r="H769" t="n">
        <v>0</v>
      </c>
      <c r="I769" t="n">
        <v>0</v>
      </c>
      <c r="J769" t="n">
        <v>0</v>
      </c>
      <c r="K769" t="n">
        <v>0</v>
      </c>
      <c r="L769" t="n">
        <v>0</v>
      </c>
      <c r="M769" t="n">
        <v>0</v>
      </c>
      <c r="N769" t="n">
        <v>0</v>
      </c>
      <c r="O769" t="n">
        <v>0</v>
      </c>
      <c r="P769" t="n">
        <v>0</v>
      </c>
      <c r="Q769" t="n">
        <v>0</v>
      </c>
      <c r="R769" s="2" t="inlineStr"/>
    </row>
    <row r="770" ht="15" customHeight="1">
      <c r="A770" t="inlineStr">
        <is>
          <t>A 28291-2024</t>
        </is>
      </c>
      <c r="B770" s="1" t="n">
        <v>45477</v>
      </c>
      <c r="C770" s="1" t="n">
        <v>45895</v>
      </c>
      <c r="D770" t="inlineStr">
        <is>
          <t>KALMAR LÄN</t>
        </is>
      </c>
      <c r="E770" t="inlineStr">
        <is>
          <t>VÄSTERVIK</t>
        </is>
      </c>
      <c r="G770" t="n">
        <v>3.2</v>
      </c>
      <c r="H770" t="n">
        <v>0</v>
      </c>
      <c r="I770" t="n">
        <v>0</v>
      </c>
      <c r="J770" t="n">
        <v>0</v>
      </c>
      <c r="K770" t="n">
        <v>0</v>
      </c>
      <c r="L770" t="n">
        <v>0</v>
      </c>
      <c r="M770" t="n">
        <v>0</v>
      </c>
      <c r="N770" t="n">
        <v>0</v>
      </c>
      <c r="O770" t="n">
        <v>0</v>
      </c>
      <c r="P770" t="n">
        <v>0</v>
      </c>
      <c r="Q770" t="n">
        <v>0</v>
      </c>
      <c r="R770" s="2" t="inlineStr"/>
    </row>
    <row r="771" ht="15" customHeight="1">
      <c r="A771" t="inlineStr">
        <is>
          <t>A 47939-2023</t>
        </is>
      </c>
      <c r="B771" s="1" t="n">
        <v>45204.56195601852</v>
      </c>
      <c r="C771" s="1" t="n">
        <v>45895</v>
      </c>
      <c r="D771" t="inlineStr">
        <is>
          <t>KALMAR LÄN</t>
        </is>
      </c>
      <c r="E771" t="inlineStr">
        <is>
          <t>VÄSTERVIK</t>
        </is>
      </c>
      <c r="G771" t="n">
        <v>3.7</v>
      </c>
      <c r="H771" t="n">
        <v>0</v>
      </c>
      <c r="I771" t="n">
        <v>0</v>
      </c>
      <c r="J771" t="n">
        <v>0</v>
      </c>
      <c r="K771" t="n">
        <v>0</v>
      </c>
      <c r="L771" t="n">
        <v>0</v>
      </c>
      <c r="M771" t="n">
        <v>0</v>
      </c>
      <c r="N771" t="n">
        <v>0</v>
      </c>
      <c r="O771" t="n">
        <v>0</v>
      </c>
      <c r="P771" t="n">
        <v>0</v>
      </c>
      <c r="Q771" t="n">
        <v>0</v>
      </c>
      <c r="R771" s="2" t="inlineStr"/>
    </row>
    <row r="772" ht="15" customHeight="1">
      <c r="A772" t="inlineStr">
        <is>
          <t>A 13840-2024</t>
        </is>
      </c>
      <c r="B772" s="1" t="n">
        <v>45391.44885416667</v>
      </c>
      <c r="C772" s="1" t="n">
        <v>45895</v>
      </c>
      <c r="D772" t="inlineStr">
        <is>
          <t>KALMAR LÄN</t>
        </is>
      </c>
      <c r="E772" t="inlineStr">
        <is>
          <t>VÄSTERVIK</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35652-2023</t>
        </is>
      </c>
      <c r="B773" s="1" t="n">
        <v>45147.59215277778</v>
      </c>
      <c r="C773" s="1" t="n">
        <v>45895</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34471-2024</t>
        </is>
      </c>
      <c r="B774" s="1" t="n">
        <v>45525.59111111111</v>
      </c>
      <c r="C774" s="1" t="n">
        <v>45895</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61580-2022</t>
        </is>
      </c>
      <c r="B775" s="1" t="n">
        <v>44916.62880787037</v>
      </c>
      <c r="C775" s="1" t="n">
        <v>45895</v>
      </c>
      <c r="D775" t="inlineStr">
        <is>
          <t>KALMAR LÄN</t>
        </is>
      </c>
      <c r="E775" t="inlineStr">
        <is>
          <t>VÄSTERVIK</t>
        </is>
      </c>
      <c r="G775" t="n">
        <v>3.5</v>
      </c>
      <c r="H775" t="n">
        <v>0</v>
      </c>
      <c r="I775" t="n">
        <v>0</v>
      </c>
      <c r="J775" t="n">
        <v>0</v>
      </c>
      <c r="K775" t="n">
        <v>0</v>
      </c>
      <c r="L775" t="n">
        <v>0</v>
      </c>
      <c r="M775" t="n">
        <v>0</v>
      </c>
      <c r="N775" t="n">
        <v>0</v>
      </c>
      <c r="O775" t="n">
        <v>0</v>
      </c>
      <c r="P775" t="n">
        <v>0</v>
      </c>
      <c r="Q775" t="n">
        <v>0</v>
      </c>
      <c r="R775" s="2" t="inlineStr"/>
    </row>
    <row r="776" ht="15" customHeight="1">
      <c r="A776" t="inlineStr">
        <is>
          <t>A 6938-2025</t>
        </is>
      </c>
      <c r="B776" s="1" t="n">
        <v>45701.46288194445</v>
      </c>
      <c r="C776" s="1" t="n">
        <v>45895</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30690-2025</t>
        </is>
      </c>
      <c r="B777" s="1" t="n">
        <v>45831.53775462963</v>
      </c>
      <c r="C777" s="1" t="n">
        <v>45895</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36757-2025</t>
        </is>
      </c>
      <c r="B778" s="1" t="n">
        <v>45873.56483796296</v>
      </c>
      <c r="C778" s="1" t="n">
        <v>45895</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36754-2025</t>
        </is>
      </c>
      <c r="B779" s="1" t="n">
        <v>45873.5591087963</v>
      </c>
      <c r="C779" s="1" t="n">
        <v>45895</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60848-2020</t>
        </is>
      </c>
      <c r="B780" s="1" t="n">
        <v>44152</v>
      </c>
      <c r="C780" s="1" t="n">
        <v>45895</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30648-2025</t>
        </is>
      </c>
      <c r="B781" s="1" t="n">
        <v>45831</v>
      </c>
      <c r="C781" s="1" t="n">
        <v>45895</v>
      </c>
      <c r="D781" t="inlineStr">
        <is>
          <t>KALMAR LÄN</t>
        </is>
      </c>
      <c r="E781" t="inlineStr">
        <is>
          <t>VÄSTERVIK</t>
        </is>
      </c>
      <c r="G781" t="n">
        <v>3</v>
      </c>
      <c r="H781" t="n">
        <v>0</v>
      </c>
      <c r="I781" t="n">
        <v>0</v>
      </c>
      <c r="J781" t="n">
        <v>0</v>
      </c>
      <c r="K781" t="n">
        <v>0</v>
      </c>
      <c r="L781" t="n">
        <v>0</v>
      </c>
      <c r="M781" t="n">
        <v>0</v>
      </c>
      <c r="N781" t="n">
        <v>0</v>
      </c>
      <c r="O781" t="n">
        <v>0</v>
      </c>
      <c r="P781" t="n">
        <v>0</v>
      </c>
      <c r="Q781" t="n">
        <v>0</v>
      </c>
      <c r="R781" s="2" t="inlineStr"/>
    </row>
    <row r="782" ht="15" customHeight="1">
      <c r="A782" t="inlineStr">
        <is>
          <t>A 31576-2025</t>
        </is>
      </c>
      <c r="B782" s="1" t="n">
        <v>45833.67266203704</v>
      </c>
      <c r="C782" s="1" t="n">
        <v>45895</v>
      </c>
      <c r="D782" t="inlineStr">
        <is>
          <t>KALMAR LÄN</t>
        </is>
      </c>
      <c r="E782" t="inlineStr">
        <is>
          <t>VÄSTERVIK</t>
        </is>
      </c>
      <c r="F782" t="inlineStr">
        <is>
          <t>Holmen skog AB</t>
        </is>
      </c>
      <c r="G782" t="n">
        <v>3.5</v>
      </c>
      <c r="H782" t="n">
        <v>0</v>
      </c>
      <c r="I782" t="n">
        <v>0</v>
      </c>
      <c r="J782" t="n">
        <v>0</v>
      </c>
      <c r="K782" t="n">
        <v>0</v>
      </c>
      <c r="L782" t="n">
        <v>0</v>
      </c>
      <c r="M782" t="n">
        <v>0</v>
      </c>
      <c r="N782" t="n">
        <v>0</v>
      </c>
      <c r="O782" t="n">
        <v>0</v>
      </c>
      <c r="P782" t="n">
        <v>0</v>
      </c>
      <c r="Q782" t="n">
        <v>0</v>
      </c>
      <c r="R782" s="2" t="inlineStr"/>
    </row>
    <row r="783" ht="15" customHeight="1">
      <c r="A783" t="inlineStr">
        <is>
          <t>A 31826-2025</t>
        </is>
      </c>
      <c r="B783" s="1" t="n">
        <v>45834.58306712963</v>
      </c>
      <c r="C783" s="1" t="n">
        <v>45895</v>
      </c>
      <c r="D783" t="inlineStr">
        <is>
          <t>KALMAR LÄN</t>
        </is>
      </c>
      <c r="E783" t="inlineStr">
        <is>
          <t>VÄSTERVIK</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1115-2025</t>
        </is>
      </c>
      <c r="B784" s="1" t="n">
        <v>45666.65664351852</v>
      </c>
      <c r="C784" s="1" t="n">
        <v>45895</v>
      </c>
      <c r="D784" t="inlineStr">
        <is>
          <t>KALMAR LÄN</t>
        </is>
      </c>
      <c r="E784" t="inlineStr">
        <is>
          <t>VÄSTERVIK</t>
        </is>
      </c>
      <c r="G784" t="n">
        <v>1.9</v>
      </c>
      <c r="H784" t="n">
        <v>0</v>
      </c>
      <c r="I784" t="n">
        <v>0</v>
      </c>
      <c r="J784" t="n">
        <v>0</v>
      </c>
      <c r="K784" t="n">
        <v>0</v>
      </c>
      <c r="L784" t="n">
        <v>0</v>
      </c>
      <c r="M784" t="n">
        <v>0</v>
      </c>
      <c r="N784" t="n">
        <v>0</v>
      </c>
      <c r="O784" t="n">
        <v>0</v>
      </c>
      <c r="P784" t="n">
        <v>0</v>
      </c>
      <c r="Q784" t="n">
        <v>0</v>
      </c>
      <c r="R784" s="2" t="inlineStr"/>
    </row>
    <row r="785" ht="15" customHeight="1">
      <c r="A785" t="inlineStr">
        <is>
          <t>A 56610-2022</t>
        </is>
      </c>
      <c r="B785" s="1" t="n">
        <v>44893.5862037037</v>
      </c>
      <c r="C785" s="1" t="n">
        <v>45895</v>
      </c>
      <c r="D785" t="inlineStr">
        <is>
          <t>KALMAR LÄN</t>
        </is>
      </c>
      <c r="E785" t="inlineStr">
        <is>
          <t>VÄSTERVIK</t>
        </is>
      </c>
      <c r="G785" t="n">
        <v>0.5</v>
      </c>
      <c r="H785" t="n">
        <v>0</v>
      </c>
      <c r="I785" t="n">
        <v>0</v>
      </c>
      <c r="J785" t="n">
        <v>0</v>
      </c>
      <c r="K785" t="n">
        <v>0</v>
      </c>
      <c r="L785" t="n">
        <v>0</v>
      </c>
      <c r="M785" t="n">
        <v>0</v>
      </c>
      <c r="N785" t="n">
        <v>0</v>
      </c>
      <c r="O785" t="n">
        <v>0</v>
      </c>
      <c r="P785" t="n">
        <v>0</v>
      </c>
      <c r="Q785" t="n">
        <v>0</v>
      </c>
      <c r="R785" s="2" t="inlineStr"/>
    </row>
    <row r="786" ht="15" customHeight="1">
      <c r="A786" t="inlineStr">
        <is>
          <t>A 10766-2025</t>
        </is>
      </c>
      <c r="B786" s="1" t="n">
        <v>45722.4630787037</v>
      </c>
      <c r="C786" s="1" t="n">
        <v>45895</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9770-2023</t>
        </is>
      </c>
      <c r="B787" s="1" t="n">
        <v>44984</v>
      </c>
      <c r="C787" s="1" t="n">
        <v>45895</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9792-2023</t>
        </is>
      </c>
      <c r="B788" s="1" t="n">
        <v>44984.64269675926</v>
      </c>
      <c r="C788" s="1" t="n">
        <v>45895</v>
      </c>
      <c r="D788" t="inlineStr">
        <is>
          <t>KALMAR LÄN</t>
        </is>
      </c>
      <c r="E788" t="inlineStr">
        <is>
          <t>VÄSTERVIK</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10803-2025</t>
        </is>
      </c>
      <c r="B789" s="1" t="n">
        <v>45722.52284722222</v>
      </c>
      <c r="C789" s="1" t="n">
        <v>45895</v>
      </c>
      <c r="D789" t="inlineStr">
        <is>
          <t>KALMAR LÄN</t>
        </is>
      </c>
      <c r="E789" t="inlineStr">
        <is>
          <t>VÄSTERVIK</t>
        </is>
      </c>
      <c r="F789" t="inlineStr">
        <is>
          <t>Övriga Aktiebolag</t>
        </is>
      </c>
      <c r="G789" t="n">
        <v>3.5</v>
      </c>
      <c r="H789" t="n">
        <v>0</v>
      </c>
      <c r="I789" t="n">
        <v>0</v>
      </c>
      <c r="J789" t="n">
        <v>0</v>
      </c>
      <c r="K789" t="n">
        <v>0</v>
      </c>
      <c r="L789" t="n">
        <v>0</v>
      </c>
      <c r="M789" t="n">
        <v>0</v>
      </c>
      <c r="N789" t="n">
        <v>0</v>
      </c>
      <c r="O789" t="n">
        <v>0</v>
      </c>
      <c r="P789" t="n">
        <v>0</v>
      </c>
      <c r="Q789" t="n">
        <v>0</v>
      </c>
      <c r="R789" s="2" t="inlineStr"/>
    </row>
    <row r="790" ht="15" customHeight="1">
      <c r="A790" t="inlineStr">
        <is>
          <t>A 28390-2024</t>
        </is>
      </c>
      <c r="B790" s="1" t="n">
        <v>45477</v>
      </c>
      <c r="C790" s="1" t="n">
        <v>45895</v>
      </c>
      <c r="D790" t="inlineStr">
        <is>
          <t>KALMAR LÄN</t>
        </is>
      </c>
      <c r="E790" t="inlineStr">
        <is>
          <t>VÄSTERVIK</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31843-2025</t>
        </is>
      </c>
      <c r="B791" s="1" t="n">
        <v>45834.5984375</v>
      </c>
      <c r="C791" s="1" t="n">
        <v>45895</v>
      </c>
      <c r="D791" t="inlineStr">
        <is>
          <t>KALMAR LÄN</t>
        </is>
      </c>
      <c r="E791" t="inlineStr">
        <is>
          <t>VÄSTERVIK</t>
        </is>
      </c>
      <c r="F791" t="inlineStr">
        <is>
          <t>Holmen skog AB</t>
        </is>
      </c>
      <c r="G791" t="n">
        <v>4.5</v>
      </c>
      <c r="H791" t="n">
        <v>0</v>
      </c>
      <c r="I791" t="n">
        <v>0</v>
      </c>
      <c r="J791" t="n">
        <v>0</v>
      </c>
      <c r="K791" t="n">
        <v>0</v>
      </c>
      <c r="L791" t="n">
        <v>0</v>
      </c>
      <c r="M791" t="n">
        <v>0</v>
      </c>
      <c r="N791" t="n">
        <v>0</v>
      </c>
      <c r="O791" t="n">
        <v>0</v>
      </c>
      <c r="P791" t="n">
        <v>0</v>
      </c>
      <c r="Q791" t="n">
        <v>0</v>
      </c>
      <c r="R791" s="2" t="inlineStr"/>
    </row>
    <row r="792" ht="15" customHeight="1">
      <c r="A792" t="inlineStr">
        <is>
          <t>A 31857-2025</t>
        </is>
      </c>
      <c r="B792" s="1" t="n">
        <v>45834.62629629629</v>
      </c>
      <c r="C792" s="1" t="n">
        <v>45895</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34650-2023</t>
        </is>
      </c>
      <c r="B793" s="1" t="n">
        <v>45140</v>
      </c>
      <c r="C793" s="1" t="n">
        <v>45895</v>
      </c>
      <c r="D793" t="inlineStr">
        <is>
          <t>KALMAR LÄN</t>
        </is>
      </c>
      <c r="E793" t="inlineStr">
        <is>
          <t>VÄSTERVIK</t>
        </is>
      </c>
      <c r="G793" t="n">
        <v>1.4</v>
      </c>
      <c r="H793" t="n">
        <v>0</v>
      </c>
      <c r="I793" t="n">
        <v>0</v>
      </c>
      <c r="J793" t="n">
        <v>0</v>
      </c>
      <c r="K793" t="n">
        <v>0</v>
      </c>
      <c r="L793" t="n">
        <v>0</v>
      </c>
      <c r="M793" t="n">
        <v>0</v>
      </c>
      <c r="N793" t="n">
        <v>0</v>
      </c>
      <c r="O793" t="n">
        <v>0</v>
      </c>
      <c r="P793" t="n">
        <v>0</v>
      </c>
      <c r="Q793" t="n">
        <v>0</v>
      </c>
      <c r="R793" s="2" t="inlineStr"/>
    </row>
    <row r="794" ht="15" customHeight="1">
      <c r="A794" t="inlineStr">
        <is>
          <t>A 6312-2024</t>
        </is>
      </c>
      <c r="B794" s="1" t="n">
        <v>45338</v>
      </c>
      <c r="C794" s="1" t="n">
        <v>45895</v>
      </c>
      <c r="D794" t="inlineStr">
        <is>
          <t>KALMAR LÄN</t>
        </is>
      </c>
      <c r="E794" t="inlineStr">
        <is>
          <t>VÄSTERVIK</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31419-2025</t>
        </is>
      </c>
      <c r="B795" s="1" t="n">
        <v>45833.48370370371</v>
      </c>
      <c r="C795" s="1" t="n">
        <v>45895</v>
      </c>
      <c r="D795" t="inlineStr">
        <is>
          <t>KALMAR LÄN</t>
        </is>
      </c>
      <c r="E795" t="inlineStr">
        <is>
          <t>VÄSTERVIK</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46596-2022</t>
        </is>
      </c>
      <c r="B796" s="1" t="n">
        <v>44848.8315625</v>
      </c>
      <c r="C796" s="1" t="n">
        <v>45895</v>
      </c>
      <c r="D796" t="inlineStr">
        <is>
          <t>KALMAR LÄN</t>
        </is>
      </c>
      <c r="E796" t="inlineStr">
        <is>
          <t>VÄSTERVIK</t>
        </is>
      </c>
      <c r="G796" t="n">
        <v>3.9</v>
      </c>
      <c r="H796" t="n">
        <v>0</v>
      </c>
      <c r="I796" t="n">
        <v>0</v>
      </c>
      <c r="J796" t="n">
        <v>0</v>
      </c>
      <c r="K796" t="n">
        <v>0</v>
      </c>
      <c r="L796" t="n">
        <v>0</v>
      </c>
      <c r="M796" t="n">
        <v>0</v>
      </c>
      <c r="N796" t="n">
        <v>0</v>
      </c>
      <c r="O796" t="n">
        <v>0</v>
      </c>
      <c r="P796" t="n">
        <v>0</v>
      </c>
      <c r="Q796" t="n">
        <v>0</v>
      </c>
      <c r="R796" s="2" t="inlineStr"/>
    </row>
    <row r="797" ht="15" customHeight="1">
      <c r="A797" t="inlineStr">
        <is>
          <t>A 30148-2024</t>
        </is>
      </c>
      <c r="B797" s="1" t="n">
        <v>45489.60528935185</v>
      </c>
      <c r="C797" s="1" t="n">
        <v>45895</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23706-2025</t>
        </is>
      </c>
      <c r="B798" s="1" t="n">
        <v>45793.36922453704</v>
      </c>
      <c r="C798" s="1" t="n">
        <v>45895</v>
      </c>
      <c r="D798" t="inlineStr">
        <is>
          <t>KALMAR LÄN</t>
        </is>
      </c>
      <c r="E798" t="inlineStr">
        <is>
          <t>VÄSTERVIK</t>
        </is>
      </c>
      <c r="G798" t="n">
        <v>2.2</v>
      </c>
      <c r="H798" t="n">
        <v>0</v>
      </c>
      <c r="I798" t="n">
        <v>0</v>
      </c>
      <c r="J798" t="n">
        <v>0</v>
      </c>
      <c r="K798" t="n">
        <v>0</v>
      </c>
      <c r="L798" t="n">
        <v>0</v>
      </c>
      <c r="M798" t="n">
        <v>0</v>
      </c>
      <c r="N798" t="n">
        <v>0</v>
      </c>
      <c r="O798" t="n">
        <v>0</v>
      </c>
      <c r="P798" t="n">
        <v>0</v>
      </c>
      <c r="Q798" t="n">
        <v>0</v>
      </c>
      <c r="R798" s="2" t="inlineStr"/>
    </row>
    <row r="799" ht="15" customHeight="1">
      <c r="A799" t="inlineStr">
        <is>
          <t>A 31886-2025</t>
        </is>
      </c>
      <c r="B799" s="1" t="n">
        <v>45834.65864583333</v>
      </c>
      <c r="C799" s="1" t="n">
        <v>45895</v>
      </c>
      <c r="D799" t="inlineStr">
        <is>
          <t>KALMAR LÄN</t>
        </is>
      </c>
      <c r="E799" t="inlineStr">
        <is>
          <t>VÄSTERVIK</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31600-2025</t>
        </is>
      </c>
      <c r="B800" s="1" t="n">
        <v>45833.72505787037</v>
      </c>
      <c r="C800" s="1" t="n">
        <v>45895</v>
      </c>
      <c r="D800" t="inlineStr">
        <is>
          <t>KALMAR LÄN</t>
        </is>
      </c>
      <c r="E800" t="inlineStr">
        <is>
          <t>VÄSTERVIK</t>
        </is>
      </c>
      <c r="F800" t="inlineStr">
        <is>
          <t>Holmen skog AB</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37523-2025</t>
        </is>
      </c>
      <c r="B801" s="1" t="n">
        <v>45877</v>
      </c>
      <c r="C801" s="1" t="n">
        <v>45895</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37524-2025</t>
        </is>
      </c>
      <c r="B802" s="1" t="n">
        <v>45877</v>
      </c>
      <c r="C802" s="1" t="n">
        <v>45895</v>
      </c>
      <c r="D802" t="inlineStr">
        <is>
          <t>KALMAR LÄN</t>
        </is>
      </c>
      <c r="E802" t="inlineStr">
        <is>
          <t>VÄSTERVIK</t>
        </is>
      </c>
      <c r="G802" t="n">
        <v>3.3</v>
      </c>
      <c r="H802" t="n">
        <v>0</v>
      </c>
      <c r="I802" t="n">
        <v>0</v>
      </c>
      <c r="J802" t="n">
        <v>0</v>
      </c>
      <c r="K802" t="n">
        <v>0</v>
      </c>
      <c r="L802" t="n">
        <v>0</v>
      </c>
      <c r="M802" t="n">
        <v>0</v>
      </c>
      <c r="N802" t="n">
        <v>0</v>
      </c>
      <c r="O802" t="n">
        <v>0</v>
      </c>
      <c r="P802" t="n">
        <v>0</v>
      </c>
      <c r="Q802" t="n">
        <v>0</v>
      </c>
      <c r="R802" s="2" t="inlineStr"/>
    </row>
    <row r="803" ht="15" customHeight="1">
      <c r="A803" t="inlineStr">
        <is>
          <t>A 37525-2025</t>
        </is>
      </c>
      <c r="B803" s="1" t="n">
        <v>45877</v>
      </c>
      <c r="C803" s="1" t="n">
        <v>45895</v>
      </c>
      <c r="D803" t="inlineStr">
        <is>
          <t>KALMAR LÄN</t>
        </is>
      </c>
      <c r="E803" t="inlineStr">
        <is>
          <t>VÄSTERVIK</t>
        </is>
      </c>
      <c r="G803" t="n">
        <v>2.4</v>
      </c>
      <c r="H803" t="n">
        <v>0</v>
      </c>
      <c r="I803" t="n">
        <v>0</v>
      </c>
      <c r="J803" t="n">
        <v>0</v>
      </c>
      <c r="K803" t="n">
        <v>0</v>
      </c>
      <c r="L803" t="n">
        <v>0</v>
      </c>
      <c r="M803" t="n">
        <v>0</v>
      </c>
      <c r="N803" t="n">
        <v>0</v>
      </c>
      <c r="O803" t="n">
        <v>0</v>
      </c>
      <c r="P803" t="n">
        <v>0</v>
      </c>
      <c r="Q803" t="n">
        <v>0</v>
      </c>
      <c r="R803" s="2" t="inlineStr"/>
    </row>
    <row r="804" ht="15" customHeight="1">
      <c r="A804" t="inlineStr">
        <is>
          <t>A 32018-2025</t>
        </is>
      </c>
      <c r="B804" s="1" t="n">
        <v>45835.40452546296</v>
      </c>
      <c r="C804" s="1" t="n">
        <v>45895</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59202-2022</t>
        </is>
      </c>
      <c r="B805" s="1" t="n">
        <v>44904</v>
      </c>
      <c r="C805" s="1" t="n">
        <v>45895</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59210-2022</t>
        </is>
      </c>
      <c r="B806" s="1" t="n">
        <v>44904.51767361111</v>
      </c>
      <c r="C806" s="1" t="n">
        <v>45895</v>
      </c>
      <c r="D806" t="inlineStr">
        <is>
          <t>KALMAR LÄN</t>
        </is>
      </c>
      <c r="E806" t="inlineStr">
        <is>
          <t>VÄSTERVIK</t>
        </is>
      </c>
      <c r="G806" t="n">
        <v>21.2</v>
      </c>
      <c r="H806" t="n">
        <v>0</v>
      </c>
      <c r="I806" t="n">
        <v>0</v>
      </c>
      <c r="J806" t="n">
        <v>0</v>
      </c>
      <c r="K806" t="n">
        <v>0</v>
      </c>
      <c r="L806" t="n">
        <v>0</v>
      </c>
      <c r="M806" t="n">
        <v>0</v>
      </c>
      <c r="N806" t="n">
        <v>0</v>
      </c>
      <c r="O806" t="n">
        <v>0</v>
      </c>
      <c r="P806" t="n">
        <v>0</v>
      </c>
      <c r="Q806" t="n">
        <v>0</v>
      </c>
      <c r="R806" s="2" t="inlineStr"/>
    </row>
    <row r="807" ht="15" customHeight="1">
      <c r="A807" t="inlineStr">
        <is>
          <t>A 59220-2022</t>
        </is>
      </c>
      <c r="B807" s="1" t="n">
        <v>44904.53423611111</v>
      </c>
      <c r="C807" s="1" t="n">
        <v>45895</v>
      </c>
      <c r="D807" t="inlineStr">
        <is>
          <t>KALMAR LÄN</t>
        </is>
      </c>
      <c r="E807" t="inlineStr">
        <is>
          <t>VÄSTERVIK</t>
        </is>
      </c>
      <c r="G807" t="n">
        <v>1.3</v>
      </c>
      <c r="H807" t="n">
        <v>0</v>
      </c>
      <c r="I807" t="n">
        <v>0</v>
      </c>
      <c r="J807" t="n">
        <v>0</v>
      </c>
      <c r="K807" t="n">
        <v>0</v>
      </c>
      <c r="L807" t="n">
        <v>0</v>
      </c>
      <c r="M807" t="n">
        <v>0</v>
      </c>
      <c r="N807" t="n">
        <v>0</v>
      </c>
      <c r="O807" t="n">
        <v>0</v>
      </c>
      <c r="P807" t="n">
        <v>0</v>
      </c>
      <c r="Q807" t="n">
        <v>0</v>
      </c>
      <c r="R807" s="2" t="inlineStr"/>
    </row>
    <row r="808" ht="15" customHeight="1">
      <c r="A808" t="inlineStr">
        <is>
          <t>A 7381-2025</t>
        </is>
      </c>
      <c r="B808" s="1" t="n">
        <v>45705.32234953704</v>
      </c>
      <c r="C808" s="1" t="n">
        <v>45895</v>
      </c>
      <c r="D808" t="inlineStr">
        <is>
          <t>KALMAR LÄN</t>
        </is>
      </c>
      <c r="E808" t="inlineStr">
        <is>
          <t>VÄSTERVIK</t>
        </is>
      </c>
      <c r="F808" t="inlineStr">
        <is>
          <t>Kyrkan</t>
        </is>
      </c>
      <c r="G808" t="n">
        <v>4.1</v>
      </c>
      <c r="H808" t="n">
        <v>0</v>
      </c>
      <c r="I808" t="n">
        <v>0</v>
      </c>
      <c r="J808" t="n">
        <v>0</v>
      </c>
      <c r="K808" t="n">
        <v>0</v>
      </c>
      <c r="L808" t="n">
        <v>0</v>
      </c>
      <c r="M808" t="n">
        <v>0</v>
      </c>
      <c r="N808" t="n">
        <v>0</v>
      </c>
      <c r="O808" t="n">
        <v>0</v>
      </c>
      <c r="P808" t="n">
        <v>0</v>
      </c>
      <c r="Q808" t="n">
        <v>0</v>
      </c>
      <c r="R808" s="2" t="inlineStr"/>
    </row>
    <row r="809" ht="15" customHeight="1">
      <c r="A809" t="inlineStr">
        <is>
          <t>A 37526-2025</t>
        </is>
      </c>
      <c r="B809" s="1" t="n">
        <v>45877</v>
      </c>
      <c r="C809" s="1" t="n">
        <v>45895</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17315-2023</t>
        </is>
      </c>
      <c r="B810" s="1" t="n">
        <v>45035.54475694444</v>
      </c>
      <c r="C810" s="1" t="n">
        <v>45895</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41342-2023</t>
        </is>
      </c>
      <c r="B811" s="1" t="n">
        <v>45174.72416666667</v>
      </c>
      <c r="C811" s="1" t="n">
        <v>45895</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13490-2022</t>
        </is>
      </c>
      <c r="B812" s="1" t="n">
        <v>44646</v>
      </c>
      <c r="C812" s="1" t="n">
        <v>45895</v>
      </c>
      <c r="D812" t="inlineStr">
        <is>
          <t>KALMAR LÄN</t>
        </is>
      </c>
      <c r="E812" t="inlineStr">
        <is>
          <t>VÄSTERVIK</t>
        </is>
      </c>
      <c r="G812" t="n">
        <v>2.4</v>
      </c>
      <c r="H812" t="n">
        <v>0</v>
      </c>
      <c r="I812" t="n">
        <v>0</v>
      </c>
      <c r="J812" t="n">
        <v>0</v>
      </c>
      <c r="K812" t="n">
        <v>0</v>
      </c>
      <c r="L812" t="n">
        <v>0</v>
      </c>
      <c r="M812" t="n">
        <v>0</v>
      </c>
      <c r="N812" t="n">
        <v>0</v>
      </c>
      <c r="O812" t="n">
        <v>0</v>
      </c>
      <c r="P812" t="n">
        <v>0</v>
      </c>
      <c r="Q812" t="n">
        <v>0</v>
      </c>
      <c r="R812" s="2" t="inlineStr"/>
    </row>
    <row r="813" ht="15" customHeight="1">
      <c r="A813" t="inlineStr">
        <is>
          <t>A 5684-2023</t>
        </is>
      </c>
      <c r="B813" s="1" t="n">
        <v>44960.73170138889</v>
      </c>
      <c r="C813" s="1" t="n">
        <v>45895</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14529-2022</t>
        </is>
      </c>
      <c r="B814" s="1" t="n">
        <v>44655</v>
      </c>
      <c r="C814" s="1" t="n">
        <v>45895</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56617-2021</t>
        </is>
      </c>
      <c r="B815" s="1" t="n">
        <v>44480</v>
      </c>
      <c r="C815" s="1" t="n">
        <v>45895</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32495-2025</t>
        </is>
      </c>
      <c r="B816" s="1" t="n">
        <v>45838.4546875</v>
      </c>
      <c r="C816" s="1" t="n">
        <v>45895</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66328-2020</t>
        </is>
      </c>
      <c r="B817" s="1" t="n">
        <v>44176</v>
      </c>
      <c r="C817" s="1" t="n">
        <v>45895</v>
      </c>
      <c r="D817" t="inlineStr">
        <is>
          <t>KALMAR LÄN</t>
        </is>
      </c>
      <c r="E817" t="inlineStr">
        <is>
          <t>VÄSTERVIK</t>
        </is>
      </c>
      <c r="G817" t="n">
        <v>1.4</v>
      </c>
      <c r="H817" t="n">
        <v>0</v>
      </c>
      <c r="I817" t="n">
        <v>0</v>
      </c>
      <c r="J817" t="n">
        <v>0</v>
      </c>
      <c r="K817" t="n">
        <v>0</v>
      </c>
      <c r="L817" t="n">
        <v>0</v>
      </c>
      <c r="M817" t="n">
        <v>0</v>
      </c>
      <c r="N817" t="n">
        <v>0</v>
      </c>
      <c r="O817" t="n">
        <v>0</v>
      </c>
      <c r="P817" t="n">
        <v>0</v>
      </c>
      <c r="Q817" t="n">
        <v>0</v>
      </c>
      <c r="R817" s="2" t="inlineStr"/>
    </row>
    <row r="818" ht="15" customHeight="1">
      <c r="A818" t="inlineStr">
        <is>
          <t>A 34672-2022</t>
        </is>
      </c>
      <c r="B818" s="1" t="n">
        <v>44795.48444444445</v>
      </c>
      <c r="C818" s="1" t="n">
        <v>45895</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2866-2025</t>
        </is>
      </c>
      <c r="B819" s="1" t="n">
        <v>45677.67711805556</v>
      </c>
      <c r="C819" s="1" t="n">
        <v>45895</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row>
    <row r="820" ht="15" customHeight="1">
      <c r="A820" t="inlineStr">
        <is>
          <t>A 3492-2021</t>
        </is>
      </c>
      <c r="B820" s="1" t="n">
        <v>44218.60984953704</v>
      </c>
      <c r="C820" s="1" t="n">
        <v>45895</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32778-2025</t>
        </is>
      </c>
      <c r="B821" s="1" t="n">
        <v>45839.46924768519</v>
      </c>
      <c r="C821" s="1" t="n">
        <v>45895</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42130-2022</t>
        </is>
      </c>
      <c r="B822" s="1" t="n">
        <v>44830</v>
      </c>
      <c r="C822" s="1" t="n">
        <v>45895</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942-2024</t>
        </is>
      </c>
      <c r="B823" s="1" t="n">
        <v>45301.53930555555</v>
      </c>
      <c r="C823" s="1" t="n">
        <v>45895</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25403-2023</t>
        </is>
      </c>
      <c r="B824" s="1" t="n">
        <v>45079</v>
      </c>
      <c r="C824" s="1" t="n">
        <v>45895</v>
      </c>
      <c r="D824" t="inlineStr">
        <is>
          <t>KALMAR LÄN</t>
        </is>
      </c>
      <c r="E824" t="inlineStr">
        <is>
          <t>VÄSTERVIK</t>
        </is>
      </c>
      <c r="G824" t="n">
        <v>4.3</v>
      </c>
      <c r="H824" t="n">
        <v>0</v>
      </c>
      <c r="I824" t="n">
        <v>0</v>
      </c>
      <c r="J824" t="n">
        <v>0</v>
      </c>
      <c r="K824" t="n">
        <v>0</v>
      </c>
      <c r="L824" t="n">
        <v>0</v>
      </c>
      <c r="M824" t="n">
        <v>0</v>
      </c>
      <c r="N824" t="n">
        <v>0</v>
      </c>
      <c r="O824" t="n">
        <v>0</v>
      </c>
      <c r="P824" t="n">
        <v>0</v>
      </c>
      <c r="Q824" t="n">
        <v>0</v>
      </c>
      <c r="R824" s="2" t="inlineStr"/>
    </row>
    <row r="825" ht="15" customHeight="1">
      <c r="A825" t="inlineStr">
        <is>
          <t>A 34655-2023</t>
        </is>
      </c>
      <c r="B825" s="1" t="n">
        <v>45140</v>
      </c>
      <c r="C825" s="1" t="n">
        <v>45895</v>
      </c>
      <c r="D825" t="inlineStr">
        <is>
          <t>KALMAR LÄN</t>
        </is>
      </c>
      <c r="E825" t="inlineStr">
        <is>
          <t>VÄSTERVIK</t>
        </is>
      </c>
      <c r="G825" t="n">
        <v>3.6</v>
      </c>
      <c r="H825" t="n">
        <v>0</v>
      </c>
      <c r="I825" t="n">
        <v>0</v>
      </c>
      <c r="J825" t="n">
        <v>0</v>
      </c>
      <c r="K825" t="n">
        <v>0</v>
      </c>
      <c r="L825" t="n">
        <v>0</v>
      </c>
      <c r="M825" t="n">
        <v>0</v>
      </c>
      <c r="N825" t="n">
        <v>0</v>
      </c>
      <c r="O825" t="n">
        <v>0</v>
      </c>
      <c r="P825" t="n">
        <v>0</v>
      </c>
      <c r="Q825" t="n">
        <v>0</v>
      </c>
      <c r="R825" s="2" t="inlineStr"/>
    </row>
    <row r="826" ht="15" customHeight="1">
      <c r="A826" t="inlineStr">
        <is>
          <t>A 2951-2025</t>
        </is>
      </c>
      <c r="B826" s="1" t="n">
        <v>45678</v>
      </c>
      <c r="C826" s="1" t="n">
        <v>45895</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12455-2025</t>
        </is>
      </c>
      <c r="B827" s="1" t="n">
        <v>45730</v>
      </c>
      <c r="C827" s="1" t="n">
        <v>45895</v>
      </c>
      <c r="D827" t="inlineStr">
        <is>
          <t>KALMAR LÄN</t>
        </is>
      </c>
      <c r="E827" t="inlineStr">
        <is>
          <t>VÄSTERVIK</t>
        </is>
      </c>
      <c r="G827" t="n">
        <v>1.1</v>
      </c>
      <c r="H827" t="n">
        <v>0</v>
      </c>
      <c r="I827" t="n">
        <v>0</v>
      </c>
      <c r="J827" t="n">
        <v>0</v>
      </c>
      <c r="K827" t="n">
        <v>0</v>
      </c>
      <c r="L827" t="n">
        <v>0</v>
      </c>
      <c r="M827" t="n">
        <v>0</v>
      </c>
      <c r="N827" t="n">
        <v>0</v>
      </c>
      <c r="O827" t="n">
        <v>0</v>
      </c>
      <c r="P827" t="n">
        <v>0</v>
      </c>
      <c r="Q827" t="n">
        <v>0</v>
      </c>
      <c r="R827" s="2" t="inlineStr"/>
    </row>
    <row r="828" ht="15" customHeight="1">
      <c r="A828" t="inlineStr">
        <is>
          <t>A 10419-2023</t>
        </is>
      </c>
      <c r="B828" s="1" t="n">
        <v>44987</v>
      </c>
      <c r="C828" s="1" t="n">
        <v>45895</v>
      </c>
      <c r="D828" t="inlineStr">
        <is>
          <t>KALMAR LÄN</t>
        </is>
      </c>
      <c r="E828" t="inlineStr">
        <is>
          <t>VÄSTERVIK</t>
        </is>
      </c>
      <c r="G828" t="n">
        <v>0.4</v>
      </c>
      <c r="H828" t="n">
        <v>0</v>
      </c>
      <c r="I828" t="n">
        <v>0</v>
      </c>
      <c r="J828" t="n">
        <v>0</v>
      </c>
      <c r="K828" t="n">
        <v>0</v>
      </c>
      <c r="L828" t="n">
        <v>0</v>
      </c>
      <c r="M828" t="n">
        <v>0</v>
      </c>
      <c r="N828" t="n">
        <v>0</v>
      </c>
      <c r="O828" t="n">
        <v>0</v>
      </c>
      <c r="P828" t="n">
        <v>0</v>
      </c>
      <c r="Q828" t="n">
        <v>0</v>
      </c>
      <c r="R828" s="2" t="inlineStr"/>
    </row>
    <row r="829" ht="15" customHeight="1">
      <c r="A829" t="inlineStr">
        <is>
          <t>A 10406-2022</t>
        </is>
      </c>
      <c r="B829" s="1" t="n">
        <v>44623</v>
      </c>
      <c r="C829" s="1" t="n">
        <v>45895</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61649-2022</t>
        </is>
      </c>
      <c r="B830" s="1" t="n">
        <v>44916.90010416666</v>
      </c>
      <c r="C830" s="1" t="n">
        <v>45895</v>
      </c>
      <c r="D830" t="inlineStr">
        <is>
          <t>KALMAR LÄN</t>
        </is>
      </c>
      <c r="E830" t="inlineStr">
        <is>
          <t>VÄSTERVIK</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47267-2023</t>
        </is>
      </c>
      <c r="B831" s="1" t="n">
        <v>45202.42667824074</v>
      </c>
      <c r="C831" s="1" t="n">
        <v>45895</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32400-2025</t>
        </is>
      </c>
      <c r="B832" s="1" t="n">
        <v>45838.25818287037</v>
      </c>
      <c r="C832" s="1" t="n">
        <v>45895</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29404-2024</t>
        </is>
      </c>
      <c r="B833" s="1" t="n">
        <v>45483</v>
      </c>
      <c r="C833" s="1" t="n">
        <v>45895</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37774-2025</t>
        </is>
      </c>
      <c r="B834" s="1" t="n">
        <v>45880</v>
      </c>
      <c r="C834" s="1" t="n">
        <v>45895</v>
      </c>
      <c r="D834" t="inlineStr">
        <is>
          <t>KALMAR LÄN</t>
        </is>
      </c>
      <c r="E834" t="inlineStr">
        <is>
          <t>VÄSTERVIK</t>
        </is>
      </c>
      <c r="G834" t="n">
        <v>1.3</v>
      </c>
      <c r="H834" t="n">
        <v>0</v>
      </c>
      <c r="I834" t="n">
        <v>0</v>
      </c>
      <c r="J834" t="n">
        <v>0</v>
      </c>
      <c r="K834" t="n">
        <v>0</v>
      </c>
      <c r="L834" t="n">
        <v>0</v>
      </c>
      <c r="M834" t="n">
        <v>0</v>
      </c>
      <c r="N834" t="n">
        <v>0</v>
      </c>
      <c r="O834" t="n">
        <v>0</v>
      </c>
      <c r="P834" t="n">
        <v>0</v>
      </c>
      <c r="Q834" t="n">
        <v>0</v>
      </c>
      <c r="R834" s="2" t="inlineStr"/>
    </row>
    <row r="835" ht="15" customHeight="1">
      <c r="A835" t="inlineStr">
        <is>
          <t>A 4496-2022</t>
        </is>
      </c>
      <c r="B835" s="1" t="n">
        <v>44589.67060185185</v>
      </c>
      <c r="C835" s="1" t="n">
        <v>45895</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69098-2020</t>
        </is>
      </c>
      <c r="B836" s="1" t="n">
        <v>44187</v>
      </c>
      <c r="C836" s="1" t="n">
        <v>45895</v>
      </c>
      <c r="D836" t="inlineStr">
        <is>
          <t>KALMAR LÄN</t>
        </is>
      </c>
      <c r="E836" t="inlineStr">
        <is>
          <t>VÄSTERVIK</t>
        </is>
      </c>
      <c r="G836" t="n">
        <v>1.9</v>
      </c>
      <c r="H836" t="n">
        <v>0</v>
      </c>
      <c r="I836" t="n">
        <v>0</v>
      </c>
      <c r="J836" t="n">
        <v>0</v>
      </c>
      <c r="K836" t="n">
        <v>0</v>
      </c>
      <c r="L836" t="n">
        <v>0</v>
      </c>
      <c r="M836" t="n">
        <v>0</v>
      </c>
      <c r="N836" t="n">
        <v>0</v>
      </c>
      <c r="O836" t="n">
        <v>0</v>
      </c>
      <c r="P836" t="n">
        <v>0</v>
      </c>
      <c r="Q836" t="n">
        <v>0</v>
      </c>
      <c r="R836" s="2" t="inlineStr"/>
    </row>
    <row r="837" ht="15" customHeight="1">
      <c r="A837" t="inlineStr">
        <is>
          <t>A 5769-2023</t>
        </is>
      </c>
      <c r="B837" s="1" t="n">
        <v>44963.37194444444</v>
      </c>
      <c r="C837" s="1" t="n">
        <v>45895</v>
      </c>
      <c r="D837" t="inlineStr">
        <is>
          <t>KALMAR LÄN</t>
        </is>
      </c>
      <c r="E837" t="inlineStr">
        <is>
          <t>VÄSTERVIK</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14151-2021</t>
        </is>
      </c>
      <c r="B838" s="1" t="n">
        <v>44278.41052083333</v>
      </c>
      <c r="C838" s="1" t="n">
        <v>45895</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59695-2023</t>
        </is>
      </c>
      <c r="B839" s="1" t="n">
        <v>45256.85107638889</v>
      </c>
      <c r="C839" s="1" t="n">
        <v>45895</v>
      </c>
      <c r="D839" t="inlineStr">
        <is>
          <t>KALMAR LÄN</t>
        </is>
      </c>
      <c r="E839" t="inlineStr">
        <is>
          <t>VÄSTERVIK</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14080-2025</t>
        </is>
      </c>
      <c r="B840" s="1" t="n">
        <v>45740.43785879629</v>
      </c>
      <c r="C840" s="1" t="n">
        <v>45895</v>
      </c>
      <c r="D840" t="inlineStr">
        <is>
          <t>KALMAR LÄN</t>
        </is>
      </c>
      <c r="E840" t="inlineStr">
        <is>
          <t>VÄSTERVIK</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33922-2025</t>
        </is>
      </c>
      <c r="B841" s="1" t="n">
        <v>45842.61993055556</v>
      </c>
      <c r="C841" s="1" t="n">
        <v>45895</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33928-2025</t>
        </is>
      </c>
      <c r="B842" s="1" t="n">
        <v>45842.62488425926</v>
      </c>
      <c r="C842" s="1" t="n">
        <v>45895</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7090-2024</t>
        </is>
      </c>
      <c r="B843" s="1" t="n">
        <v>45343.80621527778</v>
      </c>
      <c r="C843" s="1" t="n">
        <v>45895</v>
      </c>
      <c r="D843" t="inlineStr">
        <is>
          <t>KALMAR LÄN</t>
        </is>
      </c>
      <c r="E843" t="inlineStr">
        <is>
          <t>VÄSTERVIK</t>
        </is>
      </c>
      <c r="G843" t="n">
        <v>1.2</v>
      </c>
      <c r="H843" t="n">
        <v>0</v>
      </c>
      <c r="I843" t="n">
        <v>0</v>
      </c>
      <c r="J843" t="n">
        <v>0</v>
      </c>
      <c r="K843" t="n">
        <v>0</v>
      </c>
      <c r="L843" t="n">
        <v>0</v>
      </c>
      <c r="M843" t="n">
        <v>0</v>
      </c>
      <c r="N843" t="n">
        <v>0</v>
      </c>
      <c r="O843" t="n">
        <v>0</v>
      </c>
      <c r="P843" t="n">
        <v>0</v>
      </c>
      <c r="Q843" t="n">
        <v>0</v>
      </c>
      <c r="R843" s="2" t="inlineStr"/>
    </row>
    <row r="844" ht="15" customHeight="1">
      <c r="A844" t="inlineStr">
        <is>
          <t>A 56046-2023</t>
        </is>
      </c>
      <c r="B844" s="1" t="n">
        <v>45240.45217592592</v>
      </c>
      <c r="C844" s="1" t="n">
        <v>45895</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47124-2023</t>
        </is>
      </c>
      <c r="B845" s="1" t="n">
        <v>45201</v>
      </c>
      <c r="C845" s="1" t="n">
        <v>45895</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20483-2025</t>
        </is>
      </c>
      <c r="B846" s="1" t="n">
        <v>45775.55954861111</v>
      </c>
      <c r="C846" s="1" t="n">
        <v>45895</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33903-2025</t>
        </is>
      </c>
      <c r="B847" s="1" t="n">
        <v>45842.59581018519</v>
      </c>
      <c r="C847" s="1" t="n">
        <v>45895</v>
      </c>
      <c r="D847" t="inlineStr">
        <is>
          <t>KALMAR LÄN</t>
        </is>
      </c>
      <c r="E847" t="inlineStr">
        <is>
          <t>VÄSTERVIK</t>
        </is>
      </c>
      <c r="G847" t="n">
        <v>3.7</v>
      </c>
      <c r="H847" t="n">
        <v>0</v>
      </c>
      <c r="I847" t="n">
        <v>0</v>
      </c>
      <c r="J847" t="n">
        <v>0</v>
      </c>
      <c r="K847" t="n">
        <v>0</v>
      </c>
      <c r="L847" t="n">
        <v>0</v>
      </c>
      <c r="M847" t="n">
        <v>0</v>
      </c>
      <c r="N847" t="n">
        <v>0</v>
      </c>
      <c r="O847" t="n">
        <v>0</v>
      </c>
      <c r="P847" t="n">
        <v>0</v>
      </c>
      <c r="Q847" t="n">
        <v>0</v>
      </c>
      <c r="R847" s="2" t="inlineStr"/>
    </row>
    <row r="848" ht="15" customHeight="1">
      <c r="A848" t="inlineStr">
        <is>
          <t>A 33924-2025</t>
        </is>
      </c>
      <c r="B848" s="1" t="n">
        <v>45842.62152777778</v>
      </c>
      <c r="C848" s="1" t="n">
        <v>45895</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47945-2023</t>
        </is>
      </c>
      <c r="B849" s="1" t="n">
        <v>45204.5684837963</v>
      </c>
      <c r="C849" s="1" t="n">
        <v>45895</v>
      </c>
      <c r="D849" t="inlineStr">
        <is>
          <t>KALMAR LÄN</t>
        </is>
      </c>
      <c r="E849" t="inlineStr">
        <is>
          <t>VÄSTERVIK</t>
        </is>
      </c>
      <c r="G849" t="n">
        <v>2</v>
      </c>
      <c r="H849" t="n">
        <v>0</v>
      </c>
      <c r="I849" t="n">
        <v>0</v>
      </c>
      <c r="J849" t="n">
        <v>0</v>
      </c>
      <c r="K849" t="n">
        <v>0</v>
      </c>
      <c r="L849" t="n">
        <v>0</v>
      </c>
      <c r="M849" t="n">
        <v>0</v>
      </c>
      <c r="N849" t="n">
        <v>0</v>
      </c>
      <c r="O849" t="n">
        <v>0</v>
      </c>
      <c r="P849" t="n">
        <v>0</v>
      </c>
      <c r="Q849" t="n">
        <v>0</v>
      </c>
      <c r="R849" s="2" t="inlineStr"/>
    </row>
    <row r="850" ht="15" customHeight="1">
      <c r="A850" t="inlineStr">
        <is>
          <t>A 33836-2025</t>
        </is>
      </c>
      <c r="B850" s="1" t="n">
        <v>45842.47616898148</v>
      </c>
      <c r="C850" s="1" t="n">
        <v>45895</v>
      </c>
      <c r="D850" t="inlineStr">
        <is>
          <t>KALMAR LÄN</t>
        </is>
      </c>
      <c r="E850" t="inlineStr">
        <is>
          <t>VÄSTERVIK</t>
        </is>
      </c>
      <c r="G850" t="n">
        <v>4.2</v>
      </c>
      <c r="H850" t="n">
        <v>0</v>
      </c>
      <c r="I850" t="n">
        <v>0</v>
      </c>
      <c r="J850" t="n">
        <v>0</v>
      </c>
      <c r="K850" t="n">
        <v>0</v>
      </c>
      <c r="L850" t="n">
        <v>0</v>
      </c>
      <c r="M850" t="n">
        <v>0</v>
      </c>
      <c r="N850" t="n">
        <v>0</v>
      </c>
      <c r="O850" t="n">
        <v>0</v>
      </c>
      <c r="P850" t="n">
        <v>0</v>
      </c>
      <c r="Q850" t="n">
        <v>0</v>
      </c>
      <c r="R850" s="2" t="inlineStr"/>
    </row>
    <row r="851" ht="15" customHeight="1">
      <c r="A851" t="inlineStr">
        <is>
          <t>A 46790-2022</t>
        </is>
      </c>
      <c r="B851" s="1" t="n">
        <v>44851</v>
      </c>
      <c r="C851" s="1" t="n">
        <v>45895</v>
      </c>
      <c r="D851" t="inlineStr">
        <is>
          <t>KALMAR LÄN</t>
        </is>
      </c>
      <c r="E851" t="inlineStr">
        <is>
          <t>VÄSTERVIK</t>
        </is>
      </c>
      <c r="G851" t="n">
        <v>9.9</v>
      </c>
      <c r="H851" t="n">
        <v>0</v>
      </c>
      <c r="I851" t="n">
        <v>0</v>
      </c>
      <c r="J851" t="n">
        <v>0</v>
      </c>
      <c r="K851" t="n">
        <v>0</v>
      </c>
      <c r="L851" t="n">
        <v>0</v>
      </c>
      <c r="M851" t="n">
        <v>0</v>
      </c>
      <c r="N851" t="n">
        <v>0</v>
      </c>
      <c r="O851" t="n">
        <v>0</v>
      </c>
      <c r="P851" t="n">
        <v>0</v>
      </c>
      <c r="Q851" t="n">
        <v>0</v>
      </c>
      <c r="R851" s="2" t="inlineStr"/>
    </row>
    <row r="852" ht="15" customHeight="1">
      <c r="A852" t="inlineStr">
        <is>
          <t>A 33921-2025</t>
        </is>
      </c>
      <c r="B852" s="1" t="n">
        <v>45842.61626157408</v>
      </c>
      <c r="C852" s="1" t="n">
        <v>45895</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50127-2023</t>
        </is>
      </c>
      <c r="B853" s="1" t="n">
        <v>45215.65043981482</v>
      </c>
      <c r="C853" s="1" t="n">
        <v>45895</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5510-2021</t>
        </is>
      </c>
      <c r="B854" s="1" t="n">
        <v>44230</v>
      </c>
      <c r="C854" s="1" t="n">
        <v>45895</v>
      </c>
      <c r="D854" t="inlineStr">
        <is>
          <t>KALMAR LÄN</t>
        </is>
      </c>
      <c r="E854" t="inlineStr">
        <is>
          <t>VÄSTERVIK</t>
        </is>
      </c>
      <c r="G854" t="n">
        <v>3.2</v>
      </c>
      <c r="H854" t="n">
        <v>0</v>
      </c>
      <c r="I854" t="n">
        <v>0</v>
      </c>
      <c r="J854" t="n">
        <v>0</v>
      </c>
      <c r="K854" t="n">
        <v>0</v>
      </c>
      <c r="L854" t="n">
        <v>0</v>
      </c>
      <c r="M854" t="n">
        <v>0</v>
      </c>
      <c r="N854" t="n">
        <v>0</v>
      </c>
      <c r="O854" t="n">
        <v>0</v>
      </c>
      <c r="P854" t="n">
        <v>0</v>
      </c>
      <c r="Q854" t="n">
        <v>0</v>
      </c>
      <c r="R854" s="2" t="inlineStr"/>
    </row>
    <row r="855" ht="15" customHeight="1">
      <c r="A855" t="inlineStr">
        <is>
          <t>A 15379-2025</t>
        </is>
      </c>
      <c r="B855" s="1" t="n">
        <v>45747.40813657407</v>
      </c>
      <c r="C855" s="1" t="n">
        <v>45895</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33842-2025</t>
        </is>
      </c>
      <c r="B856" s="1" t="n">
        <v>45842.48217592593</v>
      </c>
      <c r="C856" s="1" t="n">
        <v>45895</v>
      </c>
      <c r="D856" t="inlineStr">
        <is>
          <t>KALMAR LÄN</t>
        </is>
      </c>
      <c r="E856" t="inlineStr">
        <is>
          <t>VÄSTERVIK</t>
        </is>
      </c>
      <c r="G856" t="n">
        <v>2</v>
      </c>
      <c r="H856" t="n">
        <v>0</v>
      </c>
      <c r="I856" t="n">
        <v>0</v>
      </c>
      <c r="J856" t="n">
        <v>0</v>
      </c>
      <c r="K856" t="n">
        <v>0</v>
      </c>
      <c r="L856" t="n">
        <v>0</v>
      </c>
      <c r="M856" t="n">
        <v>0</v>
      </c>
      <c r="N856" t="n">
        <v>0</v>
      </c>
      <c r="O856" t="n">
        <v>0</v>
      </c>
      <c r="P856" t="n">
        <v>0</v>
      </c>
      <c r="Q856" t="n">
        <v>0</v>
      </c>
      <c r="R856" s="2" t="inlineStr"/>
    </row>
    <row r="857" ht="15" customHeight="1">
      <c r="A857" t="inlineStr">
        <is>
          <t>A 33931-2025</t>
        </is>
      </c>
      <c r="B857" s="1" t="n">
        <v>45842.63288194445</v>
      </c>
      <c r="C857" s="1" t="n">
        <v>45895</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33907-2025</t>
        </is>
      </c>
      <c r="B858" s="1" t="n">
        <v>45842.59880787037</v>
      </c>
      <c r="C858" s="1" t="n">
        <v>45895</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62304-2022</t>
        </is>
      </c>
      <c r="B859" s="1" t="n">
        <v>44923.46215277778</v>
      </c>
      <c r="C859" s="1" t="n">
        <v>45895</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62306-2022</t>
        </is>
      </c>
      <c r="B860" s="1" t="n">
        <v>44923</v>
      </c>
      <c r="C860" s="1" t="n">
        <v>45895</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23080-2023</t>
        </is>
      </c>
      <c r="B861" s="1" t="n">
        <v>45075</v>
      </c>
      <c r="C861" s="1" t="n">
        <v>45895</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59221-2022</t>
        </is>
      </c>
      <c r="B862" s="1" t="n">
        <v>44904.53858796296</v>
      </c>
      <c r="C862" s="1" t="n">
        <v>45895</v>
      </c>
      <c r="D862" t="inlineStr">
        <is>
          <t>KALMAR LÄN</t>
        </is>
      </c>
      <c r="E862" t="inlineStr">
        <is>
          <t>VÄSTERVIK</t>
        </is>
      </c>
      <c r="G862" t="n">
        <v>6.1</v>
      </c>
      <c r="H862" t="n">
        <v>0</v>
      </c>
      <c r="I862" t="n">
        <v>0</v>
      </c>
      <c r="J862" t="n">
        <v>0</v>
      </c>
      <c r="K862" t="n">
        <v>0</v>
      </c>
      <c r="L862" t="n">
        <v>0</v>
      </c>
      <c r="M862" t="n">
        <v>0</v>
      </c>
      <c r="N862" t="n">
        <v>0</v>
      </c>
      <c r="O862" t="n">
        <v>0</v>
      </c>
      <c r="P862" t="n">
        <v>0</v>
      </c>
      <c r="Q862" t="n">
        <v>0</v>
      </c>
      <c r="R862" s="2" t="inlineStr"/>
    </row>
    <row r="863" ht="15" customHeight="1">
      <c r="A863" t="inlineStr">
        <is>
          <t>A 23024-2025</t>
        </is>
      </c>
      <c r="B863" s="1" t="n">
        <v>45790.65615740741</v>
      </c>
      <c r="C863" s="1" t="n">
        <v>45895</v>
      </c>
      <c r="D863" t="inlineStr">
        <is>
          <t>KALMAR LÄN</t>
        </is>
      </c>
      <c r="E863" t="inlineStr">
        <is>
          <t>VÄSTERVIK</t>
        </is>
      </c>
      <c r="G863" t="n">
        <v>1.7</v>
      </c>
      <c r="H863" t="n">
        <v>0</v>
      </c>
      <c r="I863" t="n">
        <v>0</v>
      </c>
      <c r="J863" t="n">
        <v>0</v>
      </c>
      <c r="K863" t="n">
        <v>0</v>
      </c>
      <c r="L863" t="n">
        <v>0</v>
      </c>
      <c r="M863" t="n">
        <v>0</v>
      </c>
      <c r="N863" t="n">
        <v>0</v>
      </c>
      <c r="O863" t="n">
        <v>0</v>
      </c>
      <c r="P863" t="n">
        <v>0</v>
      </c>
      <c r="Q863" t="n">
        <v>0</v>
      </c>
      <c r="R863" s="2" t="inlineStr"/>
    </row>
    <row r="864" ht="15" customHeight="1">
      <c r="A864" t="inlineStr">
        <is>
          <t>A 20204-2021</t>
        </is>
      </c>
      <c r="B864" s="1" t="n">
        <v>44314</v>
      </c>
      <c r="C864" s="1" t="n">
        <v>45895</v>
      </c>
      <c r="D864" t="inlineStr">
        <is>
          <t>KALMAR LÄN</t>
        </is>
      </c>
      <c r="E864" t="inlineStr">
        <is>
          <t>VÄSTERVIK</t>
        </is>
      </c>
      <c r="F864" t="inlineStr">
        <is>
          <t>Holmen skog AB</t>
        </is>
      </c>
      <c r="G864" t="n">
        <v>12.1</v>
      </c>
      <c r="H864" t="n">
        <v>0</v>
      </c>
      <c r="I864" t="n">
        <v>0</v>
      </c>
      <c r="J864" t="n">
        <v>0</v>
      </c>
      <c r="K864" t="n">
        <v>0</v>
      </c>
      <c r="L864" t="n">
        <v>0</v>
      </c>
      <c r="M864" t="n">
        <v>0</v>
      </c>
      <c r="N864" t="n">
        <v>0</v>
      </c>
      <c r="O864" t="n">
        <v>0</v>
      </c>
      <c r="P864" t="n">
        <v>0</v>
      </c>
      <c r="Q864" t="n">
        <v>0</v>
      </c>
      <c r="R864" s="2" t="inlineStr"/>
    </row>
    <row r="865" ht="15" customHeight="1">
      <c r="A865" t="inlineStr">
        <is>
          <t>A 46561-2022</t>
        </is>
      </c>
      <c r="B865" s="1" t="n">
        <v>44848</v>
      </c>
      <c r="C865" s="1" t="n">
        <v>45895</v>
      </c>
      <c r="D865" t="inlineStr">
        <is>
          <t>KALMAR LÄN</t>
        </is>
      </c>
      <c r="E865" t="inlineStr">
        <is>
          <t>VÄSTERVIK</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11741-2023</t>
        </is>
      </c>
      <c r="B866" s="1" t="n">
        <v>44994.58689814815</v>
      </c>
      <c r="C866" s="1" t="n">
        <v>45895</v>
      </c>
      <c r="D866" t="inlineStr">
        <is>
          <t>KALMAR LÄN</t>
        </is>
      </c>
      <c r="E866" t="inlineStr">
        <is>
          <t>VÄSTERVIK</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34162-2025</t>
        </is>
      </c>
      <c r="B867" s="1" t="n">
        <v>45845.57983796296</v>
      </c>
      <c r="C867" s="1" t="n">
        <v>45895</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34289-2025</t>
        </is>
      </c>
      <c r="B868" s="1" t="n">
        <v>45846.334375</v>
      </c>
      <c r="C868" s="1" t="n">
        <v>45895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34292-2025</t>
        </is>
      </c>
      <c r="B869" s="1" t="n">
        <v>45846.34083333334</v>
      </c>
      <c r="C869" s="1" t="n">
        <v>45895</v>
      </c>
      <c r="D869" t="inlineStr">
        <is>
          <t>KALMAR LÄN</t>
        </is>
      </c>
      <c r="E869" t="inlineStr">
        <is>
          <t>VÄSTERVIK</t>
        </is>
      </c>
      <c r="G869" t="n">
        <v>3.4</v>
      </c>
      <c r="H869" t="n">
        <v>0</v>
      </c>
      <c r="I869" t="n">
        <v>0</v>
      </c>
      <c r="J869" t="n">
        <v>0</v>
      </c>
      <c r="K869" t="n">
        <v>0</v>
      </c>
      <c r="L869" t="n">
        <v>0</v>
      </c>
      <c r="M869" t="n">
        <v>0</v>
      </c>
      <c r="N869" t="n">
        <v>0</v>
      </c>
      <c r="O869" t="n">
        <v>0</v>
      </c>
      <c r="P869" t="n">
        <v>0</v>
      </c>
      <c r="Q869" t="n">
        <v>0</v>
      </c>
      <c r="R869" s="2" t="inlineStr"/>
    </row>
    <row r="870" ht="15" customHeight="1">
      <c r="A870" t="inlineStr">
        <is>
          <t>A 3555-2021</t>
        </is>
      </c>
      <c r="B870" s="1" t="n">
        <v>44218</v>
      </c>
      <c r="C870" s="1" t="n">
        <v>45895</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18884-2025</t>
        </is>
      </c>
      <c r="B871" s="1" t="n">
        <v>45764.4417824074</v>
      </c>
      <c r="C871" s="1" t="n">
        <v>45895</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11120-2025</t>
        </is>
      </c>
      <c r="B872" s="1" t="n">
        <v>45723.63655092593</v>
      </c>
      <c r="C872" s="1" t="n">
        <v>45895</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11122-2025</t>
        </is>
      </c>
      <c r="B873" s="1" t="n">
        <v>45723.63827546296</v>
      </c>
      <c r="C873" s="1" t="n">
        <v>45895</v>
      </c>
      <c r="D873" t="inlineStr">
        <is>
          <t>KALMAR LÄN</t>
        </is>
      </c>
      <c r="E873" t="inlineStr">
        <is>
          <t>VÄSTERVIK</t>
        </is>
      </c>
      <c r="G873" t="n">
        <v>0.3</v>
      </c>
      <c r="H873" t="n">
        <v>0</v>
      </c>
      <c r="I873" t="n">
        <v>0</v>
      </c>
      <c r="J873" t="n">
        <v>0</v>
      </c>
      <c r="K873" t="n">
        <v>0</v>
      </c>
      <c r="L873" t="n">
        <v>0</v>
      </c>
      <c r="M873" t="n">
        <v>0</v>
      </c>
      <c r="N873" t="n">
        <v>0</v>
      </c>
      <c r="O873" t="n">
        <v>0</v>
      </c>
      <c r="P873" t="n">
        <v>0</v>
      </c>
      <c r="Q873" t="n">
        <v>0</v>
      </c>
      <c r="R873" s="2" t="inlineStr"/>
    </row>
    <row r="874" ht="15" customHeight="1">
      <c r="A874" t="inlineStr">
        <is>
          <t>A 16680-2025</t>
        </is>
      </c>
      <c r="B874" s="1" t="n">
        <v>45754.44952546297</v>
      </c>
      <c r="C874" s="1" t="n">
        <v>45895</v>
      </c>
      <c r="D874" t="inlineStr">
        <is>
          <t>KALMAR LÄN</t>
        </is>
      </c>
      <c r="E874" t="inlineStr">
        <is>
          <t>VÄSTERVIK</t>
        </is>
      </c>
      <c r="F874" t="inlineStr">
        <is>
          <t>Sveaskog</t>
        </is>
      </c>
      <c r="G874" t="n">
        <v>2.4</v>
      </c>
      <c r="H874" t="n">
        <v>0</v>
      </c>
      <c r="I874" t="n">
        <v>0</v>
      </c>
      <c r="J874" t="n">
        <v>0</v>
      </c>
      <c r="K874" t="n">
        <v>0</v>
      </c>
      <c r="L874" t="n">
        <v>0</v>
      </c>
      <c r="M874" t="n">
        <v>0</v>
      </c>
      <c r="N874" t="n">
        <v>0</v>
      </c>
      <c r="O874" t="n">
        <v>0</v>
      </c>
      <c r="P874" t="n">
        <v>0</v>
      </c>
      <c r="Q874" t="n">
        <v>0</v>
      </c>
      <c r="R874" s="2" t="inlineStr"/>
    </row>
    <row r="875" ht="15" customHeight="1">
      <c r="A875" t="inlineStr">
        <is>
          <t>A 16691-2025</t>
        </is>
      </c>
      <c r="B875" s="1" t="n">
        <v>45754.46086805555</v>
      </c>
      <c r="C875" s="1" t="n">
        <v>45895</v>
      </c>
      <c r="D875" t="inlineStr">
        <is>
          <t>KALMAR LÄN</t>
        </is>
      </c>
      <c r="E875" t="inlineStr">
        <is>
          <t>VÄSTERVIK</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8597-2023</t>
        </is>
      </c>
      <c r="B876" s="1" t="n">
        <v>44977</v>
      </c>
      <c r="C876" s="1" t="n">
        <v>45895</v>
      </c>
      <c r="D876" t="inlineStr">
        <is>
          <t>KALMAR LÄN</t>
        </is>
      </c>
      <c r="E876" t="inlineStr">
        <is>
          <t>VÄSTERVIK</t>
        </is>
      </c>
      <c r="G876" t="n">
        <v>0.2</v>
      </c>
      <c r="H876" t="n">
        <v>0</v>
      </c>
      <c r="I876" t="n">
        <v>0</v>
      </c>
      <c r="J876" t="n">
        <v>0</v>
      </c>
      <c r="K876" t="n">
        <v>0</v>
      </c>
      <c r="L876" t="n">
        <v>0</v>
      </c>
      <c r="M876" t="n">
        <v>0</v>
      </c>
      <c r="N876" t="n">
        <v>0</v>
      </c>
      <c r="O876" t="n">
        <v>0</v>
      </c>
      <c r="P876" t="n">
        <v>0</v>
      </c>
      <c r="Q876" t="n">
        <v>0</v>
      </c>
      <c r="R876" s="2" t="inlineStr"/>
    </row>
    <row r="877" ht="15" customHeight="1">
      <c r="A877" t="inlineStr">
        <is>
          <t>A 58927-2022</t>
        </is>
      </c>
      <c r="B877" s="1" t="n">
        <v>44896</v>
      </c>
      <c r="C877" s="1" t="n">
        <v>45895</v>
      </c>
      <c r="D877" t="inlineStr">
        <is>
          <t>KALMAR LÄN</t>
        </is>
      </c>
      <c r="E877" t="inlineStr">
        <is>
          <t>VÄSTERVIK</t>
        </is>
      </c>
      <c r="G877" t="n">
        <v>2.5</v>
      </c>
      <c r="H877" t="n">
        <v>0</v>
      </c>
      <c r="I877" t="n">
        <v>0</v>
      </c>
      <c r="J877" t="n">
        <v>0</v>
      </c>
      <c r="K877" t="n">
        <v>0</v>
      </c>
      <c r="L877" t="n">
        <v>0</v>
      </c>
      <c r="M877" t="n">
        <v>0</v>
      </c>
      <c r="N877" t="n">
        <v>0</v>
      </c>
      <c r="O877" t="n">
        <v>0</v>
      </c>
      <c r="P877" t="n">
        <v>0</v>
      </c>
      <c r="Q877" t="n">
        <v>0</v>
      </c>
      <c r="R877" s="2" t="inlineStr"/>
    </row>
    <row r="878" ht="15" customHeight="1">
      <c r="A878" t="inlineStr">
        <is>
          <t>A 55042-2024</t>
        </is>
      </c>
      <c r="B878" s="1" t="n">
        <v>45621.39081018518</v>
      </c>
      <c r="C878" s="1" t="n">
        <v>45895</v>
      </c>
      <c r="D878" t="inlineStr">
        <is>
          <t>KALMAR LÄN</t>
        </is>
      </c>
      <c r="E878" t="inlineStr">
        <is>
          <t>VÄSTERVIK</t>
        </is>
      </c>
      <c r="F878" t="inlineStr">
        <is>
          <t>Sveaskog</t>
        </is>
      </c>
      <c r="G878" t="n">
        <v>3</v>
      </c>
      <c r="H878" t="n">
        <v>0</v>
      </c>
      <c r="I878" t="n">
        <v>0</v>
      </c>
      <c r="J878" t="n">
        <v>0</v>
      </c>
      <c r="K878" t="n">
        <v>0</v>
      </c>
      <c r="L878" t="n">
        <v>0</v>
      </c>
      <c r="M878" t="n">
        <v>0</v>
      </c>
      <c r="N878" t="n">
        <v>0</v>
      </c>
      <c r="O878" t="n">
        <v>0</v>
      </c>
      <c r="P878" t="n">
        <v>0</v>
      </c>
      <c r="Q878" t="n">
        <v>0</v>
      </c>
      <c r="R878" s="2" t="inlineStr"/>
    </row>
    <row r="879" ht="15" customHeight="1">
      <c r="A879" t="inlineStr">
        <is>
          <t>A 34397-2025</t>
        </is>
      </c>
      <c r="B879" s="1" t="n">
        <v>45846.59813657407</v>
      </c>
      <c r="C879" s="1" t="n">
        <v>45895</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34160-2025</t>
        </is>
      </c>
      <c r="B880" s="1" t="n">
        <v>45845.57701388889</v>
      </c>
      <c r="C880" s="1" t="n">
        <v>45895</v>
      </c>
      <c r="D880" t="inlineStr">
        <is>
          <t>KALMAR LÄN</t>
        </is>
      </c>
      <c r="E880" t="inlineStr">
        <is>
          <t>VÄSTERVIK</t>
        </is>
      </c>
      <c r="G880" t="n">
        <v>2.4</v>
      </c>
      <c r="H880" t="n">
        <v>0</v>
      </c>
      <c r="I880" t="n">
        <v>0</v>
      </c>
      <c r="J880" t="n">
        <v>0</v>
      </c>
      <c r="K880" t="n">
        <v>0</v>
      </c>
      <c r="L880" t="n">
        <v>0</v>
      </c>
      <c r="M880" t="n">
        <v>0</v>
      </c>
      <c r="N880" t="n">
        <v>0</v>
      </c>
      <c r="O880" t="n">
        <v>0</v>
      </c>
      <c r="P880" t="n">
        <v>0</v>
      </c>
      <c r="Q880" t="n">
        <v>0</v>
      </c>
      <c r="R880" s="2" t="inlineStr"/>
    </row>
    <row r="881" ht="15" customHeight="1">
      <c r="A881" t="inlineStr">
        <is>
          <t>A 21831-2023</t>
        </is>
      </c>
      <c r="B881" s="1" t="n">
        <v>45068</v>
      </c>
      <c r="C881" s="1" t="n">
        <v>45895</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7165-2025</t>
        </is>
      </c>
      <c r="B882" s="1" t="n">
        <v>45702.39491898148</v>
      </c>
      <c r="C882" s="1" t="n">
        <v>45895</v>
      </c>
      <c r="D882" t="inlineStr">
        <is>
          <t>KALMAR LÄN</t>
        </is>
      </c>
      <c r="E882" t="inlineStr">
        <is>
          <t>VÄSTERVIK</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33969-2024</t>
        </is>
      </c>
      <c r="B883" s="1" t="n">
        <v>45523.49450231482</v>
      </c>
      <c r="C883" s="1" t="n">
        <v>45895</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34171-2025</t>
        </is>
      </c>
      <c r="B884" s="1" t="n">
        <v>45845.58966435185</v>
      </c>
      <c r="C884" s="1" t="n">
        <v>45895</v>
      </c>
      <c r="D884" t="inlineStr">
        <is>
          <t>KALMAR LÄN</t>
        </is>
      </c>
      <c r="E884" t="inlineStr">
        <is>
          <t>VÄSTERVIK</t>
        </is>
      </c>
      <c r="G884" t="n">
        <v>1.6</v>
      </c>
      <c r="H884" t="n">
        <v>0</v>
      </c>
      <c r="I884" t="n">
        <v>0</v>
      </c>
      <c r="J884" t="n">
        <v>0</v>
      </c>
      <c r="K884" t="n">
        <v>0</v>
      </c>
      <c r="L884" t="n">
        <v>0</v>
      </c>
      <c r="M884" t="n">
        <v>0</v>
      </c>
      <c r="N884" t="n">
        <v>0</v>
      </c>
      <c r="O884" t="n">
        <v>0</v>
      </c>
      <c r="P884" t="n">
        <v>0</v>
      </c>
      <c r="Q884" t="n">
        <v>0</v>
      </c>
      <c r="R884" s="2" t="inlineStr"/>
    </row>
    <row r="885" ht="15" customHeight="1">
      <c r="A885" t="inlineStr">
        <is>
          <t>A 2357-2025</t>
        </is>
      </c>
      <c r="B885" s="1" t="n">
        <v>45673.68859953704</v>
      </c>
      <c r="C885" s="1" t="n">
        <v>45895</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38442-2025</t>
        </is>
      </c>
      <c r="B886" s="1" t="n">
        <v>45883</v>
      </c>
      <c r="C886" s="1" t="n">
        <v>45895</v>
      </c>
      <c r="D886" t="inlineStr">
        <is>
          <t>KALMAR LÄN</t>
        </is>
      </c>
      <c r="E886" t="inlineStr">
        <is>
          <t>VÄSTERVIK</t>
        </is>
      </c>
      <c r="G886" t="n">
        <v>3.5</v>
      </c>
      <c r="H886" t="n">
        <v>0</v>
      </c>
      <c r="I886" t="n">
        <v>0</v>
      </c>
      <c r="J886" t="n">
        <v>0</v>
      </c>
      <c r="K886" t="n">
        <v>0</v>
      </c>
      <c r="L886" t="n">
        <v>0</v>
      </c>
      <c r="M886" t="n">
        <v>0</v>
      </c>
      <c r="N886" t="n">
        <v>0</v>
      </c>
      <c r="O886" t="n">
        <v>0</v>
      </c>
      <c r="P886" t="n">
        <v>0</v>
      </c>
      <c r="Q886" t="n">
        <v>0</v>
      </c>
      <c r="R886" s="2" t="inlineStr"/>
    </row>
    <row r="887" ht="15" customHeight="1">
      <c r="A887" t="inlineStr">
        <is>
          <t>A 23316-2023</t>
        </is>
      </c>
      <c r="B887" s="1" t="n">
        <v>45076.02563657407</v>
      </c>
      <c r="C887" s="1" t="n">
        <v>45895</v>
      </c>
      <c r="D887" t="inlineStr">
        <is>
          <t>KALMAR LÄN</t>
        </is>
      </c>
      <c r="E887" t="inlineStr">
        <is>
          <t>VÄSTERVIK</t>
        </is>
      </c>
      <c r="G887" t="n">
        <v>3.6</v>
      </c>
      <c r="H887" t="n">
        <v>0</v>
      </c>
      <c r="I887" t="n">
        <v>0</v>
      </c>
      <c r="J887" t="n">
        <v>0</v>
      </c>
      <c r="K887" t="n">
        <v>0</v>
      </c>
      <c r="L887" t="n">
        <v>0</v>
      </c>
      <c r="M887" t="n">
        <v>0</v>
      </c>
      <c r="N887" t="n">
        <v>0</v>
      </c>
      <c r="O887" t="n">
        <v>0</v>
      </c>
      <c r="P887" t="n">
        <v>0</v>
      </c>
      <c r="Q887" t="n">
        <v>0</v>
      </c>
      <c r="R887" s="2" t="inlineStr"/>
    </row>
    <row r="888" ht="15" customHeight="1">
      <c r="A888" t="inlineStr">
        <is>
          <t>A 9269-2025</t>
        </is>
      </c>
      <c r="B888" s="1" t="n">
        <v>45714.61543981481</v>
      </c>
      <c r="C888" s="1" t="n">
        <v>45895</v>
      </c>
      <c r="D888" t="inlineStr">
        <is>
          <t>KALMAR LÄN</t>
        </is>
      </c>
      <c r="E888" t="inlineStr">
        <is>
          <t>VÄSTERVIK</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18081-2023</t>
        </is>
      </c>
      <c r="B889" s="1" t="n">
        <v>45040</v>
      </c>
      <c r="C889" s="1" t="n">
        <v>45895</v>
      </c>
      <c r="D889" t="inlineStr">
        <is>
          <t>KALMAR LÄN</t>
        </is>
      </c>
      <c r="E889" t="inlineStr">
        <is>
          <t>VÄSTERVIK</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28895-2023</t>
        </is>
      </c>
      <c r="B890" s="1" t="n">
        <v>45104</v>
      </c>
      <c r="C890" s="1" t="n">
        <v>45895</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12386-2025</t>
        </is>
      </c>
      <c r="B891" s="1" t="n">
        <v>45730</v>
      </c>
      <c r="C891" s="1" t="n">
        <v>45895</v>
      </c>
      <c r="D891" t="inlineStr">
        <is>
          <t>KALMAR LÄN</t>
        </is>
      </c>
      <c r="E891" t="inlineStr">
        <is>
          <t>VÄSTERVIK</t>
        </is>
      </c>
      <c r="G891" t="n">
        <v>4.4</v>
      </c>
      <c r="H891" t="n">
        <v>0</v>
      </c>
      <c r="I891" t="n">
        <v>0</v>
      </c>
      <c r="J891" t="n">
        <v>0</v>
      </c>
      <c r="K891" t="n">
        <v>0</v>
      </c>
      <c r="L891" t="n">
        <v>0</v>
      </c>
      <c r="M891" t="n">
        <v>0</v>
      </c>
      <c r="N891" t="n">
        <v>0</v>
      </c>
      <c r="O891" t="n">
        <v>0</v>
      </c>
      <c r="P891" t="n">
        <v>0</v>
      </c>
      <c r="Q891" t="n">
        <v>0</v>
      </c>
      <c r="R891" s="2" t="inlineStr"/>
    </row>
    <row r="892" ht="15" customHeight="1">
      <c r="A892" t="inlineStr">
        <is>
          <t>A 53266-2021</t>
        </is>
      </c>
      <c r="B892" s="1" t="n">
        <v>44468.48255787037</v>
      </c>
      <c r="C892" s="1" t="n">
        <v>45895</v>
      </c>
      <c r="D892" t="inlineStr">
        <is>
          <t>KALMAR LÄN</t>
        </is>
      </c>
      <c r="E892" t="inlineStr">
        <is>
          <t>VÄSTERVIK</t>
        </is>
      </c>
      <c r="G892" t="n">
        <v>1.9</v>
      </c>
      <c r="H892" t="n">
        <v>0</v>
      </c>
      <c r="I892" t="n">
        <v>0</v>
      </c>
      <c r="J892" t="n">
        <v>0</v>
      </c>
      <c r="K892" t="n">
        <v>0</v>
      </c>
      <c r="L892" t="n">
        <v>0</v>
      </c>
      <c r="M892" t="n">
        <v>0</v>
      </c>
      <c r="N892" t="n">
        <v>0</v>
      </c>
      <c r="O892" t="n">
        <v>0</v>
      </c>
      <c r="P892" t="n">
        <v>0</v>
      </c>
      <c r="Q892" t="n">
        <v>0</v>
      </c>
      <c r="R892" s="2" t="inlineStr"/>
    </row>
    <row r="893" ht="15" customHeight="1">
      <c r="A893" t="inlineStr">
        <is>
          <t>A 34617-2025</t>
        </is>
      </c>
      <c r="B893" s="1" t="n">
        <v>45847</v>
      </c>
      <c r="C893" s="1" t="n">
        <v>45895</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34618-2025</t>
        </is>
      </c>
      <c r="B894" s="1" t="n">
        <v>45847</v>
      </c>
      <c r="C894" s="1" t="n">
        <v>45895</v>
      </c>
      <c r="D894" t="inlineStr">
        <is>
          <t>KALMAR LÄN</t>
        </is>
      </c>
      <c r="E894" t="inlineStr">
        <is>
          <t>VÄSTERVIK</t>
        </is>
      </c>
      <c r="G894" t="n">
        <v>2.6</v>
      </c>
      <c r="H894" t="n">
        <v>0</v>
      </c>
      <c r="I894" t="n">
        <v>0</v>
      </c>
      <c r="J894" t="n">
        <v>0</v>
      </c>
      <c r="K894" t="n">
        <v>0</v>
      </c>
      <c r="L894" t="n">
        <v>0</v>
      </c>
      <c r="M894" t="n">
        <v>0</v>
      </c>
      <c r="N894" t="n">
        <v>0</v>
      </c>
      <c r="O894" t="n">
        <v>0</v>
      </c>
      <c r="P894" t="n">
        <v>0</v>
      </c>
      <c r="Q894" t="n">
        <v>0</v>
      </c>
      <c r="R894" s="2" t="inlineStr"/>
    </row>
    <row r="895" ht="15" customHeight="1">
      <c r="A895" t="inlineStr">
        <is>
          <t>A 34639-2025</t>
        </is>
      </c>
      <c r="B895" s="1" t="n">
        <v>45848</v>
      </c>
      <c r="C895" s="1" t="n">
        <v>45895</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39425-2025</t>
        </is>
      </c>
      <c r="B896" s="1" t="n">
        <v>45889.67297453704</v>
      </c>
      <c r="C896" s="1" t="n">
        <v>45895</v>
      </c>
      <c r="D896" t="inlineStr">
        <is>
          <t>KALMAR LÄN</t>
        </is>
      </c>
      <c r="E896" t="inlineStr">
        <is>
          <t>VÄSTERVIK</t>
        </is>
      </c>
      <c r="G896" t="n">
        <v>6.7</v>
      </c>
      <c r="H896" t="n">
        <v>0</v>
      </c>
      <c r="I896" t="n">
        <v>0</v>
      </c>
      <c r="J896" t="n">
        <v>0</v>
      </c>
      <c r="K896" t="n">
        <v>0</v>
      </c>
      <c r="L896" t="n">
        <v>0</v>
      </c>
      <c r="M896" t="n">
        <v>0</v>
      </c>
      <c r="N896" t="n">
        <v>0</v>
      </c>
      <c r="O896" t="n">
        <v>0</v>
      </c>
      <c r="P896" t="n">
        <v>0</v>
      </c>
      <c r="Q896" t="n">
        <v>0</v>
      </c>
      <c r="R896" s="2" t="inlineStr"/>
    </row>
    <row r="897" ht="15" customHeight="1">
      <c r="A897" t="inlineStr">
        <is>
          <t>A 39430-2025</t>
        </is>
      </c>
      <c r="B897" s="1" t="n">
        <v>45889.67606481481</v>
      </c>
      <c r="C897" s="1" t="n">
        <v>45895</v>
      </c>
      <c r="D897" t="inlineStr">
        <is>
          <t>KALMAR LÄN</t>
        </is>
      </c>
      <c r="E897" t="inlineStr">
        <is>
          <t>VÄSTERVIK</t>
        </is>
      </c>
      <c r="G897" t="n">
        <v>2.7</v>
      </c>
      <c r="H897" t="n">
        <v>0</v>
      </c>
      <c r="I897" t="n">
        <v>0</v>
      </c>
      <c r="J897" t="n">
        <v>0</v>
      </c>
      <c r="K897" t="n">
        <v>0</v>
      </c>
      <c r="L897" t="n">
        <v>0</v>
      </c>
      <c r="M897" t="n">
        <v>0</v>
      </c>
      <c r="N897" t="n">
        <v>0</v>
      </c>
      <c r="O897" t="n">
        <v>0</v>
      </c>
      <c r="P897" t="n">
        <v>0</v>
      </c>
      <c r="Q897" t="n">
        <v>0</v>
      </c>
      <c r="R897" s="2" t="inlineStr"/>
    </row>
    <row r="898" ht="15" customHeight="1">
      <c r="A898" t="inlineStr">
        <is>
          <t>A 15765-2023</t>
        </is>
      </c>
      <c r="B898" s="1" t="n">
        <v>45021</v>
      </c>
      <c r="C898" s="1" t="n">
        <v>45895</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14055-2025</t>
        </is>
      </c>
      <c r="B899" s="1" t="n">
        <v>45740.39541666667</v>
      </c>
      <c r="C899" s="1" t="n">
        <v>45895</v>
      </c>
      <c r="D899" t="inlineStr">
        <is>
          <t>KALMAR LÄN</t>
        </is>
      </c>
      <c r="E899" t="inlineStr">
        <is>
          <t>VÄSTERVIK</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34531-2025</t>
        </is>
      </c>
      <c r="B900" s="1" t="n">
        <v>45847.50152777778</v>
      </c>
      <c r="C900" s="1" t="n">
        <v>45895</v>
      </c>
      <c r="D900" t="inlineStr">
        <is>
          <t>KALMAR LÄN</t>
        </is>
      </c>
      <c r="E900" t="inlineStr">
        <is>
          <t>VÄSTERVIK</t>
        </is>
      </c>
      <c r="G900" t="n">
        <v>1.3</v>
      </c>
      <c r="H900" t="n">
        <v>0</v>
      </c>
      <c r="I900" t="n">
        <v>0</v>
      </c>
      <c r="J900" t="n">
        <v>0</v>
      </c>
      <c r="K900" t="n">
        <v>0</v>
      </c>
      <c r="L900" t="n">
        <v>0</v>
      </c>
      <c r="M900" t="n">
        <v>0</v>
      </c>
      <c r="N900" t="n">
        <v>0</v>
      </c>
      <c r="O900" t="n">
        <v>0</v>
      </c>
      <c r="P900" t="n">
        <v>0</v>
      </c>
      <c r="Q900" t="n">
        <v>0</v>
      </c>
      <c r="R900" s="2" t="inlineStr"/>
    </row>
    <row r="901" ht="15" customHeight="1">
      <c r="A901" t="inlineStr">
        <is>
          <t>A 48121-2021</t>
        </is>
      </c>
      <c r="B901" s="1" t="n">
        <v>44449.46614583334</v>
      </c>
      <c r="C901" s="1" t="n">
        <v>45895</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34619-2025</t>
        </is>
      </c>
      <c r="B902" s="1" t="n">
        <v>45847</v>
      </c>
      <c r="C902" s="1" t="n">
        <v>45895</v>
      </c>
      <c r="D902" t="inlineStr">
        <is>
          <t>KALMAR LÄN</t>
        </is>
      </c>
      <c r="E902" t="inlineStr">
        <is>
          <t>VÄSTERVIK</t>
        </is>
      </c>
      <c r="G902" t="n">
        <v>3</v>
      </c>
      <c r="H902" t="n">
        <v>0</v>
      </c>
      <c r="I902" t="n">
        <v>0</v>
      </c>
      <c r="J902" t="n">
        <v>0</v>
      </c>
      <c r="K902" t="n">
        <v>0</v>
      </c>
      <c r="L902" t="n">
        <v>0</v>
      </c>
      <c r="M902" t="n">
        <v>0</v>
      </c>
      <c r="N902" t="n">
        <v>0</v>
      </c>
      <c r="O902" t="n">
        <v>0</v>
      </c>
      <c r="P902" t="n">
        <v>0</v>
      </c>
      <c r="Q902" t="n">
        <v>0</v>
      </c>
      <c r="R902" s="2" t="inlineStr"/>
    </row>
    <row r="903" ht="15" customHeight="1">
      <c r="A903" t="inlineStr">
        <is>
          <t>A 39442-2025</t>
        </is>
      </c>
      <c r="B903" s="1" t="n">
        <v>45889.6947337963</v>
      </c>
      <c r="C903" s="1" t="n">
        <v>45895</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34643-2025</t>
        </is>
      </c>
      <c r="B904" s="1" t="n">
        <v>45848.32959490741</v>
      </c>
      <c r="C904" s="1" t="n">
        <v>45895</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51645-2023</t>
        </is>
      </c>
      <c r="B905" s="1" t="n">
        <v>45222.55333333334</v>
      </c>
      <c r="C905" s="1" t="n">
        <v>45895</v>
      </c>
      <c r="D905" t="inlineStr">
        <is>
          <t>KALMAR LÄN</t>
        </is>
      </c>
      <c r="E905" t="inlineStr">
        <is>
          <t>VÄSTERVIK</t>
        </is>
      </c>
      <c r="G905" t="n">
        <v>3.7</v>
      </c>
      <c r="H905" t="n">
        <v>0</v>
      </c>
      <c r="I905" t="n">
        <v>0</v>
      </c>
      <c r="J905" t="n">
        <v>0</v>
      </c>
      <c r="K905" t="n">
        <v>0</v>
      </c>
      <c r="L905" t="n">
        <v>0</v>
      </c>
      <c r="M905" t="n">
        <v>0</v>
      </c>
      <c r="N905" t="n">
        <v>0</v>
      </c>
      <c r="O905" t="n">
        <v>0</v>
      </c>
      <c r="P905" t="n">
        <v>0</v>
      </c>
      <c r="Q905" t="n">
        <v>0</v>
      </c>
      <c r="R905" s="2" t="inlineStr"/>
    </row>
    <row r="906" ht="15" customHeight="1">
      <c r="A906" t="inlineStr">
        <is>
          <t>A 69702-2021</t>
        </is>
      </c>
      <c r="B906" s="1" t="n">
        <v>44532.48237268518</v>
      </c>
      <c r="C906" s="1" t="n">
        <v>45895</v>
      </c>
      <c r="D906" t="inlineStr">
        <is>
          <t>KALMAR LÄN</t>
        </is>
      </c>
      <c r="E906" t="inlineStr">
        <is>
          <t>VÄSTERVIK</t>
        </is>
      </c>
      <c r="G906" t="n">
        <v>4.4</v>
      </c>
      <c r="H906" t="n">
        <v>0</v>
      </c>
      <c r="I906" t="n">
        <v>0</v>
      </c>
      <c r="J906" t="n">
        <v>0</v>
      </c>
      <c r="K906" t="n">
        <v>0</v>
      </c>
      <c r="L906" t="n">
        <v>0</v>
      </c>
      <c r="M906" t="n">
        <v>0</v>
      </c>
      <c r="N906" t="n">
        <v>0</v>
      </c>
      <c r="O906" t="n">
        <v>0</v>
      </c>
      <c r="P906" t="n">
        <v>0</v>
      </c>
      <c r="Q906" t="n">
        <v>0</v>
      </c>
      <c r="R906" s="2" t="inlineStr"/>
    </row>
    <row r="907" ht="15" customHeight="1">
      <c r="A907" t="inlineStr">
        <is>
          <t>A 5348-2024</t>
        </is>
      </c>
      <c r="B907" s="1" t="n">
        <v>45331</v>
      </c>
      <c r="C907" s="1" t="n">
        <v>45895</v>
      </c>
      <c r="D907" t="inlineStr">
        <is>
          <t>KALMAR LÄN</t>
        </is>
      </c>
      <c r="E907" t="inlineStr">
        <is>
          <t>VÄSTERVIK</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6126-2023</t>
        </is>
      </c>
      <c r="B908" s="1" t="n">
        <v>44964.61592592593</v>
      </c>
      <c r="C908" s="1" t="n">
        <v>45895</v>
      </c>
      <c r="D908" t="inlineStr">
        <is>
          <t>KALMAR LÄN</t>
        </is>
      </c>
      <c r="E908" t="inlineStr">
        <is>
          <t>VÄSTERVIK</t>
        </is>
      </c>
      <c r="F908" t="inlineStr">
        <is>
          <t>Övriga Aktiebolag</t>
        </is>
      </c>
      <c r="G908" t="n">
        <v>0.9</v>
      </c>
      <c r="H908" t="n">
        <v>0</v>
      </c>
      <c r="I908" t="n">
        <v>0</v>
      </c>
      <c r="J908" t="n">
        <v>0</v>
      </c>
      <c r="K908" t="n">
        <v>0</v>
      </c>
      <c r="L908" t="n">
        <v>0</v>
      </c>
      <c r="M908" t="n">
        <v>0</v>
      </c>
      <c r="N908" t="n">
        <v>0</v>
      </c>
      <c r="O908" t="n">
        <v>0</v>
      </c>
      <c r="P908" t="n">
        <v>0</v>
      </c>
      <c r="Q908" t="n">
        <v>0</v>
      </c>
      <c r="R908" s="2" t="inlineStr"/>
    </row>
    <row r="909" ht="15" customHeight="1">
      <c r="A909" t="inlineStr">
        <is>
          <t>A 46562-2022</t>
        </is>
      </c>
      <c r="B909" s="1" t="n">
        <v>44848</v>
      </c>
      <c r="C909" s="1" t="n">
        <v>45895</v>
      </c>
      <c r="D909" t="inlineStr">
        <is>
          <t>KALMAR LÄN</t>
        </is>
      </c>
      <c r="E909" t="inlineStr">
        <is>
          <t>VÄSTERVIK</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32822-2021</t>
        </is>
      </c>
      <c r="B910" s="1" t="n">
        <v>44375</v>
      </c>
      <c r="C910" s="1" t="n">
        <v>45895</v>
      </c>
      <c r="D910" t="inlineStr">
        <is>
          <t>KALMAR LÄN</t>
        </is>
      </c>
      <c r="E910" t="inlineStr">
        <is>
          <t>VÄSTERVIK</t>
        </is>
      </c>
      <c r="G910" t="n">
        <v>5.1</v>
      </c>
      <c r="H910" t="n">
        <v>0</v>
      </c>
      <c r="I910" t="n">
        <v>0</v>
      </c>
      <c r="J910" t="n">
        <v>0</v>
      </c>
      <c r="K910" t="n">
        <v>0</v>
      </c>
      <c r="L910" t="n">
        <v>0</v>
      </c>
      <c r="M910" t="n">
        <v>0</v>
      </c>
      <c r="N910" t="n">
        <v>0</v>
      </c>
      <c r="O910" t="n">
        <v>0</v>
      </c>
      <c r="P910" t="n">
        <v>0</v>
      </c>
      <c r="Q910" t="n">
        <v>0</v>
      </c>
      <c r="R910" s="2" t="inlineStr"/>
    </row>
    <row r="911" ht="15" customHeight="1">
      <c r="A911" t="inlineStr">
        <is>
          <t>A 11189-2024</t>
        </is>
      </c>
      <c r="B911" s="1" t="n">
        <v>45371</v>
      </c>
      <c r="C911" s="1" t="n">
        <v>45895</v>
      </c>
      <c r="D911" t="inlineStr">
        <is>
          <t>KALMAR LÄN</t>
        </is>
      </c>
      <c r="E911" t="inlineStr">
        <is>
          <t>VÄSTERVIK</t>
        </is>
      </c>
      <c r="G911" t="n">
        <v>5.2</v>
      </c>
      <c r="H911" t="n">
        <v>0</v>
      </c>
      <c r="I911" t="n">
        <v>0</v>
      </c>
      <c r="J911" t="n">
        <v>0</v>
      </c>
      <c r="K911" t="n">
        <v>0</v>
      </c>
      <c r="L911" t="n">
        <v>0</v>
      </c>
      <c r="M911" t="n">
        <v>0</v>
      </c>
      <c r="N911" t="n">
        <v>0</v>
      </c>
      <c r="O911" t="n">
        <v>0</v>
      </c>
      <c r="P911" t="n">
        <v>0</v>
      </c>
      <c r="Q911" t="n">
        <v>0</v>
      </c>
      <c r="R911" s="2" t="inlineStr"/>
    </row>
    <row r="912" ht="15" customHeight="1">
      <c r="A912" t="inlineStr">
        <is>
          <t>A 15099-2023</t>
        </is>
      </c>
      <c r="B912" s="1" t="n">
        <v>45016.39048611111</v>
      </c>
      <c r="C912" s="1" t="n">
        <v>45895</v>
      </c>
      <c r="D912" t="inlineStr">
        <is>
          <t>KALMAR LÄN</t>
        </is>
      </c>
      <c r="E912" t="inlineStr">
        <is>
          <t>VÄSTERVIK</t>
        </is>
      </c>
      <c r="G912" t="n">
        <v>3</v>
      </c>
      <c r="H912" t="n">
        <v>0</v>
      </c>
      <c r="I912" t="n">
        <v>0</v>
      </c>
      <c r="J912" t="n">
        <v>0</v>
      </c>
      <c r="K912" t="n">
        <v>0</v>
      </c>
      <c r="L912" t="n">
        <v>0</v>
      </c>
      <c r="M912" t="n">
        <v>0</v>
      </c>
      <c r="N912" t="n">
        <v>0</v>
      </c>
      <c r="O912" t="n">
        <v>0</v>
      </c>
      <c r="P912" t="n">
        <v>0</v>
      </c>
      <c r="Q912" t="n">
        <v>0</v>
      </c>
      <c r="R912" s="2" t="inlineStr"/>
    </row>
    <row r="913" ht="15" customHeight="1">
      <c r="A913" t="inlineStr">
        <is>
          <t>A 39428-2025</t>
        </is>
      </c>
      <c r="B913" s="1" t="n">
        <v>45889.67436342593</v>
      </c>
      <c r="C913" s="1" t="n">
        <v>45895</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71114-2021</t>
        </is>
      </c>
      <c r="B914" s="1" t="n">
        <v>44539.37123842593</v>
      </c>
      <c r="C914" s="1" t="n">
        <v>45895</v>
      </c>
      <c r="D914" t="inlineStr">
        <is>
          <t>KALMAR LÄN</t>
        </is>
      </c>
      <c r="E914" t="inlineStr">
        <is>
          <t>VÄSTERVIK</t>
        </is>
      </c>
      <c r="G914" t="n">
        <v>1.9</v>
      </c>
      <c r="H914" t="n">
        <v>0</v>
      </c>
      <c r="I914" t="n">
        <v>0</v>
      </c>
      <c r="J914" t="n">
        <v>0</v>
      </c>
      <c r="K914" t="n">
        <v>0</v>
      </c>
      <c r="L914" t="n">
        <v>0</v>
      </c>
      <c r="M914" t="n">
        <v>0</v>
      </c>
      <c r="N914" t="n">
        <v>0</v>
      </c>
      <c r="O914" t="n">
        <v>0</v>
      </c>
      <c r="P914" t="n">
        <v>0</v>
      </c>
      <c r="Q914" t="n">
        <v>0</v>
      </c>
      <c r="R914" s="2" t="inlineStr"/>
    </row>
    <row r="915" ht="15" customHeight="1">
      <c r="A915" t="inlineStr">
        <is>
          <t>A 16692-2025</t>
        </is>
      </c>
      <c r="B915" s="1" t="n">
        <v>45754.4621412037</v>
      </c>
      <c r="C915" s="1" t="n">
        <v>45895</v>
      </c>
      <c r="D915" t="inlineStr">
        <is>
          <t>KALMAR LÄN</t>
        </is>
      </c>
      <c r="E915" t="inlineStr">
        <is>
          <t>VÄSTERVIK</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34916-2025</t>
        </is>
      </c>
      <c r="B916" s="1" t="n">
        <v>45849.54420138889</v>
      </c>
      <c r="C916" s="1" t="n">
        <v>45895</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13838-2024</t>
        </is>
      </c>
      <c r="B917" s="1" t="n">
        <v>45391.44646990741</v>
      </c>
      <c r="C917" s="1" t="n">
        <v>45895</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54569-2023</t>
        </is>
      </c>
      <c r="B918" s="1" t="n">
        <v>45233.65532407408</v>
      </c>
      <c r="C918" s="1" t="n">
        <v>45895</v>
      </c>
      <c r="D918" t="inlineStr">
        <is>
          <t>KALMAR LÄN</t>
        </is>
      </c>
      <c r="E918" t="inlineStr">
        <is>
          <t>VÄSTERVIK</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62422-2022</t>
        </is>
      </c>
      <c r="B919" s="1" t="n">
        <v>44924</v>
      </c>
      <c r="C919" s="1" t="n">
        <v>45895</v>
      </c>
      <c r="D919" t="inlineStr">
        <is>
          <t>KALMAR LÄN</t>
        </is>
      </c>
      <c r="E919" t="inlineStr">
        <is>
          <t>VÄSTERVIK</t>
        </is>
      </c>
      <c r="G919" t="n">
        <v>4.9</v>
      </c>
      <c r="H919" t="n">
        <v>0</v>
      </c>
      <c r="I919" t="n">
        <v>0</v>
      </c>
      <c r="J919" t="n">
        <v>0</v>
      </c>
      <c r="K919" t="n">
        <v>0</v>
      </c>
      <c r="L919" t="n">
        <v>0</v>
      </c>
      <c r="M919" t="n">
        <v>0</v>
      </c>
      <c r="N919" t="n">
        <v>0</v>
      </c>
      <c r="O919" t="n">
        <v>0</v>
      </c>
      <c r="P919" t="n">
        <v>0</v>
      </c>
      <c r="Q919" t="n">
        <v>0</v>
      </c>
      <c r="R919" s="2" t="inlineStr"/>
    </row>
    <row r="920" ht="15" customHeight="1">
      <c r="A920" t="inlineStr">
        <is>
          <t>A 10012-2025</t>
        </is>
      </c>
      <c r="B920" s="1" t="n">
        <v>45719.46681712963</v>
      </c>
      <c r="C920" s="1" t="n">
        <v>45895</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10725-2023</t>
        </is>
      </c>
      <c r="B921" s="1" t="n">
        <v>44988.66966435185</v>
      </c>
      <c r="C921" s="1" t="n">
        <v>45895</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7360-2023</t>
        </is>
      </c>
      <c r="B922" s="1" t="n">
        <v>44971</v>
      </c>
      <c r="C922" s="1" t="n">
        <v>45895</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17306-2023</t>
        </is>
      </c>
      <c r="B923" s="1" t="n">
        <v>45035</v>
      </c>
      <c r="C923" s="1" t="n">
        <v>45895</v>
      </c>
      <c r="D923" t="inlineStr">
        <is>
          <t>KALMAR LÄN</t>
        </is>
      </c>
      <c r="E923" t="inlineStr">
        <is>
          <t>VÄSTERVIK</t>
        </is>
      </c>
      <c r="G923" t="n">
        <v>4.3</v>
      </c>
      <c r="H923" t="n">
        <v>0</v>
      </c>
      <c r="I923" t="n">
        <v>0</v>
      </c>
      <c r="J923" t="n">
        <v>0</v>
      </c>
      <c r="K923" t="n">
        <v>0</v>
      </c>
      <c r="L923" t="n">
        <v>0</v>
      </c>
      <c r="M923" t="n">
        <v>0</v>
      </c>
      <c r="N923" t="n">
        <v>0</v>
      </c>
      <c r="O923" t="n">
        <v>0</v>
      </c>
      <c r="P923" t="n">
        <v>0</v>
      </c>
      <c r="Q923" t="n">
        <v>0</v>
      </c>
      <c r="R923" s="2" t="inlineStr"/>
    </row>
    <row r="924" ht="15" customHeight="1">
      <c r="A924" t="inlineStr">
        <is>
          <t>A 23317-2023</t>
        </is>
      </c>
      <c r="B924" s="1" t="n">
        <v>45076</v>
      </c>
      <c r="C924" s="1" t="n">
        <v>45895</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16617-2023</t>
        </is>
      </c>
      <c r="B925" s="1" t="n">
        <v>45030</v>
      </c>
      <c r="C925" s="1" t="n">
        <v>45895</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2543-2024</t>
        </is>
      </c>
      <c r="B926" s="1" t="n">
        <v>45313</v>
      </c>
      <c r="C926" s="1" t="n">
        <v>45895</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9220-2023</t>
        </is>
      </c>
      <c r="B927" s="1" t="n">
        <v>44980.52182870371</v>
      </c>
      <c r="C927" s="1" t="n">
        <v>45895</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10020-2021</t>
        </is>
      </c>
      <c r="B928" s="1" t="n">
        <v>44256</v>
      </c>
      <c r="C928" s="1" t="n">
        <v>45895</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64762-2023</t>
        </is>
      </c>
      <c r="B929" s="1" t="n">
        <v>45282.27841435185</v>
      </c>
      <c r="C929" s="1" t="n">
        <v>45895</v>
      </c>
      <c r="D929" t="inlineStr">
        <is>
          <t>KALMAR LÄN</t>
        </is>
      </c>
      <c r="E929" t="inlineStr">
        <is>
          <t>VÄSTERVIK</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64763-2023</t>
        </is>
      </c>
      <c r="B930" s="1" t="n">
        <v>45282.28041666667</v>
      </c>
      <c r="C930" s="1" t="n">
        <v>45895</v>
      </c>
      <c r="D930" t="inlineStr">
        <is>
          <t>KALMAR LÄN</t>
        </is>
      </c>
      <c r="E930" t="inlineStr">
        <is>
          <t>VÄSTERVIK</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40165-2025</t>
        </is>
      </c>
      <c r="B931" s="1" t="n">
        <v>45894.62219907407</v>
      </c>
      <c r="C931" s="1" t="n">
        <v>45895</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40168-2025</t>
        </is>
      </c>
      <c r="B932" s="1" t="n">
        <v>45894.62775462963</v>
      </c>
      <c r="C932" s="1" t="n">
        <v>45895</v>
      </c>
      <c r="D932" t="inlineStr">
        <is>
          <t>KALMAR LÄN</t>
        </is>
      </c>
      <c r="E932" t="inlineStr">
        <is>
          <t>VÄSTERVIK</t>
        </is>
      </c>
      <c r="G932" t="n">
        <v>0.3</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45895</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37326-2024</t>
        </is>
      </c>
      <c r="B934" s="1" t="n">
        <v>45540</v>
      </c>
      <c r="C934" s="1" t="n">
        <v>45895</v>
      </c>
      <c r="D934" t="inlineStr">
        <is>
          <t>KALMAR LÄN</t>
        </is>
      </c>
      <c r="E934" t="inlineStr">
        <is>
          <t>VÄSTERVIK</t>
        </is>
      </c>
      <c r="F934" t="inlineStr">
        <is>
          <t>Holmen skog AB</t>
        </is>
      </c>
      <c r="G934" t="n">
        <v>6</v>
      </c>
      <c r="H934" t="n">
        <v>0</v>
      </c>
      <c r="I934" t="n">
        <v>0</v>
      </c>
      <c r="J934" t="n">
        <v>0</v>
      </c>
      <c r="K934" t="n">
        <v>0</v>
      </c>
      <c r="L934" t="n">
        <v>0</v>
      </c>
      <c r="M934" t="n">
        <v>0</v>
      </c>
      <c r="N934" t="n">
        <v>0</v>
      </c>
      <c r="O934" t="n">
        <v>0</v>
      </c>
      <c r="P934" t="n">
        <v>0</v>
      </c>
      <c r="Q934" t="n">
        <v>0</v>
      </c>
      <c r="R934" s="2" t="inlineStr"/>
    </row>
    <row r="935" ht="15" customHeight="1">
      <c r="A935" t="inlineStr">
        <is>
          <t>A 36418-2023</t>
        </is>
      </c>
      <c r="B935" s="1" t="n">
        <v>45152</v>
      </c>
      <c r="C935" s="1" t="n">
        <v>45895</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c r="U935">
        <f>HYPERLINK("https://klasma.github.io/Logging_0883/knärot/A 36418-2023 karta knärot.png", "A 36418-2023")</f>
        <v/>
      </c>
      <c r="V935">
        <f>HYPERLINK("https://klasma.github.io/Logging_0883/klagomål/A 36418-2023 FSC-klagomål.docx", "A 36418-2023")</f>
        <v/>
      </c>
      <c r="W935">
        <f>HYPERLINK("https://klasma.github.io/Logging_0883/klagomålsmail/A 36418-2023 FSC-klagomål mail.docx", "A 36418-2023")</f>
        <v/>
      </c>
      <c r="X935">
        <f>HYPERLINK("https://klasma.github.io/Logging_0883/tillsyn/A 36418-2023 tillsynsbegäran.docx", "A 36418-2023")</f>
        <v/>
      </c>
      <c r="Y935">
        <f>HYPERLINK("https://klasma.github.io/Logging_0883/tillsynsmail/A 36418-2023 tillsynsbegäran mail.docx", "A 36418-2023")</f>
        <v/>
      </c>
    </row>
    <row r="936" ht="15" customHeight="1">
      <c r="A936" t="inlineStr">
        <is>
          <t>A 2830-2025</t>
        </is>
      </c>
      <c r="B936" s="1" t="n">
        <v>45677.62704861111</v>
      </c>
      <c r="C936" s="1" t="n">
        <v>45895</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8440-2023</t>
        </is>
      </c>
      <c r="B937" s="1" t="n">
        <v>44977.46979166667</v>
      </c>
      <c r="C937" s="1" t="n">
        <v>45895</v>
      </c>
      <c r="D937" t="inlineStr">
        <is>
          <t>KALMAR LÄN</t>
        </is>
      </c>
      <c r="E937" t="inlineStr">
        <is>
          <t>VÄSTERVIK</t>
        </is>
      </c>
      <c r="G937" t="n">
        <v>5.5</v>
      </c>
      <c r="H937" t="n">
        <v>0</v>
      </c>
      <c r="I937" t="n">
        <v>0</v>
      </c>
      <c r="J937" t="n">
        <v>0</v>
      </c>
      <c r="K937" t="n">
        <v>0</v>
      </c>
      <c r="L937" t="n">
        <v>0</v>
      </c>
      <c r="M937" t="n">
        <v>0</v>
      </c>
      <c r="N937" t="n">
        <v>0</v>
      </c>
      <c r="O937" t="n">
        <v>0</v>
      </c>
      <c r="P937" t="n">
        <v>0</v>
      </c>
      <c r="Q937" t="n">
        <v>0</v>
      </c>
      <c r="R937" s="2" t="inlineStr"/>
    </row>
    <row r="938" ht="15" customHeight="1">
      <c r="A938" t="inlineStr">
        <is>
          <t>A 8513-2023</t>
        </is>
      </c>
      <c r="B938" s="1" t="n">
        <v>44977.56759259259</v>
      </c>
      <c r="C938" s="1" t="n">
        <v>45895</v>
      </c>
      <c r="D938" t="inlineStr">
        <is>
          <t>KALMAR LÄN</t>
        </is>
      </c>
      <c r="E938" t="inlineStr">
        <is>
          <t>VÄSTERVIK</t>
        </is>
      </c>
      <c r="G938" t="n">
        <v>2</v>
      </c>
      <c r="H938" t="n">
        <v>0</v>
      </c>
      <c r="I938" t="n">
        <v>0</v>
      </c>
      <c r="J938" t="n">
        <v>0</v>
      </c>
      <c r="K938" t="n">
        <v>0</v>
      </c>
      <c r="L938" t="n">
        <v>0</v>
      </c>
      <c r="M938" t="n">
        <v>0</v>
      </c>
      <c r="N938" t="n">
        <v>0</v>
      </c>
      <c r="O938" t="n">
        <v>0</v>
      </c>
      <c r="P938" t="n">
        <v>0</v>
      </c>
      <c r="Q938" t="n">
        <v>0</v>
      </c>
      <c r="R938" s="2" t="inlineStr"/>
    </row>
    <row r="939" ht="15" customHeight="1">
      <c r="A939" t="inlineStr">
        <is>
          <t>A 14685-2025</t>
        </is>
      </c>
      <c r="B939" s="1" t="n">
        <v>45742.57653935185</v>
      </c>
      <c r="C939" s="1" t="n">
        <v>45895</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11791-2024</t>
        </is>
      </c>
      <c r="B940" s="1" t="n">
        <v>45374.97038194445</v>
      </c>
      <c r="C940" s="1" t="n">
        <v>45895</v>
      </c>
      <c r="D940" t="inlineStr">
        <is>
          <t>KALMAR LÄN</t>
        </is>
      </c>
      <c r="E940" t="inlineStr">
        <is>
          <t>VÄSTERVIK</t>
        </is>
      </c>
      <c r="G940" t="n">
        <v>3.4</v>
      </c>
      <c r="H940" t="n">
        <v>0</v>
      </c>
      <c r="I940" t="n">
        <v>0</v>
      </c>
      <c r="J940" t="n">
        <v>0</v>
      </c>
      <c r="K940" t="n">
        <v>0</v>
      </c>
      <c r="L940" t="n">
        <v>0</v>
      </c>
      <c r="M940" t="n">
        <v>0</v>
      </c>
      <c r="N940" t="n">
        <v>0</v>
      </c>
      <c r="O940" t="n">
        <v>0</v>
      </c>
      <c r="P940" t="n">
        <v>0</v>
      </c>
      <c r="Q940" t="n">
        <v>0</v>
      </c>
      <c r="R940" s="2" t="inlineStr"/>
    </row>
    <row r="941" ht="15" customHeight="1">
      <c r="A941" t="inlineStr">
        <is>
          <t>A 34646-2023</t>
        </is>
      </c>
      <c r="B941" s="1" t="n">
        <v>45140</v>
      </c>
      <c r="C941" s="1" t="n">
        <v>45895</v>
      </c>
      <c r="D941" t="inlineStr">
        <is>
          <t>KALMAR LÄN</t>
        </is>
      </c>
      <c r="E941" t="inlineStr">
        <is>
          <t>VÄSTERVIK</t>
        </is>
      </c>
      <c r="G941" t="n">
        <v>3.1</v>
      </c>
      <c r="H941" t="n">
        <v>0</v>
      </c>
      <c r="I941" t="n">
        <v>0</v>
      </c>
      <c r="J941" t="n">
        <v>0</v>
      </c>
      <c r="K941" t="n">
        <v>0</v>
      </c>
      <c r="L941" t="n">
        <v>0</v>
      </c>
      <c r="M941" t="n">
        <v>0</v>
      </c>
      <c r="N941" t="n">
        <v>0</v>
      </c>
      <c r="O941" t="n">
        <v>0</v>
      </c>
      <c r="P941" t="n">
        <v>0</v>
      </c>
      <c r="Q941" t="n">
        <v>0</v>
      </c>
      <c r="R941" s="2" t="inlineStr"/>
    </row>
    <row r="942" ht="15" customHeight="1">
      <c r="A942" t="inlineStr">
        <is>
          <t>A 6941-2025</t>
        </is>
      </c>
      <c r="B942" s="1" t="n">
        <v>45701.46835648148</v>
      </c>
      <c r="C942" s="1" t="n">
        <v>45895</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3679-2025</t>
        </is>
      </c>
      <c r="B943" s="1" t="n">
        <v>45681.44637731482</v>
      </c>
      <c r="C943" s="1" t="n">
        <v>45895</v>
      </c>
      <c r="D943" t="inlineStr">
        <is>
          <t>KALMAR LÄN</t>
        </is>
      </c>
      <c r="E943" t="inlineStr">
        <is>
          <t>VÄSTERVIK</t>
        </is>
      </c>
      <c r="G943" t="n">
        <v>0.9</v>
      </c>
      <c r="H943" t="n">
        <v>0</v>
      </c>
      <c r="I943" t="n">
        <v>0</v>
      </c>
      <c r="J943" t="n">
        <v>0</v>
      </c>
      <c r="K943" t="n">
        <v>0</v>
      </c>
      <c r="L943" t="n">
        <v>0</v>
      </c>
      <c r="M943" t="n">
        <v>0</v>
      </c>
      <c r="N943" t="n">
        <v>0</v>
      </c>
      <c r="O943" t="n">
        <v>0</v>
      </c>
      <c r="P943" t="n">
        <v>0</v>
      </c>
      <c r="Q943" t="n">
        <v>0</v>
      </c>
      <c r="R943" s="2" t="inlineStr"/>
    </row>
    <row r="944" ht="15" customHeight="1">
      <c r="A944" t="inlineStr">
        <is>
          <t>A 27982-2025</t>
        </is>
      </c>
      <c r="B944" s="1" t="n">
        <v>45817.57549768518</v>
      </c>
      <c r="C944" s="1" t="n">
        <v>45895</v>
      </c>
      <c r="D944" t="inlineStr">
        <is>
          <t>KALMAR LÄN</t>
        </is>
      </c>
      <c r="E944" t="inlineStr">
        <is>
          <t>VÄSTERVIK</t>
        </is>
      </c>
      <c r="G944" t="n">
        <v>2.5</v>
      </c>
      <c r="H944" t="n">
        <v>0</v>
      </c>
      <c r="I944" t="n">
        <v>0</v>
      </c>
      <c r="J944" t="n">
        <v>0</v>
      </c>
      <c r="K944" t="n">
        <v>0</v>
      </c>
      <c r="L944" t="n">
        <v>0</v>
      </c>
      <c r="M944" t="n">
        <v>0</v>
      </c>
      <c r="N944" t="n">
        <v>0</v>
      </c>
      <c r="O944" t="n">
        <v>0</v>
      </c>
      <c r="P944" t="n">
        <v>0</v>
      </c>
      <c r="Q944" t="n">
        <v>0</v>
      </c>
      <c r="R944" s="2" t="inlineStr"/>
    </row>
    <row r="945" ht="15" customHeight="1">
      <c r="A945" t="inlineStr">
        <is>
          <t>A 40038-2025</t>
        </is>
      </c>
      <c r="B945" s="1" t="n">
        <v>45894.39395833333</v>
      </c>
      <c r="C945" s="1" t="n">
        <v>45895</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37033-2021</t>
        </is>
      </c>
      <c r="B946" s="1" t="n">
        <v>44393</v>
      </c>
      <c r="C946" s="1" t="n">
        <v>45895</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16683-2025</t>
        </is>
      </c>
      <c r="B947" s="1" t="n">
        <v>45754.45234953704</v>
      </c>
      <c r="C947" s="1" t="n">
        <v>45895</v>
      </c>
      <c r="D947" t="inlineStr">
        <is>
          <t>KALMAR LÄN</t>
        </is>
      </c>
      <c r="E947" t="inlineStr">
        <is>
          <t>VÄSTERVIK</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16686-2025</t>
        </is>
      </c>
      <c r="B948" s="1" t="n">
        <v>45754.45355324074</v>
      </c>
      <c r="C948" s="1" t="n">
        <v>45895</v>
      </c>
      <c r="D948" t="inlineStr">
        <is>
          <t>KALMAR LÄN</t>
        </is>
      </c>
      <c r="E948" t="inlineStr">
        <is>
          <t>VÄSTERVIK</t>
        </is>
      </c>
      <c r="F948" t="inlineStr">
        <is>
          <t>Sveaskog</t>
        </is>
      </c>
      <c r="G948" t="n">
        <v>3.9</v>
      </c>
      <c r="H948" t="n">
        <v>0</v>
      </c>
      <c r="I948" t="n">
        <v>0</v>
      </c>
      <c r="J948" t="n">
        <v>0</v>
      </c>
      <c r="K948" t="n">
        <v>0</v>
      </c>
      <c r="L948" t="n">
        <v>0</v>
      </c>
      <c r="M948" t="n">
        <v>0</v>
      </c>
      <c r="N948" t="n">
        <v>0</v>
      </c>
      <c r="O948" t="n">
        <v>0</v>
      </c>
      <c r="P948" t="n">
        <v>0</v>
      </c>
      <c r="Q948" t="n">
        <v>0</v>
      </c>
      <c r="R948" s="2" t="inlineStr"/>
    </row>
    <row r="949" ht="15" customHeight="1">
      <c r="A949" t="inlineStr">
        <is>
          <t>A 58707-2022</t>
        </is>
      </c>
      <c r="B949" s="1" t="n">
        <v>44902.80462962963</v>
      </c>
      <c r="C949" s="1" t="n">
        <v>45895</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65-2023</t>
        </is>
      </c>
      <c r="B950" s="1" t="n">
        <v>44928.44431712963</v>
      </c>
      <c r="C950" s="1" t="n">
        <v>45895</v>
      </c>
      <c r="D950" t="inlineStr">
        <is>
          <t>KALMAR LÄN</t>
        </is>
      </c>
      <c r="E950" t="inlineStr">
        <is>
          <t>VÄSTERVIK</t>
        </is>
      </c>
      <c r="G950" t="n">
        <v>1.8</v>
      </c>
      <c r="H950" t="n">
        <v>0</v>
      </c>
      <c r="I950" t="n">
        <v>0</v>
      </c>
      <c r="J950" t="n">
        <v>0</v>
      </c>
      <c r="K950" t="n">
        <v>0</v>
      </c>
      <c r="L950" t="n">
        <v>0</v>
      </c>
      <c r="M950" t="n">
        <v>0</v>
      </c>
      <c r="N950" t="n">
        <v>0</v>
      </c>
      <c r="O950" t="n">
        <v>0</v>
      </c>
      <c r="P950" t="n">
        <v>0</v>
      </c>
      <c r="Q950" t="n">
        <v>0</v>
      </c>
      <c r="R950" s="2" t="inlineStr"/>
    </row>
    <row r="951" ht="15" customHeight="1">
      <c r="A951" t="inlineStr">
        <is>
          <t>A 29420-2024</t>
        </is>
      </c>
      <c r="B951" s="1" t="n">
        <v>45483</v>
      </c>
      <c r="C951" s="1" t="n">
        <v>45895</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38048-2023</t>
        </is>
      </c>
      <c r="B952" s="1" t="n">
        <v>45160.67677083334</v>
      </c>
      <c r="C952" s="1" t="n">
        <v>45895</v>
      </c>
      <c r="D952" t="inlineStr">
        <is>
          <t>KALMAR LÄN</t>
        </is>
      </c>
      <c r="E952" t="inlineStr">
        <is>
          <t>VÄSTERVIK</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17648-2023</t>
        </is>
      </c>
      <c r="B953" s="1" t="n">
        <v>45036</v>
      </c>
      <c r="C953" s="1" t="n">
        <v>45895</v>
      </c>
      <c r="D953" t="inlineStr">
        <is>
          <t>KALMAR LÄN</t>
        </is>
      </c>
      <c r="E953" t="inlineStr">
        <is>
          <t>VÄSTERVIK</t>
        </is>
      </c>
      <c r="G953" t="n">
        <v>0.4</v>
      </c>
      <c r="H953" t="n">
        <v>0</v>
      </c>
      <c r="I953" t="n">
        <v>0</v>
      </c>
      <c r="J953" t="n">
        <v>0</v>
      </c>
      <c r="K953" t="n">
        <v>0</v>
      </c>
      <c r="L953" t="n">
        <v>0</v>
      </c>
      <c r="M953" t="n">
        <v>0</v>
      </c>
      <c r="N953" t="n">
        <v>0</v>
      </c>
      <c r="O953" t="n">
        <v>0</v>
      </c>
      <c r="P953" t="n">
        <v>0</v>
      </c>
      <c r="Q953" t="n">
        <v>0</v>
      </c>
      <c r="R953" s="2" t="inlineStr"/>
    </row>
    <row r="954" ht="15" customHeight="1">
      <c r="A954" t="inlineStr">
        <is>
          <t>A 25714-2023</t>
        </is>
      </c>
      <c r="B954" s="1" t="n">
        <v>45089</v>
      </c>
      <c r="C954" s="1" t="n">
        <v>45895</v>
      </c>
      <c r="D954" t="inlineStr">
        <is>
          <t>KALMAR LÄN</t>
        </is>
      </c>
      <c r="E954" t="inlineStr">
        <is>
          <t>VÄSTERVIK</t>
        </is>
      </c>
      <c r="G954" t="n">
        <v>10.5</v>
      </c>
      <c r="H954" t="n">
        <v>0</v>
      </c>
      <c r="I954" t="n">
        <v>0</v>
      </c>
      <c r="J954" t="n">
        <v>0</v>
      </c>
      <c r="K954" t="n">
        <v>0</v>
      </c>
      <c r="L954" t="n">
        <v>0</v>
      </c>
      <c r="M954" t="n">
        <v>0</v>
      </c>
      <c r="N954" t="n">
        <v>0</v>
      </c>
      <c r="O954" t="n">
        <v>0</v>
      </c>
      <c r="P954" t="n">
        <v>0</v>
      </c>
      <c r="Q954" t="n">
        <v>0</v>
      </c>
      <c r="R954" s="2" t="inlineStr"/>
    </row>
    <row r="955" ht="15" customHeight="1">
      <c r="A955" t="inlineStr">
        <is>
          <t>A 45202-2023</t>
        </is>
      </c>
      <c r="B955" s="1" t="n">
        <v>45191</v>
      </c>
      <c r="C955" s="1" t="n">
        <v>45895</v>
      </c>
      <c r="D955" t="inlineStr">
        <is>
          <t>KALMAR LÄN</t>
        </is>
      </c>
      <c r="E955" t="inlineStr">
        <is>
          <t>VÄSTERVIK</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52845-2023</t>
        </is>
      </c>
      <c r="B956" s="1" t="n">
        <v>45226.43667824074</v>
      </c>
      <c r="C956" s="1" t="n">
        <v>45895</v>
      </c>
      <c r="D956" t="inlineStr">
        <is>
          <t>KALMAR LÄN</t>
        </is>
      </c>
      <c r="E956" t="inlineStr">
        <is>
          <t>VÄSTERVIK</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28952-2023</t>
        </is>
      </c>
      <c r="B957" s="1" t="n">
        <v>45104</v>
      </c>
      <c r="C957" s="1" t="n">
        <v>45895</v>
      </c>
      <c r="D957" t="inlineStr">
        <is>
          <t>KALMAR LÄN</t>
        </is>
      </c>
      <c r="E957" t="inlineStr">
        <is>
          <t>VÄSTERVIK</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14114-2025</t>
        </is>
      </c>
      <c r="B958" s="1" t="n">
        <v>45740.45964120371</v>
      </c>
      <c r="C958" s="1" t="n">
        <v>45895</v>
      </c>
      <c r="D958" t="inlineStr">
        <is>
          <t>KALMAR LÄN</t>
        </is>
      </c>
      <c r="E958" t="inlineStr">
        <is>
          <t>VÄSTERVIK</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37986-2023</t>
        </is>
      </c>
      <c r="B959" s="1" t="n">
        <v>45160.60331018519</v>
      </c>
      <c r="C959" s="1" t="n">
        <v>45895</v>
      </c>
      <c r="D959" t="inlineStr">
        <is>
          <t>KALMAR LÄN</t>
        </is>
      </c>
      <c r="E959" t="inlineStr">
        <is>
          <t>VÄSTERVIK</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61448-2023</t>
        </is>
      </c>
      <c r="B960" s="1" t="n">
        <v>45264.81439814815</v>
      </c>
      <c r="C960" s="1" t="n">
        <v>45895</v>
      </c>
      <c r="D960" t="inlineStr">
        <is>
          <t>KALMAR LÄN</t>
        </is>
      </c>
      <c r="E960" t="inlineStr">
        <is>
          <t>VÄSTERVIK</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61449-2023</t>
        </is>
      </c>
      <c r="B961" s="1" t="n">
        <v>45264.81490740741</v>
      </c>
      <c r="C961" s="1" t="n">
        <v>45895</v>
      </c>
      <c r="D961" t="inlineStr">
        <is>
          <t>KALMAR LÄN</t>
        </is>
      </c>
      <c r="E961" t="inlineStr">
        <is>
          <t>VÄSTERVIK</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24877-2023</t>
        </is>
      </c>
      <c r="B962" s="1" t="n">
        <v>45085.43271990741</v>
      </c>
      <c r="C962" s="1" t="n">
        <v>45895</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29789-2024</t>
        </is>
      </c>
      <c r="B963" s="1" t="n">
        <v>45485.46721064814</v>
      </c>
      <c r="C963" s="1" t="n">
        <v>45895</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25488-2023</t>
        </is>
      </c>
      <c r="B964" s="1" t="n">
        <v>45089</v>
      </c>
      <c r="C964" s="1" t="n">
        <v>45895</v>
      </c>
      <c r="D964" t="inlineStr">
        <is>
          <t>KALMAR LÄN</t>
        </is>
      </c>
      <c r="E964" t="inlineStr">
        <is>
          <t>VÄSTERVIK</t>
        </is>
      </c>
      <c r="G964" t="n">
        <v>2.3</v>
      </c>
      <c r="H964" t="n">
        <v>0</v>
      </c>
      <c r="I964" t="n">
        <v>0</v>
      </c>
      <c r="J964" t="n">
        <v>0</v>
      </c>
      <c r="K964" t="n">
        <v>0</v>
      </c>
      <c r="L964" t="n">
        <v>0</v>
      </c>
      <c r="M964" t="n">
        <v>0</v>
      </c>
      <c r="N964" t="n">
        <v>0</v>
      </c>
      <c r="O964" t="n">
        <v>0</v>
      </c>
      <c r="P964" t="n">
        <v>0</v>
      </c>
      <c r="Q964" t="n">
        <v>0</v>
      </c>
      <c r="R964" s="2" t="inlineStr"/>
    </row>
    <row r="965" ht="15" customHeight="1">
      <c r="A965" t="inlineStr">
        <is>
          <t>A 14212-2022</t>
        </is>
      </c>
      <c r="B965" s="1" t="n">
        <v>44651</v>
      </c>
      <c r="C965" s="1" t="n">
        <v>45895</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52774-2024</t>
        </is>
      </c>
      <c r="B966" s="1" t="n">
        <v>45610.53413194444</v>
      </c>
      <c r="C966" s="1" t="n">
        <v>45895</v>
      </c>
      <c r="D966" t="inlineStr">
        <is>
          <t>KALMAR LÄN</t>
        </is>
      </c>
      <c r="E966" t="inlineStr">
        <is>
          <t>VÄSTERVIK</t>
        </is>
      </c>
      <c r="F966" t="inlineStr">
        <is>
          <t>Holmen skog AB</t>
        </is>
      </c>
      <c r="G966" t="n">
        <v>2.9</v>
      </c>
      <c r="H966" t="n">
        <v>0</v>
      </c>
      <c r="I966" t="n">
        <v>0</v>
      </c>
      <c r="J966" t="n">
        <v>0</v>
      </c>
      <c r="K966" t="n">
        <v>0</v>
      </c>
      <c r="L966" t="n">
        <v>0</v>
      </c>
      <c r="M966" t="n">
        <v>0</v>
      </c>
      <c r="N966" t="n">
        <v>0</v>
      </c>
      <c r="O966" t="n">
        <v>0</v>
      </c>
      <c r="P966" t="n">
        <v>0</v>
      </c>
      <c r="Q966" t="n">
        <v>0</v>
      </c>
      <c r="R966" s="2" t="inlineStr"/>
    </row>
    <row r="967" ht="15" customHeight="1">
      <c r="A967" t="inlineStr">
        <is>
          <t>A 14105-2025</t>
        </is>
      </c>
      <c r="B967" s="1" t="n">
        <v>45740.45425925926</v>
      </c>
      <c r="C967" s="1" t="n">
        <v>45895</v>
      </c>
      <c r="D967" t="inlineStr">
        <is>
          <t>KALMAR LÄN</t>
        </is>
      </c>
      <c r="E967" t="inlineStr">
        <is>
          <t>VÄSTERVIK</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14109-2025</t>
        </is>
      </c>
      <c r="B968" s="1" t="n">
        <v>45740.45748842593</v>
      </c>
      <c r="C968" s="1" t="n">
        <v>45895</v>
      </c>
      <c r="D968" t="inlineStr">
        <is>
          <t>KALMAR LÄN</t>
        </is>
      </c>
      <c r="E968" t="inlineStr">
        <is>
          <t>VÄSTERVIK</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352-2023</t>
        </is>
      </c>
      <c r="B969" s="1" t="n">
        <v>44929.51619212963</v>
      </c>
      <c r="C969" s="1" t="n">
        <v>45895</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13843-2024</t>
        </is>
      </c>
      <c r="B970" s="1" t="n">
        <v>45391.45087962963</v>
      </c>
      <c r="C970" s="1" t="n">
        <v>45895</v>
      </c>
      <c r="D970" t="inlineStr">
        <is>
          <t>KALMAR LÄN</t>
        </is>
      </c>
      <c r="E970" t="inlineStr">
        <is>
          <t>VÄSTERVIK</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57804-2021</t>
        </is>
      </c>
      <c r="B971" s="1" t="n">
        <v>44484</v>
      </c>
      <c r="C971" s="1" t="n">
        <v>45895</v>
      </c>
      <c r="D971" t="inlineStr">
        <is>
          <t>KALMAR LÄN</t>
        </is>
      </c>
      <c r="E971" t="inlineStr">
        <is>
          <t>VÄSTERVIK</t>
        </is>
      </c>
      <c r="G971" t="n">
        <v>1.6</v>
      </c>
      <c r="H971" t="n">
        <v>0</v>
      </c>
      <c r="I971" t="n">
        <v>0</v>
      </c>
      <c r="J971" t="n">
        <v>0</v>
      </c>
      <c r="K971" t="n">
        <v>0</v>
      </c>
      <c r="L971" t="n">
        <v>0</v>
      </c>
      <c r="M971" t="n">
        <v>0</v>
      </c>
      <c r="N971" t="n">
        <v>0</v>
      </c>
      <c r="O971" t="n">
        <v>0</v>
      </c>
      <c r="P971" t="n">
        <v>0</v>
      </c>
      <c r="Q971" t="n">
        <v>0</v>
      </c>
      <c r="R971" s="2" t="inlineStr"/>
    </row>
    <row r="972" ht="15" customHeight="1">
      <c r="A972" t="inlineStr">
        <is>
          <t>A 59675-2022</t>
        </is>
      </c>
      <c r="B972" s="1" t="n">
        <v>44908</v>
      </c>
      <c r="C972" s="1" t="n">
        <v>45895</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28894-2023</t>
        </is>
      </c>
      <c r="B973" s="1" t="n">
        <v>45104.49659722222</v>
      </c>
      <c r="C973" s="1" t="n">
        <v>45895</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55050-2024</t>
        </is>
      </c>
      <c r="B974" s="1" t="n">
        <v>45621.39759259259</v>
      </c>
      <c r="C974" s="1" t="n">
        <v>45895</v>
      </c>
      <c r="D974" t="inlineStr">
        <is>
          <t>KALMAR LÄN</t>
        </is>
      </c>
      <c r="E974" t="inlineStr">
        <is>
          <t>VÄSTERVIK</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21942-2023</t>
        </is>
      </c>
      <c r="B975" s="1" t="n">
        <v>45068</v>
      </c>
      <c r="C975" s="1" t="n">
        <v>45895</v>
      </c>
      <c r="D975" t="inlineStr">
        <is>
          <t>KALMAR LÄN</t>
        </is>
      </c>
      <c r="E975" t="inlineStr">
        <is>
          <t>VÄSTERVIK</t>
        </is>
      </c>
      <c r="G975" t="n">
        <v>1.3</v>
      </c>
      <c r="H975" t="n">
        <v>0</v>
      </c>
      <c r="I975" t="n">
        <v>0</v>
      </c>
      <c r="J975" t="n">
        <v>0</v>
      </c>
      <c r="K975" t="n">
        <v>0</v>
      </c>
      <c r="L975" t="n">
        <v>0</v>
      </c>
      <c r="M975" t="n">
        <v>0</v>
      </c>
      <c r="N975" t="n">
        <v>0</v>
      </c>
      <c r="O975" t="n">
        <v>0</v>
      </c>
      <c r="P975" t="n">
        <v>0</v>
      </c>
      <c r="Q975" t="n">
        <v>0</v>
      </c>
      <c r="R975" s="2" t="inlineStr"/>
    </row>
    <row r="976" ht="15" customHeight="1">
      <c r="A976" t="inlineStr">
        <is>
          <t>A 19333-2023</t>
        </is>
      </c>
      <c r="B976" s="1" t="n">
        <v>45049.566875</v>
      </c>
      <c r="C976" s="1" t="n">
        <v>45895</v>
      </c>
      <c r="D976" t="inlineStr">
        <is>
          <t>KALMAR LÄN</t>
        </is>
      </c>
      <c r="E976" t="inlineStr">
        <is>
          <t>VÄSTERVIK</t>
        </is>
      </c>
      <c r="G976" t="n">
        <v>0.5</v>
      </c>
      <c r="H976" t="n">
        <v>0</v>
      </c>
      <c r="I976" t="n">
        <v>0</v>
      </c>
      <c r="J976" t="n">
        <v>0</v>
      </c>
      <c r="K976" t="n">
        <v>0</v>
      </c>
      <c r="L976" t="n">
        <v>0</v>
      </c>
      <c r="M976" t="n">
        <v>0</v>
      </c>
      <c r="N976" t="n">
        <v>0</v>
      </c>
      <c r="O976" t="n">
        <v>0</v>
      </c>
      <c r="P976" t="n">
        <v>0</v>
      </c>
      <c r="Q976" t="n">
        <v>0</v>
      </c>
      <c r="R976" s="2" t="inlineStr"/>
    </row>
    <row r="977" ht="15" customHeight="1">
      <c r="A977" t="inlineStr">
        <is>
          <t>A 15097-2023</t>
        </is>
      </c>
      <c r="B977" s="1" t="n">
        <v>45016</v>
      </c>
      <c r="C977" s="1" t="n">
        <v>45895</v>
      </c>
      <c r="D977" t="inlineStr">
        <is>
          <t>KALMAR LÄN</t>
        </is>
      </c>
      <c r="E977" t="inlineStr">
        <is>
          <t>VÄSTERVIK</t>
        </is>
      </c>
      <c r="G977" t="n">
        <v>5.9</v>
      </c>
      <c r="H977" t="n">
        <v>0</v>
      </c>
      <c r="I977" t="n">
        <v>0</v>
      </c>
      <c r="J977" t="n">
        <v>0</v>
      </c>
      <c r="K977" t="n">
        <v>0</v>
      </c>
      <c r="L977" t="n">
        <v>0</v>
      </c>
      <c r="M977" t="n">
        <v>0</v>
      </c>
      <c r="N977" t="n">
        <v>0</v>
      </c>
      <c r="O977" t="n">
        <v>0</v>
      </c>
      <c r="P977" t="n">
        <v>0</v>
      </c>
      <c r="Q977" t="n">
        <v>0</v>
      </c>
      <c r="R977" s="2" t="inlineStr"/>
    </row>
    <row r="978" ht="15" customHeight="1">
      <c r="A978" t="inlineStr">
        <is>
          <t>A 18395-2024</t>
        </is>
      </c>
      <c r="B978" s="1" t="n">
        <v>45424.98380787037</v>
      </c>
      <c r="C978" s="1" t="n">
        <v>45895</v>
      </c>
      <c r="D978" t="inlineStr">
        <is>
          <t>KALMAR LÄN</t>
        </is>
      </c>
      <c r="E978" t="inlineStr">
        <is>
          <t>VÄSTERVIK</t>
        </is>
      </c>
      <c r="F978" t="inlineStr">
        <is>
          <t>Holmen skog AB</t>
        </is>
      </c>
      <c r="G978" t="n">
        <v>8.5</v>
      </c>
      <c r="H978" t="n">
        <v>0</v>
      </c>
      <c r="I978" t="n">
        <v>0</v>
      </c>
      <c r="J978" t="n">
        <v>0</v>
      </c>
      <c r="K978" t="n">
        <v>0</v>
      </c>
      <c r="L978" t="n">
        <v>0</v>
      </c>
      <c r="M978" t="n">
        <v>0</v>
      </c>
      <c r="N978" t="n">
        <v>0</v>
      </c>
      <c r="O978" t="n">
        <v>0</v>
      </c>
      <c r="P978" t="n">
        <v>0</v>
      </c>
      <c r="Q978" t="n">
        <v>0</v>
      </c>
      <c r="R978" s="2" t="inlineStr"/>
    </row>
    <row r="979" ht="15" customHeight="1">
      <c r="A979" t="inlineStr">
        <is>
          <t>A 2314-2023</t>
        </is>
      </c>
      <c r="B979" s="1" t="n">
        <v>44942</v>
      </c>
      <c r="C979" s="1" t="n">
        <v>45895</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38040-2023</t>
        </is>
      </c>
      <c r="B980" s="1" t="n">
        <v>45160.66336805555</v>
      </c>
      <c r="C980" s="1" t="n">
        <v>45895</v>
      </c>
      <c r="D980" t="inlineStr">
        <is>
          <t>KALMAR LÄN</t>
        </is>
      </c>
      <c r="E980" t="inlineStr">
        <is>
          <t>VÄSTERVIK</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55609-2024</t>
        </is>
      </c>
      <c r="B981" s="1" t="n">
        <v>45622.58350694444</v>
      </c>
      <c r="C981" s="1" t="n">
        <v>45895</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33208-2022</t>
        </is>
      </c>
      <c r="B982" s="1" t="n">
        <v>44785</v>
      </c>
      <c r="C982" s="1" t="n">
        <v>45895</v>
      </c>
      <c r="D982" t="inlineStr">
        <is>
          <t>KALMAR LÄN</t>
        </is>
      </c>
      <c r="E982" t="inlineStr">
        <is>
          <t>VÄSTERVIK</t>
        </is>
      </c>
      <c r="G982" t="n">
        <v>2.6</v>
      </c>
      <c r="H982" t="n">
        <v>0</v>
      </c>
      <c r="I982" t="n">
        <v>0</v>
      </c>
      <c r="J982" t="n">
        <v>0</v>
      </c>
      <c r="K982" t="n">
        <v>0</v>
      </c>
      <c r="L982" t="n">
        <v>0</v>
      </c>
      <c r="M982" t="n">
        <v>0</v>
      </c>
      <c r="N982" t="n">
        <v>0</v>
      </c>
      <c r="O982" t="n">
        <v>0</v>
      </c>
      <c r="P982" t="n">
        <v>0</v>
      </c>
      <c r="Q982" t="n">
        <v>0</v>
      </c>
      <c r="R982" s="2" t="inlineStr"/>
    </row>
    <row r="983" ht="15" customHeight="1">
      <c r="A983" t="inlineStr">
        <is>
          <t>A 12652-2022</t>
        </is>
      </c>
      <c r="B983" s="1" t="n">
        <v>44641</v>
      </c>
      <c r="C983" s="1" t="n">
        <v>45895</v>
      </c>
      <c r="D983" t="inlineStr">
        <is>
          <t>KALMAR LÄN</t>
        </is>
      </c>
      <c r="E983" t="inlineStr">
        <is>
          <t>VÄSTERVIK</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17307-2023</t>
        </is>
      </c>
      <c r="B984" s="1" t="n">
        <v>45035.53497685185</v>
      </c>
      <c r="C984" s="1" t="n">
        <v>45895</v>
      </c>
      <c r="D984" t="inlineStr">
        <is>
          <t>KALMAR LÄN</t>
        </is>
      </c>
      <c r="E984" t="inlineStr">
        <is>
          <t>VÄSTERVIK</t>
        </is>
      </c>
      <c r="G984" t="n">
        <v>0</v>
      </c>
      <c r="H984" t="n">
        <v>0</v>
      </c>
      <c r="I984" t="n">
        <v>0</v>
      </c>
      <c r="J984" t="n">
        <v>0</v>
      </c>
      <c r="K984" t="n">
        <v>0</v>
      </c>
      <c r="L984" t="n">
        <v>0</v>
      </c>
      <c r="M984" t="n">
        <v>0</v>
      </c>
      <c r="N984" t="n">
        <v>0</v>
      </c>
      <c r="O984" t="n">
        <v>0</v>
      </c>
      <c r="P984" t="n">
        <v>0</v>
      </c>
      <c r="Q984" t="n">
        <v>0</v>
      </c>
      <c r="R984" s="2" t="inlineStr"/>
    </row>
    <row r="985" ht="15" customHeight="1">
      <c r="A985" t="inlineStr">
        <is>
          <t>A 23992-2021</t>
        </is>
      </c>
      <c r="B985" s="1" t="n">
        <v>44335</v>
      </c>
      <c r="C985" s="1" t="n">
        <v>45895</v>
      </c>
      <c r="D985" t="inlineStr">
        <is>
          <t>KALMAR LÄN</t>
        </is>
      </c>
      <c r="E985" t="inlineStr">
        <is>
          <t>VÄSTERVIK</t>
        </is>
      </c>
      <c r="G985" t="n">
        <v>3.1</v>
      </c>
      <c r="H985" t="n">
        <v>0</v>
      </c>
      <c r="I985" t="n">
        <v>0</v>
      </c>
      <c r="J985" t="n">
        <v>0</v>
      </c>
      <c r="K985" t="n">
        <v>0</v>
      </c>
      <c r="L985" t="n">
        <v>0</v>
      </c>
      <c r="M985" t="n">
        <v>0</v>
      </c>
      <c r="N985" t="n">
        <v>0</v>
      </c>
      <c r="O985" t="n">
        <v>0</v>
      </c>
      <c r="P985" t="n">
        <v>0</v>
      </c>
      <c r="Q985" t="n">
        <v>0</v>
      </c>
      <c r="R985" s="2" t="inlineStr"/>
    </row>
    <row r="986" ht="15" customHeight="1">
      <c r="A986" t="inlineStr">
        <is>
          <t>A 59331-2023</t>
        </is>
      </c>
      <c r="B986" s="1" t="n">
        <v>45253</v>
      </c>
      <c r="C986" s="1" t="n">
        <v>45895</v>
      </c>
      <c r="D986" t="inlineStr">
        <is>
          <t>KALMAR LÄN</t>
        </is>
      </c>
      <c r="E986" t="inlineStr">
        <is>
          <t>VÄSTERVIK</t>
        </is>
      </c>
      <c r="G986" t="n">
        <v>3.9</v>
      </c>
      <c r="H986" t="n">
        <v>0</v>
      </c>
      <c r="I986" t="n">
        <v>0</v>
      </c>
      <c r="J986" t="n">
        <v>0</v>
      </c>
      <c r="K986" t="n">
        <v>0</v>
      </c>
      <c r="L986" t="n">
        <v>0</v>
      </c>
      <c r="M986" t="n">
        <v>0</v>
      </c>
      <c r="N986" t="n">
        <v>0</v>
      </c>
      <c r="O986" t="n">
        <v>0</v>
      </c>
      <c r="P986" t="n">
        <v>0</v>
      </c>
      <c r="Q986" t="n">
        <v>0</v>
      </c>
      <c r="R986" s="2" t="inlineStr"/>
    </row>
    <row r="987" ht="15" customHeight="1">
      <c r="A987" t="inlineStr">
        <is>
          <t>A 35667-2023</t>
        </is>
      </c>
      <c r="B987" s="1" t="n">
        <v>45147.60667824074</v>
      </c>
      <c r="C987" s="1" t="n">
        <v>45895</v>
      </c>
      <c r="D987" t="inlineStr">
        <is>
          <t>KALMAR LÄN</t>
        </is>
      </c>
      <c r="E987" t="inlineStr">
        <is>
          <t>VÄSTERVIK</t>
        </is>
      </c>
      <c r="G987" t="n">
        <v>1.8</v>
      </c>
      <c r="H987" t="n">
        <v>0</v>
      </c>
      <c r="I987" t="n">
        <v>0</v>
      </c>
      <c r="J987" t="n">
        <v>0</v>
      </c>
      <c r="K987" t="n">
        <v>0</v>
      </c>
      <c r="L987" t="n">
        <v>0</v>
      </c>
      <c r="M987" t="n">
        <v>0</v>
      </c>
      <c r="N987" t="n">
        <v>0</v>
      </c>
      <c r="O987" t="n">
        <v>0</v>
      </c>
      <c r="P987" t="n">
        <v>0</v>
      </c>
      <c r="Q987" t="n">
        <v>0</v>
      </c>
      <c r="R987" s="2" t="inlineStr"/>
    </row>
    <row r="988" ht="15" customHeight="1">
      <c r="A988" t="inlineStr">
        <is>
          <t>A 15875-2023</t>
        </is>
      </c>
      <c r="B988" s="1" t="n">
        <v>45022.41916666667</v>
      </c>
      <c r="C988" s="1" t="n">
        <v>45895</v>
      </c>
      <c r="D988" t="inlineStr">
        <is>
          <t>KALMAR LÄN</t>
        </is>
      </c>
      <c r="E988" t="inlineStr">
        <is>
          <t>VÄSTERVIK</t>
        </is>
      </c>
      <c r="F988" t="inlineStr">
        <is>
          <t>Kyrkan</t>
        </is>
      </c>
      <c r="G988" t="n">
        <v>3.2</v>
      </c>
      <c r="H988" t="n">
        <v>0</v>
      </c>
      <c r="I988" t="n">
        <v>0</v>
      </c>
      <c r="J988" t="n">
        <v>0</v>
      </c>
      <c r="K988" t="n">
        <v>0</v>
      </c>
      <c r="L988" t="n">
        <v>0</v>
      </c>
      <c r="M988" t="n">
        <v>0</v>
      </c>
      <c r="N988" t="n">
        <v>0</v>
      </c>
      <c r="O988" t="n">
        <v>0</v>
      </c>
      <c r="P988" t="n">
        <v>0</v>
      </c>
      <c r="Q988" t="n">
        <v>0</v>
      </c>
      <c r="R988" s="2" t="inlineStr"/>
    </row>
    <row r="989" ht="15" customHeight="1">
      <c r="A989" t="inlineStr">
        <is>
          <t>A 60478-2024</t>
        </is>
      </c>
      <c r="B989" s="1" t="n">
        <v>45643</v>
      </c>
      <c r="C989" s="1" t="n">
        <v>45895</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14385-2023</t>
        </is>
      </c>
      <c r="B990" s="1" t="n">
        <v>45012</v>
      </c>
      <c r="C990" s="1" t="n">
        <v>45895</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48446-2024</t>
        </is>
      </c>
      <c r="B991" s="1" t="n">
        <v>45590.69163194444</v>
      </c>
      <c r="C991" s="1" t="n">
        <v>45895</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23873-2024</t>
        </is>
      </c>
      <c r="B992" s="1" t="n">
        <v>45455</v>
      </c>
      <c r="C992" s="1" t="n">
        <v>45895</v>
      </c>
      <c r="D992" t="inlineStr">
        <is>
          <t>KALMAR LÄN</t>
        </is>
      </c>
      <c r="E992" t="inlineStr">
        <is>
          <t>VÄSTERVIK</t>
        </is>
      </c>
      <c r="F992" t="inlineStr">
        <is>
          <t>Övriga Aktiebolag</t>
        </is>
      </c>
      <c r="G992" t="n">
        <v>0.7</v>
      </c>
      <c r="H992" t="n">
        <v>0</v>
      </c>
      <c r="I992" t="n">
        <v>0</v>
      </c>
      <c r="J992" t="n">
        <v>0</v>
      </c>
      <c r="K992" t="n">
        <v>0</v>
      </c>
      <c r="L992" t="n">
        <v>0</v>
      </c>
      <c r="M992" t="n">
        <v>0</v>
      </c>
      <c r="N992" t="n">
        <v>0</v>
      </c>
      <c r="O992" t="n">
        <v>0</v>
      </c>
      <c r="P992" t="n">
        <v>0</v>
      </c>
      <c r="Q992" t="n">
        <v>0</v>
      </c>
      <c r="R992" s="2" t="inlineStr"/>
    </row>
    <row r="993" ht="15" customHeight="1">
      <c r="A993" t="inlineStr">
        <is>
          <t>A 29784-2024</t>
        </is>
      </c>
      <c r="B993" s="1" t="n">
        <v>45485.46129629629</v>
      </c>
      <c r="C993" s="1" t="n">
        <v>45895</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24562-2024</t>
        </is>
      </c>
      <c r="B994" s="1" t="n">
        <v>45460</v>
      </c>
      <c r="C994" s="1" t="n">
        <v>45895</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10807-2023</t>
        </is>
      </c>
      <c r="B995" s="1" t="n">
        <v>44989.64261574074</v>
      </c>
      <c r="C995" s="1" t="n">
        <v>45895</v>
      </c>
      <c r="D995" t="inlineStr">
        <is>
          <t>KALMAR LÄN</t>
        </is>
      </c>
      <c r="E995" t="inlineStr">
        <is>
          <t>VÄSTERVIK</t>
        </is>
      </c>
      <c r="G995" t="n">
        <v>0.4</v>
      </c>
      <c r="H995" t="n">
        <v>0</v>
      </c>
      <c r="I995" t="n">
        <v>0</v>
      </c>
      <c r="J995" t="n">
        <v>0</v>
      </c>
      <c r="K995" t="n">
        <v>0</v>
      </c>
      <c r="L995" t="n">
        <v>0</v>
      </c>
      <c r="M995" t="n">
        <v>0</v>
      </c>
      <c r="N995" t="n">
        <v>0</v>
      </c>
      <c r="O995" t="n">
        <v>0</v>
      </c>
      <c r="P995" t="n">
        <v>0</v>
      </c>
      <c r="Q995" t="n">
        <v>0</v>
      </c>
      <c r="R995" s="2" t="inlineStr"/>
    </row>
    <row r="996" ht="15" customHeight="1">
      <c r="A996" t="inlineStr">
        <is>
          <t>A 9110-2023</t>
        </is>
      </c>
      <c r="B996" s="1" t="n">
        <v>44979</v>
      </c>
      <c r="C996" s="1" t="n">
        <v>45895</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9112-2023</t>
        </is>
      </c>
      <c r="B997" s="1" t="n">
        <v>44979</v>
      </c>
      <c r="C997" s="1" t="n">
        <v>45895</v>
      </c>
      <c r="D997" t="inlineStr">
        <is>
          <t>KALMAR LÄN</t>
        </is>
      </c>
      <c r="E997" t="inlineStr">
        <is>
          <t>VÄSTERVIK</t>
        </is>
      </c>
      <c r="G997" t="n">
        <v>1.8</v>
      </c>
      <c r="H997" t="n">
        <v>0</v>
      </c>
      <c r="I997" t="n">
        <v>0</v>
      </c>
      <c r="J997" t="n">
        <v>0</v>
      </c>
      <c r="K997" t="n">
        <v>0</v>
      </c>
      <c r="L997" t="n">
        <v>0</v>
      </c>
      <c r="M997" t="n">
        <v>0</v>
      </c>
      <c r="N997" t="n">
        <v>0</v>
      </c>
      <c r="O997" t="n">
        <v>0</v>
      </c>
      <c r="P997" t="n">
        <v>0</v>
      </c>
      <c r="Q997" t="n">
        <v>0</v>
      </c>
      <c r="R997" s="2" t="inlineStr"/>
    </row>
    <row r="998" ht="15" customHeight="1">
      <c r="A998" t="inlineStr">
        <is>
          <t>A 22740-2024</t>
        </is>
      </c>
      <c r="B998" s="1" t="n">
        <v>45448.39869212963</v>
      </c>
      <c r="C998" s="1" t="n">
        <v>45895</v>
      </c>
      <c r="D998" t="inlineStr">
        <is>
          <t>KALMAR LÄN</t>
        </is>
      </c>
      <c r="E998" t="inlineStr">
        <is>
          <t>VÄSTERVIK</t>
        </is>
      </c>
      <c r="F998" t="inlineStr">
        <is>
          <t>Holmen skog AB</t>
        </is>
      </c>
      <c r="G998" t="n">
        <v>2.5</v>
      </c>
      <c r="H998" t="n">
        <v>0</v>
      </c>
      <c r="I998" t="n">
        <v>0</v>
      </c>
      <c r="J998" t="n">
        <v>0</v>
      </c>
      <c r="K998" t="n">
        <v>0</v>
      </c>
      <c r="L998" t="n">
        <v>0</v>
      </c>
      <c r="M998" t="n">
        <v>0</v>
      </c>
      <c r="N998" t="n">
        <v>0</v>
      </c>
      <c r="O998" t="n">
        <v>0</v>
      </c>
      <c r="P998" t="n">
        <v>0</v>
      </c>
      <c r="Q998" t="n">
        <v>0</v>
      </c>
      <c r="R998" s="2" t="inlineStr"/>
    </row>
    <row r="999" ht="15" customHeight="1">
      <c r="A999" t="inlineStr">
        <is>
          <t>A 32763-2022</t>
        </is>
      </c>
      <c r="B999" s="1" t="n">
        <v>44783</v>
      </c>
      <c r="C999" s="1" t="n">
        <v>45895</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24829-2022</t>
        </is>
      </c>
      <c r="B1000" s="1" t="n">
        <v>44728.45674768519</v>
      </c>
      <c r="C1000" s="1" t="n">
        <v>45895</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57802-2024</t>
        </is>
      </c>
      <c r="B1001" s="1" t="n">
        <v>45631.34590277778</v>
      </c>
      <c r="C1001" s="1" t="n">
        <v>45895</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17214-2024</t>
        </is>
      </c>
      <c r="B1002" s="1" t="n">
        <v>45414</v>
      </c>
      <c r="C1002" s="1" t="n">
        <v>45895</v>
      </c>
      <c r="D1002" t="inlineStr">
        <is>
          <t>KALMAR LÄN</t>
        </is>
      </c>
      <c r="E1002" t="inlineStr">
        <is>
          <t>VÄSTERVIK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15021-2025</t>
        </is>
      </c>
      <c r="B1003" s="1" t="n">
        <v>45743.64482638889</v>
      </c>
      <c r="C1003" s="1" t="n">
        <v>45895</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35961-2023</t>
        </is>
      </c>
      <c r="B1004" s="1" t="n">
        <v>45148.85041666667</v>
      </c>
      <c r="C1004" s="1" t="n">
        <v>45895</v>
      </c>
      <c r="D1004" t="inlineStr">
        <is>
          <t>KALMAR LÄN</t>
        </is>
      </c>
      <c r="E1004" t="inlineStr">
        <is>
          <t>VÄSTERVIK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10808-2025</t>
        </is>
      </c>
      <c r="B1005" s="1" t="n">
        <v>45722.53427083333</v>
      </c>
      <c r="C1005" s="1" t="n">
        <v>45895</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43199-2024</t>
        </is>
      </c>
      <c r="B1006" s="1" t="n">
        <v>45567.68774305555</v>
      </c>
      <c r="C1006" s="1" t="n">
        <v>45895</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45895</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26285-2024</t>
        </is>
      </c>
      <c r="B1008" s="1" t="n">
        <v>45468.70357638889</v>
      </c>
      <c r="C1008" s="1" t="n">
        <v>45895</v>
      </c>
      <c r="D1008" t="inlineStr">
        <is>
          <t>KALMAR LÄN</t>
        </is>
      </c>
      <c r="E1008" t="inlineStr">
        <is>
          <t>VÄSTERVIK</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9037-2023</t>
        </is>
      </c>
      <c r="B1009" s="1" t="n">
        <v>44979.65015046296</v>
      </c>
      <c r="C1009" s="1" t="n">
        <v>45895</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50086-2023</t>
        </is>
      </c>
      <c r="B1010" s="1" t="n">
        <v>45215.59601851852</v>
      </c>
      <c r="C1010" s="1" t="n">
        <v>45895</v>
      </c>
      <c r="D1010" t="inlineStr">
        <is>
          <t>KALMAR LÄN</t>
        </is>
      </c>
      <c r="E1010" t="inlineStr">
        <is>
          <t>VÄSTERVIK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13275-2023</t>
        </is>
      </c>
      <c r="B1011" s="1" t="n">
        <v>45003</v>
      </c>
      <c r="C1011" s="1" t="n">
        <v>45895</v>
      </c>
      <c r="D1011" t="inlineStr">
        <is>
          <t>KALMAR LÄN</t>
        </is>
      </c>
      <c r="E1011" t="inlineStr">
        <is>
          <t>VÄSTERVIK</t>
        </is>
      </c>
      <c r="G1011" t="n">
        <v>1.6</v>
      </c>
      <c r="H1011" t="n">
        <v>0</v>
      </c>
      <c r="I1011" t="n">
        <v>0</v>
      </c>
      <c r="J1011" t="n">
        <v>0</v>
      </c>
      <c r="K1011" t="n">
        <v>0</v>
      </c>
      <c r="L1011" t="n">
        <v>0</v>
      </c>
      <c r="M1011" t="n">
        <v>0</v>
      </c>
      <c r="N1011" t="n">
        <v>0</v>
      </c>
      <c r="O1011" t="n">
        <v>0</v>
      </c>
      <c r="P1011" t="n">
        <v>0</v>
      </c>
      <c r="Q1011" t="n">
        <v>0</v>
      </c>
      <c r="R1011" s="2" t="inlineStr"/>
      <c r="U1011">
        <f>HYPERLINK("https://klasma.github.io/Logging_0883/knärot/A 13275-2023 karta knärot.png", "A 13275-2023")</f>
        <v/>
      </c>
      <c r="V1011">
        <f>HYPERLINK("https://klasma.github.io/Logging_0883/klagomål/A 13275-2023 FSC-klagomål.docx", "A 13275-2023")</f>
        <v/>
      </c>
      <c r="W1011">
        <f>HYPERLINK("https://klasma.github.io/Logging_0883/klagomålsmail/A 13275-2023 FSC-klagomål mail.docx", "A 13275-2023")</f>
        <v/>
      </c>
      <c r="X1011">
        <f>HYPERLINK("https://klasma.github.io/Logging_0883/tillsyn/A 13275-2023 tillsynsbegäran.docx", "A 13275-2023")</f>
        <v/>
      </c>
      <c r="Y1011">
        <f>HYPERLINK("https://klasma.github.io/Logging_0883/tillsynsmail/A 13275-2023 tillsynsbegäran mail.docx", "A 13275-2023")</f>
        <v/>
      </c>
    </row>
    <row r="1012" ht="15" customHeight="1">
      <c r="A1012" t="inlineStr">
        <is>
          <t>A 17200-2021</t>
        </is>
      </c>
      <c r="B1012" s="1" t="n">
        <v>44298.47847222222</v>
      </c>
      <c r="C1012" s="1" t="n">
        <v>45895</v>
      </c>
      <c r="D1012" t="inlineStr">
        <is>
          <t>KALMAR LÄN</t>
        </is>
      </c>
      <c r="E1012" t="inlineStr">
        <is>
          <t>VÄSTERVIK</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9042-2023</t>
        </is>
      </c>
      <c r="B1013" s="1" t="n">
        <v>44979</v>
      </c>
      <c r="C1013" s="1" t="n">
        <v>45895</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782-2024</t>
        </is>
      </c>
      <c r="B1014" s="1" t="n">
        <v>45300.55188657407</v>
      </c>
      <c r="C1014" s="1" t="n">
        <v>45895</v>
      </c>
      <c r="D1014" t="inlineStr">
        <is>
          <t>KALMAR LÄN</t>
        </is>
      </c>
      <c r="E1014" t="inlineStr">
        <is>
          <t>VÄSTERVIK</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69753-2021</t>
        </is>
      </c>
      <c r="B1015" s="1" t="n">
        <v>44532.56175925926</v>
      </c>
      <c r="C1015" s="1" t="n">
        <v>45895</v>
      </c>
      <c r="D1015" t="inlineStr">
        <is>
          <t>KALMAR LÄN</t>
        </is>
      </c>
      <c r="E1015" t="inlineStr">
        <is>
          <t>VÄSTERVIK</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808-2023</t>
        </is>
      </c>
      <c r="B1016" s="1" t="n">
        <v>44931</v>
      </c>
      <c r="C1016" s="1" t="n">
        <v>45895</v>
      </c>
      <c r="D1016" t="inlineStr">
        <is>
          <t>KALMAR LÄN</t>
        </is>
      </c>
      <c r="E1016" t="inlineStr">
        <is>
          <t>VÄSTERVIK</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8593-2023</t>
        </is>
      </c>
      <c r="B1017" s="1" t="n">
        <v>44977</v>
      </c>
      <c r="C1017" s="1" t="n">
        <v>45895</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33204-2022</t>
        </is>
      </c>
      <c r="B1018" s="1" t="n">
        <v>44785</v>
      </c>
      <c r="C1018" s="1" t="n">
        <v>45895</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39983-2024</t>
        </is>
      </c>
      <c r="B1019" s="1" t="n">
        <v>45553.61674768518</v>
      </c>
      <c r="C1019" s="1" t="n">
        <v>45895</v>
      </c>
      <c r="D1019" t="inlineStr">
        <is>
          <t>KALMAR LÄN</t>
        </is>
      </c>
      <c r="E1019" t="inlineStr">
        <is>
          <t>VÄSTERVIK</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11167-2024</t>
        </is>
      </c>
      <c r="B1020" s="1" t="n">
        <v>45371.4966087963</v>
      </c>
      <c r="C1020" s="1" t="n">
        <v>45895</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55828-2022</t>
        </is>
      </c>
      <c r="B1021" s="1" t="n">
        <v>44888</v>
      </c>
      <c r="C1021" s="1" t="n">
        <v>45895</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53077-2024</t>
        </is>
      </c>
      <c r="B1022" s="1" t="n">
        <v>45611.49178240741</v>
      </c>
      <c r="C1022" s="1" t="n">
        <v>45895</v>
      </c>
      <c r="D1022" t="inlineStr">
        <is>
          <t>KALMAR LÄN</t>
        </is>
      </c>
      <c r="E1022" t="inlineStr">
        <is>
          <t>VÄSTERVIK</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28222-2024</t>
        </is>
      </c>
      <c r="B1023" s="1" t="n">
        <v>45477.36993055556</v>
      </c>
      <c r="C1023" s="1" t="n">
        <v>45895</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29952-2022</t>
        </is>
      </c>
      <c r="B1024" s="1" t="n">
        <v>44756.62649305556</v>
      </c>
      <c r="C1024" s="1" t="n">
        <v>45895</v>
      </c>
      <c r="D1024" t="inlineStr">
        <is>
          <t>KALMAR LÄN</t>
        </is>
      </c>
      <c r="E1024" t="inlineStr">
        <is>
          <t>VÄSTERVIK</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63361-2023</t>
        </is>
      </c>
      <c r="B1025" s="1" t="n">
        <v>45274.46324074074</v>
      </c>
      <c r="C1025" s="1" t="n">
        <v>45895</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9267-2025</t>
        </is>
      </c>
      <c r="B1026" s="1" t="n">
        <v>45714.61418981481</v>
      </c>
      <c r="C1026" s="1" t="n">
        <v>45895</v>
      </c>
      <c r="D1026" t="inlineStr">
        <is>
          <t>KALMAR LÄN</t>
        </is>
      </c>
      <c r="E1026" t="inlineStr">
        <is>
          <t>VÄSTERVIK</t>
        </is>
      </c>
      <c r="F1026" t="inlineStr">
        <is>
          <t>Sveaskog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18880-2025</t>
        </is>
      </c>
      <c r="B1027" s="1" t="n">
        <v>45764.43959490741</v>
      </c>
      <c r="C1027" s="1" t="n">
        <v>45895</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5691-2025</t>
        </is>
      </c>
      <c r="B1028" s="1" t="n">
        <v>45694.37447916667</v>
      </c>
      <c r="C1028" s="1" t="n">
        <v>45895</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17652-2023</t>
        </is>
      </c>
      <c r="B1029" s="1" t="n">
        <v>45036.70626157407</v>
      </c>
      <c r="C1029" s="1" t="n">
        <v>45895</v>
      </c>
      <c r="D1029" t="inlineStr">
        <is>
          <t>KALMAR LÄN</t>
        </is>
      </c>
      <c r="E1029" t="inlineStr">
        <is>
          <t>VÄSTERVIK</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49706-2024</t>
        </is>
      </c>
      <c r="B1030" s="1" t="n">
        <v>45596.69706018519</v>
      </c>
      <c r="C1030" s="1" t="n">
        <v>45895</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5060-2025</t>
        </is>
      </c>
      <c r="B1031" s="1" t="n">
        <v>45691.47354166667</v>
      </c>
      <c r="C1031" s="1" t="n">
        <v>45895</v>
      </c>
      <c r="D1031" t="inlineStr">
        <is>
          <t>KALMAR LÄN</t>
        </is>
      </c>
      <c r="E1031" t="inlineStr">
        <is>
          <t>VÄSTERVIK</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c r="A1032" t="inlineStr">
        <is>
          <t>A 57019-2023</t>
        </is>
      </c>
      <c r="B1032" s="1" t="n">
        <v>45244</v>
      </c>
      <c r="C1032" s="1" t="n">
        <v>45895</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2025-08-26T08:33:43Z</dcterms:created>
  <dcterms:modified xmlns:dcterms="http://purl.org/dc/terms/" xmlns:xsi="http://www.w3.org/2001/XMLSchema-instance" xsi:type="dcterms:W3CDTF">2025-08-26T08:33:44Z</dcterms:modified>
</cp:coreProperties>
</file>