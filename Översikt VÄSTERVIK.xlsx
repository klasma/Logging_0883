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45801</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45801</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45801</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45801</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45801</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45801</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45801</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45801</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45801</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45801</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45801</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45801</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45801</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45801</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45801</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45801</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45801</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45801</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45801</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45801</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45801</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45801</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45801</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45801</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45801</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45801</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45801</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45801</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45801</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45801</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45801</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45801</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45801</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45801</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45801</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45801</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45801</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45801</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45801</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45801</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45801</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45801</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45801</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45801</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45801</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45801</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45801</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45801</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45801</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45801</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45801</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45801</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45801</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45801</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45801</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45801</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45801</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45801</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45801</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45801</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45801</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45801</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45801</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45801</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45801</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45801</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45801</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45801</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45801</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45801</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45801</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45801</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45801</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45801</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45801</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45801</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45801</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45801</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45801</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45801</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45801</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45801</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45801</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45801</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45801</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45801</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45801</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45801</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45801</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45801</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45801</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45801</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45801</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45801</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45801</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45801</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45801</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45801</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45801</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45801</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45801</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45801</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45801</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45801</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45801</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45801</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45801</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45801</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45801</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45801</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45801</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45801</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45801</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45801</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45801</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45801</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45801</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45801</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45801</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45801</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45801</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45801</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45801</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45801</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45801</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45801</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45801</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45801</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45801</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45801</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45801</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45801</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45801</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45801</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45801</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45801</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45801</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45801</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45801</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45801</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45801</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45801</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45801</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45801</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45801</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45801</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45801</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45801</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45801</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45801</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45801</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45801</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45801</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45801</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45801</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45801</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45801</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45801</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45801</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45801</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45801</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45801</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45801</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45801</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45801</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45801</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45801</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45801</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45801</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45801</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45801</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45801</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45801</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45801</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45801</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45801</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45801</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45801</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45801</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45801</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45801</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45801</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45801</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45801</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45801</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45801</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45801</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45801</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45801</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45801</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45801</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45801</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45801</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45801</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45801</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45801</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45801</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45801</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45801</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45801</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45801</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45801</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45801</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45801</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45801</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45801</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45801</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45801</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45801</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45801</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45801</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45801</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45801</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45801</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45801</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45801</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45801</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45801</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45801</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45801</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45801</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45801</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45801</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45801</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45801</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45801</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45801</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45801</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45801</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45801</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45801</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45801</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45801</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45801</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45801</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45801</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45801</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45801</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45801</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45801</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45801</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45801</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45801</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45801</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45801</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45801</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45801</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45801</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45801</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45801</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45801</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45801</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45801</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45801</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45801</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45801</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45801</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45801</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45801</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45801</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45801</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45801</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45801</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45801</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45801</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45801</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45801</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45801</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45801</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45801</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45801</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45801</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45801</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45801</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45801</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45801</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45801</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45801</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45801</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45801</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45801</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45801</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45801</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45801</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45801</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45801</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45801</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45801</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45801</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45801</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45801</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45801</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45801</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45801</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45801</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45801</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45801</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45801</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45801</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45801</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45801</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45801</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45801</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45801</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45801</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45801</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45801</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45801</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45801</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45801</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45801</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45801</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45801</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45801</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45801</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45801</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45801</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45801</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45801</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45801</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45801</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45801</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45801</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45801</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45801</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45801</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45801</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45801</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45801</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45801</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45801</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45801</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45801</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45801</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45801</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45801</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45801</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45801</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45801</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45801</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45801</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45801</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45801</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45801</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23199-2025</t>
        </is>
      </c>
      <c r="B374" s="1" t="n">
        <v>45791</v>
      </c>
      <c r="C374" s="1" t="n">
        <v>45801</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23192-2025</t>
        </is>
      </c>
      <c r="B375" s="1" t="n">
        <v>45791</v>
      </c>
      <c r="C375" s="1" t="n">
        <v>45801</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23186-2025</t>
        </is>
      </c>
      <c r="B376" s="1" t="n">
        <v>45791</v>
      </c>
      <c r="C376" s="1" t="n">
        <v>45801</v>
      </c>
      <c r="D376" t="inlineStr">
        <is>
          <t>KALMAR LÄN</t>
        </is>
      </c>
      <c r="E376" t="inlineStr">
        <is>
          <t>VÄSTERVIK</t>
        </is>
      </c>
      <c r="G376" t="n">
        <v>1.4</v>
      </c>
      <c r="H376" t="n">
        <v>0</v>
      </c>
      <c r="I376" t="n">
        <v>0</v>
      </c>
      <c r="J376" t="n">
        <v>1</v>
      </c>
      <c r="K376" t="n">
        <v>0</v>
      </c>
      <c r="L376" t="n">
        <v>0</v>
      </c>
      <c r="M376" t="n">
        <v>0</v>
      </c>
      <c r="N376" t="n">
        <v>0</v>
      </c>
      <c r="O376" t="n">
        <v>1</v>
      </c>
      <c r="P376" t="n">
        <v>0</v>
      </c>
      <c r="Q376" t="n">
        <v>1</v>
      </c>
      <c r="R376" s="2" t="inlineStr">
        <is>
          <t>Krusfrö</t>
        </is>
      </c>
      <c r="S376">
        <f>HYPERLINK("https://klasma.github.io/Logging_080883/artfynd/A 23186-2025 artfynd.xlsx", "A 23186-2025")</f>
        <v/>
      </c>
      <c r="T376">
        <f>HYPERLINK("https://klasma.github.io/Logging_080883/kartor/A 23186-2025 karta.png", "A 23186-2025")</f>
        <v/>
      </c>
      <c r="V376">
        <f>HYPERLINK("https://klasma.github.io/Logging_080883/klagomål/A 23186-2025 FSC-klagomål.docx", "A 23186-2025")</f>
        <v/>
      </c>
      <c r="W376">
        <f>HYPERLINK("https://klasma.github.io/Logging_080883/klagomålsmail/A 23186-2025 FSC-klagomål mail.docx", "A 23186-2025")</f>
        <v/>
      </c>
      <c r="X376">
        <f>HYPERLINK("https://klasma.github.io/Logging_080883/tillsyn/A 23186-2025 tillsynsbegäran.docx", "A 23186-2025")</f>
        <v/>
      </c>
      <c r="Y376">
        <f>HYPERLINK("https://klasma.github.io/Logging_080883/tillsynsmail/A 23186-2025 tillsynsbegäran mail.docx", "A 23186-2025")</f>
        <v/>
      </c>
    </row>
    <row r="377" ht="15" customHeight="1">
      <c r="A377" t="inlineStr">
        <is>
          <t>A 24884-2025</t>
        </is>
      </c>
      <c r="B377" s="1" t="n">
        <v>45799</v>
      </c>
      <c r="C377" s="1" t="n">
        <v>45801</v>
      </c>
      <c r="D377" t="inlineStr">
        <is>
          <t>KALMAR LÄN</t>
        </is>
      </c>
      <c r="E377" t="inlineStr">
        <is>
          <t>VÄSTERVIK</t>
        </is>
      </c>
      <c r="F377" t="inlineStr">
        <is>
          <t>Holmen skog AB</t>
        </is>
      </c>
      <c r="G377" t="n">
        <v>5.1</v>
      </c>
      <c r="H377" t="n">
        <v>0</v>
      </c>
      <c r="I377" t="n">
        <v>1</v>
      </c>
      <c r="J377" t="n">
        <v>0</v>
      </c>
      <c r="K377" t="n">
        <v>0</v>
      </c>
      <c r="L377" t="n">
        <v>0</v>
      </c>
      <c r="M377" t="n">
        <v>0</v>
      </c>
      <c r="N377" t="n">
        <v>0</v>
      </c>
      <c r="O377" t="n">
        <v>0</v>
      </c>
      <c r="P377" t="n">
        <v>0</v>
      </c>
      <c r="Q377" t="n">
        <v>1</v>
      </c>
      <c r="R377" s="2" t="inlineStr">
        <is>
          <t>Strävlosta</t>
        </is>
      </c>
      <c r="S377">
        <f>HYPERLINK("https://klasma.github.io/Logging_080883/artfynd/A 24884-2025 artfynd.xlsx", "A 24884-2025")</f>
        <v/>
      </c>
      <c r="T377">
        <f>HYPERLINK("https://klasma.github.io/Logging_080883/kartor/A 24884-2025 karta.png", "A 24884-2025")</f>
        <v/>
      </c>
      <c r="V377">
        <f>HYPERLINK("https://klasma.github.io/Logging_080883/klagomål/A 24884-2025 FSC-klagomål.docx", "A 24884-2025")</f>
        <v/>
      </c>
      <c r="W377">
        <f>HYPERLINK("https://klasma.github.io/Logging_080883/klagomålsmail/A 24884-2025 FSC-klagomål mail.docx", "A 24884-2025")</f>
        <v/>
      </c>
      <c r="X377">
        <f>HYPERLINK("https://klasma.github.io/Logging_080883/tillsyn/A 24884-2025 tillsynsbegäran.docx", "A 24884-2025")</f>
        <v/>
      </c>
      <c r="Y377">
        <f>HYPERLINK("https://klasma.github.io/Logging_080883/tillsynsmail/A 24884-2025 tillsynsbegäran mail.docx", "A 24884-2025")</f>
        <v/>
      </c>
    </row>
    <row r="378" ht="15" customHeight="1">
      <c r="A378" t="inlineStr">
        <is>
          <t>A 17794-2019</t>
        </is>
      </c>
      <c r="B378" s="1" t="n">
        <v>43556</v>
      </c>
      <c r="C378" s="1" t="n">
        <v>45801</v>
      </c>
      <c r="D378" t="inlineStr">
        <is>
          <t>KALMAR LÄN</t>
        </is>
      </c>
      <c r="E378" t="inlineStr">
        <is>
          <t>VÄSTERVIK</t>
        </is>
      </c>
      <c r="G378" t="n">
        <v>3.3</v>
      </c>
      <c r="H378" t="n">
        <v>0</v>
      </c>
      <c r="I378" t="n">
        <v>0</v>
      </c>
      <c r="J378" t="n">
        <v>0</v>
      </c>
      <c r="K378" t="n">
        <v>0</v>
      </c>
      <c r="L378" t="n">
        <v>0</v>
      </c>
      <c r="M378" t="n">
        <v>0</v>
      </c>
      <c r="N378" t="n">
        <v>0</v>
      </c>
      <c r="O378" t="n">
        <v>0</v>
      </c>
      <c r="P378" t="n">
        <v>0</v>
      </c>
      <c r="Q378" t="n">
        <v>0</v>
      </c>
      <c r="R378" s="2" t="inlineStr"/>
    </row>
    <row r="379" ht="15" customHeight="1">
      <c r="A379" t="inlineStr">
        <is>
          <t>A 18417-2019</t>
        </is>
      </c>
      <c r="B379" s="1" t="n">
        <v>43559</v>
      </c>
      <c r="C379" s="1" t="n">
        <v>45801</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18552-2019</t>
        </is>
      </c>
      <c r="B380" s="1" t="n">
        <v>43559</v>
      </c>
      <c r="C380" s="1" t="n">
        <v>45801</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18419-2019</t>
        </is>
      </c>
      <c r="B381" s="1" t="n">
        <v>43559</v>
      </c>
      <c r="C381" s="1" t="n">
        <v>45801</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18768-2019</t>
        </is>
      </c>
      <c r="B382" s="1" t="n">
        <v>43560</v>
      </c>
      <c r="C382" s="1" t="n">
        <v>45801</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row>
    <row r="383" ht="15" customHeight="1">
      <c r="A383" t="inlineStr">
        <is>
          <t>A 19141-2019</t>
        </is>
      </c>
      <c r="B383" s="1" t="n">
        <v>43564</v>
      </c>
      <c r="C383" s="1" t="n">
        <v>45801</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19414-2019</t>
        </is>
      </c>
      <c r="B384" s="1" t="n">
        <v>43565</v>
      </c>
      <c r="C384" s="1" t="n">
        <v>45801</v>
      </c>
      <c r="D384" t="inlineStr">
        <is>
          <t>KALMAR LÄN</t>
        </is>
      </c>
      <c r="E384" t="inlineStr">
        <is>
          <t>VÄSTERVIK</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19653-2019</t>
        </is>
      </c>
      <c r="B385" s="1" t="n">
        <v>43566</v>
      </c>
      <c r="C385" s="1" t="n">
        <v>45801</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19819-2019</t>
        </is>
      </c>
      <c r="B386" s="1" t="n">
        <v>43567</v>
      </c>
      <c r="C386" s="1" t="n">
        <v>45801</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19825-2019</t>
        </is>
      </c>
      <c r="B387" s="1" t="n">
        <v>43567</v>
      </c>
      <c r="C387" s="1" t="n">
        <v>45801</v>
      </c>
      <c r="D387" t="inlineStr">
        <is>
          <t>KALMAR LÄN</t>
        </is>
      </c>
      <c r="E387" t="inlineStr">
        <is>
          <t>VÄSTERVIK</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20371-2019</t>
        </is>
      </c>
      <c r="B388" s="1" t="n">
        <v>43571</v>
      </c>
      <c r="C388" s="1" t="n">
        <v>45801</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24133-2019</t>
        </is>
      </c>
      <c r="B389" s="1" t="n">
        <v>43598</v>
      </c>
      <c r="C389" s="1" t="n">
        <v>45801</v>
      </c>
      <c r="D389" t="inlineStr">
        <is>
          <t>KALMAR LÄN</t>
        </is>
      </c>
      <c r="E389" t="inlineStr">
        <is>
          <t>VÄSTERVIK</t>
        </is>
      </c>
      <c r="G389" t="n">
        <v>1.8</v>
      </c>
      <c r="H389" t="n">
        <v>0</v>
      </c>
      <c r="I389" t="n">
        <v>0</v>
      </c>
      <c r="J389" t="n">
        <v>0</v>
      </c>
      <c r="K389" t="n">
        <v>0</v>
      </c>
      <c r="L389" t="n">
        <v>0</v>
      </c>
      <c r="M389" t="n">
        <v>0</v>
      </c>
      <c r="N389" t="n">
        <v>0</v>
      </c>
      <c r="O389" t="n">
        <v>0</v>
      </c>
      <c r="P389" t="n">
        <v>0</v>
      </c>
      <c r="Q389" t="n">
        <v>0</v>
      </c>
      <c r="R389" s="2" t="inlineStr"/>
    </row>
    <row r="390" ht="15" customHeight="1">
      <c r="A390" t="inlineStr">
        <is>
          <t>A 24356-2019</t>
        </is>
      </c>
      <c r="B390" s="1" t="n">
        <v>43599</v>
      </c>
      <c r="C390" s="1" t="n">
        <v>45801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24358-2019</t>
        </is>
      </c>
      <c r="B391" s="1" t="n">
        <v>43599</v>
      </c>
      <c r="C391" s="1" t="n">
        <v>45801</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24316-2019</t>
        </is>
      </c>
      <c r="B392" s="1" t="n">
        <v>43599</v>
      </c>
      <c r="C392" s="1" t="n">
        <v>45801</v>
      </c>
      <c r="D392" t="inlineStr">
        <is>
          <t>KALMAR LÄN</t>
        </is>
      </c>
      <c r="E392" t="inlineStr">
        <is>
          <t>VÄSTERVIK</t>
        </is>
      </c>
      <c r="G392" t="n">
        <v>14.9</v>
      </c>
      <c r="H392" t="n">
        <v>0</v>
      </c>
      <c r="I392" t="n">
        <v>0</v>
      </c>
      <c r="J392" t="n">
        <v>0</v>
      </c>
      <c r="K392" t="n">
        <v>0</v>
      </c>
      <c r="L392" t="n">
        <v>0</v>
      </c>
      <c r="M392" t="n">
        <v>0</v>
      </c>
      <c r="N392" t="n">
        <v>0</v>
      </c>
      <c r="O392" t="n">
        <v>0</v>
      </c>
      <c r="P392" t="n">
        <v>0</v>
      </c>
      <c r="Q392" t="n">
        <v>0</v>
      </c>
      <c r="R392" s="2" t="inlineStr"/>
    </row>
    <row r="393" ht="15" customHeight="1">
      <c r="A393" t="inlineStr">
        <is>
          <t>A 24318-2019</t>
        </is>
      </c>
      <c r="B393" s="1" t="n">
        <v>43599</v>
      </c>
      <c r="C393" s="1" t="n">
        <v>45801</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24354-2019</t>
        </is>
      </c>
      <c r="B394" s="1" t="n">
        <v>43599</v>
      </c>
      <c r="C394" s="1" t="n">
        <v>45801</v>
      </c>
      <c r="D394" t="inlineStr">
        <is>
          <t>KALMAR LÄN</t>
        </is>
      </c>
      <c r="E394" t="inlineStr">
        <is>
          <t>VÄSTERVIK</t>
        </is>
      </c>
      <c r="G394" t="n">
        <v>3.7</v>
      </c>
      <c r="H394" t="n">
        <v>0</v>
      </c>
      <c r="I394" t="n">
        <v>0</v>
      </c>
      <c r="J394" t="n">
        <v>0</v>
      </c>
      <c r="K394" t="n">
        <v>0</v>
      </c>
      <c r="L394" t="n">
        <v>0</v>
      </c>
      <c r="M394" t="n">
        <v>0</v>
      </c>
      <c r="N394" t="n">
        <v>0</v>
      </c>
      <c r="O394" t="n">
        <v>0</v>
      </c>
      <c r="P394" t="n">
        <v>0</v>
      </c>
      <c r="Q394" t="n">
        <v>0</v>
      </c>
      <c r="R394" s="2" t="inlineStr"/>
    </row>
    <row r="395" ht="15" customHeight="1">
      <c r="A395" t="inlineStr">
        <is>
          <t>A 24550-2019</t>
        </is>
      </c>
      <c r="B395" s="1" t="n">
        <v>43600</v>
      </c>
      <c r="C395" s="1" t="n">
        <v>45801</v>
      </c>
      <c r="D395" t="inlineStr">
        <is>
          <t>KALMAR LÄN</t>
        </is>
      </c>
      <c r="E395" t="inlineStr">
        <is>
          <t>VÄSTERVIK</t>
        </is>
      </c>
      <c r="G395" t="n">
        <v>3.6</v>
      </c>
      <c r="H395" t="n">
        <v>0</v>
      </c>
      <c r="I395" t="n">
        <v>0</v>
      </c>
      <c r="J395" t="n">
        <v>0</v>
      </c>
      <c r="K395" t="n">
        <v>0</v>
      </c>
      <c r="L395" t="n">
        <v>0</v>
      </c>
      <c r="M395" t="n">
        <v>0</v>
      </c>
      <c r="N395" t="n">
        <v>0</v>
      </c>
      <c r="O395" t="n">
        <v>0</v>
      </c>
      <c r="P395" t="n">
        <v>0</v>
      </c>
      <c r="Q395" t="n">
        <v>0</v>
      </c>
      <c r="R395" s="2" t="inlineStr"/>
    </row>
    <row r="396" ht="15" customHeight="1">
      <c r="A396" t="inlineStr">
        <is>
          <t>A 24683-2019</t>
        </is>
      </c>
      <c r="B396" s="1" t="n">
        <v>43601</v>
      </c>
      <c r="C396" s="1" t="n">
        <v>45801</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24944-2019</t>
        </is>
      </c>
      <c r="B397" s="1" t="n">
        <v>43602</v>
      </c>
      <c r="C397" s="1" t="n">
        <v>45801</v>
      </c>
      <c r="D397" t="inlineStr">
        <is>
          <t>KALMAR LÄN</t>
        </is>
      </c>
      <c r="E397" t="inlineStr">
        <is>
          <t>VÄSTERVIK</t>
        </is>
      </c>
      <c r="G397" t="n">
        <v>4.1</v>
      </c>
      <c r="H397" t="n">
        <v>0</v>
      </c>
      <c r="I397" t="n">
        <v>0</v>
      </c>
      <c r="J397" t="n">
        <v>0</v>
      </c>
      <c r="K397" t="n">
        <v>0</v>
      </c>
      <c r="L397" t="n">
        <v>0</v>
      </c>
      <c r="M397" t="n">
        <v>0</v>
      </c>
      <c r="N397" t="n">
        <v>0</v>
      </c>
      <c r="O397" t="n">
        <v>0</v>
      </c>
      <c r="P397" t="n">
        <v>0</v>
      </c>
      <c r="Q397" t="n">
        <v>0</v>
      </c>
      <c r="R397" s="2" t="inlineStr"/>
    </row>
    <row r="398" ht="15" customHeight="1">
      <c r="A398" t="inlineStr">
        <is>
          <t>A 26470-2019</t>
        </is>
      </c>
      <c r="B398" s="1" t="n">
        <v>43606</v>
      </c>
      <c r="C398" s="1" t="n">
        <v>45801</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26834-2019</t>
        </is>
      </c>
      <c r="B399" s="1" t="n">
        <v>43608</v>
      </c>
      <c r="C399" s="1" t="n">
        <v>45801</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26833-2019</t>
        </is>
      </c>
      <c r="B400" s="1" t="n">
        <v>43608</v>
      </c>
      <c r="C400" s="1" t="n">
        <v>45801</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26567-2019</t>
        </is>
      </c>
      <c r="B401" s="1" t="n">
        <v>43612</v>
      </c>
      <c r="C401" s="1" t="n">
        <v>45801</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26590-2019</t>
        </is>
      </c>
      <c r="B402" s="1" t="n">
        <v>43612</v>
      </c>
      <c r="C402" s="1" t="n">
        <v>45801</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26585-2019</t>
        </is>
      </c>
      <c r="B403" s="1" t="n">
        <v>43612</v>
      </c>
      <c r="C403" s="1" t="n">
        <v>45801</v>
      </c>
      <c r="D403" t="inlineStr">
        <is>
          <t>KALMAR LÄN</t>
        </is>
      </c>
      <c r="E403" t="inlineStr">
        <is>
          <t>VÄSTERVIK</t>
        </is>
      </c>
      <c r="G403" t="n">
        <v>3</v>
      </c>
      <c r="H403" t="n">
        <v>0</v>
      </c>
      <c r="I403" t="n">
        <v>0</v>
      </c>
      <c r="J403" t="n">
        <v>0</v>
      </c>
      <c r="K403" t="n">
        <v>0</v>
      </c>
      <c r="L403" t="n">
        <v>0</v>
      </c>
      <c r="M403" t="n">
        <v>0</v>
      </c>
      <c r="N403" t="n">
        <v>0</v>
      </c>
      <c r="O403" t="n">
        <v>0</v>
      </c>
      <c r="P403" t="n">
        <v>0</v>
      </c>
      <c r="Q403" t="n">
        <v>0</v>
      </c>
      <c r="R403" s="2" t="inlineStr"/>
    </row>
    <row r="404" ht="15" customHeight="1">
      <c r="A404" t="inlineStr">
        <is>
          <t>A 26578-2019</t>
        </is>
      </c>
      <c r="B404" s="1" t="n">
        <v>43612</v>
      </c>
      <c r="C404" s="1" t="n">
        <v>45801</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27206-2019</t>
        </is>
      </c>
      <c r="B405" s="1" t="n">
        <v>43614</v>
      </c>
      <c r="C405" s="1" t="n">
        <v>45801</v>
      </c>
      <c r="D405" t="inlineStr">
        <is>
          <t>KALMAR LÄN</t>
        </is>
      </c>
      <c r="E405" t="inlineStr">
        <is>
          <t>VÄSTERVIK</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28970-2019</t>
        </is>
      </c>
      <c r="B406" s="1" t="n">
        <v>43619</v>
      </c>
      <c r="C406" s="1" t="n">
        <v>45801</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27654-2019</t>
        </is>
      </c>
      <c r="B407" s="1" t="n">
        <v>43619</v>
      </c>
      <c r="C407" s="1" t="n">
        <v>45801</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28347-2019</t>
        </is>
      </c>
      <c r="B408" s="1" t="n">
        <v>43624</v>
      </c>
      <c r="C408" s="1" t="n">
        <v>45801</v>
      </c>
      <c r="D408" t="inlineStr">
        <is>
          <t>KALMAR LÄN</t>
        </is>
      </c>
      <c r="E408" t="inlineStr">
        <is>
          <t>VÄSTERVIK</t>
        </is>
      </c>
      <c r="G408" t="n">
        <v>5.1</v>
      </c>
      <c r="H408" t="n">
        <v>0</v>
      </c>
      <c r="I408" t="n">
        <v>0</v>
      </c>
      <c r="J408" t="n">
        <v>0</v>
      </c>
      <c r="K408" t="n">
        <v>0</v>
      </c>
      <c r="L408" t="n">
        <v>0</v>
      </c>
      <c r="M408" t="n">
        <v>0</v>
      </c>
      <c r="N408" t="n">
        <v>0</v>
      </c>
      <c r="O408" t="n">
        <v>0</v>
      </c>
      <c r="P408" t="n">
        <v>0</v>
      </c>
      <c r="Q408" t="n">
        <v>0</v>
      </c>
      <c r="R408" s="2" t="inlineStr"/>
    </row>
    <row r="409" ht="15" customHeight="1">
      <c r="A409" t="inlineStr">
        <is>
          <t>A 28594-2019</t>
        </is>
      </c>
      <c r="B409" s="1" t="n">
        <v>43626</v>
      </c>
      <c r="C409" s="1" t="n">
        <v>45801</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28590-2019</t>
        </is>
      </c>
      <c r="B410" s="1" t="n">
        <v>43626</v>
      </c>
      <c r="C410" s="1" t="n">
        <v>45801</v>
      </c>
      <c r="D410" t="inlineStr">
        <is>
          <t>KALMAR LÄN</t>
        </is>
      </c>
      <c r="E410" t="inlineStr">
        <is>
          <t>VÄSTERVIK</t>
        </is>
      </c>
      <c r="G410" t="n">
        <v>2.9</v>
      </c>
      <c r="H410" t="n">
        <v>0</v>
      </c>
      <c r="I410" t="n">
        <v>0</v>
      </c>
      <c r="J410" t="n">
        <v>0</v>
      </c>
      <c r="K410" t="n">
        <v>0</v>
      </c>
      <c r="L410" t="n">
        <v>0</v>
      </c>
      <c r="M410" t="n">
        <v>0</v>
      </c>
      <c r="N410" t="n">
        <v>0</v>
      </c>
      <c r="O410" t="n">
        <v>0</v>
      </c>
      <c r="P410" t="n">
        <v>0</v>
      </c>
      <c r="Q410" t="n">
        <v>0</v>
      </c>
      <c r="R410" s="2" t="inlineStr"/>
    </row>
    <row r="411" ht="15" customHeight="1">
      <c r="A411" t="inlineStr">
        <is>
          <t>A 29519-2019</t>
        </is>
      </c>
      <c r="B411" s="1" t="n">
        <v>43627</v>
      </c>
      <c r="C411" s="1" t="n">
        <v>45801</v>
      </c>
      <c r="D411" t="inlineStr">
        <is>
          <t>KALMAR LÄN</t>
        </is>
      </c>
      <c r="E411" t="inlineStr">
        <is>
          <t>VÄSTERVIK</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30058-2019</t>
        </is>
      </c>
      <c r="B412" s="1" t="n">
        <v>43633</v>
      </c>
      <c r="C412" s="1" t="n">
        <v>45801</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30057-2019</t>
        </is>
      </c>
      <c r="B413" s="1" t="n">
        <v>43633</v>
      </c>
      <c r="C413" s="1" t="n">
        <v>45801</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29922-2019</t>
        </is>
      </c>
      <c r="B414" s="1" t="n">
        <v>43633</v>
      </c>
      <c r="C414" s="1" t="n">
        <v>45801</v>
      </c>
      <c r="D414" t="inlineStr">
        <is>
          <t>KALMAR LÄN</t>
        </is>
      </c>
      <c r="E414" t="inlineStr">
        <is>
          <t>VÄSTERVIK</t>
        </is>
      </c>
      <c r="G414" t="n">
        <v>3.8</v>
      </c>
      <c r="H414" t="n">
        <v>0</v>
      </c>
      <c r="I414" t="n">
        <v>0</v>
      </c>
      <c r="J414" t="n">
        <v>0</v>
      </c>
      <c r="K414" t="n">
        <v>0</v>
      </c>
      <c r="L414" t="n">
        <v>0</v>
      </c>
      <c r="M414" t="n">
        <v>0</v>
      </c>
      <c r="N414" t="n">
        <v>0</v>
      </c>
      <c r="O414" t="n">
        <v>0</v>
      </c>
      <c r="P414" t="n">
        <v>0</v>
      </c>
      <c r="Q414" t="n">
        <v>0</v>
      </c>
      <c r="R414" s="2" t="inlineStr"/>
    </row>
    <row r="415" ht="15" customHeight="1">
      <c r="A415" t="inlineStr">
        <is>
          <t>A 31072-2019</t>
        </is>
      </c>
      <c r="B415" s="1" t="n">
        <v>43640</v>
      </c>
      <c r="C415" s="1" t="n">
        <v>45801</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32045-2019</t>
        </is>
      </c>
      <c r="B416" s="1" t="n">
        <v>43643</v>
      </c>
      <c r="C416" s="1" t="n">
        <v>45801</v>
      </c>
      <c r="D416" t="inlineStr">
        <is>
          <t>KALMAR LÄN</t>
        </is>
      </c>
      <c r="E416" t="inlineStr">
        <is>
          <t>VÄSTERVIK</t>
        </is>
      </c>
      <c r="G416" t="n">
        <v>6.5</v>
      </c>
      <c r="H416" t="n">
        <v>0</v>
      </c>
      <c r="I416" t="n">
        <v>0</v>
      </c>
      <c r="J416" t="n">
        <v>0</v>
      </c>
      <c r="K416" t="n">
        <v>0</v>
      </c>
      <c r="L416" t="n">
        <v>0</v>
      </c>
      <c r="M416" t="n">
        <v>0</v>
      </c>
      <c r="N416" t="n">
        <v>0</v>
      </c>
      <c r="O416" t="n">
        <v>0</v>
      </c>
      <c r="P416" t="n">
        <v>0</v>
      </c>
      <c r="Q416" t="n">
        <v>0</v>
      </c>
      <c r="R416" s="2" t="inlineStr"/>
    </row>
    <row r="417" ht="15" customHeight="1">
      <c r="A417" t="inlineStr">
        <is>
          <t>A 32052-2019</t>
        </is>
      </c>
      <c r="B417" s="1" t="n">
        <v>43643</v>
      </c>
      <c r="C417" s="1" t="n">
        <v>45801</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32048-2019</t>
        </is>
      </c>
      <c r="B418" s="1" t="n">
        <v>43643</v>
      </c>
      <c r="C418" s="1" t="n">
        <v>45801</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32522-2019</t>
        </is>
      </c>
      <c r="B419" s="1" t="n">
        <v>43646</v>
      </c>
      <c r="C419" s="1" t="n">
        <v>45801</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32521-2019</t>
        </is>
      </c>
      <c r="B420" s="1" t="n">
        <v>43646</v>
      </c>
      <c r="C420" s="1" t="n">
        <v>45801</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32524-2019</t>
        </is>
      </c>
      <c r="B421" s="1" t="n">
        <v>43646</v>
      </c>
      <c r="C421" s="1" t="n">
        <v>45801</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32523-2019</t>
        </is>
      </c>
      <c r="B422" s="1" t="n">
        <v>43646</v>
      </c>
      <c r="C422" s="1" t="n">
        <v>45801</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33752-2019</t>
        </is>
      </c>
      <c r="B423" s="1" t="n">
        <v>43651</v>
      </c>
      <c r="C423" s="1" t="n">
        <v>45801</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33738-2019</t>
        </is>
      </c>
      <c r="B424" s="1" t="n">
        <v>43651</v>
      </c>
      <c r="C424" s="1" t="n">
        <v>45801</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33741-2019</t>
        </is>
      </c>
      <c r="B425" s="1" t="n">
        <v>43651</v>
      </c>
      <c r="C425" s="1" t="n">
        <v>45801</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35283-2019</t>
        </is>
      </c>
      <c r="B426" s="1" t="n">
        <v>43656</v>
      </c>
      <c r="C426" s="1" t="n">
        <v>45801</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35284-2019</t>
        </is>
      </c>
      <c r="B427" s="1" t="n">
        <v>43656</v>
      </c>
      <c r="C427" s="1" t="n">
        <v>45801</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35285-2019</t>
        </is>
      </c>
      <c r="B428" s="1" t="n">
        <v>43656</v>
      </c>
      <c r="C428" s="1" t="n">
        <v>45801</v>
      </c>
      <c r="D428" t="inlineStr">
        <is>
          <t>KALMAR LÄN</t>
        </is>
      </c>
      <c r="E428" t="inlineStr">
        <is>
          <t>VÄSTERVIK</t>
        </is>
      </c>
      <c r="G428" t="n">
        <v>5.7</v>
      </c>
      <c r="H428" t="n">
        <v>0</v>
      </c>
      <c r="I428" t="n">
        <v>0</v>
      </c>
      <c r="J428" t="n">
        <v>0</v>
      </c>
      <c r="K428" t="n">
        <v>0</v>
      </c>
      <c r="L428" t="n">
        <v>0</v>
      </c>
      <c r="M428" t="n">
        <v>0</v>
      </c>
      <c r="N428" t="n">
        <v>0</v>
      </c>
      <c r="O428" t="n">
        <v>0</v>
      </c>
      <c r="P428" t="n">
        <v>0</v>
      </c>
      <c r="Q428" t="n">
        <v>0</v>
      </c>
      <c r="R428" s="2" t="inlineStr"/>
    </row>
    <row r="429" ht="15" customHeight="1">
      <c r="A429" t="inlineStr">
        <is>
          <t>A 37615-2019</t>
        </is>
      </c>
      <c r="B429" s="1" t="n">
        <v>43681</v>
      </c>
      <c r="C429" s="1" t="n">
        <v>45801</v>
      </c>
      <c r="D429" t="inlineStr">
        <is>
          <t>KALMAR LÄN</t>
        </is>
      </c>
      <c r="E429" t="inlineStr">
        <is>
          <t>VÄSTERVIK</t>
        </is>
      </c>
      <c r="G429" t="n">
        <v>3.9</v>
      </c>
      <c r="H429" t="n">
        <v>0</v>
      </c>
      <c r="I429" t="n">
        <v>0</v>
      </c>
      <c r="J429" t="n">
        <v>0</v>
      </c>
      <c r="K429" t="n">
        <v>0</v>
      </c>
      <c r="L429" t="n">
        <v>0</v>
      </c>
      <c r="M429" t="n">
        <v>0</v>
      </c>
      <c r="N429" t="n">
        <v>0</v>
      </c>
      <c r="O429" t="n">
        <v>0</v>
      </c>
      <c r="P429" t="n">
        <v>0</v>
      </c>
      <c r="Q429" t="n">
        <v>0</v>
      </c>
      <c r="R429" s="2" t="inlineStr"/>
    </row>
    <row r="430" ht="15" customHeight="1">
      <c r="A430" t="inlineStr">
        <is>
          <t>A 37983-2019</t>
        </is>
      </c>
      <c r="B430" s="1" t="n">
        <v>43683</v>
      </c>
      <c r="C430" s="1" t="n">
        <v>45801</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37920-2019</t>
        </is>
      </c>
      <c r="B431" s="1" t="n">
        <v>43683</v>
      </c>
      <c r="C431" s="1" t="n">
        <v>45801</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38229-2019</t>
        </is>
      </c>
      <c r="B432" s="1" t="n">
        <v>43684</v>
      </c>
      <c r="C432" s="1" t="n">
        <v>45801</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38239-2019</t>
        </is>
      </c>
      <c r="B433" s="1" t="n">
        <v>43684</v>
      </c>
      <c r="C433" s="1" t="n">
        <v>45801</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38904-2019</t>
        </is>
      </c>
      <c r="B434" s="1" t="n">
        <v>43689</v>
      </c>
      <c r="C434" s="1" t="n">
        <v>45801</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39696-2019</t>
        </is>
      </c>
      <c r="B435" s="1" t="n">
        <v>43691</v>
      </c>
      <c r="C435" s="1" t="n">
        <v>45801</v>
      </c>
      <c r="D435" t="inlineStr">
        <is>
          <t>KALMAR LÄN</t>
        </is>
      </c>
      <c r="E435" t="inlineStr">
        <is>
          <t>VÄSTERVIK</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39745-2019</t>
        </is>
      </c>
      <c r="B436" s="1" t="n">
        <v>43691</v>
      </c>
      <c r="C436" s="1" t="n">
        <v>45801</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41961-2019</t>
        </is>
      </c>
      <c r="B437" s="1" t="n">
        <v>43698</v>
      </c>
      <c r="C437" s="1" t="n">
        <v>45801</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41728-2019</t>
        </is>
      </c>
      <c r="B438" s="1" t="n">
        <v>43699</v>
      </c>
      <c r="C438" s="1" t="n">
        <v>45801</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44467-2019</t>
        </is>
      </c>
      <c r="B439" s="1" t="n">
        <v>43711</v>
      </c>
      <c r="C439" s="1" t="n">
        <v>45801</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44639-2019</t>
        </is>
      </c>
      <c r="B440" s="1" t="n">
        <v>43712</v>
      </c>
      <c r="C440" s="1" t="n">
        <v>45801</v>
      </c>
      <c r="D440" t="inlineStr">
        <is>
          <t>KALMAR LÄN</t>
        </is>
      </c>
      <c r="E440" t="inlineStr">
        <is>
          <t>VÄSTERVIK</t>
        </is>
      </c>
      <c r="F440" t="inlineStr">
        <is>
          <t>Övriga Aktiebolag</t>
        </is>
      </c>
      <c r="G440" t="n">
        <v>5.9</v>
      </c>
      <c r="H440" t="n">
        <v>0</v>
      </c>
      <c r="I440" t="n">
        <v>0</v>
      </c>
      <c r="J440" t="n">
        <v>0</v>
      </c>
      <c r="K440" t="n">
        <v>0</v>
      </c>
      <c r="L440" t="n">
        <v>0</v>
      </c>
      <c r="M440" t="n">
        <v>0</v>
      </c>
      <c r="N440" t="n">
        <v>0</v>
      </c>
      <c r="O440" t="n">
        <v>0</v>
      </c>
      <c r="P440" t="n">
        <v>0</v>
      </c>
      <c r="Q440" t="n">
        <v>0</v>
      </c>
      <c r="R440" s="2" t="inlineStr"/>
    </row>
    <row r="441" ht="15" customHeight="1">
      <c r="A441" t="inlineStr">
        <is>
          <t>A 46173-2019</t>
        </is>
      </c>
      <c r="B441" s="1" t="n">
        <v>43712</v>
      </c>
      <c r="C441" s="1" t="n">
        <v>45801</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45162-2019</t>
        </is>
      </c>
      <c r="B442" s="1" t="n">
        <v>43713</v>
      </c>
      <c r="C442" s="1" t="n">
        <v>45801</v>
      </c>
      <c r="D442" t="inlineStr">
        <is>
          <t>KALMAR LÄN</t>
        </is>
      </c>
      <c r="E442" t="inlineStr">
        <is>
          <t>VÄSTERVIK</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45379-2019</t>
        </is>
      </c>
      <c r="B443" s="1" t="n">
        <v>43713</v>
      </c>
      <c r="C443" s="1" t="n">
        <v>45801</v>
      </c>
      <c r="D443" t="inlineStr">
        <is>
          <t>KALMAR LÄN</t>
        </is>
      </c>
      <c r="E443" t="inlineStr">
        <is>
          <t>VÄSTERVIK</t>
        </is>
      </c>
      <c r="G443" t="n">
        <v>6.3</v>
      </c>
      <c r="H443" t="n">
        <v>0</v>
      </c>
      <c r="I443" t="n">
        <v>0</v>
      </c>
      <c r="J443" t="n">
        <v>0</v>
      </c>
      <c r="K443" t="n">
        <v>0</v>
      </c>
      <c r="L443" t="n">
        <v>0</v>
      </c>
      <c r="M443" t="n">
        <v>0</v>
      </c>
      <c r="N443" t="n">
        <v>0</v>
      </c>
      <c r="O443" t="n">
        <v>0</v>
      </c>
      <c r="P443" t="n">
        <v>0</v>
      </c>
      <c r="Q443" t="n">
        <v>0</v>
      </c>
      <c r="R443" s="2" t="inlineStr"/>
    </row>
    <row r="444" ht="15" customHeight="1">
      <c r="A444" t="inlineStr">
        <is>
          <t>A 45386-2019</t>
        </is>
      </c>
      <c r="B444" s="1" t="n">
        <v>43713</v>
      </c>
      <c r="C444" s="1" t="n">
        <v>45801</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45757-2019</t>
        </is>
      </c>
      <c r="B445" s="1" t="n">
        <v>43717</v>
      </c>
      <c r="C445" s="1" t="n">
        <v>45801</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45772-2019</t>
        </is>
      </c>
      <c r="B446" s="1" t="n">
        <v>43717</v>
      </c>
      <c r="C446" s="1" t="n">
        <v>45801</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45897-2019</t>
        </is>
      </c>
      <c r="B447" s="1" t="n">
        <v>43717</v>
      </c>
      <c r="C447" s="1" t="n">
        <v>45801</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46333-2019</t>
        </is>
      </c>
      <c r="B448" s="1" t="n">
        <v>43718</v>
      </c>
      <c r="C448" s="1" t="n">
        <v>45801</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46942-2019</t>
        </is>
      </c>
      <c r="B449" s="1" t="n">
        <v>43719</v>
      </c>
      <c r="C449" s="1" t="n">
        <v>45801</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47434-2019</t>
        </is>
      </c>
      <c r="B450" s="1" t="n">
        <v>43723</v>
      </c>
      <c r="C450" s="1" t="n">
        <v>45801</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47435-2019</t>
        </is>
      </c>
      <c r="B451" s="1" t="n">
        <v>43723</v>
      </c>
      <c r="C451" s="1" t="n">
        <v>45801</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47438-2019</t>
        </is>
      </c>
      <c r="B452" s="1" t="n">
        <v>43723</v>
      </c>
      <c r="C452" s="1" t="n">
        <v>45801</v>
      </c>
      <c r="D452" t="inlineStr">
        <is>
          <t>KALMAR LÄN</t>
        </is>
      </c>
      <c r="E452" t="inlineStr">
        <is>
          <t>VÄSTERVIK</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47956-2019</t>
        </is>
      </c>
      <c r="B453" s="1" t="n">
        <v>43725</v>
      </c>
      <c r="C453" s="1" t="n">
        <v>45801</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47954-2019</t>
        </is>
      </c>
      <c r="B454" s="1" t="n">
        <v>43725</v>
      </c>
      <c r="C454" s="1" t="n">
        <v>45801</v>
      </c>
      <c r="D454" t="inlineStr">
        <is>
          <t>KALMAR LÄN</t>
        </is>
      </c>
      <c r="E454" t="inlineStr">
        <is>
          <t>VÄSTERVIK</t>
        </is>
      </c>
      <c r="G454" t="n">
        <v>6.8</v>
      </c>
      <c r="H454" t="n">
        <v>0</v>
      </c>
      <c r="I454" t="n">
        <v>0</v>
      </c>
      <c r="J454" t="n">
        <v>0</v>
      </c>
      <c r="K454" t="n">
        <v>0</v>
      </c>
      <c r="L454" t="n">
        <v>0</v>
      </c>
      <c r="M454" t="n">
        <v>0</v>
      </c>
      <c r="N454" t="n">
        <v>0</v>
      </c>
      <c r="O454" t="n">
        <v>0</v>
      </c>
      <c r="P454" t="n">
        <v>0</v>
      </c>
      <c r="Q454" t="n">
        <v>0</v>
      </c>
      <c r="R454" s="2" t="inlineStr"/>
    </row>
    <row r="455" ht="15" customHeight="1">
      <c r="A455" t="inlineStr">
        <is>
          <t>A 48357-2019</t>
        </is>
      </c>
      <c r="B455" s="1" t="n">
        <v>43726</v>
      </c>
      <c r="C455" s="1" t="n">
        <v>45801</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48982-2019</t>
        </is>
      </c>
      <c r="B456" s="1" t="n">
        <v>43729</v>
      </c>
      <c r="C456" s="1" t="n">
        <v>45801</v>
      </c>
      <c r="D456" t="inlineStr">
        <is>
          <t>KALMAR LÄN</t>
        </is>
      </c>
      <c r="E456" t="inlineStr">
        <is>
          <t>VÄSTERVIK</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48981-2019</t>
        </is>
      </c>
      <c r="B457" s="1" t="n">
        <v>43729</v>
      </c>
      <c r="C457" s="1" t="n">
        <v>45801</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48983-2019</t>
        </is>
      </c>
      <c r="B458" s="1" t="n">
        <v>43729</v>
      </c>
      <c r="C458" s="1" t="n">
        <v>45801</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50461-2019</t>
        </is>
      </c>
      <c r="B459" s="1" t="n">
        <v>43735</v>
      </c>
      <c r="C459" s="1" t="n">
        <v>45801</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50627-2019</t>
        </is>
      </c>
      <c r="B460" s="1" t="n">
        <v>43736</v>
      </c>
      <c r="C460" s="1" t="n">
        <v>45801</v>
      </c>
      <c r="D460" t="inlineStr">
        <is>
          <t>KALMAR LÄN</t>
        </is>
      </c>
      <c r="E460" t="inlineStr">
        <is>
          <t>VÄSTERVIK</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50626-2019</t>
        </is>
      </c>
      <c r="B461" s="1" t="n">
        <v>43736</v>
      </c>
      <c r="C461" s="1" t="n">
        <v>45801</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51408-2019</t>
        </is>
      </c>
      <c r="B462" s="1" t="n">
        <v>43740</v>
      </c>
      <c r="C462" s="1" t="n">
        <v>45801</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52292-2019</t>
        </is>
      </c>
      <c r="B463" s="1" t="n">
        <v>43744</v>
      </c>
      <c r="C463" s="1" t="n">
        <v>45801</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52527-2019</t>
        </is>
      </c>
      <c r="B464" s="1" t="n">
        <v>43745</v>
      </c>
      <c r="C464" s="1" t="n">
        <v>45801</v>
      </c>
      <c r="D464" t="inlineStr">
        <is>
          <t>KALMAR LÄN</t>
        </is>
      </c>
      <c r="E464" t="inlineStr">
        <is>
          <t>VÄSTERVIK</t>
        </is>
      </c>
      <c r="G464" t="n">
        <v>0.3</v>
      </c>
      <c r="H464" t="n">
        <v>0</v>
      </c>
      <c r="I464" t="n">
        <v>0</v>
      </c>
      <c r="J464" t="n">
        <v>0</v>
      </c>
      <c r="K464" t="n">
        <v>0</v>
      </c>
      <c r="L464" t="n">
        <v>0</v>
      </c>
      <c r="M464" t="n">
        <v>0</v>
      </c>
      <c r="N464" t="n">
        <v>0</v>
      </c>
      <c r="O464" t="n">
        <v>0</v>
      </c>
      <c r="P464" t="n">
        <v>0</v>
      </c>
      <c r="Q464" t="n">
        <v>0</v>
      </c>
      <c r="R464" s="2" t="inlineStr"/>
    </row>
    <row r="465" ht="15" customHeight="1">
      <c r="A465" t="inlineStr">
        <is>
          <t>A 53714-2019</t>
        </is>
      </c>
      <c r="B465" s="1" t="n">
        <v>43749</v>
      </c>
      <c r="C465" s="1" t="n">
        <v>45801</v>
      </c>
      <c r="D465" t="inlineStr">
        <is>
          <t>KALMAR LÄN</t>
        </is>
      </c>
      <c r="E465" t="inlineStr">
        <is>
          <t>VÄSTERVIK</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53546-2019</t>
        </is>
      </c>
      <c r="B466" s="1" t="n">
        <v>43749</v>
      </c>
      <c r="C466" s="1" t="n">
        <v>45801</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54591-2019</t>
        </is>
      </c>
      <c r="B467" s="1" t="n">
        <v>43754</v>
      </c>
      <c r="C467" s="1" t="n">
        <v>45801</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54597-2019</t>
        </is>
      </c>
      <c r="B468" s="1" t="n">
        <v>43754</v>
      </c>
      <c r="C468" s="1" t="n">
        <v>45801</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57650-2019</t>
        </is>
      </c>
      <c r="B469" s="1" t="n">
        <v>43761</v>
      </c>
      <c r="C469" s="1" t="n">
        <v>45801</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57654-2019</t>
        </is>
      </c>
      <c r="B470" s="1" t="n">
        <v>43761</v>
      </c>
      <c r="C470" s="1" t="n">
        <v>45801</v>
      </c>
      <c r="D470" t="inlineStr">
        <is>
          <t>KALMAR LÄN</t>
        </is>
      </c>
      <c r="E470" t="inlineStr">
        <is>
          <t>VÄSTERVIK</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56580-2019</t>
        </is>
      </c>
      <c r="B471" s="1" t="n">
        <v>43763</v>
      </c>
      <c r="C471" s="1" t="n">
        <v>45801</v>
      </c>
      <c r="D471" t="inlineStr">
        <is>
          <t>KALMAR LÄN</t>
        </is>
      </c>
      <c r="E471" t="inlineStr">
        <is>
          <t>VÄSTERVIK</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57770-2019</t>
        </is>
      </c>
      <c r="B472" s="1" t="n">
        <v>43768</v>
      </c>
      <c r="C472" s="1" t="n">
        <v>45801</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58323-2019</t>
        </is>
      </c>
      <c r="B473" s="1" t="n">
        <v>43770</v>
      </c>
      <c r="C473" s="1" t="n">
        <v>45801</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58386-2019</t>
        </is>
      </c>
      <c r="B474" s="1" t="n">
        <v>43772</v>
      </c>
      <c r="C474" s="1" t="n">
        <v>45801</v>
      </c>
      <c r="D474" t="inlineStr">
        <is>
          <t>KALMAR LÄN</t>
        </is>
      </c>
      <c r="E474" t="inlineStr">
        <is>
          <t>VÄSTERVIK</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58658-2019</t>
        </is>
      </c>
      <c r="B475" s="1" t="n">
        <v>43773</v>
      </c>
      <c r="C475" s="1" t="n">
        <v>45801</v>
      </c>
      <c r="D475" t="inlineStr">
        <is>
          <t>KALMAR LÄN</t>
        </is>
      </c>
      <c r="E475" t="inlineStr">
        <is>
          <t>VÄSTERVIK</t>
        </is>
      </c>
      <c r="F475" t="inlineStr">
        <is>
          <t>Kyrkan</t>
        </is>
      </c>
      <c r="G475" t="n">
        <v>2.9</v>
      </c>
      <c r="H475" t="n">
        <v>0</v>
      </c>
      <c r="I475" t="n">
        <v>0</v>
      </c>
      <c r="J475" t="n">
        <v>0</v>
      </c>
      <c r="K475" t="n">
        <v>0</v>
      </c>
      <c r="L475" t="n">
        <v>0</v>
      </c>
      <c r="M475" t="n">
        <v>0</v>
      </c>
      <c r="N475" t="n">
        <v>0</v>
      </c>
      <c r="O475" t="n">
        <v>0</v>
      </c>
      <c r="P475" t="n">
        <v>0</v>
      </c>
      <c r="Q475" t="n">
        <v>0</v>
      </c>
      <c r="R475" s="2" t="inlineStr"/>
    </row>
    <row r="476" ht="15" customHeight="1">
      <c r="A476" t="inlineStr">
        <is>
          <t>A 59753-2019</t>
        </is>
      </c>
      <c r="B476" s="1" t="n">
        <v>43776</v>
      </c>
      <c r="C476" s="1" t="n">
        <v>45801</v>
      </c>
      <c r="D476" t="inlineStr">
        <is>
          <t>KALMAR LÄN</t>
        </is>
      </c>
      <c r="E476" t="inlineStr">
        <is>
          <t>VÄSTERVIK</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59898-2019</t>
        </is>
      </c>
      <c r="B477" s="1" t="n">
        <v>43777</v>
      </c>
      <c r="C477" s="1" t="n">
        <v>45801</v>
      </c>
      <c r="D477" t="inlineStr">
        <is>
          <t>KALMAR LÄN</t>
        </is>
      </c>
      <c r="E477" t="inlineStr">
        <is>
          <t>VÄSTERVIK</t>
        </is>
      </c>
      <c r="G477" t="n">
        <v>3.6</v>
      </c>
      <c r="H477" t="n">
        <v>0</v>
      </c>
      <c r="I477" t="n">
        <v>0</v>
      </c>
      <c r="J477" t="n">
        <v>0</v>
      </c>
      <c r="K477" t="n">
        <v>0</v>
      </c>
      <c r="L477" t="n">
        <v>0</v>
      </c>
      <c r="M477" t="n">
        <v>0</v>
      </c>
      <c r="N477" t="n">
        <v>0</v>
      </c>
      <c r="O477" t="n">
        <v>0</v>
      </c>
      <c r="P477" t="n">
        <v>0</v>
      </c>
      <c r="Q477" t="n">
        <v>0</v>
      </c>
      <c r="R477" s="2" t="inlineStr"/>
    </row>
    <row r="478" ht="15" customHeight="1">
      <c r="A478" t="inlineStr">
        <is>
          <t>A 59892-2019</t>
        </is>
      </c>
      <c r="B478" s="1" t="n">
        <v>43777</v>
      </c>
      <c r="C478" s="1" t="n">
        <v>45801</v>
      </c>
      <c r="D478" t="inlineStr">
        <is>
          <t>KALMAR LÄN</t>
        </is>
      </c>
      <c r="E478" t="inlineStr">
        <is>
          <t>VÄSTERVIK</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59937-2019</t>
        </is>
      </c>
      <c r="B479" s="1" t="n">
        <v>43777</v>
      </c>
      <c r="C479" s="1" t="n">
        <v>45801</v>
      </c>
      <c r="D479" t="inlineStr">
        <is>
          <t>KALMAR LÄN</t>
        </is>
      </c>
      <c r="E479" t="inlineStr">
        <is>
          <t>VÄSTERVIK</t>
        </is>
      </c>
      <c r="G479" t="n">
        <v>4.8</v>
      </c>
      <c r="H479" t="n">
        <v>0</v>
      </c>
      <c r="I479" t="n">
        <v>0</v>
      </c>
      <c r="J479" t="n">
        <v>0</v>
      </c>
      <c r="K479" t="n">
        <v>0</v>
      </c>
      <c r="L479" t="n">
        <v>0</v>
      </c>
      <c r="M479" t="n">
        <v>0</v>
      </c>
      <c r="N479" t="n">
        <v>0</v>
      </c>
      <c r="O479" t="n">
        <v>0</v>
      </c>
      <c r="P479" t="n">
        <v>0</v>
      </c>
      <c r="Q479" t="n">
        <v>0</v>
      </c>
      <c r="R479" s="2" t="inlineStr"/>
    </row>
    <row r="480" ht="15" customHeight="1">
      <c r="A480" t="inlineStr">
        <is>
          <t>A 60707-2019</t>
        </is>
      </c>
      <c r="B480" s="1" t="n">
        <v>43781</v>
      </c>
      <c r="C480" s="1" t="n">
        <v>45801</v>
      </c>
      <c r="D480" t="inlineStr">
        <is>
          <t>KALMAR LÄN</t>
        </is>
      </c>
      <c r="E480" t="inlineStr">
        <is>
          <t>VÄSTERVIK</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61055-2019</t>
        </is>
      </c>
      <c r="B481" s="1" t="n">
        <v>43782</v>
      </c>
      <c r="C481" s="1" t="n">
        <v>45801</v>
      </c>
      <c r="D481" t="inlineStr">
        <is>
          <t>KALMAR LÄN</t>
        </is>
      </c>
      <c r="E481" t="inlineStr">
        <is>
          <t>VÄSTERVIK</t>
        </is>
      </c>
      <c r="G481" t="n">
        <v>2.8</v>
      </c>
      <c r="H481" t="n">
        <v>0</v>
      </c>
      <c r="I481" t="n">
        <v>0</v>
      </c>
      <c r="J481" t="n">
        <v>0</v>
      </c>
      <c r="K481" t="n">
        <v>0</v>
      </c>
      <c r="L481" t="n">
        <v>0</v>
      </c>
      <c r="M481" t="n">
        <v>0</v>
      </c>
      <c r="N481" t="n">
        <v>0</v>
      </c>
      <c r="O481" t="n">
        <v>0</v>
      </c>
      <c r="P481" t="n">
        <v>0</v>
      </c>
      <c r="Q481" t="n">
        <v>0</v>
      </c>
      <c r="R481" s="2" t="inlineStr"/>
    </row>
    <row r="482" ht="15" customHeight="1">
      <c r="A482" t="inlineStr">
        <is>
          <t>A 61708-2019</t>
        </is>
      </c>
      <c r="B482" s="1" t="n">
        <v>43784</v>
      </c>
      <c r="C482" s="1" t="n">
        <v>45801</v>
      </c>
      <c r="D482" t="inlineStr">
        <is>
          <t>KALMAR LÄN</t>
        </is>
      </c>
      <c r="E482" t="inlineStr">
        <is>
          <t>VÄSTERVIK</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62093-2019</t>
        </is>
      </c>
      <c r="B483" s="1" t="n">
        <v>43787</v>
      </c>
      <c r="C483" s="1" t="n">
        <v>45801</v>
      </c>
      <c r="D483" t="inlineStr">
        <is>
          <t>KALMAR LÄN</t>
        </is>
      </c>
      <c r="E483" t="inlineStr">
        <is>
          <t>VÄSTERVIK</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62046-2019</t>
        </is>
      </c>
      <c r="B484" s="1" t="n">
        <v>43787</v>
      </c>
      <c r="C484" s="1" t="n">
        <v>45801</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62473-2019</t>
        </is>
      </c>
      <c r="B485" s="1" t="n">
        <v>43788</v>
      </c>
      <c r="C485" s="1" t="n">
        <v>45801</v>
      </c>
      <c r="D485" t="inlineStr">
        <is>
          <t>KALMAR LÄN</t>
        </is>
      </c>
      <c r="E485" t="inlineStr">
        <is>
          <t>VÄSTERVIK</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62660-2019</t>
        </is>
      </c>
      <c r="B486" s="1" t="n">
        <v>43789</v>
      </c>
      <c r="C486" s="1" t="n">
        <v>45801</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63090-2019</t>
        </is>
      </c>
      <c r="B487" s="1" t="n">
        <v>43791</v>
      </c>
      <c r="C487" s="1" t="n">
        <v>45801</v>
      </c>
      <c r="D487" t="inlineStr">
        <is>
          <t>KALMAR LÄN</t>
        </is>
      </c>
      <c r="E487" t="inlineStr">
        <is>
          <t>VÄSTERVIK</t>
        </is>
      </c>
      <c r="F487" t="inlineStr">
        <is>
          <t>Övriga Aktiebolag</t>
        </is>
      </c>
      <c r="G487" t="n">
        <v>5.8</v>
      </c>
      <c r="H487" t="n">
        <v>0</v>
      </c>
      <c r="I487" t="n">
        <v>0</v>
      </c>
      <c r="J487" t="n">
        <v>0</v>
      </c>
      <c r="K487" t="n">
        <v>0</v>
      </c>
      <c r="L487" t="n">
        <v>0</v>
      </c>
      <c r="M487" t="n">
        <v>0</v>
      </c>
      <c r="N487" t="n">
        <v>0</v>
      </c>
      <c r="O487" t="n">
        <v>0</v>
      </c>
      <c r="P487" t="n">
        <v>0</v>
      </c>
      <c r="Q487" t="n">
        <v>0</v>
      </c>
      <c r="R487" s="2" t="inlineStr"/>
    </row>
    <row r="488" ht="15" customHeight="1">
      <c r="A488" t="inlineStr">
        <is>
          <t>A 63385-2019</t>
        </is>
      </c>
      <c r="B488" s="1" t="n">
        <v>43794</v>
      </c>
      <c r="C488" s="1" t="n">
        <v>45801</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64610-2019</t>
        </is>
      </c>
      <c r="B489" s="1" t="n">
        <v>43798</v>
      </c>
      <c r="C489" s="1" t="n">
        <v>45801</v>
      </c>
      <c r="D489" t="inlineStr">
        <is>
          <t>KALMAR LÄN</t>
        </is>
      </c>
      <c r="E489" t="inlineStr">
        <is>
          <t>VÄSTERVIK</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65604-2019</t>
        </is>
      </c>
      <c r="B490" s="1" t="n">
        <v>43804</v>
      </c>
      <c r="C490" s="1" t="n">
        <v>45801</v>
      </c>
      <c r="D490" t="inlineStr">
        <is>
          <t>KALMAR LÄN</t>
        </is>
      </c>
      <c r="E490" t="inlineStr">
        <is>
          <t>VÄSTERVIK</t>
        </is>
      </c>
      <c r="G490" t="n">
        <v>3.8</v>
      </c>
      <c r="H490" t="n">
        <v>0</v>
      </c>
      <c r="I490" t="n">
        <v>0</v>
      </c>
      <c r="J490" t="n">
        <v>0</v>
      </c>
      <c r="K490" t="n">
        <v>0</v>
      </c>
      <c r="L490" t="n">
        <v>0</v>
      </c>
      <c r="M490" t="n">
        <v>0</v>
      </c>
      <c r="N490" t="n">
        <v>0</v>
      </c>
      <c r="O490" t="n">
        <v>0</v>
      </c>
      <c r="P490" t="n">
        <v>0</v>
      </c>
      <c r="Q490" t="n">
        <v>0</v>
      </c>
      <c r="R490" s="2" t="inlineStr"/>
    </row>
    <row r="491" ht="15" customHeight="1">
      <c r="A491" t="inlineStr">
        <is>
          <t>A 66743-2019</t>
        </is>
      </c>
      <c r="B491" s="1" t="n">
        <v>43804</v>
      </c>
      <c r="C491" s="1" t="n">
        <v>45801</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c r="U491">
        <f>HYPERLINK("https://klasma.github.io/Logging_0883/knärot/A 66743-2019 karta knärot.png", "A 66743-2019")</f>
        <v/>
      </c>
      <c r="V491">
        <f>HYPERLINK("https://klasma.github.io/Logging_0883/klagomål/A 66743-2019 FSC-klagomål.docx", "A 66743-2019")</f>
        <v/>
      </c>
      <c r="W491">
        <f>HYPERLINK("https://klasma.github.io/Logging_0883/klagomålsmail/A 66743-2019 FSC-klagomål mail.docx", "A 66743-2019")</f>
        <v/>
      </c>
      <c r="X491">
        <f>HYPERLINK("https://klasma.github.io/Logging_0883/tillsyn/A 66743-2019 tillsynsbegäran.docx", "A 66743-2019")</f>
        <v/>
      </c>
      <c r="Y491">
        <f>HYPERLINK("https://klasma.github.io/Logging_0883/tillsynsmail/A 66743-2019 tillsynsbegäran mail.docx", "A 66743-2019")</f>
        <v/>
      </c>
    </row>
    <row r="492" ht="15" customHeight="1">
      <c r="A492" t="inlineStr">
        <is>
          <t>A 66279-2019</t>
        </is>
      </c>
      <c r="B492" s="1" t="n">
        <v>43808</v>
      </c>
      <c r="C492" s="1" t="n">
        <v>45801</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66232-2019</t>
        </is>
      </c>
      <c r="B493" s="1" t="n">
        <v>43808</v>
      </c>
      <c r="C493" s="1" t="n">
        <v>45801</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67407-2019</t>
        </is>
      </c>
      <c r="B494" s="1" t="n">
        <v>43812</v>
      </c>
      <c r="C494" s="1" t="n">
        <v>45801</v>
      </c>
      <c r="D494" t="inlineStr">
        <is>
          <t>KALMAR LÄN</t>
        </is>
      </c>
      <c r="E494" t="inlineStr">
        <is>
          <t>VÄSTERVIK</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68494-2019</t>
        </is>
      </c>
      <c r="B495" s="1" t="n">
        <v>43818</v>
      </c>
      <c r="C495" s="1" t="n">
        <v>45801</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68764-2019</t>
        </is>
      </c>
      <c r="B496" s="1" t="n">
        <v>43819</v>
      </c>
      <c r="C496" s="1" t="n">
        <v>45801</v>
      </c>
      <c r="D496" t="inlineStr">
        <is>
          <t>KALMAR LÄN</t>
        </is>
      </c>
      <c r="E496" t="inlineStr">
        <is>
          <t>VÄSTERVIK</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483-2020</t>
        </is>
      </c>
      <c r="B497" s="1" t="n">
        <v>43837</v>
      </c>
      <c r="C497" s="1" t="n">
        <v>45801</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777-2020</t>
        </is>
      </c>
      <c r="B498" s="1" t="n">
        <v>43838</v>
      </c>
      <c r="C498" s="1" t="n">
        <v>45801</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776-2020</t>
        </is>
      </c>
      <c r="B499" s="1" t="n">
        <v>43838</v>
      </c>
      <c r="C499" s="1" t="n">
        <v>45801</v>
      </c>
      <c r="D499" t="inlineStr">
        <is>
          <t>KALMAR LÄN</t>
        </is>
      </c>
      <c r="E499" t="inlineStr">
        <is>
          <t>VÄSTERVIK</t>
        </is>
      </c>
      <c r="G499" t="n">
        <v>2.2</v>
      </c>
      <c r="H499" t="n">
        <v>0</v>
      </c>
      <c r="I499" t="n">
        <v>0</v>
      </c>
      <c r="J499" t="n">
        <v>0</v>
      </c>
      <c r="K499" t="n">
        <v>0</v>
      </c>
      <c r="L499" t="n">
        <v>0</v>
      </c>
      <c r="M499" t="n">
        <v>0</v>
      </c>
      <c r="N499" t="n">
        <v>0</v>
      </c>
      <c r="O499" t="n">
        <v>0</v>
      </c>
      <c r="P499" t="n">
        <v>0</v>
      </c>
      <c r="Q499" t="n">
        <v>0</v>
      </c>
      <c r="R499" s="2" t="inlineStr"/>
    </row>
    <row r="500" ht="15" customHeight="1">
      <c r="A500" t="inlineStr">
        <is>
          <t>A 1989-2020</t>
        </is>
      </c>
      <c r="B500" s="1" t="n">
        <v>43838</v>
      </c>
      <c r="C500" s="1" t="n">
        <v>45801</v>
      </c>
      <c r="D500" t="inlineStr">
        <is>
          <t>KALMAR LÄN</t>
        </is>
      </c>
      <c r="E500" t="inlineStr">
        <is>
          <t>VÄSTERVIK</t>
        </is>
      </c>
      <c r="G500" t="n">
        <v>3.7</v>
      </c>
      <c r="H500" t="n">
        <v>0</v>
      </c>
      <c r="I500" t="n">
        <v>0</v>
      </c>
      <c r="J500" t="n">
        <v>0</v>
      </c>
      <c r="K500" t="n">
        <v>0</v>
      </c>
      <c r="L500" t="n">
        <v>0</v>
      </c>
      <c r="M500" t="n">
        <v>0</v>
      </c>
      <c r="N500" t="n">
        <v>0</v>
      </c>
      <c r="O500" t="n">
        <v>0</v>
      </c>
      <c r="P500" t="n">
        <v>0</v>
      </c>
      <c r="Q500" t="n">
        <v>0</v>
      </c>
      <c r="R500" s="2" t="inlineStr"/>
    </row>
    <row r="501" ht="15" customHeight="1">
      <c r="A501" t="inlineStr">
        <is>
          <t>A 2494-2020</t>
        </is>
      </c>
      <c r="B501" s="1" t="n">
        <v>43847</v>
      </c>
      <c r="C501" s="1" t="n">
        <v>45801</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3739-2020</t>
        </is>
      </c>
      <c r="B502" s="1" t="n">
        <v>43853</v>
      </c>
      <c r="C502" s="1" t="n">
        <v>45801</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3934-2020</t>
        </is>
      </c>
      <c r="B503" s="1" t="n">
        <v>43854</v>
      </c>
      <c r="C503" s="1" t="n">
        <v>45801</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4786-2020</t>
        </is>
      </c>
      <c r="B504" s="1" t="n">
        <v>43859</v>
      </c>
      <c r="C504" s="1" t="n">
        <v>45801</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4954-2020</t>
        </is>
      </c>
      <c r="B505" s="1" t="n">
        <v>43859</v>
      </c>
      <c r="C505" s="1" t="n">
        <v>45801</v>
      </c>
      <c r="D505" t="inlineStr">
        <is>
          <t>KALMAR LÄN</t>
        </is>
      </c>
      <c r="E505" t="inlineStr">
        <is>
          <t>VÄSTERVIK</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4992-2020</t>
        </is>
      </c>
      <c r="B506" s="1" t="n">
        <v>43859</v>
      </c>
      <c r="C506" s="1" t="n">
        <v>45801</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4939-2020</t>
        </is>
      </c>
      <c r="B507" s="1" t="n">
        <v>43859</v>
      </c>
      <c r="C507" s="1" t="n">
        <v>45801</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5622-2020</t>
        </is>
      </c>
      <c r="B508" s="1" t="n">
        <v>43860</v>
      </c>
      <c r="C508" s="1" t="n">
        <v>45801</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5637-2020</t>
        </is>
      </c>
      <c r="B509" s="1" t="n">
        <v>43860</v>
      </c>
      <c r="C509" s="1" t="n">
        <v>45801</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5629-2020</t>
        </is>
      </c>
      <c r="B510" s="1" t="n">
        <v>43860</v>
      </c>
      <c r="C510" s="1" t="n">
        <v>45801</v>
      </c>
      <c r="D510" t="inlineStr">
        <is>
          <t>KALMAR LÄN</t>
        </is>
      </c>
      <c r="E510" t="inlineStr">
        <is>
          <t>VÄSTERVIK</t>
        </is>
      </c>
      <c r="G510" t="n">
        <v>3.8</v>
      </c>
      <c r="H510" t="n">
        <v>0</v>
      </c>
      <c r="I510" t="n">
        <v>0</v>
      </c>
      <c r="J510" t="n">
        <v>0</v>
      </c>
      <c r="K510" t="n">
        <v>0</v>
      </c>
      <c r="L510" t="n">
        <v>0</v>
      </c>
      <c r="M510" t="n">
        <v>0</v>
      </c>
      <c r="N510" t="n">
        <v>0</v>
      </c>
      <c r="O510" t="n">
        <v>0</v>
      </c>
      <c r="P510" t="n">
        <v>0</v>
      </c>
      <c r="Q510" t="n">
        <v>0</v>
      </c>
      <c r="R510" s="2" t="inlineStr"/>
    </row>
    <row r="511" ht="15" customHeight="1">
      <c r="A511" t="inlineStr">
        <is>
          <t>A 5583-2020</t>
        </is>
      </c>
      <c r="B511" s="1" t="n">
        <v>43861</v>
      </c>
      <c r="C511" s="1" t="n">
        <v>45801</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5594-2020</t>
        </is>
      </c>
      <c r="B512" s="1" t="n">
        <v>43861</v>
      </c>
      <c r="C512" s="1" t="n">
        <v>45801</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5697-2020</t>
        </is>
      </c>
      <c r="B513" s="1" t="n">
        <v>43861</v>
      </c>
      <c r="C513" s="1" t="n">
        <v>45801</v>
      </c>
      <c r="D513" t="inlineStr">
        <is>
          <t>KALMAR LÄN</t>
        </is>
      </c>
      <c r="E513" t="inlineStr">
        <is>
          <t>VÄSTERVIK</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5822-2020</t>
        </is>
      </c>
      <c r="B514" s="1" t="n">
        <v>43864</v>
      </c>
      <c r="C514" s="1" t="n">
        <v>45801</v>
      </c>
      <c r="D514" t="inlineStr">
        <is>
          <t>KALMAR LÄN</t>
        </is>
      </c>
      <c r="E514" t="inlineStr">
        <is>
          <t>VÄSTERVIK</t>
        </is>
      </c>
      <c r="G514" t="n">
        <v>1.5</v>
      </c>
      <c r="H514" t="n">
        <v>0</v>
      </c>
      <c r="I514" t="n">
        <v>0</v>
      </c>
      <c r="J514" t="n">
        <v>0</v>
      </c>
      <c r="K514" t="n">
        <v>0</v>
      </c>
      <c r="L514" t="n">
        <v>0</v>
      </c>
      <c r="M514" t="n">
        <v>0</v>
      </c>
      <c r="N514" t="n">
        <v>0</v>
      </c>
      <c r="O514" t="n">
        <v>0</v>
      </c>
      <c r="P514" t="n">
        <v>0</v>
      </c>
      <c r="Q514" t="n">
        <v>0</v>
      </c>
      <c r="R514" s="2" t="inlineStr"/>
    </row>
    <row r="515" ht="15" customHeight="1">
      <c r="A515" t="inlineStr">
        <is>
          <t>A 6425-2020</t>
        </is>
      </c>
      <c r="B515" s="1" t="n">
        <v>43865</v>
      </c>
      <c r="C515" s="1" t="n">
        <v>45801</v>
      </c>
      <c r="D515" t="inlineStr">
        <is>
          <t>KALMAR LÄN</t>
        </is>
      </c>
      <c r="E515" t="inlineStr">
        <is>
          <t>VÄSTERVIK</t>
        </is>
      </c>
      <c r="G515" t="n">
        <v>2.1</v>
      </c>
      <c r="H515" t="n">
        <v>0</v>
      </c>
      <c r="I515" t="n">
        <v>0</v>
      </c>
      <c r="J515" t="n">
        <v>0</v>
      </c>
      <c r="K515" t="n">
        <v>0</v>
      </c>
      <c r="L515" t="n">
        <v>0</v>
      </c>
      <c r="M515" t="n">
        <v>0</v>
      </c>
      <c r="N515" t="n">
        <v>0</v>
      </c>
      <c r="O515" t="n">
        <v>0</v>
      </c>
      <c r="P515" t="n">
        <v>0</v>
      </c>
      <c r="Q515" t="n">
        <v>0</v>
      </c>
      <c r="R515" s="2" t="inlineStr"/>
    </row>
    <row r="516" ht="15" customHeight="1">
      <c r="A516" t="inlineStr">
        <is>
          <t>A 6391-2020</t>
        </is>
      </c>
      <c r="B516" s="1" t="n">
        <v>43866</v>
      </c>
      <c r="C516" s="1" t="n">
        <v>45801</v>
      </c>
      <c r="D516" t="inlineStr">
        <is>
          <t>KALMAR LÄN</t>
        </is>
      </c>
      <c r="E516" t="inlineStr">
        <is>
          <t>VÄSTERVIK</t>
        </is>
      </c>
      <c r="G516" t="n">
        <v>1.6</v>
      </c>
      <c r="H516" t="n">
        <v>0</v>
      </c>
      <c r="I516" t="n">
        <v>0</v>
      </c>
      <c r="J516" t="n">
        <v>0</v>
      </c>
      <c r="K516" t="n">
        <v>0</v>
      </c>
      <c r="L516" t="n">
        <v>0</v>
      </c>
      <c r="M516" t="n">
        <v>0</v>
      </c>
      <c r="N516" t="n">
        <v>0</v>
      </c>
      <c r="O516" t="n">
        <v>0</v>
      </c>
      <c r="P516" t="n">
        <v>0</v>
      </c>
      <c r="Q516" t="n">
        <v>0</v>
      </c>
      <c r="R516" s="2" t="inlineStr"/>
    </row>
    <row r="517" ht="15" customHeight="1">
      <c r="A517" t="inlineStr">
        <is>
          <t>A 6387-2020</t>
        </is>
      </c>
      <c r="B517" s="1" t="n">
        <v>43866</v>
      </c>
      <c r="C517" s="1" t="n">
        <v>45801</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7290-2020</t>
        </is>
      </c>
      <c r="B518" s="1" t="n">
        <v>43871</v>
      </c>
      <c r="C518" s="1" t="n">
        <v>45801</v>
      </c>
      <c r="D518" t="inlineStr">
        <is>
          <t>KALMAR LÄN</t>
        </is>
      </c>
      <c r="E518" t="inlineStr">
        <is>
          <t>VÄSTERVIK</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7660-2020</t>
        </is>
      </c>
      <c r="B519" s="1" t="n">
        <v>43872</v>
      </c>
      <c r="C519" s="1" t="n">
        <v>45801</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7652-2020</t>
        </is>
      </c>
      <c r="B520" s="1" t="n">
        <v>43872</v>
      </c>
      <c r="C520" s="1" t="n">
        <v>45801</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7727-2020</t>
        </is>
      </c>
      <c r="B521" s="1" t="n">
        <v>43872</v>
      </c>
      <c r="C521" s="1" t="n">
        <v>45801</v>
      </c>
      <c r="D521" t="inlineStr">
        <is>
          <t>KALMAR LÄN</t>
        </is>
      </c>
      <c r="E521" t="inlineStr">
        <is>
          <t>VÄSTERVIK</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8075-2020</t>
        </is>
      </c>
      <c r="B522" s="1" t="n">
        <v>43874</v>
      </c>
      <c r="C522" s="1" t="n">
        <v>45801</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8072-2020</t>
        </is>
      </c>
      <c r="B523" s="1" t="n">
        <v>43874</v>
      </c>
      <c r="C523" s="1" t="n">
        <v>45801</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9168-2020</t>
        </is>
      </c>
      <c r="B524" s="1" t="n">
        <v>43879</v>
      </c>
      <c r="C524" s="1" t="n">
        <v>45801</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9166-2020</t>
        </is>
      </c>
      <c r="B525" s="1" t="n">
        <v>43879</v>
      </c>
      <c r="C525" s="1" t="n">
        <v>45801</v>
      </c>
      <c r="D525" t="inlineStr">
        <is>
          <t>KALMAR LÄN</t>
        </is>
      </c>
      <c r="E525" t="inlineStr">
        <is>
          <t>VÄSTERVIK</t>
        </is>
      </c>
      <c r="G525" t="n">
        <v>6.9</v>
      </c>
      <c r="H525" t="n">
        <v>0</v>
      </c>
      <c r="I525" t="n">
        <v>0</v>
      </c>
      <c r="J525" t="n">
        <v>0</v>
      </c>
      <c r="K525" t="n">
        <v>0</v>
      </c>
      <c r="L525" t="n">
        <v>0</v>
      </c>
      <c r="M525" t="n">
        <v>0</v>
      </c>
      <c r="N525" t="n">
        <v>0</v>
      </c>
      <c r="O525" t="n">
        <v>0</v>
      </c>
      <c r="P525" t="n">
        <v>0</v>
      </c>
      <c r="Q525" t="n">
        <v>0</v>
      </c>
      <c r="R525" s="2" t="inlineStr"/>
    </row>
    <row r="526" ht="15" customHeight="1">
      <c r="A526" t="inlineStr">
        <is>
          <t>A 9332-2020</t>
        </is>
      </c>
      <c r="B526" s="1" t="n">
        <v>43880</v>
      </c>
      <c r="C526" s="1" t="n">
        <v>45801</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10373-2020</t>
        </is>
      </c>
      <c r="B527" s="1" t="n">
        <v>43885</v>
      </c>
      <c r="C527" s="1" t="n">
        <v>45801</v>
      </c>
      <c r="D527" t="inlineStr">
        <is>
          <t>KALMAR LÄN</t>
        </is>
      </c>
      <c r="E527" t="inlineStr">
        <is>
          <t>VÄSTERVIK</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11067-2020</t>
        </is>
      </c>
      <c r="B528" s="1" t="n">
        <v>43885</v>
      </c>
      <c r="C528" s="1" t="n">
        <v>45801</v>
      </c>
      <c r="D528" t="inlineStr">
        <is>
          <t>KALMAR LÄN</t>
        </is>
      </c>
      <c r="E528" t="inlineStr">
        <is>
          <t>VÄSTERVIK</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10482-2020</t>
        </is>
      </c>
      <c r="B529" s="1" t="n">
        <v>43886</v>
      </c>
      <c r="C529" s="1" t="n">
        <v>45801</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10173-2020</t>
        </is>
      </c>
      <c r="B530" s="1" t="n">
        <v>43886</v>
      </c>
      <c r="C530" s="1" t="n">
        <v>45801</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11253-2020</t>
        </is>
      </c>
      <c r="B531" s="1" t="n">
        <v>43892</v>
      </c>
      <c r="C531" s="1" t="n">
        <v>45801</v>
      </c>
      <c r="D531" t="inlineStr">
        <is>
          <t>KALMAR LÄN</t>
        </is>
      </c>
      <c r="E531" t="inlineStr">
        <is>
          <t>VÄSTERVIK</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11248-2020</t>
        </is>
      </c>
      <c r="B532" s="1" t="n">
        <v>43892</v>
      </c>
      <c r="C532" s="1" t="n">
        <v>45801</v>
      </c>
      <c r="D532" t="inlineStr">
        <is>
          <t>KALMAR LÄN</t>
        </is>
      </c>
      <c r="E532" t="inlineStr">
        <is>
          <t>VÄSTERVIK</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11246-2020</t>
        </is>
      </c>
      <c r="B533" s="1" t="n">
        <v>43892</v>
      </c>
      <c r="C533" s="1" t="n">
        <v>45801</v>
      </c>
      <c r="D533" t="inlineStr">
        <is>
          <t>KALMAR LÄN</t>
        </is>
      </c>
      <c r="E533" t="inlineStr">
        <is>
          <t>VÄSTERVIK</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12430-2020</t>
        </is>
      </c>
      <c r="B534" s="1" t="n">
        <v>43896</v>
      </c>
      <c r="C534" s="1" t="n">
        <v>45801</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12965-2020</t>
        </is>
      </c>
      <c r="B535" s="1" t="n">
        <v>43900</v>
      </c>
      <c r="C535" s="1" t="n">
        <v>45801</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13514-2020</t>
        </is>
      </c>
      <c r="B536" s="1" t="n">
        <v>43902</v>
      </c>
      <c r="C536" s="1" t="n">
        <v>45801</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13526-2020</t>
        </is>
      </c>
      <c r="B537" s="1" t="n">
        <v>43902</v>
      </c>
      <c r="C537" s="1" t="n">
        <v>45801</v>
      </c>
      <c r="D537" t="inlineStr">
        <is>
          <t>KALMAR LÄN</t>
        </is>
      </c>
      <c r="E537" t="inlineStr">
        <is>
          <t>VÄSTERVIK</t>
        </is>
      </c>
      <c r="F537" t="inlineStr">
        <is>
          <t>Holmen skog AB</t>
        </is>
      </c>
      <c r="G537" t="n">
        <v>18.6</v>
      </c>
      <c r="H537" t="n">
        <v>0</v>
      </c>
      <c r="I537" t="n">
        <v>0</v>
      </c>
      <c r="J537" t="n">
        <v>0</v>
      </c>
      <c r="K537" t="n">
        <v>0</v>
      </c>
      <c r="L537" t="n">
        <v>0</v>
      </c>
      <c r="M537" t="n">
        <v>0</v>
      </c>
      <c r="N537" t="n">
        <v>0</v>
      </c>
      <c r="O537" t="n">
        <v>0</v>
      </c>
      <c r="P537" t="n">
        <v>0</v>
      </c>
      <c r="Q537" t="n">
        <v>0</v>
      </c>
      <c r="R537" s="2" t="inlineStr"/>
    </row>
    <row r="538" ht="15" customHeight="1">
      <c r="A538" t="inlineStr">
        <is>
          <t>A 13523-2020</t>
        </is>
      </c>
      <c r="B538" s="1" t="n">
        <v>43902</v>
      </c>
      <c r="C538" s="1" t="n">
        <v>45801</v>
      </c>
      <c r="D538" t="inlineStr">
        <is>
          <t>KALMAR LÄN</t>
        </is>
      </c>
      <c r="E538" t="inlineStr">
        <is>
          <t>VÄSTERVIK</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14889-2020</t>
        </is>
      </c>
      <c r="B539" s="1" t="n">
        <v>43906</v>
      </c>
      <c r="C539" s="1" t="n">
        <v>45801</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14887-2020</t>
        </is>
      </c>
      <c r="B540" s="1" t="n">
        <v>43906</v>
      </c>
      <c r="C540" s="1" t="n">
        <v>45801</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14891-2020</t>
        </is>
      </c>
      <c r="B541" s="1" t="n">
        <v>43906</v>
      </c>
      <c r="C541" s="1" t="n">
        <v>45801</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14456-2020</t>
        </is>
      </c>
      <c r="B542" s="1" t="n">
        <v>43908</v>
      </c>
      <c r="C542" s="1" t="n">
        <v>45801</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16580-2020</t>
        </is>
      </c>
      <c r="B543" s="1" t="n">
        <v>43908</v>
      </c>
      <c r="C543" s="1" t="n">
        <v>45801</v>
      </c>
      <c r="D543" t="inlineStr">
        <is>
          <t>KALMAR LÄN</t>
        </is>
      </c>
      <c r="E543" t="inlineStr">
        <is>
          <t>VÄSTERVIK</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19422-2020</t>
        </is>
      </c>
      <c r="B544" s="1" t="n">
        <v>43938</v>
      </c>
      <c r="C544" s="1" t="n">
        <v>45801</v>
      </c>
      <c r="D544" t="inlineStr">
        <is>
          <t>KALMAR LÄN</t>
        </is>
      </c>
      <c r="E544" t="inlineStr">
        <is>
          <t>VÄSTERVIK</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19437-2020</t>
        </is>
      </c>
      <c r="B545" s="1" t="n">
        <v>43938</v>
      </c>
      <c r="C545" s="1" t="n">
        <v>45801</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19829-2020</t>
        </is>
      </c>
      <c r="B546" s="1" t="n">
        <v>43942</v>
      </c>
      <c r="C546" s="1" t="n">
        <v>45801</v>
      </c>
      <c r="D546" t="inlineStr">
        <is>
          <t>KALMAR LÄN</t>
        </is>
      </c>
      <c r="E546" t="inlineStr">
        <is>
          <t>VÄSTERVIK</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20408-2020</t>
        </is>
      </c>
      <c r="B547" s="1" t="n">
        <v>43945</v>
      </c>
      <c r="C547" s="1" t="n">
        <v>45801</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20411-2020</t>
        </is>
      </c>
      <c r="B548" s="1" t="n">
        <v>43945</v>
      </c>
      <c r="C548" s="1" t="n">
        <v>45801</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20694-2020</t>
        </is>
      </c>
      <c r="B549" s="1" t="n">
        <v>43949</v>
      </c>
      <c r="C549" s="1" t="n">
        <v>45801</v>
      </c>
      <c r="D549" t="inlineStr">
        <is>
          <t>KALMAR LÄN</t>
        </is>
      </c>
      <c r="E549" t="inlineStr">
        <is>
          <t>VÄSTERVIK</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22643-2020</t>
        </is>
      </c>
      <c r="B550" s="1" t="n">
        <v>43963</v>
      </c>
      <c r="C550" s="1" t="n">
        <v>45801</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22882-2020</t>
        </is>
      </c>
      <c r="B551" s="1" t="n">
        <v>43964</v>
      </c>
      <c r="C551" s="1" t="n">
        <v>45801</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22880-2020</t>
        </is>
      </c>
      <c r="B552" s="1" t="n">
        <v>43964</v>
      </c>
      <c r="C552" s="1" t="n">
        <v>45801</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22803-2020</t>
        </is>
      </c>
      <c r="B553" s="1" t="n">
        <v>43964</v>
      </c>
      <c r="C553" s="1" t="n">
        <v>45801</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24366-2020</t>
        </is>
      </c>
      <c r="B554" s="1" t="n">
        <v>43973</v>
      </c>
      <c r="C554" s="1" t="n">
        <v>45801</v>
      </c>
      <c r="D554" t="inlineStr">
        <is>
          <t>KALMAR LÄN</t>
        </is>
      </c>
      <c r="E554" t="inlineStr">
        <is>
          <t>VÄSTERVIK</t>
        </is>
      </c>
      <c r="G554" t="n">
        <v>6.9</v>
      </c>
      <c r="H554" t="n">
        <v>0</v>
      </c>
      <c r="I554" t="n">
        <v>0</v>
      </c>
      <c r="J554" t="n">
        <v>0</v>
      </c>
      <c r="K554" t="n">
        <v>0</v>
      </c>
      <c r="L554" t="n">
        <v>0</v>
      </c>
      <c r="M554" t="n">
        <v>0</v>
      </c>
      <c r="N554" t="n">
        <v>0</v>
      </c>
      <c r="O554" t="n">
        <v>0</v>
      </c>
      <c r="P554" t="n">
        <v>0</v>
      </c>
      <c r="Q554" t="n">
        <v>0</v>
      </c>
      <c r="R554" s="2" t="inlineStr"/>
    </row>
    <row r="555" ht="15" customHeight="1">
      <c r="A555" t="inlineStr">
        <is>
          <t>A 24575-2020</t>
        </is>
      </c>
      <c r="B555" s="1" t="n">
        <v>43977</v>
      </c>
      <c r="C555" s="1" t="n">
        <v>45801</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24570-2020</t>
        </is>
      </c>
      <c r="B556" s="1" t="n">
        <v>43977</v>
      </c>
      <c r="C556" s="1" t="n">
        <v>45801</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24677-2020</t>
        </is>
      </c>
      <c r="B557" s="1" t="n">
        <v>43978</v>
      </c>
      <c r="C557" s="1" t="n">
        <v>45801</v>
      </c>
      <c r="D557" t="inlineStr">
        <is>
          <t>KALMAR LÄN</t>
        </is>
      </c>
      <c r="E557" t="inlineStr">
        <is>
          <t>VÄSTERVIK</t>
        </is>
      </c>
      <c r="G557" t="n">
        <v>2.7</v>
      </c>
      <c r="H557" t="n">
        <v>0</v>
      </c>
      <c r="I557" t="n">
        <v>0</v>
      </c>
      <c r="J557" t="n">
        <v>0</v>
      </c>
      <c r="K557" t="n">
        <v>0</v>
      </c>
      <c r="L557" t="n">
        <v>0</v>
      </c>
      <c r="M557" t="n">
        <v>0</v>
      </c>
      <c r="N557" t="n">
        <v>0</v>
      </c>
      <c r="O557" t="n">
        <v>0</v>
      </c>
      <c r="P557" t="n">
        <v>0</v>
      </c>
      <c r="Q557" t="n">
        <v>0</v>
      </c>
      <c r="R557" s="2" t="inlineStr"/>
    </row>
    <row r="558" ht="15" customHeight="1">
      <c r="A558" t="inlineStr">
        <is>
          <t>A 25241-2020</t>
        </is>
      </c>
      <c r="B558" s="1" t="n">
        <v>43980</v>
      </c>
      <c r="C558" s="1" t="n">
        <v>45801</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26226-2020</t>
        </is>
      </c>
      <c r="B559" s="1" t="n">
        <v>43985</v>
      </c>
      <c r="C559" s="1" t="n">
        <v>45801</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26129-2020</t>
        </is>
      </c>
      <c r="B560" s="1" t="n">
        <v>43985</v>
      </c>
      <c r="C560" s="1" t="n">
        <v>45801</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26842-2020</t>
        </is>
      </c>
      <c r="B561" s="1" t="n">
        <v>43987</v>
      </c>
      <c r="C561" s="1" t="n">
        <v>45801</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29093-2020</t>
        </is>
      </c>
      <c r="B562" s="1" t="n">
        <v>44002</v>
      </c>
      <c r="C562" s="1" t="n">
        <v>45801</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29264-2020</t>
        </is>
      </c>
      <c r="B563" s="1" t="n">
        <v>44004</v>
      </c>
      <c r="C563" s="1" t="n">
        <v>45801</v>
      </c>
      <c r="D563" t="inlineStr">
        <is>
          <t>KALMAR LÄN</t>
        </is>
      </c>
      <c r="E563" t="inlineStr">
        <is>
          <t>VÄSTERVIK</t>
        </is>
      </c>
      <c r="G563" t="n">
        <v>5.5</v>
      </c>
      <c r="H563" t="n">
        <v>0</v>
      </c>
      <c r="I563" t="n">
        <v>0</v>
      </c>
      <c r="J563" t="n">
        <v>0</v>
      </c>
      <c r="K563" t="n">
        <v>0</v>
      </c>
      <c r="L563" t="n">
        <v>0</v>
      </c>
      <c r="M563" t="n">
        <v>0</v>
      </c>
      <c r="N563" t="n">
        <v>0</v>
      </c>
      <c r="O563" t="n">
        <v>0</v>
      </c>
      <c r="P563" t="n">
        <v>0</v>
      </c>
      <c r="Q563" t="n">
        <v>0</v>
      </c>
      <c r="R563" s="2" t="inlineStr"/>
    </row>
    <row r="564" ht="15" customHeight="1">
      <c r="A564" t="inlineStr">
        <is>
          <t>A 30581-2020</t>
        </is>
      </c>
      <c r="B564" s="1" t="n">
        <v>44008</v>
      </c>
      <c r="C564" s="1" t="n">
        <v>45801</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30578-2020</t>
        </is>
      </c>
      <c r="B565" s="1" t="n">
        <v>44008</v>
      </c>
      <c r="C565" s="1" t="n">
        <v>45801</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31587-2020</t>
        </is>
      </c>
      <c r="B566" s="1" t="n">
        <v>44012</v>
      </c>
      <c r="C566" s="1" t="n">
        <v>45801</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32807-2020</t>
        </is>
      </c>
      <c r="B567" s="1" t="n">
        <v>44018</v>
      </c>
      <c r="C567" s="1" t="n">
        <v>45801</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33137-2020</t>
        </is>
      </c>
      <c r="B568" s="1" t="n">
        <v>44021</v>
      </c>
      <c r="C568" s="1" t="n">
        <v>45801</v>
      </c>
      <c r="D568" t="inlineStr">
        <is>
          <t>KALMAR LÄN</t>
        </is>
      </c>
      <c r="E568" t="inlineStr">
        <is>
          <t>VÄSTERVIK</t>
        </is>
      </c>
      <c r="G568" t="n">
        <v>0.9</v>
      </c>
      <c r="H568" t="n">
        <v>0</v>
      </c>
      <c r="I568" t="n">
        <v>0</v>
      </c>
      <c r="J568" t="n">
        <v>0</v>
      </c>
      <c r="K568" t="n">
        <v>0</v>
      </c>
      <c r="L568" t="n">
        <v>0</v>
      </c>
      <c r="M568" t="n">
        <v>0</v>
      </c>
      <c r="N568" t="n">
        <v>0</v>
      </c>
      <c r="O568" t="n">
        <v>0</v>
      </c>
      <c r="P568" t="n">
        <v>0</v>
      </c>
      <c r="Q568" t="n">
        <v>0</v>
      </c>
      <c r="R568" s="2" t="inlineStr"/>
    </row>
    <row r="569" ht="15" customHeight="1">
      <c r="A569" t="inlineStr">
        <is>
          <t>A 34775-2020</t>
        </is>
      </c>
      <c r="B569" s="1" t="n">
        <v>44035</v>
      </c>
      <c r="C569" s="1" t="n">
        <v>45801</v>
      </c>
      <c r="D569" t="inlineStr">
        <is>
          <t>KALMAR LÄN</t>
        </is>
      </c>
      <c r="E569" t="inlineStr">
        <is>
          <t>VÄSTERVIK</t>
        </is>
      </c>
      <c r="G569" t="n">
        <v>3.5</v>
      </c>
      <c r="H569" t="n">
        <v>0</v>
      </c>
      <c r="I569" t="n">
        <v>0</v>
      </c>
      <c r="J569" t="n">
        <v>0</v>
      </c>
      <c r="K569" t="n">
        <v>0</v>
      </c>
      <c r="L569" t="n">
        <v>0</v>
      </c>
      <c r="M569" t="n">
        <v>0</v>
      </c>
      <c r="N569" t="n">
        <v>0</v>
      </c>
      <c r="O569" t="n">
        <v>0</v>
      </c>
      <c r="P569" t="n">
        <v>0</v>
      </c>
      <c r="Q569" t="n">
        <v>0</v>
      </c>
      <c r="R569" s="2" t="inlineStr"/>
    </row>
    <row r="570" ht="15" customHeight="1">
      <c r="A570" t="inlineStr">
        <is>
          <t>A 35150-2020</t>
        </is>
      </c>
      <c r="B570" s="1" t="n">
        <v>44040</v>
      </c>
      <c r="C570" s="1" t="n">
        <v>45801</v>
      </c>
      <c r="D570" t="inlineStr">
        <is>
          <t>KALMAR LÄN</t>
        </is>
      </c>
      <c r="E570" t="inlineStr">
        <is>
          <t>VÄSTERVIK</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35655-2020</t>
        </is>
      </c>
      <c r="B571" s="1" t="n">
        <v>44046</v>
      </c>
      <c r="C571" s="1" t="n">
        <v>45801</v>
      </c>
      <c r="D571" t="inlineStr">
        <is>
          <t>KALMAR LÄN</t>
        </is>
      </c>
      <c r="E571" t="inlineStr">
        <is>
          <t>VÄSTERVIK</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35689-2020</t>
        </is>
      </c>
      <c r="B572" s="1" t="n">
        <v>44046</v>
      </c>
      <c r="C572" s="1" t="n">
        <v>45801</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35868-2020</t>
        </is>
      </c>
      <c r="B573" s="1" t="n">
        <v>44047</v>
      </c>
      <c r="C573" s="1" t="n">
        <v>45801</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37146-2020</t>
        </is>
      </c>
      <c r="B574" s="1" t="n">
        <v>44054</v>
      </c>
      <c r="C574" s="1" t="n">
        <v>45801</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37156-2020</t>
        </is>
      </c>
      <c r="B575" s="1" t="n">
        <v>44054</v>
      </c>
      <c r="C575" s="1" t="n">
        <v>45801</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37163-2020</t>
        </is>
      </c>
      <c r="B576" s="1" t="n">
        <v>44054</v>
      </c>
      <c r="C576" s="1" t="n">
        <v>45801</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37162-2020</t>
        </is>
      </c>
      <c r="B577" s="1" t="n">
        <v>44054</v>
      </c>
      <c r="C577" s="1" t="n">
        <v>45801</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37113-2020</t>
        </is>
      </c>
      <c r="B578" s="1" t="n">
        <v>44054</v>
      </c>
      <c r="C578" s="1" t="n">
        <v>45801</v>
      </c>
      <c r="D578" t="inlineStr">
        <is>
          <t>KALMAR LÄN</t>
        </is>
      </c>
      <c r="E578" t="inlineStr">
        <is>
          <t>VÄSTERVIK</t>
        </is>
      </c>
      <c r="G578" t="n">
        <v>2.1</v>
      </c>
      <c r="H578" t="n">
        <v>0</v>
      </c>
      <c r="I578" t="n">
        <v>0</v>
      </c>
      <c r="J578" t="n">
        <v>0</v>
      </c>
      <c r="K578" t="n">
        <v>0</v>
      </c>
      <c r="L578" t="n">
        <v>0</v>
      </c>
      <c r="M578" t="n">
        <v>0</v>
      </c>
      <c r="N578" t="n">
        <v>0</v>
      </c>
      <c r="O578" t="n">
        <v>0</v>
      </c>
      <c r="P578" t="n">
        <v>0</v>
      </c>
      <c r="Q578" t="n">
        <v>0</v>
      </c>
      <c r="R578" s="2" t="inlineStr"/>
    </row>
    <row r="579" ht="15" customHeight="1">
      <c r="A579" t="inlineStr">
        <is>
          <t>A 37122-2020</t>
        </is>
      </c>
      <c r="B579" s="1" t="n">
        <v>44054</v>
      </c>
      <c r="C579" s="1" t="n">
        <v>45801</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37149-2020</t>
        </is>
      </c>
      <c r="B580" s="1" t="n">
        <v>44054</v>
      </c>
      <c r="C580" s="1" t="n">
        <v>45801</v>
      </c>
      <c r="D580" t="inlineStr">
        <is>
          <t>KALMAR LÄN</t>
        </is>
      </c>
      <c r="E580" t="inlineStr">
        <is>
          <t>VÄSTERVIK</t>
        </is>
      </c>
      <c r="G580" t="n">
        <v>4.6</v>
      </c>
      <c r="H580" t="n">
        <v>0</v>
      </c>
      <c r="I580" t="n">
        <v>0</v>
      </c>
      <c r="J580" t="n">
        <v>0</v>
      </c>
      <c r="K580" t="n">
        <v>0</v>
      </c>
      <c r="L580" t="n">
        <v>0</v>
      </c>
      <c r="M580" t="n">
        <v>0</v>
      </c>
      <c r="N580" t="n">
        <v>0</v>
      </c>
      <c r="O580" t="n">
        <v>0</v>
      </c>
      <c r="P580" t="n">
        <v>0</v>
      </c>
      <c r="Q580" t="n">
        <v>0</v>
      </c>
      <c r="R580" s="2" t="inlineStr"/>
    </row>
    <row r="581" ht="15" customHeight="1">
      <c r="A581" t="inlineStr">
        <is>
          <t>A 37166-2020</t>
        </is>
      </c>
      <c r="B581" s="1" t="n">
        <v>44054</v>
      </c>
      <c r="C581" s="1" t="n">
        <v>45801</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37114-2020</t>
        </is>
      </c>
      <c r="B582" s="1" t="n">
        <v>44054</v>
      </c>
      <c r="C582" s="1" t="n">
        <v>45801</v>
      </c>
      <c r="D582" t="inlineStr">
        <is>
          <t>KALMAR LÄN</t>
        </is>
      </c>
      <c r="E582" t="inlineStr">
        <is>
          <t>VÄSTERVIK</t>
        </is>
      </c>
      <c r="G582" t="n">
        <v>2.8</v>
      </c>
      <c r="H582" t="n">
        <v>0</v>
      </c>
      <c r="I582" t="n">
        <v>0</v>
      </c>
      <c r="J582" t="n">
        <v>0</v>
      </c>
      <c r="K582" t="n">
        <v>0</v>
      </c>
      <c r="L582" t="n">
        <v>0</v>
      </c>
      <c r="M582" t="n">
        <v>0</v>
      </c>
      <c r="N582" t="n">
        <v>0</v>
      </c>
      <c r="O582" t="n">
        <v>0</v>
      </c>
      <c r="P582" t="n">
        <v>0</v>
      </c>
      <c r="Q582" t="n">
        <v>0</v>
      </c>
      <c r="R582" s="2" t="inlineStr"/>
    </row>
    <row r="583" ht="15" customHeight="1">
      <c r="A583" t="inlineStr">
        <is>
          <t>A 39153-2020</t>
        </is>
      </c>
      <c r="B583" s="1" t="n">
        <v>44063</v>
      </c>
      <c r="C583" s="1" t="n">
        <v>45801</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39779-2020</t>
        </is>
      </c>
      <c r="B584" s="1" t="n">
        <v>44064</v>
      </c>
      <c r="C584" s="1" t="n">
        <v>45801</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39859-2020</t>
        </is>
      </c>
      <c r="B585" s="1" t="n">
        <v>44064</v>
      </c>
      <c r="C585" s="1" t="n">
        <v>45801</v>
      </c>
      <c r="D585" t="inlineStr">
        <is>
          <t>KALMAR LÄN</t>
        </is>
      </c>
      <c r="E585" t="inlineStr">
        <is>
          <t>VÄSTERVIK</t>
        </is>
      </c>
      <c r="G585" t="n">
        <v>29.6</v>
      </c>
      <c r="H585" t="n">
        <v>0</v>
      </c>
      <c r="I585" t="n">
        <v>0</v>
      </c>
      <c r="J585" t="n">
        <v>0</v>
      </c>
      <c r="K585" t="n">
        <v>0</v>
      </c>
      <c r="L585" t="n">
        <v>0</v>
      </c>
      <c r="M585" t="n">
        <v>0</v>
      </c>
      <c r="N585" t="n">
        <v>0</v>
      </c>
      <c r="O585" t="n">
        <v>0</v>
      </c>
      <c r="P585" t="n">
        <v>0</v>
      </c>
      <c r="Q585" t="n">
        <v>0</v>
      </c>
      <c r="R585" s="2" t="inlineStr"/>
    </row>
    <row r="586" ht="15" customHeight="1">
      <c r="A586" t="inlineStr">
        <is>
          <t>A 39857-2020</t>
        </is>
      </c>
      <c r="B586" s="1" t="n">
        <v>44064</v>
      </c>
      <c r="C586" s="1" t="n">
        <v>45801</v>
      </c>
      <c r="D586" t="inlineStr">
        <is>
          <t>KALMAR LÄN</t>
        </is>
      </c>
      <c r="E586" t="inlineStr">
        <is>
          <t>VÄSTERVIK</t>
        </is>
      </c>
      <c r="G586" t="n">
        <v>7.6</v>
      </c>
      <c r="H586" t="n">
        <v>0</v>
      </c>
      <c r="I586" t="n">
        <v>0</v>
      </c>
      <c r="J586" t="n">
        <v>0</v>
      </c>
      <c r="K586" t="n">
        <v>0</v>
      </c>
      <c r="L586" t="n">
        <v>0</v>
      </c>
      <c r="M586" t="n">
        <v>0</v>
      </c>
      <c r="N586" t="n">
        <v>0</v>
      </c>
      <c r="O586" t="n">
        <v>0</v>
      </c>
      <c r="P586" t="n">
        <v>0</v>
      </c>
      <c r="Q586" t="n">
        <v>0</v>
      </c>
      <c r="R586" s="2" t="inlineStr"/>
    </row>
    <row r="587" ht="15" customHeight="1">
      <c r="A587" t="inlineStr">
        <is>
          <t>A 42113-2020</t>
        </is>
      </c>
      <c r="B587" s="1" t="n">
        <v>44071</v>
      </c>
      <c r="C587" s="1" t="n">
        <v>45801</v>
      </c>
      <c r="D587" t="inlineStr">
        <is>
          <t>KALMAR LÄN</t>
        </is>
      </c>
      <c r="E587" t="inlineStr">
        <is>
          <t>VÄSTERVIK</t>
        </is>
      </c>
      <c r="G587" t="n">
        <v>2.6</v>
      </c>
      <c r="H587" t="n">
        <v>0</v>
      </c>
      <c r="I587" t="n">
        <v>0</v>
      </c>
      <c r="J587" t="n">
        <v>0</v>
      </c>
      <c r="K587" t="n">
        <v>0</v>
      </c>
      <c r="L587" t="n">
        <v>0</v>
      </c>
      <c r="M587" t="n">
        <v>0</v>
      </c>
      <c r="N587" t="n">
        <v>0</v>
      </c>
      <c r="O587" t="n">
        <v>0</v>
      </c>
      <c r="P587" t="n">
        <v>0</v>
      </c>
      <c r="Q587" t="n">
        <v>0</v>
      </c>
      <c r="R587" s="2" t="inlineStr"/>
    </row>
    <row r="588" ht="15" customHeight="1">
      <c r="A588" t="inlineStr">
        <is>
          <t>A 43730-2020</t>
        </is>
      </c>
      <c r="B588" s="1" t="n">
        <v>44082</v>
      </c>
      <c r="C588" s="1" t="n">
        <v>45801</v>
      </c>
      <c r="D588" t="inlineStr">
        <is>
          <t>KALMAR LÄN</t>
        </is>
      </c>
      <c r="E588" t="inlineStr">
        <is>
          <t>VÄSTERVIK</t>
        </is>
      </c>
      <c r="G588" t="n">
        <v>0.1</v>
      </c>
      <c r="H588" t="n">
        <v>0</v>
      </c>
      <c r="I588" t="n">
        <v>0</v>
      </c>
      <c r="J588" t="n">
        <v>0</v>
      </c>
      <c r="K588" t="n">
        <v>0</v>
      </c>
      <c r="L588" t="n">
        <v>0</v>
      </c>
      <c r="M588" t="n">
        <v>0</v>
      </c>
      <c r="N588" t="n">
        <v>0</v>
      </c>
      <c r="O588" t="n">
        <v>0</v>
      </c>
      <c r="P588" t="n">
        <v>0</v>
      </c>
      <c r="Q588" t="n">
        <v>0</v>
      </c>
      <c r="R588" s="2" t="inlineStr"/>
    </row>
    <row r="589" ht="15" customHeight="1">
      <c r="A589" t="inlineStr">
        <is>
          <t>A 44466-2020</t>
        </is>
      </c>
      <c r="B589" s="1" t="n">
        <v>44084</v>
      </c>
      <c r="C589" s="1" t="n">
        <v>45801</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c r="U589">
        <f>HYPERLINK("https://klasma.github.io/Logging_0883/knärot/A 44466-2020 karta knärot.png", "A 44466-2020")</f>
        <v/>
      </c>
      <c r="V589">
        <f>HYPERLINK("https://klasma.github.io/Logging_0883/klagomål/A 44466-2020 FSC-klagomål.docx", "A 44466-2020")</f>
        <v/>
      </c>
      <c r="W589">
        <f>HYPERLINK("https://klasma.github.io/Logging_0883/klagomålsmail/A 44466-2020 FSC-klagomål mail.docx", "A 44466-2020")</f>
        <v/>
      </c>
      <c r="X589">
        <f>HYPERLINK("https://klasma.github.io/Logging_0883/tillsyn/A 44466-2020 tillsynsbegäran.docx", "A 44466-2020")</f>
        <v/>
      </c>
      <c r="Y589">
        <f>HYPERLINK("https://klasma.github.io/Logging_0883/tillsynsmail/A 44466-2020 tillsynsbegäran mail.docx", "A 44466-2020")</f>
        <v/>
      </c>
    </row>
    <row r="590" ht="15" customHeight="1">
      <c r="A590" t="inlineStr">
        <is>
          <t>A 45537-2020</t>
        </is>
      </c>
      <c r="B590" s="1" t="n">
        <v>44089</v>
      </c>
      <c r="C590" s="1" t="n">
        <v>45801</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45877-2020</t>
        </is>
      </c>
      <c r="B591" s="1" t="n">
        <v>44091</v>
      </c>
      <c r="C591" s="1" t="n">
        <v>45801</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46214-2020</t>
        </is>
      </c>
      <c r="B592" s="1" t="n">
        <v>44092</v>
      </c>
      <c r="C592" s="1" t="n">
        <v>45801</v>
      </c>
      <c r="D592" t="inlineStr">
        <is>
          <t>KALMAR LÄN</t>
        </is>
      </c>
      <c r="E592" t="inlineStr">
        <is>
          <t>VÄSTERVIK</t>
        </is>
      </c>
      <c r="G592" t="n">
        <v>2.7</v>
      </c>
      <c r="H592" t="n">
        <v>0</v>
      </c>
      <c r="I592" t="n">
        <v>0</v>
      </c>
      <c r="J592" t="n">
        <v>0</v>
      </c>
      <c r="K592" t="n">
        <v>0</v>
      </c>
      <c r="L592" t="n">
        <v>0</v>
      </c>
      <c r="M592" t="n">
        <v>0</v>
      </c>
      <c r="N592" t="n">
        <v>0</v>
      </c>
      <c r="O592" t="n">
        <v>0</v>
      </c>
      <c r="P592" t="n">
        <v>0</v>
      </c>
      <c r="Q592" t="n">
        <v>0</v>
      </c>
      <c r="R592" s="2" t="inlineStr"/>
    </row>
    <row r="593" ht="15" customHeight="1">
      <c r="A593" t="inlineStr">
        <is>
          <t>A 46822-2020</t>
        </is>
      </c>
      <c r="B593" s="1" t="n">
        <v>44096</v>
      </c>
      <c r="C593" s="1" t="n">
        <v>45801</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47907-2020</t>
        </is>
      </c>
      <c r="B594" s="1" t="n">
        <v>44099</v>
      </c>
      <c r="C594" s="1" t="n">
        <v>45801</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48135-2020</t>
        </is>
      </c>
      <c r="B595" s="1" t="n">
        <v>44099</v>
      </c>
      <c r="C595" s="1" t="n">
        <v>45801</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50821-2020</t>
        </is>
      </c>
      <c r="B596" s="1" t="n">
        <v>44111</v>
      </c>
      <c r="C596" s="1" t="n">
        <v>45801</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50800-2020</t>
        </is>
      </c>
      <c r="B597" s="1" t="n">
        <v>44111</v>
      </c>
      <c r="C597" s="1" t="n">
        <v>45801</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51264-2020</t>
        </is>
      </c>
      <c r="B598" s="1" t="n">
        <v>44112</v>
      </c>
      <c r="C598" s="1" t="n">
        <v>45801</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54164-2020</t>
        </is>
      </c>
      <c r="B599" s="1" t="n">
        <v>44125</v>
      </c>
      <c r="C599" s="1" t="n">
        <v>45801</v>
      </c>
      <c r="D599" t="inlineStr">
        <is>
          <t>KALMAR LÄN</t>
        </is>
      </c>
      <c r="E599" t="inlineStr">
        <is>
          <t>VÄSTERVIK</t>
        </is>
      </c>
      <c r="F599" t="inlineStr">
        <is>
          <t>Sveaskog</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55240-2020</t>
        </is>
      </c>
      <c r="B600" s="1" t="n">
        <v>44130</v>
      </c>
      <c r="C600" s="1" t="n">
        <v>45801</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56127-2020</t>
        </is>
      </c>
      <c r="B601" s="1" t="n">
        <v>44132</v>
      </c>
      <c r="C601" s="1" t="n">
        <v>45801</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57009-2020</t>
        </is>
      </c>
      <c r="B602" s="1" t="n">
        <v>44138</v>
      </c>
      <c r="C602" s="1" t="n">
        <v>45801</v>
      </c>
      <c r="D602" t="inlineStr">
        <is>
          <t>KALMAR LÄN</t>
        </is>
      </c>
      <c r="E602" t="inlineStr">
        <is>
          <t>VÄSTERVIK</t>
        </is>
      </c>
      <c r="F602" t="inlineStr">
        <is>
          <t>Holmen skog AB</t>
        </is>
      </c>
      <c r="G602" t="n">
        <v>1.7</v>
      </c>
      <c r="H602" t="n">
        <v>0</v>
      </c>
      <c r="I602" t="n">
        <v>0</v>
      </c>
      <c r="J602" t="n">
        <v>0</v>
      </c>
      <c r="K602" t="n">
        <v>0</v>
      </c>
      <c r="L602" t="n">
        <v>0</v>
      </c>
      <c r="M602" t="n">
        <v>0</v>
      </c>
      <c r="N602" t="n">
        <v>0</v>
      </c>
      <c r="O602" t="n">
        <v>0</v>
      </c>
      <c r="P602" t="n">
        <v>0</v>
      </c>
      <c r="Q602" t="n">
        <v>0</v>
      </c>
      <c r="R602" s="2" t="inlineStr"/>
      <c r="U602">
        <f>HYPERLINK("https://klasma.github.io/Logging_0883/knärot/A 57009-2020 karta knärot.png", "A 57009-2020")</f>
        <v/>
      </c>
      <c r="V602">
        <f>HYPERLINK("https://klasma.github.io/Logging_0883/klagomål/A 57009-2020 FSC-klagomål.docx", "A 57009-2020")</f>
        <v/>
      </c>
      <c r="W602">
        <f>HYPERLINK("https://klasma.github.io/Logging_0883/klagomålsmail/A 57009-2020 FSC-klagomål mail.docx", "A 57009-2020")</f>
        <v/>
      </c>
      <c r="X602">
        <f>HYPERLINK("https://klasma.github.io/Logging_0883/tillsyn/A 57009-2020 tillsynsbegäran.docx", "A 57009-2020")</f>
        <v/>
      </c>
      <c r="Y602">
        <f>HYPERLINK("https://klasma.github.io/Logging_0883/tillsynsmail/A 57009-2020 tillsynsbegäran mail.docx", "A 57009-2020")</f>
        <v/>
      </c>
    </row>
    <row r="603" ht="15" customHeight="1">
      <c r="A603" t="inlineStr">
        <is>
          <t>A 57065-2020</t>
        </is>
      </c>
      <c r="B603" s="1" t="n">
        <v>44138</v>
      </c>
      <c r="C603" s="1" t="n">
        <v>45801</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58041-2020</t>
        </is>
      </c>
      <c r="B604" s="1" t="n">
        <v>44140</v>
      </c>
      <c r="C604" s="1" t="n">
        <v>45801</v>
      </c>
      <c r="D604" t="inlineStr">
        <is>
          <t>KALMAR LÄN</t>
        </is>
      </c>
      <c r="E604" t="inlineStr">
        <is>
          <t>VÄSTERVIK</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57922-2020</t>
        </is>
      </c>
      <c r="B605" s="1" t="n">
        <v>44141</v>
      </c>
      <c r="C605" s="1" t="n">
        <v>45801</v>
      </c>
      <c r="D605" t="inlineStr">
        <is>
          <t>KALMAR LÄN</t>
        </is>
      </c>
      <c r="E605" t="inlineStr">
        <is>
          <t>VÄSTERVIK</t>
        </is>
      </c>
      <c r="F605" t="inlineStr">
        <is>
          <t>Holmen skog AB</t>
        </is>
      </c>
      <c r="G605" t="n">
        <v>0.5</v>
      </c>
      <c r="H605" t="n">
        <v>0</v>
      </c>
      <c r="I605" t="n">
        <v>0</v>
      </c>
      <c r="J605" t="n">
        <v>0</v>
      </c>
      <c r="K605" t="n">
        <v>0</v>
      </c>
      <c r="L605" t="n">
        <v>0</v>
      </c>
      <c r="M605" t="n">
        <v>0</v>
      </c>
      <c r="N605" t="n">
        <v>0</v>
      </c>
      <c r="O605" t="n">
        <v>0</v>
      </c>
      <c r="P605" t="n">
        <v>0</v>
      </c>
      <c r="Q605" t="n">
        <v>0</v>
      </c>
      <c r="R605" s="2" t="inlineStr"/>
    </row>
    <row r="606" ht="15" customHeight="1">
      <c r="A606" t="inlineStr">
        <is>
          <t>A 58800-2020</t>
        </is>
      </c>
      <c r="B606" s="1" t="n">
        <v>44146</v>
      </c>
      <c r="C606" s="1" t="n">
        <v>45801</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59421-2020</t>
        </is>
      </c>
      <c r="B607" s="1" t="n">
        <v>44148</v>
      </c>
      <c r="C607" s="1" t="n">
        <v>45801</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59634-2020</t>
        </is>
      </c>
      <c r="B608" s="1" t="n">
        <v>44150</v>
      </c>
      <c r="C608" s="1" t="n">
        <v>45801</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61682-2020</t>
        </is>
      </c>
      <c r="B609" s="1" t="n">
        <v>44154</v>
      </c>
      <c r="C609" s="1" t="n">
        <v>45801</v>
      </c>
      <c r="D609" t="inlineStr">
        <is>
          <t>KALMAR LÄN</t>
        </is>
      </c>
      <c r="E609" t="inlineStr">
        <is>
          <t>VÄSTERVIK</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61696-2020</t>
        </is>
      </c>
      <c r="B610" s="1" t="n">
        <v>44158</v>
      </c>
      <c r="C610" s="1" t="n">
        <v>45801</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61799-2020</t>
        </is>
      </c>
      <c r="B611" s="1" t="n">
        <v>44158</v>
      </c>
      <c r="C611" s="1" t="n">
        <v>45801</v>
      </c>
      <c r="D611" t="inlineStr">
        <is>
          <t>KALMAR LÄN</t>
        </is>
      </c>
      <c r="E611" t="inlineStr">
        <is>
          <t>VÄSTERVIK</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63635-2020</t>
        </is>
      </c>
      <c r="B612" s="1" t="n">
        <v>44162</v>
      </c>
      <c r="C612" s="1" t="n">
        <v>45801</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63212-2020</t>
        </is>
      </c>
      <c r="B613" s="1" t="n">
        <v>44163</v>
      </c>
      <c r="C613" s="1" t="n">
        <v>45801</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64399-2020</t>
        </is>
      </c>
      <c r="B614" s="1" t="n">
        <v>44168</v>
      </c>
      <c r="C614" s="1" t="n">
        <v>45801</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66149-2020</t>
        </is>
      </c>
      <c r="B615" s="1" t="n">
        <v>44173</v>
      </c>
      <c r="C615" s="1" t="n">
        <v>45801</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65647-2020</t>
        </is>
      </c>
      <c r="B616" s="1" t="n">
        <v>44174</v>
      </c>
      <c r="C616" s="1" t="n">
        <v>45801</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66748-2020</t>
        </is>
      </c>
      <c r="B617" s="1" t="n">
        <v>44175</v>
      </c>
      <c r="C617" s="1" t="n">
        <v>45801</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66757-2020</t>
        </is>
      </c>
      <c r="B618" s="1" t="n">
        <v>44175</v>
      </c>
      <c r="C618" s="1" t="n">
        <v>45801</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66328-2020</t>
        </is>
      </c>
      <c r="B619" s="1" t="n">
        <v>44176</v>
      </c>
      <c r="C619" s="1" t="n">
        <v>45801</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66292-2020</t>
        </is>
      </c>
      <c r="B620" s="1" t="n">
        <v>44176</v>
      </c>
      <c r="C620" s="1" t="n">
        <v>45801</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66888-2020</t>
        </is>
      </c>
      <c r="B621" s="1" t="n">
        <v>44179</v>
      </c>
      <c r="C621" s="1" t="n">
        <v>45801</v>
      </c>
      <c r="D621" t="inlineStr">
        <is>
          <t>KALMAR LÄN</t>
        </is>
      </c>
      <c r="E621" t="inlineStr">
        <is>
          <t>VÄSTERVIK</t>
        </is>
      </c>
      <c r="G621" t="n">
        <v>0.3</v>
      </c>
      <c r="H621" t="n">
        <v>0</v>
      </c>
      <c r="I621" t="n">
        <v>0</v>
      </c>
      <c r="J621" t="n">
        <v>0</v>
      </c>
      <c r="K621" t="n">
        <v>0</v>
      </c>
      <c r="L621" t="n">
        <v>0</v>
      </c>
      <c r="M621" t="n">
        <v>0</v>
      </c>
      <c r="N621" t="n">
        <v>0</v>
      </c>
      <c r="O621" t="n">
        <v>0</v>
      </c>
      <c r="P621" t="n">
        <v>0</v>
      </c>
      <c r="Q621" t="n">
        <v>0</v>
      </c>
      <c r="R621" s="2" t="inlineStr"/>
    </row>
    <row r="622" ht="15" customHeight="1">
      <c r="A622" t="inlineStr">
        <is>
          <t>A 67133-2020</t>
        </is>
      </c>
      <c r="B622" s="1" t="n">
        <v>44180</v>
      </c>
      <c r="C622" s="1" t="n">
        <v>45801</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68811-2020</t>
        </is>
      </c>
      <c r="B623" s="1" t="n">
        <v>44187</v>
      </c>
      <c r="C623" s="1" t="n">
        <v>45801</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69098-2020</t>
        </is>
      </c>
      <c r="B624" s="1" t="n">
        <v>44187</v>
      </c>
      <c r="C624" s="1" t="n">
        <v>45801</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69064-2020</t>
        </is>
      </c>
      <c r="B625" s="1" t="n">
        <v>44188</v>
      </c>
      <c r="C625" s="1" t="n">
        <v>45801</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119-2021</t>
        </is>
      </c>
      <c r="B626" s="1" t="n">
        <v>44200</v>
      </c>
      <c r="C626" s="1" t="n">
        <v>45801</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401-2021</t>
        </is>
      </c>
      <c r="B627" s="1" t="n">
        <v>44201</v>
      </c>
      <c r="C627" s="1" t="n">
        <v>45801</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410-2021</t>
        </is>
      </c>
      <c r="B628" s="1" t="n">
        <v>44201</v>
      </c>
      <c r="C628" s="1" t="n">
        <v>45801</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578-2021</t>
        </is>
      </c>
      <c r="B629" s="1" t="n">
        <v>44203</v>
      </c>
      <c r="C629" s="1" t="n">
        <v>45801</v>
      </c>
      <c r="D629" t="inlineStr">
        <is>
          <t>KALMAR LÄN</t>
        </is>
      </c>
      <c r="E629" t="inlineStr">
        <is>
          <t>VÄSTERVIK</t>
        </is>
      </c>
      <c r="G629" t="n">
        <v>3.5</v>
      </c>
      <c r="H629" t="n">
        <v>0</v>
      </c>
      <c r="I629" t="n">
        <v>0</v>
      </c>
      <c r="J629" t="n">
        <v>0</v>
      </c>
      <c r="K629" t="n">
        <v>0</v>
      </c>
      <c r="L629" t="n">
        <v>0</v>
      </c>
      <c r="M629" t="n">
        <v>0</v>
      </c>
      <c r="N629" t="n">
        <v>0</v>
      </c>
      <c r="O629" t="n">
        <v>0</v>
      </c>
      <c r="P629" t="n">
        <v>0</v>
      </c>
      <c r="Q629" t="n">
        <v>0</v>
      </c>
      <c r="R629" s="2" t="inlineStr"/>
    </row>
    <row r="630" ht="15" customHeight="1">
      <c r="A630" t="inlineStr">
        <is>
          <t>A 809-2021</t>
        </is>
      </c>
      <c r="B630" s="1" t="n">
        <v>44204</v>
      </c>
      <c r="C630" s="1" t="n">
        <v>45801</v>
      </c>
      <c r="D630" t="inlineStr">
        <is>
          <t>KALMAR LÄN</t>
        </is>
      </c>
      <c r="E630" t="inlineStr">
        <is>
          <t>VÄSTERVIK</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789-2021</t>
        </is>
      </c>
      <c r="B631" s="1" t="n">
        <v>44204</v>
      </c>
      <c r="C631" s="1" t="n">
        <v>45801</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1959-2021</t>
        </is>
      </c>
      <c r="B632" s="1" t="n">
        <v>44210</v>
      </c>
      <c r="C632" s="1" t="n">
        <v>45801</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2106-2021</t>
        </is>
      </c>
      <c r="B633" s="1" t="n">
        <v>44211</v>
      </c>
      <c r="C633" s="1" t="n">
        <v>45801</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3555-2021</t>
        </is>
      </c>
      <c r="B634" s="1" t="n">
        <v>44218</v>
      </c>
      <c r="C634" s="1" t="n">
        <v>45801</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3553-2021</t>
        </is>
      </c>
      <c r="B635" s="1" t="n">
        <v>44218</v>
      </c>
      <c r="C635" s="1" t="n">
        <v>45801</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3492-2021</t>
        </is>
      </c>
      <c r="B636" s="1" t="n">
        <v>44218</v>
      </c>
      <c r="C636" s="1" t="n">
        <v>45801</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3669-2021</t>
        </is>
      </c>
      <c r="B637" s="1" t="n">
        <v>44221</v>
      </c>
      <c r="C637" s="1" t="n">
        <v>45801</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5510-2021</t>
        </is>
      </c>
      <c r="B638" s="1" t="n">
        <v>44230</v>
      </c>
      <c r="C638" s="1" t="n">
        <v>45801</v>
      </c>
      <c r="D638" t="inlineStr">
        <is>
          <t>KALMAR LÄN</t>
        </is>
      </c>
      <c r="E638" t="inlineStr">
        <is>
          <t>VÄSTERVIK</t>
        </is>
      </c>
      <c r="G638" t="n">
        <v>3.2</v>
      </c>
      <c r="H638" t="n">
        <v>0</v>
      </c>
      <c r="I638" t="n">
        <v>0</v>
      </c>
      <c r="J638" t="n">
        <v>0</v>
      </c>
      <c r="K638" t="n">
        <v>0</v>
      </c>
      <c r="L638" t="n">
        <v>0</v>
      </c>
      <c r="M638" t="n">
        <v>0</v>
      </c>
      <c r="N638" t="n">
        <v>0</v>
      </c>
      <c r="O638" t="n">
        <v>0</v>
      </c>
      <c r="P638" t="n">
        <v>0</v>
      </c>
      <c r="Q638" t="n">
        <v>0</v>
      </c>
      <c r="R638" s="2" t="inlineStr"/>
    </row>
    <row r="639" ht="15" customHeight="1">
      <c r="A639" t="inlineStr">
        <is>
          <t>A 5575-2021</t>
        </is>
      </c>
      <c r="B639" s="1" t="n">
        <v>44230</v>
      </c>
      <c r="C639" s="1" t="n">
        <v>45801</v>
      </c>
      <c r="D639" t="inlineStr">
        <is>
          <t>KALMAR LÄN</t>
        </is>
      </c>
      <c r="E639" t="inlineStr">
        <is>
          <t>VÄSTERVIK</t>
        </is>
      </c>
      <c r="G639" t="n">
        <v>2.6</v>
      </c>
      <c r="H639" t="n">
        <v>0</v>
      </c>
      <c r="I639" t="n">
        <v>0</v>
      </c>
      <c r="J639" t="n">
        <v>0</v>
      </c>
      <c r="K639" t="n">
        <v>0</v>
      </c>
      <c r="L639" t="n">
        <v>0</v>
      </c>
      <c r="M639" t="n">
        <v>0</v>
      </c>
      <c r="N639" t="n">
        <v>0</v>
      </c>
      <c r="O639" t="n">
        <v>0</v>
      </c>
      <c r="P639" t="n">
        <v>0</v>
      </c>
      <c r="Q639" t="n">
        <v>0</v>
      </c>
      <c r="R639" s="2" t="inlineStr"/>
    </row>
    <row r="640" ht="15" customHeight="1">
      <c r="A640" t="inlineStr">
        <is>
          <t>A 6627-2021</t>
        </is>
      </c>
      <c r="B640" s="1" t="n">
        <v>44236</v>
      </c>
      <c r="C640" s="1" t="n">
        <v>45801</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6616-2021</t>
        </is>
      </c>
      <c r="B641" s="1" t="n">
        <v>44236</v>
      </c>
      <c r="C641" s="1" t="n">
        <v>45801</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6974-2021</t>
        </is>
      </c>
      <c r="B642" s="1" t="n">
        <v>44237</v>
      </c>
      <c r="C642" s="1" t="n">
        <v>45801</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7754-2021</t>
        </is>
      </c>
      <c r="B643" s="1" t="n">
        <v>44239</v>
      </c>
      <c r="C643" s="1" t="n">
        <v>45801</v>
      </c>
      <c r="D643" t="inlineStr">
        <is>
          <t>KALMAR LÄN</t>
        </is>
      </c>
      <c r="E643" t="inlineStr">
        <is>
          <t>VÄSTERVIK</t>
        </is>
      </c>
      <c r="G643" t="n">
        <v>3.6</v>
      </c>
      <c r="H643" t="n">
        <v>0</v>
      </c>
      <c r="I643" t="n">
        <v>0</v>
      </c>
      <c r="J643" t="n">
        <v>0</v>
      </c>
      <c r="K643" t="n">
        <v>0</v>
      </c>
      <c r="L643" t="n">
        <v>0</v>
      </c>
      <c r="M643" t="n">
        <v>0</v>
      </c>
      <c r="N643" t="n">
        <v>0</v>
      </c>
      <c r="O643" t="n">
        <v>0</v>
      </c>
      <c r="P643" t="n">
        <v>0</v>
      </c>
      <c r="Q643" t="n">
        <v>0</v>
      </c>
      <c r="R643" s="2" t="inlineStr"/>
    </row>
    <row r="644" ht="15" customHeight="1">
      <c r="A644" t="inlineStr">
        <is>
          <t>A 8074-2021</t>
        </is>
      </c>
      <c r="B644" s="1" t="n">
        <v>44243</v>
      </c>
      <c r="C644" s="1" t="n">
        <v>45801</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8196-2021</t>
        </is>
      </c>
      <c r="B645" s="1" t="n">
        <v>44244</v>
      </c>
      <c r="C645" s="1" t="n">
        <v>45801</v>
      </c>
      <c r="D645" t="inlineStr">
        <is>
          <t>KALMAR LÄN</t>
        </is>
      </c>
      <c r="E645" t="inlineStr">
        <is>
          <t>VÄSTERVIK</t>
        </is>
      </c>
      <c r="G645" t="n">
        <v>3.5</v>
      </c>
      <c r="H645" t="n">
        <v>0</v>
      </c>
      <c r="I645" t="n">
        <v>0</v>
      </c>
      <c r="J645" t="n">
        <v>0</v>
      </c>
      <c r="K645" t="n">
        <v>0</v>
      </c>
      <c r="L645" t="n">
        <v>0</v>
      </c>
      <c r="M645" t="n">
        <v>0</v>
      </c>
      <c r="N645" t="n">
        <v>0</v>
      </c>
      <c r="O645" t="n">
        <v>0</v>
      </c>
      <c r="P645" t="n">
        <v>0</v>
      </c>
      <c r="Q645" t="n">
        <v>0</v>
      </c>
      <c r="R645" s="2" t="inlineStr"/>
    </row>
    <row r="646" ht="15" customHeight="1">
      <c r="A646" t="inlineStr">
        <is>
          <t>A 8788-2021</t>
        </is>
      </c>
      <c r="B646" s="1" t="n">
        <v>44246</v>
      </c>
      <c r="C646" s="1" t="n">
        <v>45801</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9091-2021</t>
        </is>
      </c>
      <c r="B647" s="1" t="n">
        <v>44249</v>
      </c>
      <c r="C647" s="1" t="n">
        <v>45801</v>
      </c>
      <c r="D647" t="inlineStr">
        <is>
          <t>KALMAR LÄN</t>
        </is>
      </c>
      <c r="E647" t="inlineStr">
        <is>
          <t>VÄSTERVIK</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9125-2021</t>
        </is>
      </c>
      <c r="B648" s="1" t="n">
        <v>44249</v>
      </c>
      <c r="C648" s="1" t="n">
        <v>45801</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10020-2021</t>
        </is>
      </c>
      <c r="B649" s="1" t="n">
        <v>44256</v>
      </c>
      <c r="C649" s="1" t="n">
        <v>45801</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10517-2021</t>
        </is>
      </c>
      <c r="B650" s="1" t="n">
        <v>44258</v>
      </c>
      <c r="C650" s="1" t="n">
        <v>45801</v>
      </c>
      <c r="D650" t="inlineStr">
        <is>
          <t>KALMAR LÄN</t>
        </is>
      </c>
      <c r="E650" t="inlineStr">
        <is>
          <t>VÄSTERVIK</t>
        </is>
      </c>
      <c r="G650" t="n">
        <v>3.6</v>
      </c>
      <c r="H650" t="n">
        <v>0</v>
      </c>
      <c r="I650" t="n">
        <v>0</v>
      </c>
      <c r="J650" t="n">
        <v>0</v>
      </c>
      <c r="K650" t="n">
        <v>0</v>
      </c>
      <c r="L650" t="n">
        <v>0</v>
      </c>
      <c r="M650" t="n">
        <v>0</v>
      </c>
      <c r="N650" t="n">
        <v>0</v>
      </c>
      <c r="O650" t="n">
        <v>0</v>
      </c>
      <c r="P650" t="n">
        <v>0</v>
      </c>
      <c r="Q650" t="n">
        <v>0</v>
      </c>
      <c r="R650" s="2" t="inlineStr"/>
    </row>
    <row r="651" ht="15" customHeight="1">
      <c r="A651" t="inlineStr">
        <is>
          <t>A 12123-2021</t>
        </is>
      </c>
      <c r="B651" s="1" t="n">
        <v>44266</v>
      </c>
      <c r="C651" s="1" t="n">
        <v>45801</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12520-2021</t>
        </is>
      </c>
      <c r="B652" s="1" t="n">
        <v>44269</v>
      </c>
      <c r="C652" s="1" t="n">
        <v>45801</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13036-2021</t>
        </is>
      </c>
      <c r="B653" s="1" t="n">
        <v>44271</v>
      </c>
      <c r="C653" s="1" t="n">
        <v>45801</v>
      </c>
      <c r="D653" t="inlineStr">
        <is>
          <t>KALMAR LÄN</t>
        </is>
      </c>
      <c r="E653" t="inlineStr">
        <is>
          <t>VÄSTERVIK</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13230-2021</t>
        </is>
      </c>
      <c r="B654" s="1" t="n">
        <v>44272</v>
      </c>
      <c r="C654" s="1" t="n">
        <v>45801</v>
      </c>
      <c r="D654" t="inlineStr">
        <is>
          <t>KALMAR LÄN</t>
        </is>
      </c>
      <c r="E654" t="inlineStr">
        <is>
          <t>VÄSTERVIK</t>
        </is>
      </c>
      <c r="G654" t="n">
        <v>7.2</v>
      </c>
      <c r="H654" t="n">
        <v>0</v>
      </c>
      <c r="I654" t="n">
        <v>0</v>
      </c>
      <c r="J654" t="n">
        <v>0</v>
      </c>
      <c r="K654" t="n">
        <v>0</v>
      </c>
      <c r="L654" t="n">
        <v>0</v>
      </c>
      <c r="M654" t="n">
        <v>0</v>
      </c>
      <c r="N654" t="n">
        <v>0</v>
      </c>
      <c r="O654" t="n">
        <v>0</v>
      </c>
      <c r="P654" t="n">
        <v>0</v>
      </c>
      <c r="Q654" t="n">
        <v>0</v>
      </c>
      <c r="R654" s="2" t="inlineStr"/>
    </row>
    <row r="655" ht="15" customHeight="1">
      <c r="A655" t="inlineStr">
        <is>
          <t>A 13761-2021</t>
        </is>
      </c>
      <c r="B655" s="1" t="n">
        <v>44274</v>
      </c>
      <c r="C655" s="1" t="n">
        <v>45801</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13626-2021</t>
        </is>
      </c>
      <c r="B656" s="1" t="n">
        <v>44274</v>
      </c>
      <c r="C656" s="1" t="n">
        <v>45801</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14151-2021</t>
        </is>
      </c>
      <c r="B657" s="1" t="n">
        <v>44278</v>
      </c>
      <c r="C657" s="1" t="n">
        <v>45801</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14149-2021</t>
        </is>
      </c>
      <c r="B658" s="1" t="n">
        <v>44278</v>
      </c>
      <c r="C658" s="1" t="n">
        <v>45801</v>
      </c>
      <c r="D658" t="inlineStr">
        <is>
          <t>KALMAR LÄN</t>
        </is>
      </c>
      <c r="E658" t="inlineStr">
        <is>
          <t>VÄSTERVIK</t>
        </is>
      </c>
      <c r="G658" t="n">
        <v>4.1</v>
      </c>
      <c r="H658" t="n">
        <v>0</v>
      </c>
      <c r="I658" t="n">
        <v>0</v>
      </c>
      <c r="J658" t="n">
        <v>0</v>
      </c>
      <c r="K658" t="n">
        <v>0</v>
      </c>
      <c r="L658" t="n">
        <v>0</v>
      </c>
      <c r="M658" t="n">
        <v>0</v>
      </c>
      <c r="N658" t="n">
        <v>0</v>
      </c>
      <c r="O658" t="n">
        <v>0</v>
      </c>
      <c r="P658" t="n">
        <v>0</v>
      </c>
      <c r="Q658" t="n">
        <v>0</v>
      </c>
      <c r="R658" s="2" t="inlineStr"/>
    </row>
    <row r="659" ht="15" customHeight="1">
      <c r="A659" t="inlineStr">
        <is>
          <t>A 14317-2021</t>
        </is>
      </c>
      <c r="B659" s="1" t="n">
        <v>44278</v>
      </c>
      <c r="C659" s="1" t="n">
        <v>45801</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15595-2021</t>
        </is>
      </c>
      <c r="B660" s="1" t="n">
        <v>44285</v>
      </c>
      <c r="C660" s="1" t="n">
        <v>45801</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15598-2021</t>
        </is>
      </c>
      <c r="B661" s="1" t="n">
        <v>44285</v>
      </c>
      <c r="C661" s="1" t="n">
        <v>45801</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15591-2021</t>
        </is>
      </c>
      <c r="B662" s="1" t="n">
        <v>44285</v>
      </c>
      <c r="C662" s="1" t="n">
        <v>45801</v>
      </c>
      <c r="D662" t="inlineStr">
        <is>
          <t>KALMAR LÄN</t>
        </is>
      </c>
      <c r="E662" t="inlineStr">
        <is>
          <t>VÄSTERVIK</t>
        </is>
      </c>
      <c r="G662" t="n">
        <v>2.1</v>
      </c>
      <c r="H662" t="n">
        <v>0</v>
      </c>
      <c r="I662" t="n">
        <v>0</v>
      </c>
      <c r="J662" t="n">
        <v>0</v>
      </c>
      <c r="K662" t="n">
        <v>0</v>
      </c>
      <c r="L662" t="n">
        <v>0</v>
      </c>
      <c r="M662" t="n">
        <v>0</v>
      </c>
      <c r="N662" t="n">
        <v>0</v>
      </c>
      <c r="O662" t="n">
        <v>0</v>
      </c>
      <c r="P662" t="n">
        <v>0</v>
      </c>
      <c r="Q662" t="n">
        <v>0</v>
      </c>
      <c r="R662" s="2" t="inlineStr"/>
    </row>
    <row r="663" ht="15" customHeight="1">
      <c r="A663" t="inlineStr">
        <is>
          <t>A 15834-2021</t>
        </is>
      </c>
      <c r="B663" s="1" t="n">
        <v>44286</v>
      </c>
      <c r="C663" s="1" t="n">
        <v>45801</v>
      </c>
      <c r="D663" t="inlineStr">
        <is>
          <t>KALMAR LÄN</t>
        </is>
      </c>
      <c r="E663" t="inlineStr">
        <is>
          <t>VÄSTERVIK</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16729-2021</t>
        </is>
      </c>
      <c r="B664" s="1" t="n">
        <v>44294</v>
      </c>
      <c r="C664" s="1" t="n">
        <v>45801</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16697-2021</t>
        </is>
      </c>
      <c r="B665" s="1" t="n">
        <v>44294</v>
      </c>
      <c r="C665" s="1" t="n">
        <v>45801</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16728-2021</t>
        </is>
      </c>
      <c r="B666" s="1" t="n">
        <v>44294</v>
      </c>
      <c r="C666" s="1" t="n">
        <v>45801</v>
      </c>
      <c r="D666" t="inlineStr">
        <is>
          <t>KALMAR LÄN</t>
        </is>
      </c>
      <c r="E666" t="inlineStr">
        <is>
          <t>VÄSTERVIK</t>
        </is>
      </c>
      <c r="G666" t="n">
        <v>3.1</v>
      </c>
      <c r="H666" t="n">
        <v>0</v>
      </c>
      <c r="I666" t="n">
        <v>0</v>
      </c>
      <c r="J666" t="n">
        <v>0</v>
      </c>
      <c r="K666" t="n">
        <v>0</v>
      </c>
      <c r="L666" t="n">
        <v>0</v>
      </c>
      <c r="M666" t="n">
        <v>0</v>
      </c>
      <c r="N666" t="n">
        <v>0</v>
      </c>
      <c r="O666" t="n">
        <v>0</v>
      </c>
      <c r="P666" t="n">
        <v>0</v>
      </c>
      <c r="Q666" t="n">
        <v>0</v>
      </c>
      <c r="R666" s="2" t="inlineStr"/>
    </row>
    <row r="667" ht="15" customHeight="1">
      <c r="A667" t="inlineStr">
        <is>
          <t>A 16734-2021</t>
        </is>
      </c>
      <c r="B667" s="1" t="n">
        <v>44294</v>
      </c>
      <c r="C667" s="1" t="n">
        <v>45801</v>
      </c>
      <c r="D667" t="inlineStr">
        <is>
          <t>KALMAR LÄN</t>
        </is>
      </c>
      <c r="E667" t="inlineStr">
        <is>
          <t>VÄSTERVIK</t>
        </is>
      </c>
      <c r="G667" t="n">
        <v>3.7</v>
      </c>
      <c r="H667" t="n">
        <v>0</v>
      </c>
      <c r="I667" t="n">
        <v>0</v>
      </c>
      <c r="J667" t="n">
        <v>0</v>
      </c>
      <c r="K667" t="n">
        <v>0</v>
      </c>
      <c r="L667" t="n">
        <v>0</v>
      </c>
      <c r="M667" t="n">
        <v>0</v>
      </c>
      <c r="N667" t="n">
        <v>0</v>
      </c>
      <c r="O667" t="n">
        <v>0</v>
      </c>
      <c r="P667" t="n">
        <v>0</v>
      </c>
      <c r="Q667" t="n">
        <v>0</v>
      </c>
      <c r="R667" s="2" t="inlineStr"/>
    </row>
    <row r="668" ht="15" customHeight="1">
      <c r="A668" t="inlineStr">
        <is>
          <t>A 16726-2021</t>
        </is>
      </c>
      <c r="B668" s="1" t="n">
        <v>44294</v>
      </c>
      <c r="C668" s="1" t="n">
        <v>45801</v>
      </c>
      <c r="D668" t="inlineStr">
        <is>
          <t>KALMAR LÄN</t>
        </is>
      </c>
      <c r="E668" t="inlineStr">
        <is>
          <t>VÄSTERVIK</t>
        </is>
      </c>
      <c r="G668" t="n">
        <v>4.6</v>
      </c>
      <c r="H668" t="n">
        <v>0</v>
      </c>
      <c r="I668" t="n">
        <v>0</v>
      </c>
      <c r="J668" t="n">
        <v>0</v>
      </c>
      <c r="K668" t="n">
        <v>0</v>
      </c>
      <c r="L668" t="n">
        <v>0</v>
      </c>
      <c r="M668" t="n">
        <v>0</v>
      </c>
      <c r="N668" t="n">
        <v>0</v>
      </c>
      <c r="O668" t="n">
        <v>0</v>
      </c>
      <c r="P668" t="n">
        <v>0</v>
      </c>
      <c r="Q668" t="n">
        <v>0</v>
      </c>
      <c r="R668" s="2" t="inlineStr"/>
    </row>
    <row r="669" ht="15" customHeight="1">
      <c r="A669" t="inlineStr">
        <is>
          <t>A 16992-2021</t>
        </is>
      </c>
      <c r="B669" s="1" t="n">
        <v>44295</v>
      </c>
      <c r="C669" s="1" t="n">
        <v>45801</v>
      </c>
      <c r="D669" t="inlineStr">
        <is>
          <t>KALMAR LÄN</t>
        </is>
      </c>
      <c r="E669" t="inlineStr">
        <is>
          <t>VÄSTERVIK</t>
        </is>
      </c>
      <c r="G669" t="n">
        <v>3.6</v>
      </c>
      <c r="H669" t="n">
        <v>0</v>
      </c>
      <c r="I669" t="n">
        <v>0</v>
      </c>
      <c r="J669" t="n">
        <v>0</v>
      </c>
      <c r="K669" t="n">
        <v>0</v>
      </c>
      <c r="L669" t="n">
        <v>0</v>
      </c>
      <c r="M669" t="n">
        <v>0</v>
      </c>
      <c r="N669" t="n">
        <v>0</v>
      </c>
      <c r="O669" t="n">
        <v>0</v>
      </c>
      <c r="P669" t="n">
        <v>0</v>
      </c>
      <c r="Q669" t="n">
        <v>0</v>
      </c>
      <c r="R669" s="2" t="inlineStr"/>
    </row>
    <row r="670" ht="15" customHeight="1">
      <c r="A670" t="inlineStr">
        <is>
          <t>A 17124-2021</t>
        </is>
      </c>
      <c r="B670" s="1" t="n">
        <v>44298</v>
      </c>
      <c r="C670" s="1" t="n">
        <v>45801</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17200-2021</t>
        </is>
      </c>
      <c r="B671" s="1" t="n">
        <v>44298</v>
      </c>
      <c r="C671" s="1" t="n">
        <v>45801</v>
      </c>
      <c r="D671" t="inlineStr">
        <is>
          <t>KALMAR LÄN</t>
        </is>
      </c>
      <c r="E671" t="inlineStr">
        <is>
          <t>VÄSTERVIK</t>
        </is>
      </c>
      <c r="G671" t="n">
        <v>3.4</v>
      </c>
      <c r="H671" t="n">
        <v>0</v>
      </c>
      <c r="I671" t="n">
        <v>0</v>
      </c>
      <c r="J671" t="n">
        <v>0</v>
      </c>
      <c r="K671" t="n">
        <v>0</v>
      </c>
      <c r="L671" t="n">
        <v>0</v>
      </c>
      <c r="M671" t="n">
        <v>0</v>
      </c>
      <c r="N671" t="n">
        <v>0</v>
      </c>
      <c r="O671" t="n">
        <v>0</v>
      </c>
      <c r="P671" t="n">
        <v>0</v>
      </c>
      <c r="Q671" t="n">
        <v>0</v>
      </c>
      <c r="R671" s="2" t="inlineStr"/>
    </row>
    <row r="672" ht="15" customHeight="1">
      <c r="A672" t="inlineStr">
        <is>
          <t>A 17277-2021</t>
        </is>
      </c>
      <c r="B672" s="1" t="n">
        <v>44298</v>
      </c>
      <c r="C672" s="1" t="n">
        <v>45801</v>
      </c>
      <c r="D672" t="inlineStr">
        <is>
          <t>KALMAR LÄN</t>
        </is>
      </c>
      <c r="E672" t="inlineStr">
        <is>
          <t>VÄSTERVIK</t>
        </is>
      </c>
      <c r="G672" t="n">
        <v>7</v>
      </c>
      <c r="H672" t="n">
        <v>0</v>
      </c>
      <c r="I672" t="n">
        <v>0</v>
      </c>
      <c r="J672" t="n">
        <v>0</v>
      </c>
      <c r="K672" t="n">
        <v>0</v>
      </c>
      <c r="L672" t="n">
        <v>0</v>
      </c>
      <c r="M672" t="n">
        <v>0</v>
      </c>
      <c r="N672" t="n">
        <v>0</v>
      </c>
      <c r="O672" t="n">
        <v>0</v>
      </c>
      <c r="P672" t="n">
        <v>0</v>
      </c>
      <c r="Q672" t="n">
        <v>0</v>
      </c>
      <c r="R672" s="2" t="inlineStr"/>
    </row>
    <row r="673" ht="15" customHeight="1">
      <c r="A673" t="inlineStr">
        <is>
          <t>A 17216-2021</t>
        </is>
      </c>
      <c r="B673" s="1" t="n">
        <v>44298</v>
      </c>
      <c r="C673" s="1" t="n">
        <v>45801</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17253-2021</t>
        </is>
      </c>
      <c r="B674" s="1" t="n">
        <v>44298</v>
      </c>
      <c r="C674" s="1" t="n">
        <v>45801</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18013-2021</t>
        </is>
      </c>
      <c r="B675" s="1" t="n">
        <v>44302</v>
      </c>
      <c r="C675" s="1" t="n">
        <v>45801</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18470-2021</t>
        </is>
      </c>
      <c r="B676" s="1" t="n">
        <v>44306</v>
      </c>
      <c r="C676" s="1" t="n">
        <v>45801</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18837-2021</t>
        </is>
      </c>
      <c r="B677" s="1" t="n">
        <v>44307</v>
      </c>
      <c r="C677" s="1" t="n">
        <v>45801</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18900-2021</t>
        </is>
      </c>
      <c r="B678" s="1" t="n">
        <v>44308</v>
      </c>
      <c r="C678" s="1" t="n">
        <v>45801</v>
      </c>
      <c r="D678" t="inlineStr">
        <is>
          <t>KALMAR LÄN</t>
        </is>
      </c>
      <c r="E678" t="inlineStr">
        <is>
          <t>VÄSTERVIK</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18915-2021</t>
        </is>
      </c>
      <c r="B679" s="1" t="n">
        <v>44308</v>
      </c>
      <c r="C679" s="1" t="n">
        <v>45801</v>
      </c>
      <c r="D679" t="inlineStr">
        <is>
          <t>KALMAR LÄN</t>
        </is>
      </c>
      <c r="E679" t="inlineStr">
        <is>
          <t>VÄSTERVIK</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19219-2021</t>
        </is>
      </c>
      <c r="B680" s="1" t="n">
        <v>44309</v>
      </c>
      <c r="C680" s="1" t="n">
        <v>45801</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19644-2021</t>
        </is>
      </c>
      <c r="B681" s="1" t="n">
        <v>44312</v>
      </c>
      <c r="C681" s="1" t="n">
        <v>45801</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19660-2021</t>
        </is>
      </c>
      <c r="B682" s="1" t="n">
        <v>44312</v>
      </c>
      <c r="C682" s="1" t="n">
        <v>45801</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20204-2021</t>
        </is>
      </c>
      <c r="B683" s="1" t="n">
        <v>44314</v>
      </c>
      <c r="C683" s="1" t="n">
        <v>45801</v>
      </c>
      <c r="D683" t="inlineStr">
        <is>
          <t>KALMAR LÄN</t>
        </is>
      </c>
      <c r="E683" t="inlineStr">
        <is>
          <t>VÄSTERVIK</t>
        </is>
      </c>
      <c r="F683" t="inlineStr">
        <is>
          <t>Holmen skog AB</t>
        </is>
      </c>
      <c r="G683" t="n">
        <v>12.1</v>
      </c>
      <c r="H683" t="n">
        <v>0</v>
      </c>
      <c r="I683" t="n">
        <v>0</v>
      </c>
      <c r="J683" t="n">
        <v>0</v>
      </c>
      <c r="K683" t="n">
        <v>0</v>
      </c>
      <c r="L683" t="n">
        <v>0</v>
      </c>
      <c r="M683" t="n">
        <v>0</v>
      </c>
      <c r="N683" t="n">
        <v>0</v>
      </c>
      <c r="O683" t="n">
        <v>0</v>
      </c>
      <c r="P683" t="n">
        <v>0</v>
      </c>
      <c r="Q683" t="n">
        <v>0</v>
      </c>
      <c r="R683" s="2" t="inlineStr"/>
    </row>
    <row r="684" ht="15" customHeight="1">
      <c r="A684" t="inlineStr">
        <is>
          <t>A 20772-2021</t>
        </is>
      </c>
      <c r="B684" s="1" t="n">
        <v>44316</v>
      </c>
      <c r="C684" s="1" t="n">
        <v>45801</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20945-2021</t>
        </is>
      </c>
      <c r="B685" s="1" t="n">
        <v>44319</v>
      </c>
      <c r="C685" s="1" t="n">
        <v>45801</v>
      </c>
      <c r="D685" t="inlineStr">
        <is>
          <t>KALMAR LÄN</t>
        </is>
      </c>
      <c r="E685" t="inlineStr">
        <is>
          <t>VÄSTERVIK</t>
        </is>
      </c>
      <c r="G685" t="n">
        <v>3.7</v>
      </c>
      <c r="H685" t="n">
        <v>0</v>
      </c>
      <c r="I685" t="n">
        <v>0</v>
      </c>
      <c r="J685" t="n">
        <v>0</v>
      </c>
      <c r="K685" t="n">
        <v>0</v>
      </c>
      <c r="L685" t="n">
        <v>0</v>
      </c>
      <c r="M685" t="n">
        <v>0</v>
      </c>
      <c r="N685" t="n">
        <v>0</v>
      </c>
      <c r="O685" t="n">
        <v>0</v>
      </c>
      <c r="P685" t="n">
        <v>0</v>
      </c>
      <c r="Q685" t="n">
        <v>0</v>
      </c>
      <c r="R685" s="2" t="inlineStr"/>
    </row>
    <row r="686" ht="15" customHeight="1">
      <c r="A686" t="inlineStr">
        <is>
          <t>A 21036-2021</t>
        </is>
      </c>
      <c r="B686" s="1" t="n">
        <v>44319</v>
      </c>
      <c r="C686" s="1" t="n">
        <v>45801</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21057-2021</t>
        </is>
      </c>
      <c r="B687" s="1" t="n">
        <v>44319</v>
      </c>
      <c r="C687" s="1" t="n">
        <v>45801</v>
      </c>
      <c r="D687" t="inlineStr">
        <is>
          <t>KALMAR LÄN</t>
        </is>
      </c>
      <c r="E687" t="inlineStr">
        <is>
          <t>VÄSTERVIK</t>
        </is>
      </c>
      <c r="G687" t="n">
        <v>5.7</v>
      </c>
      <c r="H687" t="n">
        <v>0</v>
      </c>
      <c r="I687" t="n">
        <v>0</v>
      </c>
      <c r="J687" t="n">
        <v>0</v>
      </c>
      <c r="K687" t="n">
        <v>0</v>
      </c>
      <c r="L687" t="n">
        <v>0</v>
      </c>
      <c r="M687" t="n">
        <v>0</v>
      </c>
      <c r="N687" t="n">
        <v>0</v>
      </c>
      <c r="O687" t="n">
        <v>0</v>
      </c>
      <c r="P687" t="n">
        <v>0</v>
      </c>
      <c r="Q687" t="n">
        <v>0</v>
      </c>
      <c r="R687" s="2" t="inlineStr"/>
    </row>
    <row r="688" ht="15" customHeight="1">
      <c r="A688" t="inlineStr">
        <is>
          <t>A 21255-2021</t>
        </is>
      </c>
      <c r="B688" s="1" t="n">
        <v>44320</v>
      </c>
      <c r="C688" s="1" t="n">
        <v>45801</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23090-2021</t>
        </is>
      </c>
      <c r="B689" s="1" t="n">
        <v>44330</v>
      </c>
      <c r="C689" s="1" t="n">
        <v>45801</v>
      </c>
      <c r="D689" t="inlineStr">
        <is>
          <t>KALMAR LÄN</t>
        </is>
      </c>
      <c r="E689" t="inlineStr">
        <is>
          <t>VÄSTERVIK</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23097-2021</t>
        </is>
      </c>
      <c r="B690" s="1" t="n">
        <v>44330</v>
      </c>
      <c r="C690" s="1" t="n">
        <v>45801</v>
      </c>
      <c r="D690" t="inlineStr">
        <is>
          <t>KALMAR LÄN</t>
        </is>
      </c>
      <c r="E690" t="inlineStr">
        <is>
          <t>VÄSTERVIK</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23150-2021</t>
        </is>
      </c>
      <c r="B691" s="1" t="n">
        <v>44331</v>
      </c>
      <c r="C691" s="1" t="n">
        <v>45801</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23504-2021</t>
        </is>
      </c>
      <c r="B692" s="1" t="n">
        <v>44334</v>
      </c>
      <c r="C692" s="1" t="n">
        <v>45801</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23628-2021</t>
        </is>
      </c>
      <c r="B693" s="1" t="n">
        <v>44334</v>
      </c>
      <c r="C693" s="1" t="n">
        <v>45801</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23626-2021</t>
        </is>
      </c>
      <c r="B694" s="1" t="n">
        <v>44334</v>
      </c>
      <c r="C694" s="1" t="n">
        <v>45801</v>
      </c>
      <c r="D694" t="inlineStr">
        <is>
          <t>KALMAR LÄN</t>
        </is>
      </c>
      <c r="E694" t="inlineStr">
        <is>
          <t>VÄSTERVIK</t>
        </is>
      </c>
      <c r="G694" t="n">
        <v>9</v>
      </c>
      <c r="H694" t="n">
        <v>0</v>
      </c>
      <c r="I694" t="n">
        <v>0</v>
      </c>
      <c r="J694" t="n">
        <v>0</v>
      </c>
      <c r="K694" t="n">
        <v>0</v>
      </c>
      <c r="L694" t="n">
        <v>0</v>
      </c>
      <c r="M694" t="n">
        <v>0</v>
      </c>
      <c r="N694" t="n">
        <v>0</v>
      </c>
      <c r="O694" t="n">
        <v>0</v>
      </c>
      <c r="P694" t="n">
        <v>0</v>
      </c>
      <c r="Q694" t="n">
        <v>0</v>
      </c>
      <c r="R694" s="2" t="inlineStr"/>
    </row>
    <row r="695" ht="15" customHeight="1">
      <c r="A695" t="inlineStr">
        <is>
          <t>A 23995-2021</t>
        </is>
      </c>
      <c r="B695" s="1" t="n">
        <v>44335</v>
      </c>
      <c r="C695" s="1" t="n">
        <v>45801</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23993-2021</t>
        </is>
      </c>
      <c r="B696" s="1" t="n">
        <v>44335</v>
      </c>
      <c r="C696" s="1" t="n">
        <v>45801</v>
      </c>
      <c r="D696" t="inlineStr">
        <is>
          <t>KALMAR LÄN</t>
        </is>
      </c>
      <c r="E696" t="inlineStr">
        <is>
          <t>VÄSTERVIK</t>
        </is>
      </c>
      <c r="G696" t="n">
        <v>3.1</v>
      </c>
      <c r="H696" t="n">
        <v>0</v>
      </c>
      <c r="I696" t="n">
        <v>0</v>
      </c>
      <c r="J696" t="n">
        <v>0</v>
      </c>
      <c r="K696" t="n">
        <v>0</v>
      </c>
      <c r="L696" t="n">
        <v>0</v>
      </c>
      <c r="M696" t="n">
        <v>0</v>
      </c>
      <c r="N696" t="n">
        <v>0</v>
      </c>
      <c r="O696" t="n">
        <v>0</v>
      </c>
      <c r="P696" t="n">
        <v>0</v>
      </c>
      <c r="Q696" t="n">
        <v>0</v>
      </c>
      <c r="R696" s="2" t="inlineStr"/>
    </row>
    <row r="697" ht="15" customHeight="1">
      <c r="A697" t="inlineStr">
        <is>
          <t>A 23998-2021</t>
        </is>
      </c>
      <c r="B697" s="1" t="n">
        <v>44335</v>
      </c>
      <c r="C697" s="1" t="n">
        <v>45801</v>
      </c>
      <c r="D697" t="inlineStr">
        <is>
          <t>KALMAR LÄN</t>
        </is>
      </c>
      <c r="E697" t="inlineStr">
        <is>
          <t>VÄSTERVIK</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23992-2021</t>
        </is>
      </c>
      <c r="B698" s="1" t="n">
        <v>44335</v>
      </c>
      <c r="C698" s="1" t="n">
        <v>45801</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23997-2021</t>
        </is>
      </c>
      <c r="B699" s="1" t="n">
        <v>44335</v>
      </c>
      <c r="C699" s="1" t="n">
        <v>45801</v>
      </c>
      <c r="D699" t="inlineStr">
        <is>
          <t>KALMAR LÄN</t>
        </is>
      </c>
      <c r="E699" t="inlineStr">
        <is>
          <t>VÄSTERVIK</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24000-2021</t>
        </is>
      </c>
      <c r="B700" s="1" t="n">
        <v>44335</v>
      </c>
      <c r="C700" s="1" t="n">
        <v>45801</v>
      </c>
      <c r="D700" t="inlineStr">
        <is>
          <t>KALMAR LÄN</t>
        </is>
      </c>
      <c r="E700" t="inlineStr">
        <is>
          <t>VÄSTERVIK</t>
        </is>
      </c>
      <c r="F700" t="inlineStr">
        <is>
          <t>Sveaskog</t>
        </is>
      </c>
      <c r="G700" t="n">
        <v>6.9</v>
      </c>
      <c r="H700" t="n">
        <v>0</v>
      </c>
      <c r="I700" t="n">
        <v>0</v>
      </c>
      <c r="J700" t="n">
        <v>0</v>
      </c>
      <c r="K700" t="n">
        <v>0</v>
      </c>
      <c r="L700" t="n">
        <v>0</v>
      </c>
      <c r="M700" t="n">
        <v>0</v>
      </c>
      <c r="N700" t="n">
        <v>0</v>
      </c>
      <c r="O700" t="n">
        <v>0</v>
      </c>
      <c r="P700" t="n">
        <v>0</v>
      </c>
      <c r="Q700" t="n">
        <v>0</v>
      </c>
      <c r="R700" s="2" t="inlineStr"/>
    </row>
    <row r="701" ht="15" customHeight="1">
      <c r="A701" t="inlineStr">
        <is>
          <t>A 23996-2021</t>
        </is>
      </c>
      <c r="B701" s="1" t="n">
        <v>44335</v>
      </c>
      <c r="C701" s="1" t="n">
        <v>45801</v>
      </c>
      <c r="D701" t="inlineStr">
        <is>
          <t>KALMAR LÄN</t>
        </is>
      </c>
      <c r="E701" t="inlineStr">
        <is>
          <t>VÄSTERVIK</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24570-2021</t>
        </is>
      </c>
      <c r="B702" s="1" t="n">
        <v>44339</v>
      </c>
      <c r="C702" s="1" t="n">
        <v>45801</v>
      </c>
      <c r="D702" t="inlineStr">
        <is>
          <t>KALMAR LÄN</t>
        </is>
      </c>
      <c r="E702" t="inlineStr">
        <is>
          <t>VÄSTERVIK</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25238-2021</t>
        </is>
      </c>
      <c r="B703" s="1" t="n">
        <v>44342</v>
      </c>
      <c r="C703" s="1" t="n">
        <v>45801</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25418-2021</t>
        </is>
      </c>
      <c r="B704" s="1" t="n">
        <v>44342</v>
      </c>
      <c r="C704" s="1" t="n">
        <v>45801</v>
      </c>
      <c r="D704" t="inlineStr">
        <is>
          <t>KALMAR LÄN</t>
        </is>
      </c>
      <c r="E704" t="inlineStr">
        <is>
          <t>VÄSTERVIK</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25408-2021</t>
        </is>
      </c>
      <c r="B705" s="1" t="n">
        <v>44342</v>
      </c>
      <c r="C705" s="1" t="n">
        <v>45801</v>
      </c>
      <c r="D705" t="inlineStr">
        <is>
          <t>KALMAR LÄN</t>
        </is>
      </c>
      <c r="E705" t="inlineStr">
        <is>
          <t>VÄSTERVIK</t>
        </is>
      </c>
      <c r="F705" t="inlineStr">
        <is>
          <t>Holmen skog AB</t>
        </is>
      </c>
      <c r="G705" t="n">
        <v>1.1</v>
      </c>
      <c r="H705" t="n">
        <v>0</v>
      </c>
      <c r="I705" t="n">
        <v>0</v>
      </c>
      <c r="J705" t="n">
        <v>0</v>
      </c>
      <c r="K705" t="n">
        <v>0</v>
      </c>
      <c r="L705" t="n">
        <v>0</v>
      </c>
      <c r="M705" t="n">
        <v>0</v>
      </c>
      <c r="N705" t="n">
        <v>0</v>
      </c>
      <c r="O705" t="n">
        <v>0</v>
      </c>
      <c r="P705" t="n">
        <v>0</v>
      </c>
      <c r="Q705" t="n">
        <v>0</v>
      </c>
      <c r="R705" s="2" t="inlineStr"/>
      <c r="U705">
        <f>HYPERLINK("https://klasma.github.io/Logging_0883/knärot/A 25408-2021 karta knärot.png", "A 25408-2021")</f>
        <v/>
      </c>
      <c r="V705">
        <f>HYPERLINK("https://klasma.github.io/Logging_0883/klagomål/A 25408-2021 FSC-klagomål.docx", "A 25408-2021")</f>
        <v/>
      </c>
      <c r="W705">
        <f>HYPERLINK("https://klasma.github.io/Logging_0883/klagomålsmail/A 25408-2021 FSC-klagomål mail.docx", "A 25408-2021")</f>
        <v/>
      </c>
      <c r="X705">
        <f>HYPERLINK("https://klasma.github.io/Logging_0883/tillsyn/A 25408-2021 tillsynsbegäran.docx", "A 25408-2021")</f>
        <v/>
      </c>
      <c r="Y705">
        <f>HYPERLINK("https://klasma.github.io/Logging_0883/tillsynsmail/A 25408-2021 tillsynsbegäran mail.docx", "A 25408-2021")</f>
        <v/>
      </c>
    </row>
    <row r="706" ht="15" customHeight="1">
      <c r="A706" t="inlineStr">
        <is>
          <t>A 27183-2021</t>
        </is>
      </c>
      <c r="B706" s="1" t="n">
        <v>44350</v>
      </c>
      <c r="C706" s="1" t="n">
        <v>45801</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29460-2021</t>
        </is>
      </c>
      <c r="B707" s="1" t="n">
        <v>44361</v>
      </c>
      <c r="C707" s="1" t="n">
        <v>45801</v>
      </c>
      <c r="D707" t="inlineStr">
        <is>
          <t>KALMAR LÄN</t>
        </is>
      </c>
      <c r="E707" t="inlineStr">
        <is>
          <t>VÄSTERVIK</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31061-2021</t>
        </is>
      </c>
      <c r="B708" s="1" t="n">
        <v>44368</v>
      </c>
      <c r="C708" s="1" t="n">
        <v>45801</v>
      </c>
      <c r="D708" t="inlineStr">
        <is>
          <t>KALMAR LÄN</t>
        </is>
      </c>
      <c r="E708" t="inlineStr">
        <is>
          <t>VÄSTERVIK</t>
        </is>
      </c>
      <c r="G708" t="n">
        <v>8.1</v>
      </c>
      <c r="H708" t="n">
        <v>0</v>
      </c>
      <c r="I708" t="n">
        <v>0</v>
      </c>
      <c r="J708" t="n">
        <v>0</v>
      </c>
      <c r="K708" t="n">
        <v>0</v>
      </c>
      <c r="L708" t="n">
        <v>0</v>
      </c>
      <c r="M708" t="n">
        <v>0</v>
      </c>
      <c r="N708" t="n">
        <v>0</v>
      </c>
      <c r="O708" t="n">
        <v>0</v>
      </c>
      <c r="P708" t="n">
        <v>0</v>
      </c>
      <c r="Q708" t="n">
        <v>0</v>
      </c>
      <c r="R708" s="2" t="inlineStr"/>
    </row>
    <row r="709" ht="15" customHeight="1">
      <c r="A709" t="inlineStr">
        <is>
          <t>A 31318-2021</t>
        </is>
      </c>
      <c r="B709" s="1" t="n">
        <v>44368</v>
      </c>
      <c r="C709" s="1" t="n">
        <v>45801</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31319-2021</t>
        </is>
      </c>
      <c r="B710" s="1" t="n">
        <v>44368</v>
      </c>
      <c r="C710" s="1" t="n">
        <v>45801</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31317-2021</t>
        </is>
      </c>
      <c r="B711" s="1" t="n">
        <v>44368</v>
      </c>
      <c r="C711" s="1" t="n">
        <v>45801</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31479-2021</t>
        </is>
      </c>
      <c r="B712" s="1" t="n">
        <v>44369</v>
      </c>
      <c r="C712" s="1" t="n">
        <v>45801</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31558-2021</t>
        </is>
      </c>
      <c r="B713" s="1" t="n">
        <v>44369</v>
      </c>
      <c r="C713" s="1" t="n">
        <v>45801</v>
      </c>
      <c r="D713" t="inlineStr">
        <is>
          <t>KALMAR LÄN</t>
        </is>
      </c>
      <c r="E713" t="inlineStr">
        <is>
          <t>VÄSTERVIK</t>
        </is>
      </c>
      <c r="G713" t="n">
        <v>22.9</v>
      </c>
      <c r="H713" t="n">
        <v>0</v>
      </c>
      <c r="I713" t="n">
        <v>0</v>
      </c>
      <c r="J713" t="n">
        <v>0</v>
      </c>
      <c r="K713" t="n">
        <v>0</v>
      </c>
      <c r="L713" t="n">
        <v>0</v>
      </c>
      <c r="M713" t="n">
        <v>0</v>
      </c>
      <c r="N713" t="n">
        <v>0</v>
      </c>
      <c r="O713" t="n">
        <v>0</v>
      </c>
      <c r="P713" t="n">
        <v>0</v>
      </c>
      <c r="Q713" t="n">
        <v>0</v>
      </c>
      <c r="R713" s="2" t="inlineStr"/>
    </row>
    <row r="714" ht="15" customHeight="1">
      <c r="A714" t="inlineStr">
        <is>
          <t>A 31545-2021</t>
        </is>
      </c>
      <c r="B714" s="1" t="n">
        <v>44369</v>
      </c>
      <c r="C714" s="1" t="n">
        <v>45801</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31633-2021</t>
        </is>
      </c>
      <c r="B715" s="1" t="n">
        <v>44369</v>
      </c>
      <c r="C715" s="1" t="n">
        <v>45801</v>
      </c>
      <c r="D715" t="inlineStr">
        <is>
          <t>KALMAR LÄN</t>
        </is>
      </c>
      <c r="E715" t="inlineStr">
        <is>
          <t>VÄSTERVIK</t>
        </is>
      </c>
      <c r="G715" t="n">
        <v>2.1</v>
      </c>
      <c r="H715" t="n">
        <v>0</v>
      </c>
      <c r="I715" t="n">
        <v>0</v>
      </c>
      <c r="J715" t="n">
        <v>0</v>
      </c>
      <c r="K715" t="n">
        <v>0</v>
      </c>
      <c r="L715" t="n">
        <v>0</v>
      </c>
      <c r="M715" t="n">
        <v>0</v>
      </c>
      <c r="N715" t="n">
        <v>0</v>
      </c>
      <c r="O715" t="n">
        <v>0</v>
      </c>
      <c r="P715" t="n">
        <v>0</v>
      </c>
      <c r="Q715" t="n">
        <v>0</v>
      </c>
      <c r="R715" s="2" t="inlineStr"/>
    </row>
    <row r="716" ht="15" customHeight="1">
      <c r="A716" t="inlineStr">
        <is>
          <t>A 31592-2021</t>
        </is>
      </c>
      <c r="B716" s="1" t="n">
        <v>44369</v>
      </c>
      <c r="C716" s="1" t="n">
        <v>45801</v>
      </c>
      <c r="D716" t="inlineStr">
        <is>
          <t>KALMAR LÄN</t>
        </is>
      </c>
      <c r="E716" t="inlineStr">
        <is>
          <t>VÄSTERVIK</t>
        </is>
      </c>
      <c r="G716" t="n">
        <v>1.3</v>
      </c>
      <c r="H716" t="n">
        <v>0</v>
      </c>
      <c r="I716" t="n">
        <v>0</v>
      </c>
      <c r="J716" t="n">
        <v>0</v>
      </c>
      <c r="K716" t="n">
        <v>0</v>
      </c>
      <c r="L716" t="n">
        <v>0</v>
      </c>
      <c r="M716" t="n">
        <v>0</v>
      </c>
      <c r="N716" t="n">
        <v>0</v>
      </c>
      <c r="O716" t="n">
        <v>0</v>
      </c>
      <c r="P716" t="n">
        <v>0</v>
      </c>
      <c r="Q716" t="n">
        <v>0</v>
      </c>
      <c r="R716" s="2" t="inlineStr"/>
    </row>
    <row r="717" ht="15" customHeight="1">
      <c r="A717" t="inlineStr">
        <is>
          <t>A 31952-2021</t>
        </is>
      </c>
      <c r="B717" s="1" t="n">
        <v>44370</v>
      </c>
      <c r="C717" s="1" t="n">
        <v>45801</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32394-2021</t>
        </is>
      </c>
      <c r="B718" s="1" t="n">
        <v>44371</v>
      </c>
      <c r="C718" s="1" t="n">
        <v>45801</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32583-2021</t>
        </is>
      </c>
      <c r="B719" s="1" t="n">
        <v>44375</v>
      </c>
      <c r="C719" s="1" t="n">
        <v>45801</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32822-2021</t>
        </is>
      </c>
      <c r="B720" s="1" t="n">
        <v>44375</v>
      </c>
      <c r="C720" s="1" t="n">
        <v>45801</v>
      </c>
      <c r="D720" t="inlineStr">
        <is>
          <t>KALMAR LÄN</t>
        </is>
      </c>
      <c r="E720" t="inlineStr">
        <is>
          <t>VÄSTERVIK</t>
        </is>
      </c>
      <c r="G720" t="n">
        <v>5.1</v>
      </c>
      <c r="H720" t="n">
        <v>0</v>
      </c>
      <c r="I720" t="n">
        <v>0</v>
      </c>
      <c r="J720" t="n">
        <v>0</v>
      </c>
      <c r="K720" t="n">
        <v>0</v>
      </c>
      <c r="L720" t="n">
        <v>0</v>
      </c>
      <c r="M720" t="n">
        <v>0</v>
      </c>
      <c r="N720" t="n">
        <v>0</v>
      </c>
      <c r="O720" t="n">
        <v>0</v>
      </c>
      <c r="P720" t="n">
        <v>0</v>
      </c>
      <c r="Q720" t="n">
        <v>0</v>
      </c>
      <c r="R720" s="2" t="inlineStr"/>
    </row>
    <row r="721" ht="15" customHeight="1">
      <c r="A721" t="inlineStr">
        <is>
          <t>A 34125-2021</t>
        </is>
      </c>
      <c r="B721" s="1" t="n">
        <v>44379</v>
      </c>
      <c r="C721" s="1" t="n">
        <v>45801</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34118-2021</t>
        </is>
      </c>
      <c r="B722" s="1" t="n">
        <v>44379</v>
      </c>
      <c r="C722" s="1" t="n">
        <v>45801</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34493-2021</t>
        </is>
      </c>
      <c r="B723" s="1" t="n">
        <v>44382</v>
      </c>
      <c r="C723" s="1" t="n">
        <v>45801</v>
      </c>
      <c r="D723" t="inlineStr">
        <is>
          <t>KALMAR LÄN</t>
        </is>
      </c>
      <c r="E723" t="inlineStr">
        <is>
          <t>VÄSTERVIK</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34953-2021</t>
        </is>
      </c>
      <c r="B724" s="1" t="n">
        <v>44383</v>
      </c>
      <c r="C724" s="1" t="n">
        <v>45801</v>
      </c>
      <c r="D724" t="inlineStr">
        <is>
          <t>KALMAR LÄN</t>
        </is>
      </c>
      <c r="E724" t="inlineStr">
        <is>
          <t>VÄSTERVIK</t>
        </is>
      </c>
      <c r="G724" t="n">
        <v>4.4</v>
      </c>
      <c r="H724" t="n">
        <v>0</v>
      </c>
      <c r="I724" t="n">
        <v>0</v>
      </c>
      <c r="J724" t="n">
        <v>0</v>
      </c>
      <c r="K724" t="n">
        <v>0</v>
      </c>
      <c r="L724" t="n">
        <v>0</v>
      </c>
      <c r="M724" t="n">
        <v>0</v>
      </c>
      <c r="N724" t="n">
        <v>0</v>
      </c>
      <c r="O724" t="n">
        <v>0</v>
      </c>
      <c r="P724" t="n">
        <v>0</v>
      </c>
      <c r="Q724" t="n">
        <v>0</v>
      </c>
      <c r="R724" s="2" t="inlineStr"/>
    </row>
    <row r="725" ht="15" customHeight="1">
      <c r="A725" t="inlineStr">
        <is>
          <t>A 34958-2021</t>
        </is>
      </c>
      <c r="B725" s="1" t="n">
        <v>44383</v>
      </c>
      <c r="C725" s="1" t="n">
        <v>45801</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36125-2021</t>
        </is>
      </c>
      <c r="B726" s="1" t="n">
        <v>44386</v>
      </c>
      <c r="C726" s="1" t="n">
        <v>45801</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35906-2021</t>
        </is>
      </c>
      <c r="B727" s="1" t="n">
        <v>44387</v>
      </c>
      <c r="C727" s="1" t="n">
        <v>45801</v>
      </c>
      <c r="D727" t="inlineStr">
        <is>
          <t>KALMAR LÄN</t>
        </is>
      </c>
      <c r="E727" t="inlineStr">
        <is>
          <t>VÄSTERVIK</t>
        </is>
      </c>
      <c r="G727" t="n">
        <v>2.5</v>
      </c>
      <c r="H727" t="n">
        <v>0</v>
      </c>
      <c r="I727" t="n">
        <v>0</v>
      </c>
      <c r="J727" t="n">
        <v>0</v>
      </c>
      <c r="K727" t="n">
        <v>0</v>
      </c>
      <c r="L727" t="n">
        <v>0</v>
      </c>
      <c r="M727" t="n">
        <v>0</v>
      </c>
      <c r="N727" t="n">
        <v>0</v>
      </c>
      <c r="O727" t="n">
        <v>0</v>
      </c>
      <c r="P727" t="n">
        <v>0</v>
      </c>
      <c r="Q727" t="n">
        <v>0</v>
      </c>
      <c r="R727" s="2" t="inlineStr"/>
    </row>
    <row r="728" ht="15" customHeight="1">
      <c r="A728" t="inlineStr">
        <is>
          <t>A 37036-2021</t>
        </is>
      </c>
      <c r="B728" s="1" t="n">
        <v>44393</v>
      </c>
      <c r="C728" s="1" t="n">
        <v>45801</v>
      </c>
      <c r="D728" t="inlineStr">
        <is>
          <t>KALMAR LÄN</t>
        </is>
      </c>
      <c r="E728" t="inlineStr">
        <is>
          <t>VÄSTERVIK</t>
        </is>
      </c>
      <c r="G728" t="n">
        <v>16.1</v>
      </c>
      <c r="H728" t="n">
        <v>0</v>
      </c>
      <c r="I728" t="n">
        <v>0</v>
      </c>
      <c r="J728" t="n">
        <v>0</v>
      </c>
      <c r="K728" t="n">
        <v>0</v>
      </c>
      <c r="L728" t="n">
        <v>0</v>
      </c>
      <c r="M728" t="n">
        <v>0</v>
      </c>
      <c r="N728" t="n">
        <v>0</v>
      </c>
      <c r="O728" t="n">
        <v>0</v>
      </c>
      <c r="P728" t="n">
        <v>0</v>
      </c>
      <c r="Q728" t="n">
        <v>0</v>
      </c>
      <c r="R728" s="2" t="inlineStr"/>
    </row>
    <row r="729" ht="15" customHeight="1">
      <c r="A729" t="inlineStr">
        <is>
          <t>A 37033-2021</t>
        </is>
      </c>
      <c r="B729" s="1" t="n">
        <v>44393</v>
      </c>
      <c r="C729" s="1" t="n">
        <v>45801</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37441-2021</t>
        </is>
      </c>
      <c r="B730" s="1" t="n">
        <v>44398</v>
      </c>
      <c r="C730" s="1" t="n">
        <v>45801</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37545-2021</t>
        </is>
      </c>
      <c r="B731" s="1" t="n">
        <v>44399</v>
      </c>
      <c r="C731" s="1" t="n">
        <v>45801</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37550-2021</t>
        </is>
      </c>
      <c r="B732" s="1" t="n">
        <v>44399</v>
      </c>
      <c r="C732" s="1" t="n">
        <v>45801</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37717-2021</t>
        </is>
      </c>
      <c r="B733" s="1" t="n">
        <v>44400</v>
      </c>
      <c r="C733" s="1" t="n">
        <v>45801</v>
      </c>
      <c r="D733" t="inlineStr">
        <is>
          <t>KALMAR LÄN</t>
        </is>
      </c>
      <c r="E733" t="inlineStr">
        <is>
          <t>VÄSTERVIK</t>
        </is>
      </c>
      <c r="G733" t="n">
        <v>3.7</v>
      </c>
      <c r="H733" t="n">
        <v>0</v>
      </c>
      <c r="I733" t="n">
        <v>0</v>
      </c>
      <c r="J733" t="n">
        <v>0</v>
      </c>
      <c r="K733" t="n">
        <v>0</v>
      </c>
      <c r="L733" t="n">
        <v>0</v>
      </c>
      <c r="M733" t="n">
        <v>0</v>
      </c>
      <c r="N733" t="n">
        <v>0</v>
      </c>
      <c r="O733" t="n">
        <v>0</v>
      </c>
      <c r="P733" t="n">
        <v>0</v>
      </c>
      <c r="Q733" t="n">
        <v>0</v>
      </c>
      <c r="R733" s="2" t="inlineStr"/>
    </row>
    <row r="734" ht="15" customHeight="1">
      <c r="A734" t="inlineStr">
        <is>
          <t>A 37748-2021</t>
        </is>
      </c>
      <c r="B734" s="1" t="n">
        <v>44400</v>
      </c>
      <c r="C734" s="1" t="n">
        <v>45801</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37753-2021</t>
        </is>
      </c>
      <c r="B735" s="1" t="n">
        <v>44400</v>
      </c>
      <c r="C735" s="1" t="n">
        <v>45801</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38613-2021</t>
        </is>
      </c>
      <c r="B736" s="1" t="n">
        <v>44409</v>
      </c>
      <c r="C736" s="1" t="n">
        <v>45801</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42052-2021</t>
        </is>
      </c>
      <c r="B737" s="1" t="n">
        <v>44426</v>
      </c>
      <c r="C737" s="1" t="n">
        <v>45801</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42112-2021</t>
        </is>
      </c>
      <c r="B738" s="1" t="n">
        <v>44426</v>
      </c>
      <c r="C738" s="1" t="n">
        <v>45801</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42131-2021</t>
        </is>
      </c>
      <c r="B739" s="1" t="n">
        <v>44426</v>
      </c>
      <c r="C739" s="1" t="n">
        <v>45801</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42150-2021</t>
        </is>
      </c>
      <c r="B740" s="1" t="n">
        <v>44426</v>
      </c>
      <c r="C740" s="1" t="n">
        <v>45801</v>
      </c>
      <c r="D740" t="inlineStr">
        <is>
          <t>KALMAR LÄN</t>
        </is>
      </c>
      <c r="E740" t="inlineStr">
        <is>
          <t>VÄSTERVIK</t>
        </is>
      </c>
      <c r="G740" t="n">
        <v>0.3</v>
      </c>
      <c r="H740" t="n">
        <v>0</v>
      </c>
      <c r="I740" t="n">
        <v>0</v>
      </c>
      <c r="J740" t="n">
        <v>0</v>
      </c>
      <c r="K740" t="n">
        <v>0</v>
      </c>
      <c r="L740" t="n">
        <v>0</v>
      </c>
      <c r="M740" t="n">
        <v>0</v>
      </c>
      <c r="N740" t="n">
        <v>0</v>
      </c>
      <c r="O740" t="n">
        <v>0</v>
      </c>
      <c r="P740" t="n">
        <v>0</v>
      </c>
      <c r="Q740" t="n">
        <v>0</v>
      </c>
      <c r="R740" s="2" t="inlineStr"/>
    </row>
    <row r="741" ht="15" customHeight="1">
      <c r="A741" t="inlineStr">
        <is>
          <t>A 42137-2021</t>
        </is>
      </c>
      <c r="B741" s="1" t="n">
        <v>44426</v>
      </c>
      <c r="C741" s="1" t="n">
        <v>45801</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42164-2021</t>
        </is>
      </c>
      <c r="B742" s="1" t="n">
        <v>44426</v>
      </c>
      <c r="C742" s="1" t="n">
        <v>45801</v>
      </c>
      <c r="D742" t="inlineStr">
        <is>
          <t>KALMAR LÄN</t>
        </is>
      </c>
      <c r="E742" t="inlineStr">
        <is>
          <t>VÄSTERVIK</t>
        </is>
      </c>
      <c r="G742" t="n">
        <v>5.5</v>
      </c>
      <c r="H742" t="n">
        <v>0</v>
      </c>
      <c r="I742" t="n">
        <v>0</v>
      </c>
      <c r="J742" t="n">
        <v>0</v>
      </c>
      <c r="K742" t="n">
        <v>0</v>
      </c>
      <c r="L742" t="n">
        <v>0</v>
      </c>
      <c r="M742" t="n">
        <v>0</v>
      </c>
      <c r="N742" t="n">
        <v>0</v>
      </c>
      <c r="O742" t="n">
        <v>0</v>
      </c>
      <c r="P742" t="n">
        <v>0</v>
      </c>
      <c r="Q742" t="n">
        <v>0</v>
      </c>
      <c r="R742" s="2" t="inlineStr"/>
      <c r="U742">
        <f>HYPERLINK("https://klasma.github.io/Logging_0883/knärot/A 42164-2021 karta knärot.png", "A 42164-2021")</f>
        <v/>
      </c>
      <c r="V742">
        <f>HYPERLINK("https://klasma.github.io/Logging_0883/klagomål/A 42164-2021 FSC-klagomål.docx", "A 42164-2021")</f>
        <v/>
      </c>
      <c r="W742">
        <f>HYPERLINK("https://klasma.github.io/Logging_0883/klagomålsmail/A 42164-2021 FSC-klagomål mail.docx", "A 42164-2021")</f>
        <v/>
      </c>
      <c r="X742">
        <f>HYPERLINK("https://klasma.github.io/Logging_0883/tillsyn/A 42164-2021 tillsynsbegäran.docx", "A 42164-2021")</f>
        <v/>
      </c>
      <c r="Y742">
        <f>HYPERLINK("https://klasma.github.io/Logging_0883/tillsynsmail/A 42164-2021 tillsynsbegäran mail.docx", "A 42164-2021")</f>
        <v/>
      </c>
    </row>
    <row r="743" ht="15" customHeight="1">
      <c r="A743" t="inlineStr">
        <is>
          <t>A 42353-2021</t>
        </is>
      </c>
      <c r="B743" s="1" t="n">
        <v>44427</v>
      </c>
      <c r="C743" s="1" t="n">
        <v>45801</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43759-2021</t>
        </is>
      </c>
      <c r="B744" s="1" t="n">
        <v>44433</v>
      </c>
      <c r="C744" s="1" t="n">
        <v>45801</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45801</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43805-2021</t>
        </is>
      </c>
      <c r="B746" s="1" t="n">
        <v>44433</v>
      </c>
      <c r="C746" s="1" t="n">
        <v>45801</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43810-2021</t>
        </is>
      </c>
      <c r="B747" s="1" t="n">
        <v>44433</v>
      </c>
      <c r="C747" s="1" t="n">
        <v>45801</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43826-2021</t>
        </is>
      </c>
      <c r="B748" s="1" t="n">
        <v>44433</v>
      </c>
      <c r="C748" s="1" t="n">
        <v>45801</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43803-2021</t>
        </is>
      </c>
      <c r="B749" s="1" t="n">
        <v>44433</v>
      </c>
      <c r="C749" s="1" t="n">
        <v>45801</v>
      </c>
      <c r="D749" t="inlineStr">
        <is>
          <t>KALMAR LÄN</t>
        </is>
      </c>
      <c r="E749" t="inlineStr">
        <is>
          <t>VÄSTERVIK</t>
        </is>
      </c>
      <c r="G749" t="n">
        <v>4.2</v>
      </c>
      <c r="H749" t="n">
        <v>0</v>
      </c>
      <c r="I749" t="n">
        <v>0</v>
      </c>
      <c r="J749" t="n">
        <v>0</v>
      </c>
      <c r="K749" t="n">
        <v>0</v>
      </c>
      <c r="L749" t="n">
        <v>0</v>
      </c>
      <c r="M749" t="n">
        <v>0</v>
      </c>
      <c r="N749" t="n">
        <v>0</v>
      </c>
      <c r="O749" t="n">
        <v>0</v>
      </c>
      <c r="P749" t="n">
        <v>0</v>
      </c>
      <c r="Q749" t="n">
        <v>0</v>
      </c>
      <c r="R749" s="2" t="inlineStr"/>
    </row>
    <row r="750" ht="15" customHeight="1">
      <c r="A750" t="inlineStr">
        <is>
          <t>A 43802-2021</t>
        </is>
      </c>
      <c r="B750" s="1" t="n">
        <v>44433</v>
      </c>
      <c r="C750" s="1" t="n">
        <v>45801</v>
      </c>
      <c r="D750" t="inlineStr">
        <is>
          <t>KALMAR LÄN</t>
        </is>
      </c>
      <c r="E750" t="inlineStr">
        <is>
          <t>VÄSTERVIK</t>
        </is>
      </c>
      <c r="G750" t="n">
        <v>6</v>
      </c>
      <c r="H750" t="n">
        <v>0</v>
      </c>
      <c r="I750" t="n">
        <v>0</v>
      </c>
      <c r="J750" t="n">
        <v>0</v>
      </c>
      <c r="K750" t="n">
        <v>0</v>
      </c>
      <c r="L750" t="n">
        <v>0</v>
      </c>
      <c r="M750" t="n">
        <v>0</v>
      </c>
      <c r="N750" t="n">
        <v>0</v>
      </c>
      <c r="O750" t="n">
        <v>0</v>
      </c>
      <c r="P750" t="n">
        <v>0</v>
      </c>
      <c r="Q750" t="n">
        <v>0</v>
      </c>
      <c r="R750" s="2" t="inlineStr"/>
    </row>
    <row r="751" ht="15" customHeight="1">
      <c r="A751" t="inlineStr">
        <is>
          <t>A 43808-2021</t>
        </is>
      </c>
      <c r="B751" s="1" t="n">
        <v>44433</v>
      </c>
      <c r="C751" s="1" t="n">
        <v>45801</v>
      </c>
      <c r="D751" t="inlineStr">
        <is>
          <t>KALMAR LÄN</t>
        </is>
      </c>
      <c r="E751" t="inlineStr">
        <is>
          <t>VÄSTERVIK</t>
        </is>
      </c>
      <c r="G751" t="n">
        <v>3.1</v>
      </c>
      <c r="H751" t="n">
        <v>0</v>
      </c>
      <c r="I751" t="n">
        <v>0</v>
      </c>
      <c r="J751" t="n">
        <v>0</v>
      </c>
      <c r="K751" t="n">
        <v>0</v>
      </c>
      <c r="L751" t="n">
        <v>0</v>
      </c>
      <c r="M751" t="n">
        <v>0</v>
      </c>
      <c r="N751" t="n">
        <v>0</v>
      </c>
      <c r="O751" t="n">
        <v>0</v>
      </c>
      <c r="P751" t="n">
        <v>0</v>
      </c>
      <c r="Q751" t="n">
        <v>0</v>
      </c>
      <c r="R751" s="2" t="inlineStr"/>
    </row>
    <row r="752" ht="15" customHeight="1">
      <c r="A752" t="inlineStr">
        <is>
          <t>A 43807-2021</t>
        </is>
      </c>
      <c r="B752" s="1" t="n">
        <v>44433</v>
      </c>
      <c r="C752" s="1" t="n">
        <v>45801</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43953-2021</t>
        </is>
      </c>
      <c r="B753" s="1" t="n">
        <v>44434</v>
      </c>
      <c r="C753" s="1" t="n">
        <v>45801</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44454-2021</t>
        </is>
      </c>
      <c r="B754" s="1" t="n">
        <v>44435</v>
      </c>
      <c r="C754" s="1" t="n">
        <v>45801</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c r="U754">
        <f>HYPERLINK("https://klasma.github.io/Logging_0883/knärot/A 44454-2021 karta knärot.png", "A 44454-2021")</f>
        <v/>
      </c>
      <c r="V754">
        <f>HYPERLINK("https://klasma.github.io/Logging_0883/klagomål/A 44454-2021 FSC-klagomål.docx", "A 44454-2021")</f>
        <v/>
      </c>
      <c r="W754">
        <f>HYPERLINK("https://klasma.github.io/Logging_0883/klagomålsmail/A 44454-2021 FSC-klagomål mail.docx", "A 44454-2021")</f>
        <v/>
      </c>
      <c r="X754">
        <f>HYPERLINK("https://klasma.github.io/Logging_0883/tillsyn/A 44454-2021 tillsynsbegäran.docx", "A 44454-2021")</f>
        <v/>
      </c>
      <c r="Y754">
        <f>HYPERLINK("https://klasma.github.io/Logging_0883/tillsynsmail/A 44454-2021 tillsynsbegäran mail.docx", "A 44454-2021")</f>
        <v/>
      </c>
    </row>
    <row r="755" ht="15" customHeight="1">
      <c r="A755" t="inlineStr">
        <is>
          <t>A 44668-2021</t>
        </is>
      </c>
      <c r="B755" s="1" t="n">
        <v>44438</v>
      </c>
      <c r="C755" s="1" t="n">
        <v>45801</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47404-2021</t>
        </is>
      </c>
      <c r="B756" s="1" t="n">
        <v>44447</v>
      </c>
      <c r="C756" s="1" t="n">
        <v>45801</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47527-2021</t>
        </is>
      </c>
      <c r="B757" s="1" t="n">
        <v>44447</v>
      </c>
      <c r="C757" s="1" t="n">
        <v>45801</v>
      </c>
      <c r="D757" t="inlineStr">
        <is>
          <t>KALMAR LÄN</t>
        </is>
      </c>
      <c r="E757" t="inlineStr">
        <is>
          <t>VÄSTERVIK</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47525-2021</t>
        </is>
      </c>
      <c r="B758" s="1" t="n">
        <v>44447</v>
      </c>
      <c r="C758" s="1" t="n">
        <v>45801</v>
      </c>
      <c r="D758" t="inlineStr">
        <is>
          <t>KALMAR LÄN</t>
        </is>
      </c>
      <c r="E758" t="inlineStr">
        <is>
          <t>VÄSTERVIK</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47530-2021</t>
        </is>
      </c>
      <c r="B759" s="1" t="n">
        <v>44447</v>
      </c>
      <c r="C759" s="1" t="n">
        <v>45801</v>
      </c>
      <c r="D759" t="inlineStr">
        <is>
          <t>KALMAR LÄN</t>
        </is>
      </c>
      <c r="E759" t="inlineStr">
        <is>
          <t>VÄSTERVIK</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48021-2021</t>
        </is>
      </c>
      <c r="B760" s="1" t="n">
        <v>44449</v>
      </c>
      <c r="C760" s="1" t="n">
        <v>45801</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48018-2021</t>
        </is>
      </c>
      <c r="B761" s="1" t="n">
        <v>44449</v>
      </c>
      <c r="C761" s="1" t="n">
        <v>45801</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48041-2021</t>
        </is>
      </c>
      <c r="B762" s="1" t="n">
        <v>44449</v>
      </c>
      <c r="C762" s="1" t="n">
        <v>45801</v>
      </c>
      <c r="D762" t="inlineStr">
        <is>
          <t>KALMAR LÄN</t>
        </is>
      </c>
      <c r="E762" t="inlineStr">
        <is>
          <t>VÄSTERVIK</t>
        </is>
      </c>
      <c r="G762" t="n">
        <v>2.6</v>
      </c>
      <c r="H762" t="n">
        <v>0</v>
      </c>
      <c r="I762" t="n">
        <v>0</v>
      </c>
      <c r="J762" t="n">
        <v>0</v>
      </c>
      <c r="K762" t="n">
        <v>0</v>
      </c>
      <c r="L762" t="n">
        <v>0</v>
      </c>
      <c r="M762" t="n">
        <v>0</v>
      </c>
      <c r="N762" t="n">
        <v>0</v>
      </c>
      <c r="O762" t="n">
        <v>0</v>
      </c>
      <c r="P762" t="n">
        <v>0</v>
      </c>
      <c r="Q762" t="n">
        <v>0</v>
      </c>
      <c r="R762" s="2" t="inlineStr"/>
    </row>
    <row r="763" ht="15" customHeight="1">
      <c r="A763" t="inlineStr">
        <is>
          <t>A 48254-2021</t>
        </is>
      </c>
      <c r="B763" s="1" t="n">
        <v>44449</v>
      </c>
      <c r="C763" s="1" t="n">
        <v>45801</v>
      </c>
      <c r="D763" t="inlineStr">
        <is>
          <t>KALMAR LÄN</t>
        </is>
      </c>
      <c r="E763" t="inlineStr">
        <is>
          <t>VÄSTERVIK</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49402-2021</t>
        </is>
      </c>
      <c r="B764" s="1" t="n">
        <v>44454</v>
      </c>
      <c r="C764" s="1" t="n">
        <v>45801</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49407-2021</t>
        </is>
      </c>
      <c r="B765" s="1" t="n">
        <v>44454</v>
      </c>
      <c r="C765" s="1" t="n">
        <v>45801</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49398-2021</t>
        </is>
      </c>
      <c r="B766" s="1" t="n">
        <v>44454</v>
      </c>
      <c r="C766" s="1" t="n">
        <v>45801</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49404-2021</t>
        </is>
      </c>
      <c r="B767" s="1" t="n">
        <v>44454</v>
      </c>
      <c r="C767" s="1" t="n">
        <v>45801</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50977-2021</t>
        </is>
      </c>
      <c r="B768" s="1" t="n">
        <v>44460</v>
      </c>
      <c r="C768" s="1" t="n">
        <v>45801</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51504-2021</t>
        </is>
      </c>
      <c r="B769" s="1" t="n">
        <v>44461</v>
      </c>
      <c r="C769" s="1" t="n">
        <v>45801</v>
      </c>
      <c r="D769" t="inlineStr">
        <is>
          <t>KALMAR LÄN</t>
        </is>
      </c>
      <c r="E769" t="inlineStr">
        <is>
          <t>VÄSTERVIK</t>
        </is>
      </c>
      <c r="G769" t="n">
        <v>6.4</v>
      </c>
      <c r="H769" t="n">
        <v>0</v>
      </c>
      <c r="I769" t="n">
        <v>0</v>
      </c>
      <c r="J769" t="n">
        <v>0</v>
      </c>
      <c r="K769" t="n">
        <v>0</v>
      </c>
      <c r="L769" t="n">
        <v>0</v>
      </c>
      <c r="M769" t="n">
        <v>0</v>
      </c>
      <c r="N769" t="n">
        <v>0</v>
      </c>
      <c r="O769" t="n">
        <v>0</v>
      </c>
      <c r="P769" t="n">
        <v>0</v>
      </c>
      <c r="Q769" t="n">
        <v>0</v>
      </c>
      <c r="R769" s="2" t="inlineStr"/>
    </row>
    <row r="770" ht="15" customHeight="1">
      <c r="A770" t="inlineStr">
        <is>
          <t>A 51883-2021</t>
        </is>
      </c>
      <c r="B770" s="1" t="n">
        <v>44462</v>
      </c>
      <c r="C770" s="1" t="n">
        <v>45801</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51884-2021</t>
        </is>
      </c>
      <c r="B771" s="1" t="n">
        <v>44462</v>
      </c>
      <c r="C771" s="1" t="n">
        <v>45801</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52155-2021</t>
        </is>
      </c>
      <c r="B772" s="1" t="n">
        <v>44463</v>
      </c>
      <c r="C772" s="1" t="n">
        <v>45801</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52645-2021</t>
        </is>
      </c>
      <c r="B773" s="1" t="n">
        <v>44466</v>
      </c>
      <c r="C773" s="1" t="n">
        <v>45801</v>
      </c>
      <c r="D773" t="inlineStr">
        <is>
          <t>KALMAR LÄN</t>
        </is>
      </c>
      <c r="E773" t="inlineStr">
        <is>
          <t>VÄSTERVIK</t>
        </is>
      </c>
      <c r="G773" t="n">
        <v>5</v>
      </c>
      <c r="H773" t="n">
        <v>0</v>
      </c>
      <c r="I773" t="n">
        <v>0</v>
      </c>
      <c r="J773" t="n">
        <v>0</v>
      </c>
      <c r="K773" t="n">
        <v>0</v>
      </c>
      <c r="L773" t="n">
        <v>0</v>
      </c>
      <c r="M773" t="n">
        <v>0</v>
      </c>
      <c r="N773" t="n">
        <v>0</v>
      </c>
      <c r="O773" t="n">
        <v>0</v>
      </c>
      <c r="P773" t="n">
        <v>0</v>
      </c>
      <c r="Q773" t="n">
        <v>0</v>
      </c>
      <c r="R773" s="2" t="inlineStr"/>
    </row>
    <row r="774" ht="15" customHeight="1">
      <c r="A774" t="inlineStr">
        <is>
          <t>A 53259-2021</t>
        </is>
      </c>
      <c r="B774" s="1" t="n">
        <v>44468</v>
      </c>
      <c r="C774" s="1" t="n">
        <v>45801</v>
      </c>
      <c r="D774" t="inlineStr">
        <is>
          <t>KALMAR LÄN</t>
        </is>
      </c>
      <c r="E774" t="inlineStr">
        <is>
          <t>VÄSTERVIK</t>
        </is>
      </c>
      <c r="G774" t="n">
        <v>2.8</v>
      </c>
      <c r="H774" t="n">
        <v>0</v>
      </c>
      <c r="I774" t="n">
        <v>0</v>
      </c>
      <c r="J774" t="n">
        <v>0</v>
      </c>
      <c r="K774" t="n">
        <v>0</v>
      </c>
      <c r="L774" t="n">
        <v>0</v>
      </c>
      <c r="M774" t="n">
        <v>0</v>
      </c>
      <c r="N774" t="n">
        <v>0</v>
      </c>
      <c r="O774" t="n">
        <v>0</v>
      </c>
      <c r="P774" t="n">
        <v>0</v>
      </c>
      <c r="Q774" t="n">
        <v>0</v>
      </c>
      <c r="R774" s="2" t="inlineStr"/>
    </row>
    <row r="775" ht="15" customHeight="1">
      <c r="A775" t="inlineStr">
        <is>
          <t>A 53254-2021</t>
        </is>
      </c>
      <c r="B775" s="1" t="n">
        <v>44468</v>
      </c>
      <c r="C775" s="1" t="n">
        <v>45801</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53913-2021</t>
        </is>
      </c>
      <c r="B776" s="1" t="n">
        <v>44469</v>
      </c>
      <c r="C776" s="1" t="n">
        <v>45801</v>
      </c>
      <c r="D776" t="inlineStr">
        <is>
          <t>KALMAR LÄN</t>
        </is>
      </c>
      <c r="E776" t="inlineStr">
        <is>
          <t>VÄSTERVIK</t>
        </is>
      </c>
      <c r="G776" t="n">
        <v>2.4</v>
      </c>
      <c r="H776" t="n">
        <v>0</v>
      </c>
      <c r="I776" t="n">
        <v>0</v>
      </c>
      <c r="J776" t="n">
        <v>0</v>
      </c>
      <c r="K776" t="n">
        <v>0</v>
      </c>
      <c r="L776" t="n">
        <v>0</v>
      </c>
      <c r="M776" t="n">
        <v>0</v>
      </c>
      <c r="N776" t="n">
        <v>0</v>
      </c>
      <c r="O776" t="n">
        <v>0</v>
      </c>
      <c r="P776" t="n">
        <v>0</v>
      </c>
      <c r="Q776" t="n">
        <v>0</v>
      </c>
      <c r="R776" s="2" t="inlineStr"/>
    </row>
    <row r="777" ht="15" customHeight="1">
      <c r="A777" t="inlineStr">
        <is>
          <t>A 55008-2021</t>
        </is>
      </c>
      <c r="B777" s="1" t="n">
        <v>44474</v>
      </c>
      <c r="C777" s="1" t="n">
        <v>45801</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55023-2021</t>
        </is>
      </c>
      <c r="B778" s="1" t="n">
        <v>44474</v>
      </c>
      <c r="C778" s="1" t="n">
        <v>45801</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56617-2021</t>
        </is>
      </c>
      <c r="B779" s="1" t="n">
        <v>44480</v>
      </c>
      <c r="C779" s="1" t="n">
        <v>45801</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56620-2021</t>
        </is>
      </c>
      <c r="B780" s="1" t="n">
        <v>44480</v>
      </c>
      <c r="C780" s="1" t="n">
        <v>45801</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56619-2021</t>
        </is>
      </c>
      <c r="B781" s="1" t="n">
        <v>44480</v>
      </c>
      <c r="C781" s="1" t="n">
        <v>45801</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57804-2021</t>
        </is>
      </c>
      <c r="B782" s="1" t="n">
        <v>44484</v>
      </c>
      <c r="C782" s="1" t="n">
        <v>45801</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row>
    <row r="783" ht="15" customHeight="1">
      <c r="A783" t="inlineStr">
        <is>
          <t>A 57808-2021</t>
        </is>
      </c>
      <c r="B783" s="1" t="n">
        <v>44484</v>
      </c>
      <c r="C783" s="1" t="n">
        <v>45801</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57983-2021</t>
        </is>
      </c>
      <c r="B784" s="1" t="n">
        <v>44487</v>
      </c>
      <c r="C784" s="1" t="n">
        <v>45801</v>
      </c>
      <c r="D784" t="inlineStr">
        <is>
          <t>KALMAR LÄN</t>
        </is>
      </c>
      <c r="E784" t="inlineStr">
        <is>
          <t>VÄSTERVIK</t>
        </is>
      </c>
      <c r="G784" t="n">
        <v>4.4</v>
      </c>
      <c r="H784" t="n">
        <v>0</v>
      </c>
      <c r="I784" t="n">
        <v>0</v>
      </c>
      <c r="J784" t="n">
        <v>0</v>
      </c>
      <c r="K784" t="n">
        <v>0</v>
      </c>
      <c r="L784" t="n">
        <v>0</v>
      </c>
      <c r="M784" t="n">
        <v>0</v>
      </c>
      <c r="N784" t="n">
        <v>0</v>
      </c>
      <c r="O784" t="n">
        <v>0</v>
      </c>
      <c r="P784" t="n">
        <v>0</v>
      </c>
      <c r="Q784" t="n">
        <v>0</v>
      </c>
      <c r="R784" s="2" t="inlineStr"/>
    </row>
    <row r="785" ht="15" customHeight="1">
      <c r="A785" t="inlineStr">
        <is>
          <t>A 57928-2021</t>
        </is>
      </c>
      <c r="B785" s="1" t="n">
        <v>44487</v>
      </c>
      <c r="C785" s="1" t="n">
        <v>45801</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57937-2021</t>
        </is>
      </c>
      <c r="B786" s="1" t="n">
        <v>44487</v>
      </c>
      <c r="C786" s="1" t="n">
        <v>45801</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58090-2021</t>
        </is>
      </c>
      <c r="B787" s="1" t="n">
        <v>44487</v>
      </c>
      <c r="C787" s="1" t="n">
        <v>45801</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58555-2021</t>
        </is>
      </c>
      <c r="B788" s="1" t="n">
        <v>44488</v>
      </c>
      <c r="C788" s="1" t="n">
        <v>45801</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61317-2021</t>
        </is>
      </c>
      <c r="B789" s="1" t="n">
        <v>44498</v>
      </c>
      <c r="C789" s="1" t="n">
        <v>45801</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61584-2021</t>
        </is>
      </c>
      <c r="B790" s="1" t="n">
        <v>44501</v>
      </c>
      <c r="C790" s="1" t="n">
        <v>45801</v>
      </c>
      <c r="D790" t="inlineStr">
        <is>
          <t>KALMAR LÄN</t>
        </is>
      </c>
      <c r="E790" t="inlineStr">
        <is>
          <t>VÄSTERVIK</t>
        </is>
      </c>
      <c r="G790" t="n">
        <v>3.3</v>
      </c>
      <c r="H790" t="n">
        <v>0</v>
      </c>
      <c r="I790" t="n">
        <v>0</v>
      </c>
      <c r="J790" t="n">
        <v>0</v>
      </c>
      <c r="K790" t="n">
        <v>0</v>
      </c>
      <c r="L790" t="n">
        <v>0</v>
      </c>
      <c r="M790" t="n">
        <v>0</v>
      </c>
      <c r="N790" t="n">
        <v>0</v>
      </c>
      <c r="O790" t="n">
        <v>0</v>
      </c>
      <c r="P790" t="n">
        <v>0</v>
      </c>
      <c r="Q790" t="n">
        <v>0</v>
      </c>
      <c r="R790" s="2" t="inlineStr"/>
    </row>
    <row r="791" ht="15" customHeight="1">
      <c r="A791" t="inlineStr">
        <is>
          <t>A 62930-2021</t>
        </is>
      </c>
      <c r="B791" s="1" t="n">
        <v>44504</v>
      </c>
      <c r="C791" s="1" t="n">
        <v>45801</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63812-2021</t>
        </is>
      </c>
      <c r="B792" s="1" t="n">
        <v>44509</v>
      </c>
      <c r="C792" s="1" t="n">
        <v>45801</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64497-2021</t>
        </is>
      </c>
      <c r="B793" s="1" t="n">
        <v>44511</v>
      </c>
      <c r="C793" s="1" t="n">
        <v>45801</v>
      </c>
      <c r="D793" t="inlineStr">
        <is>
          <t>KALMAR LÄN</t>
        </is>
      </c>
      <c r="E793" t="inlineStr">
        <is>
          <t>VÄSTERVIK</t>
        </is>
      </c>
      <c r="F793" t="inlineStr">
        <is>
          <t>Övriga Aktiebolag</t>
        </is>
      </c>
      <c r="G793" t="n">
        <v>0.7</v>
      </c>
      <c r="H793" t="n">
        <v>0</v>
      </c>
      <c r="I793" t="n">
        <v>0</v>
      </c>
      <c r="J793" t="n">
        <v>0</v>
      </c>
      <c r="K793" t="n">
        <v>0</v>
      </c>
      <c r="L793" t="n">
        <v>0</v>
      </c>
      <c r="M793" t="n">
        <v>0</v>
      </c>
      <c r="N793" t="n">
        <v>0</v>
      </c>
      <c r="O793" t="n">
        <v>0</v>
      </c>
      <c r="P793" t="n">
        <v>0</v>
      </c>
      <c r="Q793" t="n">
        <v>0</v>
      </c>
      <c r="R793" s="2" t="inlineStr"/>
    </row>
    <row r="794" ht="15" customHeight="1">
      <c r="A794" t="inlineStr">
        <is>
          <t>A 64558-2021</t>
        </is>
      </c>
      <c r="B794" s="1" t="n">
        <v>44511</v>
      </c>
      <c r="C794" s="1" t="n">
        <v>45801</v>
      </c>
      <c r="D794" t="inlineStr">
        <is>
          <t>KALMAR LÄN</t>
        </is>
      </c>
      <c r="E794" t="inlineStr">
        <is>
          <t>VÄSTERVIK</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64822-2021</t>
        </is>
      </c>
      <c r="B795" s="1" t="n">
        <v>44512</v>
      </c>
      <c r="C795" s="1" t="n">
        <v>45801</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64920-2021</t>
        </is>
      </c>
      <c r="B796" s="1" t="n">
        <v>44512</v>
      </c>
      <c r="C796" s="1" t="n">
        <v>45801</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c r="U796">
        <f>HYPERLINK("https://klasma.github.io/Logging_0883/knärot/A 64920-2021 karta knärot.png", "A 64920-2021")</f>
        <v/>
      </c>
      <c r="V796">
        <f>HYPERLINK("https://klasma.github.io/Logging_0883/klagomål/A 64920-2021 FSC-klagomål.docx", "A 64920-2021")</f>
        <v/>
      </c>
      <c r="W796">
        <f>HYPERLINK("https://klasma.github.io/Logging_0883/klagomålsmail/A 64920-2021 FSC-klagomål mail.docx", "A 64920-2021")</f>
        <v/>
      </c>
      <c r="X796">
        <f>HYPERLINK("https://klasma.github.io/Logging_0883/tillsyn/A 64920-2021 tillsynsbegäran.docx", "A 64920-2021")</f>
        <v/>
      </c>
      <c r="Y796">
        <f>HYPERLINK("https://klasma.github.io/Logging_0883/tillsynsmail/A 64920-2021 tillsynsbegäran mail.docx", "A 64920-2021")</f>
        <v/>
      </c>
    </row>
    <row r="797" ht="15" customHeight="1">
      <c r="A797" t="inlineStr">
        <is>
          <t>A 65408-2021</t>
        </is>
      </c>
      <c r="B797" s="1" t="n">
        <v>44515</v>
      </c>
      <c r="C797" s="1" t="n">
        <v>45801</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68920-2021</t>
        </is>
      </c>
      <c r="B798" s="1" t="n">
        <v>44530</v>
      </c>
      <c r="C798" s="1" t="n">
        <v>45801</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69328-2021</t>
        </is>
      </c>
      <c r="B799" s="1" t="n">
        <v>44531</v>
      </c>
      <c r="C799" s="1" t="n">
        <v>45801</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69702-2021</t>
        </is>
      </c>
      <c r="B800" s="1" t="n">
        <v>44532</v>
      </c>
      <c r="C800" s="1" t="n">
        <v>45801</v>
      </c>
      <c r="D800" t="inlineStr">
        <is>
          <t>KALMAR LÄN</t>
        </is>
      </c>
      <c r="E800" t="inlineStr">
        <is>
          <t>VÄSTERVIK</t>
        </is>
      </c>
      <c r="G800" t="n">
        <v>4.4</v>
      </c>
      <c r="H800" t="n">
        <v>0</v>
      </c>
      <c r="I800" t="n">
        <v>0</v>
      </c>
      <c r="J800" t="n">
        <v>0</v>
      </c>
      <c r="K800" t="n">
        <v>0</v>
      </c>
      <c r="L800" t="n">
        <v>0</v>
      </c>
      <c r="M800" t="n">
        <v>0</v>
      </c>
      <c r="N800" t="n">
        <v>0</v>
      </c>
      <c r="O800" t="n">
        <v>0</v>
      </c>
      <c r="P800" t="n">
        <v>0</v>
      </c>
      <c r="Q800" t="n">
        <v>0</v>
      </c>
      <c r="R800" s="2" t="inlineStr"/>
    </row>
    <row r="801" ht="15" customHeight="1">
      <c r="A801" t="inlineStr">
        <is>
          <t>A 69750-2021</t>
        </is>
      </c>
      <c r="B801" s="1" t="n">
        <v>44532</v>
      </c>
      <c r="C801" s="1" t="n">
        <v>45801</v>
      </c>
      <c r="D801" t="inlineStr">
        <is>
          <t>KALMAR LÄN</t>
        </is>
      </c>
      <c r="E801" t="inlineStr">
        <is>
          <t>VÄSTERVIK</t>
        </is>
      </c>
      <c r="G801" t="n">
        <v>3.1</v>
      </c>
      <c r="H801" t="n">
        <v>0</v>
      </c>
      <c r="I801" t="n">
        <v>0</v>
      </c>
      <c r="J801" t="n">
        <v>0</v>
      </c>
      <c r="K801" t="n">
        <v>0</v>
      </c>
      <c r="L801" t="n">
        <v>0</v>
      </c>
      <c r="M801" t="n">
        <v>0</v>
      </c>
      <c r="N801" t="n">
        <v>0</v>
      </c>
      <c r="O801" t="n">
        <v>0</v>
      </c>
      <c r="P801" t="n">
        <v>0</v>
      </c>
      <c r="Q801" t="n">
        <v>0</v>
      </c>
      <c r="R801" s="2" t="inlineStr"/>
    </row>
    <row r="802" ht="15" customHeight="1">
      <c r="A802" t="inlineStr">
        <is>
          <t>A 69753-2021</t>
        </is>
      </c>
      <c r="B802" s="1" t="n">
        <v>44532</v>
      </c>
      <c r="C802" s="1" t="n">
        <v>45801</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71114-2021</t>
        </is>
      </c>
      <c r="B803" s="1" t="n">
        <v>44539</v>
      </c>
      <c r="C803" s="1" t="n">
        <v>45801</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72378-2021</t>
        </is>
      </c>
      <c r="B804" s="1" t="n">
        <v>44545</v>
      </c>
      <c r="C804" s="1" t="n">
        <v>45801</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72733-2021</t>
        </is>
      </c>
      <c r="B805" s="1" t="n">
        <v>44546</v>
      </c>
      <c r="C805" s="1" t="n">
        <v>45801</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73640-2021</t>
        </is>
      </c>
      <c r="B806" s="1" t="n">
        <v>44552</v>
      </c>
      <c r="C806" s="1" t="n">
        <v>45801</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73638-2021</t>
        </is>
      </c>
      <c r="B807" s="1" t="n">
        <v>44552</v>
      </c>
      <c r="C807" s="1" t="n">
        <v>45801</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166-2022</t>
        </is>
      </c>
      <c r="B808" s="1" t="n">
        <v>44564</v>
      </c>
      <c r="C808" s="1" t="n">
        <v>45801</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174-2022</t>
        </is>
      </c>
      <c r="B809" s="1" t="n">
        <v>44564</v>
      </c>
      <c r="C809" s="1" t="n">
        <v>45801</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170-2022</t>
        </is>
      </c>
      <c r="B810" s="1" t="n">
        <v>44564</v>
      </c>
      <c r="C810" s="1" t="n">
        <v>45801</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358-2022</t>
        </is>
      </c>
      <c r="B811" s="1" t="n">
        <v>44565</v>
      </c>
      <c r="C811" s="1" t="n">
        <v>45801</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320-2022</t>
        </is>
      </c>
      <c r="B812" s="1" t="n">
        <v>44565</v>
      </c>
      <c r="C812" s="1" t="n">
        <v>45801</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360-2022</t>
        </is>
      </c>
      <c r="B813" s="1" t="n">
        <v>44565</v>
      </c>
      <c r="C813" s="1" t="n">
        <v>45801</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959-2022</t>
        </is>
      </c>
      <c r="B814" s="1" t="n">
        <v>44571</v>
      </c>
      <c r="C814" s="1" t="n">
        <v>45801</v>
      </c>
      <c r="D814" t="inlineStr">
        <is>
          <t>KALMAR LÄN</t>
        </is>
      </c>
      <c r="E814" t="inlineStr">
        <is>
          <t>VÄSTERVIK</t>
        </is>
      </c>
      <c r="G814" t="n">
        <v>2.5</v>
      </c>
      <c r="H814" t="n">
        <v>0</v>
      </c>
      <c r="I814" t="n">
        <v>0</v>
      </c>
      <c r="J814" t="n">
        <v>0</v>
      </c>
      <c r="K814" t="n">
        <v>0</v>
      </c>
      <c r="L814" t="n">
        <v>0</v>
      </c>
      <c r="M814" t="n">
        <v>0</v>
      </c>
      <c r="N814" t="n">
        <v>0</v>
      </c>
      <c r="O814" t="n">
        <v>0</v>
      </c>
      <c r="P814" t="n">
        <v>0</v>
      </c>
      <c r="Q814" t="n">
        <v>0</v>
      </c>
      <c r="R814" s="2" t="inlineStr"/>
    </row>
    <row r="815" ht="15" customHeight="1">
      <c r="A815" t="inlineStr">
        <is>
          <t>A 1585-2022</t>
        </is>
      </c>
      <c r="B815" s="1" t="n">
        <v>44573</v>
      </c>
      <c r="C815" s="1" t="n">
        <v>45801</v>
      </c>
      <c r="D815" t="inlineStr">
        <is>
          <t>KALMAR LÄN</t>
        </is>
      </c>
      <c r="E815" t="inlineStr">
        <is>
          <t>VÄSTERVIK</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1843-2022</t>
        </is>
      </c>
      <c r="B816" s="1" t="n">
        <v>44574</v>
      </c>
      <c r="C816" s="1" t="n">
        <v>45801</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row>
    <row r="817" ht="15" customHeight="1">
      <c r="A817" t="inlineStr">
        <is>
          <t>A 3145-2022</t>
        </is>
      </c>
      <c r="B817" s="1" t="n">
        <v>44582</v>
      </c>
      <c r="C817" s="1" t="n">
        <v>45801</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3718-2022</t>
        </is>
      </c>
      <c r="B818" s="1" t="n">
        <v>44586</v>
      </c>
      <c r="C818" s="1" t="n">
        <v>45801</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4463-2022</t>
        </is>
      </c>
      <c r="B819" s="1" t="n">
        <v>44589</v>
      </c>
      <c r="C819" s="1" t="n">
        <v>45801</v>
      </c>
      <c r="D819" t="inlineStr">
        <is>
          <t>KALMAR LÄN</t>
        </is>
      </c>
      <c r="E819" t="inlineStr">
        <is>
          <t>VÄSTERVIK</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4490-2022</t>
        </is>
      </c>
      <c r="B820" s="1" t="n">
        <v>44589</v>
      </c>
      <c r="C820" s="1" t="n">
        <v>45801</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4812-2022</t>
        </is>
      </c>
      <c r="B821" s="1" t="n">
        <v>44592</v>
      </c>
      <c r="C821" s="1" t="n">
        <v>45801</v>
      </c>
      <c r="D821" t="inlineStr">
        <is>
          <t>KALMAR LÄN</t>
        </is>
      </c>
      <c r="E821" t="inlineStr">
        <is>
          <t>VÄSTERVIK</t>
        </is>
      </c>
      <c r="G821" t="n">
        <v>3.2</v>
      </c>
      <c r="H821" t="n">
        <v>0</v>
      </c>
      <c r="I821" t="n">
        <v>0</v>
      </c>
      <c r="J821" t="n">
        <v>0</v>
      </c>
      <c r="K821" t="n">
        <v>0</v>
      </c>
      <c r="L821" t="n">
        <v>0</v>
      </c>
      <c r="M821" t="n">
        <v>0</v>
      </c>
      <c r="N821" t="n">
        <v>0</v>
      </c>
      <c r="O821" t="n">
        <v>0</v>
      </c>
      <c r="P821" t="n">
        <v>0</v>
      </c>
      <c r="Q821" t="n">
        <v>0</v>
      </c>
      <c r="R821" s="2" t="inlineStr"/>
    </row>
    <row r="822" ht="15" customHeight="1">
      <c r="A822" t="inlineStr">
        <is>
          <t>A 5450-2022</t>
        </is>
      </c>
      <c r="B822" s="1" t="n">
        <v>44595</v>
      </c>
      <c r="C822" s="1" t="n">
        <v>45801</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5551-2022</t>
        </is>
      </c>
      <c r="B823" s="1" t="n">
        <v>44595</v>
      </c>
      <c r="C823" s="1" t="n">
        <v>45801</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5761-2022</t>
        </is>
      </c>
      <c r="B824" s="1" t="n">
        <v>44596</v>
      </c>
      <c r="C824" s="1" t="n">
        <v>45801</v>
      </c>
      <c r="D824" t="inlineStr">
        <is>
          <t>KALMAR LÄN</t>
        </is>
      </c>
      <c r="E824" t="inlineStr">
        <is>
          <t>VÄSTERVIK</t>
        </is>
      </c>
      <c r="G824" t="n">
        <v>4.5</v>
      </c>
      <c r="H824" t="n">
        <v>0</v>
      </c>
      <c r="I824" t="n">
        <v>0</v>
      </c>
      <c r="J824" t="n">
        <v>0</v>
      </c>
      <c r="K824" t="n">
        <v>0</v>
      </c>
      <c r="L824" t="n">
        <v>0</v>
      </c>
      <c r="M824" t="n">
        <v>0</v>
      </c>
      <c r="N824" t="n">
        <v>0</v>
      </c>
      <c r="O824" t="n">
        <v>0</v>
      </c>
      <c r="P824" t="n">
        <v>0</v>
      </c>
      <c r="Q824" t="n">
        <v>0</v>
      </c>
      <c r="R824" s="2" t="inlineStr"/>
    </row>
    <row r="825" ht="15" customHeight="1">
      <c r="A825" t="inlineStr">
        <is>
          <t>A 7580-2022</t>
        </is>
      </c>
      <c r="B825" s="1" t="n">
        <v>44607</v>
      </c>
      <c r="C825" s="1" t="n">
        <v>45801</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7826-2022</t>
        </is>
      </c>
      <c r="B826" s="1" t="n">
        <v>44608</v>
      </c>
      <c r="C826" s="1" t="n">
        <v>45801</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8355-2022</t>
        </is>
      </c>
      <c r="B827" s="1" t="n">
        <v>44610</v>
      </c>
      <c r="C827" s="1" t="n">
        <v>45801</v>
      </c>
      <c r="D827" t="inlineStr">
        <is>
          <t>KALMAR LÄN</t>
        </is>
      </c>
      <c r="E827" t="inlineStr">
        <is>
          <t>VÄSTERVIK</t>
        </is>
      </c>
      <c r="F827" t="inlineStr">
        <is>
          <t>Holmen skog AB</t>
        </is>
      </c>
      <c r="G827" t="n">
        <v>2.3</v>
      </c>
      <c r="H827" t="n">
        <v>0</v>
      </c>
      <c r="I827" t="n">
        <v>0</v>
      </c>
      <c r="J827" t="n">
        <v>0</v>
      </c>
      <c r="K827" t="n">
        <v>0</v>
      </c>
      <c r="L827" t="n">
        <v>0</v>
      </c>
      <c r="M827" t="n">
        <v>0</v>
      </c>
      <c r="N827" t="n">
        <v>0</v>
      </c>
      <c r="O827" t="n">
        <v>0</v>
      </c>
      <c r="P827" t="n">
        <v>0</v>
      </c>
      <c r="Q827" t="n">
        <v>0</v>
      </c>
      <c r="R827" s="2" t="inlineStr"/>
    </row>
    <row r="828" ht="15" customHeight="1">
      <c r="A828" t="inlineStr">
        <is>
          <t>A 9025-2022</t>
        </is>
      </c>
      <c r="B828" s="1" t="n">
        <v>44615</v>
      </c>
      <c r="C828" s="1" t="n">
        <v>45801</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9605-2022</t>
        </is>
      </c>
      <c r="B829" s="1" t="n">
        <v>44617</v>
      </c>
      <c r="C829" s="1" t="n">
        <v>45801</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c r="U829">
        <f>HYPERLINK("https://klasma.github.io/Logging_0883/knärot/A 9605-2022 karta knärot.png", "A 9605-2022")</f>
        <v/>
      </c>
      <c r="V829">
        <f>HYPERLINK("https://klasma.github.io/Logging_0883/klagomål/A 9605-2022 FSC-klagomål.docx", "A 9605-2022")</f>
        <v/>
      </c>
      <c r="W829">
        <f>HYPERLINK("https://klasma.github.io/Logging_0883/klagomålsmail/A 9605-2022 FSC-klagomål mail.docx", "A 9605-2022")</f>
        <v/>
      </c>
      <c r="X829">
        <f>HYPERLINK("https://klasma.github.io/Logging_0883/tillsyn/A 9605-2022 tillsynsbegäran.docx", "A 9605-2022")</f>
        <v/>
      </c>
      <c r="Y829">
        <f>HYPERLINK("https://klasma.github.io/Logging_0883/tillsynsmail/A 9605-2022 tillsynsbegäran mail.docx", "A 9605-2022")</f>
        <v/>
      </c>
    </row>
    <row r="830" ht="15" customHeight="1">
      <c r="A830" t="inlineStr">
        <is>
          <t>A 10071-2022</t>
        </is>
      </c>
      <c r="B830" s="1" t="n">
        <v>44621</v>
      </c>
      <c r="C830" s="1" t="n">
        <v>45801</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10119-2022</t>
        </is>
      </c>
      <c r="B831" s="1" t="n">
        <v>44621</v>
      </c>
      <c r="C831" s="1" t="n">
        <v>45801</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10117-2022</t>
        </is>
      </c>
      <c r="B832" s="1" t="n">
        <v>44621</v>
      </c>
      <c r="C832" s="1" t="n">
        <v>45801</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10116-2022</t>
        </is>
      </c>
      <c r="B833" s="1" t="n">
        <v>44621</v>
      </c>
      <c r="C833" s="1" t="n">
        <v>45801</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10406-2022</t>
        </is>
      </c>
      <c r="B834" s="1" t="n">
        <v>44623</v>
      </c>
      <c r="C834" s="1" t="n">
        <v>45801</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10441-2022</t>
        </is>
      </c>
      <c r="B835" s="1" t="n">
        <v>44623</v>
      </c>
      <c r="C835" s="1" t="n">
        <v>45801</v>
      </c>
      <c r="D835" t="inlineStr">
        <is>
          <t>KALMAR LÄN</t>
        </is>
      </c>
      <c r="E835" t="inlineStr">
        <is>
          <t>VÄSTERVIK</t>
        </is>
      </c>
      <c r="F835" t="inlineStr">
        <is>
          <t>Holmen skog AB</t>
        </is>
      </c>
      <c r="G835" t="n">
        <v>1.4</v>
      </c>
      <c r="H835" t="n">
        <v>0</v>
      </c>
      <c r="I835" t="n">
        <v>0</v>
      </c>
      <c r="J835" t="n">
        <v>0</v>
      </c>
      <c r="K835" t="n">
        <v>0</v>
      </c>
      <c r="L835" t="n">
        <v>0</v>
      </c>
      <c r="M835" t="n">
        <v>0</v>
      </c>
      <c r="N835" t="n">
        <v>0</v>
      </c>
      <c r="O835" t="n">
        <v>0</v>
      </c>
      <c r="P835" t="n">
        <v>0</v>
      </c>
      <c r="Q835" t="n">
        <v>0</v>
      </c>
      <c r="R835" s="2" t="inlineStr"/>
    </row>
    <row r="836" ht="15" customHeight="1">
      <c r="A836" t="inlineStr">
        <is>
          <t>A 10452-2022</t>
        </is>
      </c>
      <c r="B836" s="1" t="n">
        <v>44623</v>
      </c>
      <c r="C836" s="1" t="n">
        <v>45801</v>
      </c>
      <c r="D836" t="inlineStr">
        <is>
          <t>KALMAR LÄN</t>
        </is>
      </c>
      <c r="E836" t="inlineStr">
        <is>
          <t>VÄSTERVIK</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11988-2022</t>
        </is>
      </c>
      <c r="B837" s="1" t="n">
        <v>44635</v>
      </c>
      <c r="C837" s="1" t="n">
        <v>45801</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12652-2022</t>
        </is>
      </c>
      <c r="B838" s="1" t="n">
        <v>44641</v>
      </c>
      <c r="C838" s="1" t="n">
        <v>45801</v>
      </c>
      <c r="D838" t="inlineStr">
        <is>
          <t>KALMAR LÄN</t>
        </is>
      </c>
      <c r="E838" t="inlineStr">
        <is>
          <t>VÄSTERVIK</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13023-2022</t>
        </is>
      </c>
      <c r="B839" s="1" t="n">
        <v>44643</v>
      </c>
      <c r="C839" s="1" t="n">
        <v>45801</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13375-2022</t>
        </is>
      </c>
      <c r="B840" s="1" t="n">
        <v>44645</v>
      </c>
      <c r="C840" s="1" t="n">
        <v>45801</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13491-2022</t>
        </is>
      </c>
      <c r="B841" s="1" t="n">
        <v>44646</v>
      </c>
      <c r="C841" s="1" t="n">
        <v>45801</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13489-2022</t>
        </is>
      </c>
      <c r="B842" s="1" t="n">
        <v>44646</v>
      </c>
      <c r="C842" s="1" t="n">
        <v>45801</v>
      </c>
      <c r="D842" t="inlineStr">
        <is>
          <t>KALMAR LÄN</t>
        </is>
      </c>
      <c r="E842" t="inlineStr">
        <is>
          <t>VÄSTERVIK</t>
        </is>
      </c>
      <c r="G842" t="n">
        <v>2.5</v>
      </c>
      <c r="H842" t="n">
        <v>0</v>
      </c>
      <c r="I842" t="n">
        <v>0</v>
      </c>
      <c r="J842" t="n">
        <v>0</v>
      </c>
      <c r="K842" t="n">
        <v>0</v>
      </c>
      <c r="L842" t="n">
        <v>0</v>
      </c>
      <c r="M842" t="n">
        <v>0</v>
      </c>
      <c r="N842" t="n">
        <v>0</v>
      </c>
      <c r="O842" t="n">
        <v>0</v>
      </c>
      <c r="P842" t="n">
        <v>0</v>
      </c>
      <c r="Q842" t="n">
        <v>0</v>
      </c>
      <c r="R842" s="2" t="inlineStr"/>
    </row>
    <row r="843" ht="15" customHeight="1">
      <c r="A843" t="inlineStr">
        <is>
          <t>A 13490-2022</t>
        </is>
      </c>
      <c r="B843" s="1" t="n">
        <v>44646</v>
      </c>
      <c r="C843" s="1" t="n">
        <v>45801</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13765-2022</t>
        </is>
      </c>
      <c r="B844" s="1" t="n">
        <v>44649</v>
      </c>
      <c r="C844" s="1" t="n">
        <v>45801</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14038-2022</t>
        </is>
      </c>
      <c r="B845" s="1" t="n">
        <v>44650</v>
      </c>
      <c r="C845" s="1" t="n">
        <v>45801</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14212-2022</t>
        </is>
      </c>
      <c r="B846" s="1" t="n">
        <v>44651</v>
      </c>
      <c r="C846" s="1" t="n">
        <v>45801</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14529-2022</t>
        </is>
      </c>
      <c r="B847" s="1" t="n">
        <v>44655</v>
      </c>
      <c r="C847" s="1" t="n">
        <v>45801</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15379-2022</t>
        </is>
      </c>
      <c r="B848" s="1" t="n">
        <v>44659</v>
      </c>
      <c r="C848" s="1" t="n">
        <v>45801</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16207-2022</t>
        </is>
      </c>
      <c r="B849" s="1" t="n">
        <v>44669</v>
      </c>
      <c r="C849" s="1" t="n">
        <v>45801</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16587-2022</t>
        </is>
      </c>
      <c r="B850" s="1" t="n">
        <v>44672</v>
      </c>
      <c r="C850" s="1" t="n">
        <v>45801</v>
      </c>
      <c r="D850" t="inlineStr">
        <is>
          <t>KALMAR LÄN</t>
        </is>
      </c>
      <c r="E850" t="inlineStr">
        <is>
          <t>VÄSTERVIK</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16586-2022</t>
        </is>
      </c>
      <c r="B851" s="1" t="n">
        <v>44672</v>
      </c>
      <c r="C851" s="1" t="n">
        <v>45801</v>
      </c>
      <c r="D851" t="inlineStr">
        <is>
          <t>KALMAR LÄN</t>
        </is>
      </c>
      <c r="E851" t="inlineStr">
        <is>
          <t>VÄSTERVIK</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16765-2022</t>
        </is>
      </c>
      <c r="B852" s="1" t="n">
        <v>44673</v>
      </c>
      <c r="C852" s="1" t="n">
        <v>45801</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17953-2022</t>
        </is>
      </c>
      <c r="B853" s="1" t="n">
        <v>44683</v>
      </c>
      <c r="C853" s="1" t="n">
        <v>45801</v>
      </c>
      <c r="D853" t="inlineStr">
        <is>
          <t>KALMAR LÄN</t>
        </is>
      </c>
      <c r="E853" t="inlineStr">
        <is>
          <t>VÄSTERVIK</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17954-2022</t>
        </is>
      </c>
      <c r="B854" s="1" t="n">
        <v>44683</v>
      </c>
      <c r="C854" s="1" t="n">
        <v>45801</v>
      </c>
      <c r="D854" t="inlineStr">
        <is>
          <t>KALMAR LÄN</t>
        </is>
      </c>
      <c r="E854" t="inlineStr">
        <is>
          <t>VÄSTERVIK</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19648-2022</t>
        </is>
      </c>
      <c r="B855" s="1" t="n">
        <v>44694</v>
      </c>
      <c r="C855" s="1" t="n">
        <v>45801</v>
      </c>
      <c r="D855" t="inlineStr">
        <is>
          <t>KALMAR LÄN</t>
        </is>
      </c>
      <c r="E855" t="inlineStr">
        <is>
          <t>VÄSTERVIK</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19656-2022</t>
        </is>
      </c>
      <c r="B856" s="1" t="n">
        <v>44694</v>
      </c>
      <c r="C856" s="1" t="n">
        <v>45801</v>
      </c>
      <c r="D856" t="inlineStr">
        <is>
          <t>KALMAR LÄN</t>
        </is>
      </c>
      <c r="E856" t="inlineStr">
        <is>
          <t>VÄSTERVIK</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19653-2022</t>
        </is>
      </c>
      <c r="B857" s="1" t="n">
        <v>44694</v>
      </c>
      <c r="C857" s="1" t="n">
        <v>45801</v>
      </c>
      <c r="D857" t="inlineStr">
        <is>
          <t>KALMAR LÄN</t>
        </is>
      </c>
      <c r="E857" t="inlineStr">
        <is>
          <t>VÄSTERVIK</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23167-2022</t>
        </is>
      </c>
      <c r="B858" s="1" t="n">
        <v>44719</v>
      </c>
      <c r="C858" s="1" t="n">
        <v>45801</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23411-2022</t>
        </is>
      </c>
      <c r="B859" s="1" t="n">
        <v>44720</v>
      </c>
      <c r="C859" s="1" t="n">
        <v>45801</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23589-2022</t>
        </is>
      </c>
      <c r="B860" s="1" t="n">
        <v>44721</v>
      </c>
      <c r="C860" s="1" t="n">
        <v>45801</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23743-2022</t>
        </is>
      </c>
      <c r="B861" s="1" t="n">
        <v>44722</v>
      </c>
      <c r="C861" s="1" t="n">
        <v>45801</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24040-2022</t>
        </is>
      </c>
      <c r="B862" s="1" t="n">
        <v>44724</v>
      </c>
      <c r="C862" s="1" t="n">
        <v>45801</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24830-2022</t>
        </is>
      </c>
      <c r="B863" s="1" t="n">
        <v>44728</v>
      </c>
      <c r="C863" s="1" t="n">
        <v>45801</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24829-2022</t>
        </is>
      </c>
      <c r="B864" s="1" t="n">
        <v>44728</v>
      </c>
      <c r="C864" s="1" t="n">
        <v>45801</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26059-2022</t>
        </is>
      </c>
      <c r="B865" s="1" t="n">
        <v>44734</v>
      </c>
      <c r="C865" s="1" t="n">
        <v>45801</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27552-2022</t>
        </is>
      </c>
      <c r="B866" s="1" t="n">
        <v>44742</v>
      </c>
      <c r="C866" s="1" t="n">
        <v>45801</v>
      </c>
      <c r="D866" t="inlineStr">
        <is>
          <t>KALMAR LÄN</t>
        </is>
      </c>
      <c r="E866" t="inlineStr">
        <is>
          <t>VÄSTERVIK</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28426-2022</t>
        </is>
      </c>
      <c r="B867" s="1" t="n">
        <v>44747</v>
      </c>
      <c r="C867" s="1" t="n">
        <v>45801</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28588-2022</t>
        </is>
      </c>
      <c r="B868" s="1" t="n">
        <v>44748</v>
      </c>
      <c r="C868" s="1" t="n">
        <v>45801</v>
      </c>
      <c r="D868" t="inlineStr">
        <is>
          <t>KALMAR LÄN</t>
        </is>
      </c>
      <c r="E868" t="inlineStr">
        <is>
          <t>VÄSTERVIK</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28679-2022</t>
        </is>
      </c>
      <c r="B869" s="1" t="n">
        <v>44748</v>
      </c>
      <c r="C869" s="1" t="n">
        <v>45801</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28798-2022</t>
        </is>
      </c>
      <c r="B870" s="1" t="n">
        <v>44749</v>
      </c>
      <c r="C870" s="1" t="n">
        <v>45801</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29816-2022</t>
        </is>
      </c>
      <c r="B871" s="1" t="n">
        <v>44755</v>
      </c>
      <c r="C871" s="1" t="n">
        <v>45801</v>
      </c>
      <c r="D871" t="inlineStr">
        <is>
          <t>KALMAR LÄN</t>
        </is>
      </c>
      <c r="E871" t="inlineStr">
        <is>
          <t>VÄSTERVIK</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29909-2022</t>
        </is>
      </c>
      <c r="B872" s="1" t="n">
        <v>44756</v>
      </c>
      <c r="C872" s="1" t="n">
        <v>45801</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29952-2022</t>
        </is>
      </c>
      <c r="B873" s="1" t="n">
        <v>44756</v>
      </c>
      <c r="C873" s="1" t="n">
        <v>45801</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30186-2022</t>
        </is>
      </c>
      <c r="B874" s="1" t="n">
        <v>44757</v>
      </c>
      <c r="C874" s="1" t="n">
        <v>45801</v>
      </c>
      <c r="D874" t="inlineStr">
        <is>
          <t>KALMAR LÄN</t>
        </is>
      </c>
      <c r="E874" t="inlineStr">
        <is>
          <t>VÄSTERVIK</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31825-2022</t>
        </is>
      </c>
      <c r="B875" s="1" t="n">
        <v>44776</v>
      </c>
      <c r="C875" s="1" t="n">
        <v>45801</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32104-2022</t>
        </is>
      </c>
      <c r="B876" s="1" t="n">
        <v>44778</v>
      </c>
      <c r="C876" s="1" t="n">
        <v>45801</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32702-2022</t>
        </is>
      </c>
      <c r="B877" s="1" t="n">
        <v>44783</v>
      </c>
      <c r="C877" s="1" t="n">
        <v>45801</v>
      </c>
      <c r="D877" t="inlineStr">
        <is>
          <t>KALMAR LÄN</t>
        </is>
      </c>
      <c r="E877" t="inlineStr">
        <is>
          <t>VÄSTERVIK</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32763-2022</t>
        </is>
      </c>
      <c r="B878" s="1" t="n">
        <v>44783</v>
      </c>
      <c r="C878" s="1" t="n">
        <v>45801</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32764-2022</t>
        </is>
      </c>
      <c r="B879" s="1" t="n">
        <v>44783</v>
      </c>
      <c r="C879" s="1" t="n">
        <v>45801</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32934-2022</t>
        </is>
      </c>
      <c r="B880" s="1" t="n">
        <v>44784</v>
      </c>
      <c r="C880" s="1" t="n">
        <v>45801</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33206-2022</t>
        </is>
      </c>
      <c r="B881" s="1" t="n">
        <v>44785</v>
      </c>
      <c r="C881" s="1" t="n">
        <v>45801</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33204-2022</t>
        </is>
      </c>
      <c r="B882" s="1" t="n">
        <v>44785</v>
      </c>
      <c r="C882" s="1" t="n">
        <v>45801</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33208-2022</t>
        </is>
      </c>
      <c r="B883" s="1" t="n">
        <v>44785</v>
      </c>
      <c r="C883" s="1" t="n">
        <v>45801</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33210-2022</t>
        </is>
      </c>
      <c r="B884" s="1" t="n">
        <v>44785</v>
      </c>
      <c r="C884" s="1" t="n">
        <v>45801</v>
      </c>
      <c r="D884" t="inlineStr">
        <is>
          <t>KALMAR LÄN</t>
        </is>
      </c>
      <c r="E884" t="inlineStr">
        <is>
          <t>VÄSTERVIK</t>
        </is>
      </c>
      <c r="G884" t="n">
        <v>3.2</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v>
      </c>
      <c r="C885" s="1" t="n">
        <v>45801</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33211-2022</t>
        </is>
      </c>
      <c r="B886" s="1" t="n">
        <v>44785</v>
      </c>
      <c r="C886" s="1" t="n">
        <v>45801</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34241-2022</t>
        </is>
      </c>
      <c r="B887" s="1" t="n">
        <v>44791</v>
      </c>
      <c r="C887" s="1" t="n">
        <v>45801</v>
      </c>
      <c r="D887" t="inlineStr">
        <is>
          <t>KALMAR LÄN</t>
        </is>
      </c>
      <c r="E887" t="inlineStr">
        <is>
          <t>VÄSTERVIK</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34644-2022</t>
        </is>
      </c>
      <c r="B888" s="1" t="n">
        <v>44795</v>
      </c>
      <c r="C888" s="1" t="n">
        <v>45801</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34675-2022</t>
        </is>
      </c>
      <c r="B889" s="1" t="n">
        <v>44795</v>
      </c>
      <c r="C889" s="1" t="n">
        <v>45801</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34672-2022</t>
        </is>
      </c>
      <c r="B890" s="1" t="n">
        <v>44795</v>
      </c>
      <c r="C890" s="1" t="n">
        <v>45801</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34836-2022</t>
        </is>
      </c>
      <c r="B891" s="1" t="n">
        <v>44796</v>
      </c>
      <c r="C891" s="1" t="n">
        <v>45801</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35417-2022</t>
        </is>
      </c>
      <c r="B892" s="1" t="n">
        <v>44798</v>
      </c>
      <c r="C892" s="1" t="n">
        <v>45801</v>
      </c>
      <c r="D892" t="inlineStr">
        <is>
          <t>KALMAR LÄN</t>
        </is>
      </c>
      <c r="E892" t="inlineStr">
        <is>
          <t>VÄSTERVIK</t>
        </is>
      </c>
      <c r="G892" t="n">
        <v>5.2</v>
      </c>
      <c r="H892" t="n">
        <v>0</v>
      </c>
      <c r="I892" t="n">
        <v>0</v>
      </c>
      <c r="J892" t="n">
        <v>0</v>
      </c>
      <c r="K892" t="n">
        <v>0</v>
      </c>
      <c r="L892" t="n">
        <v>0</v>
      </c>
      <c r="M892" t="n">
        <v>0</v>
      </c>
      <c r="N892" t="n">
        <v>0</v>
      </c>
      <c r="O892" t="n">
        <v>0</v>
      </c>
      <c r="P892" t="n">
        <v>0</v>
      </c>
      <c r="Q892" t="n">
        <v>0</v>
      </c>
      <c r="R892" s="2" t="inlineStr"/>
    </row>
    <row r="893" ht="15" customHeight="1">
      <c r="A893" t="inlineStr">
        <is>
          <t>A 37936-2022</t>
        </is>
      </c>
      <c r="B893" s="1" t="n">
        <v>44811</v>
      </c>
      <c r="C893" s="1" t="n">
        <v>45801</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38069-2022</t>
        </is>
      </c>
      <c r="B894" s="1" t="n">
        <v>44811</v>
      </c>
      <c r="C894" s="1" t="n">
        <v>45801</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38399-2022</t>
        </is>
      </c>
      <c r="B895" s="1" t="n">
        <v>44812</v>
      </c>
      <c r="C895" s="1" t="n">
        <v>45801</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45801</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40050-2022</t>
        </is>
      </c>
      <c r="B897" s="1" t="n">
        <v>44820</v>
      </c>
      <c r="C897" s="1" t="n">
        <v>45801</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40925-2022</t>
        </is>
      </c>
      <c r="B898" s="1" t="n">
        <v>44825</v>
      </c>
      <c r="C898" s="1" t="n">
        <v>45801</v>
      </c>
      <c r="D898" t="inlineStr">
        <is>
          <t>KALMAR LÄN</t>
        </is>
      </c>
      <c r="E898" t="inlineStr">
        <is>
          <t>VÄSTERVIK</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40920-2022</t>
        </is>
      </c>
      <c r="B899" s="1" t="n">
        <v>44825</v>
      </c>
      <c r="C899" s="1" t="n">
        <v>45801</v>
      </c>
      <c r="D899" t="inlineStr">
        <is>
          <t>KALMAR LÄN</t>
        </is>
      </c>
      <c r="E899" t="inlineStr">
        <is>
          <t>VÄSTERVIK</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42122-2022</t>
        </is>
      </c>
      <c r="B900" s="1" t="n">
        <v>44830</v>
      </c>
      <c r="C900" s="1" t="n">
        <v>45801</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42130-2022</t>
        </is>
      </c>
      <c r="B901" s="1" t="n">
        <v>44830</v>
      </c>
      <c r="C901" s="1" t="n">
        <v>45801</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42119-2022</t>
        </is>
      </c>
      <c r="B902" s="1" t="n">
        <v>44830</v>
      </c>
      <c r="C902" s="1" t="n">
        <v>45801</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43965-2022</t>
        </is>
      </c>
      <c r="B903" s="1" t="n">
        <v>44838</v>
      </c>
      <c r="C903" s="1" t="n">
        <v>45801</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45721-2022</t>
        </is>
      </c>
      <c r="B904" s="1" t="n">
        <v>44845</v>
      </c>
      <c r="C904" s="1" t="n">
        <v>45801</v>
      </c>
      <c r="D904" t="inlineStr">
        <is>
          <t>KALMAR LÄN</t>
        </is>
      </c>
      <c r="E904" t="inlineStr">
        <is>
          <t>VÄSTERVIK</t>
        </is>
      </c>
      <c r="F904" t="inlineStr">
        <is>
          <t>Holmen skog AB</t>
        </is>
      </c>
      <c r="G904" t="n">
        <v>3.3</v>
      </c>
      <c r="H904" t="n">
        <v>0</v>
      </c>
      <c r="I904" t="n">
        <v>0</v>
      </c>
      <c r="J904" t="n">
        <v>0</v>
      </c>
      <c r="K904" t="n">
        <v>0</v>
      </c>
      <c r="L904" t="n">
        <v>0</v>
      </c>
      <c r="M904" t="n">
        <v>0</v>
      </c>
      <c r="N904" t="n">
        <v>0</v>
      </c>
      <c r="O904" t="n">
        <v>0</v>
      </c>
      <c r="P904" t="n">
        <v>0</v>
      </c>
      <c r="Q904" t="n">
        <v>0</v>
      </c>
      <c r="R904" s="2" t="inlineStr"/>
      <c r="U904">
        <f>HYPERLINK("https://klasma.github.io/Logging_0883/knärot/A 45721-2022 karta knärot.png", "A 45721-2022")</f>
        <v/>
      </c>
      <c r="V904">
        <f>HYPERLINK("https://klasma.github.io/Logging_0883/klagomål/A 45721-2022 FSC-klagomål.docx", "A 45721-2022")</f>
        <v/>
      </c>
      <c r="W904">
        <f>HYPERLINK("https://klasma.github.io/Logging_0883/klagomålsmail/A 45721-2022 FSC-klagomål mail.docx", "A 45721-2022")</f>
        <v/>
      </c>
      <c r="X904">
        <f>HYPERLINK("https://klasma.github.io/Logging_0883/tillsyn/A 45721-2022 tillsynsbegäran.docx", "A 45721-2022")</f>
        <v/>
      </c>
      <c r="Y904">
        <f>HYPERLINK("https://klasma.github.io/Logging_0883/tillsynsmail/A 45721-2022 tillsynsbegäran mail.docx", "A 45721-2022")</f>
        <v/>
      </c>
    </row>
    <row r="905" ht="15" customHeight="1">
      <c r="A905" t="inlineStr">
        <is>
          <t>A 45806-2022</t>
        </is>
      </c>
      <c r="B905" s="1" t="n">
        <v>44846</v>
      </c>
      <c r="C905" s="1" t="n">
        <v>45801</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46018-2022</t>
        </is>
      </c>
      <c r="B906" s="1" t="n">
        <v>44846</v>
      </c>
      <c r="C906" s="1" t="n">
        <v>45801</v>
      </c>
      <c r="D906" t="inlineStr">
        <is>
          <t>KALMAR LÄN</t>
        </is>
      </c>
      <c r="E906" t="inlineStr">
        <is>
          <t>VÄSTERVIK</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46267-2022</t>
        </is>
      </c>
      <c r="B907" s="1" t="n">
        <v>44847</v>
      </c>
      <c r="C907" s="1" t="n">
        <v>45801</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46135-2022</t>
        </is>
      </c>
      <c r="B908" s="1" t="n">
        <v>44847</v>
      </c>
      <c r="C908" s="1" t="n">
        <v>45801</v>
      </c>
      <c r="D908" t="inlineStr">
        <is>
          <t>KALMAR LÄN</t>
        </is>
      </c>
      <c r="E908" t="inlineStr">
        <is>
          <t>VÄSTERVIK</t>
        </is>
      </c>
      <c r="F908" t="inlineStr">
        <is>
          <t>Sveaskog</t>
        </is>
      </c>
      <c r="G908" t="n">
        <v>4.1</v>
      </c>
      <c r="H908" t="n">
        <v>0</v>
      </c>
      <c r="I908" t="n">
        <v>0</v>
      </c>
      <c r="J908" t="n">
        <v>0</v>
      </c>
      <c r="K908" t="n">
        <v>0</v>
      </c>
      <c r="L908" t="n">
        <v>0</v>
      </c>
      <c r="M908" t="n">
        <v>0</v>
      </c>
      <c r="N908" t="n">
        <v>0</v>
      </c>
      <c r="O908" t="n">
        <v>0</v>
      </c>
      <c r="P908" t="n">
        <v>0</v>
      </c>
      <c r="Q908" t="n">
        <v>0</v>
      </c>
      <c r="R908" s="2" t="inlineStr"/>
    </row>
    <row r="909" ht="15" customHeight="1">
      <c r="A909" t="inlineStr">
        <is>
          <t>A 46354-2022</t>
        </is>
      </c>
      <c r="B909" s="1" t="n">
        <v>44848</v>
      </c>
      <c r="C909" s="1" t="n">
        <v>45801</v>
      </c>
      <c r="D909" t="inlineStr">
        <is>
          <t>KALMAR LÄN</t>
        </is>
      </c>
      <c r="E909" t="inlineStr">
        <is>
          <t>VÄSTERVIK</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46527-2022</t>
        </is>
      </c>
      <c r="B910" s="1" t="n">
        <v>44848</v>
      </c>
      <c r="C910" s="1" t="n">
        <v>45801</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46560-2022</t>
        </is>
      </c>
      <c r="B911" s="1" t="n">
        <v>44848</v>
      </c>
      <c r="C911" s="1" t="n">
        <v>45801</v>
      </c>
      <c r="D911" t="inlineStr">
        <is>
          <t>KALMAR LÄN</t>
        </is>
      </c>
      <c r="E911" t="inlineStr">
        <is>
          <t>VÄSTERVIK</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46561-2022</t>
        </is>
      </c>
      <c r="B912" s="1" t="n">
        <v>44848</v>
      </c>
      <c r="C912" s="1" t="n">
        <v>45801</v>
      </c>
      <c r="D912" t="inlineStr">
        <is>
          <t>KALMAR LÄN</t>
        </is>
      </c>
      <c r="E912" t="inlineStr">
        <is>
          <t>VÄSTERVIK</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46596-2022</t>
        </is>
      </c>
      <c r="B913" s="1" t="n">
        <v>44848</v>
      </c>
      <c r="C913" s="1" t="n">
        <v>45801</v>
      </c>
      <c r="D913" t="inlineStr">
        <is>
          <t>KALMAR LÄN</t>
        </is>
      </c>
      <c r="E913" t="inlineStr">
        <is>
          <t>VÄSTERVIK</t>
        </is>
      </c>
      <c r="G913" t="n">
        <v>3.9</v>
      </c>
      <c r="H913" t="n">
        <v>0</v>
      </c>
      <c r="I913" t="n">
        <v>0</v>
      </c>
      <c r="J913" t="n">
        <v>0</v>
      </c>
      <c r="K913" t="n">
        <v>0</v>
      </c>
      <c r="L913" t="n">
        <v>0</v>
      </c>
      <c r="M913" t="n">
        <v>0</v>
      </c>
      <c r="N913" t="n">
        <v>0</v>
      </c>
      <c r="O913" t="n">
        <v>0</v>
      </c>
      <c r="P913" t="n">
        <v>0</v>
      </c>
      <c r="Q913" t="n">
        <v>0</v>
      </c>
      <c r="R913" s="2" t="inlineStr"/>
    </row>
    <row r="914" ht="15" customHeight="1">
      <c r="A914" t="inlineStr">
        <is>
          <t>A 46562-2022</t>
        </is>
      </c>
      <c r="B914" s="1" t="n">
        <v>44848</v>
      </c>
      <c r="C914" s="1" t="n">
        <v>45801</v>
      </c>
      <c r="D914" t="inlineStr">
        <is>
          <t>KALMAR LÄN</t>
        </is>
      </c>
      <c r="E914" t="inlineStr">
        <is>
          <t>VÄSTERVIK</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46781-2022</t>
        </is>
      </c>
      <c r="B915" s="1" t="n">
        <v>44851</v>
      </c>
      <c r="C915" s="1" t="n">
        <v>45801</v>
      </c>
      <c r="D915" t="inlineStr">
        <is>
          <t>KALMAR LÄN</t>
        </is>
      </c>
      <c r="E915" t="inlineStr">
        <is>
          <t>VÄSTERVIK</t>
        </is>
      </c>
      <c r="G915" t="n">
        <v>13.2</v>
      </c>
      <c r="H915" t="n">
        <v>0</v>
      </c>
      <c r="I915" t="n">
        <v>0</v>
      </c>
      <c r="J915" t="n">
        <v>0</v>
      </c>
      <c r="K915" t="n">
        <v>0</v>
      </c>
      <c r="L915" t="n">
        <v>0</v>
      </c>
      <c r="M915" t="n">
        <v>0</v>
      </c>
      <c r="N915" t="n">
        <v>0</v>
      </c>
      <c r="O915" t="n">
        <v>0</v>
      </c>
      <c r="P915" t="n">
        <v>0</v>
      </c>
      <c r="Q915" t="n">
        <v>0</v>
      </c>
      <c r="R915" s="2" t="inlineStr"/>
    </row>
    <row r="916" ht="15" customHeight="1">
      <c r="A916" t="inlineStr">
        <is>
          <t>A 46783-2022</t>
        </is>
      </c>
      <c r="B916" s="1" t="n">
        <v>44851</v>
      </c>
      <c r="C916" s="1" t="n">
        <v>45801</v>
      </c>
      <c r="D916" t="inlineStr">
        <is>
          <t>KALMAR LÄN</t>
        </is>
      </c>
      <c r="E916" t="inlineStr">
        <is>
          <t>VÄSTERVIK</t>
        </is>
      </c>
      <c r="G916" t="n">
        <v>2</v>
      </c>
      <c r="H916" t="n">
        <v>0</v>
      </c>
      <c r="I916" t="n">
        <v>0</v>
      </c>
      <c r="J916" t="n">
        <v>0</v>
      </c>
      <c r="K916" t="n">
        <v>0</v>
      </c>
      <c r="L916" t="n">
        <v>0</v>
      </c>
      <c r="M916" t="n">
        <v>0</v>
      </c>
      <c r="N916" t="n">
        <v>0</v>
      </c>
      <c r="O916" t="n">
        <v>0</v>
      </c>
      <c r="P916" t="n">
        <v>0</v>
      </c>
      <c r="Q916" t="n">
        <v>0</v>
      </c>
      <c r="R916" s="2" t="inlineStr"/>
    </row>
    <row r="917" ht="15" customHeight="1">
      <c r="A917" t="inlineStr">
        <is>
          <t>A 46790-2022</t>
        </is>
      </c>
      <c r="B917" s="1" t="n">
        <v>44851</v>
      </c>
      <c r="C917" s="1" t="n">
        <v>45801</v>
      </c>
      <c r="D917" t="inlineStr">
        <is>
          <t>KALMAR LÄN</t>
        </is>
      </c>
      <c r="E917" t="inlineStr">
        <is>
          <t>VÄSTERVIK</t>
        </is>
      </c>
      <c r="G917" t="n">
        <v>9.9</v>
      </c>
      <c r="H917" t="n">
        <v>0</v>
      </c>
      <c r="I917" t="n">
        <v>0</v>
      </c>
      <c r="J917" t="n">
        <v>0</v>
      </c>
      <c r="K917" t="n">
        <v>0</v>
      </c>
      <c r="L917" t="n">
        <v>0</v>
      </c>
      <c r="M917" t="n">
        <v>0</v>
      </c>
      <c r="N917" t="n">
        <v>0</v>
      </c>
      <c r="O917" t="n">
        <v>0</v>
      </c>
      <c r="P917" t="n">
        <v>0</v>
      </c>
      <c r="Q917" t="n">
        <v>0</v>
      </c>
      <c r="R917" s="2" t="inlineStr"/>
    </row>
    <row r="918" ht="15" customHeight="1">
      <c r="A918" t="inlineStr">
        <is>
          <t>A 47323-2022</t>
        </is>
      </c>
      <c r="B918" s="1" t="n">
        <v>44853</v>
      </c>
      <c r="C918" s="1" t="n">
        <v>45801</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47325-2022</t>
        </is>
      </c>
      <c r="B919" s="1" t="n">
        <v>44853</v>
      </c>
      <c r="C919" s="1" t="n">
        <v>45801</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47705-2022</t>
        </is>
      </c>
      <c r="B920" s="1" t="n">
        <v>44854</v>
      </c>
      <c r="C920" s="1" t="n">
        <v>45801</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49276-2022</t>
        </is>
      </c>
      <c r="B921" s="1" t="n">
        <v>44858</v>
      </c>
      <c r="C921" s="1" t="n">
        <v>45801</v>
      </c>
      <c r="D921" t="inlineStr">
        <is>
          <t>KALMAR LÄN</t>
        </is>
      </c>
      <c r="E921" t="inlineStr">
        <is>
          <t>VÄSTERVIK</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48553-2022</t>
        </is>
      </c>
      <c r="B922" s="1" t="n">
        <v>44859</v>
      </c>
      <c r="C922" s="1" t="n">
        <v>45801</v>
      </c>
      <c r="D922" t="inlineStr">
        <is>
          <t>KALMAR LÄN</t>
        </is>
      </c>
      <c r="E922" t="inlineStr">
        <is>
          <t>VÄSTERVIK</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48888-2022</t>
        </is>
      </c>
      <c r="B923" s="1" t="n">
        <v>44859</v>
      </c>
      <c r="C923" s="1" t="n">
        <v>45801</v>
      </c>
      <c r="D923" t="inlineStr">
        <is>
          <t>KALMAR LÄN</t>
        </is>
      </c>
      <c r="E923" t="inlineStr">
        <is>
          <t>VÄSTERVIK</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49205-2022</t>
        </is>
      </c>
      <c r="B924" s="1" t="n">
        <v>44860</v>
      </c>
      <c r="C924" s="1" t="n">
        <v>45801</v>
      </c>
      <c r="D924" t="inlineStr">
        <is>
          <t>KALMAR LÄN</t>
        </is>
      </c>
      <c r="E924" t="inlineStr">
        <is>
          <t>VÄSTERVIK</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50253-2022</t>
        </is>
      </c>
      <c r="B925" s="1" t="n">
        <v>44860</v>
      </c>
      <c r="C925" s="1" t="n">
        <v>45801</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49286-2022</t>
        </is>
      </c>
      <c r="B926" s="1" t="n">
        <v>44861</v>
      </c>
      <c r="C926" s="1" t="n">
        <v>45801</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49377-2022</t>
        </is>
      </c>
      <c r="B927" s="1" t="n">
        <v>44861</v>
      </c>
      <c r="C927" s="1" t="n">
        <v>45801</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49916-2022</t>
        </is>
      </c>
      <c r="B928" s="1" t="n">
        <v>44865</v>
      </c>
      <c r="C928" s="1" t="n">
        <v>45801</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50691-2022</t>
        </is>
      </c>
      <c r="B929" s="1" t="n">
        <v>44867</v>
      </c>
      <c r="C929" s="1" t="n">
        <v>45801</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50911-2022</t>
        </is>
      </c>
      <c r="B930" s="1" t="n">
        <v>44867</v>
      </c>
      <c r="C930" s="1" t="n">
        <v>45801</v>
      </c>
      <c r="D930" t="inlineStr">
        <is>
          <t>KALMAR LÄN</t>
        </is>
      </c>
      <c r="E930" t="inlineStr">
        <is>
          <t>VÄSTERVIK</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50990-2022</t>
        </is>
      </c>
      <c r="B931" s="1" t="n">
        <v>44867</v>
      </c>
      <c r="C931" s="1" t="n">
        <v>45801</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v>
      </c>
      <c r="C932" s="1" t="n">
        <v>45801</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53108-2022</t>
        </is>
      </c>
      <c r="B933" s="1" t="n">
        <v>44876</v>
      </c>
      <c r="C933" s="1" t="n">
        <v>45801</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53333-2022</t>
        </is>
      </c>
      <c r="B934" s="1" t="n">
        <v>44879</v>
      </c>
      <c r="C934" s="1" t="n">
        <v>45801</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54190-2022</t>
        </is>
      </c>
      <c r="B935" s="1" t="n">
        <v>44881</v>
      </c>
      <c r="C935" s="1" t="n">
        <v>45801</v>
      </c>
      <c r="D935" t="inlineStr">
        <is>
          <t>KALMAR LÄN</t>
        </is>
      </c>
      <c r="E935" t="inlineStr">
        <is>
          <t>VÄSTERVIK</t>
        </is>
      </c>
      <c r="G935" t="n">
        <v>7.4</v>
      </c>
      <c r="H935" t="n">
        <v>0</v>
      </c>
      <c r="I935" t="n">
        <v>0</v>
      </c>
      <c r="J935" t="n">
        <v>0</v>
      </c>
      <c r="K935" t="n">
        <v>0</v>
      </c>
      <c r="L935" t="n">
        <v>0</v>
      </c>
      <c r="M935" t="n">
        <v>0</v>
      </c>
      <c r="N935" t="n">
        <v>0</v>
      </c>
      <c r="O935" t="n">
        <v>0</v>
      </c>
      <c r="P935" t="n">
        <v>0</v>
      </c>
      <c r="Q935" t="n">
        <v>0</v>
      </c>
      <c r="R935" s="2" t="inlineStr"/>
    </row>
    <row r="936" ht="15" customHeight="1">
      <c r="A936" t="inlineStr">
        <is>
          <t>A 55382-2022</t>
        </is>
      </c>
      <c r="B936" s="1" t="n">
        <v>44887</v>
      </c>
      <c r="C936" s="1" t="n">
        <v>45801</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55828-2022</t>
        </is>
      </c>
      <c r="B937" s="1" t="n">
        <v>44888</v>
      </c>
      <c r="C937" s="1" t="n">
        <v>45801</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55922-2022</t>
        </is>
      </c>
      <c r="B938" s="1" t="n">
        <v>44889</v>
      </c>
      <c r="C938" s="1" t="n">
        <v>45801</v>
      </c>
      <c r="D938" t="inlineStr">
        <is>
          <t>KALMAR LÄN</t>
        </is>
      </c>
      <c r="E938" t="inlineStr">
        <is>
          <t>VÄSTERVIK</t>
        </is>
      </c>
      <c r="G938" t="n">
        <v>3.5</v>
      </c>
      <c r="H938" t="n">
        <v>0</v>
      </c>
      <c r="I938" t="n">
        <v>0</v>
      </c>
      <c r="J938" t="n">
        <v>0</v>
      </c>
      <c r="K938" t="n">
        <v>0</v>
      </c>
      <c r="L938" t="n">
        <v>0</v>
      </c>
      <c r="M938" t="n">
        <v>0</v>
      </c>
      <c r="N938" t="n">
        <v>0</v>
      </c>
      <c r="O938" t="n">
        <v>0</v>
      </c>
      <c r="P938" t="n">
        <v>0</v>
      </c>
      <c r="Q938" t="n">
        <v>0</v>
      </c>
      <c r="R938" s="2" t="inlineStr"/>
    </row>
    <row r="939" ht="15" customHeight="1">
      <c r="A939" t="inlineStr">
        <is>
          <t>A 56610-2022</t>
        </is>
      </c>
      <c r="B939" s="1" t="n">
        <v>44893</v>
      </c>
      <c r="C939" s="1" t="n">
        <v>45801</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57023-2022</t>
        </is>
      </c>
      <c r="B940" s="1" t="n">
        <v>44895</v>
      </c>
      <c r="C940" s="1" t="n">
        <v>45801</v>
      </c>
      <c r="D940" t="inlineStr">
        <is>
          <t>KALMAR LÄN</t>
        </is>
      </c>
      <c r="E940" t="inlineStr">
        <is>
          <t>VÄSTERVIK</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58927-2022</t>
        </is>
      </c>
      <c r="B941" s="1" t="n">
        <v>44896</v>
      </c>
      <c r="C941" s="1" t="n">
        <v>45801</v>
      </c>
      <c r="D941" t="inlineStr">
        <is>
          <t>KALMAR LÄN</t>
        </is>
      </c>
      <c r="E941" t="inlineStr">
        <is>
          <t>VÄSTERVIK</t>
        </is>
      </c>
      <c r="G941" t="n">
        <v>2.5</v>
      </c>
      <c r="H941" t="n">
        <v>0</v>
      </c>
      <c r="I941" t="n">
        <v>0</v>
      </c>
      <c r="J941" t="n">
        <v>0</v>
      </c>
      <c r="K941" t="n">
        <v>0</v>
      </c>
      <c r="L941" t="n">
        <v>0</v>
      </c>
      <c r="M941" t="n">
        <v>0</v>
      </c>
      <c r="N941" t="n">
        <v>0</v>
      </c>
      <c r="O941" t="n">
        <v>0</v>
      </c>
      <c r="P941" t="n">
        <v>0</v>
      </c>
      <c r="Q941" t="n">
        <v>0</v>
      </c>
      <c r="R941" s="2" t="inlineStr"/>
    </row>
    <row r="942" ht="15" customHeight="1">
      <c r="A942" t="inlineStr">
        <is>
          <t>A 57997-2022</t>
        </is>
      </c>
      <c r="B942" s="1" t="n">
        <v>44900</v>
      </c>
      <c r="C942" s="1" t="n">
        <v>45801</v>
      </c>
      <c r="D942" t="inlineStr">
        <is>
          <t>KALMAR LÄN</t>
        </is>
      </c>
      <c r="E942" t="inlineStr">
        <is>
          <t>VÄSTERVIK</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58217-2022</t>
        </is>
      </c>
      <c r="B943" s="1" t="n">
        <v>44901</v>
      </c>
      <c r="C943" s="1" t="n">
        <v>45801</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58216-2022</t>
        </is>
      </c>
      <c r="B944" s="1" t="n">
        <v>44901</v>
      </c>
      <c r="C944" s="1" t="n">
        <v>45801</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58209-2022</t>
        </is>
      </c>
      <c r="B945" s="1" t="n">
        <v>44901</v>
      </c>
      <c r="C945" s="1" t="n">
        <v>45801</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58214-2022</t>
        </is>
      </c>
      <c r="B946" s="1" t="n">
        <v>44901</v>
      </c>
      <c r="C946" s="1" t="n">
        <v>45801</v>
      </c>
      <c r="D946" t="inlineStr">
        <is>
          <t>KALMAR LÄN</t>
        </is>
      </c>
      <c r="E946" t="inlineStr">
        <is>
          <t>VÄSTERVIK</t>
        </is>
      </c>
      <c r="G946" t="n">
        <v>1.2</v>
      </c>
      <c r="H946" t="n">
        <v>0</v>
      </c>
      <c r="I946" t="n">
        <v>0</v>
      </c>
      <c r="J946" t="n">
        <v>0</v>
      </c>
      <c r="K946" t="n">
        <v>0</v>
      </c>
      <c r="L946" t="n">
        <v>0</v>
      </c>
      <c r="M946" t="n">
        <v>0</v>
      </c>
      <c r="N946" t="n">
        <v>0</v>
      </c>
      <c r="O946" t="n">
        <v>0</v>
      </c>
      <c r="P946" t="n">
        <v>0</v>
      </c>
      <c r="Q946" t="n">
        <v>0</v>
      </c>
      <c r="R946" s="2" t="inlineStr"/>
    </row>
    <row r="947" ht="15" customHeight="1">
      <c r="A947" t="inlineStr">
        <is>
          <t>A 58707-2022</t>
        </is>
      </c>
      <c r="B947" s="1" t="n">
        <v>44902</v>
      </c>
      <c r="C947" s="1" t="n">
        <v>45801</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58826-2022</t>
        </is>
      </c>
      <c r="B948" s="1" t="n">
        <v>44903</v>
      </c>
      <c r="C948" s="1" t="n">
        <v>45801</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59212-2022</t>
        </is>
      </c>
      <c r="B949" s="1" t="n">
        <v>44904</v>
      </c>
      <c r="C949" s="1" t="n">
        <v>45801</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59227-2022</t>
        </is>
      </c>
      <c r="B950" s="1" t="n">
        <v>44904</v>
      </c>
      <c r="C950" s="1" t="n">
        <v>45801</v>
      </c>
      <c r="D950" t="inlineStr">
        <is>
          <t>KALMAR LÄN</t>
        </is>
      </c>
      <c r="E950" t="inlineStr">
        <is>
          <t>VÄSTERVIK</t>
        </is>
      </c>
      <c r="G950" t="n">
        <v>6</v>
      </c>
      <c r="H950" t="n">
        <v>0</v>
      </c>
      <c r="I950" t="n">
        <v>0</v>
      </c>
      <c r="J950" t="n">
        <v>0</v>
      </c>
      <c r="K950" t="n">
        <v>0</v>
      </c>
      <c r="L950" t="n">
        <v>0</v>
      </c>
      <c r="M950" t="n">
        <v>0</v>
      </c>
      <c r="N950" t="n">
        <v>0</v>
      </c>
      <c r="O950" t="n">
        <v>0</v>
      </c>
      <c r="P950" t="n">
        <v>0</v>
      </c>
      <c r="Q950" t="n">
        <v>0</v>
      </c>
      <c r="R950" s="2" t="inlineStr"/>
    </row>
    <row r="951" ht="15" customHeight="1">
      <c r="A951" t="inlineStr">
        <is>
          <t>A 59210-2022</t>
        </is>
      </c>
      <c r="B951" s="1" t="n">
        <v>44904</v>
      </c>
      <c r="C951" s="1" t="n">
        <v>45801</v>
      </c>
      <c r="D951" t="inlineStr">
        <is>
          <t>KALMAR LÄN</t>
        </is>
      </c>
      <c r="E951" t="inlineStr">
        <is>
          <t>VÄSTERVIK</t>
        </is>
      </c>
      <c r="G951" t="n">
        <v>21.2</v>
      </c>
      <c r="H951" t="n">
        <v>0</v>
      </c>
      <c r="I951" t="n">
        <v>0</v>
      </c>
      <c r="J951" t="n">
        <v>0</v>
      </c>
      <c r="K951" t="n">
        <v>0</v>
      </c>
      <c r="L951" t="n">
        <v>0</v>
      </c>
      <c r="M951" t="n">
        <v>0</v>
      </c>
      <c r="N951" t="n">
        <v>0</v>
      </c>
      <c r="O951" t="n">
        <v>0</v>
      </c>
      <c r="P951" t="n">
        <v>0</v>
      </c>
      <c r="Q951" t="n">
        <v>0</v>
      </c>
      <c r="R951" s="2" t="inlineStr"/>
    </row>
    <row r="952" ht="15" customHeight="1">
      <c r="A952" t="inlineStr">
        <is>
          <t>A 59221-2022</t>
        </is>
      </c>
      <c r="B952" s="1" t="n">
        <v>44904</v>
      </c>
      <c r="C952" s="1" t="n">
        <v>45801</v>
      </c>
      <c r="D952" t="inlineStr">
        <is>
          <t>KALMAR LÄN</t>
        </is>
      </c>
      <c r="E952" t="inlineStr">
        <is>
          <t>VÄSTERVIK</t>
        </is>
      </c>
      <c r="G952" t="n">
        <v>6.1</v>
      </c>
      <c r="H952" t="n">
        <v>0</v>
      </c>
      <c r="I952" t="n">
        <v>0</v>
      </c>
      <c r="J952" t="n">
        <v>0</v>
      </c>
      <c r="K952" t="n">
        <v>0</v>
      </c>
      <c r="L952" t="n">
        <v>0</v>
      </c>
      <c r="M952" t="n">
        <v>0</v>
      </c>
      <c r="N952" t="n">
        <v>0</v>
      </c>
      <c r="O952" t="n">
        <v>0</v>
      </c>
      <c r="P952" t="n">
        <v>0</v>
      </c>
      <c r="Q952" t="n">
        <v>0</v>
      </c>
      <c r="R952" s="2" t="inlineStr"/>
    </row>
    <row r="953" ht="15" customHeight="1">
      <c r="A953" t="inlineStr">
        <is>
          <t>A 59156-2022</t>
        </is>
      </c>
      <c r="B953" s="1" t="n">
        <v>44904</v>
      </c>
      <c r="C953" s="1" t="n">
        <v>45801</v>
      </c>
      <c r="D953" t="inlineStr">
        <is>
          <t>KALMAR LÄN</t>
        </is>
      </c>
      <c r="E953" t="inlineStr">
        <is>
          <t>VÄSTERVIK</t>
        </is>
      </c>
      <c r="G953" t="n">
        <v>9.4</v>
      </c>
      <c r="H953" t="n">
        <v>0</v>
      </c>
      <c r="I953" t="n">
        <v>0</v>
      </c>
      <c r="J953" t="n">
        <v>0</v>
      </c>
      <c r="K953" t="n">
        <v>0</v>
      </c>
      <c r="L953" t="n">
        <v>0</v>
      </c>
      <c r="M953" t="n">
        <v>0</v>
      </c>
      <c r="N953" t="n">
        <v>0</v>
      </c>
      <c r="O953" t="n">
        <v>0</v>
      </c>
      <c r="P953" t="n">
        <v>0</v>
      </c>
      <c r="Q953" t="n">
        <v>0</v>
      </c>
      <c r="R953" s="2" t="inlineStr"/>
    </row>
    <row r="954" ht="15" customHeight="1">
      <c r="A954" t="inlineStr">
        <is>
          <t>A 59170-2022</t>
        </is>
      </c>
      <c r="B954" s="1" t="n">
        <v>44904</v>
      </c>
      <c r="C954" s="1" t="n">
        <v>45801</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59202-2022</t>
        </is>
      </c>
      <c r="B955" s="1" t="n">
        <v>44904</v>
      </c>
      <c r="C955" s="1" t="n">
        <v>45801</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59220-2022</t>
        </is>
      </c>
      <c r="B956" s="1" t="n">
        <v>44904</v>
      </c>
      <c r="C956" s="1" t="n">
        <v>45801</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59498-2022</t>
        </is>
      </c>
      <c r="B957" s="1" t="n">
        <v>44907</v>
      </c>
      <c r="C957" s="1" t="n">
        <v>45801</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59675-2022</t>
        </is>
      </c>
      <c r="B958" s="1" t="n">
        <v>44908</v>
      </c>
      <c r="C958" s="1" t="n">
        <v>45801</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59871-2022</t>
        </is>
      </c>
      <c r="B959" s="1" t="n">
        <v>44908</v>
      </c>
      <c r="C959" s="1" t="n">
        <v>45801</v>
      </c>
      <c r="D959" t="inlineStr">
        <is>
          <t>KALMAR LÄN</t>
        </is>
      </c>
      <c r="E959" t="inlineStr">
        <is>
          <t>VÄSTERVIK</t>
        </is>
      </c>
      <c r="F959" t="inlineStr">
        <is>
          <t>Övriga Aktiebolag</t>
        </is>
      </c>
      <c r="G959" t="n">
        <v>0.4</v>
      </c>
      <c r="H959" t="n">
        <v>0</v>
      </c>
      <c r="I959" t="n">
        <v>0</v>
      </c>
      <c r="J959" t="n">
        <v>0</v>
      </c>
      <c r="K959" t="n">
        <v>0</v>
      </c>
      <c r="L959" t="n">
        <v>0</v>
      </c>
      <c r="M959" t="n">
        <v>0</v>
      </c>
      <c r="N959" t="n">
        <v>0</v>
      </c>
      <c r="O959" t="n">
        <v>0</v>
      </c>
      <c r="P959" t="n">
        <v>0</v>
      </c>
      <c r="Q959" t="n">
        <v>0</v>
      </c>
      <c r="R959" s="2" t="inlineStr"/>
    </row>
    <row r="960" ht="15" customHeight="1">
      <c r="A960" t="inlineStr">
        <is>
          <t>A 60263-2022</t>
        </is>
      </c>
      <c r="B960" s="1" t="n">
        <v>44910</v>
      </c>
      <c r="C960" s="1" t="n">
        <v>45801</v>
      </c>
      <c r="D960" t="inlineStr">
        <is>
          <t>KALMAR LÄN</t>
        </is>
      </c>
      <c r="E960" t="inlineStr">
        <is>
          <t>VÄSTERVIK</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60402-2022</t>
        </is>
      </c>
      <c r="B961" s="1" t="n">
        <v>44910</v>
      </c>
      <c r="C961" s="1" t="n">
        <v>45801</v>
      </c>
      <c r="D961" t="inlineStr">
        <is>
          <t>KALMAR LÄN</t>
        </is>
      </c>
      <c r="E961" t="inlineStr">
        <is>
          <t>VÄSTERVIK</t>
        </is>
      </c>
      <c r="F961" t="inlineStr">
        <is>
          <t>Holmen skog AB</t>
        </is>
      </c>
      <c r="G961" t="n">
        <v>3.4</v>
      </c>
      <c r="H961" t="n">
        <v>0</v>
      </c>
      <c r="I961" t="n">
        <v>0</v>
      </c>
      <c r="J961" t="n">
        <v>0</v>
      </c>
      <c r="K961" t="n">
        <v>0</v>
      </c>
      <c r="L961" t="n">
        <v>0</v>
      </c>
      <c r="M961" t="n">
        <v>0</v>
      </c>
      <c r="N961" t="n">
        <v>0</v>
      </c>
      <c r="O961" t="n">
        <v>0</v>
      </c>
      <c r="P961" t="n">
        <v>0</v>
      </c>
      <c r="Q961" t="n">
        <v>0</v>
      </c>
      <c r="R961" s="2" t="inlineStr"/>
    </row>
    <row r="962" ht="15" customHeight="1">
      <c r="A962" t="inlineStr">
        <is>
          <t>A 60409-2022</t>
        </is>
      </c>
      <c r="B962" s="1" t="n">
        <v>44910</v>
      </c>
      <c r="C962" s="1" t="n">
        <v>45801</v>
      </c>
      <c r="D962" t="inlineStr">
        <is>
          <t>KALMAR LÄN</t>
        </is>
      </c>
      <c r="E962" t="inlineStr">
        <is>
          <t>VÄSTERVIK</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61529-2022</t>
        </is>
      </c>
      <c r="B963" s="1" t="n">
        <v>44910</v>
      </c>
      <c r="C963" s="1" t="n">
        <v>45801</v>
      </c>
      <c r="D963" t="inlineStr">
        <is>
          <t>KALMAR LÄN</t>
        </is>
      </c>
      <c r="E963" t="inlineStr">
        <is>
          <t>VÄSTERVIK</t>
        </is>
      </c>
      <c r="G963" t="n">
        <v>6.5</v>
      </c>
      <c r="H963" t="n">
        <v>0</v>
      </c>
      <c r="I963" t="n">
        <v>0</v>
      </c>
      <c r="J963" t="n">
        <v>0</v>
      </c>
      <c r="K963" t="n">
        <v>0</v>
      </c>
      <c r="L963" t="n">
        <v>0</v>
      </c>
      <c r="M963" t="n">
        <v>0</v>
      </c>
      <c r="N963" t="n">
        <v>0</v>
      </c>
      <c r="O963" t="n">
        <v>0</v>
      </c>
      <c r="P963" t="n">
        <v>0</v>
      </c>
      <c r="Q963" t="n">
        <v>0</v>
      </c>
      <c r="R963" s="2" t="inlineStr"/>
    </row>
    <row r="964" ht="15" customHeight="1">
      <c r="A964" t="inlineStr">
        <is>
          <t>A 60710-2022</t>
        </is>
      </c>
      <c r="B964" s="1" t="n">
        <v>44912</v>
      </c>
      <c r="C964" s="1" t="n">
        <v>45801</v>
      </c>
      <c r="D964" t="inlineStr">
        <is>
          <t>KALMAR LÄN</t>
        </is>
      </c>
      <c r="E964" t="inlineStr">
        <is>
          <t>VÄSTERVIK</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60713-2022</t>
        </is>
      </c>
      <c r="B965" s="1" t="n">
        <v>44912</v>
      </c>
      <c r="C965" s="1" t="n">
        <v>45801</v>
      </c>
      <c r="D965" t="inlineStr">
        <is>
          <t>KALMAR LÄN</t>
        </is>
      </c>
      <c r="E965" t="inlineStr">
        <is>
          <t>VÄSTERVIK</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60711-2022</t>
        </is>
      </c>
      <c r="B966" s="1" t="n">
        <v>44912</v>
      </c>
      <c r="C966" s="1" t="n">
        <v>45801</v>
      </c>
      <c r="D966" t="inlineStr">
        <is>
          <t>KALMAR LÄN</t>
        </is>
      </c>
      <c r="E966" t="inlineStr">
        <is>
          <t>VÄSTERVIK</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61580-2022</t>
        </is>
      </c>
      <c r="B967" s="1" t="n">
        <v>44916</v>
      </c>
      <c r="C967" s="1" t="n">
        <v>45801</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61649-2022</t>
        </is>
      </c>
      <c r="B968" s="1" t="n">
        <v>44916</v>
      </c>
      <c r="C968" s="1" t="n">
        <v>45801</v>
      </c>
      <c r="D968" t="inlineStr">
        <is>
          <t>KALMAR LÄN</t>
        </is>
      </c>
      <c r="E968" t="inlineStr">
        <is>
          <t>VÄSTERVIK</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62005-2022</t>
        </is>
      </c>
      <c r="B969" s="1" t="n">
        <v>44918</v>
      </c>
      <c r="C969" s="1" t="n">
        <v>45801</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62306-2022</t>
        </is>
      </c>
      <c r="B970" s="1" t="n">
        <v>44923</v>
      </c>
      <c r="C970" s="1" t="n">
        <v>45801</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62422-2022</t>
        </is>
      </c>
      <c r="B971" s="1" t="n">
        <v>44924</v>
      </c>
      <c r="C971" s="1" t="n">
        <v>45801</v>
      </c>
      <c r="D971" t="inlineStr">
        <is>
          <t>KALMAR LÄN</t>
        </is>
      </c>
      <c r="E971" t="inlineStr">
        <is>
          <t>VÄSTERVIK</t>
        </is>
      </c>
      <c r="G971" t="n">
        <v>4.9</v>
      </c>
      <c r="H971" t="n">
        <v>0</v>
      </c>
      <c r="I971" t="n">
        <v>0</v>
      </c>
      <c r="J971" t="n">
        <v>0</v>
      </c>
      <c r="K971" t="n">
        <v>0</v>
      </c>
      <c r="L971" t="n">
        <v>0</v>
      </c>
      <c r="M971" t="n">
        <v>0</v>
      </c>
      <c r="N971" t="n">
        <v>0</v>
      </c>
      <c r="O971" t="n">
        <v>0</v>
      </c>
      <c r="P971" t="n">
        <v>0</v>
      </c>
      <c r="Q971" t="n">
        <v>0</v>
      </c>
      <c r="R971" s="2" t="inlineStr"/>
    </row>
    <row r="972" ht="15" customHeight="1">
      <c r="A972" t="inlineStr">
        <is>
          <t>A 65-2023</t>
        </is>
      </c>
      <c r="B972" s="1" t="n">
        <v>44928</v>
      </c>
      <c r="C972" s="1" t="n">
        <v>45801</v>
      </c>
      <c r="D972" t="inlineStr">
        <is>
          <t>KALMAR LÄN</t>
        </is>
      </c>
      <c r="E972" t="inlineStr">
        <is>
          <t>VÄSTERVIK</t>
        </is>
      </c>
      <c r="G972" t="n">
        <v>1.8</v>
      </c>
      <c r="H972" t="n">
        <v>0</v>
      </c>
      <c r="I972" t="n">
        <v>0</v>
      </c>
      <c r="J972" t="n">
        <v>0</v>
      </c>
      <c r="K972" t="n">
        <v>0</v>
      </c>
      <c r="L972" t="n">
        <v>0</v>
      </c>
      <c r="M972" t="n">
        <v>0</v>
      </c>
      <c r="N972" t="n">
        <v>0</v>
      </c>
      <c r="O972" t="n">
        <v>0</v>
      </c>
      <c r="P972" t="n">
        <v>0</v>
      </c>
      <c r="Q972" t="n">
        <v>0</v>
      </c>
      <c r="R972" s="2" t="inlineStr"/>
    </row>
    <row r="973" ht="15" customHeight="1">
      <c r="A973" t="inlineStr">
        <is>
          <t>A 352-2023</t>
        </is>
      </c>
      <c r="B973" s="1" t="n">
        <v>44929</v>
      </c>
      <c r="C973" s="1" t="n">
        <v>45801</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351-2023</t>
        </is>
      </c>
      <c r="B974" s="1" t="n">
        <v>44929</v>
      </c>
      <c r="C974" s="1" t="n">
        <v>45801</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562-2023</t>
        </is>
      </c>
      <c r="B975" s="1" t="n">
        <v>44930</v>
      </c>
      <c r="C975" s="1" t="n">
        <v>45801</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740-2023</t>
        </is>
      </c>
      <c r="B976" s="1" t="n">
        <v>44931</v>
      </c>
      <c r="C976" s="1" t="n">
        <v>45801</v>
      </c>
      <c r="D976" t="inlineStr">
        <is>
          <t>KALMAR LÄN</t>
        </is>
      </c>
      <c r="E976" t="inlineStr">
        <is>
          <t>VÄSTERVIK</t>
        </is>
      </c>
      <c r="G976" t="n">
        <v>9.6</v>
      </c>
      <c r="H976" t="n">
        <v>0</v>
      </c>
      <c r="I976" t="n">
        <v>0</v>
      </c>
      <c r="J976" t="n">
        <v>0</v>
      </c>
      <c r="K976" t="n">
        <v>0</v>
      </c>
      <c r="L976" t="n">
        <v>0</v>
      </c>
      <c r="M976" t="n">
        <v>0</v>
      </c>
      <c r="N976" t="n">
        <v>0</v>
      </c>
      <c r="O976" t="n">
        <v>0</v>
      </c>
      <c r="P976" t="n">
        <v>0</v>
      </c>
      <c r="Q976" t="n">
        <v>0</v>
      </c>
      <c r="R976" s="2" t="inlineStr"/>
    </row>
    <row r="977" ht="15" customHeight="1">
      <c r="A977" t="inlineStr">
        <is>
          <t>A 792-2023</t>
        </is>
      </c>
      <c r="B977" s="1" t="n">
        <v>44931</v>
      </c>
      <c r="C977" s="1" t="n">
        <v>45801</v>
      </c>
      <c r="D977" t="inlineStr">
        <is>
          <t>KALMAR LÄN</t>
        </is>
      </c>
      <c r="E977" t="inlineStr">
        <is>
          <t>VÄSTERVIK</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808-2023</t>
        </is>
      </c>
      <c r="B978" s="1" t="n">
        <v>44931</v>
      </c>
      <c r="C978" s="1" t="n">
        <v>45801</v>
      </c>
      <c r="D978" t="inlineStr">
        <is>
          <t>KALMAR LÄN</t>
        </is>
      </c>
      <c r="E978" t="inlineStr">
        <is>
          <t>VÄSTERVIK</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843-2023</t>
        </is>
      </c>
      <c r="B979" s="1" t="n">
        <v>44931</v>
      </c>
      <c r="C979" s="1" t="n">
        <v>45801</v>
      </c>
      <c r="D979" t="inlineStr">
        <is>
          <t>KALMAR LÄN</t>
        </is>
      </c>
      <c r="E979" t="inlineStr">
        <is>
          <t>VÄSTERVIK</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1079-2023</t>
        </is>
      </c>
      <c r="B980" s="1" t="n">
        <v>44935</v>
      </c>
      <c r="C980" s="1" t="n">
        <v>45801</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45801</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1568-2023</t>
        </is>
      </c>
      <c r="B982" s="1" t="n">
        <v>44937</v>
      </c>
      <c r="C982" s="1" t="n">
        <v>45801</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1798-2023</t>
        </is>
      </c>
      <c r="B983" s="1" t="n">
        <v>44938</v>
      </c>
      <c r="C983" s="1" t="n">
        <v>45801</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1961-2023</t>
        </is>
      </c>
      <c r="B984" s="1" t="n">
        <v>44939</v>
      </c>
      <c r="C984" s="1" t="n">
        <v>45801</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2098-2023</t>
        </is>
      </c>
      <c r="B985" s="1" t="n">
        <v>44939</v>
      </c>
      <c r="C985" s="1" t="n">
        <v>45801</v>
      </c>
      <c r="D985" t="inlineStr">
        <is>
          <t>KALMAR LÄN</t>
        </is>
      </c>
      <c r="E985" t="inlineStr">
        <is>
          <t>VÄSTERVIK</t>
        </is>
      </c>
      <c r="G985" t="n">
        <v>1.9</v>
      </c>
      <c r="H985" t="n">
        <v>0</v>
      </c>
      <c r="I985" t="n">
        <v>0</v>
      </c>
      <c r="J985" t="n">
        <v>0</v>
      </c>
      <c r="K985" t="n">
        <v>0</v>
      </c>
      <c r="L985" t="n">
        <v>0</v>
      </c>
      <c r="M985" t="n">
        <v>0</v>
      </c>
      <c r="N985" t="n">
        <v>0</v>
      </c>
      <c r="O985" t="n">
        <v>0</v>
      </c>
      <c r="P985" t="n">
        <v>0</v>
      </c>
      <c r="Q985" t="n">
        <v>0</v>
      </c>
      <c r="R985" s="2" t="inlineStr"/>
    </row>
    <row r="986" ht="15" customHeight="1">
      <c r="A986" t="inlineStr">
        <is>
          <t>A 2314-2023</t>
        </is>
      </c>
      <c r="B986" s="1" t="n">
        <v>44942</v>
      </c>
      <c r="C986" s="1" t="n">
        <v>45801</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2738-2023</t>
        </is>
      </c>
      <c r="B987" s="1" t="n">
        <v>44944</v>
      </c>
      <c r="C987" s="1" t="n">
        <v>45801</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2741-2023</t>
        </is>
      </c>
      <c r="B988" s="1" t="n">
        <v>44944</v>
      </c>
      <c r="C988" s="1" t="n">
        <v>45801</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2746-2023</t>
        </is>
      </c>
      <c r="B989" s="1" t="n">
        <v>44944</v>
      </c>
      <c r="C989" s="1" t="n">
        <v>45801</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3075-2023</t>
        </is>
      </c>
      <c r="B990" s="1" t="n">
        <v>44946</v>
      </c>
      <c r="C990" s="1" t="n">
        <v>45801</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3187-2023</t>
        </is>
      </c>
      <c r="B991" s="1" t="n">
        <v>44946</v>
      </c>
      <c r="C991" s="1" t="n">
        <v>45801</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3185-2023</t>
        </is>
      </c>
      <c r="B992" s="1" t="n">
        <v>44946</v>
      </c>
      <c r="C992" s="1" t="n">
        <v>45801</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3190-2023</t>
        </is>
      </c>
      <c r="B993" s="1" t="n">
        <v>44946</v>
      </c>
      <c r="C993" s="1" t="n">
        <v>45801</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3867-2023</t>
        </is>
      </c>
      <c r="B994" s="1" t="n">
        <v>44951</v>
      </c>
      <c r="C994" s="1" t="n">
        <v>45801</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4508-2023</t>
        </is>
      </c>
      <c r="B995" s="1" t="n">
        <v>44956</v>
      </c>
      <c r="C995" s="1" t="n">
        <v>45801</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4624-2023</t>
        </is>
      </c>
      <c r="B996" s="1" t="n">
        <v>44956</v>
      </c>
      <c r="C996" s="1" t="n">
        <v>45801</v>
      </c>
      <c r="D996" t="inlineStr">
        <is>
          <t>KALMAR LÄN</t>
        </is>
      </c>
      <c r="E996" t="inlineStr">
        <is>
          <t>VÄSTERVIK</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4579-2023</t>
        </is>
      </c>
      <c r="B997" s="1" t="n">
        <v>44956</v>
      </c>
      <c r="C997" s="1" t="n">
        <v>45801</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4583-2023</t>
        </is>
      </c>
      <c r="B998" s="1" t="n">
        <v>44956</v>
      </c>
      <c r="C998" s="1" t="n">
        <v>45801</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4951-2023</t>
        </is>
      </c>
      <c r="B999" s="1" t="n">
        <v>44958</v>
      </c>
      <c r="C999" s="1" t="n">
        <v>45801</v>
      </c>
      <c r="D999" t="inlineStr">
        <is>
          <t>KALMAR LÄN</t>
        </is>
      </c>
      <c r="E999" t="inlineStr">
        <is>
          <t>VÄSTERVIK</t>
        </is>
      </c>
      <c r="G999" t="n">
        <v>1.3</v>
      </c>
      <c r="H999" t="n">
        <v>0</v>
      </c>
      <c r="I999" t="n">
        <v>0</v>
      </c>
      <c r="J999" t="n">
        <v>0</v>
      </c>
      <c r="K999" t="n">
        <v>0</v>
      </c>
      <c r="L999" t="n">
        <v>0</v>
      </c>
      <c r="M999" t="n">
        <v>0</v>
      </c>
      <c r="N999" t="n">
        <v>0</v>
      </c>
      <c r="O999" t="n">
        <v>0</v>
      </c>
      <c r="P999" t="n">
        <v>0</v>
      </c>
      <c r="Q999" t="n">
        <v>0</v>
      </c>
      <c r="R999" s="2" t="inlineStr"/>
    </row>
    <row r="1000" ht="15" customHeight="1">
      <c r="A1000" t="inlineStr">
        <is>
          <t>A 5684-2023</t>
        </is>
      </c>
      <c r="B1000" s="1" t="n">
        <v>44960</v>
      </c>
      <c r="C1000" s="1" t="n">
        <v>45801</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6346-2023</t>
        </is>
      </c>
      <c r="B1001" s="1" t="n">
        <v>44960</v>
      </c>
      <c r="C1001" s="1" t="n">
        <v>45801</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5775-2023</t>
        </is>
      </c>
      <c r="B1002" s="1" t="n">
        <v>44963</v>
      </c>
      <c r="C1002" s="1" t="n">
        <v>45801</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5769-2023</t>
        </is>
      </c>
      <c r="B1003" s="1" t="n">
        <v>44963</v>
      </c>
      <c r="C1003" s="1" t="n">
        <v>45801</v>
      </c>
      <c r="D1003" t="inlineStr">
        <is>
          <t>KALMAR LÄN</t>
        </is>
      </c>
      <c r="E1003" t="inlineStr">
        <is>
          <t>VÄSTERVIK</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5774-2023</t>
        </is>
      </c>
      <c r="B1004" s="1" t="n">
        <v>44963</v>
      </c>
      <c r="C1004" s="1" t="n">
        <v>45801</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6042-2023</t>
        </is>
      </c>
      <c r="B1005" s="1" t="n">
        <v>44964</v>
      </c>
      <c r="C1005" s="1" t="n">
        <v>45801</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5982-2023</t>
        </is>
      </c>
      <c r="B1006" s="1" t="n">
        <v>44964</v>
      </c>
      <c r="C1006" s="1" t="n">
        <v>45801</v>
      </c>
      <c r="D1006" t="inlineStr">
        <is>
          <t>KALMAR LÄN</t>
        </is>
      </c>
      <c r="E1006" t="inlineStr">
        <is>
          <t>VÄSTERVIK</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6126-2023</t>
        </is>
      </c>
      <c r="B1007" s="1" t="n">
        <v>44964</v>
      </c>
      <c r="C1007" s="1" t="n">
        <v>45801</v>
      </c>
      <c r="D1007" t="inlineStr">
        <is>
          <t>KALMAR LÄN</t>
        </is>
      </c>
      <c r="E1007" t="inlineStr">
        <is>
          <t>VÄSTERVIK</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6319-2023</t>
        </is>
      </c>
      <c r="B1008" s="1" t="n">
        <v>44965</v>
      </c>
      <c r="C1008" s="1" t="n">
        <v>45801</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7126-2023</t>
        </is>
      </c>
      <c r="B1009" s="1" t="n">
        <v>44970</v>
      </c>
      <c r="C1009" s="1" t="n">
        <v>45801</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7080-2023</t>
        </is>
      </c>
      <c r="B1010" s="1" t="n">
        <v>44970</v>
      </c>
      <c r="C1010" s="1" t="n">
        <v>45801</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7098-2023</t>
        </is>
      </c>
      <c r="B1011" s="1" t="n">
        <v>44970</v>
      </c>
      <c r="C1011" s="1" t="n">
        <v>45801</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7255-2023</t>
        </is>
      </c>
      <c r="B1012" s="1" t="n">
        <v>44970</v>
      </c>
      <c r="C1012" s="1" t="n">
        <v>45801</v>
      </c>
      <c r="D1012" t="inlineStr">
        <is>
          <t>KALMAR LÄN</t>
        </is>
      </c>
      <c r="E1012" t="inlineStr">
        <is>
          <t>VÄSTERVIK</t>
        </is>
      </c>
      <c r="F1012" t="inlineStr">
        <is>
          <t>Naturvårdsverket</t>
        </is>
      </c>
      <c r="G1012" t="n">
        <v>0.6</v>
      </c>
      <c r="H1012" t="n">
        <v>0</v>
      </c>
      <c r="I1012" t="n">
        <v>0</v>
      </c>
      <c r="J1012" t="n">
        <v>0</v>
      </c>
      <c r="K1012" t="n">
        <v>0</v>
      </c>
      <c r="L1012" t="n">
        <v>0</v>
      </c>
      <c r="M1012" t="n">
        <v>0</v>
      </c>
      <c r="N1012" t="n">
        <v>0</v>
      </c>
      <c r="O1012" t="n">
        <v>0</v>
      </c>
      <c r="P1012" t="n">
        <v>0</v>
      </c>
      <c r="Q1012" t="n">
        <v>0</v>
      </c>
      <c r="R1012" s="2" t="inlineStr"/>
      <c r="U1012">
        <f>HYPERLINK("https://klasma.github.io/Logging_0883/knärot/A 7255-2023 karta knärot.png", "A 7255-2023")</f>
        <v/>
      </c>
      <c r="V1012">
        <f>HYPERLINK("https://klasma.github.io/Logging_0883/klagomål/A 7255-2023 FSC-klagomål.docx", "A 7255-2023")</f>
        <v/>
      </c>
      <c r="W1012">
        <f>HYPERLINK("https://klasma.github.io/Logging_0883/klagomålsmail/A 7255-2023 FSC-klagomål mail.docx", "A 7255-2023")</f>
        <v/>
      </c>
      <c r="X1012">
        <f>HYPERLINK("https://klasma.github.io/Logging_0883/tillsyn/A 7255-2023 tillsynsbegäran.docx", "A 7255-2023")</f>
        <v/>
      </c>
      <c r="Y1012">
        <f>HYPERLINK("https://klasma.github.io/Logging_0883/tillsynsmail/A 7255-2023 tillsynsbegäran mail.docx", "A 7255-2023")</f>
        <v/>
      </c>
    </row>
    <row r="1013" ht="15" customHeight="1">
      <c r="A1013" t="inlineStr">
        <is>
          <t>A 7100-2023</t>
        </is>
      </c>
      <c r="B1013" s="1" t="n">
        <v>44970</v>
      </c>
      <c r="C1013" s="1" t="n">
        <v>45801</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7360-2023</t>
        </is>
      </c>
      <c r="B1014" s="1" t="n">
        <v>44971</v>
      </c>
      <c r="C1014" s="1" t="n">
        <v>45801</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7779-2023</t>
        </is>
      </c>
      <c r="B1015" s="1" t="n">
        <v>44973</v>
      </c>
      <c r="C1015" s="1" t="n">
        <v>45801</v>
      </c>
      <c r="D1015" t="inlineStr">
        <is>
          <t>KALMAR LÄN</t>
        </is>
      </c>
      <c r="E1015" t="inlineStr">
        <is>
          <t>VÄSTERVIK</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8005-2023</t>
        </is>
      </c>
      <c r="B1016" s="1" t="n">
        <v>44973</v>
      </c>
      <c r="C1016" s="1" t="n">
        <v>45801</v>
      </c>
      <c r="D1016" t="inlineStr">
        <is>
          <t>KALMAR LÄN</t>
        </is>
      </c>
      <c r="E1016" t="inlineStr">
        <is>
          <t>VÄSTERVIK</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7925-2023</t>
        </is>
      </c>
      <c r="B1017" s="1" t="n">
        <v>44973</v>
      </c>
      <c r="C1017" s="1" t="n">
        <v>45801</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7934-2023</t>
        </is>
      </c>
      <c r="B1018" s="1" t="n">
        <v>44973</v>
      </c>
      <c r="C1018" s="1" t="n">
        <v>45801</v>
      </c>
      <c r="D1018" t="inlineStr">
        <is>
          <t>KALMAR LÄN</t>
        </is>
      </c>
      <c r="E1018" t="inlineStr">
        <is>
          <t>VÄSTERVIK</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7938-2023</t>
        </is>
      </c>
      <c r="B1019" s="1" t="n">
        <v>44973</v>
      </c>
      <c r="C1019" s="1" t="n">
        <v>45801</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8014-2023</t>
        </is>
      </c>
      <c r="B1020" s="1" t="n">
        <v>44973</v>
      </c>
      <c r="C1020" s="1" t="n">
        <v>45801</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8007-2023</t>
        </is>
      </c>
      <c r="B1021" s="1" t="n">
        <v>44973</v>
      </c>
      <c r="C1021" s="1" t="n">
        <v>45801</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8283-2023</t>
        </is>
      </c>
      <c r="B1022" s="1" t="n">
        <v>44974</v>
      </c>
      <c r="C1022" s="1" t="n">
        <v>45801</v>
      </c>
      <c r="D1022" t="inlineStr">
        <is>
          <t>KALMAR LÄN</t>
        </is>
      </c>
      <c r="E1022" t="inlineStr">
        <is>
          <t>VÄSTERVIK</t>
        </is>
      </c>
      <c r="F1022" t="inlineStr">
        <is>
          <t>Kyrkan</t>
        </is>
      </c>
      <c r="G1022" t="n">
        <v>14.5</v>
      </c>
      <c r="H1022" t="n">
        <v>0</v>
      </c>
      <c r="I1022" t="n">
        <v>0</v>
      </c>
      <c r="J1022" t="n">
        <v>0</v>
      </c>
      <c r="K1022" t="n">
        <v>0</v>
      </c>
      <c r="L1022" t="n">
        <v>0</v>
      </c>
      <c r="M1022" t="n">
        <v>0</v>
      </c>
      <c r="N1022" t="n">
        <v>0</v>
      </c>
      <c r="O1022" t="n">
        <v>0</v>
      </c>
      <c r="P1022" t="n">
        <v>0</v>
      </c>
      <c r="Q1022" t="n">
        <v>0</v>
      </c>
      <c r="R1022" s="2" t="inlineStr"/>
    </row>
    <row r="1023" ht="15" customHeight="1">
      <c r="A1023" t="inlineStr">
        <is>
          <t>A 8289-2023</t>
        </is>
      </c>
      <c r="B1023" s="1" t="n">
        <v>44974</v>
      </c>
      <c r="C1023" s="1" t="n">
        <v>45801</v>
      </c>
      <c r="D1023" t="inlineStr">
        <is>
          <t>KALMAR LÄN</t>
        </is>
      </c>
      <c r="E1023" t="inlineStr">
        <is>
          <t>VÄSTERVIK</t>
        </is>
      </c>
      <c r="F1023" t="inlineStr">
        <is>
          <t>Kyrkan</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8456-2023</t>
        </is>
      </c>
      <c r="B1024" s="1" t="n">
        <v>44977</v>
      </c>
      <c r="C1024" s="1" t="n">
        <v>45801</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8382-2023</t>
        </is>
      </c>
      <c r="B1025" s="1" t="n">
        <v>44977</v>
      </c>
      <c r="C1025" s="1" t="n">
        <v>45801</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8440-2023</t>
        </is>
      </c>
      <c r="B1026" s="1" t="n">
        <v>44977</v>
      </c>
      <c r="C1026" s="1" t="n">
        <v>45801</v>
      </c>
      <c r="D1026" t="inlineStr">
        <is>
          <t>KALMAR LÄN</t>
        </is>
      </c>
      <c r="E1026" t="inlineStr">
        <is>
          <t>VÄSTERVIK</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8593-2023</t>
        </is>
      </c>
      <c r="B1027" s="1" t="n">
        <v>44977</v>
      </c>
      <c r="C1027" s="1" t="n">
        <v>45801</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8597-2023</t>
        </is>
      </c>
      <c r="B1028" s="1" t="n">
        <v>44977</v>
      </c>
      <c r="C1028" s="1" t="n">
        <v>45801</v>
      </c>
      <c r="D1028" t="inlineStr">
        <is>
          <t>KALMAR LÄN</t>
        </is>
      </c>
      <c r="E1028" t="inlineStr">
        <is>
          <t>VÄSTERVIK</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8594-2023</t>
        </is>
      </c>
      <c r="B1029" s="1" t="n">
        <v>44977</v>
      </c>
      <c r="C1029" s="1" t="n">
        <v>45801</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8513-2023</t>
        </is>
      </c>
      <c r="B1030" s="1" t="n">
        <v>44977</v>
      </c>
      <c r="C1030" s="1" t="n">
        <v>45801</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8561-2023</t>
        </is>
      </c>
      <c r="B1031" s="1" t="n">
        <v>44977</v>
      </c>
      <c r="C1031" s="1" t="n">
        <v>45801</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8896-2023</t>
        </is>
      </c>
      <c r="B1032" s="1" t="n">
        <v>44979</v>
      </c>
      <c r="C1032" s="1" t="n">
        <v>45801</v>
      </c>
      <c r="D1032" t="inlineStr">
        <is>
          <t>KALMAR LÄN</t>
        </is>
      </c>
      <c r="E1032" t="inlineStr">
        <is>
          <t>VÄSTERVIK</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v>
      </c>
      <c r="C1033" s="1" t="n">
        <v>45801</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9111-2023</t>
        </is>
      </c>
      <c r="B1034" s="1" t="n">
        <v>44980</v>
      </c>
      <c r="C1034" s="1" t="n">
        <v>45801</v>
      </c>
      <c r="D1034" t="inlineStr">
        <is>
          <t>KALMAR LÄN</t>
        </is>
      </c>
      <c r="E1034" t="inlineStr">
        <is>
          <t>VÄSTERVIK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9042-2023</t>
        </is>
      </c>
      <c r="B1035" s="1" t="n">
        <v>44979</v>
      </c>
      <c r="C1035" s="1" t="n">
        <v>45801</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9112-2023</t>
        </is>
      </c>
      <c r="B1036" s="1" t="n">
        <v>44979</v>
      </c>
      <c r="C1036" s="1" t="n">
        <v>45801</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9110-2023</t>
        </is>
      </c>
      <c r="B1037" s="1" t="n">
        <v>44979</v>
      </c>
      <c r="C1037" s="1" t="n">
        <v>45801</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9223-2023</t>
        </is>
      </c>
      <c r="B1038" s="1" t="n">
        <v>44980</v>
      </c>
      <c r="C1038" s="1" t="n">
        <v>45801</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9222-2023</t>
        </is>
      </c>
      <c r="B1039" s="1" t="n">
        <v>44980</v>
      </c>
      <c r="C1039" s="1" t="n">
        <v>45801</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9220-2023</t>
        </is>
      </c>
      <c r="B1040" s="1" t="n">
        <v>44980</v>
      </c>
      <c r="C1040" s="1" t="n">
        <v>45801</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9631-2023</t>
        </is>
      </c>
      <c r="B1041" s="1" t="n">
        <v>44984</v>
      </c>
      <c r="C1041" s="1" t="n">
        <v>45801</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9771-2023</t>
        </is>
      </c>
      <c r="B1042" s="1" t="n">
        <v>44984</v>
      </c>
      <c r="C1042" s="1" t="n">
        <v>45801</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9770-2023</t>
        </is>
      </c>
      <c r="B1043" s="1" t="n">
        <v>44984</v>
      </c>
      <c r="C1043" s="1" t="n">
        <v>45801</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9792-2023</t>
        </is>
      </c>
      <c r="B1044" s="1" t="n">
        <v>44984</v>
      </c>
      <c r="C1044" s="1" t="n">
        <v>45801</v>
      </c>
      <c r="D1044" t="inlineStr">
        <is>
          <t>KALMAR LÄN</t>
        </is>
      </c>
      <c r="E1044" t="inlineStr">
        <is>
          <t>VÄSTERVIK</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45801</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10421-2023</t>
        </is>
      </c>
      <c r="B1046" s="1" t="n">
        <v>44987</v>
      </c>
      <c r="C1046" s="1" t="n">
        <v>45801</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10665-2023</t>
        </is>
      </c>
      <c r="B1047" s="1" t="n">
        <v>44988</v>
      </c>
      <c r="C1047" s="1" t="n">
        <v>45801</v>
      </c>
      <c r="D1047" t="inlineStr">
        <is>
          <t>KALMAR LÄN</t>
        </is>
      </c>
      <c r="E1047" t="inlineStr">
        <is>
          <t>VÄSTERVIK</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10725-2023</t>
        </is>
      </c>
      <c r="B1048" s="1" t="n">
        <v>44988</v>
      </c>
      <c r="C1048" s="1" t="n">
        <v>45801</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10807-2023</t>
        </is>
      </c>
      <c r="B1049" s="1" t="n">
        <v>44989</v>
      </c>
      <c r="C1049" s="1" t="n">
        <v>45801</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10801-2023</t>
        </is>
      </c>
      <c r="B1050" s="1" t="n">
        <v>44989</v>
      </c>
      <c r="C1050" s="1" t="n">
        <v>45801</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11210-2023</t>
        </is>
      </c>
      <c r="B1051" s="1" t="n">
        <v>44992</v>
      </c>
      <c r="C1051" s="1" t="n">
        <v>45801</v>
      </c>
      <c r="D1051" t="inlineStr">
        <is>
          <t>KALMAR LÄN</t>
        </is>
      </c>
      <c r="E1051" t="inlineStr">
        <is>
          <t>VÄSTERVIK</t>
        </is>
      </c>
      <c r="F1051" t="inlineStr">
        <is>
          <t>Holmen skog AB</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11276-2023</t>
        </is>
      </c>
      <c r="B1052" s="1" t="n">
        <v>44992</v>
      </c>
      <c r="C1052" s="1" t="n">
        <v>45801</v>
      </c>
      <c r="D1052" t="inlineStr">
        <is>
          <t>KALMAR LÄN</t>
        </is>
      </c>
      <c r="E1052" t="inlineStr">
        <is>
          <t>VÄSTERVIK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11577-2023</t>
        </is>
      </c>
      <c r="B1053" s="1" t="n">
        <v>44994</v>
      </c>
      <c r="C1053" s="1" t="n">
        <v>45801</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11583-2023</t>
        </is>
      </c>
      <c r="B1054" s="1" t="n">
        <v>44994</v>
      </c>
      <c r="C1054" s="1" t="n">
        <v>45801</v>
      </c>
      <c r="D1054" t="inlineStr">
        <is>
          <t>KALMAR LÄN</t>
        </is>
      </c>
      <c r="E1054" t="inlineStr">
        <is>
          <t>VÄSTERVIK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11579-2023</t>
        </is>
      </c>
      <c r="B1055" s="1" t="n">
        <v>44994</v>
      </c>
      <c r="C1055" s="1" t="n">
        <v>45801</v>
      </c>
      <c r="D1055" t="inlineStr">
        <is>
          <t>KALMAR LÄN</t>
        </is>
      </c>
      <c r="E1055" t="inlineStr">
        <is>
          <t>VÄSTERVIK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11584-2023</t>
        </is>
      </c>
      <c r="B1056" s="1" t="n">
        <v>44994</v>
      </c>
      <c r="C1056" s="1" t="n">
        <v>45801</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11586-2023</t>
        </is>
      </c>
      <c r="B1057" s="1" t="n">
        <v>44994</v>
      </c>
      <c r="C1057" s="1" t="n">
        <v>45801</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11804-2023</t>
        </is>
      </c>
      <c r="B1058" s="1" t="n">
        <v>44994</v>
      </c>
      <c r="C1058" s="1" t="n">
        <v>45801</v>
      </c>
      <c r="D1058" t="inlineStr">
        <is>
          <t>KALMAR LÄN</t>
        </is>
      </c>
      <c r="E1058" t="inlineStr">
        <is>
          <t>VÄSTERVIK</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11727-2023</t>
        </is>
      </c>
      <c r="B1059" s="1" t="n">
        <v>44994</v>
      </c>
      <c r="C1059" s="1" t="n">
        <v>45801</v>
      </c>
      <c r="D1059" t="inlineStr">
        <is>
          <t>KALMAR LÄN</t>
        </is>
      </c>
      <c r="E1059" t="inlineStr">
        <is>
          <t>VÄSTERVIK</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11741-2023</t>
        </is>
      </c>
      <c r="B1060" s="1" t="n">
        <v>44994</v>
      </c>
      <c r="C1060" s="1" t="n">
        <v>45801</v>
      </c>
      <c r="D1060" t="inlineStr">
        <is>
          <t>KALMAR LÄN</t>
        </is>
      </c>
      <c r="E1060" t="inlineStr">
        <is>
          <t>VÄSTERVIK</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11730-2023</t>
        </is>
      </c>
      <c r="B1061" s="1" t="n">
        <v>44994</v>
      </c>
      <c r="C1061" s="1" t="n">
        <v>45801</v>
      </c>
      <c r="D1061" t="inlineStr">
        <is>
          <t>KALMAR LÄN</t>
        </is>
      </c>
      <c r="E1061" t="inlineStr">
        <is>
          <t>VÄSTERVIK</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12504-2023</t>
        </is>
      </c>
      <c r="B1062" s="1" t="n">
        <v>44999</v>
      </c>
      <c r="C1062" s="1" t="n">
        <v>45801</v>
      </c>
      <c r="D1062" t="inlineStr">
        <is>
          <t>KALMAR LÄN</t>
        </is>
      </c>
      <c r="E1062" t="inlineStr">
        <is>
          <t>VÄSTERVIK</t>
        </is>
      </c>
      <c r="F1062" t="inlineStr">
        <is>
          <t>Holmen skog AB</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12595-2023</t>
        </is>
      </c>
      <c r="B1063" s="1" t="n">
        <v>45000</v>
      </c>
      <c r="C1063" s="1" t="n">
        <v>45801</v>
      </c>
      <c r="D1063" t="inlineStr">
        <is>
          <t>KALMAR LÄN</t>
        </is>
      </c>
      <c r="E1063" t="inlineStr">
        <is>
          <t>VÄSTERVIK</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13275-2023</t>
        </is>
      </c>
      <c r="B1064" s="1" t="n">
        <v>45003</v>
      </c>
      <c r="C1064" s="1" t="n">
        <v>45801</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c r="U1064">
        <f>HYPERLINK("https://klasma.github.io/Logging_0883/knärot/A 13275-2023 karta knärot.png", "A 13275-2023")</f>
        <v/>
      </c>
      <c r="V1064">
        <f>HYPERLINK("https://klasma.github.io/Logging_0883/klagomål/A 13275-2023 FSC-klagomål.docx", "A 13275-2023")</f>
        <v/>
      </c>
      <c r="W1064">
        <f>HYPERLINK("https://klasma.github.io/Logging_0883/klagomålsmail/A 13275-2023 FSC-klagomål mail.docx", "A 13275-2023")</f>
        <v/>
      </c>
      <c r="X1064">
        <f>HYPERLINK("https://klasma.github.io/Logging_0883/tillsyn/A 13275-2023 tillsynsbegäran.docx", "A 13275-2023")</f>
        <v/>
      </c>
      <c r="Y1064">
        <f>HYPERLINK("https://klasma.github.io/Logging_0883/tillsynsmail/A 13275-2023 tillsynsbegäran mail.docx", "A 13275-2023")</f>
        <v/>
      </c>
    </row>
    <row r="1065" ht="15" customHeight="1">
      <c r="A1065" t="inlineStr">
        <is>
          <t>A 13761-2023</t>
        </is>
      </c>
      <c r="B1065" s="1" t="n">
        <v>45007</v>
      </c>
      <c r="C1065" s="1" t="n">
        <v>45801</v>
      </c>
      <c r="D1065" t="inlineStr">
        <is>
          <t>KALMAR LÄN</t>
        </is>
      </c>
      <c r="E1065" t="inlineStr">
        <is>
          <t>VÄSTERVIK</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13770-2023</t>
        </is>
      </c>
      <c r="B1066" s="1" t="n">
        <v>45007</v>
      </c>
      <c r="C1066" s="1" t="n">
        <v>45801</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13841-2023</t>
        </is>
      </c>
      <c r="B1067" s="1" t="n">
        <v>45007</v>
      </c>
      <c r="C1067" s="1" t="n">
        <v>45801</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13838-2023</t>
        </is>
      </c>
      <c r="B1068" s="1" t="n">
        <v>45007</v>
      </c>
      <c r="C1068" s="1" t="n">
        <v>45801</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13995-2023</t>
        </is>
      </c>
      <c r="B1069" s="1" t="n">
        <v>45008</v>
      </c>
      <c r="C1069" s="1" t="n">
        <v>45801</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14388-2023</t>
        </is>
      </c>
      <c r="B1070" s="1" t="n">
        <v>45012</v>
      </c>
      <c r="C1070" s="1" t="n">
        <v>45801</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14387-2023</t>
        </is>
      </c>
      <c r="B1071" s="1" t="n">
        <v>45012</v>
      </c>
      <c r="C1071" s="1" t="n">
        <v>45801</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14385-2023</t>
        </is>
      </c>
      <c r="B1072" s="1" t="n">
        <v>45012</v>
      </c>
      <c r="C1072" s="1" t="n">
        <v>45801</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15099-2023</t>
        </is>
      </c>
      <c r="B1073" s="1" t="n">
        <v>45016</v>
      </c>
      <c r="C1073" s="1" t="n">
        <v>45801</v>
      </c>
      <c r="D1073" t="inlineStr">
        <is>
          <t>KALMAR LÄN</t>
        </is>
      </c>
      <c r="E1073" t="inlineStr">
        <is>
          <t>VÄSTERVIK</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15106-2023</t>
        </is>
      </c>
      <c r="B1074" s="1" t="n">
        <v>45016</v>
      </c>
      <c r="C1074" s="1" t="n">
        <v>45801</v>
      </c>
      <c r="D1074" t="inlineStr">
        <is>
          <t>KALMAR LÄN</t>
        </is>
      </c>
      <c r="E1074" t="inlineStr">
        <is>
          <t>VÄSTERVIK</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15097-2023</t>
        </is>
      </c>
      <c r="B1075" s="1" t="n">
        <v>45016</v>
      </c>
      <c r="C1075" s="1" t="n">
        <v>45801</v>
      </c>
      <c r="D1075" t="inlineStr">
        <is>
          <t>KALMAR LÄN</t>
        </is>
      </c>
      <c r="E1075" t="inlineStr">
        <is>
          <t>VÄSTERVIK</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15103-2023</t>
        </is>
      </c>
      <c r="B1076" s="1" t="n">
        <v>45016</v>
      </c>
      <c r="C1076" s="1" t="n">
        <v>45801</v>
      </c>
      <c r="D1076" t="inlineStr">
        <is>
          <t>KALMAR LÄN</t>
        </is>
      </c>
      <c r="E1076" t="inlineStr">
        <is>
          <t>VÄSTERVIK</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15270-2023</t>
        </is>
      </c>
      <c r="B1077" s="1" t="n">
        <v>45019</v>
      </c>
      <c r="C1077" s="1" t="n">
        <v>45801</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15438-2023</t>
        </is>
      </c>
      <c r="B1078" s="1" t="n">
        <v>45020</v>
      </c>
      <c r="C1078" s="1" t="n">
        <v>45801</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15761-2023</t>
        </is>
      </c>
      <c r="B1079" s="1" t="n">
        <v>45021</v>
      </c>
      <c r="C1079" s="1" t="n">
        <v>45801</v>
      </c>
      <c r="D1079" t="inlineStr">
        <is>
          <t>KALMAR LÄN</t>
        </is>
      </c>
      <c r="E1079" t="inlineStr">
        <is>
          <t>VÄSTERVIK</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15765-2023</t>
        </is>
      </c>
      <c r="B1080" s="1" t="n">
        <v>45021</v>
      </c>
      <c r="C1080" s="1" t="n">
        <v>45801</v>
      </c>
      <c r="D1080" t="inlineStr">
        <is>
          <t>KALMAR LÄN</t>
        </is>
      </c>
      <c r="E1080" t="inlineStr">
        <is>
          <t>VÄSTERVIK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15875-2023</t>
        </is>
      </c>
      <c r="B1081" s="1" t="n">
        <v>45022</v>
      </c>
      <c r="C1081" s="1" t="n">
        <v>45801</v>
      </c>
      <c r="D1081" t="inlineStr">
        <is>
          <t>KALMAR LÄN</t>
        </is>
      </c>
      <c r="E1081" t="inlineStr">
        <is>
          <t>VÄSTERVIK</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16485-2023</t>
        </is>
      </c>
      <c r="B1082" s="1" t="n">
        <v>45029</v>
      </c>
      <c r="C1082" s="1" t="n">
        <v>45801</v>
      </c>
      <c r="D1082" t="inlineStr">
        <is>
          <t>KALMAR LÄN</t>
        </is>
      </c>
      <c r="E1082" t="inlineStr">
        <is>
          <t>VÄSTERVIK</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16506-2023</t>
        </is>
      </c>
      <c r="B1083" s="1" t="n">
        <v>45029</v>
      </c>
      <c r="C1083" s="1" t="n">
        <v>45801</v>
      </c>
      <c r="D1083" t="inlineStr">
        <is>
          <t>KALMAR LÄN</t>
        </is>
      </c>
      <c r="E1083" t="inlineStr">
        <is>
          <t>VÄSTERVIK</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16507-2023</t>
        </is>
      </c>
      <c r="B1084" s="1" t="n">
        <v>45029</v>
      </c>
      <c r="C1084" s="1" t="n">
        <v>45801</v>
      </c>
      <c r="D1084" t="inlineStr">
        <is>
          <t>KALMAR LÄN</t>
        </is>
      </c>
      <c r="E1084" t="inlineStr">
        <is>
          <t>VÄSTERVIK</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16617-2023</t>
        </is>
      </c>
      <c r="B1085" s="1" t="n">
        <v>45030</v>
      </c>
      <c r="C1085" s="1" t="n">
        <v>45801</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16834-2023</t>
        </is>
      </c>
      <c r="B1086" s="1" t="n">
        <v>45033</v>
      </c>
      <c r="C1086" s="1" t="n">
        <v>45801</v>
      </c>
      <c r="D1086" t="inlineStr">
        <is>
          <t>KALMAR LÄN</t>
        </is>
      </c>
      <c r="E1086" t="inlineStr">
        <is>
          <t>VÄSTERVIK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16819-2023</t>
        </is>
      </c>
      <c r="B1087" s="1" t="n">
        <v>45033</v>
      </c>
      <c r="C1087" s="1" t="n">
        <v>45801</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17307-2023</t>
        </is>
      </c>
      <c r="B1088" s="1" t="n">
        <v>45035</v>
      </c>
      <c r="C1088" s="1" t="n">
        <v>45801</v>
      </c>
      <c r="D1088" t="inlineStr">
        <is>
          <t>KALMAR LÄN</t>
        </is>
      </c>
      <c r="E1088" t="inlineStr">
        <is>
          <t>VÄSTERVIK</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17314-2023</t>
        </is>
      </c>
      <c r="B1089" s="1" t="n">
        <v>45035</v>
      </c>
      <c r="C1089" s="1" t="n">
        <v>45801</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v>
      </c>
      <c r="C1090" s="1" t="n">
        <v>45801</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17306-2023</t>
        </is>
      </c>
      <c r="B1091" s="1" t="n">
        <v>45035</v>
      </c>
      <c r="C1091" s="1" t="n">
        <v>45801</v>
      </c>
      <c r="D1091" t="inlineStr">
        <is>
          <t>KALMAR LÄN</t>
        </is>
      </c>
      <c r="E1091" t="inlineStr">
        <is>
          <t>VÄSTERVIK</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17313-2023</t>
        </is>
      </c>
      <c r="B1092" s="1" t="n">
        <v>45035</v>
      </c>
      <c r="C1092" s="1" t="n">
        <v>45801</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17317-2023</t>
        </is>
      </c>
      <c r="B1093" s="1" t="n">
        <v>45035</v>
      </c>
      <c r="C1093" s="1" t="n">
        <v>45801</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c r="U1093">
        <f>HYPERLINK("https://klasma.github.io/Logging_0883/knärot/A 17317-2023 karta knärot.png", "A 17317-2023")</f>
        <v/>
      </c>
      <c r="V1093">
        <f>HYPERLINK("https://klasma.github.io/Logging_0883/klagomål/A 17317-2023 FSC-klagomål.docx", "A 17317-2023")</f>
        <v/>
      </c>
      <c r="W1093">
        <f>HYPERLINK("https://klasma.github.io/Logging_0883/klagomålsmail/A 17317-2023 FSC-klagomål mail.docx", "A 17317-2023")</f>
        <v/>
      </c>
      <c r="X1093">
        <f>HYPERLINK("https://klasma.github.io/Logging_0883/tillsyn/A 17317-2023 tillsynsbegäran.docx", "A 17317-2023")</f>
        <v/>
      </c>
      <c r="Y1093">
        <f>HYPERLINK("https://klasma.github.io/Logging_0883/tillsynsmail/A 17317-2023 tillsynsbegäran mail.docx", "A 17317-2023")</f>
        <v/>
      </c>
    </row>
    <row r="1094" ht="15" customHeight="1">
      <c r="A1094" t="inlineStr">
        <is>
          <t>A 17467-2023</t>
        </is>
      </c>
      <c r="B1094" s="1" t="n">
        <v>45036</v>
      </c>
      <c r="C1094" s="1" t="n">
        <v>45801</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17642-2023</t>
        </is>
      </c>
      <c r="B1095" s="1" t="n">
        <v>45036</v>
      </c>
      <c r="C1095" s="1" t="n">
        <v>45801</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17644-2023</t>
        </is>
      </c>
      <c r="B1096" s="1" t="n">
        <v>45036</v>
      </c>
      <c r="C1096" s="1" t="n">
        <v>45801</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17650-2023</t>
        </is>
      </c>
      <c r="B1097" s="1" t="n">
        <v>45036</v>
      </c>
      <c r="C1097" s="1" t="n">
        <v>45801</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17645-2023</t>
        </is>
      </c>
      <c r="B1098" s="1" t="n">
        <v>45036</v>
      </c>
      <c r="C1098" s="1" t="n">
        <v>45801</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17652-2023</t>
        </is>
      </c>
      <c r="B1099" s="1" t="n">
        <v>45036</v>
      </c>
      <c r="C1099" s="1" t="n">
        <v>45801</v>
      </c>
      <c r="D1099" t="inlineStr">
        <is>
          <t>KALMAR LÄN</t>
        </is>
      </c>
      <c r="E1099" t="inlineStr">
        <is>
          <t>VÄSTERVIK</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17643-2023</t>
        </is>
      </c>
      <c r="B1100" s="1" t="n">
        <v>45036</v>
      </c>
      <c r="C1100" s="1" t="n">
        <v>45801</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17648-2023</t>
        </is>
      </c>
      <c r="B1101" s="1" t="n">
        <v>45036</v>
      </c>
      <c r="C1101" s="1" t="n">
        <v>45801</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18051-2023</t>
        </is>
      </c>
      <c r="B1102" s="1" t="n">
        <v>45040</v>
      </c>
      <c r="C1102" s="1" t="n">
        <v>45801</v>
      </c>
      <c r="D1102" t="inlineStr">
        <is>
          <t>KALMAR LÄN</t>
        </is>
      </c>
      <c r="E1102" t="inlineStr">
        <is>
          <t>VÄSTERVIK</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18071-2023</t>
        </is>
      </c>
      <c r="B1103" s="1" t="n">
        <v>45040</v>
      </c>
      <c r="C1103" s="1" t="n">
        <v>45801</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18068-2023</t>
        </is>
      </c>
      <c r="B1104" s="1" t="n">
        <v>45040</v>
      </c>
      <c r="C1104" s="1" t="n">
        <v>45801</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18079-2023</t>
        </is>
      </c>
      <c r="B1105" s="1" t="n">
        <v>45040</v>
      </c>
      <c r="C1105" s="1" t="n">
        <v>45801</v>
      </c>
      <c r="D1105" t="inlineStr">
        <is>
          <t>KALMAR LÄN</t>
        </is>
      </c>
      <c r="E1105" t="inlineStr">
        <is>
          <t>VÄSTERVIK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18048-2023</t>
        </is>
      </c>
      <c r="B1106" s="1" t="n">
        <v>45040</v>
      </c>
      <c r="C1106" s="1" t="n">
        <v>45801</v>
      </c>
      <c r="D1106" t="inlineStr">
        <is>
          <t>KALMAR LÄN</t>
        </is>
      </c>
      <c r="E1106" t="inlineStr">
        <is>
          <t>VÄSTERVIK</t>
        </is>
      </c>
      <c r="F1106" t="inlineStr">
        <is>
          <t>Sveaskog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18081-2023</t>
        </is>
      </c>
      <c r="B1107" s="1" t="n">
        <v>45040</v>
      </c>
      <c r="C1107" s="1" t="n">
        <v>45801</v>
      </c>
      <c r="D1107" t="inlineStr">
        <is>
          <t>KALMAR LÄN</t>
        </is>
      </c>
      <c r="E1107" t="inlineStr">
        <is>
          <t>VÄSTERVIK</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18858-2023</t>
        </is>
      </c>
      <c r="B1108" s="1" t="n">
        <v>45044</v>
      </c>
      <c r="C1108" s="1" t="n">
        <v>45801</v>
      </c>
      <c r="D1108" t="inlineStr">
        <is>
          <t>KALMAR LÄN</t>
        </is>
      </c>
      <c r="E1108" t="inlineStr">
        <is>
          <t>VÄSTERVIK</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18859-2023</t>
        </is>
      </c>
      <c r="B1109" s="1" t="n">
        <v>45044</v>
      </c>
      <c r="C1109" s="1" t="n">
        <v>45801</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18960-2023</t>
        </is>
      </c>
      <c r="B1110" s="1" t="n">
        <v>45044</v>
      </c>
      <c r="C1110" s="1" t="n">
        <v>45801</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19110-2023</t>
        </is>
      </c>
      <c r="B1111" s="1" t="n">
        <v>45048</v>
      </c>
      <c r="C1111" s="1" t="n">
        <v>45801</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19212-2023</t>
        </is>
      </c>
      <c r="B1112" s="1" t="n">
        <v>45048</v>
      </c>
      <c r="C1112" s="1" t="n">
        <v>45801</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19365-2023</t>
        </is>
      </c>
      <c r="B1113" s="1" t="n">
        <v>45049</v>
      </c>
      <c r="C1113" s="1" t="n">
        <v>45801</v>
      </c>
      <c r="D1113" t="inlineStr">
        <is>
          <t>KALMAR LÄN</t>
        </is>
      </c>
      <c r="E1113" t="inlineStr">
        <is>
          <t>VÄSTERVIK</t>
        </is>
      </c>
      <c r="G1113" t="n">
        <v>5.8</v>
      </c>
      <c r="H1113" t="n">
        <v>0</v>
      </c>
      <c r="I1113" t="n">
        <v>0</v>
      </c>
      <c r="J1113" t="n">
        <v>0</v>
      </c>
      <c r="K1113" t="n">
        <v>0</v>
      </c>
      <c r="L1113" t="n">
        <v>0</v>
      </c>
      <c r="M1113" t="n">
        <v>0</v>
      </c>
      <c r="N1113" t="n">
        <v>0</v>
      </c>
      <c r="O1113" t="n">
        <v>0</v>
      </c>
      <c r="P1113" t="n">
        <v>0</v>
      </c>
      <c r="Q1113" t="n">
        <v>0</v>
      </c>
      <c r="R1113" s="2" t="inlineStr"/>
      <c r="U1113">
        <f>HYPERLINK("https://klasma.github.io/Logging_0883/knärot/A 19365-2023 karta knärot.png", "A 19365-2023")</f>
        <v/>
      </c>
      <c r="V1113">
        <f>HYPERLINK("https://klasma.github.io/Logging_0883/klagomål/A 19365-2023 FSC-klagomål.docx", "A 19365-2023")</f>
        <v/>
      </c>
      <c r="W1113">
        <f>HYPERLINK("https://klasma.github.io/Logging_0883/klagomålsmail/A 19365-2023 FSC-klagomål mail.docx", "A 19365-2023")</f>
        <v/>
      </c>
      <c r="X1113">
        <f>HYPERLINK("https://klasma.github.io/Logging_0883/tillsyn/A 19365-2023 tillsynsbegäran.docx", "A 19365-2023")</f>
        <v/>
      </c>
      <c r="Y1113">
        <f>HYPERLINK("https://klasma.github.io/Logging_0883/tillsynsmail/A 19365-2023 tillsynsbegäran mail.docx", "A 19365-2023")</f>
        <v/>
      </c>
    </row>
    <row r="1114" ht="15" customHeight="1">
      <c r="A1114" t="inlineStr">
        <is>
          <t>A 19333-2023</t>
        </is>
      </c>
      <c r="B1114" s="1" t="n">
        <v>45049</v>
      </c>
      <c r="C1114" s="1" t="n">
        <v>45801</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19551-2023</t>
        </is>
      </c>
      <c r="B1115" s="1" t="n">
        <v>45049</v>
      </c>
      <c r="C1115" s="1" t="n">
        <v>45801</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19638-2023</t>
        </is>
      </c>
      <c r="B1116" s="1" t="n">
        <v>45051</v>
      </c>
      <c r="C1116" s="1" t="n">
        <v>45801</v>
      </c>
      <c r="D1116" t="inlineStr">
        <is>
          <t>KALMAR LÄN</t>
        </is>
      </c>
      <c r="E1116" t="inlineStr">
        <is>
          <t>VÄSTERVIK</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19660-2023</t>
        </is>
      </c>
      <c r="B1117" s="1" t="n">
        <v>45051</v>
      </c>
      <c r="C1117" s="1" t="n">
        <v>45801</v>
      </c>
      <c r="D1117" t="inlineStr">
        <is>
          <t>KALMAR LÄN</t>
        </is>
      </c>
      <c r="E1117" t="inlineStr">
        <is>
          <t>VÄSTERVIK</t>
        </is>
      </c>
      <c r="F1117" t="inlineStr">
        <is>
          <t>Övriga Aktiebolag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19639-2023</t>
        </is>
      </c>
      <c r="B1118" s="1" t="n">
        <v>45051</v>
      </c>
      <c r="C1118" s="1" t="n">
        <v>45801</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19640-2023</t>
        </is>
      </c>
      <c r="B1119" s="1" t="n">
        <v>45051</v>
      </c>
      <c r="C1119" s="1" t="n">
        <v>45801</v>
      </c>
      <c r="D1119" t="inlineStr">
        <is>
          <t>KALMAR LÄN</t>
        </is>
      </c>
      <c r="E1119" t="inlineStr">
        <is>
          <t>VÄSTERVIK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19864-2023</t>
        </is>
      </c>
      <c r="B1120" s="1" t="n">
        <v>45053</v>
      </c>
      <c r="C1120" s="1" t="n">
        <v>45801</v>
      </c>
      <c r="D1120" t="inlineStr">
        <is>
          <t>KALMAR LÄN</t>
        </is>
      </c>
      <c r="E1120" t="inlineStr">
        <is>
          <t>VÄSTERVIK</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20637-2023</t>
        </is>
      </c>
      <c r="B1121" s="1" t="n">
        <v>45057</v>
      </c>
      <c r="C1121" s="1" t="n">
        <v>45801</v>
      </c>
      <c r="D1121" t="inlineStr">
        <is>
          <t>KALMAR LÄN</t>
        </is>
      </c>
      <c r="E1121" t="inlineStr">
        <is>
          <t>VÄSTERVIK</t>
        </is>
      </c>
      <c r="F1121" t="inlineStr">
        <is>
          <t>Holmen skog AB</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20774-2023</t>
        </is>
      </c>
      <c r="B1122" s="1" t="n">
        <v>45058</v>
      </c>
      <c r="C1122" s="1" t="n">
        <v>45801</v>
      </c>
      <c r="D1122" t="inlineStr">
        <is>
          <t>KALMAR LÄN</t>
        </is>
      </c>
      <c r="E1122" t="inlineStr">
        <is>
          <t>VÄSTERVIK</t>
        </is>
      </c>
      <c r="F1122" t="inlineStr">
        <is>
          <t>Sveaskog</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21122-2023</t>
        </is>
      </c>
      <c r="B1123" s="1" t="n">
        <v>45062</v>
      </c>
      <c r="C1123" s="1" t="n">
        <v>45801</v>
      </c>
      <c r="D1123" t="inlineStr">
        <is>
          <t>KALMAR LÄN</t>
        </is>
      </c>
      <c r="E1123" t="inlineStr">
        <is>
          <t>VÄSTERVIK</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21286-2023</t>
        </is>
      </c>
      <c r="B1124" s="1" t="n">
        <v>45062</v>
      </c>
      <c r="C1124" s="1" t="n">
        <v>45801</v>
      </c>
      <c r="D1124" t="inlineStr">
        <is>
          <t>KALMAR LÄN</t>
        </is>
      </c>
      <c r="E1124" t="inlineStr">
        <is>
          <t>VÄSTERVIK</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21447-2023</t>
        </is>
      </c>
      <c r="B1125" s="1" t="n">
        <v>45063</v>
      </c>
      <c r="C1125" s="1" t="n">
        <v>45801</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21826-2023</t>
        </is>
      </c>
      <c r="B1126" s="1" t="n">
        <v>45068</v>
      </c>
      <c r="C1126" s="1" t="n">
        <v>45801</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21831-2023</t>
        </is>
      </c>
      <c r="B1127" s="1" t="n">
        <v>45068</v>
      </c>
      <c r="C1127" s="1" t="n">
        <v>45801</v>
      </c>
      <c r="D1127" t="inlineStr">
        <is>
          <t>KALMAR LÄN</t>
        </is>
      </c>
      <c r="E1127" t="inlineStr">
        <is>
          <t>VÄSTERVIK</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21939-2023</t>
        </is>
      </c>
      <c r="B1128" s="1" t="n">
        <v>45068</v>
      </c>
      <c r="C1128" s="1" t="n">
        <v>45801</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21823-2023</t>
        </is>
      </c>
      <c r="B1129" s="1" t="n">
        <v>45068</v>
      </c>
      <c r="C1129" s="1" t="n">
        <v>45801</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21830-2023</t>
        </is>
      </c>
      <c r="B1130" s="1" t="n">
        <v>45068</v>
      </c>
      <c r="C1130" s="1" t="n">
        <v>45801</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21824-2023</t>
        </is>
      </c>
      <c r="B1131" s="1" t="n">
        <v>45068</v>
      </c>
      <c r="C1131" s="1" t="n">
        <v>45801</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21829-2023</t>
        </is>
      </c>
      <c r="B1132" s="1" t="n">
        <v>45068</v>
      </c>
      <c r="C1132" s="1" t="n">
        <v>45801</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21942-2023</t>
        </is>
      </c>
      <c r="B1133" s="1" t="n">
        <v>45068</v>
      </c>
      <c r="C1133" s="1" t="n">
        <v>45801</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21940-2023</t>
        </is>
      </c>
      <c r="B1134" s="1" t="n">
        <v>45068</v>
      </c>
      <c r="C1134" s="1" t="n">
        <v>45801</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23439-2023</t>
        </is>
      </c>
      <c r="B1135" s="1" t="n">
        <v>45072</v>
      </c>
      <c r="C1135" s="1" t="n">
        <v>45801</v>
      </c>
      <c r="D1135" t="inlineStr">
        <is>
          <t>KALMAR LÄN</t>
        </is>
      </c>
      <c r="E1135" t="inlineStr">
        <is>
          <t>VÄSTERVIK</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23080-2023</t>
        </is>
      </c>
      <c r="B1136" s="1" t="n">
        <v>45075</v>
      </c>
      <c r="C1136" s="1" t="n">
        <v>45801</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23317-2023</t>
        </is>
      </c>
      <c r="B1137" s="1" t="n">
        <v>45076</v>
      </c>
      <c r="C1137" s="1" t="n">
        <v>45801</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v>
      </c>
      <c r="C1138" s="1" t="n">
        <v>45801</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23580-2023</t>
        </is>
      </c>
      <c r="B1139" s="1" t="n">
        <v>45077</v>
      </c>
      <c r="C1139" s="1" t="n">
        <v>45801</v>
      </c>
      <c r="D1139" t="inlineStr">
        <is>
          <t>KALMAR LÄN</t>
        </is>
      </c>
      <c r="E1139" t="inlineStr">
        <is>
          <t>VÄSTERVIK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25403-2023</t>
        </is>
      </c>
      <c r="B1140" s="1" t="n">
        <v>45079</v>
      </c>
      <c r="C1140" s="1" t="n">
        <v>45801</v>
      </c>
      <c r="D1140" t="inlineStr">
        <is>
          <t>KALMAR LÄN</t>
        </is>
      </c>
      <c r="E1140" t="inlineStr">
        <is>
          <t>VÄSTERVIK</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24877-2023</t>
        </is>
      </c>
      <c r="B1141" s="1" t="n">
        <v>45085</v>
      </c>
      <c r="C1141" s="1" t="n">
        <v>45801</v>
      </c>
      <c r="D1141" t="inlineStr">
        <is>
          <t>KALMAR LÄN</t>
        </is>
      </c>
      <c r="E1141" t="inlineStr">
        <is>
          <t>VÄSTERVIK</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24881-2023</t>
        </is>
      </c>
      <c r="B1142" s="1" t="n">
        <v>45085</v>
      </c>
      <c r="C1142" s="1" t="n">
        <v>45801</v>
      </c>
      <c r="D1142" t="inlineStr">
        <is>
          <t>KALMAR LÄN</t>
        </is>
      </c>
      <c r="E1142" t="inlineStr">
        <is>
          <t>VÄSTERVIK</t>
        </is>
      </c>
      <c r="F1142" t="inlineStr">
        <is>
          <t>Holmen skog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24893-2023</t>
        </is>
      </c>
      <c r="B1143" s="1" t="n">
        <v>45085</v>
      </c>
      <c r="C1143" s="1" t="n">
        <v>45801</v>
      </c>
      <c r="D1143" t="inlineStr">
        <is>
          <t>KALMAR LÄN</t>
        </is>
      </c>
      <c r="E1143" t="inlineStr">
        <is>
          <t>VÄSTERVIK</t>
        </is>
      </c>
      <c r="F1143" t="inlineStr">
        <is>
          <t>Holmen skog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25180-2023</t>
        </is>
      </c>
      <c r="B1144" s="1" t="n">
        <v>45086</v>
      </c>
      <c r="C1144" s="1" t="n">
        <v>45801</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25434-2023</t>
        </is>
      </c>
      <c r="B1145" s="1" t="n">
        <v>45089</v>
      </c>
      <c r="C1145" s="1" t="n">
        <v>45801</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25440-2023</t>
        </is>
      </c>
      <c r="B1146" s="1" t="n">
        <v>45089</v>
      </c>
      <c r="C1146" s="1" t="n">
        <v>45801</v>
      </c>
      <c r="D1146" t="inlineStr">
        <is>
          <t>KALMAR LÄN</t>
        </is>
      </c>
      <c r="E1146" t="inlineStr">
        <is>
          <t>VÄSTERVIK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25568-2023</t>
        </is>
      </c>
      <c r="B1147" s="1" t="n">
        <v>45089</v>
      </c>
      <c r="C1147" s="1" t="n">
        <v>45801</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25488-2023</t>
        </is>
      </c>
      <c r="B1148" s="1" t="n">
        <v>45089</v>
      </c>
      <c r="C1148" s="1" t="n">
        <v>45801</v>
      </c>
      <c r="D1148" t="inlineStr">
        <is>
          <t>KALMAR LÄN</t>
        </is>
      </c>
      <c r="E1148" t="inlineStr">
        <is>
          <t>VÄSTERVIK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25518-2023</t>
        </is>
      </c>
      <c r="B1149" s="1" t="n">
        <v>45089</v>
      </c>
      <c r="C1149" s="1" t="n">
        <v>45801</v>
      </c>
      <c r="D1149" t="inlineStr">
        <is>
          <t>KALMAR LÄN</t>
        </is>
      </c>
      <c r="E1149" t="inlineStr">
        <is>
          <t>VÄSTERVIK</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25714-2023</t>
        </is>
      </c>
      <c r="B1150" s="1" t="n">
        <v>45089</v>
      </c>
      <c r="C1150" s="1" t="n">
        <v>45801</v>
      </c>
      <c r="D1150" t="inlineStr">
        <is>
          <t>KALMAR LÄN</t>
        </is>
      </c>
      <c r="E1150" t="inlineStr">
        <is>
          <t>VÄSTERVIK</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25801-2023</t>
        </is>
      </c>
      <c r="B1151" s="1" t="n">
        <v>45090</v>
      </c>
      <c r="C1151" s="1" t="n">
        <v>45801</v>
      </c>
      <c r="D1151" t="inlineStr">
        <is>
          <t>KALMAR LÄN</t>
        </is>
      </c>
      <c r="E1151" t="inlineStr">
        <is>
          <t>VÄSTERVIK</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26244-2023</t>
        </is>
      </c>
      <c r="B1152" s="1" t="n">
        <v>45091</v>
      </c>
      <c r="C1152" s="1" t="n">
        <v>45801</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26073-2023</t>
        </is>
      </c>
      <c r="B1153" s="1" t="n">
        <v>45091</v>
      </c>
      <c r="C1153" s="1" t="n">
        <v>45801</v>
      </c>
      <c r="D1153" t="inlineStr">
        <is>
          <t>KALMAR LÄN</t>
        </is>
      </c>
      <c r="E1153" t="inlineStr">
        <is>
          <t>VÄSTERVIK</t>
        </is>
      </c>
      <c r="F1153" t="inlineStr">
        <is>
          <t>Sveaskog</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26773-2023</t>
        </is>
      </c>
      <c r="B1154" s="1" t="n">
        <v>45093</v>
      </c>
      <c r="C1154" s="1" t="n">
        <v>45801</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26772-2023</t>
        </is>
      </c>
      <c r="B1155" s="1" t="n">
        <v>45093</v>
      </c>
      <c r="C1155" s="1" t="n">
        <v>45801</v>
      </c>
      <c r="D1155" t="inlineStr">
        <is>
          <t>KALMAR LÄN</t>
        </is>
      </c>
      <c r="E1155" t="inlineStr">
        <is>
          <t>VÄSTERVIK</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26776-2023</t>
        </is>
      </c>
      <c r="B1156" s="1" t="n">
        <v>45093</v>
      </c>
      <c r="C1156" s="1" t="n">
        <v>45801</v>
      </c>
      <c r="D1156" t="inlineStr">
        <is>
          <t>KALMAR LÄN</t>
        </is>
      </c>
      <c r="E1156" t="inlineStr">
        <is>
          <t>VÄSTERVIK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26770-2023</t>
        </is>
      </c>
      <c r="B1157" s="1" t="n">
        <v>45093</v>
      </c>
      <c r="C1157" s="1" t="n">
        <v>45801</v>
      </c>
      <c r="D1157" t="inlineStr">
        <is>
          <t>KALMAR LÄN</t>
        </is>
      </c>
      <c r="E1157" t="inlineStr">
        <is>
          <t>VÄSTERVIK</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26775-2023</t>
        </is>
      </c>
      <c r="B1158" s="1" t="n">
        <v>45093</v>
      </c>
      <c r="C1158" s="1" t="n">
        <v>45801</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27485-2023</t>
        </is>
      </c>
      <c r="B1159" s="1" t="n">
        <v>45097</v>
      </c>
      <c r="C1159" s="1" t="n">
        <v>45801</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27491-2023</t>
        </is>
      </c>
      <c r="B1160" s="1" t="n">
        <v>45097</v>
      </c>
      <c r="C1160" s="1" t="n">
        <v>45801</v>
      </c>
      <c r="D1160" t="inlineStr">
        <is>
          <t>KALMAR LÄN</t>
        </is>
      </c>
      <c r="E1160" t="inlineStr">
        <is>
          <t>VÄSTERVIK</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27482-2023</t>
        </is>
      </c>
      <c r="B1161" s="1" t="n">
        <v>45097</v>
      </c>
      <c r="C1161" s="1" t="n">
        <v>45801</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27662-2023</t>
        </is>
      </c>
      <c r="B1162" s="1" t="n">
        <v>45097</v>
      </c>
      <c r="C1162" s="1" t="n">
        <v>45801</v>
      </c>
      <c r="D1162" t="inlineStr">
        <is>
          <t>KALMAR LÄN</t>
        </is>
      </c>
      <c r="E1162" t="inlineStr">
        <is>
          <t>VÄSTERVIK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28895-2023</t>
        </is>
      </c>
      <c r="B1163" s="1" t="n">
        <v>45104</v>
      </c>
      <c r="C1163" s="1" t="n">
        <v>45801</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28894-2023</t>
        </is>
      </c>
      <c r="B1164" s="1" t="n">
        <v>45104</v>
      </c>
      <c r="C1164" s="1" t="n">
        <v>45801</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28939-2023</t>
        </is>
      </c>
      <c r="B1165" s="1" t="n">
        <v>45104</v>
      </c>
      <c r="C1165" s="1" t="n">
        <v>45801</v>
      </c>
      <c r="D1165" t="inlineStr">
        <is>
          <t>KALMAR LÄN</t>
        </is>
      </c>
      <c r="E1165" t="inlineStr">
        <is>
          <t>VÄSTERVIK</t>
        </is>
      </c>
      <c r="F1165" t="inlineStr">
        <is>
          <t>Holmen skog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28952-2023</t>
        </is>
      </c>
      <c r="B1166" s="1" t="n">
        <v>45104</v>
      </c>
      <c r="C1166" s="1" t="n">
        <v>45801</v>
      </c>
      <c r="D1166" t="inlineStr">
        <is>
          <t>KALMAR LÄN</t>
        </is>
      </c>
      <c r="E1166" t="inlineStr">
        <is>
          <t>VÄSTERVIK</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29907-2023</t>
        </is>
      </c>
      <c r="B1167" s="1" t="n">
        <v>45107</v>
      </c>
      <c r="C1167" s="1" t="n">
        <v>45801</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29905-2023</t>
        </is>
      </c>
      <c r="B1168" s="1" t="n">
        <v>45107</v>
      </c>
      <c r="C1168" s="1" t="n">
        <v>45801</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29904-2023</t>
        </is>
      </c>
      <c r="B1169" s="1" t="n">
        <v>45107</v>
      </c>
      <c r="C1169" s="1" t="n">
        <v>45801</v>
      </c>
      <c r="D1169" t="inlineStr">
        <is>
          <t>KALMAR LÄN</t>
        </is>
      </c>
      <c r="E1169" t="inlineStr">
        <is>
          <t>VÄSTERVIK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30029-2023</t>
        </is>
      </c>
      <c r="B1170" s="1" t="n">
        <v>45110</v>
      </c>
      <c r="C1170" s="1" t="n">
        <v>45801</v>
      </c>
      <c r="D1170" t="inlineStr">
        <is>
          <t>KALMAR LÄN</t>
        </is>
      </c>
      <c r="E1170" t="inlineStr">
        <is>
          <t>VÄSTERVIK</t>
        </is>
      </c>
      <c r="F1170" t="inlineStr">
        <is>
          <t>Holmen skog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30035-2023</t>
        </is>
      </c>
      <c r="B1171" s="1" t="n">
        <v>45110</v>
      </c>
      <c r="C1171" s="1" t="n">
        <v>45801</v>
      </c>
      <c r="D1171" t="inlineStr">
        <is>
          <t>KALMAR LÄN</t>
        </is>
      </c>
      <c r="E1171" t="inlineStr">
        <is>
          <t>VÄSTERVIK</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32418-2023</t>
        </is>
      </c>
      <c r="B1172" s="1" t="n">
        <v>45110</v>
      </c>
      <c r="C1172" s="1" t="n">
        <v>45801</v>
      </c>
      <c r="D1172" t="inlineStr">
        <is>
          <t>KALMAR LÄN</t>
        </is>
      </c>
      <c r="E1172" t="inlineStr">
        <is>
          <t>VÄSTERVIK</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30431-2023</t>
        </is>
      </c>
      <c r="B1173" s="1" t="n">
        <v>45111</v>
      </c>
      <c r="C1173" s="1" t="n">
        <v>45801</v>
      </c>
      <c r="D1173" t="inlineStr">
        <is>
          <t>KALMAR LÄN</t>
        </is>
      </c>
      <c r="E1173" t="inlineStr">
        <is>
          <t>VÄSTERVIK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30692-2023</t>
        </is>
      </c>
      <c r="B1174" s="1" t="n">
        <v>45112</v>
      </c>
      <c r="C1174" s="1" t="n">
        <v>45801</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31437-2023</t>
        </is>
      </c>
      <c r="B1175" s="1" t="n">
        <v>45114</v>
      </c>
      <c r="C1175" s="1" t="n">
        <v>45801</v>
      </c>
      <c r="D1175" t="inlineStr">
        <is>
          <t>KALMAR LÄN</t>
        </is>
      </c>
      <c r="E1175" t="inlineStr">
        <is>
          <t>VÄSTERVIK</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33277-2023</t>
        </is>
      </c>
      <c r="B1176" s="1" t="n">
        <v>45114</v>
      </c>
      <c r="C1176" s="1" t="n">
        <v>45801</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31686-2023</t>
        </is>
      </c>
      <c r="B1177" s="1" t="n">
        <v>45117</v>
      </c>
      <c r="C1177" s="1" t="n">
        <v>45801</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31691-2023</t>
        </is>
      </c>
      <c r="B1178" s="1" t="n">
        <v>45117</v>
      </c>
      <c r="C1178" s="1" t="n">
        <v>45801</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32647-2023</t>
        </is>
      </c>
      <c r="B1179" s="1" t="n">
        <v>45121</v>
      </c>
      <c r="C1179" s="1" t="n">
        <v>45801</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32813-2023</t>
        </is>
      </c>
      <c r="B1180" s="1" t="n">
        <v>45124</v>
      </c>
      <c r="C1180" s="1" t="n">
        <v>45801</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32812-2023</t>
        </is>
      </c>
      <c r="B1181" s="1" t="n">
        <v>45124</v>
      </c>
      <c r="C1181" s="1" t="n">
        <v>45801</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32811-2023</t>
        </is>
      </c>
      <c r="B1182" s="1" t="n">
        <v>45124</v>
      </c>
      <c r="C1182" s="1" t="n">
        <v>45801</v>
      </c>
      <c r="D1182" t="inlineStr">
        <is>
          <t>KALMAR LÄN</t>
        </is>
      </c>
      <c r="E1182" t="inlineStr">
        <is>
          <t>VÄSTERVIK</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33271-2023</t>
        </is>
      </c>
      <c r="B1183" s="1" t="n">
        <v>45127</v>
      </c>
      <c r="C1183" s="1" t="n">
        <v>45801</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33272-2023</t>
        </is>
      </c>
      <c r="B1184" s="1" t="n">
        <v>45127</v>
      </c>
      <c r="C1184" s="1" t="n">
        <v>45801</v>
      </c>
      <c r="D1184" t="inlineStr">
        <is>
          <t>KALMAR LÄN</t>
        </is>
      </c>
      <c r="E1184" t="inlineStr">
        <is>
          <t>VÄSTERVIK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33489-2023</t>
        </is>
      </c>
      <c r="B1185" s="1" t="n">
        <v>45131</v>
      </c>
      <c r="C1185" s="1" t="n">
        <v>45801</v>
      </c>
      <c r="D1185" t="inlineStr">
        <is>
          <t>KALMAR LÄN</t>
        </is>
      </c>
      <c r="E1185" t="inlineStr">
        <is>
          <t>VÄSTERVIK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33648-2023</t>
        </is>
      </c>
      <c r="B1186" s="1" t="n">
        <v>45132</v>
      </c>
      <c r="C1186" s="1" t="n">
        <v>45801</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33647-2023</t>
        </is>
      </c>
      <c r="B1187" s="1" t="n">
        <v>45132</v>
      </c>
      <c r="C1187" s="1" t="n">
        <v>45801</v>
      </c>
      <c r="D1187" t="inlineStr">
        <is>
          <t>KALMAR LÄN</t>
        </is>
      </c>
      <c r="E1187" t="inlineStr">
        <is>
          <t>VÄSTERVIK</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33722-2023</t>
        </is>
      </c>
      <c r="B1188" s="1" t="n">
        <v>45133</v>
      </c>
      <c r="C1188" s="1" t="n">
        <v>45801</v>
      </c>
      <c r="D1188" t="inlineStr">
        <is>
          <t>KALMAR LÄN</t>
        </is>
      </c>
      <c r="E1188" t="inlineStr">
        <is>
          <t>VÄSTERVIK</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33828-2023</t>
        </is>
      </c>
      <c r="B1189" s="1" t="n">
        <v>45133</v>
      </c>
      <c r="C1189" s="1" t="n">
        <v>45801</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33814-2023</t>
        </is>
      </c>
      <c r="B1190" s="1" t="n">
        <v>45133</v>
      </c>
      <c r="C1190" s="1" t="n">
        <v>45801</v>
      </c>
      <c r="D1190" t="inlineStr">
        <is>
          <t>KALMAR LÄN</t>
        </is>
      </c>
      <c r="E1190" t="inlineStr">
        <is>
          <t>VÄSTERVIK</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33990-2023</t>
        </is>
      </c>
      <c r="B1191" s="1" t="n">
        <v>45134</v>
      </c>
      <c r="C1191" s="1" t="n">
        <v>45801</v>
      </c>
      <c r="D1191" t="inlineStr">
        <is>
          <t>KALMAR LÄN</t>
        </is>
      </c>
      <c r="E1191" t="inlineStr">
        <is>
          <t>VÄSTERVIK</t>
        </is>
      </c>
      <c r="F1191" t="inlineStr">
        <is>
          <t>Holmen skog AB</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34121-2023</t>
        </is>
      </c>
      <c r="B1192" s="1" t="n">
        <v>45135</v>
      </c>
      <c r="C1192" s="1" t="n">
        <v>45801</v>
      </c>
      <c r="D1192" t="inlineStr">
        <is>
          <t>KALMAR LÄN</t>
        </is>
      </c>
      <c r="E1192" t="inlineStr">
        <is>
          <t>VÄSTERVIK</t>
        </is>
      </c>
      <c r="G1192" t="n">
        <v>4</v>
      </c>
      <c r="H1192" t="n">
        <v>0</v>
      </c>
      <c r="I1192" t="n">
        <v>0</v>
      </c>
      <c r="J1192" t="n">
        <v>0</v>
      </c>
      <c r="K1192" t="n">
        <v>0</v>
      </c>
      <c r="L1192" t="n">
        <v>0</v>
      </c>
      <c r="M1192" t="n">
        <v>0</v>
      </c>
      <c r="N1192" t="n">
        <v>0</v>
      </c>
      <c r="O1192" t="n">
        <v>0</v>
      </c>
      <c r="P1192" t="n">
        <v>0</v>
      </c>
      <c r="Q1192" t="n">
        <v>0</v>
      </c>
      <c r="R1192" s="2" t="inlineStr"/>
      <c r="U1192">
        <f>HYPERLINK("https://klasma.github.io/Logging_0883/knärot/A 34121-2023 karta knärot.png", "A 34121-2023")</f>
        <v/>
      </c>
      <c r="V1192">
        <f>HYPERLINK("https://klasma.github.io/Logging_0883/klagomål/A 34121-2023 FSC-klagomål.docx", "A 34121-2023")</f>
        <v/>
      </c>
      <c r="W1192">
        <f>HYPERLINK("https://klasma.github.io/Logging_0883/klagomålsmail/A 34121-2023 FSC-klagomål mail.docx", "A 34121-2023")</f>
        <v/>
      </c>
      <c r="X1192">
        <f>HYPERLINK("https://klasma.github.io/Logging_0883/tillsyn/A 34121-2023 tillsynsbegäran.docx", "A 34121-2023")</f>
        <v/>
      </c>
      <c r="Y1192">
        <f>HYPERLINK("https://klasma.github.io/Logging_0883/tillsynsmail/A 34121-2023 tillsynsbegäran mail.docx", "A 34121-2023")</f>
        <v/>
      </c>
    </row>
    <row r="1193" ht="15" customHeight="1">
      <c r="A1193" t="inlineStr">
        <is>
          <t>A 34643-2023</t>
        </is>
      </c>
      <c r="B1193" s="1" t="n">
        <v>45140</v>
      </c>
      <c r="C1193" s="1" t="n">
        <v>45801</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34648-2023</t>
        </is>
      </c>
      <c r="B1194" s="1" t="n">
        <v>45140</v>
      </c>
      <c r="C1194" s="1" t="n">
        <v>45801</v>
      </c>
      <c r="D1194" t="inlineStr">
        <is>
          <t>KALMAR LÄN</t>
        </is>
      </c>
      <c r="E1194" t="inlineStr">
        <is>
          <t>VÄSTERVIK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34641-2023</t>
        </is>
      </c>
      <c r="B1195" s="1" t="n">
        <v>45140</v>
      </c>
      <c r="C1195" s="1" t="n">
        <v>45801</v>
      </c>
      <c r="D1195" t="inlineStr">
        <is>
          <t>KALMAR LÄN</t>
        </is>
      </c>
      <c r="E1195" t="inlineStr">
        <is>
          <t>VÄSTERVIK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34646-2023</t>
        </is>
      </c>
      <c r="B1196" s="1" t="n">
        <v>45140</v>
      </c>
      <c r="C1196" s="1" t="n">
        <v>45801</v>
      </c>
      <c r="D1196" t="inlineStr">
        <is>
          <t>KALMAR LÄN</t>
        </is>
      </c>
      <c r="E1196" t="inlineStr">
        <is>
          <t>VÄSTERVIK</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34655-2023</t>
        </is>
      </c>
      <c r="B1197" s="1" t="n">
        <v>45140</v>
      </c>
      <c r="C1197" s="1" t="n">
        <v>45801</v>
      </c>
      <c r="D1197" t="inlineStr">
        <is>
          <t>KALMAR LÄN</t>
        </is>
      </c>
      <c r="E1197" t="inlineStr">
        <is>
          <t>VÄSTERVIK</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34650-2023</t>
        </is>
      </c>
      <c r="B1198" s="1" t="n">
        <v>45140</v>
      </c>
      <c r="C1198" s="1" t="n">
        <v>45801</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34953-2023</t>
        </is>
      </c>
      <c r="B1199" s="1" t="n">
        <v>45142</v>
      </c>
      <c r="C1199" s="1" t="n">
        <v>45801</v>
      </c>
      <c r="D1199" t="inlineStr">
        <is>
          <t>KALMAR LÄN</t>
        </is>
      </c>
      <c r="E1199" t="inlineStr">
        <is>
          <t>VÄSTERVIK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35171-2023</t>
        </is>
      </c>
      <c r="B1200" s="1" t="n">
        <v>45145</v>
      </c>
      <c r="C1200" s="1" t="n">
        <v>45801</v>
      </c>
      <c r="D1200" t="inlineStr">
        <is>
          <t>KALMAR LÄN</t>
        </is>
      </c>
      <c r="E1200" t="inlineStr">
        <is>
          <t>VÄSTERVIK</t>
        </is>
      </c>
      <c r="F1200" t="inlineStr">
        <is>
          <t>Holmen skog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35160-2023</t>
        </is>
      </c>
      <c r="B1201" s="1" t="n">
        <v>45145</v>
      </c>
      <c r="C1201" s="1" t="n">
        <v>45801</v>
      </c>
      <c r="D1201" t="inlineStr">
        <is>
          <t>KALMAR LÄN</t>
        </is>
      </c>
      <c r="E1201" t="inlineStr">
        <is>
          <t>VÄSTERVIK</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35180-2023</t>
        </is>
      </c>
      <c r="B1202" s="1" t="n">
        <v>45145</v>
      </c>
      <c r="C1202" s="1" t="n">
        <v>45801</v>
      </c>
      <c r="D1202" t="inlineStr">
        <is>
          <t>KALMAR LÄN</t>
        </is>
      </c>
      <c r="E1202" t="inlineStr">
        <is>
          <t>VÄSTERVIK</t>
        </is>
      </c>
      <c r="F1202" t="inlineStr">
        <is>
          <t>Holmen skog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35502-2023</t>
        </is>
      </c>
      <c r="B1203" s="1" t="n">
        <v>45146</v>
      </c>
      <c r="C1203" s="1" t="n">
        <v>45801</v>
      </c>
      <c r="D1203" t="inlineStr">
        <is>
          <t>KALMAR LÄN</t>
        </is>
      </c>
      <c r="E1203" t="inlineStr">
        <is>
          <t>VÄSTERVIK</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35484-2023</t>
        </is>
      </c>
      <c r="B1204" s="1" t="n">
        <v>45146</v>
      </c>
      <c r="C1204" s="1" t="n">
        <v>45801</v>
      </c>
      <c r="D1204" t="inlineStr">
        <is>
          <t>KALMAR LÄN</t>
        </is>
      </c>
      <c r="E1204" t="inlineStr">
        <is>
          <t>VÄSTERVIK</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35485-2023</t>
        </is>
      </c>
      <c r="B1205" s="1" t="n">
        <v>45146</v>
      </c>
      <c r="C1205" s="1" t="n">
        <v>45801</v>
      </c>
      <c r="D1205" t="inlineStr">
        <is>
          <t>KALMAR LÄN</t>
        </is>
      </c>
      <c r="E1205" t="inlineStr">
        <is>
          <t>VÄSTERVIK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35658-2023</t>
        </is>
      </c>
      <c r="B1206" s="1" t="n">
        <v>45147</v>
      </c>
      <c r="C1206" s="1" t="n">
        <v>45801</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35662-2023</t>
        </is>
      </c>
      <c r="B1207" s="1" t="n">
        <v>45147</v>
      </c>
      <c r="C1207" s="1" t="n">
        <v>45801</v>
      </c>
      <c r="D1207" t="inlineStr">
        <is>
          <t>KALMAR LÄN</t>
        </is>
      </c>
      <c r="E1207" t="inlineStr">
        <is>
          <t>VÄSTERVIK</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35666-2023</t>
        </is>
      </c>
      <c r="B1208" s="1" t="n">
        <v>45147</v>
      </c>
      <c r="C1208" s="1" t="n">
        <v>45801</v>
      </c>
      <c r="D1208" t="inlineStr">
        <is>
          <t>KALMAR LÄN</t>
        </is>
      </c>
      <c r="E1208" t="inlineStr">
        <is>
          <t>VÄSTERVIK</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35606-2023</t>
        </is>
      </c>
      <c r="B1209" s="1" t="n">
        <v>45147</v>
      </c>
      <c r="C1209" s="1" t="n">
        <v>45801</v>
      </c>
      <c r="D1209" t="inlineStr">
        <is>
          <t>KALMAR LÄN</t>
        </is>
      </c>
      <c r="E1209" t="inlineStr">
        <is>
          <t>VÄSTERVIK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35770-2023</t>
        </is>
      </c>
      <c r="B1210" s="1" t="n">
        <v>45147</v>
      </c>
      <c r="C1210" s="1" t="n">
        <v>45801</v>
      </c>
      <c r="D1210" t="inlineStr">
        <is>
          <t>KALMAR LÄN</t>
        </is>
      </c>
      <c r="E1210" t="inlineStr">
        <is>
          <t>VÄSTERVIK</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35655-2023</t>
        </is>
      </c>
      <c r="B1211" s="1" t="n">
        <v>45147</v>
      </c>
      <c r="C1211" s="1" t="n">
        <v>45801</v>
      </c>
      <c r="D1211" t="inlineStr">
        <is>
          <t>KALMAR LÄN</t>
        </is>
      </c>
      <c r="E1211" t="inlineStr">
        <is>
          <t>VÄSTERVIK</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35667-2023</t>
        </is>
      </c>
      <c r="B1212" s="1" t="n">
        <v>45147</v>
      </c>
      <c r="C1212" s="1" t="n">
        <v>45801</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35652-2023</t>
        </is>
      </c>
      <c r="B1213" s="1" t="n">
        <v>45147</v>
      </c>
      <c r="C1213" s="1" t="n">
        <v>45801</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35660-2023</t>
        </is>
      </c>
      <c r="B1214" s="1" t="n">
        <v>45147</v>
      </c>
      <c r="C1214" s="1" t="n">
        <v>45801</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35619-2023</t>
        </is>
      </c>
      <c r="B1215" s="1" t="n">
        <v>45147</v>
      </c>
      <c r="C1215" s="1" t="n">
        <v>45801</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35653-2023</t>
        </is>
      </c>
      <c r="B1216" s="1" t="n">
        <v>45147</v>
      </c>
      <c r="C1216" s="1" t="n">
        <v>45801</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35665-2023</t>
        </is>
      </c>
      <c r="B1217" s="1" t="n">
        <v>45147</v>
      </c>
      <c r="C1217" s="1" t="n">
        <v>45801</v>
      </c>
      <c r="D1217" t="inlineStr">
        <is>
          <t>KALMAR LÄN</t>
        </is>
      </c>
      <c r="E1217" t="inlineStr">
        <is>
          <t>VÄSTERVIK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35960-2023</t>
        </is>
      </c>
      <c r="B1218" s="1" t="n">
        <v>45148</v>
      </c>
      <c r="C1218" s="1" t="n">
        <v>45801</v>
      </c>
      <c r="D1218" t="inlineStr">
        <is>
          <t>KALMAR LÄN</t>
        </is>
      </c>
      <c r="E1218" t="inlineStr">
        <is>
          <t>VÄSTERVIK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35959-2023</t>
        </is>
      </c>
      <c r="B1219" s="1" t="n">
        <v>45148</v>
      </c>
      <c r="C1219" s="1" t="n">
        <v>45801</v>
      </c>
      <c r="D1219" t="inlineStr">
        <is>
          <t>KALMAR LÄN</t>
        </is>
      </c>
      <c r="E1219" t="inlineStr">
        <is>
          <t>VÄSTERVIK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35962-2023</t>
        </is>
      </c>
      <c r="B1220" s="1" t="n">
        <v>45148</v>
      </c>
      <c r="C1220" s="1" t="n">
        <v>45801</v>
      </c>
      <c r="D1220" t="inlineStr">
        <is>
          <t>KALMAR LÄN</t>
        </is>
      </c>
      <c r="E1220" t="inlineStr">
        <is>
          <t>VÄSTERVIK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35961-2023</t>
        </is>
      </c>
      <c r="B1221" s="1" t="n">
        <v>45148</v>
      </c>
      <c r="C1221" s="1" t="n">
        <v>45801</v>
      </c>
      <c r="D1221" t="inlineStr">
        <is>
          <t>KALMAR LÄN</t>
        </is>
      </c>
      <c r="E1221" t="inlineStr">
        <is>
          <t>VÄSTERVIK</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36418-2023</t>
        </is>
      </c>
      <c r="B1222" s="1" t="n">
        <v>45152</v>
      </c>
      <c r="C1222" s="1" t="n">
        <v>45801</v>
      </c>
      <c r="D1222" t="inlineStr">
        <is>
          <t>KALMAR LÄN</t>
        </is>
      </c>
      <c r="E1222" t="inlineStr">
        <is>
          <t>VÄSTERVIK</t>
        </is>
      </c>
      <c r="G1222" t="n">
        <v>1.1</v>
      </c>
      <c r="H1222" t="n">
        <v>0</v>
      </c>
      <c r="I1222" t="n">
        <v>0</v>
      </c>
      <c r="J1222" t="n">
        <v>0</v>
      </c>
      <c r="K1222" t="n">
        <v>0</v>
      </c>
      <c r="L1222" t="n">
        <v>0</v>
      </c>
      <c r="M1222" t="n">
        <v>0</v>
      </c>
      <c r="N1222" t="n">
        <v>0</v>
      </c>
      <c r="O1222" t="n">
        <v>0</v>
      </c>
      <c r="P1222" t="n">
        <v>0</v>
      </c>
      <c r="Q1222" t="n">
        <v>0</v>
      </c>
      <c r="R1222" s="2" t="inlineStr"/>
      <c r="U1222">
        <f>HYPERLINK("https://klasma.github.io/Logging_0883/knärot/A 36418-2023 karta knärot.png", "A 36418-2023")</f>
        <v/>
      </c>
      <c r="V1222">
        <f>HYPERLINK("https://klasma.github.io/Logging_0883/klagomål/A 36418-2023 FSC-klagomål.docx", "A 36418-2023")</f>
        <v/>
      </c>
      <c r="W1222">
        <f>HYPERLINK("https://klasma.github.io/Logging_0883/klagomålsmail/A 36418-2023 FSC-klagomål mail.docx", "A 36418-2023")</f>
        <v/>
      </c>
      <c r="X1222">
        <f>HYPERLINK("https://klasma.github.io/Logging_0883/tillsyn/A 36418-2023 tillsynsbegäran.docx", "A 36418-2023")</f>
        <v/>
      </c>
      <c r="Y1222">
        <f>HYPERLINK("https://klasma.github.io/Logging_0883/tillsynsmail/A 36418-2023 tillsynsbegäran mail.docx", "A 36418-2023")</f>
        <v/>
      </c>
    </row>
    <row r="1223" ht="15" customHeight="1">
      <c r="A1223" t="inlineStr">
        <is>
          <t>A 36572-2023</t>
        </is>
      </c>
      <c r="B1223" s="1" t="n">
        <v>45153</v>
      </c>
      <c r="C1223" s="1" t="n">
        <v>45801</v>
      </c>
      <c r="D1223" t="inlineStr">
        <is>
          <t>KALMAR LÄN</t>
        </is>
      </c>
      <c r="E1223" t="inlineStr">
        <is>
          <t>VÄSTERVIK</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36643-2023</t>
        </is>
      </c>
      <c r="B1224" s="1" t="n">
        <v>45153</v>
      </c>
      <c r="C1224" s="1" t="n">
        <v>45801</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37349-2023</t>
        </is>
      </c>
      <c r="B1225" s="1" t="n">
        <v>45156</v>
      </c>
      <c r="C1225" s="1" t="n">
        <v>45801</v>
      </c>
      <c r="D1225" t="inlineStr">
        <is>
          <t>KALMAR LÄN</t>
        </is>
      </c>
      <c r="E1225" t="inlineStr">
        <is>
          <t>VÄSTERVIK</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37352-2023</t>
        </is>
      </c>
      <c r="B1226" s="1" t="n">
        <v>45156</v>
      </c>
      <c r="C1226" s="1" t="n">
        <v>45801</v>
      </c>
      <c r="D1226" t="inlineStr">
        <is>
          <t>KALMAR LÄN</t>
        </is>
      </c>
      <c r="E1226" t="inlineStr">
        <is>
          <t>VÄSTERVIK</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37354-2023</t>
        </is>
      </c>
      <c r="B1227" s="1" t="n">
        <v>45156</v>
      </c>
      <c r="C1227" s="1" t="n">
        <v>45801</v>
      </c>
      <c r="D1227" t="inlineStr">
        <is>
          <t>KALMAR LÄN</t>
        </is>
      </c>
      <c r="E1227" t="inlineStr">
        <is>
          <t>VÄSTERVIK</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37351-2023</t>
        </is>
      </c>
      <c r="B1228" s="1" t="n">
        <v>45156</v>
      </c>
      <c r="C1228" s="1" t="n">
        <v>45801</v>
      </c>
      <c r="D1228" t="inlineStr">
        <is>
          <t>KALMAR LÄN</t>
        </is>
      </c>
      <c r="E1228" t="inlineStr">
        <is>
          <t>VÄSTERVIK</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37642-2023</t>
        </is>
      </c>
      <c r="B1229" s="1" t="n">
        <v>45159</v>
      </c>
      <c r="C1229" s="1" t="n">
        <v>45801</v>
      </c>
      <c r="D1229" t="inlineStr">
        <is>
          <t>KALMAR LÄN</t>
        </is>
      </c>
      <c r="E1229" t="inlineStr">
        <is>
          <t>VÄSTERVIK</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37643-2023</t>
        </is>
      </c>
      <c r="B1230" s="1" t="n">
        <v>45159</v>
      </c>
      <c r="C1230" s="1" t="n">
        <v>45801</v>
      </c>
      <c r="D1230" t="inlineStr">
        <is>
          <t>KALMAR LÄN</t>
        </is>
      </c>
      <c r="E1230" t="inlineStr">
        <is>
          <t>VÄSTERVIK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37644-2023</t>
        </is>
      </c>
      <c r="B1231" s="1" t="n">
        <v>45159</v>
      </c>
      <c r="C1231" s="1" t="n">
        <v>45801</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37661-2023</t>
        </is>
      </c>
      <c r="B1232" s="1" t="n">
        <v>45159</v>
      </c>
      <c r="C1232" s="1" t="n">
        <v>45801</v>
      </c>
      <c r="D1232" t="inlineStr">
        <is>
          <t>KALMAR LÄN</t>
        </is>
      </c>
      <c r="E1232" t="inlineStr">
        <is>
          <t>VÄSTERVIK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37716-2023</t>
        </is>
      </c>
      <c r="B1233" s="1" t="n">
        <v>45159</v>
      </c>
      <c r="C1233" s="1" t="n">
        <v>45801</v>
      </c>
      <c r="D1233" t="inlineStr">
        <is>
          <t>KALMAR LÄN</t>
        </is>
      </c>
      <c r="E1233" t="inlineStr">
        <is>
          <t>VÄSTERVIK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37858-2023</t>
        </is>
      </c>
      <c r="B1234" s="1" t="n">
        <v>45160</v>
      </c>
      <c r="C1234" s="1" t="n">
        <v>45801</v>
      </c>
      <c r="D1234" t="inlineStr">
        <is>
          <t>KALMAR LÄN</t>
        </is>
      </c>
      <c r="E1234" t="inlineStr">
        <is>
          <t>VÄSTERVIK</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37956-2023</t>
        </is>
      </c>
      <c r="B1235" s="1" t="n">
        <v>45160</v>
      </c>
      <c r="C1235" s="1" t="n">
        <v>45801</v>
      </c>
      <c r="D1235" t="inlineStr">
        <is>
          <t>KALMAR LÄN</t>
        </is>
      </c>
      <c r="E1235" t="inlineStr">
        <is>
          <t>VÄSTERVIK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38040-2023</t>
        </is>
      </c>
      <c r="B1236" s="1" t="n">
        <v>45160</v>
      </c>
      <c r="C1236" s="1" t="n">
        <v>45801</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38045-2023</t>
        </is>
      </c>
      <c r="B1237" s="1" t="n">
        <v>45160</v>
      </c>
      <c r="C1237" s="1" t="n">
        <v>45801</v>
      </c>
      <c r="D1237" t="inlineStr">
        <is>
          <t>KALMAR LÄN</t>
        </is>
      </c>
      <c r="E1237" t="inlineStr">
        <is>
          <t>VÄSTERVIK</t>
        </is>
      </c>
      <c r="F1237" t="inlineStr">
        <is>
          <t>Sveaskog</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37952-2023</t>
        </is>
      </c>
      <c r="B1238" s="1" t="n">
        <v>45160</v>
      </c>
      <c r="C1238" s="1" t="n">
        <v>45801</v>
      </c>
      <c r="D1238" t="inlineStr">
        <is>
          <t>KALMAR LÄN</t>
        </is>
      </c>
      <c r="E1238" t="inlineStr">
        <is>
          <t>VÄSTERVIK</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37986-2023</t>
        </is>
      </c>
      <c r="B1239" s="1" t="n">
        <v>45160</v>
      </c>
      <c r="C1239" s="1" t="n">
        <v>45801</v>
      </c>
      <c r="D1239" t="inlineStr">
        <is>
          <t>KALMAR LÄN</t>
        </is>
      </c>
      <c r="E1239" t="inlineStr">
        <is>
          <t>VÄSTERVIK</t>
        </is>
      </c>
      <c r="F1239" t="inlineStr">
        <is>
          <t>Sveaskog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37991-2023</t>
        </is>
      </c>
      <c r="B1240" s="1" t="n">
        <v>45160</v>
      </c>
      <c r="C1240" s="1" t="n">
        <v>45801</v>
      </c>
      <c r="D1240" t="inlineStr">
        <is>
          <t>KALMAR LÄN</t>
        </is>
      </c>
      <c r="E1240" t="inlineStr">
        <is>
          <t>VÄSTERVIK</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38047-2023</t>
        </is>
      </c>
      <c r="B1241" s="1" t="n">
        <v>45160</v>
      </c>
      <c r="C1241" s="1" t="n">
        <v>45801</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37987-2023</t>
        </is>
      </c>
      <c r="B1242" s="1" t="n">
        <v>45160</v>
      </c>
      <c r="C1242" s="1" t="n">
        <v>45801</v>
      </c>
      <c r="D1242" t="inlineStr">
        <is>
          <t>KALMAR LÄN</t>
        </is>
      </c>
      <c r="E1242" t="inlineStr">
        <is>
          <t>VÄSTERVIK</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37997-2023</t>
        </is>
      </c>
      <c r="B1243" s="1" t="n">
        <v>45160</v>
      </c>
      <c r="C1243" s="1" t="n">
        <v>45801</v>
      </c>
      <c r="D1243" t="inlineStr">
        <is>
          <t>KALMAR LÄN</t>
        </is>
      </c>
      <c r="E1243" t="inlineStr">
        <is>
          <t>VÄSTERVIK</t>
        </is>
      </c>
      <c r="F1243" t="inlineStr">
        <is>
          <t>Sveaskog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37957-2023</t>
        </is>
      </c>
      <c r="B1244" s="1" t="n">
        <v>45160</v>
      </c>
      <c r="C1244" s="1" t="n">
        <v>45801</v>
      </c>
      <c r="D1244" t="inlineStr">
        <is>
          <t>KALMAR LÄN</t>
        </is>
      </c>
      <c r="E1244" t="inlineStr">
        <is>
          <t>VÄSTERVIK</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37963-2023</t>
        </is>
      </c>
      <c r="B1245" s="1" t="n">
        <v>45160</v>
      </c>
      <c r="C1245" s="1" t="n">
        <v>45801</v>
      </c>
      <c r="D1245" t="inlineStr">
        <is>
          <t>KALMAR LÄN</t>
        </is>
      </c>
      <c r="E1245" t="inlineStr">
        <is>
          <t>VÄSTERVIK</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37989-2023</t>
        </is>
      </c>
      <c r="B1246" s="1" t="n">
        <v>45160</v>
      </c>
      <c r="C1246" s="1" t="n">
        <v>45801</v>
      </c>
      <c r="D1246" t="inlineStr">
        <is>
          <t>KALMAR LÄN</t>
        </is>
      </c>
      <c r="E1246" t="inlineStr">
        <is>
          <t>VÄSTERVIK</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37995-2023</t>
        </is>
      </c>
      <c r="B1247" s="1" t="n">
        <v>45160</v>
      </c>
      <c r="C1247" s="1" t="n">
        <v>45801</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38037-2023</t>
        </is>
      </c>
      <c r="B1248" s="1" t="n">
        <v>45160</v>
      </c>
      <c r="C1248" s="1" t="n">
        <v>45801</v>
      </c>
      <c r="D1248" t="inlineStr">
        <is>
          <t>KALMAR LÄN</t>
        </is>
      </c>
      <c r="E1248" t="inlineStr">
        <is>
          <t>VÄSTERVIK</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38041-2023</t>
        </is>
      </c>
      <c r="B1249" s="1" t="n">
        <v>45160</v>
      </c>
      <c r="C1249" s="1" t="n">
        <v>45801</v>
      </c>
      <c r="D1249" t="inlineStr">
        <is>
          <t>KALMAR LÄN</t>
        </is>
      </c>
      <c r="E1249" t="inlineStr">
        <is>
          <t>VÄSTERVIK</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38046-2023</t>
        </is>
      </c>
      <c r="B1250" s="1" t="n">
        <v>45160</v>
      </c>
      <c r="C1250" s="1" t="n">
        <v>45801</v>
      </c>
      <c r="D1250" t="inlineStr">
        <is>
          <t>KALMAR LÄN</t>
        </is>
      </c>
      <c r="E1250" t="inlineStr">
        <is>
          <t>VÄSTERVIK</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38048-2023</t>
        </is>
      </c>
      <c r="B1251" s="1" t="n">
        <v>45160</v>
      </c>
      <c r="C1251" s="1" t="n">
        <v>45801</v>
      </c>
      <c r="D1251" t="inlineStr">
        <is>
          <t>KALMAR LÄN</t>
        </is>
      </c>
      <c r="E1251" t="inlineStr">
        <is>
          <t>VÄSTERVIK</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38174-2023</t>
        </is>
      </c>
      <c r="B1252" s="1" t="n">
        <v>45161</v>
      </c>
      <c r="C1252" s="1" t="n">
        <v>45801</v>
      </c>
      <c r="D1252" t="inlineStr">
        <is>
          <t>KALMAR LÄN</t>
        </is>
      </c>
      <c r="E1252" t="inlineStr">
        <is>
          <t>VÄSTERVIK</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39299-2023</t>
        </is>
      </c>
      <c r="B1253" s="1" t="n">
        <v>45166</v>
      </c>
      <c r="C1253" s="1" t="n">
        <v>45801</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39630-2023</t>
        </is>
      </c>
      <c r="B1254" s="1" t="n">
        <v>45167</v>
      </c>
      <c r="C1254" s="1" t="n">
        <v>45801</v>
      </c>
      <c r="D1254" t="inlineStr">
        <is>
          <t>KALMAR LÄN</t>
        </is>
      </c>
      <c r="E1254" t="inlineStr">
        <is>
          <t>VÄSTERVIK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39892-2023</t>
        </is>
      </c>
      <c r="B1255" s="1" t="n">
        <v>45168</v>
      </c>
      <c r="C1255" s="1" t="n">
        <v>45801</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40677-2023</t>
        </is>
      </c>
      <c r="B1256" s="1" t="n">
        <v>45170</v>
      </c>
      <c r="C1256" s="1" t="n">
        <v>45801</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40451-2023</t>
        </is>
      </c>
      <c r="B1257" s="1" t="n">
        <v>45170</v>
      </c>
      <c r="C1257" s="1" t="n">
        <v>45801</v>
      </c>
      <c r="D1257" t="inlineStr">
        <is>
          <t>KALMAR LÄN</t>
        </is>
      </c>
      <c r="E1257" t="inlineStr">
        <is>
          <t>VÄSTERVIK</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40674-2023</t>
        </is>
      </c>
      <c r="B1258" s="1" t="n">
        <v>45170</v>
      </c>
      <c r="C1258" s="1" t="n">
        <v>45801</v>
      </c>
      <c r="D1258" t="inlineStr">
        <is>
          <t>KALMAR LÄN</t>
        </is>
      </c>
      <c r="E1258" t="inlineStr">
        <is>
          <t>VÄSTERVIK</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40973-2023</t>
        </is>
      </c>
      <c r="B1259" s="1" t="n">
        <v>45173</v>
      </c>
      <c r="C1259" s="1" t="n">
        <v>45801</v>
      </c>
      <c r="D1259" t="inlineStr">
        <is>
          <t>KALMAR LÄN</t>
        </is>
      </c>
      <c r="E1259" t="inlineStr">
        <is>
          <t>VÄSTERVIK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40935-2023</t>
        </is>
      </c>
      <c r="B1260" s="1" t="n">
        <v>45173</v>
      </c>
      <c r="C1260" s="1" t="n">
        <v>45801</v>
      </c>
      <c r="D1260" t="inlineStr">
        <is>
          <t>KALMAR LÄN</t>
        </is>
      </c>
      <c r="E1260" t="inlineStr">
        <is>
          <t>VÄSTERVIK</t>
        </is>
      </c>
      <c r="F1260" t="inlineStr">
        <is>
          <t>Holmen skog AB</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40977-2023</t>
        </is>
      </c>
      <c r="B1261" s="1" t="n">
        <v>45173</v>
      </c>
      <c r="C1261" s="1" t="n">
        <v>45801</v>
      </c>
      <c r="D1261" t="inlineStr">
        <is>
          <t>KALMAR LÄN</t>
        </is>
      </c>
      <c r="E1261" t="inlineStr">
        <is>
          <t>VÄSTERVIK</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41342-2023</t>
        </is>
      </c>
      <c r="B1262" s="1" t="n">
        <v>45174</v>
      </c>
      <c r="C1262" s="1" t="n">
        <v>45801</v>
      </c>
      <c r="D1262" t="inlineStr">
        <is>
          <t>KALMAR LÄN</t>
        </is>
      </c>
      <c r="E1262" t="inlineStr">
        <is>
          <t>VÄSTERVIK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41994-2023</t>
        </is>
      </c>
      <c r="B1263" s="1" t="n">
        <v>45177</v>
      </c>
      <c r="C1263" s="1" t="n">
        <v>45801</v>
      </c>
      <c r="D1263" t="inlineStr">
        <is>
          <t>KALMAR LÄN</t>
        </is>
      </c>
      <c r="E1263" t="inlineStr">
        <is>
          <t>VÄSTERVIK</t>
        </is>
      </c>
      <c r="F1263" t="inlineStr">
        <is>
          <t>Holmen skog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42415-2023</t>
        </is>
      </c>
      <c r="B1264" s="1" t="n">
        <v>45180</v>
      </c>
      <c r="C1264" s="1" t="n">
        <v>45801</v>
      </c>
      <c r="D1264" t="inlineStr">
        <is>
          <t>KALMAR LÄN</t>
        </is>
      </c>
      <c r="E1264" t="inlineStr">
        <is>
          <t>VÄSTERVIK</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42331-2023</t>
        </is>
      </c>
      <c r="B1265" s="1" t="n">
        <v>45180</v>
      </c>
      <c r="C1265" s="1" t="n">
        <v>45801</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42348-2023</t>
        </is>
      </c>
      <c r="B1266" s="1" t="n">
        <v>45180</v>
      </c>
      <c r="C1266" s="1" t="n">
        <v>45801</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43660-2023</t>
        </is>
      </c>
      <c r="B1267" s="1" t="n">
        <v>45187</v>
      </c>
      <c r="C1267" s="1" t="n">
        <v>45801</v>
      </c>
      <c r="D1267" t="inlineStr">
        <is>
          <t>KALMAR LÄN</t>
        </is>
      </c>
      <c r="E1267" t="inlineStr">
        <is>
          <t>VÄSTERVIK</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43759-2023</t>
        </is>
      </c>
      <c r="B1268" s="1" t="n">
        <v>45187</v>
      </c>
      <c r="C1268" s="1" t="n">
        <v>45801</v>
      </c>
      <c r="D1268" t="inlineStr">
        <is>
          <t>KALMAR LÄN</t>
        </is>
      </c>
      <c r="E1268" t="inlineStr">
        <is>
          <t>VÄSTERVIK</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43900-2023</t>
        </is>
      </c>
      <c r="B1269" s="1" t="n">
        <v>45187</v>
      </c>
      <c r="C1269" s="1" t="n">
        <v>45801</v>
      </c>
      <c r="D1269" t="inlineStr">
        <is>
          <t>KALMAR LÄN</t>
        </is>
      </c>
      <c r="E1269" t="inlineStr">
        <is>
          <t>VÄSTERVIK</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44705-2023</t>
        </is>
      </c>
      <c r="B1270" s="1" t="n">
        <v>45190</v>
      </c>
      <c r="C1270" s="1" t="n">
        <v>45801</v>
      </c>
      <c r="D1270" t="inlineStr">
        <is>
          <t>KALMAR LÄN</t>
        </is>
      </c>
      <c r="E1270" t="inlineStr">
        <is>
          <t>VÄSTERVIK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44714-2023</t>
        </is>
      </c>
      <c r="B1271" s="1" t="n">
        <v>45190</v>
      </c>
      <c r="C1271" s="1" t="n">
        <v>45801</v>
      </c>
      <c r="D1271" t="inlineStr">
        <is>
          <t>KALMAR LÄN</t>
        </is>
      </c>
      <c r="E1271" t="inlineStr">
        <is>
          <t>VÄSTERVIK</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44749-2023</t>
        </is>
      </c>
      <c r="B1272" s="1" t="n">
        <v>45190</v>
      </c>
      <c r="C1272" s="1" t="n">
        <v>45801</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44721-2023</t>
        </is>
      </c>
      <c r="B1273" s="1" t="n">
        <v>45190</v>
      </c>
      <c r="C1273" s="1" t="n">
        <v>45801</v>
      </c>
      <c r="D1273" t="inlineStr">
        <is>
          <t>KALMAR LÄN</t>
        </is>
      </c>
      <c r="E1273" t="inlineStr">
        <is>
          <t>VÄSTERVIK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45192-2023</t>
        </is>
      </c>
      <c r="B1274" s="1" t="n">
        <v>45191</v>
      </c>
      <c r="C1274" s="1" t="n">
        <v>45801</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45202-2023</t>
        </is>
      </c>
      <c r="B1275" s="1" t="n">
        <v>45191</v>
      </c>
      <c r="C1275" s="1" t="n">
        <v>45801</v>
      </c>
      <c r="D1275" t="inlineStr">
        <is>
          <t>KALMAR LÄN</t>
        </is>
      </c>
      <c r="E1275" t="inlineStr">
        <is>
          <t>VÄSTERVIK</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45190-2023</t>
        </is>
      </c>
      <c r="B1276" s="1" t="n">
        <v>45191</v>
      </c>
      <c r="C1276" s="1" t="n">
        <v>45801</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45396-2023</t>
        </is>
      </c>
      <c r="B1277" s="1" t="n">
        <v>45194</v>
      </c>
      <c r="C1277" s="1" t="n">
        <v>45801</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45474-2023</t>
        </is>
      </c>
      <c r="B1278" s="1" t="n">
        <v>45194</v>
      </c>
      <c r="C1278" s="1" t="n">
        <v>45801</v>
      </c>
      <c r="D1278" t="inlineStr">
        <is>
          <t>KALMAR LÄN</t>
        </is>
      </c>
      <c r="E1278" t="inlineStr">
        <is>
          <t>VÄSTERVIK</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45450-2023</t>
        </is>
      </c>
      <c r="B1279" s="1" t="n">
        <v>45194</v>
      </c>
      <c r="C1279" s="1" t="n">
        <v>45801</v>
      </c>
      <c r="D1279" t="inlineStr">
        <is>
          <t>KALMAR LÄN</t>
        </is>
      </c>
      <c r="E1279" t="inlineStr">
        <is>
          <t>VÄSTERVIK</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45460-2023</t>
        </is>
      </c>
      <c r="B1280" s="1" t="n">
        <v>45194</v>
      </c>
      <c r="C1280" s="1" t="n">
        <v>45801</v>
      </c>
      <c r="D1280" t="inlineStr">
        <is>
          <t>KALMAR LÄN</t>
        </is>
      </c>
      <c r="E1280" t="inlineStr">
        <is>
          <t>VÄSTERVIK</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45921-2023</t>
        </is>
      </c>
      <c r="B1281" s="1" t="n">
        <v>45195</v>
      </c>
      <c r="C1281" s="1" t="n">
        <v>45801</v>
      </c>
      <c r="D1281" t="inlineStr">
        <is>
          <t>KALMAR LÄN</t>
        </is>
      </c>
      <c r="E1281" t="inlineStr">
        <is>
          <t>VÄSTERVIK</t>
        </is>
      </c>
      <c r="F1281" t="inlineStr">
        <is>
          <t>Holmen skog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46088-2023</t>
        </is>
      </c>
      <c r="B1282" s="1" t="n">
        <v>45196</v>
      </c>
      <c r="C1282" s="1" t="n">
        <v>45801</v>
      </c>
      <c r="D1282" t="inlineStr">
        <is>
          <t>KALMAR LÄN</t>
        </is>
      </c>
      <c r="E1282" t="inlineStr">
        <is>
          <t>VÄSTERVIK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46124-2023</t>
        </is>
      </c>
      <c r="B1283" s="1" t="n">
        <v>45196</v>
      </c>
      <c r="C1283" s="1" t="n">
        <v>45801</v>
      </c>
      <c r="D1283" t="inlineStr">
        <is>
          <t>KALMAR LÄN</t>
        </is>
      </c>
      <c r="E1283" t="inlineStr">
        <is>
          <t>VÄSTERVIK</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46129-2023</t>
        </is>
      </c>
      <c r="B1284" s="1" t="n">
        <v>45196</v>
      </c>
      <c r="C1284" s="1" t="n">
        <v>45801</v>
      </c>
      <c r="D1284" t="inlineStr">
        <is>
          <t>KALMAR LÄN</t>
        </is>
      </c>
      <c r="E1284" t="inlineStr">
        <is>
          <t>VÄSTERVIK</t>
        </is>
      </c>
      <c r="F1284" t="inlineStr">
        <is>
          <t>Sveaskog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46067-2023</t>
        </is>
      </c>
      <c r="B1285" s="1" t="n">
        <v>45196</v>
      </c>
      <c r="C1285" s="1" t="n">
        <v>45801</v>
      </c>
      <c r="D1285" t="inlineStr">
        <is>
          <t>KALMAR LÄN</t>
        </is>
      </c>
      <c r="E1285" t="inlineStr">
        <is>
          <t>VÄSTERVIK</t>
        </is>
      </c>
      <c r="F1285" t="inlineStr">
        <is>
          <t>Sveaskog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46064-2023</t>
        </is>
      </c>
      <c r="B1286" s="1" t="n">
        <v>45196</v>
      </c>
      <c r="C1286" s="1" t="n">
        <v>45801</v>
      </c>
      <c r="D1286" t="inlineStr">
        <is>
          <t>KALMAR LÄN</t>
        </is>
      </c>
      <c r="E1286" t="inlineStr">
        <is>
          <t>VÄSTERVIK</t>
        </is>
      </c>
      <c r="F1286" t="inlineStr">
        <is>
          <t>Sveaskog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46069-2023</t>
        </is>
      </c>
      <c r="B1287" s="1" t="n">
        <v>45196</v>
      </c>
      <c r="C1287" s="1" t="n">
        <v>45801</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46130-2023</t>
        </is>
      </c>
      <c r="B1288" s="1" t="n">
        <v>45196</v>
      </c>
      <c r="C1288" s="1" t="n">
        <v>45801</v>
      </c>
      <c r="D1288" t="inlineStr">
        <is>
          <t>KALMAR LÄN</t>
        </is>
      </c>
      <c r="E1288" t="inlineStr">
        <is>
          <t>VÄSTERVIK</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46066-2023</t>
        </is>
      </c>
      <c r="B1289" s="1" t="n">
        <v>45196</v>
      </c>
      <c r="C1289" s="1" t="n">
        <v>45801</v>
      </c>
      <c r="D1289" t="inlineStr">
        <is>
          <t>KALMAR LÄN</t>
        </is>
      </c>
      <c r="E1289" t="inlineStr">
        <is>
          <t>VÄSTERVIK</t>
        </is>
      </c>
      <c r="F1289" t="inlineStr">
        <is>
          <t>Sveaskog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46070-2023</t>
        </is>
      </c>
      <c r="B1290" s="1" t="n">
        <v>45196</v>
      </c>
      <c r="C1290" s="1" t="n">
        <v>45801</v>
      </c>
      <c r="D1290" t="inlineStr">
        <is>
          <t>KALMAR LÄN</t>
        </is>
      </c>
      <c r="E1290" t="inlineStr">
        <is>
          <t>VÄSTERVIK</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46121-2023</t>
        </is>
      </c>
      <c r="B1291" s="1" t="n">
        <v>45196</v>
      </c>
      <c r="C1291" s="1" t="n">
        <v>45801</v>
      </c>
      <c r="D1291" t="inlineStr">
        <is>
          <t>KALMAR LÄN</t>
        </is>
      </c>
      <c r="E1291" t="inlineStr">
        <is>
          <t>VÄSTERVIK</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46126-2023</t>
        </is>
      </c>
      <c r="B1292" s="1" t="n">
        <v>45196</v>
      </c>
      <c r="C1292" s="1" t="n">
        <v>45801</v>
      </c>
      <c r="D1292" t="inlineStr">
        <is>
          <t>KALMAR LÄN</t>
        </is>
      </c>
      <c r="E1292" t="inlineStr">
        <is>
          <t>VÄSTERVIK</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46131-2023</t>
        </is>
      </c>
      <c r="B1293" s="1" t="n">
        <v>45196</v>
      </c>
      <c r="C1293" s="1" t="n">
        <v>45801</v>
      </c>
      <c r="D1293" t="inlineStr">
        <is>
          <t>KALMAR LÄN</t>
        </is>
      </c>
      <c r="E1293" t="inlineStr">
        <is>
          <t>VÄSTERVIK</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46598-2023</t>
        </is>
      </c>
      <c r="B1294" s="1" t="n">
        <v>45198</v>
      </c>
      <c r="C1294" s="1" t="n">
        <v>45801</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46717-2023</t>
        </is>
      </c>
      <c r="B1295" s="1" t="n">
        <v>45198</v>
      </c>
      <c r="C1295" s="1" t="n">
        <v>45801</v>
      </c>
      <c r="D1295" t="inlineStr">
        <is>
          <t>KALMAR LÄN</t>
        </is>
      </c>
      <c r="E1295" t="inlineStr">
        <is>
          <t>VÄSTERVIK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46718-2023</t>
        </is>
      </c>
      <c r="B1296" s="1" t="n">
        <v>45198</v>
      </c>
      <c r="C1296" s="1" t="n">
        <v>45801</v>
      </c>
      <c r="D1296" t="inlineStr">
        <is>
          <t>KALMAR LÄN</t>
        </is>
      </c>
      <c r="E1296" t="inlineStr">
        <is>
          <t>VÄSTERVIK</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47123-2023</t>
        </is>
      </c>
      <c r="B1297" s="1" t="n">
        <v>45201</v>
      </c>
      <c r="C1297" s="1" t="n">
        <v>45801</v>
      </c>
      <c r="D1297" t="inlineStr">
        <is>
          <t>KALMAR LÄN</t>
        </is>
      </c>
      <c r="E1297" t="inlineStr">
        <is>
          <t>VÄSTERVIK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46920-2023</t>
        </is>
      </c>
      <c r="B1298" s="1" t="n">
        <v>45201</v>
      </c>
      <c r="C1298" s="1" t="n">
        <v>45801</v>
      </c>
      <c r="D1298" t="inlineStr">
        <is>
          <t>KALMAR LÄN</t>
        </is>
      </c>
      <c r="E1298" t="inlineStr">
        <is>
          <t>VÄSTERVIK</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47111-2023</t>
        </is>
      </c>
      <c r="B1299" s="1" t="n">
        <v>45201</v>
      </c>
      <c r="C1299" s="1" t="n">
        <v>45801</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47120-2023</t>
        </is>
      </c>
      <c r="B1300" s="1" t="n">
        <v>45201</v>
      </c>
      <c r="C1300" s="1" t="n">
        <v>45801</v>
      </c>
      <c r="D1300" t="inlineStr">
        <is>
          <t>KALMAR LÄN</t>
        </is>
      </c>
      <c r="E1300" t="inlineStr">
        <is>
          <t>VÄSTERVIK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47124-2023</t>
        </is>
      </c>
      <c r="B1301" s="1" t="n">
        <v>45201</v>
      </c>
      <c r="C1301" s="1" t="n">
        <v>45801</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46970-2023</t>
        </is>
      </c>
      <c r="B1302" s="1" t="n">
        <v>45201</v>
      </c>
      <c r="C1302" s="1" t="n">
        <v>45801</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46968-2023</t>
        </is>
      </c>
      <c r="B1303" s="1" t="n">
        <v>45201</v>
      </c>
      <c r="C1303" s="1" t="n">
        <v>45801</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47414-2023</t>
        </is>
      </c>
      <c r="B1304" s="1" t="n">
        <v>45202</v>
      </c>
      <c r="C1304" s="1" t="n">
        <v>45801</v>
      </c>
      <c r="D1304" t="inlineStr">
        <is>
          <t>KALMAR LÄN</t>
        </is>
      </c>
      <c r="E1304" t="inlineStr">
        <is>
          <t>VÄSTERVIK</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47267-2023</t>
        </is>
      </c>
      <c r="B1305" s="1" t="n">
        <v>45202</v>
      </c>
      <c r="C1305" s="1" t="n">
        <v>45801</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47363-2023</t>
        </is>
      </c>
      <c r="B1306" s="1" t="n">
        <v>45202</v>
      </c>
      <c r="C1306" s="1" t="n">
        <v>45801</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47964-2023</t>
        </is>
      </c>
      <c r="B1307" s="1" t="n">
        <v>45204</v>
      </c>
      <c r="C1307" s="1" t="n">
        <v>45801</v>
      </c>
      <c r="D1307" t="inlineStr">
        <is>
          <t>KALMAR LÄN</t>
        </is>
      </c>
      <c r="E1307" t="inlineStr">
        <is>
          <t>VÄSTERVIK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47945-2023</t>
        </is>
      </c>
      <c r="B1308" s="1" t="n">
        <v>45204</v>
      </c>
      <c r="C1308" s="1" t="n">
        <v>45801</v>
      </c>
      <c r="D1308" t="inlineStr">
        <is>
          <t>KALMAR LÄN</t>
        </is>
      </c>
      <c r="E1308" t="inlineStr">
        <is>
          <t>VÄSTERVIK</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47939-2023</t>
        </is>
      </c>
      <c r="B1309" s="1" t="n">
        <v>45204</v>
      </c>
      <c r="C1309" s="1" t="n">
        <v>45801</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48039-2023</t>
        </is>
      </c>
      <c r="B1310" s="1" t="n">
        <v>45204</v>
      </c>
      <c r="C1310" s="1" t="n">
        <v>45801</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48043-2023</t>
        </is>
      </c>
      <c r="B1311" s="1" t="n">
        <v>45204</v>
      </c>
      <c r="C1311" s="1" t="n">
        <v>45801</v>
      </c>
      <c r="D1311" t="inlineStr">
        <is>
          <t>KALMAR LÄN</t>
        </is>
      </c>
      <c r="E1311" t="inlineStr">
        <is>
          <t>VÄSTERVIK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48041-2023</t>
        </is>
      </c>
      <c r="B1312" s="1" t="n">
        <v>45204</v>
      </c>
      <c r="C1312" s="1" t="n">
        <v>45801</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47967-2023</t>
        </is>
      </c>
      <c r="B1313" s="1" t="n">
        <v>45204</v>
      </c>
      <c r="C1313" s="1" t="n">
        <v>45801</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48511-2023</t>
        </is>
      </c>
      <c r="B1314" s="1" t="n">
        <v>45208</v>
      </c>
      <c r="C1314" s="1" t="n">
        <v>45801</v>
      </c>
      <c r="D1314" t="inlineStr">
        <is>
          <t>KALMAR LÄN</t>
        </is>
      </c>
      <c r="E1314" t="inlineStr">
        <is>
          <t>VÄSTERVIK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49177-2023</t>
        </is>
      </c>
      <c r="B1315" s="1" t="n">
        <v>45210</v>
      </c>
      <c r="C1315" s="1" t="n">
        <v>45801</v>
      </c>
      <c r="D1315" t="inlineStr">
        <is>
          <t>KALMAR LÄN</t>
        </is>
      </c>
      <c r="E1315" t="inlineStr">
        <is>
          <t>VÄSTERVIK</t>
        </is>
      </c>
      <c r="G1315" t="n">
        <v>16.7</v>
      </c>
      <c r="H1315" t="n">
        <v>0</v>
      </c>
      <c r="I1315" t="n">
        <v>0</v>
      </c>
      <c r="J1315" t="n">
        <v>0</v>
      </c>
      <c r="K1315" t="n">
        <v>0</v>
      </c>
      <c r="L1315" t="n">
        <v>0</v>
      </c>
      <c r="M1315" t="n">
        <v>0</v>
      </c>
      <c r="N1315" t="n">
        <v>0</v>
      </c>
      <c r="O1315" t="n">
        <v>0</v>
      </c>
      <c r="P1315" t="n">
        <v>0</v>
      </c>
      <c r="Q1315" t="n">
        <v>0</v>
      </c>
      <c r="R1315" s="2" t="inlineStr"/>
    </row>
    <row r="1316" ht="15" customHeight="1">
      <c r="A1316" t="inlineStr">
        <is>
          <t>A 49351-2023</t>
        </is>
      </c>
      <c r="B1316" s="1" t="n">
        <v>45211</v>
      </c>
      <c r="C1316" s="1" t="n">
        <v>45801</v>
      </c>
      <c r="D1316" t="inlineStr">
        <is>
          <t>KALMAR LÄN</t>
        </is>
      </c>
      <c r="E1316" t="inlineStr">
        <is>
          <t>VÄSTERVIK</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49355-2023</t>
        </is>
      </c>
      <c r="B1317" s="1" t="n">
        <v>45211</v>
      </c>
      <c r="C1317" s="1" t="n">
        <v>45801</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49369-2023</t>
        </is>
      </c>
      <c r="B1318" s="1" t="n">
        <v>45211</v>
      </c>
      <c r="C1318" s="1" t="n">
        <v>45801</v>
      </c>
      <c r="D1318" t="inlineStr">
        <is>
          <t>KALMAR LÄN</t>
        </is>
      </c>
      <c r="E1318" t="inlineStr">
        <is>
          <t>VÄSTERVIK</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49452-2023</t>
        </is>
      </c>
      <c r="B1319" s="1" t="n">
        <v>45211</v>
      </c>
      <c r="C1319" s="1" t="n">
        <v>45801</v>
      </c>
      <c r="D1319" t="inlineStr">
        <is>
          <t>KALMAR LÄN</t>
        </is>
      </c>
      <c r="E1319" t="inlineStr">
        <is>
          <t>VÄSTERVIK</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49479-2023</t>
        </is>
      </c>
      <c r="B1320" s="1" t="n">
        <v>45211</v>
      </c>
      <c r="C1320" s="1" t="n">
        <v>45801</v>
      </c>
      <c r="D1320" t="inlineStr">
        <is>
          <t>KALMAR LÄN</t>
        </is>
      </c>
      <c r="E1320" t="inlineStr">
        <is>
          <t>VÄSTERVIK</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49507-2023</t>
        </is>
      </c>
      <c r="B1321" s="1" t="n">
        <v>45211</v>
      </c>
      <c r="C1321" s="1" t="n">
        <v>45801</v>
      </c>
      <c r="D1321" t="inlineStr">
        <is>
          <t>KALMAR LÄN</t>
        </is>
      </c>
      <c r="E1321" t="inlineStr">
        <is>
          <t>VÄSTERVIK</t>
        </is>
      </c>
      <c r="F1321" t="inlineStr">
        <is>
          <t>Övriga Aktiebolag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49516-2023</t>
        </is>
      </c>
      <c r="B1322" s="1" t="n">
        <v>45211</v>
      </c>
      <c r="C1322" s="1" t="n">
        <v>45801</v>
      </c>
      <c r="D1322" t="inlineStr">
        <is>
          <t>KALMAR LÄN</t>
        </is>
      </c>
      <c r="E1322" t="inlineStr">
        <is>
          <t>VÄSTERVIK</t>
        </is>
      </c>
      <c r="F1322" t="inlineStr">
        <is>
          <t>Övriga Aktiebolag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49442-2023</t>
        </is>
      </c>
      <c r="B1323" s="1" t="n">
        <v>45211</v>
      </c>
      <c r="C1323" s="1" t="n">
        <v>45801</v>
      </c>
      <c r="D1323" t="inlineStr">
        <is>
          <t>KALMAR LÄN</t>
        </is>
      </c>
      <c r="E1323" t="inlineStr">
        <is>
          <t>VÄSTERVIK</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49468-2023</t>
        </is>
      </c>
      <c r="B1324" s="1" t="n">
        <v>45211</v>
      </c>
      <c r="C1324" s="1" t="n">
        <v>45801</v>
      </c>
      <c r="D1324" t="inlineStr">
        <is>
          <t>KALMAR LÄN</t>
        </is>
      </c>
      <c r="E1324" t="inlineStr">
        <is>
          <t>VÄSTERVIK</t>
        </is>
      </c>
      <c r="F1324" t="inlineStr">
        <is>
          <t>Övriga Aktiebolag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49580-2023</t>
        </is>
      </c>
      <c r="B1325" s="1" t="n">
        <v>45211</v>
      </c>
      <c r="C1325" s="1" t="n">
        <v>45801</v>
      </c>
      <c r="D1325" t="inlineStr">
        <is>
          <t>KALMAR LÄN</t>
        </is>
      </c>
      <c r="E1325" t="inlineStr">
        <is>
          <t>VÄSTERVIK</t>
        </is>
      </c>
      <c r="F1325" t="inlineStr">
        <is>
          <t>Övriga Aktiebolag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50042-2023</t>
        </is>
      </c>
      <c r="B1326" s="1" t="n">
        <v>45215</v>
      </c>
      <c r="C1326" s="1" t="n">
        <v>45801</v>
      </c>
      <c r="D1326" t="inlineStr">
        <is>
          <t>KALMAR LÄN</t>
        </is>
      </c>
      <c r="E1326" t="inlineStr">
        <is>
          <t>VÄSTERVIK</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50127-2023</t>
        </is>
      </c>
      <c r="B1327" s="1" t="n">
        <v>45215</v>
      </c>
      <c r="C1327" s="1" t="n">
        <v>45801</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50001-2023</t>
        </is>
      </c>
      <c r="B1328" s="1" t="n">
        <v>45215</v>
      </c>
      <c r="C1328" s="1" t="n">
        <v>45801</v>
      </c>
      <c r="D1328" t="inlineStr">
        <is>
          <t>KALMAR LÄN</t>
        </is>
      </c>
      <c r="E1328" t="inlineStr">
        <is>
          <t>VÄSTERVIK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50045-2023</t>
        </is>
      </c>
      <c r="B1329" s="1" t="n">
        <v>45215</v>
      </c>
      <c r="C1329" s="1" t="n">
        <v>45801</v>
      </c>
      <c r="D1329" t="inlineStr">
        <is>
          <t>KALMAR LÄN</t>
        </is>
      </c>
      <c r="E1329" t="inlineStr">
        <is>
          <t>VÄSTERVIK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50086-2023</t>
        </is>
      </c>
      <c r="B1330" s="1" t="n">
        <v>45215</v>
      </c>
      <c r="C1330" s="1" t="n">
        <v>45801</v>
      </c>
      <c r="D1330" t="inlineStr">
        <is>
          <t>KALMAR LÄN</t>
        </is>
      </c>
      <c r="E1330" t="inlineStr">
        <is>
          <t>VÄSTERVIK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52043-2023</t>
        </is>
      </c>
      <c r="B1331" s="1" t="n">
        <v>45216</v>
      </c>
      <c r="C1331" s="1" t="n">
        <v>45801</v>
      </c>
      <c r="D1331" t="inlineStr">
        <is>
          <t>KALMAR LÄN</t>
        </is>
      </c>
      <c r="E1331" t="inlineStr">
        <is>
          <t>VÄSTERVIK</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52049-2023</t>
        </is>
      </c>
      <c r="B1332" s="1" t="n">
        <v>45216</v>
      </c>
      <c r="C1332" s="1" t="n">
        <v>45801</v>
      </c>
      <c r="D1332" t="inlineStr">
        <is>
          <t>KALMAR LÄN</t>
        </is>
      </c>
      <c r="E1332" t="inlineStr">
        <is>
          <t>VÄSTERVIK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52035-2023</t>
        </is>
      </c>
      <c r="B1333" s="1" t="n">
        <v>45216</v>
      </c>
      <c r="C1333" s="1" t="n">
        <v>45801</v>
      </c>
      <c r="D1333" t="inlineStr">
        <is>
          <t>KALMAR LÄN</t>
        </is>
      </c>
      <c r="E1333" t="inlineStr">
        <is>
          <t>VÄSTERVIK</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51524-2023</t>
        </is>
      </c>
      <c r="B1334" s="1" t="n">
        <v>45222</v>
      </c>
      <c r="C1334" s="1" t="n">
        <v>45801</v>
      </c>
      <c r="D1334" t="inlineStr">
        <is>
          <t>KALMAR LÄN</t>
        </is>
      </c>
      <c r="E1334" t="inlineStr">
        <is>
          <t>VÄSTERVIK</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51640-2023</t>
        </is>
      </c>
      <c r="B1335" s="1" t="n">
        <v>45222</v>
      </c>
      <c r="C1335" s="1" t="n">
        <v>45801</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51645-2023</t>
        </is>
      </c>
      <c r="B1336" s="1" t="n">
        <v>45222</v>
      </c>
      <c r="C1336" s="1" t="n">
        <v>45801</v>
      </c>
      <c r="D1336" t="inlineStr">
        <is>
          <t>KALMAR LÄN</t>
        </is>
      </c>
      <c r="E1336" t="inlineStr">
        <is>
          <t>VÄSTERVIK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51581-2023</t>
        </is>
      </c>
      <c r="B1337" s="1" t="n">
        <v>45222</v>
      </c>
      <c r="C1337" s="1" t="n">
        <v>45801</v>
      </c>
      <c r="D1337" t="inlineStr">
        <is>
          <t>KALMAR LÄN</t>
        </is>
      </c>
      <c r="E1337" t="inlineStr">
        <is>
          <t>VÄSTERVIK</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52189-2023</t>
        </is>
      </c>
      <c r="B1338" s="1" t="n">
        <v>45224</v>
      </c>
      <c r="C1338" s="1" t="n">
        <v>45801</v>
      </c>
      <c r="D1338" t="inlineStr">
        <is>
          <t>KALMAR LÄN</t>
        </is>
      </c>
      <c r="E1338" t="inlineStr">
        <is>
          <t>VÄSTERVIK</t>
        </is>
      </c>
      <c r="F1338" t="inlineStr">
        <is>
          <t>Sveaskog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52325-2023</t>
        </is>
      </c>
      <c r="B1339" s="1" t="n">
        <v>45224</v>
      </c>
      <c r="C1339" s="1" t="n">
        <v>45801</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52468-2023</t>
        </is>
      </c>
      <c r="B1340" s="1" t="n">
        <v>45225</v>
      </c>
      <c r="C1340" s="1" t="n">
        <v>45801</v>
      </c>
      <c r="D1340" t="inlineStr">
        <is>
          <t>KALMAR LÄN</t>
        </is>
      </c>
      <c r="E1340" t="inlineStr">
        <is>
          <t>VÄSTERVIK</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52845-2023</t>
        </is>
      </c>
      <c r="B1341" s="1" t="n">
        <v>45226</v>
      </c>
      <c r="C1341" s="1" t="n">
        <v>45801</v>
      </c>
      <c r="D1341" t="inlineStr">
        <is>
          <t>KALMAR LÄN</t>
        </is>
      </c>
      <c r="E1341" t="inlineStr">
        <is>
          <t>VÄSTERVIK</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52844-2023</t>
        </is>
      </c>
      <c r="B1342" s="1" t="n">
        <v>45226</v>
      </c>
      <c r="C1342" s="1" t="n">
        <v>45801</v>
      </c>
      <c r="D1342" t="inlineStr">
        <is>
          <t>KALMAR LÄN</t>
        </is>
      </c>
      <c r="E1342" t="inlineStr">
        <is>
          <t>VÄSTERVIK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54124-2023</t>
        </is>
      </c>
      <c r="B1343" s="1" t="n">
        <v>45232</v>
      </c>
      <c r="C1343" s="1" t="n">
        <v>45801</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54135-2023</t>
        </is>
      </c>
      <c r="B1344" s="1" t="n">
        <v>45232</v>
      </c>
      <c r="C1344" s="1" t="n">
        <v>45801</v>
      </c>
      <c r="D1344" t="inlineStr">
        <is>
          <t>KALMAR LÄN</t>
        </is>
      </c>
      <c r="E1344" t="inlineStr">
        <is>
          <t>VÄSTERVIK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54232-2023</t>
        </is>
      </c>
      <c r="B1345" s="1" t="n">
        <v>45232</v>
      </c>
      <c r="C1345" s="1" t="n">
        <v>45801</v>
      </c>
      <c r="D1345" t="inlineStr">
        <is>
          <t>KALMAR LÄN</t>
        </is>
      </c>
      <c r="E1345" t="inlineStr">
        <is>
          <t>VÄSTERVIK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54569-2023</t>
        </is>
      </c>
      <c r="B1346" s="1" t="n">
        <v>45233</v>
      </c>
      <c r="C1346" s="1" t="n">
        <v>45801</v>
      </c>
      <c r="D1346" t="inlineStr">
        <is>
          <t>KALMAR LÄN</t>
        </is>
      </c>
      <c r="E1346" t="inlineStr">
        <is>
          <t>VÄSTERVIK</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54358-2023</t>
        </is>
      </c>
      <c r="B1347" s="1" t="n">
        <v>45233</v>
      </c>
      <c r="C1347" s="1" t="n">
        <v>45801</v>
      </c>
      <c r="D1347" t="inlineStr">
        <is>
          <t>KALMAR LÄN</t>
        </is>
      </c>
      <c r="E1347" t="inlineStr">
        <is>
          <t>VÄSTERVIK</t>
        </is>
      </c>
      <c r="F1347" t="inlineStr">
        <is>
          <t>Sveaskog</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54778-2023</t>
        </is>
      </c>
      <c r="B1348" s="1" t="n">
        <v>45236</v>
      </c>
      <c r="C1348" s="1" t="n">
        <v>45801</v>
      </c>
      <c r="D1348" t="inlineStr">
        <is>
          <t>KALMAR LÄN</t>
        </is>
      </c>
      <c r="E1348" t="inlineStr">
        <is>
          <t>VÄSTERVIK</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54951-2023</t>
        </is>
      </c>
      <c r="B1349" s="1" t="n">
        <v>45236</v>
      </c>
      <c r="C1349" s="1" t="n">
        <v>45801</v>
      </c>
      <c r="D1349" t="inlineStr">
        <is>
          <t>KALMAR LÄN</t>
        </is>
      </c>
      <c r="E1349" t="inlineStr">
        <is>
          <t>VÄSTERVIK</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55007-2023</t>
        </is>
      </c>
      <c r="B1350" s="1" t="n">
        <v>45237</v>
      </c>
      <c r="C1350" s="1" t="n">
        <v>45801</v>
      </c>
      <c r="D1350" t="inlineStr">
        <is>
          <t>KALMAR LÄN</t>
        </is>
      </c>
      <c r="E1350" t="inlineStr">
        <is>
          <t>VÄSTERVIK</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54950-2023</t>
        </is>
      </c>
      <c r="B1351" s="1" t="n">
        <v>45236</v>
      </c>
      <c r="C1351" s="1" t="n">
        <v>45801</v>
      </c>
      <c r="D1351" t="inlineStr">
        <is>
          <t>KALMAR LÄN</t>
        </is>
      </c>
      <c r="E1351" t="inlineStr">
        <is>
          <t>VÄSTERVIK</t>
        </is>
      </c>
      <c r="F1351" t="inlineStr">
        <is>
          <t>Övriga Aktiebolag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54784-2023</t>
        </is>
      </c>
      <c r="B1352" s="1" t="n">
        <v>45236</v>
      </c>
      <c r="C1352" s="1" t="n">
        <v>45801</v>
      </c>
      <c r="D1352" t="inlineStr">
        <is>
          <t>KALMAR LÄN</t>
        </is>
      </c>
      <c r="E1352" t="inlineStr">
        <is>
          <t>VÄSTERVIK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54953-2023</t>
        </is>
      </c>
      <c r="B1353" s="1" t="n">
        <v>45236</v>
      </c>
      <c r="C1353" s="1" t="n">
        <v>45801</v>
      </c>
      <c r="D1353" t="inlineStr">
        <is>
          <t>KALMAR LÄN</t>
        </is>
      </c>
      <c r="E1353" t="inlineStr">
        <is>
          <t>VÄSTERVIK</t>
        </is>
      </c>
      <c r="F1353" t="inlineStr">
        <is>
          <t>Övriga Aktiebolag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55287-2023</t>
        </is>
      </c>
      <c r="B1354" s="1" t="n">
        <v>45237</v>
      </c>
      <c r="C1354" s="1" t="n">
        <v>45801</v>
      </c>
      <c r="D1354" t="inlineStr">
        <is>
          <t>KALMAR LÄN</t>
        </is>
      </c>
      <c r="E1354" t="inlineStr">
        <is>
          <t>VÄSTERVIK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55289-2023</t>
        </is>
      </c>
      <c r="B1355" s="1" t="n">
        <v>45237</v>
      </c>
      <c r="C1355" s="1" t="n">
        <v>45801</v>
      </c>
      <c r="D1355" t="inlineStr">
        <is>
          <t>KALMAR LÄN</t>
        </is>
      </c>
      <c r="E1355" t="inlineStr">
        <is>
          <t>VÄSTERVIK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55403-2023</t>
        </is>
      </c>
      <c r="B1356" s="1" t="n">
        <v>45238</v>
      </c>
      <c r="C1356" s="1" t="n">
        <v>45801</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55578-2023</t>
        </is>
      </c>
      <c r="B1357" s="1" t="n">
        <v>45238</v>
      </c>
      <c r="C1357" s="1" t="n">
        <v>45801</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56719-2023</t>
        </is>
      </c>
      <c r="B1358" s="1" t="n">
        <v>45238</v>
      </c>
      <c r="C1358" s="1" t="n">
        <v>45801</v>
      </c>
      <c r="D1358" t="inlineStr">
        <is>
          <t>KALMAR LÄN</t>
        </is>
      </c>
      <c r="E1358" t="inlineStr">
        <is>
          <t>VÄSTERVIK</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55866-2023</t>
        </is>
      </c>
      <c r="B1359" s="1" t="n">
        <v>45239</v>
      </c>
      <c r="C1359" s="1" t="n">
        <v>45801</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55958-2023</t>
        </is>
      </c>
      <c r="B1360" s="1" t="n">
        <v>45240</v>
      </c>
      <c r="C1360" s="1" t="n">
        <v>45801</v>
      </c>
      <c r="D1360" t="inlineStr">
        <is>
          <t>KALMAR LÄN</t>
        </is>
      </c>
      <c r="E1360" t="inlineStr">
        <is>
          <t>VÄSTERVIK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56188-2023</t>
        </is>
      </c>
      <c r="B1361" s="1" t="n">
        <v>45240</v>
      </c>
      <c r="C1361" s="1" t="n">
        <v>45801</v>
      </c>
      <c r="D1361" t="inlineStr">
        <is>
          <t>KALMAR LÄN</t>
        </is>
      </c>
      <c r="E1361" t="inlineStr">
        <is>
          <t>VÄSTERVIK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56033-2023</t>
        </is>
      </c>
      <c r="B1362" s="1" t="n">
        <v>45240</v>
      </c>
      <c r="C1362" s="1" t="n">
        <v>45801</v>
      </c>
      <c r="D1362" t="inlineStr">
        <is>
          <t>KALMAR LÄN</t>
        </is>
      </c>
      <c r="E1362" t="inlineStr">
        <is>
          <t>VÄSTERVIK</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56187-2023</t>
        </is>
      </c>
      <c r="B1363" s="1" t="n">
        <v>45240</v>
      </c>
      <c r="C1363" s="1" t="n">
        <v>45801</v>
      </c>
      <c r="D1363" t="inlineStr">
        <is>
          <t>KALMAR LÄN</t>
        </is>
      </c>
      <c r="E1363" t="inlineStr">
        <is>
          <t>VÄSTERVIK</t>
        </is>
      </c>
      <c r="G1363" t="n">
        <v>1.3</v>
      </c>
      <c r="H1363" t="n">
        <v>0</v>
      </c>
      <c r="I1363" t="n">
        <v>0</v>
      </c>
      <c r="J1363" t="n">
        <v>0</v>
      </c>
      <c r="K1363" t="n">
        <v>0</v>
      </c>
      <c r="L1363" t="n">
        <v>0</v>
      </c>
      <c r="M1363" t="n">
        <v>0</v>
      </c>
      <c r="N1363" t="n">
        <v>0</v>
      </c>
      <c r="O1363" t="n">
        <v>0</v>
      </c>
      <c r="P1363" t="n">
        <v>0</v>
      </c>
      <c r="Q1363" t="n">
        <v>0</v>
      </c>
      <c r="R1363" s="2" t="inlineStr"/>
      <c r="U1363">
        <f>HYPERLINK("https://klasma.github.io/Logging_0883/knärot/A 56187-2023 karta knärot.png", "A 56187-2023")</f>
        <v/>
      </c>
      <c r="V1363">
        <f>HYPERLINK("https://klasma.github.io/Logging_0883/klagomål/A 56187-2023 FSC-klagomål.docx", "A 56187-2023")</f>
        <v/>
      </c>
      <c r="W1363">
        <f>HYPERLINK("https://klasma.github.io/Logging_0883/klagomålsmail/A 56187-2023 FSC-klagomål mail.docx", "A 56187-2023")</f>
        <v/>
      </c>
      <c r="X1363">
        <f>HYPERLINK("https://klasma.github.io/Logging_0883/tillsyn/A 56187-2023 tillsynsbegäran.docx", "A 56187-2023")</f>
        <v/>
      </c>
      <c r="Y1363">
        <f>HYPERLINK("https://klasma.github.io/Logging_0883/tillsynsmail/A 56187-2023 tillsynsbegäran mail.docx", "A 56187-2023")</f>
        <v/>
      </c>
    </row>
    <row r="1364" ht="15" customHeight="1">
      <c r="A1364" t="inlineStr">
        <is>
          <t>A 56042-2023</t>
        </is>
      </c>
      <c r="B1364" s="1" t="n">
        <v>45240</v>
      </c>
      <c r="C1364" s="1" t="n">
        <v>45801</v>
      </c>
      <c r="D1364" t="inlineStr">
        <is>
          <t>KALMAR LÄN</t>
        </is>
      </c>
      <c r="E1364" t="inlineStr">
        <is>
          <t>VÄSTERVIK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56046-2023</t>
        </is>
      </c>
      <c r="B1365" s="1" t="n">
        <v>45240</v>
      </c>
      <c r="C1365" s="1" t="n">
        <v>45801</v>
      </c>
      <c r="D1365" t="inlineStr">
        <is>
          <t>KALMAR LÄN</t>
        </is>
      </c>
      <c r="E1365" t="inlineStr">
        <is>
          <t>VÄSTERVIK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57019-2023</t>
        </is>
      </c>
      <c r="B1366" s="1" t="n">
        <v>45244</v>
      </c>
      <c r="C1366" s="1" t="n">
        <v>45801</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57025-2023</t>
        </is>
      </c>
      <c r="B1367" s="1" t="n">
        <v>45244</v>
      </c>
      <c r="C1367" s="1" t="n">
        <v>45801</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57367-2023</t>
        </is>
      </c>
      <c r="B1368" s="1" t="n">
        <v>45245</v>
      </c>
      <c r="C1368" s="1" t="n">
        <v>45801</v>
      </c>
      <c r="D1368" t="inlineStr">
        <is>
          <t>KALMAR LÄN</t>
        </is>
      </c>
      <c r="E1368" t="inlineStr">
        <is>
          <t>VÄSTERVIK</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57162-2023</t>
        </is>
      </c>
      <c r="B1369" s="1" t="n">
        <v>45245</v>
      </c>
      <c r="C1369" s="1" t="n">
        <v>45801</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57369-2023</t>
        </is>
      </c>
      <c r="B1370" s="1" t="n">
        <v>45245</v>
      </c>
      <c r="C1370" s="1" t="n">
        <v>45801</v>
      </c>
      <c r="D1370" t="inlineStr">
        <is>
          <t>KALMAR LÄN</t>
        </is>
      </c>
      <c r="E1370" t="inlineStr">
        <is>
          <t>VÄSTERVIK</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57368-2023</t>
        </is>
      </c>
      <c r="B1371" s="1" t="n">
        <v>45245</v>
      </c>
      <c r="C1371" s="1" t="n">
        <v>45801</v>
      </c>
      <c r="D1371" t="inlineStr">
        <is>
          <t>KALMAR LÄN</t>
        </is>
      </c>
      <c r="E1371" t="inlineStr">
        <is>
          <t>VÄSTERVIK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57366-2023</t>
        </is>
      </c>
      <c r="B1372" s="1" t="n">
        <v>45245</v>
      </c>
      <c r="C1372" s="1" t="n">
        <v>45801</v>
      </c>
      <c r="D1372" t="inlineStr">
        <is>
          <t>KALMAR LÄN</t>
        </is>
      </c>
      <c r="E1372" t="inlineStr">
        <is>
          <t>VÄSTERVIK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57757-2023</t>
        </is>
      </c>
      <c r="B1373" s="1" t="n">
        <v>45246</v>
      </c>
      <c r="C1373" s="1" t="n">
        <v>45801</v>
      </c>
      <c r="D1373" t="inlineStr">
        <is>
          <t>KALMAR LÄN</t>
        </is>
      </c>
      <c r="E1373" t="inlineStr">
        <is>
          <t>VÄSTERVIK</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58454-2023</t>
        </is>
      </c>
      <c r="B1374" s="1" t="n">
        <v>45250</v>
      </c>
      <c r="C1374" s="1" t="n">
        <v>45801</v>
      </c>
      <c r="D1374" t="inlineStr">
        <is>
          <t>KALMAR LÄN</t>
        </is>
      </c>
      <c r="E1374" t="inlineStr">
        <is>
          <t>VÄSTERVIK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58703-2023</t>
        </is>
      </c>
      <c r="B1375" s="1" t="n">
        <v>45251</v>
      </c>
      <c r="C1375" s="1" t="n">
        <v>45801</v>
      </c>
      <c r="D1375" t="inlineStr">
        <is>
          <t>KALMAR LÄN</t>
        </is>
      </c>
      <c r="E1375" t="inlineStr">
        <is>
          <t>VÄSTERVIK</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59331-2023</t>
        </is>
      </c>
      <c r="B1376" s="1" t="n">
        <v>45253</v>
      </c>
      <c r="C1376" s="1" t="n">
        <v>45801</v>
      </c>
      <c r="D1376" t="inlineStr">
        <is>
          <t>KALMAR LÄN</t>
        </is>
      </c>
      <c r="E1376" t="inlineStr">
        <is>
          <t>VÄSTERVIK</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59539-2023</t>
        </is>
      </c>
      <c r="B1377" s="1" t="n">
        <v>45254</v>
      </c>
      <c r="C1377" s="1" t="n">
        <v>45801</v>
      </c>
      <c r="D1377" t="inlineStr">
        <is>
          <t>KALMAR LÄN</t>
        </is>
      </c>
      <c r="E1377" t="inlineStr">
        <is>
          <t>VÄSTERVIK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59696-2023</t>
        </is>
      </c>
      <c r="B1378" s="1" t="n">
        <v>45256</v>
      </c>
      <c r="C1378" s="1" t="n">
        <v>45801</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59695-2023</t>
        </is>
      </c>
      <c r="B1379" s="1" t="n">
        <v>45256</v>
      </c>
      <c r="C1379" s="1" t="n">
        <v>45801</v>
      </c>
      <c r="D1379" t="inlineStr">
        <is>
          <t>KALMAR LÄN</t>
        </is>
      </c>
      <c r="E1379" t="inlineStr">
        <is>
          <t>VÄSTERVIK</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59732-2023</t>
        </is>
      </c>
      <c r="B1380" s="1" t="n">
        <v>45257</v>
      </c>
      <c r="C1380" s="1" t="n">
        <v>45801</v>
      </c>
      <c r="D1380" t="inlineStr">
        <is>
          <t>KALMAR LÄN</t>
        </is>
      </c>
      <c r="E1380" t="inlineStr">
        <is>
          <t>VÄSTERVIK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59844-2023</t>
        </is>
      </c>
      <c r="B1381" s="1" t="n">
        <v>45257</v>
      </c>
      <c r="C1381" s="1" t="n">
        <v>45801</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59847-2023</t>
        </is>
      </c>
      <c r="B1382" s="1" t="n">
        <v>45257</v>
      </c>
      <c r="C1382" s="1" t="n">
        <v>45801</v>
      </c>
      <c r="D1382" t="inlineStr">
        <is>
          <t>KALMAR LÄN</t>
        </is>
      </c>
      <c r="E1382" t="inlineStr">
        <is>
          <t>VÄSTERVIK</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60056-2023</t>
        </is>
      </c>
      <c r="B1383" s="1" t="n">
        <v>45258</v>
      </c>
      <c r="C1383" s="1" t="n">
        <v>45801</v>
      </c>
      <c r="D1383" t="inlineStr">
        <is>
          <t>KALMAR LÄN</t>
        </is>
      </c>
      <c r="E1383" t="inlineStr">
        <is>
          <t>VÄSTERVIK</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60196-2023</t>
        </is>
      </c>
      <c r="B1384" s="1" t="n">
        <v>45258</v>
      </c>
      <c r="C1384" s="1" t="n">
        <v>45801</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60179-2023</t>
        </is>
      </c>
      <c r="B1385" s="1" t="n">
        <v>45258</v>
      </c>
      <c r="C1385" s="1" t="n">
        <v>45801</v>
      </c>
      <c r="D1385" t="inlineStr">
        <is>
          <t>KALMAR LÄN</t>
        </is>
      </c>
      <c r="E1385" t="inlineStr">
        <is>
          <t>VÄSTERVIK</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60187-2023</t>
        </is>
      </c>
      <c r="B1386" s="1" t="n">
        <v>45258</v>
      </c>
      <c r="C1386" s="1" t="n">
        <v>45801</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60300-2023</t>
        </is>
      </c>
      <c r="B1387" s="1" t="n">
        <v>45258</v>
      </c>
      <c r="C1387" s="1" t="n">
        <v>45801</v>
      </c>
      <c r="D1387" t="inlineStr">
        <is>
          <t>KALMAR LÄN</t>
        </is>
      </c>
      <c r="E1387" t="inlineStr">
        <is>
          <t>VÄSTERVIK</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60634-2023</t>
        </is>
      </c>
      <c r="B1388" s="1" t="n">
        <v>45260</v>
      </c>
      <c r="C1388" s="1" t="n">
        <v>45801</v>
      </c>
      <c r="D1388" t="inlineStr">
        <is>
          <t>KALMAR LÄN</t>
        </is>
      </c>
      <c r="E1388" t="inlineStr">
        <is>
          <t>VÄSTERVIK</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60921-2023</t>
        </is>
      </c>
      <c r="B1389" s="1" t="n">
        <v>45261</v>
      </c>
      <c r="C1389" s="1" t="n">
        <v>45801</v>
      </c>
      <c r="D1389" t="inlineStr">
        <is>
          <t>KALMAR LÄN</t>
        </is>
      </c>
      <c r="E1389" t="inlineStr">
        <is>
          <t>VÄSTERVIK</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61556-2023</t>
        </is>
      </c>
      <c r="B1390" s="1" t="n">
        <v>45261</v>
      </c>
      <c r="C1390" s="1" t="n">
        <v>45801</v>
      </c>
      <c r="D1390" t="inlineStr">
        <is>
          <t>KALMAR LÄN</t>
        </is>
      </c>
      <c r="E1390" t="inlineStr">
        <is>
          <t>VÄSTERVIK</t>
        </is>
      </c>
      <c r="F1390" t="inlineStr">
        <is>
          <t>Övriga Aktiebolag</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61450-2023</t>
        </is>
      </c>
      <c r="B1391" s="1" t="n">
        <v>45264</v>
      </c>
      <c r="C1391" s="1" t="n">
        <v>45801</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61449-2023</t>
        </is>
      </c>
      <c r="B1392" s="1" t="n">
        <v>45264</v>
      </c>
      <c r="C1392" s="1" t="n">
        <v>45801</v>
      </c>
      <c r="D1392" t="inlineStr">
        <is>
          <t>KALMAR LÄN</t>
        </is>
      </c>
      <c r="E1392" t="inlineStr">
        <is>
          <t>VÄSTERVIK</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61448-2023</t>
        </is>
      </c>
      <c r="B1393" s="1" t="n">
        <v>45264</v>
      </c>
      <c r="C1393" s="1" t="n">
        <v>45801</v>
      </c>
      <c r="D1393" t="inlineStr">
        <is>
          <t>KALMAR LÄN</t>
        </is>
      </c>
      <c r="E1393" t="inlineStr">
        <is>
          <t>VÄSTERVIK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61728-2023</t>
        </is>
      </c>
      <c r="B1394" s="1" t="n">
        <v>45265</v>
      </c>
      <c r="C1394" s="1" t="n">
        <v>45801</v>
      </c>
      <c r="D1394" t="inlineStr">
        <is>
          <t>KALMAR LÄN</t>
        </is>
      </c>
      <c r="E1394" t="inlineStr">
        <is>
          <t>VÄSTERVIK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61746-2023</t>
        </is>
      </c>
      <c r="B1395" s="1" t="n">
        <v>45265</v>
      </c>
      <c r="C1395" s="1" t="n">
        <v>45801</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61807-2023</t>
        </is>
      </c>
      <c r="B1396" s="1" t="n">
        <v>45266</v>
      </c>
      <c r="C1396" s="1" t="n">
        <v>45801</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61999-2023</t>
        </is>
      </c>
      <c r="B1397" s="1" t="n">
        <v>45266</v>
      </c>
      <c r="C1397" s="1" t="n">
        <v>45801</v>
      </c>
      <c r="D1397" t="inlineStr">
        <is>
          <t>KALMAR LÄN</t>
        </is>
      </c>
      <c r="E1397" t="inlineStr">
        <is>
          <t>VÄSTERVIK</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62003-2023</t>
        </is>
      </c>
      <c r="B1398" s="1" t="n">
        <v>45266</v>
      </c>
      <c r="C1398" s="1" t="n">
        <v>45801</v>
      </c>
      <c r="D1398" t="inlineStr">
        <is>
          <t>KALMAR LÄN</t>
        </is>
      </c>
      <c r="E1398" t="inlineStr">
        <is>
          <t>VÄSTERVIK</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62017-2023</t>
        </is>
      </c>
      <c r="B1399" s="1" t="n">
        <v>45266</v>
      </c>
      <c r="C1399" s="1" t="n">
        <v>45801</v>
      </c>
      <c r="D1399" t="inlineStr">
        <is>
          <t>KALMAR LÄN</t>
        </is>
      </c>
      <c r="E1399" t="inlineStr">
        <is>
          <t>VÄSTERVIK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62027-2023</t>
        </is>
      </c>
      <c r="B1400" s="1" t="n">
        <v>45266</v>
      </c>
      <c r="C1400" s="1" t="n">
        <v>45801</v>
      </c>
      <c r="D1400" t="inlineStr">
        <is>
          <t>KALMAR LÄN</t>
        </is>
      </c>
      <c r="E1400" t="inlineStr">
        <is>
          <t>VÄSTERVIK</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62034-2023</t>
        </is>
      </c>
      <c r="B1401" s="1" t="n">
        <v>45266</v>
      </c>
      <c r="C1401" s="1" t="n">
        <v>45801</v>
      </c>
      <c r="D1401" t="inlineStr">
        <is>
          <t>KALMAR LÄN</t>
        </is>
      </c>
      <c r="E1401" t="inlineStr">
        <is>
          <t>VÄSTERVIK</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62340-2023</t>
        </is>
      </c>
      <c r="B1402" s="1" t="n">
        <v>45267</v>
      </c>
      <c r="C1402" s="1" t="n">
        <v>45801</v>
      </c>
      <c r="D1402" t="inlineStr">
        <is>
          <t>KALMAR LÄN</t>
        </is>
      </c>
      <c r="E1402" t="inlineStr">
        <is>
          <t>VÄSTERVIK</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62589-2023</t>
        </is>
      </c>
      <c r="B1403" s="1" t="n">
        <v>45270</v>
      </c>
      <c r="C1403" s="1" t="n">
        <v>45801</v>
      </c>
      <c r="D1403" t="inlineStr">
        <is>
          <t>KALMAR LÄN</t>
        </is>
      </c>
      <c r="E1403" t="inlineStr">
        <is>
          <t>VÄSTERVIK</t>
        </is>
      </c>
      <c r="F1403" t="inlineStr">
        <is>
          <t>Holmen skog AB</t>
        </is>
      </c>
      <c r="G1403" t="n">
        <v>1.1</v>
      </c>
      <c r="H1403" t="n">
        <v>0</v>
      </c>
      <c r="I1403" t="n">
        <v>0</v>
      </c>
      <c r="J1403" t="n">
        <v>0</v>
      </c>
      <c r="K1403" t="n">
        <v>0</v>
      </c>
      <c r="L1403" t="n">
        <v>0</v>
      </c>
      <c r="M1403" t="n">
        <v>0</v>
      </c>
      <c r="N1403" t="n">
        <v>0</v>
      </c>
      <c r="O1403" t="n">
        <v>0</v>
      </c>
      <c r="P1403" t="n">
        <v>0</v>
      </c>
      <c r="Q1403" t="n">
        <v>0</v>
      </c>
      <c r="R1403" s="2" t="inlineStr"/>
      <c r="U1403">
        <f>HYPERLINK("https://klasma.github.io/Logging_0883/knärot/A 62589-2023 karta knärot.png", "A 62589-2023")</f>
        <v/>
      </c>
      <c r="V1403">
        <f>HYPERLINK("https://klasma.github.io/Logging_0883/klagomål/A 62589-2023 FSC-klagomål.docx", "A 62589-2023")</f>
        <v/>
      </c>
      <c r="W1403">
        <f>HYPERLINK("https://klasma.github.io/Logging_0883/klagomålsmail/A 62589-2023 FSC-klagomål mail.docx", "A 62589-2023")</f>
        <v/>
      </c>
      <c r="X1403">
        <f>HYPERLINK("https://klasma.github.io/Logging_0883/tillsyn/A 62589-2023 tillsynsbegäran.docx", "A 62589-2023")</f>
        <v/>
      </c>
      <c r="Y1403">
        <f>HYPERLINK("https://klasma.github.io/Logging_0883/tillsynsmail/A 62589-2023 tillsynsbegäran mail.docx", "A 62589-2023")</f>
        <v/>
      </c>
    </row>
    <row r="1404" ht="15" customHeight="1">
      <c r="A1404" t="inlineStr">
        <is>
          <t>A 62898-2023</t>
        </is>
      </c>
      <c r="B1404" s="1" t="n">
        <v>45271</v>
      </c>
      <c r="C1404" s="1" t="n">
        <v>45801</v>
      </c>
      <c r="D1404" t="inlineStr">
        <is>
          <t>KALMAR LÄN</t>
        </is>
      </c>
      <c r="E1404" t="inlineStr">
        <is>
          <t>VÄSTERVIK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62888-2023</t>
        </is>
      </c>
      <c r="B1405" s="1" t="n">
        <v>45272</v>
      </c>
      <c r="C1405" s="1" t="n">
        <v>45801</v>
      </c>
      <c r="D1405" t="inlineStr">
        <is>
          <t>KALMAR LÄN</t>
        </is>
      </c>
      <c r="E1405" t="inlineStr">
        <is>
          <t>VÄSTERVIK</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63018-2023</t>
        </is>
      </c>
      <c r="B1406" s="1" t="n">
        <v>45272</v>
      </c>
      <c r="C1406" s="1" t="n">
        <v>45801</v>
      </c>
      <c r="D1406" t="inlineStr">
        <is>
          <t>KALMAR LÄN</t>
        </is>
      </c>
      <c r="E1406" t="inlineStr">
        <is>
          <t>VÄSTERVIK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62873-2023</t>
        </is>
      </c>
      <c r="B1407" s="1" t="n">
        <v>45272</v>
      </c>
      <c r="C1407" s="1" t="n">
        <v>45801</v>
      </c>
      <c r="D1407" t="inlineStr">
        <is>
          <t>KALMAR LÄN</t>
        </is>
      </c>
      <c r="E1407" t="inlineStr">
        <is>
          <t>VÄSTERVIK</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62887-2023</t>
        </is>
      </c>
      <c r="B1408" s="1" t="n">
        <v>45272</v>
      </c>
      <c r="C1408" s="1" t="n">
        <v>45801</v>
      </c>
      <c r="D1408" t="inlineStr">
        <is>
          <t>KALMAR LÄN</t>
        </is>
      </c>
      <c r="E1408" t="inlineStr">
        <is>
          <t>VÄSTERVIK</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62850-2023</t>
        </is>
      </c>
      <c r="B1409" s="1" t="n">
        <v>45272</v>
      </c>
      <c r="C1409" s="1" t="n">
        <v>45801</v>
      </c>
      <c r="D1409" t="inlineStr">
        <is>
          <t>KALMAR LÄN</t>
        </is>
      </c>
      <c r="E1409" t="inlineStr">
        <is>
          <t>VÄSTERVIK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62876-2023</t>
        </is>
      </c>
      <c r="B1410" s="1" t="n">
        <v>45272</v>
      </c>
      <c r="C1410" s="1" t="n">
        <v>45801</v>
      </c>
      <c r="D1410" t="inlineStr">
        <is>
          <t>KALMAR LÄN</t>
        </is>
      </c>
      <c r="E1410" t="inlineStr">
        <is>
          <t>VÄSTERVIK</t>
        </is>
      </c>
      <c r="F1410" t="inlineStr">
        <is>
          <t>Sveaskog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63023-2023</t>
        </is>
      </c>
      <c r="B1411" s="1" t="n">
        <v>45272</v>
      </c>
      <c r="C1411" s="1" t="n">
        <v>45801</v>
      </c>
      <c r="D1411" t="inlineStr">
        <is>
          <t>KALMAR LÄN</t>
        </is>
      </c>
      <c r="E1411" t="inlineStr">
        <is>
          <t>VÄSTERVIK</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63043-2023</t>
        </is>
      </c>
      <c r="B1412" s="1" t="n">
        <v>45272</v>
      </c>
      <c r="C1412" s="1" t="n">
        <v>45801</v>
      </c>
      <c r="D1412" t="inlineStr">
        <is>
          <t>KALMAR LÄN</t>
        </is>
      </c>
      <c r="E1412" t="inlineStr">
        <is>
          <t>VÄSTERVIK</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62921-2023</t>
        </is>
      </c>
      <c r="B1413" s="1" t="n">
        <v>45272</v>
      </c>
      <c r="C1413" s="1" t="n">
        <v>45801</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63017-2023</t>
        </is>
      </c>
      <c r="B1414" s="1" t="n">
        <v>45272</v>
      </c>
      <c r="C1414" s="1" t="n">
        <v>45801</v>
      </c>
      <c r="D1414" t="inlineStr">
        <is>
          <t>KALMAR LÄN</t>
        </is>
      </c>
      <c r="E1414" t="inlineStr">
        <is>
          <t>VÄSTERVIK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63021-2023</t>
        </is>
      </c>
      <c r="B1415" s="1" t="n">
        <v>45272</v>
      </c>
      <c r="C1415" s="1" t="n">
        <v>45801</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63041-2023</t>
        </is>
      </c>
      <c r="B1416" s="1" t="n">
        <v>45272</v>
      </c>
      <c r="C1416" s="1" t="n">
        <v>45801</v>
      </c>
      <c r="D1416" t="inlineStr">
        <is>
          <t>KALMAR LÄN</t>
        </is>
      </c>
      <c r="E1416" t="inlineStr">
        <is>
          <t>VÄSTERVIK</t>
        </is>
      </c>
      <c r="F1416" t="inlineStr">
        <is>
          <t>Sveaskog</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63361-2023</t>
        </is>
      </c>
      <c r="B1417" s="1" t="n">
        <v>45274</v>
      </c>
      <c r="C1417" s="1" t="n">
        <v>45801</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63606-2023</t>
        </is>
      </c>
      <c r="B1418" s="1" t="n">
        <v>45275</v>
      </c>
      <c r="C1418" s="1" t="n">
        <v>45801</v>
      </c>
      <c r="D1418" t="inlineStr">
        <is>
          <t>KALMAR LÄN</t>
        </is>
      </c>
      <c r="E1418" t="inlineStr">
        <is>
          <t>VÄSTERVIK</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63890-2023</t>
        </is>
      </c>
      <c r="B1419" s="1" t="n">
        <v>45278</v>
      </c>
      <c r="C1419" s="1" t="n">
        <v>45801</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63859-2023</t>
        </is>
      </c>
      <c r="B1420" s="1" t="n">
        <v>45278</v>
      </c>
      <c r="C1420" s="1" t="n">
        <v>45801</v>
      </c>
      <c r="D1420" t="inlineStr">
        <is>
          <t>KALMAR LÄN</t>
        </is>
      </c>
      <c r="E1420" t="inlineStr">
        <is>
          <t>VÄSTERVIK</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64040-2023</t>
        </is>
      </c>
      <c r="B1421" s="1" t="n">
        <v>45279</v>
      </c>
      <c r="C1421" s="1" t="n">
        <v>45801</v>
      </c>
      <c r="D1421" t="inlineStr">
        <is>
          <t>KALMAR LÄN</t>
        </is>
      </c>
      <c r="E1421" t="inlineStr">
        <is>
          <t>VÄSTERVIK</t>
        </is>
      </c>
      <c r="F1421" t="inlineStr">
        <is>
          <t>Holmen skog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64580-2023</t>
        </is>
      </c>
      <c r="B1422" s="1" t="n">
        <v>45281</v>
      </c>
      <c r="C1422" s="1" t="n">
        <v>45801</v>
      </c>
      <c r="D1422" t="inlineStr">
        <is>
          <t>KALMAR LÄN</t>
        </is>
      </c>
      <c r="E1422" t="inlineStr">
        <is>
          <t>VÄSTERVIK</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64762-2023</t>
        </is>
      </c>
      <c r="B1423" s="1" t="n">
        <v>45282</v>
      </c>
      <c r="C1423" s="1" t="n">
        <v>45801</v>
      </c>
      <c r="D1423" t="inlineStr">
        <is>
          <t>KALMAR LÄN</t>
        </is>
      </c>
      <c r="E1423" t="inlineStr">
        <is>
          <t>VÄSTERVIK</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64763-2023</t>
        </is>
      </c>
      <c r="B1424" s="1" t="n">
        <v>45282</v>
      </c>
      <c r="C1424" s="1" t="n">
        <v>45801</v>
      </c>
      <c r="D1424" t="inlineStr">
        <is>
          <t>KALMAR LÄN</t>
        </is>
      </c>
      <c r="E1424" t="inlineStr">
        <is>
          <t>VÄSTERVIK</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64760-2023</t>
        </is>
      </c>
      <c r="B1425" s="1" t="n">
        <v>45282</v>
      </c>
      <c r="C1425" s="1" t="n">
        <v>45801</v>
      </c>
      <c r="D1425" t="inlineStr">
        <is>
          <t>KALMAR LÄN</t>
        </is>
      </c>
      <c r="E1425" t="inlineStr">
        <is>
          <t>VÄSTERVIK</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64886-2023</t>
        </is>
      </c>
      <c r="B1426" s="1" t="n">
        <v>45282</v>
      </c>
      <c r="C1426" s="1" t="n">
        <v>45801</v>
      </c>
      <c r="D1426" t="inlineStr">
        <is>
          <t>KALMAR LÄN</t>
        </is>
      </c>
      <c r="E1426" t="inlineStr">
        <is>
          <t>VÄSTERVIK</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65046-2023</t>
        </is>
      </c>
      <c r="B1427" s="1" t="n">
        <v>45287</v>
      </c>
      <c r="C1427" s="1" t="n">
        <v>45801</v>
      </c>
      <c r="D1427" t="inlineStr">
        <is>
          <t>KALMAR LÄN</t>
        </is>
      </c>
      <c r="E1427" t="inlineStr">
        <is>
          <t>VÄSTERVIK</t>
        </is>
      </c>
      <c r="F1427" t="inlineStr">
        <is>
          <t>Holmen skog AB</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65028-2023</t>
        </is>
      </c>
      <c r="B1428" s="1" t="n">
        <v>45287</v>
      </c>
      <c r="C1428" s="1" t="n">
        <v>45801</v>
      </c>
      <c r="D1428" t="inlineStr">
        <is>
          <t>KALMAR LÄN</t>
        </is>
      </c>
      <c r="E1428" t="inlineStr">
        <is>
          <t>VÄSTERVIK</t>
        </is>
      </c>
      <c r="F1428" t="inlineStr">
        <is>
          <t>Holmen skog AB</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65059-2023</t>
        </is>
      </c>
      <c r="B1429" s="1" t="n">
        <v>45287</v>
      </c>
      <c r="C1429" s="1" t="n">
        <v>45801</v>
      </c>
      <c r="D1429" t="inlineStr">
        <is>
          <t>KALMAR LÄN</t>
        </is>
      </c>
      <c r="E1429" t="inlineStr">
        <is>
          <t>VÄSTERVIK</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338-2024</t>
        </is>
      </c>
      <c r="B1430" s="1" t="n">
        <v>45295</v>
      </c>
      <c r="C1430" s="1" t="n">
        <v>45801</v>
      </c>
      <c r="D1430" t="inlineStr">
        <is>
          <t>KALMAR LÄN</t>
        </is>
      </c>
      <c r="E1430" t="inlineStr">
        <is>
          <t>VÄSTERVIK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340-2024</t>
        </is>
      </c>
      <c r="B1431" s="1" t="n">
        <v>45295</v>
      </c>
      <c r="C1431" s="1" t="n">
        <v>45801</v>
      </c>
      <c r="D1431" t="inlineStr">
        <is>
          <t>KALMAR LÄN</t>
        </is>
      </c>
      <c r="E1431" t="inlineStr">
        <is>
          <t>VÄSTERVIK</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492-2024</t>
        </is>
      </c>
      <c r="B1432" s="1" t="n">
        <v>45299</v>
      </c>
      <c r="C1432" s="1" t="n">
        <v>45801</v>
      </c>
      <c r="D1432" t="inlineStr">
        <is>
          <t>KALMAR LÄN</t>
        </is>
      </c>
      <c r="E1432" t="inlineStr">
        <is>
          <t>VÄSTERVIK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782-2024</t>
        </is>
      </c>
      <c r="B1433" s="1" t="n">
        <v>45300</v>
      </c>
      <c r="C1433" s="1" t="n">
        <v>45801</v>
      </c>
      <c r="D1433" t="inlineStr">
        <is>
          <t>KALMAR LÄN</t>
        </is>
      </c>
      <c r="E1433" t="inlineStr">
        <is>
          <t>VÄSTERVIK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928-2024</t>
        </is>
      </c>
      <c r="B1434" s="1" t="n">
        <v>45301</v>
      </c>
      <c r="C1434" s="1" t="n">
        <v>45801</v>
      </c>
      <c r="D1434" t="inlineStr">
        <is>
          <t>KALMAR LÄN</t>
        </is>
      </c>
      <c r="E1434" t="inlineStr">
        <is>
          <t>VÄSTERVIK</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936-2024</t>
        </is>
      </c>
      <c r="B1435" s="1" t="n">
        <v>45301</v>
      </c>
      <c r="C1435" s="1" t="n">
        <v>45801</v>
      </c>
      <c r="D1435" t="inlineStr">
        <is>
          <t>KALMAR LÄN</t>
        </is>
      </c>
      <c r="E1435" t="inlineStr">
        <is>
          <t>VÄSTERVIK</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944-2024</t>
        </is>
      </c>
      <c r="B1436" s="1" t="n">
        <v>45301</v>
      </c>
      <c r="C1436" s="1" t="n">
        <v>45801</v>
      </c>
      <c r="D1436" t="inlineStr">
        <is>
          <t>KALMAR LÄN</t>
        </is>
      </c>
      <c r="E1436" t="inlineStr">
        <is>
          <t>VÄSTERVIK</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901-2024</t>
        </is>
      </c>
      <c r="B1437" s="1" t="n">
        <v>45301</v>
      </c>
      <c r="C1437" s="1" t="n">
        <v>45801</v>
      </c>
      <c r="D1437" t="inlineStr">
        <is>
          <t>KALMAR LÄN</t>
        </is>
      </c>
      <c r="E1437" t="inlineStr">
        <is>
          <t>VÄSTERVIK</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925-2024</t>
        </is>
      </c>
      <c r="B1438" s="1" t="n">
        <v>45301</v>
      </c>
      <c r="C1438" s="1" t="n">
        <v>45801</v>
      </c>
      <c r="D1438" t="inlineStr">
        <is>
          <t>KALMAR LÄN</t>
        </is>
      </c>
      <c r="E1438" t="inlineStr">
        <is>
          <t>VÄSTERVIK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949-2024</t>
        </is>
      </c>
      <c r="B1439" s="1" t="n">
        <v>45301</v>
      </c>
      <c r="C1439" s="1" t="n">
        <v>45801</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934-2024</t>
        </is>
      </c>
      <c r="B1440" s="1" t="n">
        <v>45301</v>
      </c>
      <c r="C1440" s="1" t="n">
        <v>45801</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942-2024</t>
        </is>
      </c>
      <c r="B1441" s="1" t="n">
        <v>45301</v>
      </c>
      <c r="C1441" s="1" t="n">
        <v>45801</v>
      </c>
      <c r="D1441" t="inlineStr">
        <is>
          <t>KALMAR LÄN</t>
        </is>
      </c>
      <c r="E1441" t="inlineStr">
        <is>
          <t>VÄSTERVIK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946-2024</t>
        </is>
      </c>
      <c r="B1442" s="1" t="n">
        <v>45301</v>
      </c>
      <c r="C1442" s="1" t="n">
        <v>45801</v>
      </c>
      <c r="D1442" t="inlineStr">
        <is>
          <t>KALMAR LÄN</t>
        </is>
      </c>
      <c r="E1442" t="inlineStr">
        <is>
          <t>VÄSTERVIK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1098-2024</t>
        </is>
      </c>
      <c r="B1443" s="1" t="n">
        <v>45302</v>
      </c>
      <c r="C1443" s="1" t="n">
        <v>45801</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1096-2024</t>
        </is>
      </c>
      <c r="B1444" s="1" t="n">
        <v>45302</v>
      </c>
      <c r="C1444" s="1" t="n">
        <v>45801</v>
      </c>
      <c r="D1444" t="inlineStr">
        <is>
          <t>KALMAR LÄN</t>
        </is>
      </c>
      <c r="E1444" t="inlineStr">
        <is>
          <t>VÄSTERVIK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1665-2024</t>
        </is>
      </c>
      <c r="B1445" s="1" t="n">
        <v>45306</v>
      </c>
      <c r="C1445" s="1" t="n">
        <v>45801</v>
      </c>
      <c r="D1445" t="inlineStr">
        <is>
          <t>KALMAR LÄN</t>
        </is>
      </c>
      <c r="E1445" t="inlineStr">
        <is>
          <t>VÄSTERVIK</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1568-2024</t>
        </is>
      </c>
      <c r="B1446" s="1" t="n">
        <v>45306</v>
      </c>
      <c r="C1446" s="1" t="n">
        <v>45801</v>
      </c>
      <c r="D1446" t="inlineStr">
        <is>
          <t>KALMAR LÄN</t>
        </is>
      </c>
      <c r="E1446" t="inlineStr">
        <is>
          <t>VÄSTERVIK</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1572-2024</t>
        </is>
      </c>
      <c r="B1447" s="1" t="n">
        <v>45306</v>
      </c>
      <c r="C1447" s="1" t="n">
        <v>45801</v>
      </c>
      <c r="D1447" t="inlineStr">
        <is>
          <t>KALMAR LÄN</t>
        </is>
      </c>
      <c r="E1447" t="inlineStr">
        <is>
          <t>VÄSTERVIK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1664-2024</t>
        </is>
      </c>
      <c r="B1448" s="1" t="n">
        <v>45306</v>
      </c>
      <c r="C1448" s="1" t="n">
        <v>45801</v>
      </c>
      <c r="D1448" t="inlineStr">
        <is>
          <t>KALMAR LÄN</t>
        </is>
      </c>
      <c r="E1448" t="inlineStr">
        <is>
          <t>VÄSTERVIK</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2153-2024</t>
        </is>
      </c>
      <c r="B1449" s="1" t="n">
        <v>45309</v>
      </c>
      <c r="C1449" s="1" t="n">
        <v>45801</v>
      </c>
      <c r="D1449" t="inlineStr">
        <is>
          <t>KALMAR LÄN</t>
        </is>
      </c>
      <c r="E1449" t="inlineStr">
        <is>
          <t>VÄSTERVIK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2082-2024</t>
        </is>
      </c>
      <c r="B1450" s="1" t="n">
        <v>45309</v>
      </c>
      <c r="C1450" s="1" t="n">
        <v>45801</v>
      </c>
      <c r="D1450" t="inlineStr">
        <is>
          <t>KALMAR LÄN</t>
        </is>
      </c>
      <c r="E1450" t="inlineStr">
        <is>
          <t>VÄSTERVIK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2144-2024</t>
        </is>
      </c>
      <c r="B1451" s="1" t="n">
        <v>45309</v>
      </c>
      <c r="C1451" s="1" t="n">
        <v>45801</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2168-2024</t>
        </is>
      </c>
      <c r="B1452" s="1" t="n">
        <v>45309</v>
      </c>
      <c r="C1452" s="1" t="n">
        <v>45801</v>
      </c>
      <c r="D1452" t="inlineStr">
        <is>
          <t>KALMAR LÄN</t>
        </is>
      </c>
      <c r="E1452" t="inlineStr">
        <is>
          <t>VÄSTERVIK</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2520-2024</t>
        </is>
      </c>
      <c r="B1453" s="1" t="n">
        <v>45313</v>
      </c>
      <c r="C1453" s="1" t="n">
        <v>45801</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2507-2024</t>
        </is>
      </c>
      <c r="B1454" s="1" t="n">
        <v>45313</v>
      </c>
      <c r="C1454" s="1" t="n">
        <v>45801</v>
      </c>
      <c r="D1454" t="inlineStr">
        <is>
          <t>KALMAR LÄN</t>
        </is>
      </c>
      <c r="E1454" t="inlineStr">
        <is>
          <t>VÄSTERVIK</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2543-2024</t>
        </is>
      </c>
      <c r="B1455" s="1" t="n">
        <v>45313</v>
      </c>
      <c r="C1455" s="1" t="n">
        <v>45801</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2634-2024</t>
        </is>
      </c>
      <c r="B1456" s="1" t="n">
        <v>45314</v>
      </c>
      <c r="C1456" s="1" t="n">
        <v>45801</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2726-2024</t>
        </is>
      </c>
      <c r="B1457" s="1" t="n">
        <v>45314</v>
      </c>
      <c r="C1457" s="1" t="n">
        <v>45801</v>
      </c>
      <c r="D1457" t="inlineStr">
        <is>
          <t>KALMAR LÄN</t>
        </is>
      </c>
      <c r="E1457" t="inlineStr">
        <is>
          <t>VÄSTERVIK</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3157-2024</t>
        </is>
      </c>
      <c r="B1458" s="1" t="n">
        <v>45316</v>
      </c>
      <c r="C1458" s="1" t="n">
        <v>45801</v>
      </c>
      <c r="D1458" t="inlineStr">
        <is>
          <t>KALMAR LÄN</t>
        </is>
      </c>
      <c r="E1458" t="inlineStr">
        <is>
          <t>VÄSTERVIK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3557-2024</t>
        </is>
      </c>
      <c r="B1459" s="1" t="n">
        <v>45320</v>
      </c>
      <c r="C1459" s="1" t="n">
        <v>45801</v>
      </c>
      <c r="D1459" t="inlineStr">
        <is>
          <t>KALMAR LÄN</t>
        </is>
      </c>
      <c r="E1459" t="inlineStr">
        <is>
          <t>VÄSTERVIK</t>
        </is>
      </c>
      <c r="F1459" t="inlineStr">
        <is>
          <t>Holmen skog AB</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3818-2024</t>
        </is>
      </c>
      <c r="B1460" s="1" t="n">
        <v>45321</v>
      </c>
      <c r="C1460" s="1" t="n">
        <v>45801</v>
      </c>
      <c r="D1460" t="inlineStr">
        <is>
          <t>KALMAR LÄN</t>
        </is>
      </c>
      <c r="E1460" t="inlineStr">
        <is>
          <t>VÄSTERVIK</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3826-2024</t>
        </is>
      </c>
      <c r="B1461" s="1" t="n">
        <v>45321</v>
      </c>
      <c r="C1461" s="1" t="n">
        <v>45801</v>
      </c>
      <c r="D1461" t="inlineStr">
        <is>
          <t>KALMAR LÄN</t>
        </is>
      </c>
      <c r="E1461" t="inlineStr">
        <is>
          <t>VÄSTERVIK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3830-2024</t>
        </is>
      </c>
      <c r="B1462" s="1" t="n">
        <v>45321</v>
      </c>
      <c r="C1462" s="1" t="n">
        <v>45801</v>
      </c>
      <c r="D1462" t="inlineStr">
        <is>
          <t>KALMAR LÄN</t>
        </is>
      </c>
      <c r="E1462" t="inlineStr">
        <is>
          <t>VÄSTERVIK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3776-2024</t>
        </is>
      </c>
      <c r="B1463" s="1" t="n">
        <v>45321</v>
      </c>
      <c r="C1463" s="1" t="n">
        <v>45801</v>
      </c>
      <c r="D1463" t="inlineStr">
        <is>
          <t>KALMAR LÄN</t>
        </is>
      </c>
      <c r="E1463" t="inlineStr">
        <is>
          <t>VÄSTERVIK</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3817-2024</t>
        </is>
      </c>
      <c r="B1464" s="1" t="n">
        <v>45321</v>
      </c>
      <c r="C1464" s="1" t="n">
        <v>45801</v>
      </c>
      <c r="D1464" t="inlineStr">
        <is>
          <t>KALMAR LÄN</t>
        </is>
      </c>
      <c r="E1464" t="inlineStr">
        <is>
          <t>VÄSTERVIK</t>
        </is>
      </c>
      <c r="F1464" t="inlineStr">
        <is>
          <t>Holmen skog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3829-2024</t>
        </is>
      </c>
      <c r="B1465" s="1" t="n">
        <v>45321</v>
      </c>
      <c r="C1465" s="1" t="n">
        <v>45801</v>
      </c>
      <c r="D1465" t="inlineStr">
        <is>
          <t>KALMAR LÄN</t>
        </is>
      </c>
      <c r="E1465" t="inlineStr">
        <is>
          <t>VÄSTERVIK</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3828-2024</t>
        </is>
      </c>
      <c r="B1466" s="1" t="n">
        <v>45321</v>
      </c>
      <c r="C1466" s="1" t="n">
        <v>45801</v>
      </c>
      <c r="D1466" t="inlineStr">
        <is>
          <t>KALMAR LÄN</t>
        </is>
      </c>
      <c r="E1466" t="inlineStr">
        <is>
          <t>VÄSTERVIK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4520-2024</t>
        </is>
      </c>
      <c r="B1467" s="1" t="n">
        <v>45327</v>
      </c>
      <c r="C1467" s="1" t="n">
        <v>45801</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4540-2024</t>
        </is>
      </c>
      <c r="B1468" s="1" t="n">
        <v>45327</v>
      </c>
      <c r="C1468" s="1" t="n">
        <v>45801</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4858-2024</t>
        </is>
      </c>
      <c r="B1469" s="1" t="n">
        <v>45329</v>
      </c>
      <c r="C1469" s="1" t="n">
        <v>45801</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4950-2024</t>
        </is>
      </c>
      <c r="B1470" s="1" t="n">
        <v>45329</v>
      </c>
      <c r="C1470" s="1" t="n">
        <v>45801</v>
      </c>
      <c r="D1470" t="inlineStr">
        <is>
          <t>KALMAR LÄN</t>
        </is>
      </c>
      <c r="E1470" t="inlineStr">
        <is>
          <t>VÄSTERVIK</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5004-2024</t>
        </is>
      </c>
      <c r="B1471" s="1" t="n">
        <v>45329</v>
      </c>
      <c r="C1471" s="1" t="n">
        <v>45801</v>
      </c>
      <c r="D1471" t="inlineStr">
        <is>
          <t>KALMAR LÄN</t>
        </is>
      </c>
      <c r="E1471" t="inlineStr">
        <is>
          <t>VÄSTERVIK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4945-2024</t>
        </is>
      </c>
      <c r="B1472" s="1" t="n">
        <v>45329</v>
      </c>
      <c r="C1472" s="1" t="n">
        <v>45801</v>
      </c>
      <c r="D1472" t="inlineStr">
        <is>
          <t>KALMAR LÄN</t>
        </is>
      </c>
      <c r="E1472" t="inlineStr">
        <is>
          <t>VÄSTERVIK</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4965-2024</t>
        </is>
      </c>
      <c r="B1473" s="1" t="n">
        <v>45329</v>
      </c>
      <c r="C1473" s="1" t="n">
        <v>45801</v>
      </c>
      <c r="D1473" t="inlineStr">
        <is>
          <t>KALMAR LÄN</t>
        </is>
      </c>
      <c r="E1473" t="inlineStr">
        <is>
          <t>VÄSTERVIK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5234-2024</t>
        </is>
      </c>
      <c r="B1474" s="1" t="n">
        <v>45330</v>
      </c>
      <c r="C1474" s="1" t="n">
        <v>45801</v>
      </c>
      <c r="D1474" t="inlineStr">
        <is>
          <t>KALMAR LÄN</t>
        </is>
      </c>
      <c r="E1474" t="inlineStr">
        <is>
          <t>VÄSTERVIK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5300-2024</t>
        </is>
      </c>
      <c r="B1475" s="1" t="n">
        <v>45331</v>
      </c>
      <c r="C1475" s="1" t="n">
        <v>45801</v>
      </c>
      <c r="D1475" t="inlineStr">
        <is>
          <t>KALMAR LÄN</t>
        </is>
      </c>
      <c r="E1475" t="inlineStr">
        <is>
          <t>VÄSTERVIK</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5348-2024</t>
        </is>
      </c>
      <c r="B1476" s="1" t="n">
        <v>45331</v>
      </c>
      <c r="C1476" s="1" t="n">
        <v>45801</v>
      </c>
      <c r="D1476" t="inlineStr">
        <is>
          <t>KALMAR LÄN</t>
        </is>
      </c>
      <c r="E1476" t="inlineStr">
        <is>
          <t>VÄSTERVIK</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5355-2024</t>
        </is>
      </c>
      <c r="B1477" s="1" t="n">
        <v>45331</v>
      </c>
      <c r="C1477" s="1" t="n">
        <v>45801</v>
      </c>
      <c r="D1477" t="inlineStr">
        <is>
          <t>KALMAR LÄN</t>
        </is>
      </c>
      <c r="E1477" t="inlineStr">
        <is>
          <t>VÄSTERVIK</t>
        </is>
      </c>
      <c r="F1477" t="inlineStr">
        <is>
          <t>Övriga Aktiebolag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5923-2024</t>
        </is>
      </c>
      <c r="B1478" s="1" t="n">
        <v>45335</v>
      </c>
      <c r="C1478" s="1" t="n">
        <v>45801</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5924-2024</t>
        </is>
      </c>
      <c r="B1479" s="1" t="n">
        <v>45335</v>
      </c>
      <c r="C1479" s="1" t="n">
        <v>45801</v>
      </c>
      <c r="D1479" t="inlineStr">
        <is>
          <t>KALMAR LÄN</t>
        </is>
      </c>
      <c r="E1479" t="inlineStr">
        <is>
          <t>VÄSTERVIK</t>
        </is>
      </c>
      <c r="F1479" t="inlineStr">
        <is>
          <t>Holmen skog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5925-2024</t>
        </is>
      </c>
      <c r="B1480" s="1" t="n">
        <v>45336</v>
      </c>
      <c r="C1480" s="1" t="n">
        <v>45801</v>
      </c>
      <c r="D1480" t="inlineStr">
        <is>
          <t>KALMAR LÄN</t>
        </is>
      </c>
      <c r="E1480" t="inlineStr">
        <is>
          <t>VÄSTERVIK</t>
        </is>
      </c>
      <c r="F1480" t="inlineStr">
        <is>
          <t>Holmen skog AB</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6019-2024</t>
        </is>
      </c>
      <c r="B1481" s="1" t="n">
        <v>45336</v>
      </c>
      <c r="C1481" s="1" t="n">
        <v>45801</v>
      </c>
      <c r="D1481" t="inlineStr">
        <is>
          <t>KALMAR LÄN</t>
        </is>
      </c>
      <c r="E1481" t="inlineStr">
        <is>
          <t>VÄSTERVIK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6017-2024</t>
        </is>
      </c>
      <c r="B1482" s="1" t="n">
        <v>45336</v>
      </c>
      <c r="C1482" s="1" t="n">
        <v>45801</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6021-2024</t>
        </is>
      </c>
      <c r="B1483" s="1" t="n">
        <v>45336</v>
      </c>
      <c r="C1483" s="1" t="n">
        <v>45801</v>
      </c>
      <c r="D1483" t="inlineStr">
        <is>
          <t>KALMAR LÄN</t>
        </is>
      </c>
      <c r="E1483" t="inlineStr">
        <is>
          <t>VÄSTERVIK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6148-2024</t>
        </is>
      </c>
      <c r="B1484" s="1" t="n">
        <v>45337</v>
      </c>
      <c r="C1484" s="1" t="n">
        <v>45801</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6289-2024</t>
        </is>
      </c>
      <c r="B1485" s="1" t="n">
        <v>45338</v>
      </c>
      <c r="C1485" s="1" t="n">
        <v>45801</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6426-2024</t>
        </is>
      </c>
      <c r="B1486" s="1" t="n">
        <v>45338</v>
      </c>
      <c r="C1486" s="1" t="n">
        <v>45801</v>
      </c>
      <c r="D1486" t="inlineStr">
        <is>
          <t>KALMAR LÄN</t>
        </is>
      </c>
      <c r="E1486" t="inlineStr">
        <is>
          <t>VÄSTERVIK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6312-2024</t>
        </is>
      </c>
      <c r="B1487" s="1" t="n">
        <v>45338</v>
      </c>
      <c r="C1487" s="1" t="n">
        <v>45801</v>
      </c>
      <c r="D1487" t="inlineStr">
        <is>
          <t>KALMAR LÄN</t>
        </is>
      </c>
      <c r="E1487" t="inlineStr">
        <is>
          <t>VÄSTERVIK</t>
        </is>
      </c>
      <c r="F1487" t="inlineStr">
        <is>
          <t>Holmen skog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6406-2024</t>
        </is>
      </c>
      <c r="B1488" s="1" t="n">
        <v>45338</v>
      </c>
      <c r="C1488" s="1" t="n">
        <v>45801</v>
      </c>
      <c r="D1488" t="inlineStr">
        <is>
          <t>KALMAR LÄN</t>
        </is>
      </c>
      <c r="E1488" t="inlineStr">
        <is>
          <t>VÄSTERVIK</t>
        </is>
      </c>
      <c r="G1488" t="n">
        <v>5.5</v>
      </c>
      <c r="H1488" t="n">
        <v>0</v>
      </c>
      <c r="I1488" t="n">
        <v>0</v>
      </c>
      <c r="J1488" t="n">
        <v>0</v>
      </c>
      <c r="K1488" t="n">
        <v>0</v>
      </c>
      <c r="L1488" t="n">
        <v>0</v>
      </c>
      <c r="M1488" t="n">
        <v>0</v>
      </c>
      <c r="N1488" t="n">
        <v>0</v>
      </c>
      <c r="O1488" t="n">
        <v>0</v>
      </c>
      <c r="P1488" t="n">
        <v>0</v>
      </c>
      <c r="Q1488" t="n">
        <v>0</v>
      </c>
      <c r="R1488" s="2" t="inlineStr"/>
      <c r="U1488">
        <f>HYPERLINK("https://klasma.github.io/Logging_0883/knärot/A 6406-2024 karta knärot.png", "A 6406-2024")</f>
        <v/>
      </c>
      <c r="V1488">
        <f>HYPERLINK("https://klasma.github.io/Logging_0883/klagomål/A 6406-2024 FSC-klagomål.docx", "A 6406-2024")</f>
        <v/>
      </c>
      <c r="W1488">
        <f>HYPERLINK("https://klasma.github.io/Logging_0883/klagomålsmail/A 6406-2024 FSC-klagomål mail.docx", "A 6406-2024")</f>
        <v/>
      </c>
      <c r="X1488">
        <f>HYPERLINK("https://klasma.github.io/Logging_0883/tillsyn/A 6406-2024 tillsynsbegäran.docx", "A 6406-2024")</f>
        <v/>
      </c>
      <c r="Y1488">
        <f>HYPERLINK("https://klasma.github.io/Logging_0883/tillsynsmail/A 6406-2024 tillsynsbegäran mail.docx", "A 6406-2024")</f>
        <v/>
      </c>
    </row>
    <row r="1489" ht="15" customHeight="1">
      <c r="A1489" t="inlineStr">
        <is>
          <t>A 6731-2024</t>
        </is>
      </c>
      <c r="B1489" s="1" t="n">
        <v>45342</v>
      </c>
      <c r="C1489" s="1" t="n">
        <v>45801</v>
      </c>
      <c r="D1489" t="inlineStr">
        <is>
          <t>KALMAR LÄN</t>
        </is>
      </c>
      <c r="E1489" t="inlineStr">
        <is>
          <t>VÄSTERVIK</t>
        </is>
      </c>
      <c r="F1489" t="inlineStr">
        <is>
          <t>Holmen skog AB</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6746-2024</t>
        </is>
      </c>
      <c r="B1490" s="1" t="n">
        <v>45342</v>
      </c>
      <c r="C1490" s="1" t="n">
        <v>45801</v>
      </c>
      <c r="D1490" t="inlineStr">
        <is>
          <t>KALMAR LÄN</t>
        </is>
      </c>
      <c r="E1490" t="inlineStr">
        <is>
          <t>VÄSTERVIK</t>
        </is>
      </c>
      <c r="F1490" t="inlineStr">
        <is>
          <t>Holmen skog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7089-2024</t>
        </is>
      </c>
      <c r="B1491" s="1" t="n">
        <v>45343</v>
      </c>
      <c r="C1491" s="1" t="n">
        <v>45801</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7090-2024</t>
        </is>
      </c>
      <c r="B1492" s="1" t="n">
        <v>45343</v>
      </c>
      <c r="C1492" s="1" t="n">
        <v>45801</v>
      </c>
      <c r="D1492" t="inlineStr">
        <is>
          <t>KALMAR LÄN</t>
        </is>
      </c>
      <c r="E1492" t="inlineStr">
        <is>
          <t>VÄSTERVIK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7512-2024</t>
        </is>
      </c>
      <c r="B1493" s="1" t="n">
        <v>45348</v>
      </c>
      <c r="C1493" s="1" t="n">
        <v>45801</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7536-2024</t>
        </is>
      </c>
      <c r="B1494" s="1" t="n">
        <v>45348</v>
      </c>
      <c r="C1494" s="1" t="n">
        <v>45801</v>
      </c>
      <c r="D1494" t="inlineStr">
        <is>
          <t>KALMAR LÄN</t>
        </is>
      </c>
      <c r="E1494" t="inlineStr">
        <is>
          <t>VÄSTERVIK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7548-2024</t>
        </is>
      </c>
      <c r="B1495" s="1" t="n">
        <v>45348</v>
      </c>
      <c r="C1495" s="1" t="n">
        <v>45801</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7688-2024</t>
        </is>
      </c>
      <c r="B1496" s="1" t="n">
        <v>45349</v>
      </c>
      <c r="C1496" s="1" t="n">
        <v>45801</v>
      </c>
      <c r="D1496" t="inlineStr">
        <is>
          <t>KALMAR LÄN</t>
        </is>
      </c>
      <c r="E1496" t="inlineStr">
        <is>
          <t>VÄSTERVIK</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7687-2024</t>
        </is>
      </c>
      <c r="B1497" s="1" t="n">
        <v>45349</v>
      </c>
      <c r="C1497" s="1" t="n">
        <v>45801</v>
      </c>
      <c r="D1497" t="inlineStr">
        <is>
          <t>KALMAR LÄN</t>
        </is>
      </c>
      <c r="E1497" t="inlineStr">
        <is>
          <t>VÄSTERVIK</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8089-2024</t>
        </is>
      </c>
      <c r="B1498" s="1" t="n">
        <v>45351</v>
      </c>
      <c r="C1498" s="1" t="n">
        <v>45801</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8619-2024</t>
        </is>
      </c>
      <c r="B1499" s="1" t="n">
        <v>45355</v>
      </c>
      <c r="C1499" s="1" t="n">
        <v>45801</v>
      </c>
      <c r="D1499" t="inlineStr">
        <is>
          <t>KALMAR LÄN</t>
        </is>
      </c>
      <c r="E1499" t="inlineStr">
        <is>
          <t>VÄSTERVIK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8731-2024</t>
        </is>
      </c>
      <c r="B1500" s="1" t="n">
        <v>45356</v>
      </c>
      <c r="C1500" s="1" t="n">
        <v>45801</v>
      </c>
      <c r="D1500" t="inlineStr">
        <is>
          <t>KALMAR LÄN</t>
        </is>
      </c>
      <c r="E1500" t="inlineStr">
        <is>
          <t>VÄSTERVIK</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8732-2024</t>
        </is>
      </c>
      <c r="B1501" s="1" t="n">
        <v>45356</v>
      </c>
      <c r="C1501" s="1" t="n">
        <v>45801</v>
      </c>
      <c r="D1501" t="inlineStr">
        <is>
          <t>KALMAR LÄN</t>
        </is>
      </c>
      <c r="E1501" t="inlineStr">
        <is>
          <t>VÄSTERVIK</t>
        </is>
      </c>
      <c r="F1501" t="inlineStr">
        <is>
          <t>Sveaskog</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9107-2024</t>
        </is>
      </c>
      <c r="B1502" s="1" t="n">
        <v>45357</v>
      </c>
      <c r="C1502" s="1" t="n">
        <v>45801</v>
      </c>
      <c r="D1502" t="inlineStr">
        <is>
          <t>KALMAR LÄN</t>
        </is>
      </c>
      <c r="E1502" t="inlineStr">
        <is>
          <t>VÄSTERVIK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9124-2024</t>
        </is>
      </c>
      <c r="B1503" s="1" t="n">
        <v>45358</v>
      </c>
      <c r="C1503" s="1" t="n">
        <v>45801</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9249-2024</t>
        </is>
      </c>
      <c r="B1504" s="1" t="n">
        <v>45358</v>
      </c>
      <c r="C1504" s="1" t="n">
        <v>45801</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9140-2024</t>
        </is>
      </c>
      <c r="B1505" s="1" t="n">
        <v>45358</v>
      </c>
      <c r="C1505" s="1" t="n">
        <v>45801</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9549-2024</t>
        </is>
      </c>
      <c r="B1506" s="1" t="n">
        <v>45359</v>
      </c>
      <c r="C1506" s="1" t="n">
        <v>45801</v>
      </c>
      <c r="D1506" t="inlineStr">
        <is>
          <t>KALMAR LÄN</t>
        </is>
      </c>
      <c r="E1506" t="inlineStr">
        <is>
          <t>VÄSTERVIK</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9760-2024</t>
        </is>
      </c>
      <c r="B1507" s="1" t="n">
        <v>45362</v>
      </c>
      <c r="C1507" s="1" t="n">
        <v>45801</v>
      </c>
      <c r="D1507" t="inlineStr">
        <is>
          <t>KALMAR LÄN</t>
        </is>
      </c>
      <c r="E1507" t="inlineStr">
        <is>
          <t>VÄSTERVIK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9753-2024</t>
        </is>
      </c>
      <c r="B1508" s="1" t="n">
        <v>45362</v>
      </c>
      <c r="C1508" s="1" t="n">
        <v>45801</v>
      </c>
      <c r="D1508" t="inlineStr">
        <is>
          <t>KALMAR LÄN</t>
        </is>
      </c>
      <c r="E1508" t="inlineStr">
        <is>
          <t>VÄSTERVIK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9985-2024</t>
        </is>
      </c>
      <c r="B1509" s="1" t="n">
        <v>45363</v>
      </c>
      <c r="C1509" s="1" t="n">
        <v>45801</v>
      </c>
      <c r="D1509" t="inlineStr">
        <is>
          <t>KALMAR LÄN</t>
        </is>
      </c>
      <c r="E1509" t="inlineStr">
        <is>
          <t>VÄSTERVIK</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10515-2024</t>
        </is>
      </c>
      <c r="B1510" s="1" t="n">
        <v>45366</v>
      </c>
      <c r="C1510" s="1" t="n">
        <v>45801</v>
      </c>
      <c r="D1510" t="inlineStr">
        <is>
          <t>KALMAR LÄN</t>
        </is>
      </c>
      <c r="E1510" t="inlineStr">
        <is>
          <t>VÄSTERVIK</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10521-2024</t>
        </is>
      </c>
      <c r="B1511" s="1" t="n">
        <v>45366</v>
      </c>
      <c r="C1511" s="1" t="n">
        <v>45801</v>
      </c>
      <c r="D1511" t="inlineStr">
        <is>
          <t>KALMAR LÄN</t>
        </is>
      </c>
      <c r="E1511" t="inlineStr">
        <is>
          <t>VÄSTERVIK</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10727-2024</t>
        </is>
      </c>
      <c r="B1512" s="1" t="n">
        <v>45369</v>
      </c>
      <c r="C1512" s="1" t="n">
        <v>45801</v>
      </c>
      <c r="D1512" t="inlineStr">
        <is>
          <t>KALMAR LÄN</t>
        </is>
      </c>
      <c r="E1512" t="inlineStr">
        <is>
          <t>VÄSTERVIK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10688-2024</t>
        </is>
      </c>
      <c r="B1513" s="1" t="n">
        <v>45369</v>
      </c>
      <c r="C1513" s="1" t="n">
        <v>45801</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10942-2024</t>
        </is>
      </c>
      <c r="B1514" s="1" t="n">
        <v>45370</v>
      </c>
      <c r="C1514" s="1" t="n">
        <v>45801</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11189-2024</t>
        </is>
      </c>
      <c r="B1515" s="1" t="n">
        <v>45371</v>
      </c>
      <c r="C1515" s="1" t="n">
        <v>45801</v>
      </c>
      <c r="D1515" t="inlineStr">
        <is>
          <t>KALMAR LÄN</t>
        </is>
      </c>
      <c r="E1515" t="inlineStr">
        <is>
          <t>VÄSTERVIK</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11167-2024</t>
        </is>
      </c>
      <c r="B1516" s="1" t="n">
        <v>45371</v>
      </c>
      <c r="C1516" s="1" t="n">
        <v>45801</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11183-2024</t>
        </is>
      </c>
      <c r="B1517" s="1" t="n">
        <v>45371</v>
      </c>
      <c r="C1517" s="1" t="n">
        <v>45801</v>
      </c>
      <c r="D1517" t="inlineStr">
        <is>
          <t>KALMAR LÄN</t>
        </is>
      </c>
      <c r="E1517" t="inlineStr">
        <is>
          <t>VÄSTERVIK</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11198-2024</t>
        </is>
      </c>
      <c r="B1518" s="1" t="n">
        <v>45371</v>
      </c>
      <c r="C1518" s="1" t="n">
        <v>45801</v>
      </c>
      <c r="D1518" t="inlineStr">
        <is>
          <t>KALMAR LÄN</t>
        </is>
      </c>
      <c r="E1518" t="inlineStr">
        <is>
          <t>VÄSTERVIK</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11750-2024</t>
        </is>
      </c>
      <c r="B1519" s="1" t="n">
        <v>45373</v>
      </c>
      <c r="C1519" s="1" t="n">
        <v>45801</v>
      </c>
      <c r="D1519" t="inlineStr">
        <is>
          <t>KALMAR LÄN</t>
        </is>
      </c>
      <c r="E1519" t="inlineStr">
        <is>
          <t>VÄSTERVIK</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11746-2024</t>
        </is>
      </c>
      <c r="B1520" s="1" t="n">
        <v>45373</v>
      </c>
      <c r="C1520" s="1" t="n">
        <v>45801</v>
      </c>
      <c r="D1520" t="inlineStr">
        <is>
          <t>KALMAR LÄN</t>
        </is>
      </c>
      <c r="E1520" t="inlineStr">
        <is>
          <t>VÄSTERVIK</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11611-2024</t>
        </is>
      </c>
      <c r="B1521" s="1" t="n">
        <v>45373</v>
      </c>
      <c r="C1521" s="1" t="n">
        <v>45801</v>
      </c>
      <c r="D1521" t="inlineStr">
        <is>
          <t>KALMAR LÄN</t>
        </is>
      </c>
      <c r="E1521" t="inlineStr">
        <is>
          <t>VÄSTERVIK</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11791-2024</t>
        </is>
      </c>
      <c r="B1522" s="1" t="n">
        <v>45375</v>
      </c>
      <c r="C1522" s="1" t="n">
        <v>45801</v>
      </c>
      <c r="D1522" t="inlineStr">
        <is>
          <t>KALMAR LÄN</t>
        </is>
      </c>
      <c r="E1522" t="inlineStr">
        <is>
          <t>VÄSTERVIK</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11848-2024</t>
        </is>
      </c>
      <c r="B1523" s="1" t="n">
        <v>45376</v>
      </c>
      <c r="C1523" s="1" t="n">
        <v>45801</v>
      </c>
      <c r="D1523" t="inlineStr">
        <is>
          <t>KALMAR LÄN</t>
        </is>
      </c>
      <c r="E1523" t="inlineStr">
        <is>
          <t>VÄSTERVIK</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11856-2024</t>
        </is>
      </c>
      <c r="B1524" s="1" t="n">
        <v>45376</v>
      </c>
      <c r="C1524" s="1" t="n">
        <v>45801</v>
      </c>
      <c r="D1524" t="inlineStr">
        <is>
          <t>KALMAR LÄN</t>
        </is>
      </c>
      <c r="E1524" t="inlineStr">
        <is>
          <t>VÄSTERVIK</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11864-2024</t>
        </is>
      </c>
      <c r="B1525" s="1" t="n">
        <v>45376</v>
      </c>
      <c r="C1525" s="1" t="n">
        <v>45801</v>
      </c>
      <c r="D1525" t="inlineStr">
        <is>
          <t>KALMAR LÄN</t>
        </is>
      </c>
      <c r="E1525" t="inlineStr">
        <is>
          <t>VÄSTERVIK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11854-2024</t>
        </is>
      </c>
      <c r="B1526" s="1" t="n">
        <v>45376</v>
      </c>
      <c r="C1526" s="1" t="n">
        <v>45801</v>
      </c>
      <c r="D1526" t="inlineStr">
        <is>
          <t>KALMAR LÄN</t>
        </is>
      </c>
      <c r="E1526" t="inlineStr">
        <is>
          <t>VÄSTERVIK</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12009-2024</t>
        </is>
      </c>
      <c r="B1527" s="1" t="n">
        <v>45377</v>
      </c>
      <c r="C1527" s="1" t="n">
        <v>45801</v>
      </c>
      <c r="D1527" t="inlineStr">
        <is>
          <t>KALMAR LÄN</t>
        </is>
      </c>
      <c r="E1527" t="inlineStr">
        <is>
          <t>VÄSTERVIK</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12433-2024</t>
        </is>
      </c>
      <c r="B1528" s="1" t="n">
        <v>45379</v>
      </c>
      <c r="C1528" s="1" t="n">
        <v>45801</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12643-2024</t>
        </is>
      </c>
      <c r="B1529" s="1" t="n">
        <v>45379</v>
      </c>
      <c r="C1529" s="1" t="n">
        <v>45801</v>
      </c>
      <c r="D1529" t="inlineStr">
        <is>
          <t>KALMAR LÄN</t>
        </is>
      </c>
      <c r="E1529" t="inlineStr">
        <is>
          <t>VÄSTERVIK</t>
        </is>
      </c>
      <c r="F1529" t="inlineStr">
        <is>
          <t>Kommuner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12431-2024</t>
        </is>
      </c>
      <c r="B1530" s="1" t="n">
        <v>45379</v>
      </c>
      <c r="C1530" s="1" t="n">
        <v>45801</v>
      </c>
      <c r="D1530" t="inlineStr">
        <is>
          <t>KALMAR LÄN</t>
        </is>
      </c>
      <c r="E1530" t="inlineStr">
        <is>
          <t>VÄSTERVIK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12435-2024</t>
        </is>
      </c>
      <c r="B1531" s="1" t="n">
        <v>45379</v>
      </c>
      <c r="C1531" s="1" t="n">
        <v>45801</v>
      </c>
      <c r="D1531" t="inlineStr">
        <is>
          <t>KALMAR LÄN</t>
        </is>
      </c>
      <c r="E1531" t="inlineStr">
        <is>
          <t>VÄSTERVIK</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12446-2024</t>
        </is>
      </c>
      <c r="B1532" s="1" t="n">
        <v>45379</v>
      </c>
      <c r="C1532" s="1" t="n">
        <v>45801</v>
      </c>
      <c r="D1532" t="inlineStr">
        <is>
          <t>KALMAR LÄN</t>
        </is>
      </c>
      <c r="E1532" t="inlineStr">
        <is>
          <t>VÄSTERVIK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12852-2024</t>
        </is>
      </c>
      <c r="B1533" s="1" t="n">
        <v>45384</v>
      </c>
      <c r="C1533" s="1" t="n">
        <v>45801</v>
      </c>
      <c r="D1533" t="inlineStr">
        <is>
          <t>KALMAR LÄN</t>
        </is>
      </c>
      <c r="E1533" t="inlineStr">
        <is>
          <t>VÄSTERVIK</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13400-2024</t>
        </is>
      </c>
      <c r="B1534" s="1" t="n">
        <v>45387</v>
      </c>
      <c r="C1534" s="1" t="n">
        <v>45801</v>
      </c>
      <c r="D1534" t="inlineStr">
        <is>
          <t>KALMAR LÄN</t>
        </is>
      </c>
      <c r="E1534" t="inlineStr">
        <is>
          <t>VÄSTERVIK</t>
        </is>
      </c>
      <c r="F1534" t="inlineStr">
        <is>
          <t>Holmen skog AB</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13753-2024</t>
        </is>
      </c>
      <c r="B1535" s="1" t="n">
        <v>45390</v>
      </c>
      <c r="C1535" s="1" t="n">
        <v>45801</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13743-2024</t>
        </is>
      </c>
      <c r="B1536" s="1" t="n">
        <v>45390</v>
      </c>
      <c r="C1536" s="1" t="n">
        <v>45801</v>
      </c>
      <c r="D1536" t="inlineStr">
        <is>
          <t>KALMAR LÄN</t>
        </is>
      </c>
      <c r="E1536" t="inlineStr">
        <is>
          <t>VÄSTERVIK</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13748-2024</t>
        </is>
      </c>
      <c r="B1537" s="1" t="n">
        <v>45390</v>
      </c>
      <c r="C1537" s="1" t="n">
        <v>45801</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13747-2024</t>
        </is>
      </c>
      <c r="B1538" s="1" t="n">
        <v>45390</v>
      </c>
      <c r="C1538" s="1" t="n">
        <v>45801</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13751-2024</t>
        </is>
      </c>
      <c r="B1539" s="1" t="n">
        <v>45390</v>
      </c>
      <c r="C1539" s="1" t="n">
        <v>45801</v>
      </c>
      <c r="D1539" t="inlineStr">
        <is>
          <t>KALMAR LÄN</t>
        </is>
      </c>
      <c r="E1539" t="inlineStr">
        <is>
          <t>VÄSTERVIK</t>
        </is>
      </c>
      <c r="F1539" t="inlineStr">
        <is>
          <t>Sveaskog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13742-2024</t>
        </is>
      </c>
      <c r="B1540" s="1" t="n">
        <v>45390</v>
      </c>
      <c r="C1540" s="1" t="n">
        <v>45801</v>
      </c>
      <c r="D1540" t="inlineStr">
        <is>
          <t>KALMAR LÄN</t>
        </is>
      </c>
      <c r="E1540" t="inlineStr">
        <is>
          <t>VÄSTERVIK</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13746-2024</t>
        </is>
      </c>
      <c r="B1541" s="1" t="n">
        <v>45390</v>
      </c>
      <c r="C1541" s="1" t="n">
        <v>45801</v>
      </c>
      <c r="D1541" t="inlineStr">
        <is>
          <t>KALMAR LÄN</t>
        </is>
      </c>
      <c r="E1541" t="inlineStr">
        <is>
          <t>VÄSTERVIK</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13750-2024</t>
        </is>
      </c>
      <c r="B1542" s="1" t="n">
        <v>45390</v>
      </c>
      <c r="C1542" s="1" t="n">
        <v>45801</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13825-2024</t>
        </is>
      </c>
      <c r="B1543" s="1" t="n">
        <v>45391</v>
      </c>
      <c r="C1543" s="1" t="n">
        <v>45801</v>
      </c>
      <c r="D1543" t="inlineStr">
        <is>
          <t>KALMAR LÄN</t>
        </is>
      </c>
      <c r="E1543" t="inlineStr">
        <is>
          <t>VÄSTERVIK</t>
        </is>
      </c>
      <c r="F1543" t="inlineStr">
        <is>
          <t>Sveaskog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13836-2024</t>
        </is>
      </c>
      <c r="B1544" s="1" t="n">
        <v>45391</v>
      </c>
      <c r="C1544" s="1" t="n">
        <v>45801</v>
      </c>
      <c r="D1544" t="inlineStr">
        <is>
          <t>KALMAR LÄN</t>
        </is>
      </c>
      <c r="E1544" t="inlineStr">
        <is>
          <t>VÄSTERVIK</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13840-2024</t>
        </is>
      </c>
      <c r="B1545" s="1" t="n">
        <v>45391</v>
      </c>
      <c r="C1545" s="1" t="n">
        <v>45801</v>
      </c>
      <c r="D1545" t="inlineStr">
        <is>
          <t>KALMAR LÄN</t>
        </is>
      </c>
      <c r="E1545" t="inlineStr">
        <is>
          <t>VÄSTERVIK</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13823-2024</t>
        </is>
      </c>
      <c r="B1546" s="1" t="n">
        <v>45391</v>
      </c>
      <c r="C1546" s="1" t="n">
        <v>45801</v>
      </c>
      <c r="D1546" t="inlineStr">
        <is>
          <t>KALMAR LÄN</t>
        </is>
      </c>
      <c r="E1546" t="inlineStr">
        <is>
          <t>VÄSTERVIK</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13827-2024</t>
        </is>
      </c>
      <c r="B1547" s="1" t="n">
        <v>45391</v>
      </c>
      <c r="C1547" s="1" t="n">
        <v>45801</v>
      </c>
      <c r="D1547" t="inlineStr">
        <is>
          <t>KALMAR LÄN</t>
        </is>
      </c>
      <c r="E1547" t="inlineStr">
        <is>
          <t>VÄSTERVIK</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13838-2024</t>
        </is>
      </c>
      <c r="B1548" s="1" t="n">
        <v>45391</v>
      </c>
      <c r="C1548" s="1" t="n">
        <v>45801</v>
      </c>
      <c r="D1548" t="inlineStr">
        <is>
          <t>KALMAR LÄN</t>
        </is>
      </c>
      <c r="E1548" t="inlineStr">
        <is>
          <t>VÄSTERVIK</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13837-2024</t>
        </is>
      </c>
      <c r="B1549" s="1" t="n">
        <v>45391</v>
      </c>
      <c r="C1549" s="1" t="n">
        <v>45801</v>
      </c>
      <c r="D1549" t="inlineStr">
        <is>
          <t>KALMAR LÄN</t>
        </is>
      </c>
      <c r="E1549" t="inlineStr">
        <is>
          <t>VÄSTERVIK</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13843-2024</t>
        </is>
      </c>
      <c r="B1550" s="1" t="n">
        <v>45391</v>
      </c>
      <c r="C1550" s="1" t="n">
        <v>45801</v>
      </c>
      <c r="D1550" t="inlineStr">
        <is>
          <t>KALMAR LÄN</t>
        </is>
      </c>
      <c r="E1550" t="inlineStr">
        <is>
          <t>VÄSTERVIK</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13839-2024</t>
        </is>
      </c>
      <c r="B1551" s="1" t="n">
        <v>45391</v>
      </c>
      <c r="C1551" s="1" t="n">
        <v>45801</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14024-2024</t>
        </is>
      </c>
      <c r="B1552" s="1" t="n">
        <v>45392</v>
      </c>
      <c r="C1552" s="1" t="n">
        <v>45801</v>
      </c>
      <c r="D1552" t="inlineStr">
        <is>
          <t>KALMAR LÄN</t>
        </is>
      </c>
      <c r="E1552" t="inlineStr">
        <is>
          <t>VÄSTERVIK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14147-2024</t>
        </is>
      </c>
      <c r="B1553" s="1" t="n">
        <v>45392</v>
      </c>
      <c r="C1553" s="1" t="n">
        <v>45801</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14146-2024</t>
        </is>
      </c>
      <c r="B1554" s="1" t="n">
        <v>45392</v>
      </c>
      <c r="C1554" s="1" t="n">
        <v>45801</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14145-2024</t>
        </is>
      </c>
      <c r="B1555" s="1" t="n">
        <v>45392</v>
      </c>
      <c r="C1555" s="1" t="n">
        <v>45801</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14281-2024</t>
        </is>
      </c>
      <c r="B1556" s="1" t="n">
        <v>45393</v>
      </c>
      <c r="C1556" s="1" t="n">
        <v>45801</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14282-2024</t>
        </is>
      </c>
      <c r="B1557" s="1" t="n">
        <v>45393</v>
      </c>
      <c r="C1557" s="1" t="n">
        <v>45801</v>
      </c>
      <c r="D1557" t="inlineStr">
        <is>
          <t>KALMAR LÄN</t>
        </is>
      </c>
      <c r="E1557" t="inlineStr">
        <is>
          <t>VÄSTERVIK</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14237-2024</t>
        </is>
      </c>
      <c r="B1558" s="1" t="n">
        <v>45393</v>
      </c>
      <c r="C1558" s="1" t="n">
        <v>45801</v>
      </c>
      <c r="D1558" t="inlineStr">
        <is>
          <t>KALMAR LÄN</t>
        </is>
      </c>
      <c r="E1558" t="inlineStr">
        <is>
          <t>VÄSTERVIK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14452-2024</t>
        </is>
      </c>
      <c r="B1559" s="1" t="n">
        <v>45394</v>
      </c>
      <c r="C1559" s="1" t="n">
        <v>45801</v>
      </c>
      <c r="D1559" t="inlineStr">
        <is>
          <t>KALMAR LÄN</t>
        </is>
      </c>
      <c r="E1559" t="inlineStr">
        <is>
          <t>VÄSTERVIK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15356-2024</t>
        </is>
      </c>
      <c r="B1560" s="1" t="n">
        <v>45400</v>
      </c>
      <c r="C1560" s="1" t="n">
        <v>45801</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15357-2024</t>
        </is>
      </c>
      <c r="B1561" s="1" t="n">
        <v>45400</v>
      </c>
      <c r="C1561" s="1" t="n">
        <v>45801</v>
      </c>
      <c r="D1561" t="inlineStr">
        <is>
          <t>KALMAR LÄN</t>
        </is>
      </c>
      <c r="E1561" t="inlineStr">
        <is>
          <t>VÄSTERVIK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15553-2024</t>
        </is>
      </c>
      <c r="B1562" s="1" t="n">
        <v>45401</v>
      </c>
      <c r="C1562" s="1" t="n">
        <v>45801</v>
      </c>
      <c r="D1562" t="inlineStr">
        <is>
          <t>KALMAR LÄN</t>
        </is>
      </c>
      <c r="E1562" t="inlineStr">
        <is>
          <t>VÄSTERVIK</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16040-2024</t>
        </is>
      </c>
      <c r="B1563" s="1" t="n">
        <v>45405</v>
      </c>
      <c r="C1563" s="1" t="n">
        <v>45801</v>
      </c>
      <c r="D1563" t="inlineStr">
        <is>
          <t>KALMAR LÄN</t>
        </is>
      </c>
      <c r="E1563" t="inlineStr">
        <is>
          <t>VÄSTERVIK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16011-2024</t>
        </is>
      </c>
      <c r="B1564" s="1" t="n">
        <v>45405</v>
      </c>
      <c r="C1564" s="1" t="n">
        <v>45801</v>
      </c>
      <c r="D1564" t="inlineStr">
        <is>
          <t>KALMAR LÄN</t>
        </is>
      </c>
      <c r="E1564" t="inlineStr">
        <is>
          <t>VÄSTERVIK</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15926-2024</t>
        </is>
      </c>
      <c r="B1565" s="1" t="n">
        <v>45405</v>
      </c>
      <c r="C1565" s="1" t="n">
        <v>45801</v>
      </c>
      <c r="D1565" t="inlineStr">
        <is>
          <t>KALMAR LÄN</t>
        </is>
      </c>
      <c r="E1565" t="inlineStr">
        <is>
          <t>VÄSTERVIK</t>
        </is>
      </c>
      <c r="F1565" t="inlineStr">
        <is>
          <t>Övriga Aktiebolag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16395-2024</t>
        </is>
      </c>
      <c r="B1566" s="1" t="n">
        <v>45407</v>
      </c>
      <c r="C1566" s="1" t="n">
        <v>45801</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c r="U1566">
        <f>HYPERLINK("https://klasma.github.io/Logging_0883/knärot/A 16395-2024 karta knärot.png", "A 16395-2024")</f>
        <v/>
      </c>
      <c r="V1566">
        <f>HYPERLINK("https://klasma.github.io/Logging_0883/klagomål/A 16395-2024 FSC-klagomål.docx", "A 16395-2024")</f>
        <v/>
      </c>
      <c r="W1566">
        <f>HYPERLINK("https://klasma.github.io/Logging_0883/klagomålsmail/A 16395-2024 FSC-klagomål mail.docx", "A 16395-2024")</f>
        <v/>
      </c>
      <c r="X1566">
        <f>HYPERLINK("https://klasma.github.io/Logging_0883/tillsyn/A 16395-2024 tillsynsbegäran.docx", "A 16395-2024")</f>
        <v/>
      </c>
      <c r="Y1566">
        <f>HYPERLINK("https://klasma.github.io/Logging_0883/tillsynsmail/A 16395-2024 tillsynsbegäran mail.docx", "A 16395-2024")</f>
        <v/>
      </c>
    </row>
    <row r="1567" ht="15" customHeight="1">
      <c r="A1567" t="inlineStr">
        <is>
          <t>A 16381-2024</t>
        </is>
      </c>
      <c r="B1567" s="1" t="n">
        <v>45407</v>
      </c>
      <c r="C1567" s="1" t="n">
        <v>45801</v>
      </c>
      <c r="D1567" t="inlineStr">
        <is>
          <t>KALMAR LÄN</t>
        </is>
      </c>
      <c r="E1567" t="inlineStr">
        <is>
          <t>VÄSTERVIK</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16385-2024</t>
        </is>
      </c>
      <c r="B1568" s="1" t="n">
        <v>45407</v>
      </c>
      <c r="C1568" s="1" t="n">
        <v>45801</v>
      </c>
      <c r="D1568" t="inlineStr">
        <is>
          <t>KALMAR LÄN</t>
        </is>
      </c>
      <c r="E1568" t="inlineStr">
        <is>
          <t>VÄSTERVIK</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16386-2024</t>
        </is>
      </c>
      <c r="B1569" s="1" t="n">
        <v>45407</v>
      </c>
      <c r="C1569" s="1" t="n">
        <v>45801</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16390-2024</t>
        </is>
      </c>
      <c r="B1570" s="1" t="n">
        <v>45407</v>
      </c>
      <c r="C1570" s="1" t="n">
        <v>45801</v>
      </c>
      <c r="D1570" t="inlineStr">
        <is>
          <t>KALMAR LÄN</t>
        </is>
      </c>
      <c r="E1570" t="inlineStr">
        <is>
          <t>VÄSTERVIK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16398-2024</t>
        </is>
      </c>
      <c r="B1571" s="1" t="n">
        <v>45407</v>
      </c>
      <c r="C1571" s="1" t="n">
        <v>45801</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16696-2024</t>
        </is>
      </c>
      <c r="B1572" s="1" t="n">
        <v>45409</v>
      </c>
      <c r="C1572" s="1" t="n">
        <v>45801</v>
      </c>
      <c r="D1572" t="inlineStr">
        <is>
          <t>KALMAR LÄN</t>
        </is>
      </c>
      <c r="E1572" t="inlineStr">
        <is>
          <t>VÄSTERVIK</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17216-2024</t>
        </is>
      </c>
      <c r="B1573" s="1" t="n">
        <v>45414</v>
      </c>
      <c r="C1573" s="1" t="n">
        <v>45801</v>
      </c>
      <c r="D1573" t="inlineStr">
        <is>
          <t>KALMAR LÄN</t>
        </is>
      </c>
      <c r="E1573" t="inlineStr">
        <is>
          <t>VÄSTERVIK</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17214-2024</t>
        </is>
      </c>
      <c r="B1574" s="1" t="n">
        <v>45414</v>
      </c>
      <c r="C1574" s="1" t="n">
        <v>45801</v>
      </c>
      <c r="D1574" t="inlineStr">
        <is>
          <t>KALMAR LÄN</t>
        </is>
      </c>
      <c r="E1574" t="inlineStr">
        <is>
          <t>VÄSTERVIK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17427-2024</t>
        </is>
      </c>
      <c r="B1575" s="1" t="n">
        <v>45415</v>
      </c>
      <c r="C1575" s="1" t="n">
        <v>45801</v>
      </c>
      <c r="D1575" t="inlineStr">
        <is>
          <t>KALMAR LÄN</t>
        </is>
      </c>
      <c r="E1575" t="inlineStr">
        <is>
          <t>VÄSTERVIK</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17425-2024</t>
        </is>
      </c>
      <c r="B1576" s="1" t="n">
        <v>45415</v>
      </c>
      <c r="C1576" s="1" t="n">
        <v>45801</v>
      </c>
      <c r="D1576" t="inlineStr">
        <is>
          <t>KALMAR LÄN</t>
        </is>
      </c>
      <c r="E1576" t="inlineStr">
        <is>
          <t>VÄSTERVIK</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17426-2024</t>
        </is>
      </c>
      <c r="B1577" s="1" t="n">
        <v>45415</v>
      </c>
      <c r="C1577" s="1" t="n">
        <v>45801</v>
      </c>
      <c r="D1577" t="inlineStr">
        <is>
          <t>KALMAR LÄN</t>
        </is>
      </c>
      <c r="E1577" t="inlineStr">
        <is>
          <t>VÄSTERVIK</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18034-2024</t>
        </is>
      </c>
      <c r="B1578" s="1" t="n">
        <v>45420</v>
      </c>
      <c r="C1578" s="1" t="n">
        <v>45801</v>
      </c>
      <c r="D1578" t="inlineStr">
        <is>
          <t>KALMAR LÄN</t>
        </is>
      </c>
      <c r="E1578" t="inlineStr">
        <is>
          <t>VÄSTERVIK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18143-2024</t>
        </is>
      </c>
      <c r="B1579" s="1" t="n">
        <v>45420</v>
      </c>
      <c r="C1579" s="1" t="n">
        <v>45801</v>
      </c>
      <c r="D1579" t="inlineStr">
        <is>
          <t>KALMAR LÄN</t>
        </is>
      </c>
      <c r="E1579" t="inlineStr">
        <is>
          <t>VÄSTERVIK</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18395-2024</t>
        </is>
      </c>
      <c r="B1580" s="1" t="n">
        <v>45425</v>
      </c>
      <c r="C1580" s="1" t="n">
        <v>45801</v>
      </c>
      <c r="D1580" t="inlineStr">
        <is>
          <t>KALMAR LÄN</t>
        </is>
      </c>
      <c r="E1580" t="inlineStr">
        <is>
          <t>VÄSTERVIK</t>
        </is>
      </c>
      <c r="F1580" t="inlineStr">
        <is>
          <t>Holmen skog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18434-2024</t>
        </is>
      </c>
      <c r="B1581" s="1" t="n">
        <v>45425</v>
      </c>
      <c r="C1581" s="1" t="n">
        <v>45801</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20368-2024</t>
        </is>
      </c>
      <c r="B1582" s="1" t="n">
        <v>45435</v>
      </c>
      <c r="C1582" s="1" t="n">
        <v>45801</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20365-2024</t>
        </is>
      </c>
      <c r="B1583" s="1" t="n">
        <v>45435</v>
      </c>
      <c r="C1583" s="1" t="n">
        <v>45801</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20370-2024</t>
        </is>
      </c>
      <c r="B1584" s="1" t="n">
        <v>45435</v>
      </c>
      <c r="C1584" s="1" t="n">
        <v>45801</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21648-2024</t>
        </is>
      </c>
      <c r="B1585" s="1" t="n">
        <v>45442</v>
      </c>
      <c r="C1585" s="1" t="n">
        <v>45801</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21752-2024</t>
        </is>
      </c>
      <c r="B1586" s="1" t="n">
        <v>45442</v>
      </c>
      <c r="C1586" s="1" t="n">
        <v>45801</v>
      </c>
      <c r="D1586" t="inlineStr">
        <is>
          <t>KALMAR LÄN</t>
        </is>
      </c>
      <c r="E1586" t="inlineStr">
        <is>
          <t>VÄSTERVIK</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22266-2024</t>
        </is>
      </c>
      <c r="B1587" s="1" t="n">
        <v>45446</v>
      </c>
      <c r="C1587" s="1" t="n">
        <v>45801</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22740-2024</t>
        </is>
      </c>
      <c r="B1588" s="1" t="n">
        <v>45448</v>
      </c>
      <c r="C1588" s="1" t="n">
        <v>45801</v>
      </c>
      <c r="D1588" t="inlineStr">
        <is>
          <t>KALMAR LÄN</t>
        </is>
      </c>
      <c r="E1588" t="inlineStr">
        <is>
          <t>VÄSTERVIK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23221-2024</t>
        </is>
      </c>
      <c r="B1589" s="1" t="n">
        <v>45452</v>
      </c>
      <c r="C1589" s="1" t="n">
        <v>45801</v>
      </c>
      <c r="D1589" t="inlineStr">
        <is>
          <t>KALMAR LÄN</t>
        </is>
      </c>
      <c r="E1589" t="inlineStr">
        <is>
          <t>VÄSTERVIK</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23248-2024</t>
        </is>
      </c>
      <c r="B1590" s="1" t="n">
        <v>45453</v>
      </c>
      <c r="C1590" s="1" t="n">
        <v>45801</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23626-2024</t>
        </is>
      </c>
      <c r="B1591" s="1" t="n">
        <v>45454</v>
      </c>
      <c r="C1591" s="1" t="n">
        <v>45801</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23873-2024</t>
        </is>
      </c>
      <c r="B1592" s="1" t="n">
        <v>45455</v>
      </c>
      <c r="C1592" s="1" t="n">
        <v>45801</v>
      </c>
      <c r="D1592" t="inlineStr">
        <is>
          <t>KALMAR LÄN</t>
        </is>
      </c>
      <c r="E1592" t="inlineStr">
        <is>
          <t>VÄSTERVIK</t>
        </is>
      </c>
      <c r="F1592" t="inlineStr">
        <is>
          <t>Övriga Aktiebolag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23983-2024</t>
        </is>
      </c>
      <c r="B1593" s="1" t="n">
        <v>45456</v>
      </c>
      <c r="C1593" s="1" t="n">
        <v>45801</v>
      </c>
      <c r="D1593" t="inlineStr">
        <is>
          <t>KALMAR LÄN</t>
        </is>
      </c>
      <c r="E1593" t="inlineStr">
        <is>
          <t>VÄSTERVIK</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24600-2024</t>
        </is>
      </c>
      <c r="B1594" s="1" t="n">
        <v>45460</v>
      </c>
      <c r="C1594" s="1" t="n">
        <v>45801</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24596-2024</t>
        </is>
      </c>
      <c r="B1595" s="1" t="n">
        <v>45460</v>
      </c>
      <c r="C1595" s="1" t="n">
        <v>45801</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24592-2024</t>
        </is>
      </c>
      <c r="B1596" s="1" t="n">
        <v>45460</v>
      </c>
      <c r="C1596" s="1" t="n">
        <v>45801</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24584-2024</t>
        </is>
      </c>
      <c r="B1597" s="1" t="n">
        <v>45460</v>
      </c>
      <c r="C1597" s="1" t="n">
        <v>45801</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24571-2024</t>
        </is>
      </c>
      <c r="B1598" s="1" t="n">
        <v>45460</v>
      </c>
      <c r="C1598" s="1" t="n">
        <v>45801</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24567-2024</t>
        </is>
      </c>
      <c r="B1599" s="1" t="n">
        <v>45460</v>
      </c>
      <c r="C1599" s="1" t="n">
        <v>45801</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24536-2024</t>
        </is>
      </c>
      <c r="B1600" s="1" t="n">
        <v>45460</v>
      </c>
      <c r="C1600" s="1" t="n">
        <v>45801</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24578-2024</t>
        </is>
      </c>
      <c r="B1601" s="1" t="n">
        <v>45460</v>
      </c>
      <c r="C1601" s="1" t="n">
        <v>45801</v>
      </c>
      <c r="D1601" t="inlineStr">
        <is>
          <t>KALMAR LÄN</t>
        </is>
      </c>
      <c r="E1601" t="inlineStr">
        <is>
          <t>VÄSTERVIK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24562-2024</t>
        </is>
      </c>
      <c r="B1602" s="1" t="n">
        <v>45460</v>
      </c>
      <c r="C1602" s="1" t="n">
        <v>45801</v>
      </c>
      <c r="D1602" t="inlineStr">
        <is>
          <t>KALMAR LÄN</t>
        </is>
      </c>
      <c r="E1602" t="inlineStr">
        <is>
          <t>VÄSTERVIK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24572-2024</t>
        </is>
      </c>
      <c r="B1603" s="1" t="n">
        <v>45460</v>
      </c>
      <c r="C1603" s="1" t="n">
        <v>45801</v>
      </c>
      <c r="D1603" t="inlineStr">
        <is>
          <t>KALMAR LÄN</t>
        </is>
      </c>
      <c r="E1603" t="inlineStr">
        <is>
          <t>VÄSTERVIK</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24988-2024</t>
        </is>
      </c>
      <c r="B1604" s="1" t="n">
        <v>45461</v>
      </c>
      <c r="C1604" s="1" t="n">
        <v>45801</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25561-2024</t>
        </is>
      </c>
      <c r="B1605" s="1" t="n">
        <v>45463</v>
      </c>
      <c r="C1605" s="1" t="n">
        <v>45801</v>
      </c>
      <c r="D1605" t="inlineStr">
        <is>
          <t>KALMAR LÄN</t>
        </is>
      </c>
      <c r="E1605" t="inlineStr">
        <is>
          <t>VÄSTERVIK</t>
        </is>
      </c>
      <c r="F1605" t="inlineStr">
        <is>
          <t>Holmen skog AB</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25429-2024</t>
        </is>
      </c>
      <c r="B1606" s="1" t="n">
        <v>45463</v>
      </c>
      <c r="C1606" s="1" t="n">
        <v>45801</v>
      </c>
      <c r="D1606" t="inlineStr">
        <is>
          <t>KALMAR LÄN</t>
        </is>
      </c>
      <c r="E1606" t="inlineStr">
        <is>
          <t>VÄSTERVIK</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25882-2024</t>
        </is>
      </c>
      <c r="B1607" s="1" t="n">
        <v>45467</v>
      </c>
      <c r="C1607" s="1" t="n">
        <v>45801</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26285-2024</t>
        </is>
      </c>
      <c r="B1608" s="1" t="n">
        <v>45468</v>
      </c>
      <c r="C1608" s="1" t="n">
        <v>45801</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26140-2024</t>
        </is>
      </c>
      <c r="B1609" s="1" t="n">
        <v>45468</v>
      </c>
      <c r="C1609" s="1" t="n">
        <v>45801</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26066-2024</t>
        </is>
      </c>
      <c r="B1610" s="1" t="n">
        <v>45468</v>
      </c>
      <c r="C1610" s="1" t="n">
        <v>45801</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26061-2024</t>
        </is>
      </c>
      <c r="B1611" s="1" t="n">
        <v>45468</v>
      </c>
      <c r="C1611" s="1" t="n">
        <v>45801</v>
      </c>
      <c r="D1611" t="inlineStr">
        <is>
          <t>KALMAR LÄN</t>
        </is>
      </c>
      <c r="E1611" t="inlineStr">
        <is>
          <t>VÄSTERVIK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26053-2024</t>
        </is>
      </c>
      <c r="B1612" s="1" t="n">
        <v>45468</v>
      </c>
      <c r="C1612" s="1" t="n">
        <v>45801</v>
      </c>
      <c r="D1612" t="inlineStr">
        <is>
          <t>KALMAR LÄN</t>
        </is>
      </c>
      <c r="E1612" t="inlineStr">
        <is>
          <t>VÄSTERVIK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27094-2024</t>
        </is>
      </c>
      <c r="B1613" s="1" t="n">
        <v>45471</v>
      </c>
      <c r="C1613" s="1" t="n">
        <v>45801</v>
      </c>
      <c r="D1613" t="inlineStr">
        <is>
          <t>KALMAR LÄN</t>
        </is>
      </c>
      <c r="E1613" t="inlineStr">
        <is>
          <t>VÄSTERVIK</t>
        </is>
      </c>
      <c r="F1613" t="inlineStr">
        <is>
          <t>Holmen skog AB</t>
        </is>
      </c>
      <c r="G1613" t="n">
        <v>2.4</v>
      </c>
      <c r="H1613" t="n">
        <v>0</v>
      </c>
      <c r="I1613" t="n">
        <v>0</v>
      </c>
      <c r="J1613" t="n">
        <v>0</v>
      </c>
      <c r="K1613" t="n">
        <v>0</v>
      </c>
      <c r="L1613" t="n">
        <v>0</v>
      </c>
      <c r="M1613" t="n">
        <v>0</v>
      </c>
      <c r="N1613" t="n">
        <v>0</v>
      </c>
      <c r="O1613" t="n">
        <v>0</v>
      </c>
      <c r="P1613" t="n">
        <v>0</v>
      </c>
      <c r="Q1613" t="n">
        <v>0</v>
      </c>
      <c r="R1613" s="2" t="inlineStr"/>
      <c r="U1613">
        <f>HYPERLINK("https://klasma.github.io/Logging_0883/knärot/A 27094-2024 karta knärot.png", "A 27094-2024")</f>
        <v/>
      </c>
      <c r="V1613">
        <f>HYPERLINK("https://klasma.github.io/Logging_0883/klagomål/A 27094-2024 FSC-klagomål.docx", "A 27094-2024")</f>
        <v/>
      </c>
      <c r="W1613">
        <f>HYPERLINK("https://klasma.github.io/Logging_0883/klagomålsmail/A 27094-2024 FSC-klagomål mail.docx", "A 27094-2024")</f>
        <v/>
      </c>
      <c r="X1613">
        <f>HYPERLINK("https://klasma.github.io/Logging_0883/tillsyn/A 27094-2024 tillsynsbegäran.docx", "A 27094-2024")</f>
        <v/>
      </c>
      <c r="Y1613">
        <f>HYPERLINK("https://klasma.github.io/Logging_0883/tillsynsmail/A 27094-2024 tillsynsbegäran mail.docx", "A 27094-2024")</f>
        <v/>
      </c>
    </row>
    <row r="1614" ht="15" customHeight="1">
      <c r="A1614" t="inlineStr">
        <is>
          <t>A 27568-2024</t>
        </is>
      </c>
      <c r="B1614" s="1" t="n">
        <v>45474</v>
      </c>
      <c r="C1614" s="1" t="n">
        <v>45801</v>
      </c>
      <c r="D1614" t="inlineStr">
        <is>
          <t>KALMAR LÄN</t>
        </is>
      </c>
      <c r="E1614" t="inlineStr">
        <is>
          <t>VÄSTERVIK</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28110-2024</t>
        </is>
      </c>
      <c r="B1615" s="1" t="n">
        <v>45476</v>
      </c>
      <c r="C1615" s="1" t="n">
        <v>45801</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28122-2024</t>
        </is>
      </c>
      <c r="B1616" s="1" t="n">
        <v>45476</v>
      </c>
      <c r="C1616" s="1" t="n">
        <v>45801</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28037-2024</t>
        </is>
      </c>
      <c r="B1617" s="1" t="n">
        <v>45476</v>
      </c>
      <c r="C1617" s="1" t="n">
        <v>45801</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28404-2024</t>
        </is>
      </c>
      <c r="B1618" s="1" t="n">
        <v>45477</v>
      </c>
      <c r="C1618" s="1" t="n">
        <v>45801</v>
      </c>
      <c r="D1618" t="inlineStr">
        <is>
          <t>KALMAR LÄN</t>
        </is>
      </c>
      <c r="E1618" t="inlineStr">
        <is>
          <t>VÄSTERVIK</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28315-2024</t>
        </is>
      </c>
      <c r="B1619" s="1" t="n">
        <v>45477</v>
      </c>
      <c r="C1619" s="1" t="n">
        <v>45801</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28291-2024</t>
        </is>
      </c>
      <c r="B1620" s="1" t="n">
        <v>45477</v>
      </c>
      <c r="C1620" s="1" t="n">
        <v>45801</v>
      </c>
      <c r="D1620" t="inlineStr">
        <is>
          <t>KALMAR LÄN</t>
        </is>
      </c>
      <c r="E1620" t="inlineStr">
        <is>
          <t>VÄSTERVIK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28415-2024</t>
        </is>
      </c>
      <c r="B1621" s="1" t="n">
        <v>45477</v>
      </c>
      <c r="C1621" s="1" t="n">
        <v>45801</v>
      </c>
      <c r="D1621" t="inlineStr">
        <is>
          <t>KALMAR LÄN</t>
        </is>
      </c>
      <c r="E1621" t="inlineStr">
        <is>
          <t>VÄSTERVIK</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28390-2024</t>
        </is>
      </c>
      <c r="B1622" s="1" t="n">
        <v>45477</v>
      </c>
      <c r="C1622" s="1" t="n">
        <v>45801</v>
      </c>
      <c r="D1622" t="inlineStr">
        <is>
          <t>KALMAR LÄN</t>
        </is>
      </c>
      <c r="E1622" t="inlineStr">
        <is>
          <t>VÄSTERVIK</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28378-2024</t>
        </is>
      </c>
      <c r="B1623" s="1" t="n">
        <v>45477</v>
      </c>
      <c r="C1623" s="1" t="n">
        <v>45801</v>
      </c>
      <c r="D1623" t="inlineStr">
        <is>
          <t>KALMAR LÄN</t>
        </is>
      </c>
      <c r="E1623" t="inlineStr">
        <is>
          <t>VÄSTERVIK</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28222-2024</t>
        </is>
      </c>
      <c r="B1624" s="1" t="n">
        <v>45477</v>
      </c>
      <c r="C1624" s="1" t="n">
        <v>45801</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28344-2024</t>
        </is>
      </c>
      <c r="B1625" s="1" t="n">
        <v>45477</v>
      </c>
      <c r="C1625" s="1" t="n">
        <v>45801</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28667-2024</t>
        </is>
      </c>
      <c r="B1626" s="1" t="n">
        <v>45478</v>
      </c>
      <c r="C1626" s="1" t="n">
        <v>45801</v>
      </c>
      <c r="D1626" t="inlineStr">
        <is>
          <t>KALMAR LÄN</t>
        </is>
      </c>
      <c r="E1626" t="inlineStr">
        <is>
          <t>VÄSTERVIK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28640-2024</t>
        </is>
      </c>
      <c r="B1627" s="1" t="n">
        <v>45478</v>
      </c>
      <c r="C1627" s="1" t="n">
        <v>45801</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29400-2024</t>
        </is>
      </c>
      <c r="B1628" s="1" t="n">
        <v>45483</v>
      </c>
      <c r="C1628" s="1" t="n">
        <v>45801</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29404-2024</t>
        </is>
      </c>
      <c r="B1629" s="1" t="n">
        <v>45483</v>
      </c>
      <c r="C1629" s="1" t="n">
        <v>45801</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29412-2024</t>
        </is>
      </c>
      <c r="B1630" s="1" t="n">
        <v>45483</v>
      </c>
      <c r="C1630" s="1" t="n">
        <v>45801</v>
      </c>
      <c r="D1630" t="inlineStr">
        <is>
          <t>KALMAR LÄN</t>
        </is>
      </c>
      <c r="E1630" t="inlineStr">
        <is>
          <t>VÄSTERVIK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29420-2024</t>
        </is>
      </c>
      <c r="B1631" s="1" t="n">
        <v>45483</v>
      </c>
      <c r="C1631" s="1" t="n">
        <v>45801</v>
      </c>
      <c r="D1631" t="inlineStr">
        <is>
          <t>KALMAR LÄN</t>
        </is>
      </c>
      <c r="E1631" t="inlineStr">
        <is>
          <t>VÄSTERVIK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29396-2024</t>
        </is>
      </c>
      <c r="B1632" s="1" t="n">
        <v>45483</v>
      </c>
      <c r="C1632" s="1" t="n">
        <v>45801</v>
      </c>
      <c r="D1632" t="inlineStr">
        <is>
          <t>KALMAR LÄN</t>
        </is>
      </c>
      <c r="E1632" t="inlineStr">
        <is>
          <t>VÄSTERVIK</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29405-2024</t>
        </is>
      </c>
      <c r="B1633" s="1" t="n">
        <v>45483</v>
      </c>
      <c r="C1633" s="1" t="n">
        <v>45801</v>
      </c>
      <c r="D1633" t="inlineStr">
        <is>
          <t>KALMAR LÄN</t>
        </is>
      </c>
      <c r="E1633" t="inlineStr">
        <is>
          <t>VÄSTERVIK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29417-2024</t>
        </is>
      </c>
      <c r="B1634" s="1" t="n">
        <v>45483</v>
      </c>
      <c r="C1634" s="1" t="n">
        <v>45801</v>
      </c>
      <c r="D1634" t="inlineStr">
        <is>
          <t>KALMAR LÄN</t>
        </is>
      </c>
      <c r="E1634" t="inlineStr">
        <is>
          <t>VÄSTERVIK</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29407-2024</t>
        </is>
      </c>
      <c r="B1635" s="1" t="n">
        <v>45483</v>
      </c>
      <c r="C1635" s="1" t="n">
        <v>45801</v>
      </c>
      <c r="D1635" t="inlineStr">
        <is>
          <t>KALMAR LÄN</t>
        </is>
      </c>
      <c r="E1635" t="inlineStr">
        <is>
          <t>VÄSTERVIK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29414-2024</t>
        </is>
      </c>
      <c r="B1636" s="1" t="n">
        <v>45483</v>
      </c>
      <c r="C1636" s="1" t="n">
        <v>45801</v>
      </c>
      <c r="D1636" t="inlineStr">
        <is>
          <t>KALMAR LÄN</t>
        </is>
      </c>
      <c r="E1636" t="inlineStr">
        <is>
          <t>VÄSTERVIK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29418-2024</t>
        </is>
      </c>
      <c r="B1637" s="1" t="n">
        <v>45483</v>
      </c>
      <c r="C1637" s="1" t="n">
        <v>45801</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29557-2024</t>
        </is>
      </c>
      <c r="B1638" s="1" t="n">
        <v>45484</v>
      </c>
      <c r="C1638" s="1" t="n">
        <v>45801</v>
      </c>
      <c r="D1638" t="inlineStr">
        <is>
          <t>KALMAR LÄN</t>
        </is>
      </c>
      <c r="E1638" t="inlineStr">
        <is>
          <t>VÄSTERVIK</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29571-2024</t>
        </is>
      </c>
      <c r="B1639" s="1" t="n">
        <v>45484</v>
      </c>
      <c r="C1639" s="1" t="n">
        <v>45801</v>
      </c>
      <c r="D1639" t="inlineStr">
        <is>
          <t>KALMAR LÄN</t>
        </is>
      </c>
      <c r="E1639" t="inlineStr">
        <is>
          <t>VÄSTERVIK</t>
        </is>
      </c>
      <c r="F1639" t="inlineStr">
        <is>
          <t>Holmen skog AB</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29786-2024</t>
        </is>
      </c>
      <c r="B1640" s="1" t="n">
        <v>45485</v>
      </c>
      <c r="C1640" s="1" t="n">
        <v>45801</v>
      </c>
      <c r="D1640" t="inlineStr">
        <is>
          <t>KALMAR LÄN</t>
        </is>
      </c>
      <c r="E1640" t="inlineStr">
        <is>
          <t>VÄSTERVIK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29784-2024</t>
        </is>
      </c>
      <c r="B1641" s="1" t="n">
        <v>45485</v>
      </c>
      <c r="C1641" s="1" t="n">
        <v>45801</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29789-2024</t>
        </is>
      </c>
      <c r="B1642" s="1" t="n">
        <v>45485</v>
      </c>
      <c r="C1642" s="1" t="n">
        <v>45801</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30153-2024</t>
        </is>
      </c>
      <c r="B1643" s="1" t="n">
        <v>45489</v>
      </c>
      <c r="C1643" s="1" t="n">
        <v>45801</v>
      </c>
      <c r="D1643" t="inlineStr">
        <is>
          <t>KALMAR LÄN</t>
        </is>
      </c>
      <c r="E1643" t="inlineStr">
        <is>
          <t>VÄSTERVIK</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30148-2024</t>
        </is>
      </c>
      <c r="B1644" s="1" t="n">
        <v>45489</v>
      </c>
      <c r="C1644" s="1" t="n">
        <v>45801</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30149-2024</t>
        </is>
      </c>
      <c r="B1645" s="1" t="n">
        <v>45489</v>
      </c>
      <c r="C1645" s="1" t="n">
        <v>45801</v>
      </c>
      <c r="D1645" t="inlineStr">
        <is>
          <t>KALMAR LÄN</t>
        </is>
      </c>
      <c r="E1645" t="inlineStr">
        <is>
          <t>VÄSTERVIK</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30157-2024</t>
        </is>
      </c>
      <c r="B1646" s="1" t="n">
        <v>45489</v>
      </c>
      <c r="C1646" s="1" t="n">
        <v>45801</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30437-2024</t>
        </is>
      </c>
      <c r="B1647" s="1" t="n">
        <v>45491</v>
      </c>
      <c r="C1647" s="1" t="n">
        <v>45801</v>
      </c>
      <c r="D1647" t="inlineStr">
        <is>
          <t>KALMAR LÄN</t>
        </is>
      </c>
      <c r="E1647" t="inlineStr">
        <is>
          <t>VÄSTERVIK</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30525-2024</t>
        </is>
      </c>
      <c r="B1648" s="1" t="n">
        <v>45492</v>
      </c>
      <c r="C1648" s="1" t="n">
        <v>45801</v>
      </c>
      <c r="D1648" t="inlineStr">
        <is>
          <t>KALMAR LÄN</t>
        </is>
      </c>
      <c r="E1648" t="inlineStr">
        <is>
          <t>VÄSTERVIK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30523-2024</t>
        </is>
      </c>
      <c r="B1649" s="1" t="n">
        <v>45492</v>
      </c>
      <c r="C1649" s="1" t="n">
        <v>45801</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30511-2024</t>
        </is>
      </c>
      <c r="B1650" s="1" t="n">
        <v>45492</v>
      </c>
      <c r="C1650" s="1" t="n">
        <v>45801</v>
      </c>
      <c r="D1650" t="inlineStr">
        <is>
          <t>KALMAR LÄN</t>
        </is>
      </c>
      <c r="E1650" t="inlineStr">
        <is>
          <t>VÄSTERVIK</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31147-2024</t>
        </is>
      </c>
      <c r="B1651" s="1" t="n">
        <v>45502</v>
      </c>
      <c r="C1651" s="1" t="n">
        <v>45801</v>
      </c>
      <c r="D1651" t="inlineStr">
        <is>
          <t>KALMAR LÄN</t>
        </is>
      </c>
      <c r="E1651" t="inlineStr">
        <is>
          <t>VÄSTERVIK</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31056-2024</t>
        </is>
      </c>
      <c r="B1652" s="1" t="n">
        <v>45502</v>
      </c>
      <c r="C1652" s="1" t="n">
        <v>45801</v>
      </c>
      <c r="D1652" t="inlineStr">
        <is>
          <t>KALMAR LÄN</t>
        </is>
      </c>
      <c r="E1652" t="inlineStr">
        <is>
          <t>VÄSTERVIK</t>
        </is>
      </c>
      <c r="F1652" t="inlineStr">
        <is>
          <t>Holmen skog AB</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32009-2024</t>
        </is>
      </c>
      <c r="B1653" s="1" t="n">
        <v>45510</v>
      </c>
      <c r="C1653" s="1" t="n">
        <v>45801</v>
      </c>
      <c r="D1653" t="inlineStr">
        <is>
          <t>KALMAR LÄN</t>
        </is>
      </c>
      <c r="E1653" t="inlineStr">
        <is>
          <t>VÄSTERVIK</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31999-2024</t>
        </is>
      </c>
      <c r="B1654" s="1" t="n">
        <v>45510</v>
      </c>
      <c r="C1654" s="1" t="n">
        <v>45801</v>
      </c>
      <c r="D1654" t="inlineStr">
        <is>
          <t>KALMAR LÄN</t>
        </is>
      </c>
      <c r="E1654" t="inlineStr">
        <is>
          <t>VÄSTERVIK</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32006-2024</t>
        </is>
      </c>
      <c r="B1655" s="1" t="n">
        <v>45510</v>
      </c>
      <c r="C1655" s="1" t="n">
        <v>45801</v>
      </c>
      <c r="D1655" t="inlineStr">
        <is>
          <t>KALMAR LÄN</t>
        </is>
      </c>
      <c r="E1655" t="inlineStr">
        <is>
          <t>VÄSTERVIK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32159-2024</t>
        </is>
      </c>
      <c r="B1656" s="1" t="n">
        <v>45511</v>
      </c>
      <c r="C1656" s="1" t="n">
        <v>45801</v>
      </c>
      <c r="D1656" t="inlineStr">
        <is>
          <t>KALMAR LÄN</t>
        </is>
      </c>
      <c r="E1656" t="inlineStr">
        <is>
          <t>VÄSTERVIK</t>
        </is>
      </c>
      <c r="F1656" t="inlineStr">
        <is>
          <t>Övriga Aktiebolag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32146-2024</t>
        </is>
      </c>
      <c r="B1657" s="1" t="n">
        <v>45511</v>
      </c>
      <c r="C1657" s="1" t="n">
        <v>45801</v>
      </c>
      <c r="D1657" t="inlineStr">
        <is>
          <t>KALMAR LÄN</t>
        </is>
      </c>
      <c r="E1657" t="inlineStr">
        <is>
          <t>VÄSTERVIK</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32137-2024</t>
        </is>
      </c>
      <c r="B1658" s="1" t="n">
        <v>45511</v>
      </c>
      <c r="C1658" s="1" t="n">
        <v>45801</v>
      </c>
      <c r="D1658" t="inlineStr">
        <is>
          <t>KALMAR LÄN</t>
        </is>
      </c>
      <c r="E1658" t="inlineStr">
        <is>
          <t>VÄSTERVIK</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32386-2024</t>
        </is>
      </c>
      <c r="B1659" s="1" t="n">
        <v>45512</v>
      </c>
      <c r="C1659" s="1" t="n">
        <v>45801</v>
      </c>
      <c r="D1659" t="inlineStr">
        <is>
          <t>KALMAR LÄN</t>
        </is>
      </c>
      <c r="E1659" t="inlineStr">
        <is>
          <t>VÄSTERVIK</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32388-2024</t>
        </is>
      </c>
      <c r="B1660" s="1" t="n">
        <v>45512</v>
      </c>
      <c r="C1660" s="1" t="n">
        <v>45801</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32389-2024</t>
        </is>
      </c>
      <c r="B1661" s="1" t="n">
        <v>45512</v>
      </c>
      <c r="C1661" s="1" t="n">
        <v>45801</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32283-2024</t>
        </is>
      </c>
      <c r="B1662" s="1" t="n">
        <v>45512</v>
      </c>
      <c r="C1662" s="1" t="n">
        <v>45801</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33535-2024</t>
        </is>
      </c>
      <c r="B1663" s="1" t="n">
        <v>45519</v>
      </c>
      <c r="C1663" s="1" t="n">
        <v>45801</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33508-2024</t>
        </is>
      </c>
      <c r="B1664" s="1" t="n">
        <v>45519</v>
      </c>
      <c r="C1664" s="1" t="n">
        <v>45801</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33969-2024</t>
        </is>
      </c>
      <c r="B1665" s="1" t="n">
        <v>45523</v>
      </c>
      <c r="C1665" s="1" t="n">
        <v>45801</v>
      </c>
      <c r="D1665" t="inlineStr">
        <is>
          <t>KALMAR LÄN</t>
        </is>
      </c>
      <c r="E1665" t="inlineStr">
        <is>
          <t>VÄSTERVIK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33966-2024</t>
        </is>
      </c>
      <c r="B1666" s="1" t="n">
        <v>45523</v>
      </c>
      <c r="C1666" s="1" t="n">
        <v>45801</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34461-2024</t>
        </is>
      </c>
      <c r="B1667" s="1" t="n">
        <v>45525</v>
      </c>
      <c r="C1667" s="1" t="n">
        <v>45801</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34463-2024</t>
        </is>
      </c>
      <c r="B1668" s="1" t="n">
        <v>45525</v>
      </c>
      <c r="C1668" s="1" t="n">
        <v>45801</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34471-2024</t>
        </is>
      </c>
      <c r="B1669" s="1" t="n">
        <v>45525</v>
      </c>
      <c r="C1669" s="1" t="n">
        <v>45801</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34420-2024</t>
        </is>
      </c>
      <c r="B1670" s="1" t="n">
        <v>45525</v>
      </c>
      <c r="C1670" s="1" t="n">
        <v>45801</v>
      </c>
      <c r="D1670" t="inlineStr">
        <is>
          <t>KALMAR LÄN</t>
        </is>
      </c>
      <c r="E1670" t="inlineStr">
        <is>
          <t>VÄSTERVIK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34795-2024</t>
        </is>
      </c>
      <c r="B1671" s="1" t="n">
        <v>45526</v>
      </c>
      <c r="C1671" s="1" t="n">
        <v>45801</v>
      </c>
      <c r="D1671" t="inlineStr">
        <is>
          <t>KALMAR LÄN</t>
        </is>
      </c>
      <c r="E1671" t="inlineStr">
        <is>
          <t>VÄSTERVIK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34833-2024</t>
        </is>
      </c>
      <c r="B1672" s="1" t="n">
        <v>45526</v>
      </c>
      <c r="C1672" s="1" t="n">
        <v>45801</v>
      </c>
      <c r="D1672" t="inlineStr">
        <is>
          <t>KALMAR LÄN</t>
        </is>
      </c>
      <c r="E1672" t="inlineStr">
        <is>
          <t>VÄSTERVIK</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34788-2024</t>
        </is>
      </c>
      <c r="B1673" s="1" t="n">
        <v>45526</v>
      </c>
      <c r="C1673" s="1" t="n">
        <v>45801</v>
      </c>
      <c r="D1673" t="inlineStr">
        <is>
          <t>KALMAR LÄN</t>
        </is>
      </c>
      <c r="E1673" t="inlineStr">
        <is>
          <t>VÄSTERVIK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34832-2024</t>
        </is>
      </c>
      <c r="B1674" s="1" t="n">
        <v>45526</v>
      </c>
      <c r="C1674" s="1" t="n">
        <v>45801</v>
      </c>
      <c r="D1674" t="inlineStr">
        <is>
          <t>KALMAR LÄN</t>
        </is>
      </c>
      <c r="E1674" t="inlineStr">
        <is>
          <t>VÄSTERVIK</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35018-2024</t>
        </is>
      </c>
      <c r="B1675" s="1" t="n">
        <v>45527</v>
      </c>
      <c r="C1675" s="1" t="n">
        <v>45801</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35108-2024</t>
        </is>
      </c>
      <c r="B1676" s="1" t="n">
        <v>45529</v>
      </c>
      <c r="C1676" s="1" t="n">
        <v>45801</v>
      </c>
      <c r="D1676" t="inlineStr">
        <is>
          <t>KALMAR LÄN</t>
        </is>
      </c>
      <c r="E1676" t="inlineStr">
        <is>
          <t>VÄSTERVIK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35162-2024</t>
        </is>
      </c>
      <c r="B1677" s="1" t="n">
        <v>45530</v>
      </c>
      <c r="C1677" s="1" t="n">
        <v>45801</v>
      </c>
      <c r="D1677" t="inlineStr">
        <is>
          <t>KALMAR LÄN</t>
        </is>
      </c>
      <c r="E1677" t="inlineStr">
        <is>
          <t>VÄSTERVIK</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35163-2024</t>
        </is>
      </c>
      <c r="B1678" s="1" t="n">
        <v>45530</v>
      </c>
      <c r="C1678" s="1" t="n">
        <v>45801</v>
      </c>
      <c r="D1678" t="inlineStr">
        <is>
          <t>KALMAR LÄN</t>
        </is>
      </c>
      <c r="E1678" t="inlineStr">
        <is>
          <t>VÄSTERVIK</t>
        </is>
      </c>
      <c r="F1678" t="inlineStr">
        <is>
          <t>Sveaskog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35137-2024</t>
        </is>
      </c>
      <c r="B1679" s="1" t="n">
        <v>45530</v>
      </c>
      <c r="C1679" s="1" t="n">
        <v>45801</v>
      </c>
      <c r="D1679" t="inlineStr">
        <is>
          <t>KALMAR LÄN</t>
        </is>
      </c>
      <c r="E1679" t="inlineStr">
        <is>
          <t>VÄSTERVIK</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35456-2024</t>
        </is>
      </c>
      <c r="B1680" s="1" t="n">
        <v>45531</v>
      </c>
      <c r="C1680" s="1" t="n">
        <v>45801</v>
      </c>
      <c r="D1680" t="inlineStr">
        <is>
          <t>KALMAR LÄN</t>
        </is>
      </c>
      <c r="E1680" t="inlineStr">
        <is>
          <t>VÄSTERVIK</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35951-2024</t>
        </is>
      </c>
      <c r="B1681" s="1" t="n">
        <v>45533</v>
      </c>
      <c r="C1681" s="1" t="n">
        <v>45801</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36050-2024</t>
        </is>
      </c>
      <c r="B1682" s="1" t="n">
        <v>45533</v>
      </c>
      <c r="C1682" s="1" t="n">
        <v>45801</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35983-2024</t>
        </is>
      </c>
      <c r="B1683" s="1" t="n">
        <v>45533</v>
      </c>
      <c r="C1683" s="1" t="n">
        <v>45801</v>
      </c>
      <c r="D1683" t="inlineStr">
        <is>
          <t>KALMAR LÄN</t>
        </is>
      </c>
      <c r="E1683" t="inlineStr">
        <is>
          <t>VÄSTERVIK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36259-2024</t>
        </is>
      </c>
      <c r="B1684" s="1" t="n">
        <v>45534</v>
      </c>
      <c r="C1684" s="1" t="n">
        <v>45801</v>
      </c>
      <c r="D1684" t="inlineStr">
        <is>
          <t>KALMAR LÄN</t>
        </is>
      </c>
      <c r="E1684" t="inlineStr">
        <is>
          <t>VÄSTERVIK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36400-2024</t>
        </is>
      </c>
      <c r="B1685" s="1" t="n">
        <v>45535</v>
      </c>
      <c r="C1685" s="1" t="n">
        <v>45801</v>
      </c>
      <c r="D1685" t="inlineStr">
        <is>
          <t>KALMAR LÄN</t>
        </is>
      </c>
      <c r="E1685" t="inlineStr">
        <is>
          <t>VÄSTERVIK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36555-2024</t>
        </is>
      </c>
      <c r="B1686" s="1" t="n">
        <v>45537</v>
      </c>
      <c r="C1686" s="1" t="n">
        <v>45801</v>
      </c>
      <c r="D1686" t="inlineStr">
        <is>
          <t>KALMAR LÄN</t>
        </is>
      </c>
      <c r="E1686" t="inlineStr">
        <is>
          <t>VÄSTERVIK</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36725-2024</t>
        </is>
      </c>
      <c r="B1687" s="1" t="n">
        <v>45537</v>
      </c>
      <c r="C1687" s="1" t="n">
        <v>45801</v>
      </c>
      <c r="D1687" t="inlineStr">
        <is>
          <t>KALMAR LÄN</t>
        </is>
      </c>
      <c r="E1687" t="inlineStr">
        <is>
          <t>VÄSTERVIK</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36853-2024</t>
        </is>
      </c>
      <c r="B1688" s="1" t="n">
        <v>45538</v>
      </c>
      <c r="C1688" s="1" t="n">
        <v>45801</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36878-2024</t>
        </is>
      </c>
      <c r="B1689" s="1" t="n">
        <v>45538</v>
      </c>
      <c r="C1689" s="1" t="n">
        <v>45801</v>
      </c>
      <c r="D1689" t="inlineStr">
        <is>
          <t>KALMAR LÄN</t>
        </is>
      </c>
      <c r="E1689" t="inlineStr">
        <is>
          <t>VÄSTERVIK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36881-2024</t>
        </is>
      </c>
      <c r="B1690" s="1" t="n">
        <v>45538</v>
      </c>
      <c r="C1690" s="1" t="n">
        <v>45801</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36889-2024</t>
        </is>
      </c>
      <c r="B1691" s="1" t="n">
        <v>45538</v>
      </c>
      <c r="C1691" s="1" t="n">
        <v>45801</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36888-2024</t>
        </is>
      </c>
      <c r="B1692" s="1" t="n">
        <v>45538</v>
      </c>
      <c r="C1692" s="1" t="n">
        <v>45801</v>
      </c>
      <c r="D1692" t="inlineStr">
        <is>
          <t>KALMAR LÄN</t>
        </is>
      </c>
      <c r="E1692" t="inlineStr">
        <is>
          <t>VÄSTERVIK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36906-2024</t>
        </is>
      </c>
      <c r="B1693" s="1" t="n">
        <v>45538</v>
      </c>
      <c r="C1693" s="1" t="n">
        <v>45801</v>
      </c>
      <c r="D1693" t="inlineStr">
        <is>
          <t>KALMAR LÄN</t>
        </is>
      </c>
      <c r="E1693" t="inlineStr">
        <is>
          <t>VÄSTERVIK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37117-2024</t>
        </is>
      </c>
      <c r="B1694" s="1" t="n">
        <v>45539</v>
      </c>
      <c r="C1694" s="1" t="n">
        <v>45801</v>
      </c>
      <c r="D1694" t="inlineStr">
        <is>
          <t>KALMAR LÄN</t>
        </is>
      </c>
      <c r="E1694" t="inlineStr">
        <is>
          <t>VÄSTERVIK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37326-2024</t>
        </is>
      </c>
      <c r="B1695" s="1" t="n">
        <v>45540</v>
      </c>
      <c r="C1695" s="1" t="n">
        <v>45801</v>
      </c>
      <c r="D1695" t="inlineStr">
        <is>
          <t>KALMAR LÄN</t>
        </is>
      </c>
      <c r="E1695" t="inlineStr">
        <is>
          <t>VÄSTERVIK</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38061-2024</t>
        </is>
      </c>
      <c r="B1696" s="1" t="n">
        <v>45544</v>
      </c>
      <c r="C1696" s="1" t="n">
        <v>45801</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38545-2024</t>
        </is>
      </c>
      <c r="B1697" s="1" t="n">
        <v>45546</v>
      </c>
      <c r="C1697" s="1" t="n">
        <v>45801</v>
      </c>
      <c r="D1697" t="inlineStr">
        <is>
          <t>KALMAR LÄN</t>
        </is>
      </c>
      <c r="E1697" t="inlineStr">
        <is>
          <t>VÄSTERVIK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39193-2024</t>
        </is>
      </c>
      <c r="B1698" s="1" t="n">
        <v>45548</v>
      </c>
      <c r="C1698" s="1" t="n">
        <v>45801</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39257-2024</t>
        </is>
      </c>
      <c r="B1699" s="1" t="n">
        <v>45551</v>
      </c>
      <c r="C1699" s="1" t="n">
        <v>45801</v>
      </c>
      <c r="D1699" t="inlineStr">
        <is>
          <t>KALMAR LÄN</t>
        </is>
      </c>
      <c r="E1699" t="inlineStr">
        <is>
          <t>VÄSTERVIK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39278-2024</t>
        </is>
      </c>
      <c r="B1700" s="1" t="n">
        <v>45551</v>
      </c>
      <c r="C1700" s="1" t="n">
        <v>45801</v>
      </c>
      <c r="D1700" t="inlineStr">
        <is>
          <t>KALMAR LÄN</t>
        </is>
      </c>
      <c r="E1700" t="inlineStr">
        <is>
          <t>VÄSTERVIK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39287-2024</t>
        </is>
      </c>
      <c r="B1701" s="1" t="n">
        <v>45551</v>
      </c>
      <c r="C1701" s="1" t="n">
        <v>45801</v>
      </c>
      <c r="D1701" t="inlineStr">
        <is>
          <t>KALMAR LÄN</t>
        </is>
      </c>
      <c r="E1701" t="inlineStr">
        <is>
          <t>VÄSTERVIK</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39309-2024</t>
        </is>
      </c>
      <c r="B1702" s="1" t="n">
        <v>45551</v>
      </c>
      <c r="C1702" s="1" t="n">
        <v>45801</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39259-2024</t>
        </is>
      </c>
      <c r="B1703" s="1" t="n">
        <v>45551</v>
      </c>
      <c r="C1703" s="1" t="n">
        <v>45801</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39982-2024</t>
        </is>
      </c>
      <c r="B1704" s="1" t="n">
        <v>45553</v>
      </c>
      <c r="C1704" s="1" t="n">
        <v>45801</v>
      </c>
      <c r="D1704" t="inlineStr">
        <is>
          <t>KALMAR LÄN</t>
        </is>
      </c>
      <c r="E1704" t="inlineStr">
        <is>
          <t>VÄSTERVIK</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39983-2024</t>
        </is>
      </c>
      <c r="B1705" s="1" t="n">
        <v>45553</v>
      </c>
      <c r="C1705" s="1" t="n">
        <v>45801</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39980-2024</t>
        </is>
      </c>
      <c r="B1706" s="1" t="n">
        <v>45553</v>
      </c>
      <c r="C1706" s="1" t="n">
        <v>45801</v>
      </c>
      <c r="D1706" t="inlineStr">
        <is>
          <t>KALMAR LÄN</t>
        </is>
      </c>
      <c r="E1706" t="inlineStr">
        <is>
          <t>VÄSTERVIK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40320-2024</t>
        </is>
      </c>
      <c r="B1707" s="1" t="n">
        <v>45554</v>
      </c>
      <c r="C1707" s="1" t="n">
        <v>45801</v>
      </c>
      <c r="D1707" t="inlineStr">
        <is>
          <t>KALMAR LÄN</t>
        </is>
      </c>
      <c r="E1707" t="inlineStr">
        <is>
          <t>VÄSTERVIK</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40648-2024</t>
        </is>
      </c>
      <c r="B1708" s="1" t="n">
        <v>45558</v>
      </c>
      <c r="C1708" s="1" t="n">
        <v>45801</v>
      </c>
      <c r="D1708" t="inlineStr">
        <is>
          <t>KALMAR LÄN</t>
        </is>
      </c>
      <c r="E1708" t="inlineStr">
        <is>
          <t>VÄSTERVIK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40645-2024</t>
        </is>
      </c>
      <c r="B1709" s="1" t="n">
        <v>45558</v>
      </c>
      <c r="C1709" s="1" t="n">
        <v>45801</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40770-2024</t>
        </is>
      </c>
      <c r="B1710" s="1" t="n">
        <v>45558</v>
      </c>
      <c r="C1710" s="1" t="n">
        <v>45801</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41248-2024</t>
        </is>
      </c>
      <c r="B1711" s="1" t="n">
        <v>45559</v>
      </c>
      <c r="C1711" s="1" t="n">
        <v>45801</v>
      </c>
      <c r="D1711" t="inlineStr">
        <is>
          <t>KALMAR LÄN</t>
        </is>
      </c>
      <c r="E1711" t="inlineStr">
        <is>
          <t>VÄSTERVIK</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41237-2024</t>
        </is>
      </c>
      <c r="B1712" s="1" t="n">
        <v>45559</v>
      </c>
      <c r="C1712" s="1" t="n">
        <v>45801</v>
      </c>
      <c r="D1712" t="inlineStr">
        <is>
          <t>KALMAR LÄN</t>
        </is>
      </c>
      <c r="E1712" t="inlineStr">
        <is>
          <t>VÄSTERVIK</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41926-2024</t>
        </is>
      </c>
      <c r="B1713" s="1" t="n">
        <v>45561</v>
      </c>
      <c r="C1713" s="1" t="n">
        <v>45801</v>
      </c>
      <c r="D1713" t="inlineStr">
        <is>
          <t>KALMAR LÄN</t>
        </is>
      </c>
      <c r="E1713" t="inlineStr">
        <is>
          <t>VÄSTERVIK</t>
        </is>
      </c>
      <c r="F1713" t="inlineStr">
        <is>
          <t>Kyrkan</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42218-2024</t>
        </is>
      </c>
      <c r="B1714" s="1" t="n">
        <v>45562</v>
      </c>
      <c r="C1714" s="1" t="n">
        <v>45801</v>
      </c>
      <c r="D1714" t="inlineStr">
        <is>
          <t>KALMAR LÄN</t>
        </is>
      </c>
      <c r="E1714" t="inlineStr">
        <is>
          <t>VÄSTERVIK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42816-2024</t>
        </is>
      </c>
      <c r="B1715" s="1" t="n">
        <v>45566</v>
      </c>
      <c r="C1715" s="1" t="n">
        <v>45801</v>
      </c>
      <c r="D1715" t="inlineStr">
        <is>
          <t>KALMAR LÄN</t>
        </is>
      </c>
      <c r="E1715" t="inlineStr">
        <is>
          <t>VÄSTERVIK</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42746-2024</t>
        </is>
      </c>
      <c r="B1716" s="1" t="n">
        <v>45566</v>
      </c>
      <c r="C1716" s="1" t="n">
        <v>45801</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42742-2024</t>
        </is>
      </c>
      <c r="B1717" s="1" t="n">
        <v>45566</v>
      </c>
      <c r="C1717" s="1" t="n">
        <v>45801</v>
      </c>
      <c r="D1717" t="inlineStr">
        <is>
          <t>KALMAR LÄN</t>
        </is>
      </c>
      <c r="E1717" t="inlineStr">
        <is>
          <t>VÄSTERVIK</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43199-2024</t>
        </is>
      </c>
      <c r="B1718" s="1" t="n">
        <v>45567</v>
      </c>
      <c r="C1718" s="1" t="n">
        <v>45801</v>
      </c>
      <c r="D1718" t="inlineStr">
        <is>
          <t>KALMAR LÄN</t>
        </is>
      </c>
      <c r="E1718" t="inlineStr">
        <is>
          <t>VÄSTERVIK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43208-2024</t>
        </is>
      </c>
      <c r="B1719" s="1" t="n">
        <v>45567</v>
      </c>
      <c r="C1719" s="1" t="n">
        <v>45801</v>
      </c>
      <c r="D1719" t="inlineStr">
        <is>
          <t>KALMAR LÄN</t>
        </is>
      </c>
      <c r="E1719" t="inlineStr">
        <is>
          <t>VÄSTERVIK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43274-2024</t>
        </is>
      </c>
      <c r="B1720" s="1" t="n">
        <v>45568</v>
      </c>
      <c r="C1720" s="1" t="n">
        <v>45801</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44198-2024</t>
        </is>
      </c>
      <c r="B1721" s="1" t="n">
        <v>45573</v>
      </c>
      <c r="C1721" s="1" t="n">
        <v>45801</v>
      </c>
      <c r="D1721" t="inlineStr">
        <is>
          <t>KALMAR LÄN</t>
        </is>
      </c>
      <c r="E1721" t="inlineStr">
        <is>
          <t>VÄSTERVIK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44203-2024</t>
        </is>
      </c>
      <c r="B1722" s="1" t="n">
        <v>45573</v>
      </c>
      <c r="C1722" s="1" t="n">
        <v>45801</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44223-2024</t>
        </is>
      </c>
      <c r="B1723" s="1" t="n">
        <v>45573</v>
      </c>
      <c r="C1723" s="1" t="n">
        <v>45801</v>
      </c>
      <c r="D1723" t="inlineStr">
        <is>
          <t>KALMAR LÄN</t>
        </is>
      </c>
      <c r="E1723" t="inlineStr">
        <is>
          <t>VÄSTERVIK</t>
        </is>
      </c>
      <c r="F1723" t="inlineStr">
        <is>
          <t>Holmen skog AB</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45465-2024</t>
        </is>
      </c>
      <c r="B1724" s="1" t="n">
        <v>45576</v>
      </c>
      <c r="C1724" s="1" t="n">
        <v>45801</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45463-2024</t>
        </is>
      </c>
      <c r="B1725" s="1" t="n">
        <v>45576</v>
      </c>
      <c r="C1725" s="1" t="n">
        <v>45801</v>
      </c>
      <c r="D1725" t="inlineStr">
        <is>
          <t>KALMAR LÄN</t>
        </is>
      </c>
      <c r="E1725" t="inlineStr">
        <is>
          <t>VÄSTERVIK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45656-2024</t>
        </is>
      </c>
      <c r="B1726" s="1" t="n">
        <v>45579</v>
      </c>
      <c r="C1726" s="1" t="n">
        <v>45801</v>
      </c>
      <c r="D1726" t="inlineStr">
        <is>
          <t>KALMAR LÄN</t>
        </is>
      </c>
      <c r="E1726" t="inlineStr">
        <is>
          <t>VÄSTERVIK</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45652-2024</t>
        </is>
      </c>
      <c r="B1727" s="1" t="n">
        <v>45579</v>
      </c>
      <c r="C1727" s="1" t="n">
        <v>45801</v>
      </c>
      <c r="D1727" t="inlineStr">
        <is>
          <t>KALMAR LÄN</t>
        </is>
      </c>
      <c r="E1727" t="inlineStr">
        <is>
          <t>VÄSTERVIK</t>
        </is>
      </c>
      <c r="F1727" t="inlineStr">
        <is>
          <t>Kyrkan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45678-2024</t>
        </is>
      </c>
      <c r="B1728" s="1" t="n">
        <v>45579</v>
      </c>
      <c r="C1728" s="1" t="n">
        <v>45801</v>
      </c>
      <c r="D1728" t="inlineStr">
        <is>
          <t>KALMAR LÄN</t>
        </is>
      </c>
      <c r="E1728" t="inlineStr">
        <is>
          <t>VÄSTERVIK</t>
        </is>
      </c>
      <c r="F1728" t="inlineStr">
        <is>
          <t>Kyrkan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46967-2024</t>
        </is>
      </c>
      <c r="B1729" s="1" t="n">
        <v>45586</v>
      </c>
      <c r="C1729" s="1" t="n">
        <v>45801</v>
      </c>
      <c r="D1729" t="inlineStr">
        <is>
          <t>KALMAR LÄN</t>
        </is>
      </c>
      <c r="E1729" t="inlineStr">
        <is>
          <t>VÄSTERVIK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47053-2024</t>
        </is>
      </c>
      <c r="B1730" s="1" t="n">
        <v>45586</v>
      </c>
      <c r="C1730" s="1" t="n">
        <v>45801</v>
      </c>
      <c r="D1730" t="inlineStr">
        <is>
          <t>KALMAR LÄN</t>
        </is>
      </c>
      <c r="E1730" t="inlineStr">
        <is>
          <t>VÄSTERVIK</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48035-2024</t>
        </is>
      </c>
      <c r="B1731" s="1" t="n">
        <v>45589</v>
      </c>
      <c r="C1731" s="1" t="n">
        <v>45801</v>
      </c>
      <c r="D1731" t="inlineStr">
        <is>
          <t>KALMAR LÄN</t>
        </is>
      </c>
      <c r="E1731" t="inlineStr">
        <is>
          <t>VÄSTERVIK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48446-2024</t>
        </is>
      </c>
      <c r="B1732" s="1" t="n">
        <v>45590</v>
      </c>
      <c r="C1732" s="1" t="n">
        <v>45801</v>
      </c>
      <c r="D1732" t="inlineStr">
        <is>
          <t>KALMAR LÄN</t>
        </is>
      </c>
      <c r="E1732" t="inlineStr">
        <is>
          <t>VÄSTERVIK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48445-2024</t>
        </is>
      </c>
      <c r="B1733" s="1" t="n">
        <v>45590</v>
      </c>
      <c r="C1733" s="1" t="n">
        <v>45801</v>
      </c>
      <c r="D1733" t="inlineStr">
        <is>
          <t>KALMAR LÄN</t>
        </is>
      </c>
      <c r="E1733" t="inlineStr">
        <is>
          <t>VÄSTERVIK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48735-2024</t>
        </is>
      </c>
      <c r="B1734" s="1" t="n">
        <v>45593</v>
      </c>
      <c r="C1734" s="1" t="n">
        <v>45801</v>
      </c>
      <c r="D1734" t="inlineStr">
        <is>
          <t>KALMAR LÄN</t>
        </is>
      </c>
      <c r="E1734" t="inlineStr">
        <is>
          <t>VÄSTERVIK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49378-2024</t>
        </is>
      </c>
      <c r="B1735" s="1" t="n">
        <v>45595</v>
      </c>
      <c r="C1735" s="1" t="n">
        <v>45801</v>
      </c>
      <c r="D1735" t="inlineStr">
        <is>
          <t>KALMAR LÄN</t>
        </is>
      </c>
      <c r="E1735" t="inlineStr">
        <is>
          <t>VÄSTERVIK</t>
        </is>
      </c>
      <c r="G1735" t="n">
        <v>4.1</v>
      </c>
      <c r="H1735" t="n">
        <v>0</v>
      </c>
      <c r="I1735" t="n">
        <v>0</v>
      </c>
      <c r="J1735" t="n">
        <v>0</v>
      </c>
      <c r="K1735" t="n">
        <v>0</v>
      </c>
      <c r="L1735" t="n">
        <v>0</v>
      </c>
      <c r="M1735" t="n">
        <v>0</v>
      </c>
      <c r="N1735" t="n">
        <v>0</v>
      </c>
      <c r="O1735" t="n">
        <v>0</v>
      </c>
      <c r="P1735" t="n">
        <v>0</v>
      </c>
      <c r="Q1735" t="n">
        <v>0</v>
      </c>
      <c r="R1735" s="2" t="inlineStr"/>
      <c r="U1735">
        <f>HYPERLINK("https://klasma.github.io/Logging_0883/knärot/A 49378-2024 karta knärot.png", "A 49378-2024")</f>
        <v/>
      </c>
      <c r="V1735">
        <f>HYPERLINK("https://klasma.github.io/Logging_0883/klagomål/A 49378-2024 FSC-klagomål.docx", "A 49378-2024")</f>
        <v/>
      </c>
      <c r="W1735">
        <f>HYPERLINK("https://klasma.github.io/Logging_0883/klagomålsmail/A 49378-2024 FSC-klagomål mail.docx", "A 49378-2024")</f>
        <v/>
      </c>
      <c r="X1735">
        <f>HYPERLINK("https://klasma.github.io/Logging_0883/tillsyn/A 49378-2024 tillsynsbegäran.docx", "A 49378-2024")</f>
        <v/>
      </c>
      <c r="Y1735">
        <f>HYPERLINK("https://klasma.github.io/Logging_0883/tillsynsmail/A 49378-2024 tillsynsbegäran mail.docx", "A 49378-2024")</f>
        <v/>
      </c>
    </row>
    <row r="1736" ht="15" customHeight="1">
      <c r="A1736" t="inlineStr">
        <is>
          <t>A 49700-2024</t>
        </is>
      </c>
      <c r="B1736" s="1" t="n">
        <v>45596</v>
      </c>
      <c r="C1736" s="1" t="n">
        <v>45801</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49708-2024</t>
        </is>
      </c>
      <c r="B1737" s="1" t="n">
        <v>45596</v>
      </c>
      <c r="C1737" s="1" t="n">
        <v>45801</v>
      </c>
      <c r="D1737" t="inlineStr">
        <is>
          <t>KALMAR LÄN</t>
        </is>
      </c>
      <c r="E1737" t="inlineStr">
        <is>
          <t>VÄSTERVIK</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49706-2024</t>
        </is>
      </c>
      <c r="B1738" s="1" t="n">
        <v>45596</v>
      </c>
      <c r="C1738" s="1" t="n">
        <v>45801</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49703-2024</t>
        </is>
      </c>
      <c r="B1739" s="1" t="n">
        <v>45596</v>
      </c>
      <c r="C1739" s="1" t="n">
        <v>45801</v>
      </c>
      <c r="D1739" t="inlineStr">
        <is>
          <t>KALMAR LÄN</t>
        </is>
      </c>
      <c r="E1739" t="inlineStr">
        <is>
          <t>VÄSTERVIK</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50452-2024</t>
        </is>
      </c>
      <c r="B1740" s="1" t="n">
        <v>45601</v>
      </c>
      <c r="C1740" s="1" t="n">
        <v>45801</v>
      </c>
      <c r="D1740" t="inlineStr">
        <is>
          <t>KALMAR LÄN</t>
        </is>
      </c>
      <c r="E1740" t="inlineStr">
        <is>
          <t>VÄSTERVIK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50495-2024</t>
        </is>
      </c>
      <c r="B1741" s="1" t="n">
        <v>45601</v>
      </c>
      <c r="C1741" s="1" t="n">
        <v>45801</v>
      </c>
      <c r="D1741" t="inlineStr">
        <is>
          <t>KALMAR LÄN</t>
        </is>
      </c>
      <c r="E1741" t="inlineStr">
        <is>
          <t>VÄSTERVIK</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50454-2024</t>
        </is>
      </c>
      <c r="B1742" s="1" t="n">
        <v>45601</v>
      </c>
      <c r="C1742" s="1" t="n">
        <v>45801</v>
      </c>
      <c r="D1742" t="inlineStr">
        <is>
          <t>KALMAR LÄN</t>
        </is>
      </c>
      <c r="E1742" t="inlineStr">
        <is>
          <t>VÄSTERVIK</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51510-2024</t>
        </is>
      </c>
      <c r="B1743" s="1" t="n">
        <v>45604</v>
      </c>
      <c r="C1743" s="1" t="n">
        <v>45801</v>
      </c>
      <c r="D1743" t="inlineStr">
        <is>
          <t>KALMAR LÄN</t>
        </is>
      </c>
      <c r="E1743" t="inlineStr">
        <is>
          <t>VÄSTERVIK</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51496-2024</t>
        </is>
      </c>
      <c r="B1744" s="1" t="n">
        <v>45604</v>
      </c>
      <c r="C1744" s="1" t="n">
        <v>45801</v>
      </c>
      <c r="D1744" t="inlineStr">
        <is>
          <t>KALMAR LÄN</t>
        </is>
      </c>
      <c r="E1744" t="inlineStr">
        <is>
          <t>VÄSTERVIK</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52811-2024</t>
        </is>
      </c>
      <c r="B1745" s="1" t="n">
        <v>45610</v>
      </c>
      <c r="C1745" s="1" t="n">
        <v>45801</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52734-2024</t>
        </is>
      </c>
      <c r="B1746" s="1" t="n">
        <v>45610</v>
      </c>
      <c r="C1746" s="1" t="n">
        <v>45801</v>
      </c>
      <c r="D1746" t="inlineStr">
        <is>
          <t>KALMAR LÄN</t>
        </is>
      </c>
      <c r="E1746" t="inlineStr">
        <is>
          <t>VÄSTERVIK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52774-2024</t>
        </is>
      </c>
      <c r="B1747" s="1" t="n">
        <v>45610</v>
      </c>
      <c r="C1747" s="1" t="n">
        <v>45801</v>
      </c>
      <c r="D1747" t="inlineStr">
        <is>
          <t>KALMAR LÄN</t>
        </is>
      </c>
      <c r="E1747" t="inlineStr">
        <is>
          <t>VÄSTERVIK</t>
        </is>
      </c>
      <c r="F1747" t="inlineStr">
        <is>
          <t>Holmen skog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52818-2024</t>
        </is>
      </c>
      <c r="B1748" s="1" t="n">
        <v>45610</v>
      </c>
      <c r="C1748" s="1" t="n">
        <v>45801</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53077-2024</t>
        </is>
      </c>
      <c r="B1749" s="1" t="n">
        <v>45611</v>
      </c>
      <c r="C1749" s="1" t="n">
        <v>45801</v>
      </c>
      <c r="D1749" t="inlineStr">
        <is>
          <t>KALMAR LÄN</t>
        </is>
      </c>
      <c r="E1749" t="inlineStr">
        <is>
          <t>VÄSTERVIK</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54342-2024</t>
        </is>
      </c>
      <c r="B1750" s="1" t="n">
        <v>45617</v>
      </c>
      <c r="C1750" s="1" t="n">
        <v>45801</v>
      </c>
      <c r="D1750" t="inlineStr">
        <is>
          <t>KALMAR LÄN</t>
        </is>
      </c>
      <c r="E1750" t="inlineStr">
        <is>
          <t>VÄSTERVIK</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54631-2024</t>
        </is>
      </c>
      <c r="B1751" s="1" t="n">
        <v>45617</v>
      </c>
      <c r="C1751" s="1" t="n">
        <v>45801</v>
      </c>
      <c r="D1751" t="inlineStr">
        <is>
          <t>KALMAR LÄN</t>
        </is>
      </c>
      <c r="E1751" t="inlineStr">
        <is>
          <t>VÄSTERVIK</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54630-2024</t>
        </is>
      </c>
      <c r="B1752" s="1" t="n">
        <v>45617</v>
      </c>
      <c r="C1752" s="1" t="n">
        <v>45801</v>
      </c>
      <c r="D1752" t="inlineStr">
        <is>
          <t>KALMAR LÄN</t>
        </is>
      </c>
      <c r="E1752" t="inlineStr">
        <is>
          <t>VÄSTERVIK</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54638-2024</t>
        </is>
      </c>
      <c r="B1753" s="1" t="n">
        <v>45617</v>
      </c>
      <c r="C1753" s="1" t="n">
        <v>45801</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54632-2024</t>
        </is>
      </c>
      <c r="B1754" s="1" t="n">
        <v>45617</v>
      </c>
      <c r="C1754" s="1" t="n">
        <v>45801</v>
      </c>
      <c r="D1754" t="inlineStr">
        <is>
          <t>KALMAR LÄN</t>
        </is>
      </c>
      <c r="E1754" t="inlineStr">
        <is>
          <t>VÄSTERVIK</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54629-2024</t>
        </is>
      </c>
      <c r="B1755" s="1" t="n">
        <v>45617</v>
      </c>
      <c r="C1755" s="1" t="n">
        <v>45801</v>
      </c>
      <c r="D1755" t="inlineStr">
        <is>
          <t>KALMAR LÄN</t>
        </is>
      </c>
      <c r="E1755" t="inlineStr">
        <is>
          <t>VÄSTERVIK</t>
        </is>
      </c>
      <c r="F1755" t="inlineStr">
        <is>
          <t>Sveaskog</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54637-2024</t>
        </is>
      </c>
      <c r="B1756" s="1" t="n">
        <v>45617</v>
      </c>
      <c r="C1756" s="1" t="n">
        <v>45801</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55023-2024</t>
        </is>
      </c>
      <c r="B1757" s="1" t="n">
        <v>45621</v>
      </c>
      <c r="C1757" s="1" t="n">
        <v>45801</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55047-2024</t>
        </is>
      </c>
      <c r="B1758" s="1" t="n">
        <v>45621</v>
      </c>
      <c r="C1758" s="1" t="n">
        <v>45801</v>
      </c>
      <c r="D1758" t="inlineStr">
        <is>
          <t>KALMAR LÄN</t>
        </is>
      </c>
      <c r="E1758" t="inlineStr">
        <is>
          <t>VÄSTERVIK</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55042-2024</t>
        </is>
      </c>
      <c r="B1759" s="1" t="n">
        <v>45621</v>
      </c>
      <c r="C1759" s="1" t="n">
        <v>45801</v>
      </c>
      <c r="D1759" t="inlineStr">
        <is>
          <t>KALMAR LÄN</t>
        </is>
      </c>
      <c r="E1759" t="inlineStr">
        <is>
          <t>VÄSTERVIK</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55358-2024</t>
        </is>
      </c>
      <c r="B1760" s="1" t="n">
        <v>45621</v>
      </c>
      <c r="C1760" s="1" t="n">
        <v>45801</v>
      </c>
      <c r="D1760" t="inlineStr">
        <is>
          <t>KALMAR LÄN</t>
        </is>
      </c>
      <c r="E1760" t="inlineStr">
        <is>
          <t>VÄSTERVIK</t>
        </is>
      </c>
      <c r="F1760" t="inlineStr">
        <is>
          <t>Sveaskog</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55359-2024</t>
        </is>
      </c>
      <c r="B1761" s="1" t="n">
        <v>45621</v>
      </c>
      <c r="C1761" s="1" t="n">
        <v>45801</v>
      </c>
      <c r="D1761" t="inlineStr">
        <is>
          <t>KALMAR LÄN</t>
        </is>
      </c>
      <c r="E1761" t="inlineStr">
        <is>
          <t>VÄSTERVIK</t>
        </is>
      </c>
      <c r="F1761" t="inlineStr">
        <is>
          <t>Sveaskog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55362-2024</t>
        </is>
      </c>
      <c r="B1762" s="1" t="n">
        <v>45621</v>
      </c>
      <c r="C1762" s="1" t="n">
        <v>45801</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55032-2024</t>
        </is>
      </c>
      <c r="B1763" s="1" t="n">
        <v>45621</v>
      </c>
      <c r="C1763" s="1" t="n">
        <v>45801</v>
      </c>
      <c r="D1763" t="inlineStr">
        <is>
          <t>KALMAR LÄN</t>
        </is>
      </c>
      <c r="E1763" t="inlineStr">
        <is>
          <t>VÄSTERVIK</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55053-2024</t>
        </is>
      </c>
      <c r="B1764" s="1" t="n">
        <v>45621</v>
      </c>
      <c r="C1764" s="1" t="n">
        <v>45801</v>
      </c>
      <c r="D1764" t="inlineStr">
        <is>
          <t>KALMAR LÄN</t>
        </is>
      </c>
      <c r="E1764" t="inlineStr">
        <is>
          <t>VÄSTERVIK</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55361-2024</t>
        </is>
      </c>
      <c r="B1765" s="1" t="n">
        <v>45621</v>
      </c>
      <c r="C1765" s="1" t="n">
        <v>45801</v>
      </c>
      <c r="D1765" t="inlineStr">
        <is>
          <t>KALMAR LÄN</t>
        </is>
      </c>
      <c r="E1765" t="inlineStr">
        <is>
          <t>VÄSTERVIK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55050-2024</t>
        </is>
      </c>
      <c r="B1766" s="1" t="n">
        <v>45621</v>
      </c>
      <c r="C1766" s="1" t="n">
        <v>45801</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55037-2024</t>
        </is>
      </c>
      <c r="B1767" s="1" t="n">
        <v>45621</v>
      </c>
      <c r="C1767" s="1" t="n">
        <v>45801</v>
      </c>
      <c r="D1767" t="inlineStr">
        <is>
          <t>KALMAR LÄN</t>
        </is>
      </c>
      <c r="E1767" t="inlineStr">
        <is>
          <t>VÄSTERVIK</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55020-2024</t>
        </is>
      </c>
      <c r="B1768" s="1" t="n">
        <v>45621</v>
      </c>
      <c r="C1768" s="1" t="n">
        <v>45801</v>
      </c>
      <c r="D1768" t="inlineStr">
        <is>
          <t>KALMAR LÄN</t>
        </is>
      </c>
      <c r="E1768" t="inlineStr">
        <is>
          <t>VÄSTERVIK</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55016-2024</t>
        </is>
      </c>
      <c r="B1769" s="1" t="n">
        <v>45621</v>
      </c>
      <c r="C1769" s="1" t="n">
        <v>45801</v>
      </c>
      <c r="D1769" t="inlineStr">
        <is>
          <t>KALMAR LÄN</t>
        </is>
      </c>
      <c r="E1769" t="inlineStr">
        <is>
          <t>VÄSTERVIK</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55609-2024</t>
        </is>
      </c>
      <c r="B1770" s="1" t="n">
        <v>45622</v>
      </c>
      <c r="C1770" s="1" t="n">
        <v>45801</v>
      </c>
      <c r="D1770" t="inlineStr">
        <is>
          <t>KALMAR LÄN</t>
        </is>
      </c>
      <c r="E1770" t="inlineStr">
        <is>
          <t>VÄSTERVIK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55647-2024</t>
        </is>
      </c>
      <c r="B1771" s="1" t="n">
        <v>45622</v>
      </c>
      <c r="C1771" s="1" t="n">
        <v>45801</v>
      </c>
      <c r="D1771" t="inlineStr">
        <is>
          <t>KALMAR LÄN</t>
        </is>
      </c>
      <c r="E1771" t="inlineStr">
        <is>
          <t>VÄSTERVIK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55565-2024</t>
        </is>
      </c>
      <c r="B1772" s="1" t="n">
        <v>45622</v>
      </c>
      <c r="C1772" s="1" t="n">
        <v>45801</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56077-2024</t>
        </is>
      </c>
      <c r="B1773" s="1" t="n">
        <v>45624</v>
      </c>
      <c r="C1773" s="1" t="n">
        <v>45801</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56374-2024</t>
        </is>
      </c>
      <c r="B1774" s="1" t="n">
        <v>45625</v>
      </c>
      <c r="C1774" s="1" t="n">
        <v>45801</v>
      </c>
      <c r="D1774" t="inlineStr">
        <is>
          <t>KALMAR LÄN</t>
        </is>
      </c>
      <c r="E1774" t="inlineStr">
        <is>
          <t>VÄSTERVIK</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56379-2024</t>
        </is>
      </c>
      <c r="B1775" s="1" t="n">
        <v>45625</v>
      </c>
      <c r="C1775" s="1" t="n">
        <v>45801</v>
      </c>
      <c r="D1775" t="inlineStr">
        <is>
          <t>KALMAR LÄN</t>
        </is>
      </c>
      <c r="E1775" t="inlineStr">
        <is>
          <t>VÄSTERVIK</t>
        </is>
      </c>
      <c r="F1775" t="inlineStr">
        <is>
          <t>Sveaskog</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56371-2024</t>
        </is>
      </c>
      <c r="B1776" s="1" t="n">
        <v>45625</v>
      </c>
      <c r="C1776" s="1" t="n">
        <v>45801</v>
      </c>
      <c r="D1776" t="inlineStr">
        <is>
          <t>KALMAR LÄN</t>
        </is>
      </c>
      <c r="E1776" t="inlineStr">
        <is>
          <t>VÄSTERVIK</t>
        </is>
      </c>
      <c r="F1776" t="inlineStr">
        <is>
          <t>Sveaskog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56384-2024</t>
        </is>
      </c>
      <c r="B1777" s="1" t="n">
        <v>45625</v>
      </c>
      <c r="C1777" s="1" t="n">
        <v>45801</v>
      </c>
      <c r="D1777" t="inlineStr">
        <is>
          <t>KALMAR LÄN</t>
        </is>
      </c>
      <c r="E1777" t="inlineStr">
        <is>
          <t>VÄSTERVIK</t>
        </is>
      </c>
      <c r="F1777" t="inlineStr">
        <is>
          <t>Sveaskog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56377-2024</t>
        </is>
      </c>
      <c r="B1778" s="1" t="n">
        <v>45625</v>
      </c>
      <c r="C1778" s="1" t="n">
        <v>45801</v>
      </c>
      <c r="D1778" t="inlineStr">
        <is>
          <t>KALMAR LÄN</t>
        </is>
      </c>
      <c r="E1778" t="inlineStr">
        <is>
          <t>VÄSTERVIK</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56378-2024</t>
        </is>
      </c>
      <c r="B1779" s="1" t="n">
        <v>45625</v>
      </c>
      <c r="C1779" s="1" t="n">
        <v>45801</v>
      </c>
      <c r="D1779" t="inlineStr">
        <is>
          <t>KALMAR LÄN</t>
        </is>
      </c>
      <c r="E1779" t="inlineStr">
        <is>
          <t>VÄSTERVIK</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56382-2024</t>
        </is>
      </c>
      <c r="B1780" s="1" t="n">
        <v>45625</v>
      </c>
      <c r="C1780" s="1" t="n">
        <v>45801</v>
      </c>
      <c r="D1780" t="inlineStr">
        <is>
          <t>KALMAR LÄN</t>
        </is>
      </c>
      <c r="E1780" t="inlineStr">
        <is>
          <t>VÄSTERVIK</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56440-2024</t>
        </is>
      </c>
      <c r="B1781" s="1" t="n">
        <v>45625</v>
      </c>
      <c r="C1781" s="1" t="n">
        <v>45801</v>
      </c>
      <c r="D1781" t="inlineStr">
        <is>
          <t>KALMAR LÄN</t>
        </is>
      </c>
      <c r="E1781" t="inlineStr">
        <is>
          <t>VÄSTERVIK</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57178-2024</t>
        </is>
      </c>
      <c r="B1782" s="1" t="n">
        <v>45629</v>
      </c>
      <c r="C1782" s="1" t="n">
        <v>45801</v>
      </c>
      <c r="D1782" t="inlineStr">
        <is>
          <t>KALMAR LÄN</t>
        </is>
      </c>
      <c r="E1782" t="inlineStr">
        <is>
          <t>VÄSTERVIK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57688-2024</t>
        </is>
      </c>
      <c r="B1783" s="1" t="n">
        <v>45630</v>
      </c>
      <c r="C1783" s="1" t="n">
        <v>45801</v>
      </c>
      <c r="D1783" t="inlineStr">
        <is>
          <t>KALMAR LÄN</t>
        </is>
      </c>
      <c r="E1783" t="inlineStr">
        <is>
          <t>VÄSTERVIK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57793-2024</t>
        </is>
      </c>
      <c r="B1784" s="1" t="n">
        <v>45631</v>
      </c>
      <c r="C1784" s="1" t="n">
        <v>45801</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57792-2024</t>
        </is>
      </c>
      <c r="B1785" s="1" t="n">
        <v>45631</v>
      </c>
      <c r="C1785" s="1" t="n">
        <v>45801</v>
      </c>
      <c r="D1785" t="inlineStr">
        <is>
          <t>KALMAR LÄN</t>
        </is>
      </c>
      <c r="E1785" t="inlineStr">
        <is>
          <t>VÄSTERVIK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57802-2024</t>
        </is>
      </c>
      <c r="B1786" s="1" t="n">
        <v>45631</v>
      </c>
      <c r="C1786" s="1" t="n">
        <v>45801</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57795-2024</t>
        </is>
      </c>
      <c r="B1787" s="1" t="n">
        <v>45631</v>
      </c>
      <c r="C1787" s="1" t="n">
        <v>45801</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57924-2024</t>
        </is>
      </c>
      <c r="B1788" s="1" t="n">
        <v>45631</v>
      </c>
      <c r="C1788" s="1" t="n">
        <v>45801</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58429-2024</t>
        </is>
      </c>
      <c r="B1789" s="1" t="n">
        <v>45634</v>
      </c>
      <c r="C1789" s="1" t="n">
        <v>45801</v>
      </c>
      <c r="D1789" t="inlineStr">
        <is>
          <t>KALMAR LÄN</t>
        </is>
      </c>
      <c r="E1789" t="inlineStr">
        <is>
          <t>VÄSTERVIK</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58731-2024</t>
        </is>
      </c>
      <c r="B1790" s="1" t="n">
        <v>45635</v>
      </c>
      <c r="C1790" s="1" t="n">
        <v>45801</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58764-2024</t>
        </is>
      </c>
      <c r="B1791" s="1" t="n">
        <v>45635</v>
      </c>
      <c r="C1791" s="1" t="n">
        <v>45801</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59196-2024</t>
        </is>
      </c>
      <c r="B1792" s="1" t="n">
        <v>45637</v>
      </c>
      <c r="C1792" s="1" t="n">
        <v>45801</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59350-2024</t>
        </is>
      </c>
      <c r="B1793" s="1" t="n">
        <v>45638</v>
      </c>
      <c r="C1793" s="1" t="n">
        <v>45801</v>
      </c>
      <c r="D1793" t="inlineStr">
        <is>
          <t>KALMAR LÄN</t>
        </is>
      </c>
      <c r="E1793" t="inlineStr">
        <is>
          <t>VÄSTERVIK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59880-2024</t>
        </is>
      </c>
      <c r="B1794" s="1" t="n">
        <v>45640</v>
      </c>
      <c r="C1794" s="1" t="n">
        <v>45801</v>
      </c>
      <c r="D1794" t="inlineStr">
        <is>
          <t>KALMAR LÄN</t>
        </is>
      </c>
      <c r="E1794" t="inlineStr">
        <is>
          <t>VÄSTERVIK</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60147-2024</t>
        </is>
      </c>
      <c r="B1795" s="1" t="n">
        <v>45642</v>
      </c>
      <c r="C1795" s="1" t="n">
        <v>45801</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60140-2024</t>
        </is>
      </c>
      <c r="B1796" s="1" t="n">
        <v>45642</v>
      </c>
      <c r="C1796" s="1" t="n">
        <v>45801</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60478-2024</t>
        </is>
      </c>
      <c r="B1797" s="1" t="n">
        <v>45643</v>
      </c>
      <c r="C1797" s="1" t="n">
        <v>45801</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60483-2024</t>
        </is>
      </c>
      <c r="B1798" s="1" t="n">
        <v>45643</v>
      </c>
      <c r="C1798" s="1" t="n">
        <v>45801</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60685-2024</t>
        </is>
      </c>
      <c r="B1799" s="1" t="n">
        <v>45644</v>
      </c>
      <c r="C1799" s="1" t="n">
        <v>45801</v>
      </c>
      <c r="D1799" t="inlineStr">
        <is>
          <t>KALMAR LÄN</t>
        </is>
      </c>
      <c r="E1799" t="inlineStr">
        <is>
          <t>VÄSTERVIK</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1108-2025</t>
        </is>
      </c>
      <c r="B1800" s="1" t="n">
        <v>45666</v>
      </c>
      <c r="C1800" s="1" t="n">
        <v>45801</v>
      </c>
      <c r="D1800" t="inlineStr">
        <is>
          <t>KALMAR LÄN</t>
        </is>
      </c>
      <c r="E1800" t="inlineStr">
        <is>
          <t>VÄSTERVIK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1115-2025</t>
        </is>
      </c>
      <c r="B1801" s="1" t="n">
        <v>45666</v>
      </c>
      <c r="C1801" s="1" t="n">
        <v>45801</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957-2025</t>
        </is>
      </c>
      <c r="B1802" s="1" t="n">
        <v>45666</v>
      </c>
      <c r="C1802" s="1" t="n">
        <v>45801</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1744-2025</t>
        </is>
      </c>
      <c r="B1803" s="1" t="n">
        <v>45671</v>
      </c>
      <c r="C1803" s="1" t="n">
        <v>45801</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1741-2025</t>
        </is>
      </c>
      <c r="B1804" s="1" t="n">
        <v>45671</v>
      </c>
      <c r="C1804" s="1" t="n">
        <v>45801</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1743-2025</t>
        </is>
      </c>
      <c r="B1805" s="1" t="n">
        <v>45671</v>
      </c>
      <c r="C1805" s="1" t="n">
        <v>45801</v>
      </c>
      <c r="D1805" t="inlineStr">
        <is>
          <t>KALMAR LÄN</t>
        </is>
      </c>
      <c r="E1805" t="inlineStr">
        <is>
          <t>VÄSTERVIK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1751-2025</t>
        </is>
      </c>
      <c r="B1806" s="1" t="n">
        <v>45671</v>
      </c>
      <c r="C1806" s="1" t="n">
        <v>45801</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1874-2025</t>
        </is>
      </c>
      <c r="B1807" s="1" t="n">
        <v>45671</v>
      </c>
      <c r="C1807" s="1" t="n">
        <v>45801</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1788-2025</t>
        </is>
      </c>
      <c r="B1808" s="1" t="n">
        <v>45671</v>
      </c>
      <c r="C1808" s="1" t="n">
        <v>45801</v>
      </c>
      <c r="D1808" t="inlineStr">
        <is>
          <t>KALMAR LÄN</t>
        </is>
      </c>
      <c r="E1808" t="inlineStr">
        <is>
          <t>VÄSTERVIK</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1787-2025</t>
        </is>
      </c>
      <c r="B1809" s="1" t="n">
        <v>45671</v>
      </c>
      <c r="C1809" s="1" t="n">
        <v>45801</v>
      </c>
      <c r="D1809" t="inlineStr">
        <is>
          <t>KALMAR LÄN</t>
        </is>
      </c>
      <c r="E1809" t="inlineStr">
        <is>
          <t>VÄSTERVIK</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1785-2025</t>
        </is>
      </c>
      <c r="B1810" s="1" t="n">
        <v>45671</v>
      </c>
      <c r="C1810" s="1" t="n">
        <v>45801</v>
      </c>
      <c r="D1810" t="inlineStr">
        <is>
          <t>KALMAR LÄN</t>
        </is>
      </c>
      <c r="E1810" t="inlineStr">
        <is>
          <t>VÄSTERVIK</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1877-2025</t>
        </is>
      </c>
      <c r="B1811" s="1" t="n">
        <v>45671</v>
      </c>
      <c r="C1811" s="1" t="n">
        <v>45801</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1867-2025</t>
        </is>
      </c>
      <c r="B1812" s="1" t="n">
        <v>45671</v>
      </c>
      <c r="C1812" s="1" t="n">
        <v>45801</v>
      </c>
      <c r="D1812" t="inlineStr">
        <is>
          <t>KALMAR LÄN</t>
        </is>
      </c>
      <c r="E1812" t="inlineStr">
        <is>
          <t>VÄSTERVIK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2357-2025</t>
        </is>
      </c>
      <c r="B1813" s="1" t="n">
        <v>45673</v>
      </c>
      <c r="C1813" s="1" t="n">
        <v>45801</v>
      </c>
      <c r="D1813" t="inlineStr">
        <is>
          <t>KALMAR LÄN</t>
        </is>
      </c>
      <c r="E1813" t="inlineStr">
        <is>
          <t>VÄSTERVIK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2329-2025</t>
        </is>
      </c>
      <c r="B1814" s="1" t="n">
        <v>45673</v>
      </c>
      <c r="C1814" s="1" t="n">
        <v>45801</v>
      </c>
      <c r="D1814" t="inlineStr">
        <is>
          <t>KALMAR LÄN</t>
        </is>
      </c>
      <c r="E1814" t="inlineStr">
        <is>
          <t>VÄSTERVIK</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2360-2025</t>
        </is>
      </c>
      <c r="B1815" s="1" t="n">
        <v>45673</v>
      </c>
      <c r="C1815" s="1" t="n">
        <v>45801</v>
      </c>
      <c r="D1815" t="inlineStr">
        <is>
          <t>KALMAR LÄN</t>
        </is>
      </c>
      <c r="E1815" t="inlineStr">
        <is>
          <t>VÄSTERVIK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2359-2025</t>
        </is>
      </c>
      <c r="B1816" s="1" t="n">
        <v>45673</v>
      </c>
      <c r="C1816" s="1" t="n">
        <v>45801</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2361-2025</t>
        </is>
      </c>
      <c r="B1817" s="1" t="n">
        <v>45673</v>
      </c>
      <c r="C1817" s="1" t="n">
        <v>45801</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2866-2025</t>
        </is>
      </c>
      <c r="B1818" s="1" t="n">
        <v>45677</v>
      </c>
      <c r="C1818" s="1" t="n">
        <v>45801</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2870-2025</t>
        </is>
      </c>
      <c r="B1819" s="1" t="n">
        <v>45677</v>
      </c>
      <c r="C1819" s="1" t="n">
        <v>45801</v>
      </c>
      <c r="D1819" t="inlineStr">
        <is>
          <t>KALMAR LÄN</t>
        </is>
      </c>
      <c r="E1819" t="inlineStr">
        <is>
          <t>VÄSTERVIK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2830-2025</t>
        </is>
      </c>
      <c r="B1820" s="1" t="n">
        <v>45677</v>
      </c>
      <c r="C1820" s="1" t="n">
        <v>45801</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2872-2025</t>
        </is>
      </c>
      <c r="B1821" s="1" t="n">
        <v>45677</v>
      </c>
      <c r="C1821" s="1" t="n">
        <v>45801</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2859-2025</t>
        </is>
      </c>
      <c r="B1822" s="1" t="n">
        <v>45677</v>
      </c>
      <c r="C1822" s="1" t="n">
        <v>45801</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3093-2025</t>
        </is>
      </c>
      <c r="B1823" s="1" t="n">
        <v>45678</v>
      </c>
      <c r="C1823" s="1" t="n">
        <v>45801</v>
      </c>
      <c r="D1823" t="inlineStr">
        <is>
          <t>KALMAR LÄN</t>
        </is>
      </c>
      <c r="E1823" t="inlineStr">
        <is>
          <t>VÄSTERVIK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3041-2025</t>
        </is>
      </c>
      <c r="B1824" s="1" t="n">
        <v>45678</v>
      </c>
      <c r="C1824" s="1" t="n">
        <v>45801</v>
      </c>
      <c r="D1824" t="inlineStr">
        <is>
          <t>KALMAR LÄN</t>
        </is>
      </c>
      <c r="E1824" t="inlineStr">
        <is>
          <t>VÄSTERVIK</t>
        </is>
      </c>
      <c r="G1824" t="n">
        <v>0.7</v>
      </c>
      <c r="H1824" t="n">
        <v>0</v>
      </c>
      <c r="I1824" t="n">
        <v>0</v>
      </c>
      <c r="J1824" t="n">
        <v>0</v>
      </c>
      <c r="K1824" t="n">
        <v>0</v>
      </c>
      <c r="L1824" t="n">
        <v>0</v>
      </c>
      <c r="M1824" t="n">
        <v>0</v>
      </c>
      <c r="N1824" t="n">
        <v>0</v>
      </c>
      <c r="O1824" t="n">
        <v>0</v>
      </c>
      <c r="P1824" t="n">
        <v>0</v>
      </c>
      <c r="Q1824" t="n">
        <v>0</v>
      </c>
      <c r="R1824" s="2" t="inlineStr"/>
      <c r="U1824">
        <f>HYPERLINK("https://klasma.github.io/Logging_0883/knärot/A 3041-2025 karta knärot.png", "A 3041-2025")</f>
        <v/>
      </c>
      <c r="V1824">
        <f>HYPERLINK("https://klasma.github.io/Logging_0883/klagomål/A 3041-2025 FSC-klagomål.docx", "A 3041-2025")</f>
        <v/>
      </c>
      <c r="W1824">
        <f>HYPERLINK("https://klasma.github.io/Logging_0883/klagomålsmail/A 3041-2025 FSC-klagomål mail.docx", "A 3041-2025")</f>
        <v/>
      </c>
      <c r="X1824">
        <f>HYPERLINK("https://klasma.github.io/Logging_0883/tillsyn/A 3041-2025 tillsynsbegäran.docx", "A 3041-2025")</f>
        <v/>
      </c>
      <c r="Y1824">
        <f>HYPERLINK("https://klasma.github.io/Logging_0883/tillsynsmail/A 3041-2025 tillsynsbegäran mail.docx", "A 3041-2025")</f>
        <v/>
      </c>
    </row>
    <row r="1825" ht="15" customHeight="1">
      <c r="A1825" t="inlineStr">
        <is>
          <t>A 2951-2025</t>
        </is>
      </c>
      <c r="B1825" s="1" t="n">
        <v>45678</v>
      </c>
      <c r="C1825" s="1" t="n">
        <v>45801</v>
      </c>
      <c r="D1825" t="inlineStr">
        <is>
          <t>KALMAR LÄN</t>
        </is>
      </c>
      <c r="E1825" t="inlineStr">
        <is>
          <t>VÄSTERVIK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3467-2025</t>
        </is>
      </c>
      <c r="B1826" s="1" t="n">
        <v>45680</v>
      </c>
      <c r="C1826" s="1" t="n">
        <v>45801</v>
      </c>
      <c r="D1826" t="inlineStr">
        <is>
          <t>KALMAR LÄN</t>
        </is>
      </c>
      <c r="E1826" t="inlineStr">
        <is>
          <t>VÄSTERVIK</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3453-2025</t>
        </is>
      </c>
      <c r="B1827" s="1" t="n">
        <v>45680</v>
      </c>
      <c r="C1827" s="1" t="n">
        <v>45801</v>
      </c>
      <c r="D1827" t="inlineStr">
        <is>
          <t>KALMAR LÄN</t>
        </is>
      </c>
      <c r="E1827" t="inlineStr">
        <is>
          <t>VÄSTERVIK</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3679-2025</t>
        </is>
      </c>
      <c r="B1828" s="1" t="n">
        <v>45681</v>
      </c>
      <c r="C1828" s="1" t="n">
        <v>45801</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3800-2025</t>
        </is>
      </c>
      <c r="B1829" s="1" t="n">
        <v>45681</v>
      </c>
      <c r="C1829" s="1" t="n">
        <v>45801</v>
      </c>
      <c r="D1829" t="inlineStr">
        <is>
          <t>KALMAR LÄN</t>
        </is>
      </c>
      <c r="E1829" t="inlineStr">
        <is>
          <t>VÄSTERVIK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4345-2025</t>
        </is>
      </c>
      <c r="B1830" s="1" t="n">
        <v>45685</v>
      </c>
      <c r="C1830" s="1" t="n">
        <v>45801</v>
      </c>
      <c r="D1830" t="inlineStr">
        <is>
          <t>KALMAR LÄN</t>
        </is>
      </c>
      <c r="E1830" t="inlineStr">
        <is>
          <t>VÄSTERVIK</t>
        </is>
      </c>
      <c r="F1830" t="inlineStr">
        <is>
          <t>Holmen skog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4490-2025</t>
        </is>
      </c>
      <c r="B1831" s="1" t="n">
        <v>45686</v>
      </c>
      <c r="C1831" s="1" t="n">
        <v>45801</v>
      </c>
      <c r="D1831" t="inlineStr">
        <is>
          <t>KALMAR LÄN</t>
        </is>
      </c>
      <c r="E1831" t="inlineStr">
        <is>
          <t>VÄSTERVIK</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4461-2025</t>
        </is>
      </c>
      <c r="B1832" s="1" t="n">
        <v>45686</v>
      </c>
      <c r="C1832" s="1" t="n">
        <v>45801</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c r="U1832">
        <f>HYPERLINK("https://klasma.github.io/Logging_0883/knärot/A 4461-2025 karta knärot.png", "A 4461-2025")</f>
        <v/>
      </c>
      <c r="V1832">
        <f>HYPERLINK("https://klasma.github.io/Logging_0883/klagomål/A 4461-2025 FSC-klagomål.docx", "A 4461-2025")</f>
        <v/>
      </c>
      <c r="W1832">
        <f>HYPERLINK("https://klasma.github.io/Logging_0883/klagomålsmail/A 4461-2025 FSC-klagomål mail.docx", "A 4461-2025")</f>
        <v/>
      </c>
      <c r="X1832">
        <f>HYPERLINK("https://klasma.github.io/Logging_0883/tillsyn/A 4461-2025 tillsynsbegäran.docx", "A 4461-2025")</f>
        <v/>
      </c>
      <c r="Y1832">
        <f>HYPERLINK("https://klasma.github.io/Logging_0883/tillsynsmail/A 4461-2025 tillsynsbegäran mail.docx", "A 4461-2025")</f>
        <v/>
      </c>
    </row>
    <row r="1833" ht="15" customHeight="1">
      <c r="A1833" t="inlineStr">
        <is>
          <t>A 5060-2025</t>
        </is>
      </c>
      <c r="B1833" s="1" t="n">
        <v>45691</v>
      </c>
      <c r="C1833" s="1" t="n">
        <v>45801</v>
      </c>
      <c r="D1833" t="inlineStr">
        <is>
          <t>KALMAR LÄN</t>
        </is>
      </c>
      <c r="E1833" t="inlineStr">
        <is>
          <t>VÄSTERVIK</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5079-2025</t>
        </is>
      </c>
      <c r="B1834" s="1" t="n">
        <v>45691</v>
      </c>
      <c r="C1834" s="1" t="n">
        <v>45801</v>
      </c>
      <c r="D1834" t="inlineStr">
        <is>
          <t>KALMAR LÄN</t>
        </is>
      </c>
      <c r="E1834" t="inlineStr">
        <is>
          <t>VÄSTERVIK</t>
        </is>
      </c>
      <c r="F1834" t="inlineStr">
        <is>
          <t>Holmen skog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5118-2025</t>
        </is>
      </c>
      <c r="B1835" s="1" t="n">
        <v>45691</v>
      </c>
      <c r="C1835" s="1" t="n">
        <v>45801</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5691-2025</t>
        </is>
      </c>
      <c r="B1836" s="1" t="n">
        <v>45694</v>
      </c>
      <c r="C1836" s="1" t="n">
        <v>45801</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6182-2025</t>
        </is>
      </c>
      <c r="B1837" s="1" t="n">
        <v>45698</v>
      </c>
      <c r="C1837" s="1" t="n">
        <v>45801</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6393-2025</t>
        </is>
      </c>
      <c r="B1838" s="1" t="n">
        <v>45699</v>
      </c>
      <c r="C1838" s="1" t="n">
        <v>45801</v>
      </c>
      <c r="D1838" t="inlineStr">
        <is>
          <t>KALMAR LÄN</t>
        </is>
      </c>
      <c r="E1838" t="inlineStr">
        <is>
          <t>VÄSTERVIK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6469-2025</t>
        </is>
      </c>
      <c r="B1839" s="1" t="n">
        <v>45699</v>
      </c>
      <c r="C1839" s="1" t="n">
        <v>45801</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6846-2025</t>
        </is>
      </c>
      <c r="B1840" s="1" t="n">
        <v>45700</v>
      </c>
      <c r="C1840" s="1" t="n">
        <v>45801</v>
      </c>
      <c r="D1840" t="inlineStr">
        <is>
          <t>KALMAR LÄN</t>
        </is>
      </c>
      <c r="E1840" t="inlineStr">
        <is>
          <t>VÄSTERVIK</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6847-2025</t>
        </is>
      </c>
      <c r="B1841" s="1" t="n">
        <v>45700</v>
      </c>
      <c r="C1841" s="1" t="n">
        <v>45801</v>
      </c>
      <c r="D1841" t="inlineStr">
        <is>
          <t>KALMAR LÄN</t>
        </is>
      </c>
      <c r="E1841" t="inlineStr">
        <is>
          <t>VÄSTERVIK</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6844-2025</t>
        </is>
      </c>
      <c r="B1842" s="1" t="n">
        <v>45700</v>
      </c>
      <c r="C1842" s="1" t="n">
        <v>45801</v>
      </c>
      <c r="D1842" t="inlineStr">
        <is>
          <t>KALMAR LÄN</t>
        </is>
      </c>
      <c r="E1842" t="inlineStr">
        <is>
          <t>VÄSTERVIK</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6848-2025</t>
        </is>
      </c>
      <c r="B1843" s="1" t="n">
        <v>45700</v>
      </c>
      <c r="C1843" s="1" t="n">
        <v>45801</v>
      </c>
      <c r="D1843" t="inlineStr">
        <is>
          <t>KALMAR LÄN</t>
        </is>
      </c>
      <c r="E1843" t="inlineStr">
        <is>
          <t>VÄSTERVIK</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6940-2025</t>
        </is>
      </c>
      <c r="B1844" s="1" t="n">
        <v>45701</v>
      </c>
      <c r="C1844" s="1" t="n">
        <v>45801</v>
      </c>
      <c r="D1844" t="inlineStr">
        <is>
          <t>KALMAR LÄN</t>
        </is>
      </c>
      <c r="E1844" t="inlineStr">
        <is>
          <t>VÄSTERVIK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6938-2025</t>
        </is>
      </c>
      <c r="B1845" s="1" t="n">
        <v>45701</v>
      </c>
      <c r="C1845" s="1" t="n">
        <v>45801</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6941-2025</t>
        </is>
      </c>
      <c r="B1846" s="1" t="n">
        <v>45701</v>
      </c>
      <c r="C1846" s="1" t="n">
        <v>45801</v>
      </c>
      <c r="D1846" t="inlineStr">
        <is>
          <t>KALMAR LÄN</t>
        </is>
      </c>
      <c r="E1846" t="inlineStr">
        <is>
          <t>VÄSTERVIK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7164-2025</t>
        </is>
      </c>
      <c r="B1847" s="1" t="n">
        <v>45702</v>
      </c>
      <c r="C1847" s="1" t="n">
        <v>45801</v>
      </c>
      <c r="D1847" t="inlineStr">
        <is>
          <t>KALMAR LÄN</t>
        </is>
      </c>
      <c r="E1847" t="inlineStr">
        <is>
          <t>VÄSTERVIK</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7165-2025</t>
        </is>
      </c>
      <c r="B1848" s="1" t="n">
        <v>45702</v>
      </c>
      <c r="C1848" s="1" t="n">
        <v>45801</v>
      </c>
      <c r="D1848" t="inlineStr">
        <is>
          <t>KALMAR LÄN</t>
        </is>
      </c>
      <c r="E1848" t="inlineStr">
        <is>
          <t>VÄSTERVIK</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7163-2025</t>
        </is>
      </c>
      <c r="B1849" s="1" t="n">
        <v>45702</v>
      </c>
      <c r="C1849" s="1" t="n">
        <v>45801</v>
      </c>
      <c r="D1849" t="inlineStr">
        <is>
          <t>KALMAR LÄN</t>
        </is>
      </c>
      <c r="E1849" t="inlineStr">
        <is>
          <t>VÄSTERVIK</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7381-2025</t>
        </is>
      </c>
      <c r="B1850" s="1" t="n">
        <v>45705</v>
      </c>
      <c r="C1850" s="1" t="n">
        <v>45801</v>
      </c>
      <c r="D1850" t="inlineStr">
        <is>
          <t>KALMAR LÄN</t>
        </is>
      </c>
      <c r="E1850" t="inlineStr">
        <is>
          <t>VÄSTERVIK</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7377-2025</t>
        </is>
      </c>
      <c r="B1851" s="1" t="n">
        <v>45705</v>
      </c>
      <c r="C1851" s="1" t="n">
        <v>45801</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7882-2025</t>
        </is>
      </c>
      <c r="B1852" s="1" t="n">
        <v>45706</v>
      </c>
      <c r="C1852" s="1" t="n">
        <v>45801</v>
      </c>
      <c r="D1852" t="inlineStr">
        <is>
          <t>KALMAR LÄN</t>
        </is>
      </c>
      <c r="E1852" t="inlineStr">
        <is>
          <t>VÄSTERVIK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7843-2025</t>
        </is>
      </c>
      <c r="B1853" s="1" t="n">
        <v>45706</v>
      </c>
      <c r="C1853" s="1" t="n">
        <v>45801</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7883-2025</t>
        </is>
      </c>
      <c r="B1854" s="1" t="n">
        <v>45706</v>
      </c>
      <c r="C1854" s="1" t="n">
        <v>45801</v>
      </c>
      <c r="D1854" t="inlineStr">
        <is>
          <t>KALMAR LÄN</t>
        </is>
      </c>
      <c r="E1854" t="inlineStr">
        <is>
          <t>VÄSTERVIK</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7885-2025</t>
        </is>
      </c>
      <c r="B1855" s="1" t="n">
        <v>45706</v>
      </c>
      <c r="C1855" s="1" t="n">
        <v>45801</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7840-2025</t>
        </is>
      </c>
      <c r="B1856" s="1" t="n">
        <v>45706</v>
      </c>
      <c r="C1856" s="1" t="n">
        <v>45801</v>
      </c>
      <c r="D1856" t="inlineStr">
        <is>
          <t>KALMAR LÄN</t>
        </is>
      </c>
      <c r="E1856" t="inlineStr">
        <is>
          <t>VÄSTERVIK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7884-2025</t>
        </is>
      </c>
      <c r="B1857" s="1" t="n">
        <v>45706</v>
      </c>
      <c r="C1857" s="1" t="n">
        <v>45801</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8281-2025</t>
        </is>
      </c>
      <c r="B1858" s="1" t="n">
        <v>45708</v>
      </c>
      <c r="C1858" s="1" t="n">
        <v>45801</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8402-2025</t>
        </is>
      </c>
      <c r="B1859" s="1" t="n">
        <v>45709</v>
      </c>
      <c r="C1859" s="1" t="n">
        <v>45801</v>
      </c>
      <c r="D1859" t="inlineStr">
        <is>
          <t>KALMAR LÄN</t>
        </is>
      </c>
      <c r="E1859" t="inlineStr">
        <is>
          <t>VÄSTERVIK</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8995-2025</t>
        </is>
      </c>
      <c r="B1860" s="1" t="n">
        <v>45713</v>
      </c>
      <c r="C1860" s="1" t="n">
        <v>45801</v>
      </c>
      <c r="D1860" t="inlineStr">
        <is>
          <t>KALMAR LÄN</t>
        </is>
      </c>
      <c r="E1860" t="inlineStr">
        <is>
          <t>VÄSTERVIK</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9263-2025</t>
        </is>
      </c>
      <c r="B1861" s="1" t="n">
        <v>45714</v>
      </c>
      <c r="C1861" s="1" t="n">
        <v>45801</v>
      </c>
      <c r="D1861" t="inlineStr">
        <is>
          <t>KALMAR LÄN</t>
        </is>
      </c>
      <c r="E1861" t="inlineStr">
        <is>
          <t>VÄSTERVIK</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9267-2025</t>
        </is>
      </c>
      <c r="B1862" s="1" t="n">
        <v>45714</v>
      </c>
      <c r="C1862" s="1" t="n">
        <v>45801</v>
      </c>
      <c r="D1862" t="inlineStr">
        <is>
          <t>KALMAR LÄN</t>
        </is>
      </c>
      <c r="E1862" t="inlineStr">
        <is>
          <t>VÄSTERVIK</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9269-2025</t>
        </is>
      </c>
      <c r="B1863" s="1" t="n">
        <v>45714</v>
      </c>
      <c r="C1863" s="1" t="n">
        <v>45801</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9451-2025</t>
        </is>
      </c>
      <c r="B1864" s="1" t="n">
        <v>45715</v>
      </c>
      <c r="C1864" s="1" t="n">
        <v>45801</v>
      </c>
      <c r="D1864" t="inlineStr">
        <is>
          <t>KALMAR LÄN</t>
        </is>
      </c>
      <c r="E1864" t="inlineStr">
        <is>
          <t>VÄSTERVIK</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9545-2025</t>
        </is>
      </c>
      <c r="B1865" s="1" t="n">
        <v>45715</v>
      </c>
      <c r="C1865" s="1" t="n">
        <v>45801</v>
      </c>
      <c r="D1865" t="inlineStr">
        <is>
          <t>KALMAR LÄN</t>
        </is>
      </c>
      <c r="E1865" t="inlineStr">
        <is>
          <t>VÄSTERVIK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9973-2025</t>
        </is>
      </c>
      <c r="B1866" s="1" t="n">
        <v>45719</v>
      </c>
      <c r="C1866" s="1" t="n">
        <v>45801</v>
      </c>
      <c r="D1866" t="inlineStr">
        <is>
          <t>KALMAR LÄN</t>
        </is>
      </c>
      <c r="E1866" t="inlineStr">
        <is>
          <t>VÄSTERVIK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10012-2025</t>
        </is>
      </c>
      <c r="B1867" s="1" t="n">
        <v>45719</v>
      </c>
      <c r="C1867" s="1" t="n">
        <v>45801</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10412-2025</t>
        </is>
      </c>
      <c r="B1868" s="1" t="n">
        <v>45720</v>
      </c>
      <c r="C1868" s="1" t="n">
        <v>45801</v>
      </c>
      <c r="D1868" t="inlineStr">
        <is>
          <t>KALMAR LÄN</t>
        </is>
      </c>
      <c r="E1868" t="inlineStr">
        <is>
          <t>VÄSTERVIK</t>
        </is>
      </c>
      <c r="F1868" t="inlineStr">
        <is>
          <t>Övriga Aktiebolag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10420-2025</t>
        </is>
      </c>
      <c r="B1869" s="1" t="n">
        <v>45720</v>
      </c>
      <c r="C1869" s="1" t="n">
        <v>45801</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10433-2025</t>
        </is>
      </c>
      <c r="B1870" s="1" t="n">
        <v>45720</v>
      </c>
      <c r="C1870" s="1" t="n">
        <v>45801</v>
      </c>
      <c r="D1870" t="inlineStr">
        <is>
          <t>KALMAR LÄN</t>
        </is>
      </c>
      <c r="E1870" t="inlineStr">
        <is>
          <t>VÄSTERVIK</t>
        </is>
      </c>
      <c r="F1870" t="inlineStr">
        <is>
          <t>Övriga Aktiebolag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10390-2025</t>
        </is>
      </c>
      <c r="B1871" s="1" t="n">
        <v>45720</v>
      </c>
      <c r="C1871" s="1" t="n">
        <v>45801</v>
      </c>
      <c r="D1871" t="inlineStr">
        <is>
          <t>KALMAR LÄN</t>
        </is>
      </c>
      <c r="E1871" t="inlineStr">
        <is>
          <t>VÄSTERVIK</t>
        </is>
      </c>
      <c r="F1871" t="inlineStr">
        <is>
          <t>Övriga Aktiebolag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10399-2025</t>
        </is>
      </c>
      <c r="B1872" s="1" t="n">
        <v>45720</v>
      </c>
      <c r="C1872" s="1" t="n">
        <v>45801</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10774-2025</t>
        </is>
      </c>
      <c r="B1873" s="1" t="n">
        <v>45722</v>
      </c>
      <c r="C1873" s="1" t="n">
        <v>45801</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10803-2025</t>
        </is>
      </c>
      <c r="B1874" s="1" t="n">
        <v>45722</v>
      </c>
      <c r="C1874" s="1" t="n">
        <v>45801</v>
      </c>
      <c r="D1874" t="inlineStr">
        <is>
          <t>KALMAR LÄN</t>
        </is>
      </c>
      <c r="E1874" t="inlineStr">
        <is>
          <t>VÄSTERVIK</t>
        </is>
      </c>
      <c r="F1874" t="inlineStr">
        <is>
          <t>Övriga Aktiebolag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10800-2025</t>
        </is>
      </c>
      <c r="B1875" s="1" t="n">
        <v>45722</v>
      </c>
      <c r="C1875" s="1" t="n">
        <v>45801</v>
      </c>
      <c r="D1875" t="inlineStr">
        <is>
          <t>KALMAR LÄN</t>
        </is>
      </c>
      <c r="E1875" t="inlineStr">
        <is>
          <t>VÄSTERVIK</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10771-2025</t>
        </is>
      </c>
      <c r="B1876" s="1" t="n">
        <v>45722</v>
      </c>
      <c r="C1876" s="1" t="n">
        <v>45801</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10806-2025</t>
        </is>
      </c>
      <c r="B1877" s="1" t="n">
        <v>45722</v>
      </c>
      <c r="C1877" s="1" t="n">
        <v>45801</v>
      </c>
      <c r="D1877" t="inlineStr">
        <is>
          <t>KALMAR LÄN</t>
        </is>
      </c>
      <c r="E1877" t="inlineStr">
        <is>
          <t>VÄSTERVIK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10808-2025</t>
        </is>
      </c>
      <c r="B1878" s="1" t="n">
        <v>45722</v>
      </c>
      <c r="C1878" s="1" t="n">
        <v>45801</v>
      </c>
      <c r="D1878" t="inlineStr">
        <is>
          <t>KALMAR LÄN</t>
        </is>
      </c>
      <c r="E1878" t="inlineStr">
        <is>
          <t>VÄSTERVIK</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10766-2025</t>
        </is>
      </c>
      <c r="B1879" s="1" t="n">
        <v>45722</v>
      </c>
      <c r="C1879" s="1" t="n">
        <v>45801</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10778-2025</t>
        </is>
      </c>
      <c r="B1880" s="1" t="n">
        <v>45722</v>
      </c>
      <c r="C1880" s="1" t="n">
        <v>45801</v>
      </c>
      <c r="D1880" t="inlineStr">
        <is>
          <t>KALMAR LÄN</t>
        </is>
      </c>
      <c r="E1880" t="inlineStr">
        <is>
          <t>VÄSTERVIK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11120-2025</t>
        </is>
      </c>
      <c r="B1881" s="1" t="n">
        <v>45723</v>
      </c>
      <c r="C1881" s="1" t="n">
        <v>45801</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11122-2025</t>
        </is>
      </c>
      <c r="B1882" s="1" t="n">
        <v>45723</v>
      </c>
      <c r="C1882" s="1" t="n">
        <v>45801</v>
      </c>
      <c r="D1882" t="inlineStr">
        <is>
          <t>KALMAR LÄN</t>
        </is>
      </c>
      <c r="E1882" t="inlineStr">
        <is>
          <t>VÄSTERVIK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11296-2025</t>
        </is>
      </c>
      <c r="B1883" s="1" t="n">
        <v>45726</v>
      </c>
      <c r="C1883" s="1" t="n">
        <v>45801</v>
      </c>
      <c r="D1883" t="inlineStr">
        <is>
          <t>KALMAR LÄN</t>
        </is>
      </c>
      <c r="E1883" t="inlineStr">
        <is>
          <t>VÄSTERVIK</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11316-2025</t>
        </is>
      </c>
      <c r="B1884" s="1" t="n">
        <v>45726</v>
      </c>
      <c r="C1884" s="1" t="n">
        <v>45801</v>
      </c>
      <c r="D1884" t="inlineStr">
        <is>
          <t>KALMAR LÄN</t>
        </is>
      </c>
      <c r="E1884" t="inlineStr">
        <is>
          <t>VÄSTERVIK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11852-2025</t>
        </is>
      </c>
      <c r="B1885" s="1" t="n">
        <v>45728</v>
      </c>
      <c r="C1885" s="1" t="n">
        <v>45801</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12333-2025</t>
        </is>
      </c>
      <c r="B1886" s="1" t="n">
        <v>45730</v>
      </c>
      <c r="C1886" s="1" t="n">
        <v>45801</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12386-2025</t>
        </is>
      </c>
      <c r="B1887" s="1" t="n">
        <v>45730</v>
      </c>
      <c r="C1887" s="1" t="n">
        <v>45801</v>
      </c>
      <c r="D1887" t="inlineStr">
        <is>
          <t>KALMAR LÄN</t>
        </is>
      </c>
      <c r="E1887" t="inlineStr">
        <is>
          <t>VÄSTERVIK</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12455-2025</t>
        </is>
      </c>
      <c r="B1888" s="1" t="n">
        <v>45730</v>
      </c>
      <c r="C1888" s="1" t="n">
        <v>45801</v>
      </c>
      <c r="D1888" t="inlineStr">
        <is>
          <t>KALMAR LÄN</t>
        </is>
      </c>
      <c r="E1888" t="inlineStr">
        <is>
          <t>VÄSTERVIK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13103-2025</t>
        </is>
      </c>
      <c r="B1889" s="1" t="n">
        <v>45734</v>
      </c>
      <c r="C1889" s="1" t="n">
        <v>45801</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13105-2025</t>
        </is>
      </c>
      <c r="B1890" s="1" t="n">
        <v>45734</v>
      </c>
      <c r="C1890" s="1" t="n">
        <v>45801</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13349-2025</t>
        </is>
      </c>
      <c r="B1891" s="1" t="n">
        <v>45735</v>
      </c>
      <c r="C1891" s="1" t="n">
        <v>45801</v>
      </c>
      <c r="D1891" t="inlineStr">
        <is>
          <t>KALMAR LÄN</t>
        </is>
      </c>
      <c r="E1891" t="inlineStr">
        <is>
          <t>VÄSTERVIK</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13498-2025</t>
        </is>
      </c>
      <c r="B1892" s="1" t="n">
        <v>45736</v>
      </c>
      <c r="C1892" s="1" t="n">
        <v>45801</v>
      </c>
      <c r="D1892" t="inlineStr">
        <is>
          <t>KALMAR LÄN</t>
        </is>
      </c>
      <c r="E1892" t="inlineStr">
        <is>
          <t>VÄSTERVIK</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13618-2025</t>
        </is>
      </c>
      <c r="B1893" s="1" t="n">
        <v>45736</v>
      </c>
      <c r="C1893" s="1" t="n">
        <v>45801</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13957-2025</t>
        </is>
      </c>
      <c r="B1894" s="1" t="n">
        <v>45737</v>
      </c>
      <c r="C1894" s="1" t="n">
        <v>45801</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13958-2025</t>
        </is>
      </c>
      <c r="B1895" s="1" t="n">
        <v>45737</v>
      </c>
      <c r="C1895" s="1" t="n">
        <v>45801</v>
      </c>
      <c r="D1895" t="inlineStr">
        <is>
          <t>KALMAR LÄN</t>
        </is>
      </c>
      <c r="E1895" t="inlineStr">
        <is>
          <t>VÄSTERVIK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14071-2025</t>
        </is>
      </c>
      <c r="B1896" s="1" t="n">
        <v>45740</v>
      </c>
      <c r="C1896" s="1" t="n">
        <v>45801</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14080-2025</t>
        </is>
      </c>
      <c r="B1897" s="1" t="n">
        <v>45740</v>
      </c>
      <c r="C1897" s="1" t="n">
        <v>45801</v>
      </c>
      <c r="D1897" t="inlineStr">
        <is>
          <t>KALMAR LÄN</t>
        </is>
      </c>
      <c r="E1897" t="inlineStr">
        <is>
          <t>VÄSTERVIK</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14092-2025</t>
        </is>
      </c>
      <c r="B1898" s="1" t="n">
        <v>45740</v>
      </c>
      <c r="C1898" s="1" t="n">
        <v>45801</v>
      </c>
      <c r="D1898" t="inlineStr">
        <is>
          <t>KALMAR LÄN</t>
        </is>
      </c>
      <c r="E1898" t="inlineStr">
        <is>
          <t>VÄSTERVIK</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14072-2025</t>
        </is>
      </c>
      <c r="B1899" s="1" t="n">
        <v>45740</v>
      </c>
      <c r="C1899" s="1" t="n">
        <v>45801</v>
      </c>
      <c r="D1899" t="inlineStr">
        <is>
          <t>KALMAR LÄN</t>
        </is>
      </c>
      <c r="E1899" t="inlineStr">
        <is>
          <t>VÄSTERVIK</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14105-2025</t>
        </is>
      </c>
      <c r="B1900" s="1" t="n">
        <v>45740</v>
      </c>
      <c r="C1900" s="1" t="n">
        <v>45801</v>
      </c>
      <c r="D1900" t="inlineStr">
        <is>
          <t>KALMAR LÄN</t>
        </is>
      </c>
      <c r="E1900" t="inlineStr">
        <is>
          <t>VÄSTERVIK</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14109-2025</t>
        </is>
      </c>
      <c r="B1901" s="1" t="n">
        <v>45740</v>
      </c>
      <c r="C1901" s="1" t="n">
        <v>45801</v>
      </c>
      <c r="D1901" t="inlineStr">
        <is>
          <t>KALMAR LÄN</t>
        </is>
      </c>
      <c r="E1901" t="inlineStr">
        <is>
          <t>VÄSTERVIK</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14055-2025</t>
        </is>
      </c>
      <c r="B1902" s="1" t="n">
        <v>45740</v>
      </c>
      <c r="C1902" s="1" t="n">
        <v>45801</v>
      </c>
      <c r="D1902" t="inlineStr">
        <is>
          <t>KALMAR LÄN</t>
        </is>
      </c>
      <c r="E1902" t="inlineStr">
        <is>
          <t>VÄSTERVIK</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14114-2025</t>
        </is>
      </c>
      <c r="B1903" s="1" t="n">
        <v>45740</v>
      </c>
      <c r="C1903" s="1" t="n">
        <v>45801</v>
      </c>
      <c r="D1903" t="inlineStr">
        <is>
          <t>KALMAR LÄN</t>
        </is>
      </c>
      <c r="E1903" t="inlineStr">
        <is>
          <t>VÄSTERVIK</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14068-2025</t>
        </is>
      </c>
      <c r="B1904" s="1" t="n">
        <v>45740</v>
      </c>
      <c r="C1904" s="1" t="n">
        <v>45801</v>
      </c>
      <c r="D1904" t="inlineStr">
        <is>
          <t>KALMAR LÄN</t>
        </is>
      </c>
      <c r="E1904" t="inlineStr">
        <is>
          <t>VÄSTERVIK</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14075-2025</t>
        </is>
      </c>
      <c r="B1905" s="1" t="n">
        <v>45740</v>
      </c>
      <c r="C1905" s="1" t="n">
        <v>45801</v>
      </c>
      <c r="D1905" t="inlineStr">
        <is>
          <t>KALMAR LÄN</t>
        </is>
      </c>
      <c r="E1905" t="inlineStr">
        <is>
          <t>VÄSTERVIK</t>
        </is>
      </c>
      <c r="F1905" t="inlineStr">
        <is>
          <t>Sveaskog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14685-2025</t>
        </is>
      </c>
      <c r="B1906" s="1" t="n">
        <v>45742</v>
      </c>
      <c r="C1906" s="1" t="n">
        <v>45801</v>
      </c>
      <c r="D1906" t="inlineStr">
        <is>
          <t>KALMAR LÄN</t>
        </is>
      </c>
      <c r="E1906" t="inlineStr">
        <is>
          <t>VÄSTERVIK</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14811-2025</t>
        </is>
      </c>
      <c r="B1907" s="1" t="n">
        <v>45743</v>
      </c>
      <c r="C1907" s="1" t="n">
        <v>45801</v>
      </c>
      <c r="D1907" t="inlineStr">
        <is>
          <t>KALMAR LÄN</t>
        </is>
      </c>
      <c r="E1907" t="inlineStr">
        <is>
          <t>VÄSTERVIK</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15021-2025</t>
        </is>
      </c>
      <c r="B1908" s="1" t="n">
        <v>45743</v>
      </c>
      <c r="C1908" s="1" t="n">
        <v>45801</v>
      </c>
      <c r="D1908" t="inlineStr">
        <is>
          <t>KALMAR LÄN</t>
        </is>
      </c>
      <c r="E1908" t="inlineStr">
        <is>
          <t>VÄSTERVIK</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15451-2025</t>
        </is>
      </c>
      <c r="B1909" s="1" t="n">
        <v>45747</v>
      </c>
      <c r="C1909" s="1" t="n">
        <v>45801</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15444-2025</t>
        </is>
      </c>
      <c r="B1910" s="1" t="n">
        <v>45747</v>
      </c>
      <c r="C1910" s="1" t="n">
        <v>45801</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15440-2025</t>
        </is>
      </c>
      <c r="B1911" s="1" t="n">
        <v>45747</v>
      </c>
      <c r="C1911" s="1" t="n">
        <v>45801</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15379-2025</t>
        </is>
      </c>
      <c r="B1912" s="1" t="n">
        <v>45747</v>
      </c>
      <c r="C1912" s="1" t="n">
        <v>45801</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15524-2025</t>
        </is>
      </c>
      <c r="B1913" s="1" t="n">
        <v>45747</v>
      </c>
      <c r="C1913" s="1" t="n">
        <v>45801</v>
      </c>
      <c r="D1913" t="inlineStr">
        <is>
          <t>KALMAR LÄN</t>
        </is>
      </c>
      <c r="E1913" t="inlineStr">
        <is>
          <t>VÄSTERVIK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15851-2025</t>
        </is>
      </c>
      <c r="B1914" s="1" t="n">
        <v>45748</v>
      </c>
      <c r="C1914" s="1" t="n">
        <v>45801</v>
      </c>
      <c r="D1914" t="inlineStr">
        <is>
          <t>KALMAR LÄN</t>
        </is>
      </c>
      <c r="E1914" t="inlineStr">
        <is>
          <t>VÄSTERVIK</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16080-2025</t>
        </is>
      </c>
      <c r="B1915" s="1" t="n">
        <v>45749</v>
      </c>
      <c r="C1915" s="1" t="n">
        <v>45801</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16841-2025</t>
        </is>
      </c>
      <c r="B1916" s="1" t="n">
        <v>45754</v>
      </c>
      <c r="C1916" s="1" t="n">
        <v>45801</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16790-2025</t>
        </is>
      </c>
      <c r="B1917" s="1" t="n">
        <v>45754</v>
      </c>
      <c r="C1917" s="1" t="n">
        <v>45801</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16848-2025</t>
        </is>
      </c>
      <c r="B1918" s="1" t="n">
        <v>45754</v>
      </c>
      <c r="C1918" s="1" t="n">
        <v>45801</v>
      </c>
      <c r="D1918" t="inlineStr">
        <is>
          <t>KALMAR LÄN</t>
        </is>
      </c>
      <c r="E1918" t="inlineStr">
        <is>
          <t>VÄSTERVIK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16686-2025</t>
        </is>
      </c>
      <c r="B1919" s="1" t="n">
        <v>45754</v>
      </c>
      <c r="C1919" s="1" t="n">
        <v>45801</v>
      </c>
      <c r="D1919" t="inlineStr">
        <is>
          <t>KALMAR LÄN</t>
        </is>
      </c>
      <c r="E1919" t="inlineStr">
        <is>
          <t>VÄSTERVIK</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16847-2025</t>
        </is>
      </c>
      <c r="B1920" s="1" t="n">
        <v>45754</v>
      </c>
      <c r="C1920" s="1" t="n">
        <v>45801</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16680-2025</t>
        </is>
      </c>
      <c r="B1921" s="1" t="n">
        <v>45754</v>
      </c>
      <c r="C1921" s="1" t="n">
        <v>45801</v>
      </c>
      <c r="D1921" t="inlineStr">
        <is>
          <t>KALMAR LÄN</t>
        </is>
      </c>
      <c r="E1921" t="inlineStr">
        <is>
          <t>VÄSTERVIK</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16683-2025</t>
        </is>
      </c>
      <c r="B1922" s="1" t="n">
        <v>45754</v>
      </c>
      <c r="C1922" s="1" t="n">
        <v>45801</v>
      </c>
      <c r="D1922" t="inlineStr">
        <is>
          <t>KALMAR LÄN</t>
        </is>
      </c>
      <c r="E1922" t="inlineStr">
        <is>
          <t>VÄSTERVIK</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16846-2025</t>
        </is>
      </c>
      <c r="B1923" s="1" t="n">
        <v>45754</v>
      </c>
      <c r="C1923" s="1" t="n">
        <v>45801</v>
      </c>
      <c r="D1923" t="inlineStr">
        <is>
          <t>KALMAR LÄN</t>
        </is>
      </c>
      <c r="E1923" t="inlineStr">
        <is>
          <t>VÄSTERVIK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16689-2025</t>
        </is>
      </c>
      <c r="B1924" s="1" t="n">
        <v>45754</v>
      </c>
      <c r="C1924" s="1" t="n">
        <v>45801</v>
      </c>
      <c r="D1924" t="inlineStr">
        <is>
          <t>KALMAR LÄN</t>
        </is>
      </c>
      <c r="E1924" t="inlineStr">
        <is>
          <t>VÄSTERVIK</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16693-2025</t>
        </is>
      </c>
      <c r="B1925" s="1" t="n">
        <v>45754</v>
      </c>
      <c r="C1925" s="1" t="n">
        <v>45801</v>
      </c>
      <c r="D1925" t="inlineStr">
        <is>
          <t>KALMAR LÄN</t>
        </is>
      </c>
      <c r="E1925" t="inlineStr">
        <is>
          <t>VÄSTERVIK</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16691-2025</t>
        </is>
      </c>
      <c r="B1926" s="1" t="n">
        <v>45754</v>
      </c>
      <c r="C1926" s="1" t="n">
        <v>45801</v>
      </c>
      <c r="D1926" t="inlineStr">
        <is>
          <t>KALMAR LÄN</t>
        </is>
      </c>
      <c r="E1926" t="inlineStr">
        <is>
          <t>VÄSTERVIK</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16692-2025</t>
        </is>
      </c>
      <c r="B1927" s="1" t="n">
        <v>45754</v>
      </c>
      <c r="C1927" s="1" t="n">
        <v>45801</v>
      </c>
      <c r="D1927" t="inlineStr">
        <is>
          <t>KALMAR LÄN</t>
        </is>
      </c>
      <c r="E1927" t="inlineStr">
        <is>
          <t>VÄSTERVIK</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16839-2025</t>
        </is>
      </c>
      <c r="B1928" s="1" t="n">
        <v>45754</v>
      </c>
      <c r="C1928" s="1" t="n">
        <v>45801</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17054-2025</t>
        </is>
      </c>
      <c r="B1929" s="1" t="n">
        <v>45755</v>
      </c>
      <c r="C1929" s="1" t="n">
        <v>45801</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17052-2025</t>
        </is>
      </c>
      <c r="B1930" s="1" t="n">
        <v>45755</v>
      </c>
      <c r="C1930" s="1" t="n">
        <v>45801</v>
      </c>
      <c r="D1930" t="inlineStr">
        <is>
          <t>KALMAR LÄN</t>
        </is>
      </c>
      <c r="E1930" t="inlineStr">
        <is>
          <t>VÄSTERVIK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18728-2025</t>
        </is>
      </c>
      <c r="B1931" s="1" t="n">
        <v>45763</v>
      </c>
      <c r="C1931" s="1" t="n">
        <v>45801</v>
      </c>
      <c r="D1931" t="inlineStr">
        <is>
          <t>KALMAR LÄN</t>
        </is>
      </c>
      <c r="E1931" t="inlineStr">
        <is>
          <t>VÄSTERVIK</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18880-2025</t>
        </is>
      </c>
      <c r="B1932" s="1" t="n">
        <v>45764</v>
      </c>
      <c r="C1932" s="1" t="n">
        <v>45801</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18884-2025</t>
        </is>
      </c>
      <c r="B1933" s="1" t="n">
        <v>45764</v>
      </c>
      <c r="C1933" s="1" t="n">
        <v>45801</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19608-2025</t>
        </is>
      </c>
      <c r="B1934" s="1" t="n">
        <v>45770</v>
      </c>
      <c r="C1934" s="1" t="n">
        <v>45801</v>
      </c>
      <c r="D1934" t="inlineStr">
        <is>
          <t>KALMAR LÄN</t>
        </is>
      </c>
      <c r="E1934" t="inlineStr">
        <is>
          <t>VÄSTERVIK</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19950-2025</t>
        </is>
      </c>
      <c r="B1935" s="1" t="n">
        <v>45771</v>
      </c>
      <c r="C1935" s="1" t="n">
        <v>45801</v>
      </c>
      <c r="D1935" t="inlineStr">
        <is>
          <t>KALMAR LÄN</t>
        </is>
      </c>
      <c r="E1935" t="inlineStr">
        <is>
          <t>VÄSTERVIK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19694-2025</t>
        </is>
      </c>
      <c r="B1936" s="1" t="n">
        <v>45771</v>
      </c>
      <c r="C1936" s="1" t="n">
        <v>45801</v>
      </c>
      <c r="D1936" t="inlineStr">
        <is>
          <t>KALMAR LÄN</t>
        </is>
      </c>
      <c r="E1936" t="inlineStr">
        <is>
          <t>VÄSTERVIK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20483-2025</t>
        </is>
      </c>
      <c r="B1937" s="1" t="n">
        <v>45775</v>
      </c>
      <c r="C1937" s="1" t="n">
        <v>45801</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21015-2025</t>
        </is>
      </c>
      <c r="B1938" s="1" t="n">
        <v>45777</v>
      </c>
      <c r="C1938" s="1" t="n">
        <v>45801</v>
      </c>
      <c r="D1938" t="inlineStr">
        <is>
          <t>KALMAR LÄN</t>
        </is>
      </c>
      <c r="E1938" t="inlineStr">
        <is>
          <t>VÄSTERVIK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21503-2025</t>
        </is>
      </c>
      <c r="B1939" s="1" t="n">
        <v>45782</v>
      </c>
      <c r="C1939" s="1" t="n">
        <v>45801</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21657-2025</t>
        </is>
      </c>
      <c r="B1940" s="1" t="n">
        <v>45783</v>
      </c>
      <c r="C1940" s="1" t="n">
        <v>45801</v>
      </c>
      <c r="D1940" t="inlineStr">
        <is>
          <t>KALMAR LÄN</t>
        </is>
      </c>
      <c r="E1940" t="inlineStr">
        <is>
          <t>VÄSTERVIK</t>
        </is>
      </c>
      <c r="F1940" t="inlineStr">
        <is>
          <t>Sveaskog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21660-2025</t>
        </is>
      </c>
      <c r="B1941" s="1" t="n">
        <v>45783</v>
      </c>
      <c r="C1941" s="1" t="n">
        <v>45801</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21661-2025</t>
        </is>
      </c>
      <c r="B1942" s="1" t="n">
        <v>45783</v>
      </c>
      <c r="C1942" s="1" t="n">
        <v>45801</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21658-2025</t>
        </is>
      </c>
      <c r="B1943" s="1" t="n">
        <v>45783</v>
      </c>
      <c r="C1943" s="1" t="n">
        <v>45801</v>
      </c>
      <c r="D1943" t="inlineStr">
        <is>
          <t>KALMAR LÄN</t>
        </is>
      </c>
      <c r="E1943" t="inlineStr">
        <is>
          <t>VÄSTERVIK</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21991-2025</t>
        </is>
      </c>
      <c r="B1944" s="1" t="n">
        <v>45784</v>
      </c>
      <c r="C1944" s="1" t="n">
        <v>45801</v>
      </c>
      <c r="D1944" t="inlineStr">
        <is>
          <t>KALMAR LÄN</t>
        </is>
      </c>
      <c r="E1944" t="inlineStr">
        <is>
          <t>VÄSTERVIK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23024-2025</t>
        </is>
      </c>
      <c r="B1945" s="1" t="n">
        <v>45790</v>
      </c>
      <c r="C1945" s="1" t="n">
        <v>45801</v>
      </c>
      <c r="D1945" t="inlineStr">
        <is>
          <t>KALMAR LÄN</t>
        </is>
      </c>
      <c r="E1945" t="inlineStr">
        <is>
          <t>VÄSTERVIK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23033-2025</t>
        </is>
      </c>
      <c r="B1946" s="1" t="n">
        <v>45790</v>
      </c>
      <c r="C1946" s="1" t="n">
        <v>45801</v>
      </c>
      <c r="D1946" t="inlineStr">
        <is>
          <t>KALMAR LÄN</t>
        </is>
      </c>
      <c r="E1946" t="inlineStr">
        <is>
          <t>VÄSTERVIK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23042-2025</t>
        </is>
      </c>
      <c r="B1947" s="1" t="n">
        <v>45790</v>
      </c>
      <c r="C1947" s="1" t="n">
        <v>45801</v>
      </c>
      <c r="D1947" t="inlineStr">
        <is>
          <t>KALMAR LÄN</t>
        </is>
      </c>
      <c r="E1947" t="inlineStr">
        <is>
          <t>VÄSTERVIK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22891-2025</t>
        </is>
      </c>
      <c r="B1948" s="1" t="n">
        <v>45790</v>
      </c>
      <c r="C1948" s="1" t="n">
        <v>45801</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22893-2025</t>
        </is>
      </c>
      <c r="B1949" s="1" t="n">
        <v>45790</v>
      </c>
      <c r="C1949" s="1" t="n">
        <v>45801</v>
      </c>
      <c r="D1949" t="inlineStr">
        <is>
          <t>KALMAR LÄN</t>
        </is>
      </c>
      <c r="E1949" t="inlineStr">
        <is>
          <t>VÄSTERVIK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23022-2025</t>
        </is>
      </c>
      <c r="B1950" s="1" t="n">
        <v>45790</v>
      </c>
      <c r="C1950" s="1" t="n">
        <v>45801</v>
      </c>
      <c r="D1950" t="inlineStr">
        <is>
          <t>KALMAR LÄN</t>
        </is>
      </c>
      <c r="E1950" t="inlineStr">
        <is>
          <t>VÄSTERVIK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23148-2025</t>
        </is>
      </c>
      <c r="B1951" s="1" t="n">
        <v>45791</v>
      </c>
      <c r="C1951" s="1" t="n">
        <v>45801</v>
      </c>
      <c r="D1951" t="inlineStr">
        <is>
          <t>KALMAR LÄN</t>
        </is>
      </c>
      <c r="E1951" t="inlineStr">
        <is>
          <t>VÄSTERVIK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45801</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23706-2025</t>
        </is>
      </c>
      <c r="B1953" s="1" t="n">
        <v>45793</v>
      </c>
      <c r="C1953" s="1" t="n">
        <v>45801</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23859-2025</t>
        </is>
      </c>
      <c r="B1954" s="1" t="n">
        <v>45793</v>
      </c>
      <c r="C1954" s="1" t="n">
        <v>45801</v>
      </c>
      <c r="D1954" t="inlineStr">
        <is>
          <t>KALMAR LÄN</t>
        </is>
      </c>
      <c r="E1954" t="inlineStr">
        <is>
          <t>VÄSTERVIK</t>
        </is>
      </c>
      <c r="F1954" t="inlineStr">
        <is>
          <t>Holmen skog AB</t>
        </is>
      </c>
      <c r="G1954" t="n">
        <v>17.7</v>
      </c>
      <c r="H1954" t="n">
        <v>0</v>
      </c>
      <c r="I1954" t="n">
        <v>0</v>
      </c>
      <c r="J1954" t="n">
        <v>0</v>
      </c>
      <c r="K1954" t="n">
        <v>0</v>
      </c>
      <c r="L1954" t="n">
        <v>0</v>
      </c>
      <c r="M1954" t="n">
        <v>0</v>
      </c>
      <c r="N1954" t="n">
        <v>0</v>
      </c>
      <c r="O1954" t="n">
        <v>0</v>
      </c>
      <c r="P1954" t="n">
        <v>0</v>
      </c>
      <c r="Q1954" t="n">
        <v>0</v>
      </c>
      <c r="R1954" s="2" t="inlineStr"/>
    </row>
    <row r="1955" ht="15" customHeight="1">
      <c r="A1955" t="inlineStr">
        <is>
          <t>A 23745-2025</t>
        </is>
      </c>
      <c r="B1955" s="1" t="n">
        <v>45793</v>
      </c>
      <c r="C1955" s="1" t="n">
        <v>45801</v>
      </c>
      <c r="D1955" t="inlineStr">
        <is>
          <t>KALMAR LÄN</t>
        </is>
      </c>
      <c r="E1955" t="inlineStr">
        <is>
          <t>VÄSTERVIK</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24212-2025</t>
        </is>
      </c>
      <c r="B1956" s="1" t="n">
        <v>45797</v>
      </c>
      <c r="C1956" s="1" t="n">
        <v>45801</v>
      </c>
      <c r="D1956" t="inlineStr">
        <is>
          <t>KALMAR LÄN</t>
        </is>
      </c>
      <c r="E1956" t="inlineStr">
        <is>
          <t>VÄSTERVIK</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24819-2025</t>
        </is>
      </c>
      <c r="B1957" s="1" t="n">
        <v>45799</v>
      </c>
      <c r="C1957" s="1" t="n">
        <v>45801</v>
      </c>
      <c r="D1957" t="inlineStr">
        <is>
          <t>KALMAR LÄN</t>
        </is>
      </c>
      <c r="E1957" t="inlineStr">
        <is>
          <t>VÄSTERVIK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24808-2025</t>
        </is>
      </c>
      <c r="B1958" s="1" t="n">
        <v>45799</v>
      </c>
      <c r="C1958" s="1" t="n">
        <v>45801</v>
      </c>
      <c r="D1958" t="inlineStr">
        <is>
          <t>KALMAR LÄN</t>
        </is>
      </c>
      <c r="E1958" t="inlineStr">
        <is>
          <t>VÄSTERVIK</t>
        </is>
      </c>
      <c r="G1958" t="n">
        <v>2.9</v>
      </c>
      <c r="H1958" t="n">
        <v>0</v>
      </c>
      <c r="I1958" t="n">
        <v>0</v>
      </c>
      <c r="J1958" t="n">
        <v>0</v>
      </c>
      <c r="K1958" t="n">
        <v>0</v>
      </c>
      <c r="L1958" t="n">
        <v>0</v>
      </c>
      <c r="M1958" t="n">
        <v>0</v>
      </c>
      <c r="N1958" t="n">
        <v>0</v>
      </c>
      <c r="O1958" t="n">
        <v>0</v>
      </c>
      <c r="P1958" t="n">
        <v>0</v>
      </c>
      <c r="Q1958" t="n">
        <v>0</v>
      </c>
      <c r="R1958" s="2" t="inlineStr"/>
    </row>
    <row r="1959">
      <c r="A1959" t="inlineStr">
        <is>
          <t>A 24839-2025</t>
        </is>
      </c>
      <c r="B1959" s="1" t="n">
        <v>45799</v>
      </c>
      <c r="C1959" s="1" t="n">
        <v>45801</v>
      </c>
      <c r="D1959" t="inlineStr">
        <is>
          <t>KALMAR LÄN</t>
        </is>
      </c>
      <c r="E1959" t="inlineStr">
        <is>
          <t>VÄSTERVIK</t>
        </is>
      </c>
      <c r="F1959" t="inlineStr">
        <is>
          <t>Holmen skog AB</t>
        </is>
      </c>
      <c r="G1959" t="n">
        <v>8.300000000000001</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2025-05-24T18:25:24Z</dcterms:created>
  <dcterms:modified xmlns:dcterms="http://purl.org/dc/terms/" xmlns:xsi="http://www.w3.org/2001/XMLSchema-instance" xsi:type="dcterms:W3CDTF">2025-05-24T18:25:26Z</dcterms:modified>
</cp:coreProperties>
</file>