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45851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45851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45851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45851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45851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45851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45851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45851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45851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45851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45851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45851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45851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45851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45851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45851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45851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45851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45851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45851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45851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45851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45851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45851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45851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45851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45851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45851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45851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45851</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45851</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45851</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45851</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45851</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45851</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45851</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45851</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45851</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45851</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45851</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45851</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45851</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45851</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45851</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45851</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45851</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45851</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45851</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45851</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45851</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45851</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45851</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45851</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45851</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45851</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45851</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45851</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45851</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45851</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45851</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45851</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45851</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45851</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45851</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45851</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45851</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45851</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45851</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45851</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45851</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45851</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45851</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45851</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45851</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45851</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45851</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45851</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45851</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45851</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45851</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45851</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45851</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45851</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45851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45851</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45851</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45851</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45851</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45851</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45851</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45851</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45851</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45851</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45851</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45851</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45851</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45851</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45851</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45851</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45851</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45851</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45851</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45851</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45851</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45851</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45851</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45851</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45851</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45851</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45851</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45851</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45851</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45851</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45851</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45851</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45851</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45851</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45851</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45851</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45851</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45851</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45851</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45851</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45851</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45851</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45851</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45851</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45851</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45851</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45851</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45851</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45851</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45851</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45851</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45851</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45851</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45851</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45851</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45851</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45851</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45851</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45851</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45851</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45851</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45851</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45851</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45851</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45851</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45851</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45851</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45851</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45851</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45851</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45851</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45851</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45851</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45851</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45851</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45851</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45851</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45851</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31854-2025</t>
        </is>
      </c>
      <c r="B163" s="1" t="n">
        <v>45834</v>
      </c>
      <c r="C163" s="1" t="n">
        <v>45851</v>
      </c>
      <c r="D163" t="inlineStr">
        <is>
          <t>KALMAR LÄN</t>
        </is>
      </c>
      <c r="E163" t="inlineStr">
        <is>
          <t>VÄSTERVIK</t>
        </is>
      </c>
      <c r="F163" t="inlineStr">
        <is>
          <t>Holmen skog AB</t>
        </is>
      </c>
      <c r="G163" t="n">
        <v>4.3</v>
      </c>
      <c r="H163" t="n">
        <v>2</v>
      </c>
      <c r="I163" t="n">
        <v>1</v>
      </c>
      <c r="J163" t="n">
        <v>1</v>
      </c>
      <c r="K163" t="n">
        <v>1</v>
      </c>
      <c r="L163" t="n">
        <v>0</v>
      </c>
      <c r="M163" t="n">
        <v>0</v>
      </c>
      <c r="N163" t="n">
        <v>0</v>
      </c>
      <c r="O163" t="n">
        <v>2</v>
      </c>
      <c r="P163" t="n">
        <v>1</v>
      </c>
      <c r="Q163" t="n">
        <v>3</v>
      </c>
      <c r="R163" s="2" t="inlineStr">
        <is>
          <t>Knärot
Talltita
Grönpyrola</t>
        </is>
      </c>
      <c r="S163">
        <f>HYPERLINK("https://klasma.github.io/Logging_080883/artfynd/A 31854-2025 artfynd.xlsx", "A 31854-2025")</f>
        <v/>
      </c>
      <c r="T163">
        <f>HYPERLINK("https://klasma.github.io/Logging_080883/kartor/A 31854-2025 karta.png", "A 31854-2025")</f>
        <v/>
      </c>
      <c r="U163">
        <f>HYPERLINK("https://klasma.github.io/Logging_080883/knärot/A 31854-2025 karta knärot.png", "A 31854-2025")</f>
        <v/>
      </c>
      <c r="V163">
        <f>HYPERLINK("https://klasma.github.io/Logging_080883/klagomål/A 31854-2025 FSC-klagomål.docx", "A 31854-2025")</f>
        <v/>
      </c>
      <c r="W163">
        <f>HYPERLINK("https://klasma.github.io/Logging_080883/klagomålsmail/A 31854-2025 FSC-klagomål mail.docx", "A 31854-2025")</f>
        <v/>
      </c>
      <c r="X163">
        <f>HYPERLINK("https://klasma.github.io/Logging_080883/tillsyn/A 31854-2025 tillsynsbegäran.docx", "A 31854-2025")</f>
        <v/>
      </c>
      <c r="Y163">
        <f>HYPERLINK("https://klasma.github.io/Logging_080883/tillsynsmail/A 31854-2025 tillsynsbegäran mail.docx", "A 31854-2025")</f>
        <v/>
      </c>
      <c r="Z163">
        <f>HYPERLINK("https://klasma.github.io/Logging_080883/fåglar/A 31854-2025 prioriterade fågelarter.docx", "A 31854-2025")</f>
        <v/>
      </c>
    </row>
    <row r="164" ht="15" customHeight="1">
      <c r="A164" t="inlineStr">
        <is>
          <t>A 34638-2025</t>
        </is>
      </c>
      <c r="B164" s="1" t="n">
        <v>45848</v>
      </c>
      <c r="C164" s="1" t="n">
        <v>45851</v>
      </c>
      <c r="D164" t="inlineStr">
        <is>
          <t>KALMAR LÄN</t>
        </is>
      </c>
      <c r="E164" t="inlineStr">
        <is>
          <t>VÄSTERVIK</t>
        </is>
      </c>
      <c r="G164" t="n">
        <v>1.2</v>
      </c>
      <c r="H164" t="n">
        <v>1</v>
      </c>
      <c r="I164" t="n">
        <v>2</v>
      </c>
      <c r="J164" t="n">
        <v>0</v>
      </c>
      <c r="K164" t="n">
        <v>1</v>
      </c>
      <c r="L164" t="n">
        <v>0</v>
      </c>
      <c r="M164" t="n">
        <v>0</v>
      </c>
      <c r="N164" t="n">
        <v>0</v>
      </c>
      <c r="O164" t="n">
        <v>1</v>
      </c>
      <c r="P164" t="n">
        <v>1</v>
      </c>
      <c r="Q164" t="n">
        <v>3</v>
      </c>
      <c r="R164" s="2" t="inlineStr">
        <is>
          <t>Knärot
Barkticka
Blomskägglav</t>
        </is>
      </c>
      <c r="S164">
        <f>HYPERLINK("https://klasma.github.io/Logging_080883/artfynd/A 34638-2025 artfynd.xlsx", "A 34638-2025")</f>
        <v/>
      </c>
      <c r="T164">
        <f>HYPERLINK("https://klasma.github.io/Logging_080883/kartor/A 34638-2025 karta.png", "A 34638-2025")</f>
        <v/>
      </c>
      <c r="U164">
        <f>HYPERLINK("https://klasma.github.io/Logging_080883/knärot/A 34638-2025 karta knärot.png", "A 34638-2025")</f>
        <v/>
      </c>
      <c r="V164">
        <f>HYPERLINK("https://klasma.github.io/Logging_080883/klagomål/A 34638-2025 FSC-klagomål.docx", "A 34638-2025")</f>
        <v/>
      </c>
      <c r="W164">
        <f>HYPERLINK("https://klasma.github.io/Logging_080883/klagomålsmail/A 34638-2025 FSC-klagomål mail.docx", "A 34638-2025")</f>
        <v/>
      </c>
      <c r="X164">
        <f>HYPERLINK("https://klasma.github.io/Logging_080883/tillsyn/A 34638-2025 tillsynsbegäran.docx", "A 34638-2025")</f>
        <v/>
      </c>
      <c r="Y164">
        <f>HYPERLINK("https://klasma.github.io/Logging_080883/tillsynsmail/A 34638-2025 tillsynsbegäran mail.docx", "A 34638-2025")</f>
        <v/>
      </c>
    </row>
    <row r="165" ht="15" customHeight="1">
      <c r="A165" t="inlineStr">
        <is>
          <t>A 62128-2019</t>
        </is>
      </c>
      <c r="B165" s="1" t="n">
        <v>43782</v>
      </c>
      <c r="C165" s="1" t="n">
        <v>45851</v>
      </c>
      <c r="D165" t="inlineStr">
        <is>
          <t>KALMAR LÄN</t>
        </is>
      </c>
      <c r="E165" t="inlineStr">
        <is>
          <t>VÄSTERVIK</t>
        </is>
      </c>
      <c r="G165" t="n">
        <v>7.5</v>
      </c>
      <c r="H165" t="n">
        <v>0</v>
      </c>
      <c r="I165" t="n">
        <v>1</v>
      </c>
      <c r="J165" t="n">
        <v>1</v>
      </c>
      <c r="K165" t="n">
        <v>0</v>
      </c>
      <c r="L165" t="n">
        <v>0</v>
      </c>
      <c r="M165" t="n">
        <v>0</v>
      </c>
      <c r="N165" t="n">
        <v>0</v>
      </c>
      <c r="O165" t="n">
        <v>1</v>
      </c>
      <c r="P165" t="n">
        <v>0</v>
      </c>
      <c r="Q165" t="n">
        <v>2</v>
      </c>
      <c r="R165" s="2" t="inlineStr">
        <is>
          <t>Ullticka
Kattfotslav</t>
        </is>
      </c>
      <c r="S165">
        <f>HYPERLINK("https://klasma.github.io/Logging_0883/artfynd/A 62128-2019 artfynd.xlsx", "A 62128-2019")</f>
        <v/>
      </c>
      <c r="T165">
        <f>HYPERLINK("https://klasma.github.io/Logging_0883/kartor/A 62128-2019 karta.png", "A 62128-2019")</f>
        <v/>
      </c>
      <c r="V165">
        <f>HYPERLINK("https://klasma.github.io/Logging_0883/klagomål/A 62128-2019 FSC-klagomål.docx", "A 62128-2019")</f>
        <v/>
      </c>
      <c r="W165">
        <f>HYPERLINK("https://klasma.github.io/Logging_0883/klagomålsmail/A 62128-2019 FSC-klagomål mail.docx", "A 62128-2019")</f>
        <v/>
      </c>
      <c r="X165">
        <f>HYPERLINK("https://klasma.github.io/Logging_0883/tillsyn/A 62128-2019 tillsynsbegäran.docx", "A 62128-2019")</f>
        <v/>
      </c>
      <c r="Y165">
        <f>HYPERLINK("https://klasma.github.io/Logging_0883/tillsynsmail/A 62128-2019 tillsynsbegäran mail.docx", "A 62128-2019")</f>
        <v/>
      </c>
    </row>
    <row r="166" ht="15" customHeight="1">
      <c r="A166" t="inlineStr">
        <is>
          <t>A 56180-2020</t>
        </is>
      </c>
      <c r="B166" s="1" t="n">
        <v>44133</v>
      </c>
      <c r="C166" s="1" t="n">
        <v>45851</v>
      </c>
      <c r="D166" t="inlineStr">
        <is>
          <t>KALMAR LÄN</t>
        </is>
      </c>
      <c r="E166" t="inlineStr">
        <is>
          <t>VÄSTERVIK</t>
        </is>
      </c>
      <c r="G166" t="n">
        <v>9.199999999999999</v>
      </c>
      <c r="H166" t="n">
        <v>2</v>
      </c>
      <c r="I166" t="n">
        <v>0</v>
      </c>
      <c r="J166" t="n">
        <v>0</v>
      </c>
      <c r="K166" t="n">
        <v>1</v>
      </c>
      <c r="L166" t="n">
        <v>0</v>
      </c>
      <c r="M166" t="n">
        <v>0</v>
      </c>
      <c r="N166" t="n">
        <v>0</v>
      </c>
      <c r="O166" t="n">
        <v>1</v>
      </c>
      <c r="P166" t="n">
        <v>1</v>
      </c>
      <c r="Q166" t="n">
        <v>2</v>
      </c>
      <c r="R166" s="2" t="inlineStr">
        <is>
          <t>Hasselsnok
Mattlummer</t>
        </is>
      </c>
      <c r="S166">
        <f>HYPERLINK("https://klasma.github.io/Logging_0883/artfynd/A 56180-2020 artfynd.xlsx", "A 56180-2020")</f>
        <v/>
      </c>
      <c r="T166">
        <f>HYPERLINK("https://klasma.github.io/Logging_0883/kartor/A 56180-2020 karta.png", "A 56180-2020")</f>
        <v/>
      </c>
      <c r="V166">
        <f>HYPERLINK("https://klasma.github.io/Logging_0883/klagomål/A 56180-2020 FSC-klagomål.docx", "A 56180-2020")</f>
        <v/>
      </c>
      <c r="W166">
        <f>HYPERLINK("https://klasma.github.io/Logging_0883/klagomålsmail/A 56180-2020 FSC-klagomål mail.docx", "A 56180-2020")</f>
        <v/>
      </c>
      <c r="X166">
        <f>HYPERLINK("https://klasma.github.io/Logging_0883/tillsyn/A 56180-2020 tillsynsbegäran.docx", "A 56180-2020")</f>
        <v/>
      </c>
      <c r="Y166">
        <f>HYPERLINK("https://klasma.github.io/Logging_0883/tillsynsmail/A 56180-2020 tillsynsbegäran mail.docx", "A 56180-2020")</f>
        <v/>
      </c>
    </row>
    <row r="167" ht="15" customHeight="1">
      <c r="A167" t="inlineStr">
        <is>
          <t>A 1955-2021</t>
        </is>
      </c>
      <c r="B167" s="1" t="n">
        <v>44210</v>
      </c>
      <c r="C167" s="1" t="n">
        <v>45851</v>
      </c>
      <c r="D167" t="inlineStr">
        <is>
          <t>KALMAR LÄN</t>
        </is>
      </c>
      <c r="E167" t="inlineStr">
        <is>
          <t>VÄSTERVIK</t>
        </is>
      </c>
      <c r="G167" t="n">
        <v>5.3</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1955-2021 artfynd.xlsx", "A 1955-2021")</f>
        <v/>
      </c>
      <c r="T167">
        <f>HYPERLINK("https://klasma.github.io/Logging_0883/kartor/A 1955-2021 karta.png", "A 1955-2021")</f>
        <v/>
      </c>
      <c r="V167">
        <f>HYPERLINK("https://klasma.github.io/Logging_0883/klagomål/A 1955-2021 FSC-klagomål.docx", "A 1955-2021")</f>
        <v/>
      </c>
      <c r="W167">
        <f>HYPERLINK("https://klasma.github.io/Logging_0883/klagomålsmail/A 1955-2021 FSC-klagomål mail.docx", "A 1955-2021")</f>
        <v/>
      </c>
      <c r="X167">
        <f>HYPERLINK("https://klasma.github.io/Logging_0883/tillsyn/A 1955-2021 tillsynsbegäran.docx", "A 1955-2021")</f>
        <v/>
      </c>
      <c r="Y167">
        <f>HYPERLINK("https://klasma.github.io/Logging_0883/tillsynsmail/A 1955-2021 tillsynsbegäran mail.docx", "A 1955-2021")</f>
        <v/>
      </c>
      <c r="Z167">
        <f>HYPERLINK("https://klasma.github.io/Logging_0883/fåglar/A 1955-2021 prioriterade fågelarter.docx", "A 1955-2021")</f>
        <v/>
      </c>
    </row>
    <row r="168" ht="15" customHeight="1">
      <c r="A168" t="inlineStr">
        <is>
          <t>A 21665-2021</t>
        </is>
      </c>
      <c r="B168" s="1" t="n">
        <v>44322</v>
      </c>
      <c r="C168" s="1" t="n">
        <v>45851</v>
      </c>
      <c r="D168" t="inlineStr">
        <is>
          <t>KALMAR LÄN</t>
        </is>
      </c>
      <c r="E168" t="inlineStr">
        <is>
          <t>VÄSTERVIK</t>
        </is>
      </c>
      <c r="G168" t="n">
        <v>18.9</v>
      </c>
      <c r="H168" t="n">
        <v>0</v>
      </c>
      <c r="I168" t="n">
        <v>0</v>
      </c>
      <c r="J168" t="n">
        <v>2</v>
      </c>
      <c r="K168" t="n">
        <v>0</v>
      </c>
      <c r="L168" t="n">
        <v>0</v>
      </c>
      <c r="M168" t="n">
        <v>0</v>
      </c>
      <c r="N168" t="n">
        <v>0</v>
      </c>
      <c r="O168" t="n">
        <v>2</v>
      </c>
      <c r="P168" t="n">
        <v>0</v>
      </c>
      <c r="Q168" t="n">
        <v>2</v>
      </c>
      <c r="R168" s="2" t="inlineStr">
        <is>
          <t>Klubbsprötad bastardsvärmare
Smalsprötad bastardsvärmare</t>
        </is>
      </c>
      <c r="S168">
        <f>HYPERLINK("https://klasma.github.io/Logging_0883/artfynd/A 21665-2021 artfynd.xlsx", "A 21665-2021")</f>
        <v/>
      </c>
      <c r="T168">
        <f>HYPERLINK("https://klasma.github.io/Logging_0883/kartor/A 21665-2021 karta.png", "A 21665-2021")</f>
        <v/>
      </c>
      <c r="V168">
        <f>HYPERLINK("https://klasma.github.io/Logging_0883/klagomål/A 21665-2021 FSC-klagomål.docx", "A 21665-2021")</f>
        <v/>
      </c>
      <c r="W168">
        <f>HYPERLINK("https://klasma.github.io/Logging_0883/klagomålsmail/A 21665-2021 FSC-klagomål mail.docx", "A 21665-2021")</f>
        <v/>
      </c>
      <c r="X168">
        <f>HYPERLINK("https://klasma.github.io/Logging_0883/tillsyn/A 21665-2021 tillsynsbegäran.docx", "A 21665-2021")</f>
        <v/>
      </c>
      <c r="Y168">
        <f>HYPERLINK("https://klasma.github.io/Logging_0883/tillsynsmail/A 21665-2021 tillsynsbegäran mail.docx", "A 21665-2021")</f>
        <v/>
      </c>
    </row>
    <row r="169" ht="15" customHeight="1">
      <c r="A169" t="inlineStr">
        <is>
          <t>A 25439-2021</t>
        </is>
      </c>
      <c r="B169" s="1" t="n">
        <v>44342</v>
      </c>
      <c r="C169" s="1" t="n">
        <v>45851</v>
      </c>
      <c r="D169" t="inlineStr">
        <is>
          <t>KALMAR LÄN</t>
        </is>
      </c>
      <c r="E169" t="inlineStr">
        <is>
          <t>VÄSTERVIK</t>
        </is>
      </c>
      <c r="F169" t="inlineStr">
        <is>
          <t>Holmen skog AB</t>
        </is>
      </c>
      <c r="G169" t="n">
        <v>2.4</v>
      </c>
      <c r="H169" t="n">
        <v>2</v>
      </c>
      <c r="I169" t="n">
        <v>1</v>
      </c>
      <c r="J169" t="n">
        <v>0</v>
      </c>
      <c r="K169" t="n">
        <v>0</v>
      </c>
      <c r="L169" t="n">
        <v>0</v>
      </c>
      <c r="M169" t="n">
        <v>0</v>
      </c>
      <c r="N169" t="n">
        <v>0</v>
      </c>
      <c r="O169" t="n">
        <v>0</v>
      </c>
      <c r="P169" t="n">
        <v>0</v>
      </c>
      <c r="Q169" t="n">
        <v>2</v>
      </c>
      <c r="R169" s="2" t="inlineStr">
        <is>
          <t>Grön sköldmossa
Röd glada</t>
        </is>
      </c>
      <c r="S169">
        <f>HYPERLINK("https://klasma.github.io/Logging_0883/artfynd/A 25439-2021 artfynd.xlsx", "A 25439-2021")</f>
        <v/>
      </c>
      <c r="T169">
        <f>HYPERLINK("https://klasma.github.io/Logging_0883/kartor/A 25439-2021 karta.png", "A 25439-2021")</f>
        <v/>
      </c>
      <c r="V169">
        <f>HYPERLINK("https://klasma.github.io/Logging_0883/klagomål/A 25439-2021 FSC-klagomål.docx", "A 25439-2021")</f>
        <v/>
      </c>
      <c r="W169">
        <f>HYPERLINK("https://klasma.github.io/Logging_0883/klagomålsmail/A 25439-2021 FSC-klagomål mail.docx", "A 25439-2021")</f>
        <v/>
      </c>
      <c r="X169">
        <f>HYPERLINK("https://klasma.github.io/Logging_0883/tillsyn/A 25439-2021 tillsynsbegäran.docx", "A 25439-2021")</f>
        <v/>
      </c>
      <c r="Y169">
        <f>HYPERLINK("https://klasma.github.io/Logging_0883/tillsynsmail/A 25439-2021 tillsynsbegäran mail.docx", "A 25439-2021")</f>
        <v/>
      </c>
      <c r="Z169">
        <f>HYPERLINK("https://klasma.github.io/Logging_0883/fåglar/A 25439-2021 prioriterade fågelarter.docx", "A 25439-2021")</f>
        <v/>
      </c>
    </row>
    <row r="170" ht="15" customHeight="1">
      <c r="A170" t="inlineStr">
        <is>
          <t>A 44667-2021</t>
        </is>
      </c>
      <c r="B170" s="1" t="n">
        <v>44438</v>
      </c>
      <c r="C170" s="1" t="n">
        <v>45851</v>
      </c>
      <c r="D170" t="inlineStr">
        <is>
          <t>KALMAR LÄN</t>
        </is>
      </c>
      <c r="E170" t="inlineStr">
        <is>
          <t>VÄSTERVIK</t>
        </is>
      </c>
      <c r="G170" t="n">
        <v>1.7</v>
      </c>
      <c r="H170" t="n">
        <v>1</v>
      </c>
      <c r="I170" t="n">
        <v>1</v>
      </c>
      <c r="J170" t="n">
        <v>1</v>
      </c>
      <c r="K170" t="n">
        <v>0</v>
      </c>
      <c r="L170" t="n">
        <v>0</v>
      </c>
      <c r="M170" t="n">
        <v>0</v>
      </c>
      <c r="N170" t="n">
        <v>0</v>
      </c>
      <c r="O170" t="n">
        <v>1</v>
      </c>
      <c r="P170" t="n">
        <v>0</v>
      </c>
      <c r="Q170" t="n">
        <v>2</v>
      </c>
      <c r="R170" s="2" t="inlineStr">
        <is>
          <t>Järpe
Fjällig taggsvamp s.str.</t>
        </is>
      </c>
      <c r="S170">
        <f>HYPERLINK("https://klasma.github.io/Logging_0883/artfynd/A 44667-2021 artfynd.xlsx", "A 44667-2021")</f>
        <v/>
      </c>
      <c r="T170">
        <f>HYPERLINK("https://klasma.github.io/Logging_0883/kartor/A 44667-2021 karta.png", "A 44667-2021")</f>
        <v/>
      </c>
      <c r="V170">
        <f>HYPERLINK("https://klasma.github.io/Logging_0883/klagomål/A 44667-2021 FSC-klagomål.docx", "A 44667-2021")</f>
        <v/>
      </c>
      <c r="W170">
        <f>HYPERLINK("https://klasma.github.io/Logging_0883/klagomålsmail/A 44667-2021 FSC-klagomål mail.docx", "A 44667-2021")</f>
        <v/>
      </c>
      <c r="X170">
        <f>HYPERLINK("https://klasma.github.io/Logging_0883/tillsyn/A 44667-2021 tillsynsbegäran.docx", "A 44667-2021")</f>
        <v/>
      </c>
      <c r="Y170">
        <f>HYPERLINK("https://klasma.github.io/Logging_0883/tillsynsmail/A 44667-2021 tillsynsbegäran mail.docx", "A 44667-2021")</f>
        <v/>
      </c>
      <c r="Z170">
        <f>HYPERLINK("https://klasma.github.io/Logging_0883/fåglar/A 44667-2021 prioriterade fågelarter.docx", "A 44667-2021")</f>
        <v/>
      </c>
    </row>
    <row r="171" ht="15" customHeight="1">
      <c r="A171" t="inlineStr">
        <is>
          <t>A 51833-2021</t>
        </is>
      </c>
      <c r="B171" s="1" t="n">
        <v>44462</v>
      </c>
      <c r="C171" s="1" t="n">
        <v>45851</v>
      </c>
      <c r="D171" t="inlineStr">
        <is>
          <t>KALMAR LÄN</t>
        </is>
      </c>
      <c r="E171" t="inlineStr">
        <is>
          <t>VÄSTERVIK</t>
        </is>
      </c>
      <c r="G171" t="n">
        <v>4</v>
      </c>
      <c r="H171" t="n">
        <v>1</v>
      </c>
      <c r="I171" t="n">
        <v>0</v>
      </c>
      <c r="J171" t="n">
        <v>1</v>
      </c>
      <c r="K171" t="n">
        <v>0</v>
      </c>
      <c r="L171" t="n">
        <v>0</v>
      </c>
      <c r="M171" t="n">
        <v>0</v>
      </c>
      <c r="N171" t="n">
        <v>0</v>
      </c>
      <c r="O171" t="n">
        <v>1</v>
      </c>
      <c r="P171" t="n">
        <v>0</v>
      </c>
      <c r="Q171" t="n">
        <v>2</v>
      </c>
      <c r="R171" s="2" t="inlineStr">
        <is>
          <t>Motaggsvamp
Fläcknycklar</t>
        </is>
      </c>
      <c r="S171">
        <f>HYPERLINK("https://klasma.github.io/Logging_0883/artfynd/A 51833-2021 artfynd.xlsx", "A 51833-2021")</f>
        <v/>
      </c>
      <c r="T171">
        <f>HYPERLINK("https://klasma.github.io/Logging_0883/kartor/A 51833-2021 karta.png", "A 51833-2021")</f>
        <v/>
      </c>
      <c r="V171">
        <f>HYPERLINK("https://klasma.github.io/Logging_0883/klagomål/A 51833-2021 FSC-klagomål.docx", "A 51833-2021")</f>
        <v/>
      </c>
      <c r="W171">
        <f>HYPERLINK("https://klasma.github.io/Logging_0883/klagomålsmail/A 51833-2021 FSC-klagomål mail.docx", "A 51833-2021")</f>
        <v/>
      </c>
      <c r="X171">
        <f>HYPERLINK("https://klasma.github.io/Logging_0883/tillsyn/A 51833-2021 tillsynsbegäran.docx", "A 51833-2021")</f>
        <v/>
      </c>
      <c r="Y171">
        <f>HYPERLINK("https://klasma.github.io/Logging_0883/tillsynsmail/A 51833-2021 tillsynsbegäran mail.docx", "A 51833-2021")</f>
        <v/>
      </c>
    </row>
    <row r="172" ht="15" customHeight="1">
      <c r="A172" t="inlineStr">
        <is>
          <t>A 53769-2021</t>
        </is>
      </c>
      <c r="B172" s="1" t="n">
        <v>44467</v>
      </c>
      <c r="C172" s="1" t="n">
        <v>45851</v>
      </c>
      <c r="D172" t="inlineStr">
        <is>
          <t>KALMAR LÄN</t>
        </is>
      </c>
      <c r="E172" t="inlineStr">
        <is>
          <t>VÄSTERVIK</t>
        </is>
      </c>
      <c r="G172" t="n">
        <v>2.2</v>
      </c>
      <c r="H172" t="n">
        <v>1</v>
      </c>
      <c r="I172" t="n">
        <v>2</v>
      </c>
      <c r="J172" t="n">
        <v>0</v>
      </c>
      <c r="K172" t="n">
        <v>0</v>
      </c>
      <c r="L172" t="n">
        <v>0</v>
      </c>
      <c r="M172" t="n">
        <v>0</v>
      </c>
      <c r="N172" t="n">
        <v>0</v>
      </c>
      <c r="O172" t="n">
        <v>0</v>
      </c>
      <c r="P172" t="n">
        <v>0</v>
      </c>
      <c r="Q172" t="n">
        <v>2</v>
      </c>
      <c r="R172" s="2" t="inlineStr">
        <is>
          <t>Grön sköldmossa
Stubbspretmossa</t>
        </is>
      </c>
      <c r="S172">
        <f>HYPERLINK("https://klasma.github.io/Logging_0883/artfynd/A 53769-2021 artfynd.xlsx", "A 53769-2021")</f>
        <v/>
      </c>
      <c r="T172">
        <f>HYPERLINK("https://klasma.github.io/Logging_0883/kartor/A 53769-2021 karta.png", "A 53769-2021")</f>
        <v/>
      </c>
      <c r="V172">
        <f>HYPERLINK("https://klasma.github.io/Logging_0883/klagomål/A 53769-2021 FSC-klagomål.docx", "A 53769-2021")</f>
        <v/>
      </c>
      <c r="W172">
        <f>HYPERLINK("https://klasma.github.io/Logging_0883/klagomålsmail/A 53769-2021 FSC-klagomål mail.docx", "A 53769-2021")</f>
        <v/>
      </c>
      <c r="X172">
        <f>HYPERLINK("https://klasma.github.io/Logging_0883/tillsyn/A 53769-2021 tillsynsbegäran.docx", "A 53769-2021")</f>
        <v/>
      </c>
      <c r="Y172">
        <f>HYPERLINK("https://klasma.github.io/Logging_0883/tillsynsmail/A 53769-2021 tillsynsbegäran mail.docx", "A 53769-2021")</f>
        <v/>
      </c>
    </row>
    <row r="173" ht="15" customHeight="1">
      <c r="A173" t="inlineStr">
        <is>
          <t>A 56616-2021</t>
        </is>
      </c>
      <c r="B173" s="1" t="n">
        <v>44480</v>
      </c>
      <c r="C173" s="1" t="n">
        <v>45851</v>
      </c>
      <c r="D173" t="inlineStr">
        <is>
          <t>KALMAR LÄN</t>
        </is>
      </c>
      <c r="E173" t="inlineStr">
        <is>
          <t>VÄSTERVIK</t>
        </is>
      </c>
      <c r="G173" t="n">
        <v>0.7</v>
      </c>
      <c r="H173" t="n">
        <v>0</v>
      </c>
      <c r="I173" t="n">
        <v>0</v>
      </c>
      <c r="J173" t="n">
        <v>2</v>
      </c>
      <c r="K173" t="n">
        <v>0</v>
      </c>
      <c r="L173" t="n">
        <v>0</v>
      </c>
      <c r="M173" t="n">
        <v>0</v>
      </c>
      <c r="N173" t="n">
        <v>0</v>
      </c>
      <c r="O173" t="n">
        <v>2</v>
      </c>
      <c r="P173" t="n">
        <v>0</v>
      </c>
      <c r="Q173" t="n">
        <v>2</v>
      </c>
      <c r="R173" s="2" t="inlineStr">
        <is>
          <t>Gullklöver
Vippärt</t>
        </is>
      </c>
      <c r="S173">
        <f>HYPERLINK("https://klasma.github.io/Logging_0883/artfynd/A 56616-2021 artfynd.xlsx", "A 56616-2021")</f>
        <v/>
      </c>
      <c r="T173">
        <f>HYPERLINK("https://klasma.github.io/Logging_0883/kartor/A 56616-2021 karta.png", "A 56616-2021")</f>
        <v/>
      </c>
      <c r="V173">
        <f>HYPERLINK("https://klasma.github.io/Logging_0883/klagomål/A 56616-2021 FSC-klagomål.docx", "A 56616-2021")</f>
        <v/>
      </c>
      <c r="W173">
        <f>HYPERLINK("https://klasma.github.io/Logging_0883/klagomålsmail/A 56616-2021 FSC-klagomål mail.docx", "A 56616-2021")</f>
        <v/>
      </c>
      <c r="X173">
        <f>HYPERLINK("https://klasma.github.io/Logging_0883/tillsyn/A 56616-2021 tillsynsbegäran.docx", "A 56616-2021")</f>
        <v/>
      </c>
      <c r="Y173">
        <f>HYPERLINK("https://klasma.github.io/Logging_0883/tillsynsmail/A 56616-2021 tillsynsbegäran mail.docx", "A 56616-2021")</f>
        <v/>
      </c>
    </row>
    <row r="174" ht="15" customHeight="1">
      <c r="A174" t="inlineStr">
        <is>
          <t>A 59940-2021</t>
        </is>
      </c>
      <c r="B174" s="1" t="n">
        <v>44494</v>
      </c>
      <c r="C174" s="1" t="n">
        <v>45851</v>
      </c>
      <c r="D174" t="inlineStr">
        <is>
          <t>KALMAR LÄN</t>
        </is>
      </c>
      <c r="E174" t="inlineStr">
        <is>
          <t>VÄSTERVIK</t>
        </is>
      </c>
      <c r="G174" t="n">
        <v>4.3</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59940-2021 artfynd.xlsx", "A 59940-2021")</f>
        <v/>
      </c>
      <c r="T174">
        <f>HYPERLINK("https://klasma.github.io/Logging_0883/kartor/A 59940-2021 karta.png", "A 59940-2021")</f>
        <v/>
      </c>
      <c r="U174">
        <f>HYPERLINK("https://klasma.github.io/Logging_0883/knärot/A 59940-2021 karta knärot.png", "A 59940-2021")</f>
        <v/>
      </c>
      <c r="V174">
        <f>HYPERLINK("https://klasma.github.io/Logging_0883/klagomål/A 59940-2021 FSC-klagomål.docx", "A 59940-2021")</f>
        <v/>
      </c>
      <c r="W174">
        <f>HYPERLINK("https://klasma.github.io/Logging_0883/klagomålsmail/A 59940-2021 FSC-klagomål mail.docx", "A 59940-2021")</f>
        <v/>
      </c>
      <c r="X174">
        <f>HYPERLINK("https://klasma.github.io/Logging_0883/tillsyn/A 59940-2021 tillsynsbegäran.docx", "A 59940-2021")</f>
        <v/>
      </c>
      <c r="Y174">
        <f>HYPERLINK("https://klasma.github.io/Logging_0883/tillsynsmail/A 59940-2021 tillsynsbegäran mail.docx", "A 59940-2021")</f>
        <v/>
      </c>
    </row>
    <row r="175" ht="15" customHeight="1">
      <c r="A175" t="inlineStr">
        <is>
          <t>A 72945-2021</t>
        </is>
      </c>
      <c r="B175" s="1" t="n">
        <v>44547</v>
      </c>
      <c r="C175" s="1" t="n">
        <v>45851</v>
      </c>
      <c r="D175" t="inlineStr">
        <is>
          <t>KALMAR LÄN</t>
        </is>
      </c>
      <c r="E175" t="inlineStr">
        <is>
          <t>VÄSTERVIK</t>
        </is>
      </c>
      <c r="G175" t="n">
        <v>1.6</v>
      </c>
      <c r="H175" t="n">
        <v>0</v>
      </c>
      <c r="I175" t="n">
        <v>1</v>
      </c>
      <c r="J175" t="n">
        <v>1</v>
      </c>
      <c r="K175" t="n">
        <v>0</v>
      </c>
      <c r="L175" t="n">
        <v>0</v>
      </c>
      <c r="M175" t="n">
        <v>0</v>
      </c>
      <c r="N175" t="n">
        <v>0</v>
      </c>
      <c r="O175" t="n">
        <v>1</v>
      </c>
      <c r="P175" t="n">
        <v>0</v>
      </c>
      <c r="Q175" t="n">
        <v>2</v>
      </c>
      <c r="R175" s="2" t="inlineStr">
        <is>
          <t>Veckticka
Rävticka</t>
        </is>
      </c>
      <c r="S175">
        <f>HYPERLINK("https://klasma.github.io/Logging_0883/artfynd/A 72945-2021 artfynd.xlsx", "A 72945-2021")</f>
        <v/>
      </c>
      <c r="T175">
        <f>HYPERLINK("https://klasma.github.io/Logging_0883/kartor/A 72945-2021 karta.png", "A 72945-2021")</f>
        <v/>
      </c>
      <c r="V175">
        <f>HYPERLINK("https://klasma.github.io/Logging_0883/klagomål/A 72945-2021 FSC-klagomål.docx", "A 72945-2021")</f>
        <v/>
      </c>
      <c r="W175">
        <f>HYPERLINK("https://klasma.github.io/Logging_0883/klagomålsmail/A 72945-2021 FSC-klagomål mail.docx", "A 72945-2021")</f>
        <v/>
      </c>
      <c r="X175">
        <f>HYPERLINK("https://klasma.github.io/Logging_0883/tillsyn/A 72945-2021 tillsynsbegäran.docx", "A 72945-2021")</f>
        <v/>
      </c>
      <c r="Y175">
        <f>HYPERLINK("https://klasma.github.io/Logging_0883/tillsynsmail/A 72945-2021 tillsynsbegäran mail.docx", "A 72945-2021")</f>
        <v/>
      </c>
    </row>
    <row r="176" ht="15" customHeight="1">
      <c r="A176" t="inlineStr">
        <is>
          <t>A 14927-2022</t>
        </is>
      </c>
      <c r="B176" s="1" t="n">
        <v>44657</v>
      </c>
      <c r="C176" s="1" t="n">
        <v>45851</v>
      </c>
      <c r="D176" t="inlineStr">
        <is>
          <t>KALMAR LÄN</t>
        </is>
      </c>
      <c r="E176" t="inlineStr">
        <is>
          <t>VÄSTERVIK</t>
        </is>
      </c>
      <c r="F176" t="inlineStr">
        <is>
          <t>Holmen skog AB</t>
        </is>
      </c>
      <c r="G176" t="n">
        <v>1.1</v>
      </c>
      <c r="H176" t="n">
        <v>2</v>
      </c>
      <c r="I176" t="n">
        <v>1</v>
      </c>
      <c r="J176" t="n">
        <v>0</v>
      </c>
      <c r="K176" t="n">
        <v>0</v>
      </c>
      <c r="L176" t="n">
        <v>0</v>
      </c>
      <c r="M176" t="n">
        <v>0</v>
      </c>
      <c r="N176" t="n">
        <v>0</v>
      </c>
      <c r="O176" t="n">
        <v>0</v>
      </c>
      <c r="P176" t="n">
        <v>0</v>
      </c>
      <c r="Q176" t="n">
        <v>2</v>
      </c>
      <c r="R176" s="2" t="inlineStr">
        <is>
          <t>Ekoxe
Revlummer</t>
        </is>
      </c>
      <c r="S176">
        <f>HYPERLINK("https://klasma.github.io/Logging_0883/artfynd/A 14927-2022 artfynd.xlsx", "A 14927-2022")</f>
        <v/>
      </c>
      <c r="T176">
        <f>HYPERLINK("https://klasma.github.io/Logging_0883/kartor/A 14927-2022 karta.png", "A 14927-2022")</f>
        <v/>
      </c>
      <c r="V176">
        <f>HYPERLINK("https://klasma.github.io/Logging_0883/klagomål/A 14927-2022 FSC-klagomål.docx", "A 14927-2022")</f>
        <v/>
      </c>
      <c r="W176">
        <f>HYPERLINK("https://klasma.github.io/Logging_0883/klagomålsmail/A 14927-2022 FSC-klagomål mail.docx", "A 14927-2022")</f>
        <v/>
      </c>
      <c r="X176">
        <f>HYPERLINK("https://klasma.github.io/Logging_0883/tillsyn/A 14927-2022 tillsynsbegäran.docx", "A 14927-2022")</f>
        <v/>
      </c>
      <c r="Y176">
        <f>HYPERLINK("https://klasma.github.io/Logging_0883/tillsynsmail/A 14927-2022 tillsynsbegäran mail.docx", "A 14927-2022")</f>
        <v/>
      </c>
    </row>
    <row r="177" ht="15" customHeight="1">
      <c r="A177" t="inlineStr">
        <is>
          <t>A 21024-2022</t>
        </is>
      </c>
      <c r="B177" s="1" t="n">
        <v>44704</v>
      </c>
      <c r="C177" s="1" t="n">
        <v>45851</v>
      </c>
      <c r="D177" t="inlineStr">
        <is>
          <t>KALMAR LÄN</t>
        </is>
      </c>
      <c r="E177" t="inlineStr">
        <is>
          <t>VÄSTERVIK</t>
        </is>
      </c>
      <c r="F177" t="inlineStr">
        <is>
          <t>Sveaskog</t>
        </is>
      </c>
      <c r="G177" t="n">
        <v>4.4</v>
      </c>
      <c r="H177" t="n">
        <v>0</v>
      </c>
      <c r="I177" t="n">
        <v>2</v>
      </c>
      <c r="J177" t="n">
        <v>0</v>
      </c>
      <c r="K177" t="n">
        <v>0</v>
      </c>
      <c r="L177" t="n">
        <v>0</v>
      </c>
      <c r="M177" t="n">
        <v>0</v>
      </c>
      <c r="N177" t="n">
        <v>0</v>
      </c>
      <c r="O177" t="n">
        <v>0</v>
      </c>
      <c r="P177" t="n">
        <v>0</v>
      </c>
      <c r="Q177" t="n">
        <v>2</v>
      </c>
      <c r="R177" s="2" t="inlineStr">
        <is>
          <t>Skogsbräsma
Vätteros</t>
        </is>
      </c>
      <c r="S177">
        <f>HYPERLINK("https://klasma.github.io/Logging_0883/artfynd/A 21024-2022 artfynd.xlsx", "A 21024-2022")</f>
        <v/>
      </c>
      <c r="T177">
        <f>HYPERLINK("https://klasma.github.io/Logging_0883/kartor/A 21024-2022 karta.png", "A 21024-2022")</f>
        <v/>
      </c>
      <c r="V177">
        <f>HYPERLINK("https://klasma.github.io/Logging_0883/klagomål/A 21024-2022 FSC-klagomål.docx", "A 21024-2022")</f>
        <v/>
      </c>
      <c r="W177">
        <f>HYPERLINK("https://klasma.github.io/Logging_0883/klagomålsmail/A 21024-2022 FSC-klagomål mail.docx", "A 21024-2022")</f>
        <v/>
      </c>
      <c r="X177">
        <f>HYPERLINK("https://klasma.github.io/Logging_0883/tillsyn/A 21024-2022 tillsynsbegäran.docx", "A 21024-2022")</f>
        <v/>
      </c>
      <c r="Y177">
        <f>HYPERLINK("https://klasma.github.io/Logging_0883/tillsynsmail/A 21024-2022 tillsynsbegäran mail.docx", "A 21024-2022")</f>
        <v/>
      </c>
    </row>
    <row r="178" ht="15" customHeight="1">
      <c r="A178" t="inlineStr">
        <is>
          <t>A 25145-2022</t>
        </is>
      </c>
      <c r="B178" s="1" t="n">
        <v>44729</v>
      </c>
      <c r="C178" s="1" t="n">
        <v>45851</v>
      </c>
      <c r="D178" t="inlineStr">
        <is>
          <t>KALMAR LÄN</t>
        </is>
      </c>
      <c r="E178" t="inlineStr">
        <is>
          <t>VÄSTERVIK</t>
        </is>
      </c>
      <c r="G178" t="n">
        <v>1.3</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25145-2022 artfynd.xlsx", "A 25145-2022")</f>
        <v/>
      </c>
      <c r="T178">
        <f>HYPERLINK("https://klasma.github.io/Logging_0883/kartor/A 25145-2022 karta.png", "A 25145-2022")</f>
        <v/>
      </c>
      <c r="U178">
        <f>HYPERLINK("https://klasma.github.io/Logging_0883/knärot/A 25145-2022 karta knärot.png", "A 25145-2022")</f>
        <v/>
      </c>
      <c r="V178">
        <f>HYPERLINK("https://klasma.github.io/Logging_0883/klagomål/A 25145-2022 FSC-klagomål.docx", "A 25145-2022")</f>
        <v/>
      </c>
      <c r="W178">
        <f>HYPERLINK("https://klasma.github.io/Logging_0883/klagomålsmail/A 25145-2022 FSC-klagomål mail.docx", "A 25145-2022")</f>
        <v/>
      </c>
      <c r="X178">
        <f>HYPERLINK("https://klasma.github.io/Logging_0883/tillsyn/A 25145-2022 tillsynsbegäran.docx", "A 25145-2022")</f>
        <v/>
      </c>
      <c r="Y178">
        <f>HYPERLINK("https://klasma.github.io/Logging_0883/tillsynsmail/A 25145-2022 tillsynsbegäran mail.docx", "A 25145-2022")</f>
        <v/>
      </c>
    </row>
    <row r="179" ht="15" customHeight="1">
      <c r="A179" t="inlineStr">
        <is>
          <t>A 38373-2022</t>
        </is>
      </c>
      <c r="B179" s="1" t="n">
        <v>44812</v>
      </c>
      <c r="C179" s="1" t="n">
        <v>45851</v>
      </c>
      <c r="D179" t="inlineStr">
        <is>
          <t>KALMAR LÄN</t>
        </is>
      </c>
      <c r="E179" t="inlineStr">
        <is>
          <t>VÄSTERVIK</t>
        </is>
      </c>
      <c r="G179" t="n">
        <v>3.1</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38373-2022 artfynd.xlsx", "A 38373-2022")</f>
        <v/>
      </c>
      <c r="T179">
        <f>HYPERLINK("https://klasma.github.io/Logging_0883/kartor/A 38373-2022 karta.png", "A 38373-2022")</f>
        <v/>
      </c>
      <c r="U179">
        <f>HYPERLINK("https://klasma.github.io/Logging_0883/knärot/A 38373-2022 karta knärot.png", "A 38373-2022")</f>
        <v/>
      </c>
      <c r="V179">
        <f>HYPERLINK("https://klasma.github.io/Logging_0883/klagomål/A 38373-2022 FSC-klagomål.docx", "A 38373-2022")</f>
        <v/>
      </c>
      <c r="W179">
        <f>HYPERLINK("https://klasma.github.io/Logging_0883/klagomålsmail/A 38373-2022 FSC-klagomål mail.docx", "A 38373-2022")</f>
        <v/>
      </c>
      <c r="X179">
        <f>HYPERLINK("https://klasma.github.io/Logging_0883/tillsyn/A 38373-2022 tillsynsbegäran.docx", "A 38373-2022")</f>
        <v/>
      </c>
      <c r="Y179">
        <f>HYPERLINK("https://klasma.github.io/Logging_0883/tillsynsmail/A 38373-2022 tillsynsbegäran mail.docx", "A 38373-2022")</f>
        <v/>
      </c>
    </row>
    <row r="180" ht="15" customHeight="1">
      <c r="A180" t="inlineStr">
        <is>
          <t>A 46552-2022</t>
        </is>
      </c>
      <c r="B180" s="1" t="n">
        <v>44848</v>
      </c>
      <c r="C180" s="1" t="n">
        <v>45851</v>
      </c>
      <c r="D180" t="inlineStr">
        <is>
          <t>KALMAR LÄN</t>
        </is>
      </c>
      <c r="E180" t="inlineStr">
        <is>
          <t>VÄSTERVIK</t>
        </is>
      </c>
      <c r="F180" t="inlineStr">
        <is>
          <t>Sveaskog</t>
        </is>
      </c>
      <c r="G180" t="n">
        <v>1.7</v>
      </c>
      <c r="H180" t="n">
        <v>0</v>
      </c>
      <c r="I180" t="n">
        <v>1</v>
      </c>
      <c r="J180" t="n">
        <v>1</v>
      </c>
      <c r="K180" t="n">
        <v>0</v>
      </c>
      <c r="L180" t="n">
        <v>0</v>
      </c>
      <c r="M180" t="n">
        <v>0</v>
      </c>
      <c r="N180" t="n">
        <v>0</v>
      </c>
      <c r="O180" t="n">
        <v>1</v>
      </c>
      <c r="P180" t="n">
        <v>0</v>
      </c>
      <c r="Q180" t="n">
        <v>2</v>
      </c>
      <c r="R180" s="2" t="inlineStr">
        <is>
          <t>Motaggsvamp
Sårläka</t>
        </is>
      </c>
      <c r="S180">
        <f>HYPERLINK("https://klasma.github.io/Logging_0883/artfynd/A 46552-2022 artfynd.xlsx", "A 46552-2022")</f>
        <v/>
      </c>
      <c r="T180">
        <f>HYPERLINK("https://klasma.github.io/Logging_0883/kartor/A 46552-2022 karta.png", "A 46552-2022")</f>
        <v/>
      </c>
      <c r="V180">
        <f>HYPERLINK("https://klasma.github.io/Logging_0883/klagomål/A 46552-2022 FSC-klagomål.docx", "A 46552-2022")</f>
        <v/>
      </c>
      <c r="W180">
        <f>HYPERLINK("https://klasma.github.io/Logging_0883/klagomålsmail/A 46552-2022 FSC-klagomål mail.docx", "A 46552-2022")</f>
        <v/>
      </c>
      <c r="X180">
        <f>HYPERLINK("https://klasma.github.io/Logging_0883/tillsyn/A 46552-2022 tillsynsbegäran.docx", "A 46552-2022")</f>
        <v/>
      </c>
      <c r="Y180">
        <f>HYPERLINK("https://klasma.github.io/Logging_0883/tillsynsmail/A 46552-2022 tillsynsbegäran mail.docx", "A 46552-2022")</f>
        <v/>
      </c>
    </row>
    <row r="181" ht="15" customHeight="1">
      <c r="A181" t="inlineStr">
        <is>
          <t>A 46787-2022</t>
        </is>
      </c>
      <c r="B181" s="1" t="n">
        <v>44851</v>
      </c>
      <c r="C181" s="1" t="n">
        <v>45851</v>
      </c>
      <c r="D181" t="inlineStr">
        <is>
          <t>KALMAR LÄN</t>
        </is>
      </c>
      <c r="E181" t="inlineStr">
        <is>
          <t>VÄSTERVIK</t>
        </is>
      </c>
      <c r="G181" t="n">
        <v>4.4</v>
      </c>
      <c r="H181" t="n">
        <v>0</v>
      </c>
      <c r="I181" t="n">
        <v>0</v>
      </c>
      <c r="J181" t="n">
        <v>2</v>
      </c>
      <c r="K181" t="n">
        <v>0</v>
      </c>
      <c r="L181" t="n">
        <v>0</v>
      </c>
      <c r="M181" t="n">
        <v>0</v>
      </c>
      <c r="N181" t="n">
        <v>0</v>
      </c>
      <c r="O181" t="n">
        <v>2</v>
      </c>
      <c r="P181" t="n">
        <v>0</v>
      </c>
      <c r="Q181" t="n">
        <v>2</v>
      </c>
      <c r="R181" s="2" t="inlineStr">
        <is>
          <t>Motaggsvamp
Tallticka</t>
        </is>
      </c>
      <c r="S181">
        <f>HYPERLINK("https://klasma.github.io/Logging_0883/artfynd/A 46787-2022 artfynd.xlsx", "A 46787-2022")</f>
        <v/>
      </c>
      <c r="T181">
        <f>HYPERLINK("https://klasma.github.io/Logging_0883/kartor/A 46787-2022 karta.png", "A 46787-2022")</f>
        <v/>
      </c>
      <c r="V181">
        <f>HYPERLINK("https://klasma.github.io/Logging_0883/klagomål/A 46787-2022 FSC-klagomål.docx", "A 46787-2022")</f>
        <v/>
      </c>
      <c r="W181">
        <f>HYPERLINK("https://klasma.github.io/Logging_0883/klagomålsmail/A 46787-2022 FSC-klagomål mail.docx", "A 46787-2022")</f>
        <v/>
      </c>
      <c r="X181">
        <f>HYPERLINK("https://klasma.github.io/Logging_0883/tillsyn/A 46787-2022 tillsynsbegäran.docx", "A 46787-2022")</f>
        <v/>
      </c>
      <c r="Y181">
        <f>HYPERLINK("https://klasma.github.io/Logging_0883/tillsynsmail/A 46787-2022 tillsynsbegäran mail.docx", "A 46787-2022")</f>
        <v/>
      </c>
    </row>
    <row r="182" ht="15" customHeight="1">
      <c r="A182" t="inlineStr">
        <is>
          <t>A 50989-2022</t>
        </is>
      </c>
      <c r="B182" s="1" t="n">
        <v>44867</v>
      </c>
      <c r="C182" s="1" t="n">
        <v>45851</v>
      </c>
      <c r="D182" t="inlineStr">
        <is>
          <t>KALMAR LÄN</t>
        </is>
      </c>
      <c r="E182" t="inlineStr">
        <is>
          <t>VÄSTERVIK</t>
        </is>
      </c>
      <c r="G182" t="n">
        <v>2</v>
      </c>
      <c r="H182" t="n">
        <v>0</v>
      </c>
      <c r="I182" t="n">
        <v>2</v>
      </c>
      <c r="J182" t="n">
        <v>0</v>
      </c>
      <c r="K182" t="n">
        <v>0</v>
      </c>
      <c r="L182" t="n">
        <v>0</v>
      </c>
      <c r="M182" t="n">
        <v>0</v>
      </c>
      <c r="N182" t="n">
        <v>0</v>
      </c>
      <c r="O182" t="n">
        <v>0</v>
      </c>
      <c r="P182" t="n">
        <v>0</v>
      </c>
      <c r="Q182" t="n">
        <v>2</v>
      </c>
      <c r="R182" s="2" t="inlineStr">
        <is>
          <t>Blomkålssvamp
Vätteros</t>
        </is>
      </c>
      <c r="S182">
        <f>HYPERLINK("https://klasma.github.io/Logging_0883/artfynd/A 50989-2022 artfynd.xlsx", "A 50989-2022")</f>
        <v/>
      </c>
      <c r="T182">
        <f>HYPERLINK("https://klasma.github.io/Logging_0883/kartor/A 50989-2022 karta.png", "A 50989-2022")</f>
        <v/>
      </c>
      <c r="V182">
        <f>HYPERLINK("https://klasma.github.io/Logging_0883/klagomål/A 50989-2022 FSC-klagomål.docx", "A 50989-2022")</f>
        <v/>
      </c>
      <c r="W182">
        <f>HYPERLINK("https://klasma.github.io/Logging_0883/klagomålsmail/A 50989-2022 FSC-klagomål mail.docx", "A 50989-2022")</f>
        <v/>
      </c>
      <c r="X182">
        <f>HYPERLINK("https://klasma.github.io/Logging_0883/tillsyn/A 50989-2022 tillsynsbegäran.docx", "A 50989-2022")</f>
        <v/>
      </c>
      <c r="Y182">
        <f>HYPERLINK("https://klasma.github.io/Logging_0883/tillsynsmail/A 50989-2022 tillsynsbegäran mail.docx", "A 50989-2022")</f>
        <v/>
      </c>
    </row>
    <row r="183" ht="15" customHeight="1">
      <c r="A183" t="inlineStr">
        <is>
          <t>A 59231-2022</t>
        </is>
      </c>
      <c r="B183" s="1" t="n">
        <v>44904</v>
      </c>
      <c r="C183" s="1" t="n">
        <v>45851</v>
      </c>
      <c r="D183" t="inlineStr">
        <is>
          <t>KALMAR LÄN</t>
        </is>
      </c>
      <c r="E183" t="inlineStr">
        <is>
          <t>VÄSTERVIK</t>
        </is>
      </c>
      <c r="G183" t="n">
        <v>1.8</v>
      </c>
      <c r="H183" t="n">
        <v>0</v>
      </c>
      <c r="I183" t="n">
        <v>1</v>
      </c>
      <c r="J183" t="n">
        <v>1</v>
      </c>
      <c r="K183" t="n">
        <v>0</v>
      </c>
      <c r="L183" t="n">
        <v>0</v>
      </c>
      <c r="M183" t="n">
        <v>0</v>
      </c>
      <c r="N183" t="n">
        <v>0</v>
      </c>
      <c r="O183" t="n">
        <v>1</v>
      </c>
      <c r="P183" t="n">
        <v>0</v>
      </c>
      <c r="Q183" t="n">
        <v>2</v>
      </c>
      <c r="R183" s="2" t="inlineStr">
        <is>
          <t>Tallticka
Grönpyrola</t>
        </is>
      </c>
      <c r="S183">
        <f>HYPERLINK("https://klasma.github.io/Logging_0883/artfynd/A 59231-2022 artfynd.xlsx", "A 59231-2022")</f>
        <v/>
      </c>
      <c r="T183">
        <f>HYPERLINK("https://klasma.github.io/Logging_0883/kartor/A 59231-2022 karta.png", "A 59231-2022")</f>
        <v/>
      </c>
      <c r="V183">
        <f>HYPERLINK("https://klasma.github.io/Logging_0883/klagomål/A 59231-2022 FSC-klagomål.docx", "A 59231-2022")</f>
        <v/>
      </c>
      <c r="W183">
        <f>HYPERLINK("https://klasma.github.io/Logging_0883/klagomålsmail/A 59231-2022 FSC-klagomål mail.docx", "A 59231-2022")</f>
        <v/>
      </c>
      <c r="X183">
        <f>HYPERLINK("https://klasma.github.io/Logging_0883/tillsyn/A 59231-2022 tillsynsbegäran.docx", "A 59231-2022")</f>
        <v/>
      </c>
      <c r="Y183">
        <f>HYPERLINK("https://klasma.github.io/Logging_0883/tillsynsmail/A 59231-2022 tillsynsbegäran mail.docx", "A 59231-2022")</f>
        <v/>
      </c>
    </row>
    <row r="184" ht="15" customHeight="1">
      <c r="A184" t="inlineStr">
        <is>
          <t>A 62003-2022</t>
        </is>
      </c>
      <c r="B184" s="1" t="n">
        <v>44918</v>
      </c>
      <c r="C184" s="1" t="n">
        <v>45851</v>
      </c>
      <c r="D184" t="inlineStr">
        <is>
          <t>KALMAR LÄN</t>
        </is>
      </c>
      <c r="E184" t="inlineStr">
        <is>
          <t>VÄSTERVIK</t>
        </is>
      </c>
      <c r="G184" t="n">
        <v>6.2</v>
      </c>
      <c r="H184" t="n">
        <v>1</v>
      </c>
      <c r="I184" t="n">
        <v>0</v>
      </c>
      <c r="J184" t="n">
        <v>1</v>
      </c>
      <c r="K184" t="n">
        <v>1</v>
      </c>
      <c r="L184" t="n">
        <v>0</v>
      </c>
      <c r="M184" t="n">
        <v>0</v>
      </c>
      <c r="N184" t="n">
        <v>0</v>
      </c>
      <c r="O184" t="n">
        <v>2</v>
      </c>
      <c r="P184" t="n">
        <v>1</v>
      </c>
      <c r="Q184" t="n">
        <v>2</v>
      </c>
      <c r="R184" s="2" t="inlineStr">
        <is>
          <t>Knärot
Linmåra/småsnärjmåra</t>
        </is>
      </c>
      <c r="S184">
        <f>HYPERLINK("https://klasma.github.io/Logging_0883/artfynd/A 62003-2022 artfynd.xlsx", "A 62003-2022")</f>
        <v/>
      </c>
      <c r="T184">
        <f>HYPERLINK("https://klasma.github.io/Logging_0883/kartor/A 62003-2022 karta.png", "A 62003-2022")</f>
        <v/>
      </c>
      <c r="U184">
        <f>HYPERLINK("https://klasma.github.io/Logging_0883/knärot/A 62003-2022 karta knärot.png", "A 62003-2022")</f>
        <v/>
      </c>
      <c r="V184">
        <f>HYPERLINK("https://klasma.github.io/Logging_0883/klagomål/A 62003-2022 FSC-klagomål.docx", "A 62003-2022")</f>
        <v/>
      </c>
      <c r="W184">
        <f>HYPERLINK("https://klasma.github.io/Logging_0883/klagomålsmail/A 62003-2022 FSC-klagomål mail.docx", "A 62003-2022")</f>
        <v/>
      </c>
      <c r="X184">
        <f>HYPERLINK("https://klasma.github.io/Logging_0883/tillsyn/A 62003-2022 tillsynsbegäran.docx", "A 62003-2022")</f>
        <v/>
      </c>
      <c r="Y184">
        <f>HYPERLINK("https://klasma.github.io/Logging_0883/tillsynsmail/A 62003-2022 tillsynsbegäran mail.docx", "A 62003-2022")</f>
        <v/>
      </c>
    </row>
    <row r="185" ht="15" customHeight="1">
      <c r="A185" t="inlineStr">
        <is>
          <t>A 765-2023</t>
        </is>
      </c>
      <c r="B185" s="1" t="n">
        <v>44931</v>
      </c>
      <c r="C185" s="1" t="n">
        <v>45851</v>
      </c>
      <c r="D185" t="inlineStr">
        <is>
          <t>KALMAR LÄN</t>
        </is>
      </c>
      <c r="E185" t="inlineStr">
        <is>
          <t>VÄSTERVIK</t>
        </is>
      </c>
      <c r="F185" t="inlineStr">
        <is>
          <t>Holmen skog AB</t>
        </is>
      </c>
      <c r="G185" t="n">
        <v>3.7</v>
      </c>
      <c r="H185" t="n">
        <v>1</v>
      </c>
      <c r="I185" t="n">
        <v>0</v>
      </c>
      <c r="J185" t="n">
        <v>2</v>
      </c>
      <c r="K185" t="n">
        <v>0</v>
      </c>
      <c r="L185" t="n">
        <v>0</v>
      </c>
      <c r="M185" t="n">
        <v>0</v>
      </c>
      <c r="N185" t="n">
        <v>0</v>
      </c>
      <c r="O185" t="n">
        <v>2</v>
      </c>
      <c r="P185" t="n">
        <v>0</v>
      </c>
      <c r="Q185" t="n">
        <v>2</v>
      </c>
      <c r="R185" s="2" t="inlineStr">
        <is>
          <t>Ekticka
Talltita</t>
        </is>
      </c>
      <c r="S185">
        <f>HYPERLINK("https://klasma.github.io/Logging_0883/artfynd/A 765-2023 artfynd.xlsx", "A 765-2023")</f>
        <v/>
      </c>
      <c r="T185">
        <f>HYPERLINK("https://klasma.github.io/Logging_0883/kartor/A 765-2023 karta.png", "A 765-2023")</f>
        <v/>
      </c>
      <c r="V185">
        <f>HYPERLINK("https://klasma.github.io/Logging_0883/klagomål/A 765-2023 FSC-klagomål.docx", "A 765-2023")</f>
        <v/>
      </c>
      <c r="W185">
        <f>HYPERLINK("https://klasma.github.io/Logging_0883/klagomålsmail/A 765-2023 FSC-klagomål mail.docx", "A 765-2023")</f>
        <v/>
      </c>
      <c r="X185">
        <f>HYPERLINK("https://klasma.github.io/Logging_0883/tillsyn/A 765-2023 tillsynsbegäran.docx", "A 765-2023")</f>
        <v/>
      </c>
      <c r="Y185">
        <f>HYPERLINK("https://klasma.github.io/Logging_0883/tillsynsmail/A 765-2023 tillsynsbegäran mail.docx", "A 765-2023")</f>
        <v/>
      </c>
      <c r="Z185">
        <f>HYPERLINK("https://klasma.github.io/Logging_0883/fåglar/A 765-2023 prioriterade fågelarter.docx", "A 765-2023")</f>
        <v/>
      </c>
    </row>
    <row r="186" ht="15" customHeight="1">
      <c r="A186" t="inlineStr">
        <is>
          <t>A 2097-2023</t>
        </is>
      </c>
      <c r="B186" s="1" t="n">
        <v>44939</v>
      </c>
      <c r="C186" s="1" t="n">
        <v>45851</v>
      </c>
      <c r="D186" t="inlineStr">
        <is>
          <t>KALMAR LÄN</t>
        </is>
      </c>
      <c r="E186" t="inlineStr">
        <is>
          <t>VÄSTERVIK</t>
        </is>
      </c>
      <c r="G186" t="n">
        <v>6.9</v>
      </c>
      <c r="H186" t="n">
        <v>1</v>
      </c>
      <c r="I186" t="n">
        <v>1</v>
      </c>
      <c r="J186" t="n">
        <v>0</v>
      </c>
      <c r="K186" t="n">
        <v>1</v>
      </c>
      <c r="L186" t="n">
        <v>0</v>
      </c>
      <c r="M186" t="n">
        <v>0</v>
      </c>
      <c r="N186" t="n">
        <v>0</v>
      </c>
      <c r="O186" t="n">
        <v>1</v>
      </c>
      <c r="P186" t="n">
        <v>1</v>
      </c>
      <c r="Q186" t="n">
        <v>2</v>
      </c>
      <c r="R186" s="2" t="inlineStr">
        <is>
          <t>Knärot
Grovticka</t>
        </is>
      </c>
      <c r="S186">
        <f>HYPERLINK("https://klasma.github.io/Logging_0883/artfynd/A 2097-2023 artfynd.xlsx", "A 2097-2023")</f>
        <v/>
      </c>
      <c r="T186">
        <f>HYPERLINK("https://klasma.github.io/Logging_0883/kartor/A 2097-2023 karta.png", "A 2097-2023")</f>
        <v/>
      </c>
      <c r="U186">
        <f>HYPERLINK("https://klasma.github.io/Logging_0883/knärot/A 2097-2023 karta knärot.png", "A 2097-2023")</f>
        <v/>
      </c>
      <c r="V186">
        <f>HYPERLINK("https://klasma.github.io/Logging_0883/klagomål/A 2097-2023 FSC-klagomål.docx", "A 2097-2023")</f>
        <v/>
      </c>
      <c r="W186">
        <f>HYPERLINK("https://klasma.github.io/Logging_0883/klagomålsmail/A 2097-2023 FSC-klagomål mail.docx", "A 2097-2023")</f>
        <v/>
      </c>
      <c r="X186">
        <f>HYPERLINK("https://klasma.github.io/Logging_0883/tillsyn/A 2097-2023 tillsynsbegäran.docx", "A 2097-2023")</f>
        <v/>
      </c>
      <c r="Y186">
        <f>HYPERLINK("https://klasma.github.io/Logging_0883/tillsynsmail/A 2097-2023 tillsynsbegäran mail.docx", "A 2097-2023")</f>
        <v/>
      </c>
    </row>
    <row r="187" ht="15" customHeight="1">
      <c r="A187" t="inlineStr">
        <is>
          <t>A 2515-2023</t>
        </is>
      </c>
      <c r="B187" s="1" t="n">
        <v>44943</v>
      </c>
      <c r="C187" s="1" t="n">
        <v>45851</v>
      </c>
      <c r="D187" t="inlineStr">
        <is>
          <t>KALMAR LÄN</t>
        </is>
      </c>
      <c r="E187" t="inlineStr">
        <is>
          <t>VÄSTERVIK</t>
        </is>
      </c>
      <c r="G187" t="n">
        <v>1.3</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2515-2023 artfynd.xlsx", "A 2515-2023")</f>
        <v/>
      </c>
      <c r="T187">
        <f>HYPERLINK("https://klasma.github.io/Logging_0883/kartor/A 2515-2023 karta.png", "A 2515-2023")</f>
        <v/>
      </c>
      <c r="U187">
        <f>HYPERLINK("https://klasma.github.io/Logging_0883/knärot/A 2515-2023 karta knärot.png", "A 2515-2023")</f>
        <v/>
      </c>
      <c r="V187">
        <f>HYPERLINK("https://klasma.github.io/Logging_0883/klagomål/A 2515-2023 FSC-klagomål.docx", "A 2515-2023")</f>
        <v/>
      </c>
      <c r="W187">
        <f>HYPERLINK("https://klasma.github.io/Logging_0883/klagomålsmail/A 2515-2023 FSC-klagomål mail.docx", "A 2515-2023")</f>
        <v/>
      </c>
      <c r="X187">
        <f>HYPERLINK("https://klasma.github.io/Logging_0883/tillsyn/A 2515-2023 tillsynsbegäran.docx", "A 2515-2023")</f>
        <v/>
      </c>
      <c r="Y187">
        <f>HYPERLINK("https://klasma.github.io/Logging_0883/tillsynsmail/A 2515-2023 tillsynsbegäran mail.docx", "A 2515-2023")</f>
        <v/>
      </c>
    </row>
    <row r="188" ht="15" customHeight="1">
      <c r="A188" t="inlineStr">
        <is>
          <t>A 3173-2023</t>
        </is>
      </c>
      <c r="B188" s="1" t="n">
        <v>44946</v>
      </c>
      <c r="C188" s="1" t="n">
        <v>45851</v>
      </c>
      <c r="D188" t="inlineStr">
        <is>
          <t>KALMAR LÄN</t>
        </is>
      </c>
      <c r="E188" t="inlineStr">
        <is>
          <t>VÄSTERVIK</t>
        </is>
      </c>
      <c r="G188" t="n">
        <v>4</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3173-2023 artfynd.xlsx", "A 3173-2023")</f>
        <v/>
      </c>
      <c r="T188">
        <f>HYPERLINK("https://klasma.github.io/Logging_0883/kartor/A 3173-2023 karta.png", "A 3173-2023")</f>
        <v/>
      </c>
      <c r="U188">
        <f>HYPERLINK("https://klasma.github.io/Logging_0883/knärot/A 3173-2023 karta knärot.png", "A 3173-2023")</f>
        <v/>
      </c>
      <c r="V188">
        <f>HYPERLINK("https://klasma.github.io/Logging_0883/klagomål/A 3173-2023 FSC-klagomål.docx", "A 3173-2023")</f>
        <v/>
      </c>
      <c r="W188">
        <f>HYPERLINK("https://klasma.github.io/Logging_0883/klagomålsmail/A 3173-2023 FSC-klagomål mail.docx", "A 3173-2023")</f>
        <v/>
      </c>
      <c r="X188">
        <f>HYPERLINK("https://klasma.github.io/Logging_0883/tillsyn/A 3173-2023 tillsynsbegäran.docx", "A 3173-2023")</f>
        <v/>
      </c>
      <c r="Y188">
        <f>HYPERLINK("https://klasma.github.io/Logging_0883/tillsynsmail/A 3173-2023 tillsynsbegäran mail.docx", "A 3173-2023")</f>
        <v/>
      </c>
    </row>
    <row r="189" ht="15" customHeight="1">
      <c r="A189" t="inlineStr">
        <is>
          <t>A 9040-2023</t>
        </is>
      </c>
      <c r="B189" s="1" t="n">
        <v>44979</v>
      </c>
      <c r="C189" s="1" t="n">
        <v>45851</v>
      </c>
      <c r="D189" t="inlineStr">
        <is>
          <t>KALMAR LÄN</t>
        </is>
      </c>
      <c r="E189" t="inlineStr">
        <is>
          <t>VÄSTERVIK</t>
        </is>
      </c>
      <c r="G189" t="n">
        <v>5.1</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9040-2023 artfynd.xlsx", "A 9040-2023")</f>
        <v/>
      </c>
      <c r="T189">
        <f>HYPERLINK("https://klasma.github.io/Logging_0883/kartor/A 9040-2023 karta.png", "A 9040-2023")</f>
        <v/>
      </c>
      <c r="U189">
        <f>HYPERLINK("https://klasma.github.io/Logging_0883/knärot/A 9040-2023 karta knärot.png", "A 9040-2023")</f>
        <v/>
      </c>
      <c r="V189">
        <f>HYPERLINK("https://klasma.github.io/Logging_0883/klagomål/A 9040-2023 FSC-klagomål.docx", "A 9040-2023")</f>
        <v/>
      </c>
      <c r="W189">
        <f>HYPERLINK("https://klasma.github.io/Logging_0883/klagomålsmail/A 9040-2023 FSC-klagomål mail.docx", "A 9040-2023")</f>
        <v/>
      </c>
      <c r="X189">
        <f>HYPERLINK("https://klasma.github.io/Logging_0883/tillsyn/A 9040-2023 tillsynsbegäran.docx", "A 9040-2023")</f>
        <v/>
      </c>
      <c r="Y189">
        <f>HYPERLINK("https://klasma.github.io/Logging_0883/tillsynsmail/A 9040-2023 tillsynsbegäran mail.docx", "A 9040-2023")</f>
        <v/>
      </c>
    </row>
    <row r="190" ht="15" customHeight="1">
      <c r="A190" t="inlineStr">
        <is>
          <t>A 10806-2023</t>
        </is>
      </c>
      <c r="B190" s="1" t="n">
        <v>44989</v>
      </c>
      <c r="C190" s="1" t="n">
        <v>45851</v>
      </c>
      <c r="D190" t="inlineStr">
        <is>
          <t>KALMAR LÄN</t>
        </is>
      </c>
      <c r="E190" t="inlineStr">
        <is>
          <t>VÄSTERVIK</t>
        </is>
      </c>
      <c r="G190" t="n">
        <v>3</v>
      </c>
      <c r="H190" t="n">
        <v>2</v>
      </c>
      <c r="I190" t="n">
        <v>0</v>
      </c>
      <c r="J190" t="n">
        <v>0</v>
      </c>
      <c r="K190" t="n">
        <v>1</v>
      </c>
      <c r="L190" t="n">
        <v>0</v>
      </c>
      <c r="M190" t="n">
        <v>0</v>
      </c>
      <c r="N190" t="n">
        <v>0</v>
      </c>
      <c r="O190" t="n">
        <v>1</v>
      </c>
      <c r="P190" t="n">
        <v>1</v>
      </c>
      <c r="Q190" t="n">
        <v>2</v>
      </c>
      <c r="R190" s="2" t="inlineStr">
        <is>
          <t>Knärot
Revlummer</t>
        </is>
      </c>
      <c r="S190">
        <f>HYPERLINK("https://klasma.github.io/Logging_0883/artfynd/A 10806-2023 artfynd.xlsx", "A 10806-2023")</f>
        <v/>
      </c>
      <c r="T190">
        <f>HYPERLINK("https://klasma.github.io/Logging_0883/kartor/A 10806-2023 karta.png", "A 10806-2023")</f>
        <v/>
      </c>
      <c r="U190">
        <f>HYPERLINK("https://klasma.github.io/Logging_0883/knärot/A 10806-2023 karta knärot.png", "A 10806-2023")</f>
        <v/>
      </c>
      <c r="V190">
        <f>HYPERLINK("https://klasma.github.io/Logging_0883/klagomål/A 10806-2023 FSC-klagomål.docx", "A 10806-2023")</f>
        <v/>
      </c>
      <c r="W190">
        <f>HYPERLINK("https://klasma.github.io/Logging_0883/klagomålsmail/A 10806-2023 FSC-klagomål mail.docx", "A 10806-2023")</f>
        <v/>
      </c>
      <c r="X190">
        <f>HYPERLINK("https://klasma.github.io/Logging_0883/tillsyn/A 10806-2023 tillsynsbegäran.docx", "A 10806-2023")</f>
        <v/>
      </c>
      <c r="Y190">
        <f>HYPERLINK("https://klasma.github.io/Logging_0883/tillsynsmail/A 10806-2023 tillsynsbegäran mail.docx", "A 10806-2023")</f>
        <v/>
      </c>
    </row>
    <row r="191" ht="15" customHeight="1">
      <c r="A191" t="inlineStr">
        <is>
          <t>A 14301-2023</t>
        </is>
      </c>
      <c r="B191" s="1" t="n">
        <v>45011</v>
      </c>
      <c r="C191" s="1" t="n">
        <v>45851</v>
      </c>
      <c r="D191" t="inlineStr">
        <is>
          <t>KALMAR LÄN</t>
        </is>
      </c>
      <c r="E191" t="inlineStr">
        <is>
          <t>VÄSTERVIK</t>
        </is>
      </c>
      <c r="G191" t="n">
        <v>4.4</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14301-2023 artfynd.xlsx", "A 14301-2023")</f>
        <v/>
      </c>
      <c r="T191">
        <f>HYPERLINK("https://klasma.github.io/Logging_0883/kartor/A 14301-2023 karta.png", "A 14301-2023")</f>
        <v/>
      </c>
      <c r="U191">
        <f>HYPERLINK("https://klasma.github.io/Logging_0883/knärot/A 14301-2023 karta knärot.png", "A 14301-2023")</f>
        <v/>
      </c>
      <c r="V191">
        <f>HYPERLINK("https://klasma.github.io/Logging_0883/klagomål/A 14301-2023 FSC-klagomål.docx", "A 14301-2023")</f>
        <v/>
      </c>
      <c r="W191">
        <f>HYPERLINK("https://klasma.github.io/Logging_0883/klagomålsmail/A 14301-2023 FSC-klagomål mail.docx", "A 14301-2023")</f>
        <v/>
      </c>
      <c r="X191">
        <f>HYPERLINK("https://klasma.github.io/Logging_0883/tillsyn/A 14301-2023 tillsynsbegäran.docx", "A 14301-2023")</f>
        <v/>
      </c>
      <c r="Y191">
        <f>HYPERLINK("https://klasma.github.io/Logging_0883/tillsynsmail/A 14301-2023 tillsynsbegäran mail.docx", "A 14301-2023")</f>
        <v/>
      </c>
    </row>
    <row r="192" ht="15" customHeight="1">
      <c r="A192" t="inlineStr">
        <is>
          <t>A 25435-2023</t>
        </is>
      </c>
      <c r="B192" s="1" t="n">
        <v>45089</v>
      </c>
      <c r="C192" s="1" t="n">
        <v>45851</v>
      </c>
      <c r="D192" t="inlineStr">
        <is>
          <t>KALMAR LÄN</t>
        </is>
      </c>
      <c r="E192" t="inlineStr">
        <is>
          <t>VÄSTERVIK</t>
        </is>
      </c>
      <c r="G192" t="n">
        <v>1.6</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25435-2023 artfynd.xlsx", "A 25435-2023")</f>
        <v/>
      </c>
      <c r="T192">
        <f>HYPERLINK("https://klasma.github.io/Logging_0883/kartor/A 25435-2023 karta.png", "A 25435-2023")</f>
        <v/>
      </c>
      <c r="U192">
        <f>HYPERLINK("https://klasma.github.io/Logging_0883/knärot/A 25435-2023 karta knärot.png", "A 25435-2023")</f>
        <v/>
      </c>
      <c r="V192">
        <f>HYPERLINK("https://klasma.github.io/Logging_0883/klagomål/A 25435-2023 FSC-klagomål.docx", "A 25435-2023")</f>
        <v/>
      </c>
      <c r="W192">
        <f>HYPERLINK("https://klasma.github.io/Logging_0883/klagomålsmail/A 25435-2023 FSC-klagomål mail.docx", "A 25435-2023")</f>
        <v/>
      </c>
      <c r="X192">
        <f>HYPERLINK("https://klasma.github.io/Logging_0883/tillsyn/A 25435-2023 tillsynsbegäran.docx", "A 25435-2023")</f>
        <v/>
      </c>
      <c r="Y192">
        <f>HYPERLINK("https://klasma.github.io/Logging_0883/tillsynsmail/A 25435-2023 tillsynsbegäran mail.docx", "A 25435-2023")</f>
        <v/>
      </c>
      <c r="Z192">
        <f>HYPERLINK("https://klasma.github.io/Logging_0883/fåglar/A 25435-2023 prioriterade fågelarter.docx", "A 25435-2023")</f>
        <v/>
      </c>
    </row>
    <row r="193" ht="15" customHeight="1">
      <c r="A193" t="inlineStr">
        <is>
          <t>A 32649-2023</t>
        </is>
      </c>
      <c r="B193" s="1" t="n">
        <v>45121</v>
      </c>
      <c r="C193" s="1" t="n">
        <v>45851</v>
      </c>
      <c r="D193" t="inlineStr">
        <is>
          <t>KALMAR LÄN</t>
        </is>
      </c>
      <c r="E193" t="inlineStr">
        <is>
          <t>VÄSTERVIK</t>
        </is>
      </c>
      <c r="G193" t="n">
        <v>1.7</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32649-2023 artfynd.xlsx", "A 32649-2023")</f>
        <v/>
      </c>
      <c r="T193">
        <f>HYPERLINK("https://klasma.github.io/Logging_0883/kartor/A 32649-2023 karta.png", "A 32649-2023")</f>
        <v/>
      </c>
      <c r="U193">
        <f>HYPERLINK("https://klasma.github.io/Logging_0883/knärot/A 32649-2023 karta knärot.png", "A 32649-2023")</f>
        <v/>
      </c>
      <c r="V193">
        <f>HYPERLINK("https://klasma.github.io/Logging_0883/klagomål/A 32649-2023 FSC-klagomål.docx", "A 32649-2023")</f>
        <v/>
      </c>
      <c r="W193">
        <f>HYPERLINK("https://klasma.github.io/Logging_0883/klagomålsmail/A 32649-2023 FSC-klagomål mail.docx", "A 32649-2023")</f>
        <v/>
      </c>
      <c r="X193">
        <f>HYPERLINK("https://klasma.github.io/Logging_0883/tillsyn/A 32649-2023 tillsynsbegäran.docx", "A 32649-2023")</f>
        <v/>
      </c>
      <c r="Y193">
        <f>HYPERLINK("https://klasma.github.io/Logging_0883/tillsynsmail/A 32649-2023 tillsynsbegäran mail.docx", "A 32649-2023")</f>
        <v/>
      </c>
    </row>
    <row r="194" ht="15" customHeight="1">
      <c r="A194" t="inlineStr">
        <is>
          <t>A 33824-2023</t>
        </is>
      </c>
      <c r="B194" s="1" t="n">
        <v>45133</v>
      </c>
      <c r="C194" s="1" t="n">
        <v>45851</v>
      </c>
      <c r="D194" t="inlineStr">
        <is>
          <t>KALMAR LÄN</t>
        </is>
      </c>
      <c r="E194" t="inlineStr">
        <is>
          <t>VÄSTERVIK</t>
        </is>
      </c>
      <c r="G194" t="n">
        <v>2</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33824-2023 artfynd.xlsx", "A 33824-2023")</f>
        <v/>
      </c>
      <c r="T194">
        <f>HYPERLINK("https://klasma.github.io/Logging_0883/kartor/A 33824-2023 karta.png", "A 33824-2023")</f>
        <v/>
      </c>
      <c r="U194">
        <f>HYPERLINK("https://klasma.github.io/Logging_0883/knärot/A 33824-2023 karta knärot.png", "A 33824-2023")</f>
        <v/>
      </c>
      <c r="V194">
        <f>HYPERLINK("https://klasma.github.io/Logging_0883/klagomål/A 33824-2023 FSC-klagomål.docx", "A 33824-2023")</f>
        <v/>
      </c>
      <c r="W194">
        <f>HYPERLINK("https://klasma.github.io/Logging_0883/klagomålsmail/A 33824-2023 FSC-klagomål mail.docx", "A 33824-2023")</f>
        <v/>
      </c>
      <c r="X194">
        <f>HYPERLINK("https://klasma.github.io/Logging_0883/tillsyn/A 33824-2023 tillsynsbegäran.docx", "A 33824-2023")</f>
        <v/>
      </c>
      <c r="Y194">
        <f>HYPERLINK("https://klasma.github.io/Logging_0883/tillsynsmail/A 33824-2023 tillsynsbegäran mail.docx", "A 33824-2023")</f>
        <v/>
      </c>
    </row>
    <row r="195" ht="15" customHeight="1">
      <c r="A195" t="inlineStr">
        <is>
          <t>A 33825-2023</t>
        </is>
      </c>
      <c r="B195" s="1" t="n">
        <v>45133</v>
      </c>
      <c r="C195" s="1" t="n">
        <v>45851</v>
      </c>
      <c r="D195" t="inlineStr">
        <is>
          <t>KALMAR LÄN</t>
        </is>
      </c>
      <c r="E195" t="inlineStr">
        <is>
          <t>VÄSTERVIK</t>
        </is>
      </c>
      <c r="G195" t="n">
        <v>2.2</v>
      </c>
      <c r="H195" t="n">
        <v>2</v>
      </c>
      <c r="I195" t="n">
        <v>0</v>
      </c>
      <c r="J195" t="n">
        <v>0</v>
      </c>
      <c r="K195" t="n">
        <v>1</v>
      </c>
      <c r="L195" t="n">
        <v>0</v>
      </c>
      <c r="M195" t="n">
        <v>0</v>
      </c>
      <c r="N195" t="n">
        <v>0</v>
      </c>
      <c r="O195" t="n">
        <v>1</v>
      </c>
      <c r="P195" t="n">
        <v>1</v>
      </c>
      <c r="Q195" t="n">
        <v>2</v>
      </c>
      <c r="R195" s="2" t="inlineStr">
        <is>
          <t>Knärot
Tjäder</t>
        </is>
      </c>
      <c r="S195">
        <f>HYPERLINK("https://klasma.github.io/Logging_0883/artfynd/A 33825-2023 artfynd.xlsx", "A 33825-2023")</f>
        <v/>
      </c>
      <c r="T195">
        <f>HYPERLINK("https://klasma.github.io/Logging_0883/kartor/A 33825-2023 karta.png", "A 33825-2023")</f>
        <v/>
      </c>
      <c r="U195">
        <f>HYPERLINK("https://klasma.github.io/Logging_0883/knärot/A 33825-2023 karta knärot.png", "A 33825-2023")</f>
        <v/>
      </c>
      <c r="V195">
        <f>HYPERLINK("https://klasma.github.io/Logging_0883/klagomål/A 33825-2023 FSC-klagomål.docx", "A 33825-2023")</f>
        <v/>
      </c>
      <c r="W195">
        <f>HYPERLINK("https://klasma.github.io/Logging_0883/klagomålsmail/A 33825-2023 FSC-klagomål mail.docx", "A 33825-2023")</f>
        <v/>
      </c>
      <c r="X195">
        <f>HYPERLINK("https://klasma.github.io/Logging_0883/tillsyn/A 33825-2023 tillsynsbegäran.docx", "A 33825-2023")</f>
        <v/>
      </c>
      <c r="Y195">
        <f>HYPERLINK("https://klasma.github.io/Logging_0883/tillsynsmail/A 33825-2023 tillsynsbegäran mail.docx", "A 33825-2023")</f>
        <v/>
      </c>
      <c r="Z195">
        <f>HYPERLINK("https://klasma.github.io/Logging_0883/fåglar/A 33825-2023 prioriterade fågelarter.docx", "A 33825-2023")</f>
        <v/>
      </c>
    </row>
    <row r="196" ht="15" customHeight="1">
      <c r="A196" t="inlineStr">
        <is>
          <t>A 34120-2023</t>
        </is>
      </c>
      <c r="B196" s="1" t="n">
        <v>45135</v>
      </c>
      <c r="C196" s="1" t="n">
        <v>45851</v>
      </c>
      <c r="D196" t="inlineStr">
        <is>
          <t>KALMAR LÄN</t>
        </is>
      </c>
      <c r="E196" t="inlineStr">
        <is>
          <t>VÄSTERVIK</t>
        </is>
      </c>
      <c r="G196" t="n">
        <v>2.1</v>
      </c>
      <c r="H196" t="n">
        <v>1</v>
      </c>
      <c r="I196" t="n">
        <v>1</v>
      </c>
      <c r="J196" t="n">
        <v>0</v>
      </c>
      <c r="K196" t="n">
        <v>1</v>
      </c>
      <c r="L196" t="n">
        <v>0</v>
      </c>
      <c r="M196" t="n">
        <v>0</v>
      </c>
      <c r="N196" t="n">
        <v>0</v>
      </c>
      <c r="O196" t="n">
        <v>1</v>
      </c>
      <c r="P196" t="n">
        <v>1</v>
      </c>
      <c r="Q196" t="n">
        <v>2</v>
      </c>
      <c r="R196" s="2" t="inlineStr">
        <is>
          <t>Knärot
Blodticka</t>
        </is>
      </c>
      <c r="S196">
        <f>HYPERLINK("https://klasma.github.io/Logging_0883/artfynd/A 34120-2023 artfynd.xlsx", "A 34120-2023")</f>
        <v/>
      </c>
      <c r="T196">
        <f>HYPERLINK("https://klasma.github.io/Logging_0883/kartor/A 34120-2023 karta.png", "A 34120-2023")</f>
        <v/>
      </c>
      <c r="U196">
        <f>HYPERLINK("https://klasma.github.io/Logging_0883/knärot/A 34120-2023 karta knärot.png", "A 34120-2023")</f>
        <v/>
      </c>
      <c r="V196">
        <f>HYPERLINK("https://klasma.github.io/Logging_0883/klagomål/A 34120-2023 FSC-klagomål.docx", "A 34120-2023")</f>
        <v/>
      </c>
      <c r="W196">
        <f>HYPERLINK("https://klasma.github.io/Logging_0883/klagomålsmail/A 34120-2023 FSC-klagomål mail.docx", "A 34120-2023")</f>
        <v/>
      </c>
      <c r="X196">
        <f>HYPERLINK("https://klasma.github.io/Logging_0883/tillsyn/A 34120-2023 tillsynsbegäran.docx", "A 34120-2023")</f>
        <v/>
      </c>
      <c r="Y196">
        <f>HYPERLINK("https://klasma.github.io/Logging_0883/tillsynsmail/A 34120-2023 tillsynsbegäran mail.docx", "A 34120-2023")</f>
        <v/>
      </c>
    </row>
    <row r="197" ht="15" customHeight="1">
      <c r="A197" t="inlineStr">
        <is>
          <t>A 34119-2023</t>
        </is>
      </c>
      <c r="B197" s="1" t="n">
        <v>45135</v>
      </c>
      <c r="C197" s="1" t="n">
        <v>45851</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Blomkålssvamp</t>
        </is>
      </c>
      <c r="S197">
        <f>HYPERLINK("https://klasma.github.io/Logging_0883/artfynd/A 34119-2023 artfynd.xlsx", "A 34119-2023")</f>
        <v/>
      </c>
      <c r="T197">
        <f>HYPERLINK("https://klasma.github.io/Logging_0883/kartor/A 34119-2023 karta.png", "A 34119-2023")</f>
        <v/>
      </c>
      <c r="U197">
        <f>HYPERLINK("https://klasma.github.io/Logging_0883/knärot/A 34119-2023 karta knärot.png", "A 34119-2023")</f>
        <v/>
      </c>
      <c r="V197">
        <f>HYPERLINK("https://klasma.github.io/Logging_0883/klagomål/A 34119-2023 FSC-klagomål.docx", "A 34119-2023")</f>
        <v/>
      </c>
      <c r="W197">
        <f>HYPERLINK("https://klasma.github.io/Logging_0883/klagomålsmail/A 34119-2023 FSC-klagomål mail.docx", "A 34119-2023")</f>
        <v/>
      </c>
      <c r="X197">
        <f>HYPERLINK("https://klasma.github.io/Logging_0883/tillsyn/A 34119-2023 tillsynsbegäran.docx", "A 34119-2023")</f>
        <v/>
      </c>
      <c r="Y197">
        <f>HYPERLINK("https://klasma.github.io/Logging_0883/tillsynsmail/A 34119-2023 tillsynsbegäran mail.docx", "A 34119-2023")</f>
        <v/>
      </c>
    </row>
    <row r="198" ht="15" customHeight="1">
      <c r="A198" t="inlineStr">
        <is>
          <t>A 38036-2023</t>
        </is>
      </c>
      <c r="B198" s="1" t="n">
        <v>45160</v>
      </c>
      <c r="C198" s="1" t="n">
        <v>45851</v>
      </c>
      <c r="D198" t="inlineStr">
        <is>
          <t>KALMAR LÄN</t>
        </is>
      </c>
      <c r="E198" t="inlineStr">
        <is>
          <t>VÄSTERVIK</t>
        </is>
      </c>
      <c r="F198" t="inlineStr">
        <is>
          <t>Sveaskog</t>
        </is>
      </c>
      <c r="G198" t="n">
        <v>4.2</v>
      </c>
      <c r="H198" t="n">
        <v>2</v>
      </c>
      <c r="I198" t="n">
        <v>0</v>
      </c>
      <c r="J198" t="n">
        <v>2</v>
      </c>
      <c r="K198" t="n">
        <v>0</v>
      </c>
      <c r="L198" t="n">
        <v>0</v>
      </c>
      <c r="M198" t="n">
        <v>0</v>
      </c>
      <c r="N198" t="n">
        <v>0</v>
      </c>
      <c r="O198" t="n">
        <v>2</v>
      </c>
      <c r="P198" t="n">
        <v>0</v>
      </c>
      <c r="Q198" t="n">
        <v>2</v>
      </c>
      <c r="R198" s="2" t="inlineStr">
        <is>
          <t>Barbastell
Nordfladdermus</t>
        </is>
      </c>
      <c r="S198">
        <f>HYPERLINK("https://klasma.github.io/Logging_0883/artfynd/A 38036-2023 artfynd.xlsx", "A 38036-2023")</f>
        <v/>
      </c>
      <c r="T198">
        <f>HYPERLINK("https://klasma.github.io/Logging_0883/kartor/A 38036-2023 karta.png", "A 38036-2023")</f>
        <v/>
      </c>
      <c r="V198">
        <f>HYPERLINK("https://klasma.github.io/Logging_0883/klagomål/A 38036-2023 FSC-klagomål.docx", "A 38036-2023")</f>
        <v/>
      </c>
      <c r="W198">
        <f>HYPERLINK("https://klasma.github.io/Logging_0883/klagomålsmail/A 38036-2023 FSC-klagomål mail.docx", "A 38036-2023")</f>
        <v/>
      </c>
      <c r="X198">
        <f>HYPERLINK("https://klasma.github.io/Logging_0883/tillsyn/A 38036-2023 tillsynsbegäran.docx", "A 38036-2023")</f>
        <v/>
      </c>
      <c r="Y198">
        <f>HYPERLINK("https://klasma.github.io/Logging_0883/tillsynsmail/A 38036-2023 tillsynsbegäran mail.docx", "A 38036-2023")</f>
        <v/>
      </c>
    </row>
    <row r="199" ht="15" customHeight="1">
      <c r="A199" t="inlineStr">
        <is>
          <t>A 46089-2023</t>
        </is>
      </c>
      <c r="B199" s="1" t="n">
        <v>45196</v>
      </c>
      <c r="C199" s="1" t="n">
        <v>45851</v>
      </c>
      <c r="D199" t="inlineStr">
        <is>
          <t>KALMAR LÄN</t>
        </is>
      </c>
      <c r="E199" t="inlineStr">
        <is>
          <t>VÄSTERVIK</t>
        </is>
      </c>
      <c r="F199" t="inlineStr">
        <is>
          <t>Sveaskog</t>
        </is>
      </c>
      <c r="G199" t="n">
        <v>1.1</v>
      </c>
      <c r="H199" t="n">
        <v>1</v>
      </c>
      <c r="I199" t="n">
        <v>1</v>
      </c>
      <c r="J199" t="n">
        <v>0</v>
      </c>
      <c r="K199" t="n">
        <v>0</v>
      </c>
      <c r="L199" t="n">
        <v>0</v>
      </c>
      <c r="M199" t="n">
        <v>0</v>
      </c>
      <c r="N199" t="n">
        <v>0</v>
      </c>
      <c r="O199" t="n">
        <v>0</v>
      </c>
      <c r="P199" t="n">
        <v>0</v>
      </c>
      <c r="Q199" t="n">
        <v>2</v>
      </c>
      <c r="R199" s="2" t="inlineStr">
        <is>
          <t>Fällmossa
Blåsippa</t>
        </is>
      </c>
      <c r="S199">
        <f>HYPERLINK("https://klasma.github.io/Logging_0883/artfynd/A 46089-2023 artfynd.xlsx", "A 46089-2023")</f>
        <v/>
      </c>
      <c r="T199">
        <f>HYPERLINK("https://klasma.github.io/Logging_0883/kartor/A 46089-2023 karta.png", "A 46089-2023")</f>
        <v/>
      </c>
      <c r="V199">
        <f>HYPERLINK("https://klasma.github.io/Logging_0883/klagomål/A 46089-2023 FSC-klagomål.docx", "A 46089-2023")</f>
        <v/>
      </c>
      <c r="W199">
        <f>HYPERLINK("https://klasma.github.io/Logging_0883/klagomålsmail/A 46089-2023 FSC-klagomål mail.docx", "A 46089-2023")</f>
        <v/>
      </c>
      <c r="X199">
        <f>HYPERLINK("https://klasma.github.io/Logging_0883/tillsyn/A 46089-2023 tillsynsbegäran.docx", "A 46089-2023")</f>
        <v/>
      </c>
      <c r="Y199">
        <f>HYPERLINK("https://klasma.github.io/Logging_0883/tillsynsmail/A 46089-2023 tillsynsbegäran mail.docx", "A 46089-2023")</f>
        <v/>
      </c>
    </row>
    <row r="200" ht="15" customHeight="1">
      <c r="A200" t="inlineStr">
        <is>
          <t>A 47935-2023</t>
        </is>
      </c>
      <c r="B200" s="1" t="n">
        <v>45204</v>
      </c>
      <c r="C200" s="1" t="n">
        <v>45851</v>
      </c>
      <c r="D200" t="inlineStr">
        <is>
          <t>KALMAR LÄN</t>
        </is>
      </c>
      <c r="E200" t="inlineStr">
        <is>
          <t>VÄSTERVIK</t>
        </is>
      </c>
      <c r="G200" t="n">
        <v>4.3</v>
      </c>
      <c r="H200" t="n">
        <v>0</v>
      </c>
      <c r="I200" t="n">
        <v>1</v>
      </c>
      <c r="J200" t="n">
        <v>1</v>
      </c>
      <c r="K200" t="n">
        <v>0</v>
      </c>
      <c r="L200" t="n">
        <v>0</v>
      </c>
      <c r="M200" t="n">
        <v>0</v>
      </c>
      <c r="N200" t="n">
        <v>0</v>
      </c>
      <c r="O200" t="n">
        <v>1</v>
      </c>
      <c r="P200" t="n">
        <v>0</v>
      </c>
      <c r="Q200" t="n">
        <v>2</v>
      </c>
      <c r="R200" s="2" t="inlineStr">
        <is>
          <t>Tallticka
Blåmossa</t>
        </is>
      </c>
      <c r="S200">
        <f>HYPERLINK("https://klasma.github.io/Logging_0883/artfynd/A 47935-2023 artfynd.xlsx", "A 47935-2023")</f>
        <v/>
      </c>
      <c r="T200">
        <f>HYPERLINK("https://klasma.github.io/Logging_0883/kartor/A 47935-2023 karta.png", "A 47935-2023")</f>
        <v/>
      </c>
      <c r="V200">
        <f>HYPERLINK("https://klasma.github.io/Logging_0883/klagomål/A 47935-2023 FSC-klagomål.docx", "A 47935-2023")</f>
        <v/>
      </c>
      <c r="W200">
        <f>HYPERLINK("https://klasma.github.io/Logging_0883/klagomålsmail/A 47935-2023 FSC-klagomål mail.docx", "A 47935-2023")</f>
        <v/>
      </c>
      <c r="X200">
        <f>HYPERLINK("https://klasma.github.io/Logging_0883/tillsyn/A 47935-2023 tillsynsbegäran.docx", "A 47935-2023")</f>
        <v/>
      </c>
      <c r="Y200">
        <f>HYPERLINK("https://klasma.github.io/Logging_0883/tillsynsmail/A 47935-2023 tillsynsbegäran mail.docx", "A 47935-2023")</f>
        <v/>
      </c>
    </row>
    <row r="201" ht="15" customHeight="1">
      <c r="A201" t="inlineStr">
        <is>
          <t>A 54360-2023</t>
        </is>
      </c>
      <c r="B201" s="1" t="n">
        <v>45233</v>
      </c>
      <c r="C201" s="1" t="n">
        <v>45851</v>
      </c>
      <c r="D201" t="inlineStr">
        <is>
          <t>KALMAR LÄN</t>
        </is>
      </c>
      <c r="E201" t="inlineStr">
        <is>
          <t>VÄSTERVIK</t>
        </is>
      </c>
      <c r="F201" t="inlineStr">
        <is>
          <t>Sveaskog</t>
        </is>
      </c>
      <c r="G201" t="n">
        <v>8.5</v>
      </c>
      <c r="H201" t="n">
        <v>1</v>
      </c>
      <c r="I201" t="n">
        <v>0</v>
      </c>
      <c r="J201" t="n">
        <v>1</v>
      </c>
      <c r="K201" t="n">
        <v>0</v>
      </c>
      <c r="L201" t="n">
        <v>0</v>
      </c>
      <c r="M201" t="n">
        <v>0</v>
      </c>
      <c r="N201" t="n">
        <v>0</v>
      </c>
      <c r="O201" t="n">
        <v>1</v>
      </c>
      <c r="P201" t="n">
        <v>0</v>
      </c>
      <c r="Q201" t="n">
        <v>2</v>
      </c>
      <c r="R201" s="2" t="inlineStr">
        <is>
          <t>Spindelört
Mattlummer</t>
        </is>
      </c>
      <c r="S201">
        <f>HYPERLINK("https://klasma.github.io/Logging_0883/artfynd/A 54360-2023 artfynd.xlsx", "A 54360-2023")</f>
        <v/>
      </c>
      <c r="T201">
        <f>HYPERLINK("https://klasma.github.io/Logging_0883/kartor/A 54360-2023 karta.png", "A 54360-2023")</f>
        <v/>
      </c>
      <c r="V201">
        <f>HYPERLINK("https://klasma.github.io/Logging_0883/klagomål/A 54360-2023 FSC-klagomål.docx", "A 54360-2023")</f>
        <v/>
      </c>
      <c r="W201">
        <f>HYPERLINK("https://klasma.github.io/Logging_0883/klagomålsmail/A 54360-2023 FSC-klagomål mail.docx", "A 54360-2023")</f>
        <v/>
      </c>
      <c r="X201">
        <f>HYPERLINK("https://klasma.github.io/Logging_0883/tillsyn/A 54360-2023 tillsynsbegäran.docx", "A 54360-2023")</f>
        <v/>
      </c>
      <c r="Y201">
        <f>HYPERLINK("https://klasma.github.io/Logging_0883/tillsynsmail/A 54360-2023 tillsynsbegäran mail.docx", "A 54360-2023")</f>
        <v/>
      </c>
    </row>
    <row r="202" ht="15" customHeight="1">
      <c r="A202" t="inlineStr">
        <is>
          <t>A 54800-2023</t>
        </is>
      </c>
      <c r="B202" s="1" t="n">
        <v>45236</v>
      </c>
      <c r="C202" s="1" t="n">
        <v>45851</v>
      </c>
      <c r="D202" t="inlineStr">
        <is>
          <t>KALMAR LÄN</t>
        </is>
      </c>
      <c r="E202" t="inlineStr">
        <is>
          <t>VÄSTERVIK</t>
        </is>
      </c>
      <c r="G202" t="n">
        <v>0.7</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54800-2023 artfynd.xlsx", "A 54800-2023")</f>
        <v/>
      </c>
      <c r="T202">
        <f>HYPERLINK("https://klasma.github.io/Logging_0883/kartor/A 54800-2023 karta.png", "A 54800-2023")</f>
        <v/>
      </c>
      <c r="U202">
        <f>HYPERLINK("https://klasma.github.io/Logging_0883/knärot/A 54800-2023 karta knärot.png", "A 54800-2023")</f>
        <v/>
      </c>
      <c r="V202">
        <f>HYPERLINK("https://klasma.github.io/Logging_0883/klagomål/A 54800-2023 FSC-klagomål.docx", "A 54800-2023")</f>
        <v/>
      </c>
      <c r="W202">
        <f>HYPERLINK("https://klasma.github.io/Logging_0883/klagomålsmail/A 54800-2023 FSC-klagomål mail.docx", "A 54800-2023")</f>
        <v/>
      </c>
      <c r="X202">
        <f>HYPERLINK("https://klasma.github.io/Logging_0883/tillsyn/A 54800-2023 tillsynsbegäran.docx", "A 54800-2023")</f>
        <v/>
      </c>
      <c r="Y202">
        <f>HYPERLINK("https://klasma.github.io/Logging_0883/tillsynsmail/A 54800-2023 tillsynsbegäran mail.docx", "A 54800-2023")</f>
        <v/>
      </c>
      <c r="Z202">
        <f>HYPERLINK("https://klasma.github.io/Logging_0883/fåglar/A 54800-2023 prioriterade fågelarter.docx", "A 54800-2023")</f>
        <v/>
      </c>
    </row>
    <row r="203" ht="15" customHeight="1">
      <c r="A203" t="inlineStr">
        <is>
          <t>A 55408-2023</t>
        </is>
      </c>
      <c r="B203" s="1" t="n">
        <v>45238</v>
      </c>
      <c r="C203" s="1" t="n">
        <v>45851</v>
      </c>
      <c r="D203" t="inlineStr">
        <is>
          <t>KALMAR LÄN</t>
        </is>
      </c>
      <c r="E203" t="inlineStr">
        <is>
          <t>VÄSTERVIK</t>
        </is>
      </c>
      <c r="G203" t="n">
        <v>2.8</v>
      </c>
      <c r="H203" t="n">
        <v>0</v>
      </c>
      <c r="I203" t="n">
        <v>0</v>
      </c>
      <c r="J203" t="n">
        <v>2</v>
      </c>
      <c r="K203" t="n">
        <v>0</v>
      </c>
      <c r="L203" t="n">
        <v>0</v>
      </c>
      <c r="M203" t="n">
        <v>0</v>
      </c>
      <c r="N203" t="n">
        <v>0</v>
      </c>
      <c r="O203" t="n">
        <v>2</v>
      </c>
      <c r="P203" t="n">
        <v>0</v>
      </c>
      <c r="Q203" t="n">
        <v>2</v>
      </c>
      <c r="R203" s="2" t="inlineStr">
        <is>
          <t>Ekticka
Tallticka</t>
        </is>
      </c>
      <c r="S203">
        <f>HYPERLINK("https://klasma.github.io/Logging_0883/artfynd/A 55408-2023 artfynd.xlsx", "A 55408-2023")</f>
        <v/>
      </c>
      <c r="T203">
        <f>HYPERLINK("https://klasma.github.io/Logging_0883/kartor/A 55408-2023 karta.png", "A 55408-2023")</f>
        <v/>
      </c>
      <c r="V203">
        <f>HYPERLINK("https://klasma.github.io/Logging_0883/klagomål/A 55408-2023 FSC-klagomål.docx", "A 55408-2023")</f>
        <v/>
      </c>
      <c r="W203">
        <f>HYPERLINK("https://klasma.github.io/Logging_0883/klagomålsmail/A 55408-2023 FSC-klagomål mail.docx", "A 55408-2023")</f>
        <v/>
      </c>
      <c r="X203">
        <f>HYPERLINK("https://klasma.github.io/Logging_0883/tillsyn/A 55408-2023 tillsynsbegäran.docx", "A 55408-2023")</f>
        <v/>
      </c>
      <c r="Y203">
        <f>HYPERLINK("https://klasma.github.io/Logging_0883/tillsynsmail/A 55408-2023 tillsynsbegäran mail.docx", "A 55408-2023")</f>
        <v/>
      </c>
    </row>
    <row r="204" ht="15" customHeight="1">
      <c r="A204" t="inlineStr">
        <is>
          <t>A 56857-2023</t>
        </is>
      </c>
      <c r="B204" s="1" t="n">
        <v>45244</v>
      </c>
      <c r="C204" s="1" t="n">
        <v>45851</v>
      </c>
      <c r="D204" t="inlineStr">
        <is>
          <t>KALMAR LÄN</t>
        </is>
      </c>
      <c r="E204" t="inlineStr">
        <is>
          <t>VÄSTERVIK</t>
        </is>
      </c>
      <c r="F204" t="inlineStr">
        <is>
          <t>Kyrkan</t>
        </is>
      </c>
      <c r="G204" t="n">
        <v>7.5</v>
      </c>
      <c r="H204" t="n">
        <v>1</v>
      </c>
      <c r="I204" t="n">
        <v>1</v>
      </c>
      <c r="J204" t="n">
        <v>0</v>
      </c>
      <c r="K204" t="n">
        <v>1</v>
      </c>
      <c r="L204" t="n">
        <v>0</v>
      </c>
      <c r="M204" t="n">
        <v>0</v>
      </c>
      <c r="N204" t="n">
        <v>0</v>
      </c>
      <c r="O204" t="n">
        <v>1</v>
      </c>
      <c r="P204" t="n">
        <v>1</v>
      </c>
      <c r="Q204" t="n">
        <v>2</v>
      </c>
      <c r="R204" s="2" t="inlineStr">
        <is>
          <t>Knärot
Grönpyrola</t>
        </is>
      </c>
      <c r="S204">
        <f>HYPERLINK("https://klasma.github.io/Logging_0883/artfynd/A 56857-2023 artfynd.xlsx", "A 56857-2023")</f>
        <v/>
      </c>
      <c r="T204">
        <f>HYPERLINK("https://klasma.github.io/Logging_0883/kartor/A 56857-2023 karta.png", "A 56857-2023")</f>
        <v/>
      </c>
      <c r="U204">
        <f>HYPERLINK("https://klasma.github.io/Logging_0883/knärot/A 56857-2023 karta knärot.png", "A 56857-2023")</f>
        <v/>
      </c>
      <c r="V204">
        <f>HYPERLINK("https://klasma.github.io/Logging_0883/klagomål/A 56857-2023 FSC-klagomål.docx", "A 56857-2023")</f>
        <v/>
      </c>
      <c r="W204">
        <f>HYPERLINK("https://klasma.github.io/Logging_0883/klagomålsmail/A 56857-2023 FSC-klagomål mail.docx", "A 56857-2023")</f>
        <v/>
      </c>
      <c r="X204">
        <f>HYPERLINK("https://klasma.github.io/Logging_0883/tillsyn/A 56857-2023 tillsynsbegäran.docx", "A 56857-2023")</f>
        <v/>
      </c>
      <c r="Y204">
        <f>HYPERLINK("https://klasma.github.io/Logging_0883/tillsynsmail/A 56857-2023 tillsynsbegäran mail.docx", "A 56857-2023")</f>
        <v/>
      </c>
    </row>
    <row r="205" ht="15" customHeight="1">
      <c r="A205" t="inlineStr">
        <is>
          <t>A 60631-2023</t>
        </is>
      </c>
      <c r="B205" s="1" t="n">
        <v>45260</v>
      </c>
      <c r="C205" s="1" t="n">
        <v>45851</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Blomkålssvamp
Revlummer</t>
        </is>
      </c>
      <c r="S205">
        <f>HYPERLINK("https://klasma.github.io/Logging_0883/artfynd/A 60631-2023 artfynd.xlsx", "A 60631-2023")</f>
        <v/>
      </c>
      <c r="T205">
        <f>HYPERLINK("https://klasma.github.io/Logging_0883/kartor/A 60631-2023 karta.png", "A 60631-2023")</f>
        <v/>
      </c>
      <c r="V205">
        <f>HYPERLINK("https://klasma.github.io/Logging_0883/klagomål/A 60631-2023 FSC-klagomål.docx", "A 60631-2023")</f>
        <v/>
      </c>
      <c r="W205">
        <f>HYPERLINK("https://klasma.github.io/Logging_0883/klagomålsmail/A 60631-2023 FSC-klagomål mail.docx", "A 60631-2023")</f>
        <v/>
      </c>
      <c r="X205">
        <f>HYPERLINK("https://klasma.github.io/Logging_0883/tillsyn/A 60631-2023 tillsynsbegäran.docx", "A 60631-2023")</f>
        <v/>
      </c>
      <c r="Y205">
        <f>HYPERLINK("https://klasma.github.io/Logging_0883/tillsynsmail/A 60631-2023 tillsynsbegäran mail.docx", "A 60631-2023")</f>
        <v/>
      </c>
    </row>
    <row r="206" ht="15" customHeight="1">
      <c r="A206" t="inlineStr">
        <is>
          <t>A 60920-2023</t>
        </is>
      </c>
      <c r="B206" s="1" t="n">
        <v>45261</v>
      </c>
      <c r="C206" s="1" t="n">
        <v>45851</v>
      </c>
      <c r="D206" t="inlineStr">
        <is>
          <t>KALMAR LÄN</t>
        </is>
      </c>
      <c r="E206" t="inlineStr">
        <is>
          <t>VÄSTERVIK</t>
        </is>
      </c>
      <c r="G206" t="n">
        <v>10.1</v>
      </c>
      <c r="H206" t="n">
        <v>0</v>
      </c>
      <c r="I206" t="n">
        <v>0</v>
      </c>
      <c r="J206" t="n">
        <v>2</v>
      </c>
      <c r="K206" t="n">
        <v>0</v>
      </c>
      <c r="L206" t="n">
        <v>0</v>
      </c>
      <c r="M206" t="n">
        <v>0</v>
      </c>
      <c r="N206" t="n">
        <v>0</v>
      </c>
      <c r="O206" t="n">
        <v>2</v>
      </c>
      <c r="P206" t="n">
        <v>0</v>
      </c>
      <c r="Q206" t="n">
        <v>2</v>
      </c>
      <c r="R206" s="2" t="inlineStr">
        <is>
          <t>Solvända
Spindelört</t>
        </is>
      </c>
      <c r="S206">
        <f>HYPERLINK("https://klasma.github.io/Logging_0883/artfynd/A 60920-2023 artfynd.xlsx", "A 60920-2023")</f>
        <v/>
      </c>
      <c r="T206">
        <f>HYPERLINK("https://klasma.github.io/Logging_0883/kartor/A 60920-2023 karta.png", "A 60920-2023")</f>
        <v/>
      </c>
      <c r="V206">
        <f>HYPERLINK("https://klasma.github.io/Logging_0883/klagomål/A 60920-2023 FSC-klagomål.docx", "A 60920-2023")</f>
        <v/>
      </c>
      <c r="W206">
        <f>HYPERLINK("https://klasma.github.io/Logging_0883/klagomålsmail/A 60920-2023 FSC-klagomål mail.docx", "A 60920-2023")</f>
        <v/>
      </c>
      <c r="X206">
        <f>HYPERLINK("https://klasma.github.io/Logging_0883/tillsyn/A 60920-2023 tillsynsbegäran.docx", "A 60920-2023")</f>
        <v/>
      </c>
      <c r="Y206">
        <f>HYPERLINK("https://klasma.github.io/Logging_0883/tillsynsmail/A 60920-2023 tillsynsbegäran mail.docx", "A 60920-2023")</f>
        <v/>
      </c>
    </row>
    <row r="207" ht="15" customHeight="1">
      <c r="A207" t="inlineStr">
        <is>
          <t>A 61804-2023</t>
        </is>
      </c>
      <c r="B207" s="1" t="n">
        <v>45266</v>
      </c>
      <c r="C207" s="1" t="n">
        <v>45851</v>
      </c>
      <c r="D207" t="inlineStr">
        <is>
          <t>KALMAR LÄN</t>
        </is>
      </c>
      <c r="E207" t="inlineStr">
        <is>
          <t>VÄSTERVIK</t>
        </is>
      </c>
      <c r="G207" t="n">
        <v>2.3</v>
      </c>
      <c r="H207" t="n">
        <v>0</v>
      </c>
      <c r="I207" t="n">
        <v>0</v>
      </c>
      <c r="J207" t="n">
        <v>2</v>
      </c>
      <c r="K207" t="n">
        <v>0</v>
      </c>
      <c r="L207" t="n">
        <v>0</v>
      </c>
      <c r="M207" t="n">
        <v>0</v>
      </c>
      <c r="N207" t="n">
        <v>0</v>
      </c>
      <c r="O207" t="n">
        <v>2</v>
      </c>
      <c r="P207" t="n">
        <v>0</v>
      </c>
      <c r="Q207" t="n">
        <v>2</v>
      </c>
      <c r="R207" s="2" t="inlineStr">
        <is>
          <t>Bredbrämad bastardsvärmare
Smalsprötad bastardsvärmare</t>
        </is>
      </c>
      <c r="S207">
        <f>HYPERLINK("https://klasma.github.io/Logging_0883/artfynd/A 61804-2023 artfynd.xlsx", "A 61804-2023")</f>
        <v/>
      </c>
      <c r="T207">
        <f>HYPERLINK("https://klasma.github.io/Logging_0883/kartor/A 61804-2023 karta.png", "A 61804-2023")</f>
        <v/>
      </c>
      <c r="V207">
        <f>HYPERLINK("https://klasma.github.io/Logging_0883/klagomål/A 61804-2023 FSC-klagomål.docx", "A 61804-2023")</f>
        <v/>
      </c>
      <c r="W207">
        <f>HYPERLINK("https://klasma.github.io/Logging_0883/klagomålsmail/A 61804-2023 FSC-klagomål mail.docx", "A 61804-2023")</f>
        <v/>
      </c>
      <c r="X207">
        <f>HYPERLINK("https://klasma.github.io/Logging_0883/tillsyn/A 61804-2023 tillsynsbegäran.docx", "A 61804-2023")</f>
        <v/>
      </c>
      <c r="Y207">
        <f>HYPERLINK("https://klasma.github.io/Logging_0883/tillsynsmail/A 61804-2023 tillsynsbegäran mail.docx", "A 61804-2023")</f>
        <v/>
      </c>
    </row>
    <row r="208" ht="15" customHeight="1">
      <c r="A208" t="inlineStr">
        <is>
          <t>A 62008-2023</t>
        </is>
      </c>
      <c r="B208" s="1" t="n">
        <v>45266</v>
      </c>
      <c r="C208" s="1" t="n">
        <v>45851</v>
      </c>
      <c r="D208" t="inlineStr">
        <is>
          <t>KALMAR LÄN</t>
        </is>
      </c>
      <c r="E208" t="inlineStr">
        <is>
          <t>VÄSTERVIK</t>
        </is>
      </c>
      <c r="G208" t="n">
        <v>4</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62008-2023 artfynd.xlsx", "A 62008-2023")</f>
        <v/>
      </c>
      <c r="T208">
        <f>HYPERLINK("https://klasma.github.io/Logging_0883/kartor/A 62008-2023 karta.png", "A 62008-2023")</f>
        <v/>
      </c>
      <c r="U208">
        <f>HYPERLINK("https://klasma.github.io/Logging_0883/knärot/A 62008-2023 karta knärot.png", "A 62008-2023")</f>
        <v/>
      </c>
      <c r="V208">
        <f>HYPERLINK("https://klasma.github.io/Logging_0883/klagomål/A 62008-2023 FSC-klagomål.docx", "A 62008-2023")</f>
        <v/>
      </c>
      <c r="W208">
        <f>HYPERLINK("https://klasma.github.io/Logging_0883/klagomålsmail/A 62008-2023 FSC-klagomål mail.docx", "A 62008-2023")</f>
        <v/>
      </c>
      <c r="X208">
        <f>HYPERLINK("https://klasma.github.io/Logging_0883/tillsyn/A 62008-2023 tillsynsbegäran.docx", "A 62008-2023")</f>
        <v/>
      </c>
      <c r="Y208">
        <f>HYPERLINK("https://klasma.github.io/Logging_0883/tillsynsmail/A 62008-2023 tillsynsbegäran mail.docx", "A 62008-2023")</f>
        <v/>
      </c>
      <c r="Z208">
        <f>HYPERLINK("https://klasma.github.io/Logging_0883/fåglar/A 62008-2023 prioriterade fågelarter.docx", "A 62008-2023")</f>
        <v/>
      </c>
    </row>
    <row r="209" ht="15" customHeight="1">
      <c r="A209" t="inlineStr">
        <is>
          <t>A 62029-2023</t>
        </is>
      </c>
      <c r="B209" s="1" t="n">
        <v>45266</v>
      </c>
      <c r="C209" s="1" t="n">
        <v>45851</v>
      </c>
      <c r="D209" t="inlineStr">
        <is>
          <t>KALMAR LÄN</t>
        </is>
      </c>
      <c r="E209" t="inlineStr">
        <is>
          <t>VÄSTERVIK</t>
        </is>
      </c>
      <c r="G209" t="n">
        <v>4.8</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62029-2023 artfynd.xlsx", "A 62029-2023")</f>
        <v/>
      </c>
      <c r="T209">
        <f>HYPERLINK("https://klasma.github.io/Logging_0883/kartor/A 62029-2023 karta.png", "A 62029-2023")</f>
        <v/>
      </c>
      <c r="V209">
        <f>HYPERLINK("https://klasma.github.io/Logging_0883/klagomål/A 62029-2023 FSC-klagomål.docx", "A 62029-2023")</f>
        <v/>
      </c>
      <c r="W209">
        <f>HYPERLINK("https://klasma.github.io/Logging_0883/klagomålsmail/A 62029-2023 FSC-klagomål mail.docx", "A 62029-2023")</f>
        <v/>
      </c>
      <c r="X209">
        <f>HYPERLINK("https://klasma.github.io/Logging_0883/tillsyn/A 62029-2023 tillsynsbegäran.docx", "A 62029-2023")</f>
        <v/>
      </c>
      <c r="Y209">
        <f>HYPERLINK("https://klasma.github.io/Logging_0883/tillsynsmail/A 62029-2023 tillsynsbegäran mail.docx", "A 62029-2023")</f>
        <v/>
      </c>
      <c r="Z209">
        <f>HYPERLINK("https://klasma.github.io/Logging_0883/fåglar/A 62029-2023 prioriterade fågelarter.docx", "A 62029-2023")</f>
        <v/>
      </c>
    </row>
    <row r="210" ht="15" customHeight="1">
      <c r="A210" t="inlineStr">
        <is>
          <t>A 64761-2023</t>
        </is>
      </c>
      <c r="B210" s="1" t="n">
        <v>45282</v>
      </c>
      <c r="C210" s="1" t="n">
        <v>45851</v>
      </c>
      <c r="D210" t="inlineStr">
        <is>
          <t>KALMAR LÄN</t>
        </is>
      </c>
      <c r="E210" t="inlineStr">
        <is>
          <t>VÄSTERVIK</t>
        </is>
      </c>
      <c r="F210" t="inlineStr">
        <is>
          <t>Övriga Aktiebolag</t>
        </is>
      </c>
      <c r="G210" t="n">
        <v>5.8</v>
      </c>
      <c r="H210" t="n">
        <v>2</v>
      </c>
      <c r="I210" t="n">
        <v>0</v>
      </c>
      <c r="J210" t="n">
        <v>1</v>
      </c>
      <c r="K210" t="n">
        <v>1</v>
      </c>
      <c r="L210" t="n">
        <v>0</v>
      </c>
      <c r="M210" t="n">
        <v>0</v>
      </c>
      <c r="N210" t="n">
        <v>0</v>
      </c>
      <c r="O210" t="n">
        <v>2</v>
      </c>
      <c r="P210" t="n">
        <v>1</v>
      </c>
      <c r="Q210" t="n">
        <v>2</v>
      </c>
      <c r="R210" s="2" t="inlineStr">
        <is>
          <t>Knärot
Spillkråka</t>
        </is>
      </c>
      <c r="S210">
        <f>HYPERLINK("https://klasma.github.io/Logging_0883/artfynd/A 64761-2023 artfynd.xlsx", "A 64761-2023")</f>
        <v/>
      </c>
      <c r="T210">
        <f>HYPERLINK("https://klasma.github.io/Logging_0883/kartor/A 64761-2023 karta.png", "A 64761-2023")</f>
        <v/>
      </c>
      <c r="U210">
        <f>HYPERLINK("https://klasma.github.io/Logging_0883/knärot/A 64761-2023 karta knärot.png", "A 64761-2023")</f>
        <v/>
      </c>
      <c r="V210">
        <f>HYPERLINK("https://klasma.github.io/Logging_0883/klagomål/A 64761-2023 FSC-klagomål.docx", "A 64761-2023")</f>
        <v/>
      </c>
      <c r="W210">
        <f>HYPERLINK("https://klasma.github.io/Logging_0883/klagomålsmail/A 64761-2023 FSC-klagomål mail.docx", "A 64761-2023")</f>
        <v/>
      </c>
      <c r="X210">
        <f>HYPERLINK("https://klasma.github.io/Logging_0883/tillsyn/A 64761-2023 tillsynsbegäran.docx", "A 64761-2023")</f>
        <v/>
      </c>
      <c r="Y210">
        <f>HYPERLINK("https://klasma.github.io/Logging_0883/tillsynsmail/A 64761-2023 tillsynsbegäran mail.docx", "A 64761-2023")</f>
        <v/>
      </c>
      <c r="Z210">
        <f>HYPERLINK("https://klasma.github.io/Logging_0883/fåglar/A 64761-2023 prioriterade fågelarter.docx", "A 64761-2023")</f>
        <v/>
      </c>
    </row>
    <row r="211" ht="15" customHeight="1">
      <c r="A211" t="inlineStr">
        <is>
          <t>A 932-2024</t>
        </is>
      </c>
      <c r="B211" s="1" t="n">
        <v>45301</v>
      </c>
      <c r="C211" s="1" t="n">
        <v>45851</v>
      </c>
      <c r="D211" t="inlineStr">
        <is>
          <t>KALMAR LÄN</t>
        </is>
      </c>
      <c r="E211" t="inlineStr">
        <is>
          <t>VÄSTERVIK</t>
        </is>
      </c>
      <c r="G211" t="n">
        <v>3.7</v>
      </c>
      <c r="H211" t="n">
        <v>1</v>
      </c>
      <c r="I211" t="n">
        <v>1</v>
      </c>
      <c r="J211" t="n">
        <v>1</v>
      </c>
      <c r="K211" t="n">
        <v>0</v>
      </c>
      <c r="L211" t="n">
        <v>0</v>
      </c>
      <c r="M211" t="n">
        <v>0</v>
      </c>
      <c r="N211" t="n">
        <v>0</v>
      </c>
      <c r="O211" t="n">
        <v>1</v>
      </c>
      <c r="P211" t="n">
        <v>0</v>
      </c>
      <c r="Q211" t="n">
        <v>2</v>
      </c>
      <c r="R211" s="2" t="inlineStr">
        <is>
          <t>Spillkråka
Grovticka</t>
        </is>
      </c>
      <c r="S211">
        <f>HYPERLINK("https://klasma.github.io/Logging_0883/artfynd/A 932-2024 artfynd.xlsx", "A 932-2024")</f>
        <v/>
      </c>
      <c r="T211">
        <f>HYPERLINK("https://klasma.github.io/Logging_0883/kartor/A 932-2024 karta.png", "A 932-2024")</f>
        <v/>
      </c>
      <c r="V211">
        <f>HYPERLINK("https://klasma.github.io/Logging_0883/klagomål/A 932-2024 FSC-klagomål.docx", "A 932-2024")</f>
        <v/>
      </c>
      <c r="W211">
        <f>HYPERLINK("https://klasma.github.io/Logging_0883/klagomålsmail/A 932-2024 FSC-klagomål mail.docx", "A 932-2024")</f>
        <v/>
      </c>
      <c r="X211">
        <f>HYPERLINK("https://klasma.github.io/Logging_0883/tillsyn/A 932-2024 tillsynsbegäran.docx", "A 932-2024")</f>
        <v/>
      </c>
      <c r="Y211">
        <f>HYPERLINK("https://klasma.github.io/Logging_0883/tillsynsmail/A 932-2024 tillsynsbegäran mail.docx", "A 932-2024")</f>
        <v/>
      </c>
      <c r="Z211">
        <f>HYPERLINK("https://klasma.github.io/Logging_0883/fåglar/A 932-2024 prioriterade fågelarter.docx", "A 932-2024")</f>
        <v/>
      </c>
    </row>
    <row r="212" ht="15" customHeight="1">
      <c r="A212" t="inlineStr">
        <is>
          <t>A 948-2024</t>
        </is>
      </c>
      <c r="B212" s="1" t="n">
        <v>45301</v>
      </c>
      <c r="C212" s="1" t="n">
        <v>45851</v>
      </c>
      <c r="D212" t="inlineStr">
        <is>
          <t>KALMAR LÄN</t>
        </is>
      </c>
      <c r="E212" t="inlineStr">
        <is>
          <t>VÄSTERVIK</t>
        </is>
      </c>
      <c r="G212" t="n">
        <v>4.5</v>
      </c>
      <c r="H212" t="n">
        <v>1</v>
      </c>
      <c r="I212" t="n">
        <v>1</v>
      </c>
      <c r="J212" t="n">
        <v>0</v>
      </c>
      <c r="K212" t="n">
        <v>0</v>
      </c>
      <c r="L212" t="n">
        <v>0</v>
      </c>
      <c r="M212" t="n">
        <v>0</v>
      </c>
      <c r="N212" t="n">
        <v>0</v>
      </c>
      <c r="O212" t="n">
        <v>0</v>
      </c>
      <c r="P212" t="n">
        <v>0</v>
      </c>
      <c r="Q212" t="n">
        <v>2</v>
      </c>
      <c r="R212" s="2" t="inlineStr">
        <is>
          <t>Dropptaggsvamp
Tjäder</t>
        </is>
      </c>
      <c r="S212">
        <f>HYPERLINK("https://klasma.github.io/Logging_0883/artfynd/A 948-2024 artfynd.xlsx", "A 948-2024")</f>
        <v/>
      </c>
      <c r="T212">
        <f>HYPERLINK("https://klasma.github.io/Logging_0883/kartor/A 948-2024 karta.png", "A 948-2024")</f>
        <v/>
      </c>
      <c r="V212">
        <f>HYPERLINK("https://klasma.github.io/Logging_0883/klagomål/A 948-2024 FSC-klagomål.docx", "A 948-2024")</f>
        <v/>
      </c>
      <c r="W212">
        <f>HYPERLINK("https://klasma.github.io/Logging_0883/klagomålsmail/A 948-2024 FSC-klagomål mail.docx", "A 948-2024")</f>
        <v/>
      </c>
      <c r="X212">
        <f>HYPERLINK("https://klasma.github.io/Logging_0883/tillsyn/A 948-2024 tillsynsbegäran.docx", "A 948-2024")</f>
        <v/>
      </c>
      <c r="Y212">
        <f>HYPERLINK("https://klasma.github.io/Logging_0883/tillsynsmail/A 948-2024 tillsynsbegäran mail.docx", "A 948-2024")</f>
        <v/>
      </c>
      <c r="Z212">
        <f>HYPERLINK("https://klasma.github.io/Logging_0883/fåglar/A 948-2024 prioriterade fågelarter.docx", "A 948-2024")</f>
        <v/>
      </c>
    </row>
    <row r="213" ht="15" customHeight="1">
      <c r="A213" t="inlineStr">
        <is>
          <t>A 911-2024</t>
        </is>
      </c>
      <c r="B213" s="1" t="n">
        <v>45301</v>
      </c>
      <c r="C213" s="1" t="n">
        <v>45851</v>
      </c>
      <c r="D213" t="inlineStr">
        <is>
          <t>KALMAR LÄN</t>
        </is>
      </c>
      <c r="E213" t="inlineStr">
        <is>
          <t>VÄSTERVIK</t>
        </is>
      </c>
      <c r="G213" t="n">
        <v>5.6</v>
      </c>
      <c r="H213" t="n">
        <v>1</v>
      </c>
      <c r="I213" t="n">
        <v>1</v>
      </c>
      <c r="J213" t="n">
        <v>1</v>
      </c>
      <c r="K213" t="n">
        <v>0</v>
      </c>
      <c r="L213" t="n">
        <v>0</v>
      </c>
      <c r="M213" t="n">
        <v>0</v>
      </c>
      <c r="N213" t="n">
        <v>0</v>
      </c>
      <c r="O213" t="n">
        <v>1</v>
      </c>
      <c r="P213" t="n">
        <v>0</v>
      </c>
      <c r="Q213" t="n">
        <v>2</v>
      </c>
      <c r="R213" s="2" t="inlineStr">
        <is>
          <t>Talltita
Blodticka</t>
        </is>
      </c>
      <c r="S213">
        <f>HYPERLINK("https://klasma.github.io/Logging_0883/artfynd/A 911-2024 artfynd.xlsx", "A 911-2024")</f>
        <v/>
      </c>
      <c r="T213">
        <f>HYPERLINK("https://klasma.github.io/Logging_0883/kartor/A 911-2024 karta.png", "A 911-2024")</f>
        <v/>
      </c>
      <c r="V213">
        <f>HYPERLINK("https://klasma.github.io/Logging_0883/klagomål/A 911-2024 FSC-klagomål.docx", "A 911-2024")</f>
        <v/>
      </c>
      <c r="W213">
        <f>HYPERLINK("https://klasma.github.io/Logging_0883/klagomålsmail/A 911-2024 FSC-klagomål mail.docx", "A 911-2024")</f>
        <v/>
      </c>
      <c r="X213">
        <f>HYPERLINK("https://klasma.github.io/Logging_0883/tillsyn/A 911-2024 tillsynsbegäran.docx", "A 911-2024")</f>
        <v/>
      </c>
      <c r="Y213">
        <f>HYPERLINK("https://klasma.github.io/Logging_0883/tillsynsmail/A 911-2024 tillsynsbegäran mail.docx", "A 911-2024")</f>
        <v/>
      </c>
      <c r="Z213">
        <f>HYPERLINK("https://klasma.github.io/Logging_0883/fåglar/A 911-2024 prioriterade fågelarter.docx", "A 911-2024")</f>
        <v/>
      </c>
    </row>
    <row r="214" ht="15" customHeight="1">
      <c r="A214" t="inlineStr">
        <is>
          <t>A 941-2024</t>
        </is>
      </c>
      <c r="B214" s="1" t="n">
        <v>45301</v>
      </c>
      <c r="C214" s="1" t="n">
        <v>45851</v>
      </c>
      <c r="D214" t="inlineStr">
        <is>
          <t>KALMAR LÄN</t>
        </is>
      </c>
      <c r="E214" t="inlineStr">
        <is>
          <t>VÄSTERVIK</t>
        </is>
      </c>
      <c r="G214" t="n">
        <v>2.7</v>
      </c>
      <c r="H214" t="n">
        <v>1</v>
      </c>
      <c r="I214" t="n">
        <v>0</v>
      </c>
      <c r="J214" t="n">
        <v>1</v>
      </c>
      <c r="K214" t="n">
        <v>1</v>
      </c>
      <c r="L214" t="n">
        <v>0</v>
      </c>
      <c r="M214" t="n">
        <v>0</v>
      </c>
      <c r="N214" t="n">
        <v>0</v>
      </c>
      <c r="O214" t="n">
        <v>2</v>
      </c>
      <c r="P214" t="n">
        <v>1</v>
      </c>
      <c r="Q214" t="n">
        <v>2</v>
      </c>
      <c r="R214" s="2" t="inlineStr">
        <is>
          <t>Knärot
Svinrot</t>
        </is>
      </c>
      <c r="S214">
        <f>HYPERLINK("https://klasma.github.io/Logging_0883/artfynd/A 941-2024 artfynd.xlsx", "A 941-2024")</f>
        <v/>
      </c>
      <c r="T214">
        <f>HYPERLINK("https://klasma.github.io/Logging_0883/kartor/A 941-2024 karta.png", "A 941-2024")</f>
        <v/>
      </c>
      <c r="U214">
        <f>HYPERLINK("https://klasma.github.io/Logging_0883/knärot/A 941-2024 karta knärot.png", "A 941-2024")</f>
        <v/>
      </c>
      <c r="V214">
        <f>HYPERLINK("https://klasma.github.io/Logging_0883/klagomål/A 941-2024 FSC-klagomål.docx", "A 941-2024")</f>
        <v/>
      </c>
      <c r="W214">
        <f>HYPERLINK("https://klasma.github.io/Logging_0883/klagomålsmail/A 941-2024 FSC-klagomål mail.docx", "A 941-2024")</f>
        <v/>
      </c>
      <c r="X214">
        <f>HYPERLINK("https://klasma.github.io/Logging_0883/tillsyn/A 941-2024 tillsynsbegäran.docx", "A 941-2024")</f>
        <v/>
      </c>
      <c r="Y214">
        <f>HYPERLINK("https://klasma.github.io/Logging_0883/tillsynsmail/A 941-2024 tillsynsbegäran mail.docx", "A 941-2024")</f>
        <v/>
      </c>
    </row>
    <row r="215" ht="15" customHeight="1">
      <c r="A215" t="inlineStr">
        <is>
          <t>A 1373-2024</t>
        </is>
      </c>
      <c r="B215" s="1" t="n">
        <v>45303</v>
      </c>
      <c r="C215" s="1" t="n">
        <v>45851</v>
      </c>
      <c r="D215" t="inlineStr">
        <is>
          <t>KALMAR LÄN</t>
        </is>
      </c>
      <c r="E215" t="inlineStr">
        <is>
          <t>VÄSTERVIK</t>
        </is>
      </c>
      <c r="G215" t="n">
        <v>3.7</v>
      </c>
      <c r="H215" t="n">
        <v>1</v>
      </c>
      <c r="I215" t="n">
        <v>0</v>
      </c>
      <c r="J215" t="n">
        <v>2</v>
      </c>
      <c r="K215" t="n">
        <v>0</v>
      </c>
      <c r="L215" t="n">
        <v>0</v>
      </c>
      <c r="M215" t="n">
        <v>0</v>
      </c>
      <c r="N215" t="n">
        <v>0</v>
      </c>
      <c r="O215" t="n">
        <v>2</v>
      </c>
      <c r="P215" t="n">
        <v>0</v>
      </c>
      <c r="Q215" t="n">
        <v>2</v>
      </c>
      <c r="R215" s="2" t="inlineStr">
        <is>
          <t>Tallticka
Talltita</t>
        </is>
      </c>
      <c r="S215">
        <f>HYPERLINK("https://klasma.github.io/Logging_0883/artfynd/A 1373-2024 artfynd.xlsx", "A 1373-2024")</f>
        <v/>
      </c>
      <c r="T215">
        <f>HYPERLINK("https://klasma.github.io/Logging_0883/kartor/A 1373-2024 karta.png", "A 1373-2024")</f>
        <v/>
      </c>
      <c r="U215">
        <f>HYPERLINK("https://klasma.github.io/Logging_0883/knärot/A 1373-2024 karta knärot.png", "A 1373-2024")</f>
        <v/>
      </c>
      <c r="V215">
        <f>HYPERLINK("https://klasma.github.io/Logging_0883/klagomål/A 1373-2024 FSC-klagomål.docx", "A 1373-2024")</f>
        <v/>
      </c>
      <c r="W215">
        <f>HYPERLINK("https://klasma.github.io/Logging_0883/klagomålsmail/A 1373-2024 FSC-klagomål mail.docx", "A 1373-2024")</f>
        <v/>
      </c>
      <c r="X215">
        <f>HYPERLINK("https://klasma.github.io/Logging_0883/tillsyn/A 1373-2024 tillsynsbegäran.docx", "A 1373-2024")</f>
        <v/>
      </c>
      <c r="Y215">
        <f>HYPERLINK("https://klasma.github.io/Logging_0883/tillsynsmail/A 1373-2024 tillsynsbegäran mail.docx", "A 1373-2024")</f>
        <v/>
      </c>
      <c r="Z215">
        <f>HYPERLINK("https://klasma.github.io/Logging_0883/fåglar/A 1373-2024 prioriterade fågelarter.docx", "A 1373-2024")</f>
        <v/>
      </c>
    </row>
    <row r="216" ht="15" customHeight="1">
      <c r="A216" t="inlineStr">
        <is>
          <t>A 2126-2024</t>
        </is>
      </c>
      <c r="B216" s="1" t="n">
        <v>45309</v>
      </c>
      <c r="C216" s="1" t="n">
        <v>45851</v>
      </c>
      <c r="D216" t="inlineStr">
        <is>
          <t>KALMAR LÄN</t>
        </is>
      </c>
      <c r="E216" t="inlineStr">
        <is>
          <t>VÄSTERVIK</t>
        </is>
      </c>
      <c r="G216" t="n">
        <v>3.8</v>
      </c>
      <c r="H216" t="n">
        <v>2</v>
      </c>
      <c r="I216" t="n">
        <v>0</v>
      </c>
      <c r="J216" t="n">
        <v>1</v>
      </c>
      <c r="K216" t="n">
        <v>1</v>
      </c>
      <c r="L216" t="n">
        <v>0</v>
      </c>
      <c r="M216" t="n">
        <v>0</v>
      </c>
      <c r="N216" t="n">
        <v>0</v>
      </c>
      <c r="O216" t="n">
        <v>2</v>
      </c>
      <c r="P216" t="n">
        <v>1</v>
      </c>
      <c r="Q216" t="n">
        <v>2</v>
      </c>
      <c r="R216" s="2" t="inlineStr">
        <is>
          <t>Knärot
Talltita</t>
        </is>
      </c>
      <c r="S216">
        <f>HYPERLINK("https://klasma.github.io/Logging_0883/artfynd/A 2126-2024 artfynd.xlsx", "A 2126-2024")</f>
        <v/>
      </c>
      <c r="T216">
        <f>HYPERLINK("https://klasma.github.io/Logging_0883/kartor/A 2126-2024 karta.png", "A 2126-2024")</f>
        <v/>
      </c>
      <c r="U216">
        <f>HYPERLINK("https://klasma.github.io/Logging_0883/knärot/A 2126-2024 karta knärot.png", "A 2126-2024")</f>
        <v/>
      </c>
      <c r="V216">
        <f>HYPERLINK("https://klasma.github.io/Logging_0883/klagomål/A 2126-2024 FSC-klagomål.docx", "A 2126-2024")</f>
        <v/>
      </c>
      <c r="W216">
        <f>HYPERLINK("https://klasma.github.io/Logging_0883/klagomålsmail/A 2126-2024 FSC-klagomål mail.docx", "A 2126-2024")</f>
        <v/>
      </c>
      <c r="X216">
        <f>HYPERLINK("https://klasma.github.io/Logging_0883/tillsyn/A 2126-2024 tillsynsbegäran.docx", "A 2126-2024")</f>
        <v/>
      </c>
      <c r="Y216">
        <f>HYPERLINK("https://klasma.github.io/Logging_0883/tillsynsmail/A 2126-2024 tillsynsbegäran mail.docx", "A 2126-2024")</f>
        <v/>
      </c>
      <c r="Z216">
        <f>HYPERLINK("https://klasma.github.io/Logging_0883/fåglar/A 2126-2024 prioriterade fågelarter.docx", "A 2126-2024")</f>
        <v/>
      </c>
    </row>
    <row r="217" ht="15" customHeight="1">
      <c r="A217" t="inlineStr">
        <is>
          <t>A 2809-2024</t>
        </is>
      </c>
      <c r="B217" s="1" t="n">
        <v>45314</v>
      </c>
      <c r="C217" s="1" t="n">
        <v>45851</v>
      </c>
      <c r="D217" t="inlineStr">
        <is>
          <t>KALMAR LÄN</t>
        </is>
      </c>
      <c r="E217" t="inlineStr">
        <is>
          <t>VÄSTERVIK</t>
        </is>
      </c>
      <c r="G217" t="n">
        <v>4.7</v>
      </c>
      <c r="H217" t="n">
        <v>1</v>
      </c>
      <c r="I217" t="n">
        <v>0</v>
      </c>
      <c r="J217" t="n">
        <v>1</v>
      </c>
      <c r="K217" t="n">
        <v>0</v>
      </c>
      <c r="L217" t="n">
        <v>0</v>
      </c>
      <c r="M217" t="n">
        <v>0</v>
      </c>
      <c r="N217" t="n">
        <v>0</v>
      </c>
      <c r="O217" t="n">
        <v>1</v>
      </c>
      <c r="P217" t="n">
        <v>0</v>
      </c>
      <c r="Q217" t="n">
        <v>2</v>
      </c>
      <c r="R217" s="2" t="inlineStr">
        <is>
          <t>Tallticka
Tjäder</t>
        </is>
      </c>
      <c r="S217">
        <f>HYPERLINK("https://klasma.github.io/Logging_0883/artfynd/A 2809-2024 artfynd.xlsx", "A 2809-2024")</f>
        <v/>
      </c>
      <c r="T217">
        <f>HYPERLINK("https://klasma.github.io/Logging_0883/kartor/A 2809-2024 karta.png", "A 2809-2024")</f>
        <v/>
      </c>
      <c r="U217">
        <f>HYPERLINK("https://klasma.github.io/Logging_0883/knärot/A 2809-2024 karta knärot.png", "A 2809-2024")</f>
        <v/>
      </c>
      <c r="V217">
        <f>HYPERLINK("https://klasma.github.io/Logging_0883/klagomål/A 2809-2024 FSC-klagomål.docx", "A 2809-2024")</f>
        <v/>
      </c>
      <c r="W217">
        <f>HYPERLINK("https://klasma.github.io/Logging_0883/klagomålsmail/A 2809-2024 FSC-klagomål mail.docx", "A 2809-2024")</f>
        <v/>
      </c>
      <c r="X217">
        <f>HYPERLINK("https://klasma.github.io/Logging_0883/tillsyn/A 2809-2024 tillsynsbegäran.docx", "A 2809-2024")</f>
        <v/>
      </c>
      <c r="Y217">
        <f>HYPERLINK("https://klasma.github.io/Logging_0883/tillsynsmail/A 2809-2024 tillsynsbegäran mail.docx", "A 2809-2024")</f>
        <v/>
      </c>
      <c r="Z217">
        <f>HYPERLINK("https://klasma.github.io/Logging_0883/fåglar/A 2809-2024 prioriterade fågelarter.docx", "A 2809-2024")</f>
        <v/>
      </c>
    </row>
    <row r="218" ht="15" customHeight="1">
      <c r="A218" t="inlineStr">
        <is>
          <t>A 3264-2024</t>
        </is>
      </c>
      <c r="B218" s="1" t="n">
        <v>45317</v>
      </c>
      <c r="C218" s="1" t="n">
        <v>45851</v>
      </c>
      <c r="D218" t="inlineStr">
        <is>
          <t>KALMAR LÄN</t>
        </is>
      </c>
      <c r="E218" t="inlineStr">
        <is>
          <t>VÄSTERVIK</t>
        </is>
      </c>
      <c r="G218" t="n">
        <v>6.5</v>
      </c>
      <c r="H218" t="n">
        <v>1</v>
      </c>
      <c r="I218" t="n">
        <v>1</v>
      </c>
      <c r="J218" t="n">
        <v>1</v>
      </c>
      <c r="K218" t="n">
        <v>0</v>
      </c>
      <c r="L218" t="n">
        <v>0</v>
      </c>
      <c r="M218" t="n">
        <v>0</v>
      </c>
      <c r="N218" t="n">
        <v>0</v>
      </c>
      <c r="O218" t="n">
        <v>1</v>
      </c>
      <c r="P218" t="n">
        <v>0</v>
      </c>
      <c r="Q218" t="n">
        <v>2</v>
      </c>
      <c r="R218" s="2" t="inlineStr">
        <is>
          <t>Spillkråka
Blåmossa</t>
        </is>
      </c>
      <c r="S218">
        <f>HYPERLINK("https://klasma.github.io/Logging_0883/artfynd/A 3264-2024 artfynd.xlsx", "A 3264-2024")</f>
        <v/>
      </c>
      <c r="T218">
        <f>HYPERLINK("https://klasma.github.io/Logging_0883/kartor/A 3264-2024 karta.png", "A 3264-2024")</f>
        <v/>
      </c>
      <c r="V218">
        <f>HYPERLINK("https://klasma.github.io/Logging_0883/klagomål/A 3264-2024 FSC-klagomål.docx", "A 3264-2024")</f>
        <v/>
      </c>
      <c r="W218">
        <f>HYPERLINK("https://klasma.github.io/Logging_0883/klagomålsmail/A 3264-2024 FSC-klagomål mail.docx", "A 3264-2024")</f>
        <v/>
      </c>
      <c r="X218">
        <f>HYPERLINK("https://klasma.github.io/Logging_0883/tillsyn/A 3264-2024 tillsynsbegäran.docx", "A 3264-2024")</f>
        <v/>
      </c>
      <c r="Y218">
        <f>HYPERLINK("https://klasma.github.io/Logging_0883/tillsynsmail/A 3264-2024 tillsynsbegäran mail.docx", "A 3264-2024")</f>
        <v/>
      </c>
      <c r="Z218">
        <f>HYPERLINK("https://klasma.github.io/Logging_0883/fåglar/A 3264-2024 prioriterade fågelarter.docx", "A 3264-2024")</f>
        <v/>
      </c>
    </row>
    <row r="219" ht="15" customHeight="1">
      <c r="A219" t="inlineStr">
        <is>
          <t>A 3658-2024</t>
        </is>
      </c>
      <c r="B219" s="1" t="n">
        <v>45321</v>
      </c>
      <c r="C219" s="1" t="n">
        <v>45851</v>
      </c>
      <c r="D219" t="inlineStr">
        <is>
          <t>KALMAR LÄN</t>
        </is>
      </c>
      <c r="E219" t="inlineStr">
        <is>
          <t>VÄSTERVIK</t>
        </is>
      </c>
      <c r="G219" t="n">
        <v>2.6</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3658-2024 artfynd.xlsx", "A 3658-2024")</f>
        <v/>
      </c>
      <c r="T219">
        <f>HYPERLINK("https://klasma.github.io/Logging_0883/kartor/A 3658-2024 karta.png", "A 3658-2024")</f>
        <v/>
      </c>
      <c r="U219">
        <f>HYPERLINK("https://klasma.github.io/Logging_0883/knärot/A 3658-2024 karta knärot.png", "A 3658-2024")</f>
        <v/>
      </c>
      <c r="V219">
        <f>HYPERLINK("https://klasma.github.io/Logging_0883/klagomål/A 3658-2024 FSC-klagomål.docx", "A 3658-2024")</f>
        <v/>
      </c>
      <c r="W219">
        <f>HYPERLINK("https://klasma.github.io/Logging_0883/klagomålsmail/A 3658-2024 FSC-klagomål mail.docx", "A 3658-2024")</f>
        <v/>
      </c>
      <c r="X219">
        <f>HYPERLINK("https://klasma.github.io/Logging_0883/tillsyn/A 3658-2024 tillsynsbegäran.docx", "A 3658-2024")</f>
        <v/>
      </c>
      <c r="Y219">
        <f>HYPERLINK("https://klasma.github.io/Logging_0883/tillsynsmail/A 3658-2024 tillsynsbegäran mail.docx", "A 3658-2024")</f>
        <v/>
      </c>
    </row>
    <row r="220" ht="15" customHeight="1">
      <c r="A220" t="inlineStr">
        <is>
          <t>A 8618-2024</t>
        </is>
      </c>
      <c r="B220" s="1" t="n">
        <v>45355</v>
      </c>
      <c r="C220" s="1" t="n">
        <v>45851</v>
      </c>
      <c r="D220" t="inlineStr">
        <is>
          <t>KALMAR LÄN</t>
        </is>
      </c>
      <c r="E220" t="inlineStr">
        <is>
          <t>VÄSTERVIK</t>
        </is>
      </c>
      <c r="G220" t="n">
        <v>4.3</v>
      </c>
      <c r="H220" t="n">
        <v>1</v>
      </c>
      <c r="I220" t="n">
        <v>0</v>
      </c>
      <c r="J220" t="n">
        <v>1</v>
      </c>
      <c r="K220" t="n">
        <v>1</v>
      </c>
      <c r="L220" t="n">
        <v>0</v>
      </c>
      <c r="M220" t="n">
        <v>0</v>
      </c>
      <c r="N220" t="n">
        <v>0</v>
      </c>
      <c r="O220" t="n">
        <v>2</v>
      </c>
      <c r="P220" t="n">
        <v>1</v>
      </c>
      <c r="Q220" t="n">
        <v>2</v>
      </c>
      <c r="R220" s="2" t="inlineStr">
        <is>
          <t>Knärot
Tallticka</t>
        </is>
      </c>
      <c r="S220">
        <f>HYPERLINK("https://klasma.github.io/Logging_0883/artfynd/A 8618-2024 artfynd.xlsx", "A 8618-2024")</f>
        <v/>
      </c>
      <c r="T220">
        <f>HYPERLINK("https://klasma.github.io/Logging_0883/kartor/A 8618-2024 karta.png", "A 8618-2024")</f>
        <v/>
      </c>
      <c r="U220">
        <f>HYPERLINK("https://klasma.github.io/Logging_0883/knärot/A 8618-2024 karta knärot.png", "A 8618-2024")</f>
        <v/>
      </c>
      <c r="V220">
        <f>HYPERLINK("https://klasma.github.io/Logging_0883/klagomål/A 8618-2024 FSC-klagomål.docx", "A 8618-2024")</f>
        <v/>
      </c>
      <c r="W220">
        <f>HYPERLINK("https://klasma.github.io/Logging_0883/klagomålsmail/A 8618-2024 FSC-klagomål mail.docx", "A 8618-2024")</f>
        <v/>
      </c>
      <c r="X220">
        <f>HYPERLINK("https://klasma.github.io/Logging_0883/tillsyn/A 8618-2024 tillsynsbegäran.docx", "A 8618-2024")</f>
        <v/>
      </c>
      <c r="Y220">
        <f>HYPERLINK("https://klasma.github.io/Logging_0883/tillsynsmail/A 8618-2024 tillsynsbegäran mail.docx", "A 8618-2024")</f>
        <v/>
      </c>
    </row>
    <row r="221" ht="15" customHeight="1">
      <c r="A221" t="inlineStr">
        <is>
          <t>A 9770-2024</t>
        </is>
      </c>
      <c r="B221" s="1" t="n">
        <v>45362</v>
      </c>
      <c r="C221" s="1" t="n">
        <v>45851</v>
      </c>
      <c r="D221" t="inlineStr">
        <is>
          <t>KALMAR LÄN</t>
        </is>
      </c>
      <c r="E221" t="inlineStr">
        <is>
          <t>VÄSTERVIK</t>
        </is>
      </c>
      <c r="G221" t="n">
        <v>2.6</v>
      </c>
      <c r="H221" t="n">
        <v>2</v>
      </c>
      <c r="I221" t="n">
        <v>0</v>
      </c>
      <c r="J221" t="n">
        <v>1</v>
      </c>
      <c r="K221" t="n">
        <v>0</v>
      </c>
      <c r="L221" t="n">
        <v>0</v>
      </c>
      <c r="M221" t="n">
        <v>0</v>
      </c>
      <c r="N221" t="n">
        <v>0</v>
      </c>
      <c r="O221" t="n">
        <v>1</v>
      </c>
      <c r="P221" t="n">
        <v>0</v>
      </c>
      <c r="Q221" t="n">
        <v>2</v>
      </c>
      <c r="R221" s="2" t="inlineStr">
        <is>
          <t>Talltita
Tjäder</t>
        </is>
      </c>
      <c r="S221">
        <f>HYPERLINK("https://klasma.github.io/Logging_0883/artfynd/A 9770-2024 artfynd.xlsx", "A 9770-2024")</f>
        <v/>
      </c>
      <c r="T221">
        <f>HYPERLINK("https://klasma.github.io/Logging_0883/kartor/A 9770-2024 karta.png", "A 9770-2024")</f>
        <v/>
      </c>
      <c r="V221">
        <f>HYPERLINK("https://klasma.github.io/Logging_0883/klagomål/A 9770-2024 FSC-klagomål.docx", "A 9770-2024")</f>
        <v/>
      </c>
      <c r="W221">
        <f>HYPERLINK("https://klasma.github.io/Logging_0883/klagomålsmail/A 9770-2024 FSC-klagomål mail.docx", "A 9770-2024")</f>
        <v/>
      </c>
      <c r="X221">
        <f>HYPERLINK("https://klasma.github.io/Logging_0883/tillsyn/A 9770-2024 tillsynsbegäran.docx", "A 9770-2024")</f>
        <v/>
      </c>
      <c r="Y221">
        <f>HYPERLINK("https://klasma.github.io/Logging_0883/tillsynsmail/A 9770-2024 tillsynsbegäran mail.docx", "A 9770-2024")</f>
        <v/>
      </c>
      <c r="Z221">
        <f>HYPERLINK("https://klasma.github.io/Logging_0883/fåglar/A 9770-2024 prioriterade fågelarter.docx", "A 9770-2024")</f>
        <v/>
      </c>
    </row>
    <row r="222" ht="15" customHeight="1">
      <c r="A222" t="inlineStr">
        <is>
          <t>A 11849-2024</t>
        </is>
      </c>
      <c r="B222" s="1" t="n">
        <v>45376</v>
      </c>
      <c r="C222" s="1" t="n">
        <v>45851</v>
      </c>
      <c r="D222" t="inlineStr">
        <is>
          <t>KALMAR LÄN</t>
        </is>
      </c>
      <c r="E222" t="inlineStr">
        <is>
          <t>VÄSTERVIK</t>
        </is>
      </c>
      <c r="F222" t="inlineStr">
        <is>
          <t>Sveaskog</t>
        </is>
      </c>
      <c r="G222" t="n">
        <v>5.3</v>
      </c>
      <c r="H222" t="n">
        <v>2</v>
      </c>
      <c r="I222" t="n">
        <v>0</v>
      </c>
      <c r="J222" t="n">
        <v>0</v>
      </c>
      <c r="K222" t="n">
        <v>0</v>
      </c>
      <c r="L222" t="n">
        <v>0</v>
      </c>
      <c r="M222" t="n">
        <v>0</v>
      </c>
      <c r="N222" t="n">
        <v>0</v>
      </c>
      <c r="O222" t="n">
        <v>0</v>
      </c>
      <c r="P222" t="n">
        <v>0</v>
      </c>
      <c r="Q222" t="n">
        <v>2</v>
      </c>
      <c r="R222" s="2" t="inlineStr">
        <is>
          <t>Mattlummer
Revlummer</t>
        </is>
      </c>
      <c r="S222">
        <f>HYPERLINK("https://klasma.github.io/Logging_0883/artfynd/A 11849-2024 artfynd.xlsx", "A 11849-2024")</f>
        <v/>
      </c>
      <c r="T222">
        <f>HYPERLINK("https://klasma.github.io/Logging_0883/kartor/A 11849-2024 karta.png", "A 11849-2024")</f>
        <v/>
      </c>
      <c r="V222">
        <f>HYPERLINK("https://klasma.github.io/Logging_0883/klagomål/A 11849-2024 FSC-klagomål.docx", "A 11849-2024")</f>
        <v/>
      </c>
      <c r="W222">
        <f>HYPERLINK("https://klasma.github.io/Logging_0883/klagomålsmail/A 11849-2024 FSC-klagomål mail.docx", "A 11849-2024")</f>
        <v/>
      </c>
      <c r="X222">
        <f>HYPERLINK("https://klasma.github.io/Logging_0883/tillsyn/A 11849-2024 tillsynsbegäran.docx", "A 11849-2024")</f>
        <v/>
      </c>
      <c r="Y222">
        <f>HYPERLINK("https://klasma.github.io/Logging_0883/tillsynsmail/A 11849-2024 tillsynsbegäran mail.docx", "A 11849-2024")</f>
        <v/>
      </c>
    </row>
    <row r="223" ht="15" customHeight="1">
      <c r="A223" t="inlineStr">
        <is>
          <t>A 12212-2024</t>
        </is>
      </c>
      <c r="B223" s="1" t="n">
        <v>45378</v>
      </c>
      <c r="C223" s="1" t="n">
        <v>45851</v>
      </c>
      <c r="D223" t="inlineStr">
        <is>
          <t>KALMAR LÄN</t>
        </is>
      </c>
      <c r="E223" t="inlineStr">
        <is>
          <t>VÄSTERVIK</t>
        </is>
      </c>
      <c r="G223" t="n">
        <v>0.8</v>
      </c>
      <c r="H223" t="n">
        <v>2</v>
      </c>
      <c r="I223" t="n">
        <v>0</v>
      </c>
      <c r="J223" t="n">
        <v>2</v>
      </c>
      <c r="K223" t="n">
        <v>0</v>
      </c>
      <c r="L223" t="n">
        <v>0</v>
      </c>
      <c r="M223" t="n">
        <v>0</v>
      </c>
      <c r="N223" t="n">
        <v>0</v>
      </c>
      <c r="O223" t="n">
        <v>2</v>
      </c>
      <c r="P223" t="n">
        <v>0</v>
      </c>
      <c r="Q223" t="n">
        <v>2</v>
      </c>
      <c r="R223" s="2" t="inlineStr">
        <is>
          <t>Spillkråka
Talltita</t>
        </is>
      </c>
      <c r="S223">
        <f>HYPERLINK("https://klasma.github.io/Logging_0883/artfynd/A 12212-2024 artfynd.xlsx", "A 12212-2024")</f>
        <v/>
      </c>
      <c r="T223">
        <f>HYPERLINK("https://klasma.github.io/Logging_0883/kartor/A 12212-2024 karta.png", "A 12212-2024")</f>
        <v/>
      </c>
      <c r="V223">
        <f>HYPERLINK("https://klasma.github.io/Logging_0883/klagomål/A 12212-2024 FSC-klagomål.docx", "A 12212-2024")</f>
        <v/>
      </c>
      <c r="W223">
        <f>HYPERLINK("https://klasma.github.io/Logging_0883/klagomålsmail/A 12212-2024 FSC-klagomål mail.docx", "A 12212-2024")</f>
        <v/>
      </c>
      <c r="X223">
        <f>HYPERLINK("https://klasma.github.io/Logging_0883/tillsyn/A 12212-2024 tillsynsbegäran.docx", "A 12212-2024")</f>
        <v/>
      </c>
      <c r="Y223">
        <f>HYPERLINK("https://klasma.github.io/Logging_0883/tillsynsmail/A 12212-2024 tillsynsbegäran mail.docx", "A 12212-2024")</f>
        <v/>
      </c>
      <c r="Z223">
        <f>HYPERLINK("https://klasma.github.io/Logging_0883/fåglar/A 12212-2024 prioriterade fågelarter.docx", "A 12212-2024")</f>
        <v/>
      </c>
    </row>
    <row r="224" ht="15" customHeight="1">
      <c r="A224" t="inlineStr">
        <is>
          <t>A 12598-2024</t>
        </is>
      </c>
      <c r="B224" s="1" t="n">
        <v>45380</v>
      </c>
      <c r="C224" s="1" t="n">
        <v>45851</v>
      </c>
      <c r="D224" t="inlineStr">
        <is>
          <t>KALMAR LÄN</t>
        </is>
      </c>
      <c r="E224" t="inlineStr">
        <is>
          <t>VÄSTERVIK</t>
        </is>
      </c>
      <c r="F224" t="inlineStr">
        <is>
          <t>Holmen skog AB</t>
        </is>
      </c>
      <c r="G224" t="n">
        <v>5</v>
      </c>
      <c r="H224" t="n">
        <v>1</v>
      </c>
      <c r="I224" t="n">
        <v>1</v>
      </c>
      <c r="J224" t="n">
        <v>0</v>
      </c>
      <c r="K224" t="n">
        <v>1</v>
      </c>
      <c r="L224" t="n">
        <v>0</v>
      </c>
      <c r="M224" t="n">
        <v>0</v>
      </c>
      <c r="N224" t="n">
        <v>0</v>
      </c>
      <c r="O224" t="n">
        <v>1</v>
      </c>
      <c r="P224" t="n">
        <v>1</v>
      </c>
      <c r="Q224" t="n">
        <v>2</v>
      </c>
      <c r="R224" s="2" t="inlineStr">
        <is>
          <t>Knärot
Grönpyrola</t>
        </is>
      </c>
      <c r="S224">
        <f>HYPERLINK("https://klasma.github.io/Logging_0883/artfynd/A 12598-2024 artfynd.xlsx", "A 12598-2024")</f>
        <v/>
      </c>
      <c r="T224">
        <f>HYPERLINK("https://klasma.github.io/Logging_0883/kartor/A 12598-2024 karta.png", "A 12598-2024")</f>
        <v/>
      </c>
      <c r="U224">
        <f>HYPERLINK("https://klasma.github.io/Logging_0883/knärot/A 12598-2024 karta knärot.png", "A 12598-2024")</f>
        <v/>
      </c>
      <c r="V224">
        <f>HYPERLINK("https://klasma.github.io/Logging_0883/klagomål/A 12598-2024 FSC-klagomål.docx", "A 12598-2024")</f>
        <v/>
      </c>
      <c r="W224">
        <f>HYPERLINK("https://klasma.github.io/Logging_0883/klagomålsmail/A 12598-2024 FSC-klagomål mail.docx", "A 12598-2024")</f>
        <v/>
      </c>
      <c r="X224">
        <f>HYPERLINK("https://klasma.github.io/Logging_0883/tillsyn/A 12598-2024 tillsynsbegäran.docx", "A 12598-2024")</f>
        <v/>
      </c>
      <c r="Y224">
        <f>HYPERLINK("https://klasma.github.io/Logging_0883/tillsynsmail/A 12598-2024 tillsynsbegäran mail.docx", "A 12598-2024")</f>
        <v/>
      </c>
    </row>
    <row r="225" ht="15" customHeight="1">
      <c r="A225" t="inlineStr">
        <is>
          <t>A 15534-2024</t>
        </is>
      </c>
      <c r="B225" s="1" t="n">
        <v>45401</v>
      </c>
      <c r="C225" s="1" t="n">
        <v>45851</v>
      </c>
      <c r="D225" t="inlineStr">
        <is>
          <t>KALMAR LÄN</t>
        </is>
      </c>
      <c r="E225" t="inlineStr">
        <is>
          <t>VÄSTERVIK</t>
        </is>
      </c>
      <c r="F225" t="inlineStr">
        <is>
          <t>Holmen skog AB</t>
        </is>
      </c>
      <c r="G225" t="n">
        <v>5.1</v>
      </c>
      <c r="H225" t="n">
        <v>1</v>
      </c>
      <c r="I225" t="n">
        <v>0</v>
      </c>
      <c r="J225" t="n">
        <v>1</v>
      </c>
      <c r="K225" t="n">
        <v>1</v>
      </c>
      <c r="L225" t="n">
        <v>0</v>
      </c>
      <c r="M225" t="n">
        <v>0</v>
      </c>
      <c r="N225" t="n">
        <v>0</v>
      </c>
      <c r="O225" t="n">
        <v>2</v>
      </c>
      <c r="P225" t="n">
        <v>1</v>
      </c>
      <c r="Q225" t="n">
        <v>2</v>
      </c>
      <c r="R225" s="2" t="inlineStr">
        <is>
          <t>Knärot
Tallticka</t>
        </is>
      </c>
      <c r="S225">
        <f>HYPERLINK("https://klasma.github.io/Logging_0883/artfynd/A 15534-2024 artfynd.xlsx", "A 15534-2024")</f>
        <v/>
      </c>
      <c r="T225">
        <f>HYPERLINK("https://klasma.github.io/Logging_0883/kartor/A 15534-2024 karta.png", "A 15534-2024")</f>
        <v/>
      </c>
      <c r="U225">
        <f>HYPERLINK("https://klasma.github.io/Logging_0883/knärot/A 15534-2024 karta knärot.png", "A 15534-2024")</f>
        <v/>
      </c>
      <c r="V225">
        <f>HYPERLINK("https://klasma.github.io/Logging_0883/klagomål/A 15534-2024 FSC-klagomål.docx", "A 15534-2024")</f>
        <v/>
      </c>
      <c r="W225">
        <f>HYPERLINK("https://klasma.github.io/Logging_0883/klagomålsmail/A 15534-2024 FSC-klagomål mail.docx", "A 15534-2024")</f>
        <v/>
      </c>
      <c r="X225">
        <f>HYPERLINK("https://klasma.github.io/Logging_0883/tillsyn/A 15534-2024 tillsynsbegäran.docx", "A 15534-2024")</f>
        <v/>
      </c>
      <c r="Y225">
        <f>HYPERLINK("https://klasma.github.io/Logging_0883/tillsynsmail/A 15534-2024 tillsynsbegäran mail.docx", "A 15534-2024")</f>
        <v/>
      </c>
    </row>
    <row r="226" ht="15" customHeight="1">
      <c r="A226" t="inlineStr">
        <is>
          <t>A 16419-2024</t>
        </is>
      </c>
      <c r="B226" s="1" t="n">
        <v>45407</v>
      </c>
      <c r="C226" s="1" t="n">
        <v>45851</v>
      </c>
      <c r="D226" t="inlineStr">
        <is>
          <t>KALMAR LÄN</t>
        </is>
      </c>
      <c r="E226" t="inlineStr">
        <is>
          <t>VÄSTERVIK</t>
        </is>
      </c>
      <c r="F226" t="inlineStr">
        <is>
          <t>Holmen skog AB</t>
        </is>
      </c>
      <c r="G226" t="n">
        <v>1.8</v>
      </c>
      <c r="H226" t="n">
        <v>2</v>
      </c>
      <c r="I226" t="n">
        <v>0</v>
      </c>
      <c r="J226" t="n">
        <v>1</v>
      </c>
      <c r="K226" t="n">
        <v>1</v>
      </c>
      <c r="L226" t="n">
        <v>0</v>
      </c>
      <c r="M226" t="n">
        <v>0</v>
      </c>
      <c r="N226" t="n">
        <v>0</v>
      </c>
      <c r="O226" t="n">
        <v>2</v>
      </c>
      <c r="P226" t="n">
        <v>1</v>
      </c>
      <c r="Q226" t="n">
        <v>2</v>
      </c>
      <c r="R226" s="2" t="inlineStr">
        <is>
          <t>Knärot
Spillkråka</t>
        </is>
      </c>
      <c r="S226">
        <f>HYPERLINK("https://klasma.github.io/Logging_0883/artfynd/A 16419-2024 artfynd.xlsx", "A 16419-2024")</f>
        <v/>
      </c>
      <c r="T226">
        <f>HYPERLINK("https://klasma.github.io/Logging_0883/kartor/A 16419-2024 karta.png", "A 16419-2024")</f>
        <v/>
      </c>
      <c r="U226">
        <f>HYPERLINK("https://klasma.github.io/Logging_0883/knärot/A 16419-2024 karta knärot.png", "A 16419-2024")</f>
        <v/>
      </c>
      <c r="V226">
        <f>HYPERLINK("https://klasma.github.io/Logging_0883/klagomål/A 16419-2024 FSC-klagomål.docx", "A 16419-2024")</f>
        <v/>
      </c>
      <c r="W226">
        <f>HYPERLINK("https://klasma.github.io/Logging_0883/klagomålsmail/A 16419-2024 FSC-klagomål mail.docx", "A 16419-2024")</f>
        <v/>
      </c>
      <c r="X226">
        <f>HYPERLINK("https://klasma.github.io/Logging_0883/tillsyn/A 16419-2024 tillsynsbegäran.docx", "A 16419-2024")</f>
        <v/>
      </c>
      <c r="Y226">
        <f>HYPERLINK("https://klasma.github.io/Logging_0883/tillsynsmail/A 16419-2024 tillsynsbegäran mail.docx", "A 16419-2024")</f>
        <v/>
      </c>
      <c r="Z226">
        <f>HYPERLINK("https://klasma.github.io/Logging_0883/fåglar/A 16419-2024 prioriterade fågelarter.docx", "A 16419-2024")</f>
        <v/>
      </c>
    </row>
    <row r="227" ht="15" customHeight="1">
      <c r="A227" t="inlineStr">
        <is>
          <t>A 17438-2024</t>
        </is>
      </c>
      <c r="B227" s="1" t="n">
        <v>45415</v>
      </c>
      <c r="C227" s="1" t="n">
        <v>45851</v>
      </c>
      <c r="D227" t="inlineStr">
        <is>
          <t>KALMAR LÄN</t>
        </is>
      </c>
      <c r="E227" t="inlineStr">
        <is>
          <t>VÄSTERVIK</t>
        </is>
      </c>
      <c r="G227" t="n">
        <v>3.8</v>
      </c>
      <c r="H227" t="n">
        <v>2</v>
      </c>
      <c r="I227" t="n">
        <v>0</v>
      </c>
      <c r="J227" t="n">
        <v>1</v>
      </c>
      <c r="K227" t="n">
        <v>1</v>
      </c>
      <c r="L227" t="n">
        <v>0</v>
      </c>
      <c r="M227" t="n">
        <v>0</v>
      </c>
      <c r="N227" t="n">
        <v>0</v>
      </c>
      <c r="O227" t="n">
        <v>2</v>
      </c>
      <c r="P227" t="n">
        <v>1</v>
      </c>
      <c r="Q227" t="n">
        <v>2</v>
      </c>
      <c r="R227" s="2" t="inlineStr">
        <is>
          <t>Knärot
Spillkråka</t>
        </is>
      </c>
      <c r="S227">
        <f>HYPERLINK("https://klasma.github.io/Logging_0883/artfynd/A 17438-2024 artfynd.xlsx", "A 17438-2024")</f>
        <v/>
      </c>
      <c r="T227">
        <f>HYPERLINK("https://klasma.github.io/Logging_0883/kartor/A 17438-2024 karta.png", "A 17438-2024")</f>
        <v/>
      </c>
      <c r="U227">
        <f>HYPERLINK("https://klasma.github.io/Logging_0883/knärot/A 17438-2024 karta knärot.png", "A 17438-2024")</f>
        <v/>
      </c>
      <c r="V227">
        <f>HYPERLINK("https://klasma.github.io/Logging_0883/klagomål/A 17438-2024 FSC-klagomål.docx", "A 17438-2024")</f>
        <v/>
      </c>
      <c r="W227">
        <f>HYPERLINK("https://klasma.github.io/Logging_0883/klagomålsmail/A 17438-2024 FSC-klagomål mail.docx", "A 17438-2024")</f>
        <v/>
      </c>
      <c r="X227">
        <f>HYPERLINK("https://klasma.github.io/Logging_0883/tillsyn/A 17438-2024 tillsynsbegäran.docx", "A 17438-2024")</f>
        <v/>
      </c>
      <c r="Y227">
        <f>HYPERLINK("https://klasma.github.io/Logging_0883/tillsynsmail/A 17438-2024 tillsynsbegäran mail.docx", "A 17438-2024")</f>
        <v/>
      </c>
      <c r="Z227">
        <f>HYPERLINK("https://klasma.github.io/Logging_0883/fåglar/A 17438-2024 prioriterade fågelarter.docx", "A 17438-2024")</f>
        <v/>
      </c>
    </row>
    <row r="228" ht="15" customHeight="1">
      <c r="A228" t="inlineStr">
        <is>
          <t>A 23220-2024</t>
        </is>
      </c>
      <c r="B228" s="1" t="n">
        <v>45452</v>
      </c>
      <c r="C228" s="1" t="n">
        <v>45851</v>
      </c>
      <c r="D228" t="inlineStr">
        <is>
          <t>KALMAR LÄN</t>
        </is>
      </c>
      <c r="E228" t="inlineStr">
        <is>
          <t>VÄSTERVIK</t>
        </is>
      </c>
      <c r="G228" t="n">
        <v>0.9</v>
      </c>
      <c r="H228" t="n">
        <v>0</v>
      </c>
      <c r="I228" t="n">
        <v>2</v>
      </c>
      <c r="J228" t="n">
        <v>0</v>
      </c>
      <c r="K228" t="n">
        <v>0</v>
      </c>
      <c r="L228" t="n">
        <v>0</v>
      </c>
      <c r="M228" t="n">
        <v>0</v>
      </c>
      <c r="N228" t="n">
        <v>0</v>
      </c>
      <c r="O228" t="n">
        <v>0</v>
      </c>
      <c r="P228" t="n">
        <v>0</v>
      </c>
      <c r="Q228" t="n">
        <v>2</v>
      </c>
      <c r="R228" s="2" t="inlineStr">
        <is>
          <t>Blåmossa
Grönpyrola</t>
        </is>
      </c>
      <c r="S228">
        <f>HYPERLINK("https://klasma.github.io/Logging_0883/artfynd/A 23220-2024 artfynd.xlsx", "A 23220-2024")</f>
        <v/>
      </c>
      <c r="T228">
        <f>HYPERLINK("https://klasma.github.io/Logging_0883/kartor/A 23220-2024 karta.png", "A 23220-2024")</f>
        <v/>
      </c>
      <c r="V228">
        <f>HYPERLINK("https://klasma.github.io/Logging_0883/klagomål/A 23220-2024 FSC-klagomål.docx", "A 23220-2024")</f>
        <v/>
      </c>
      <c r="W228">
        <f>HYPERLINK("https://klasma.github.io/Logging_0883/klagomålsmail/A 23220-2024 FSC-klagomål mail.docx", "A 23220-2024")</f>
        <v/>
      </c>
      <c r="X228">
        <f>HYPERLINK("https://klasma.github.io/Logging_0883/tillsyn/A 23220-2024 tillsynsbegäran.docx", "A 23220-2024")</f>
        <v/>
      </c>
      <c r="Y228">
        <f>HYPERLINK("https://klasma.github.io/Logging_0883/tillsynsmail/A 23220-2024 tillsynsbegäran mail.docx", "A 23220-2024")</f>
        <v/>
      </c>
    </row>
    <row r="229" ht="15" customHeight="1">
      <c r="A229" t="inlineStr">
        <is>
          <t>A 23791-2024</t>
        </is>
      </c>
      <c r="B229" s="1" t="n">
        <v>45455</v>
      </c>
      <c r="C229" s="1" t="n">
        <v>45851</v>
      </c>
      <c r="D229" t="inlineStr">
        <is>
          <t>KALMAR LÄN</t>
        </is>
      </c>
      <c r="E229" t="inlineStr">
        <is>
          <t>VÄSTERVIK</t>
        </is>
      </c>
      <c r="G229" t="n">
        <v>1.1</v>
      </c>
      <c r="H229" t="n">
        <v>1</v>
      </c>
      <c r="I229" t="n">
        <v>1</v>
      </c>
      <c r="J229" t="n">
        <v>0</v>
      </c>
      <c r="K229" t="n">
        <v>1</v>
      </c>
      <c r="L229" t="n">
        <v>0</v>
      </c>
      <c r="M229" t="n">
        <v>0</v>
      </c>
      <c r="N229" t="n">
        <v>0</v>
      </c>
      <c r="O229" t="n">
        <v>1</v>
      </c>
      <c r="P229" t="n">
        <v>1</v>
      </c>
      <c r="Q229" t="n">
        <v>2</v>
      </c>
      <c r="R229" s="2" t="inlineStr">
        <is>
          <t>Knärot
Tjockfotad fingersvamp</t>
        </is>
      </c>
      <c r="S229">
        <f>HYPERLINK("https://klasma.github.io/Logging_0883/artfynd/A 23791-2024 artfynd.xlsx", "A 23791-2024")</f>
        <v/>
      </c>
      <c r="T229">
        <f>HYPERLINK("https://klasma.github.io/Logging_0883/kartor/A 23791-2024 karta.png", "A 23791-2024")</f>
        <v/>
      </c>
      <c r="U229">
        <f>HYPERLINK("https://klasma.github.io/Logging_0883/knärot/A 23791-2024 karta knärot.png", "A 23791-2024")</f>
        <v/>
      </c>
      <c r="V229">
        <f>HYPERLINK("https://klasma.github.io/Logging_0883/klagomål/A 23791-2024 FSC-klagomål.docx", "A 23791-2024")</f>
        <v/>
      </c>
      <c r="W229">
        <f>HYPERLINK("https://klasma.github.io/Logging_0883/klagomålsmail/A 23791-2024 FSC-klagomål mail.docx", "A 23791-2024")</f>
        <v/>
      </c>
      <c r="X229">
        <f>HYPERLINK("https://klasma.github.io/Logging_0883/tillsyn/A 23791-2024 tillsynsbegäran.docx", "A 23791-2024")</f>
        <v/>
      </c>
      <c r="Y229">
        <f>HYPERLINK("https://klasma.github.io/Logging_0883/tillsynsmail/A 23791-2024 tillsynsbegäran mail.docx", "A 23791-2024")</f>
        <v/>
      </c>
    </row>
    <row r="230" ht="15" customHeight="1">
      <c r="A230" t="inlineStr">
        <is>
          <t>A 26992-2024</t>
        </is>
      </c>
      <c r="B230" s="1" t="n">
        <v>45471</v>
      </c>
      <c r="C230" s="1" t="n">
        <v>45851</v>
      </c>
      <c r="D230" t="inlineStr">
        <is>
          <t>KALMAR LÄN</t>
        </is>
      </c>
      <c r="E230" t="inlineStr">
        <is>
          <t>VÄSTERVIK</t>
        </is>
      </c>
      <c r="F230" t="inlineStr">
        <is>
          <t>Holmen skog AB</t>
        </is>
      </c>
      <c r="G230" t="n">
        <v>4.6</v>
      </c>
      <c r="H230" t="n">
        <v>2</v>
      </c>
      <c r="I230" t="n">
        <v>0</v>
      </c>
      <c r="J230" t="n">
        <v>2</v>
      </c>
      <c r="K230" t="n">
        <v>0</v>
      </c>
      <c r="L230" t="n">
        <v>0</v>
      </c>
      <c r="M230" t="n">
        <v>0</v>
      </c>
      <c r="N230" t="n">
        <v>0</v>
      </c>
      <c r="O230" t="n">
        <v>2</v>
      </c>
      <c r="P230" t="n">
        <v>0</v>
      </c>
      <c r="Q230" t="n">
        <v>2</v>
      </c>
      <c r="R230" s="2" t="inlineStr">
        <is>
          <t>Mindre hackspett
Talltita</t>
        </is>
      </c>
      <c r="S230">
        <f>HYPERLINK("https://klasma.github.io/Logging_0883/artfynd/A 26992-2024 artfynd.xlsx", "A 26992-2024")</f>
        <v/>
      </c>
      <c r="T230">
        <f>HYPERLINK("https://klasma.github.io/Logging_0883/kartor/A 26992-2024 karta.png", "A 26992-2024")</f>
        <v/>
      </c>
      <c r="V230">
        <f>HYPERLINK("https://klasma.github.io/Logging_0883/klagomål/A 26992-2024 FSC-klagomål.docx", "A 26992-2024")</f>
        <v/>
      </c>
      <c r="W230">
        <f>HYPERLINK("https://klasma.github.io/Logging_0883/klagomålsmail/A 26992-2024 FSC-klagomål mail.docx", "A 26992-2024")</f>
        <v/>
      </c>
      <c r="X230">
        <f>HYPERLINK("https://klasma.github.io/Logging_0883/tillsyn/A 26992-2024 tillsynsbegäran.docx", "A 26992-2024")</f>
        <v/>
      </c>
      <c r="Y230">
        <f>HYPERLINK("https://klasma.github.io/Logging_0883/tillsynsmail/A 26992-2024 tillsynsbegäran mail.docx", "A 26992-2024")</f>
        <v/>
      </c>
      <c r="Z230">
        <f>HYPERLINK("https://klasma.github.io/Logging_0883/fåglar/A 26992-2024 prioriterade fågelarter.docx", "A 26992-2024")</f>
        <v/>
      </c>
    </row>
    <row r="231" ht="15" customHeight="1">
      <c r="A231" t="inlineStr">
        <is>
          <t>A 28401-2024</t>
        </is>
      </c>
      <c r="B231" s="1" t="n">
        <v>45477</v>
      </c>
      <c r="C231" s="1" t="n">
        <v>45851</v>
      </c>
      <c r="D231" t="inlineStr">
        <is>
          <t>KALMAR LÄN</t>
        </is>
      </c>
      <c r="E231" t="inlineStr">
        <is>
          <t>VÄSTERVIK</t>
        </is>
      </c>
      <c r="F231" t="inlineStr">
        <is>
          <t>Holmen skog AB</t>
        </is>
      </c>
      <c r="G231" t="n">
        <v>2.4</v>
      </c>
      <c r="H231" t="n">
        <v>2</v>
      </c>
      <c r="I231" t="n">
        <v>0</v>
      </c>
      <c r="J231" t="n">
        <v>1</v>
      </c>
      <c r="K231" t="n">
        <v>0</v>
      </c>
      <c r="L231" t="n">
        <v>0</v>
      </c>
      <c r="M231" t="n">
        <v>0</v>
      </c>
      <c r="N231" t="n">
        <v>0</v>
      </c>
      <c r="O231" t="n">
        <v>1</v>
      </c>
      <c r="P231" t="n">
        <v>0</v>
      </c>
      <c r="Q231" t="n">
        <v>2</v>
      </c>
      <c r="R231" s="2" t="inlineStr">
        <is>
          <t>Talltita
Revlummer</t>
        </is>
      </c>
      <c r="S231">
        <f>HYPERLINK("https://klasma.github.io/Logging_0883/artfynd/A 28401-2024 artfynd.xlsx", "A 28401-2024")</f>
        <v/>
      </c>
      <c r="T231">
        <f>HYPERLINK("https://klasma.github.io/Logging_0883/kartor/A 28401-2024 karta.png", "A 28401-2024")</f>
        <v/>
      </c>
      <c r="V231">
        <f>HYPERLINK("https://klasma.github.io/Logging_0883/klagomål/A 28401-2024 FSC-klagomål.docx", "A 28401-2024")</f>
        <v/>
      </c>
      <c r="W231">
        <f>HYPERLINK("https://klasma.github.io/Logging_0883/klagomålsmail/A 28401-2024 FSC-klagomål mail.docx", "A 28401-2024")</f>
        <v/>
      </c>
      <c r="X231">
        <f>HYPERLINK("https://klasma.github.io/Logging_0883/tillsyn/A 28401-2024 tillsynsbegäran.docx", "A 28401-2024")</f>
        <v/>
      </c>
      <c r="Y231">
        <f>HYPERLINK("https://klasma.github.io/Logging_0883/tillsynsmail/A 28401-2024 tillsynsbegäran mail.docx", "A 28401-2024")</f>
        <v/>
      </c>
      <c r="Z231">
        <f>HYPERLINK("https://klasma.github.io/Logging_0883/fåglar/A 28401-2024 prioriterade fågelarter.docx", "A 28401-2024")</f>
        <v/>
      </c>
    </row>
    <row r="232" ht="15" customHeight="1">
      <c r="A232" t="inlineStr">
        <is>
          <t>A 31435-2024</t>
        </is>
      </c>
      <c r="B232" s="1" t="n">
        <v>45505</v>
      </c>
      <c r="C232" s="1" t="n">
        <v>45851</v>
      </c>
      <c r="D232" t="inlineStr">
        <is>
          <t>KALMAR LÄN</t>
        </is>
      </c>
      <c r="E232" t="inlineStr">
        <is>
          <t>VÄSTERVIK</t>
        </is>
      </c>
      <c r="G232" t="n">
        <v>1.3</v>
      </c>
      <c r="H232" t="n">
        <v>0</v>
      </c>
      <c r="I232" t="n">
        <v>1</v>
      </c>
      <c r="J232" t="n">
        <v>1</v>
      </c>
      <c r="K232" t="n">
        <v>0</v>
      </c>
      <c r="L232" t="n">
        <v>0</v>
      </c>
      <c r="M232" t="n">
        <v>0</v>
      </c>
      <c r="N232" t="n">
        <v>0</v>
      </c>
      <c r="O232" t="n">
        <v>1</v>
      </c>
      <c r="P232" t="n">
        <v>0</v>
      </c>
      <c r="Q232" t="n">
        <v>2</v>
      </c>
      <c r="R232" s="2" t="inlineStr">
        <is>
          <t>Oxtungssvamp
Blomkålssvamp</t>
        </is>
      </c>
      <c r="S232">
        <f>HYPERLINK("https://klasma.github.io/Logging_0883/artfynd/A 31435-2024 artfynd.xlsx", "A 31435-2024")</f>
        <v/>
      </c>
      <c r="T232">
        <f>HYPERLINK("https://klasma.github.io/Logging_0883/kartor/A 31435-2024 karta.png", "A 31435-2024")</f>
        <v/>
      </c>
      <c r="V232">
        <f>HYPERLINK("https://klasma.github.io/Logging_0883/klagomål/A 31435-2024 FSC-klagomål.docx", "A 31435-2024")</f>
        <v/>
      </c>
      <c r="W232">
        <f>HYPERLINK("https://klasma.github.io/Logging_0883/klagomålsmail/A 31435-2024 FSC-klagomål mail.docx", "A 31435-2024")</f>
        <v/>
      </c>
      <c r="X232">
        <f>HYPERLINK("https://klasma.github.io/Logging_0883/tillsyn/A 31435-2024 tillsynsbegäran.docx", "A 31435-2024")</f>
        <v/>
      </c>
      <c r="Y232">
        <f>HYPERLINK("https://klasma.github.io/Logging_0883/tillsynsmail/A 31435-2024 tillsynsbegäran mail.docx", "A 31435-2024")</f>
        <v/>
      </c>
    </row>
    <row r="233" ht="15" customHeight="1">
      <c r="A233" t="inlineStr">
        <is>
          <t>A 34834-2024</t>
        </is>
      </c>
      <c r="B233" s="1" t="n">
        <v>45526</v>
      </c>
      <c r="C233" s="1" t="n">
        <v>45851</v>
      </c>
      <c r="D233" t="inlineStr">
        <is>
          <t>KALMAR LÄN</t>
        </is>
      </c>
      <c r="E233" t="inlineStr">
        <is>
          <t>VÄSTERVIK</t>
        </is>
      </c>
      <c r="F233" t="inlineStr">
        <is>
          <t>Sveaskog</t>
        </is>
      </c>
      <c r="G233" t="n">
        <v>4.2</v>
      </c>
      <c r="H233" t="n">
        <v>1</v>
      </c>
      <c r="I233" t="n">
        <v>1</v>
      </c>
      <c r="J233" t="n">
        <v>1</v>
      </c>
      <c r="K233" t="n">
        <v>0</v>
      </c>
      <c r="L233" t="n">
        <v>0</v>
      </c>
      <c r="M233" t="n">
        <v>0</v>
      </c>
      <c r="N233" t="n">
        <v>0</v>
      </c>
      <c r="O233" t="n">
        <v>1</v>
      </c>
      <c r="P233" t="n">
        <v>0</v>
      </c>
      <c r="Q233" t="n">
        <v>2</v>
      </c>
      <c r="R233" s="2" t="inlineStr">
        <is>
          <t>Brunag
Tvåblad</t>
        </is>
      </c>
      <c r="S233">
        <f>HYPERLINK("https://klasma.github.io/Logging_0883/artfynd/A 34834-2024 artfynd.xlsx", "A 34834-2024")</f>
        <v/>
      </c>
      <c r="T233">
        <f>HYPERLINK("https://klasma.github.io/Logging_0883/kartor/A 34834-2024 karta.png", "A 34834-2024")</f>
        <v/>
      </c>
      <c r="V233">
        <f>HYPERLINK("https://klasma.github.io/Logging_0883/klagomål/A 34834-2024 FSC-klagomål.docx", "A 34834-2024")</f>
        <v/>
      </c>
      <c r="W233">
        <f>HYPERLINK("https://klasma.github.io/Logging_0883/klagomålsmail/A 34834-2024 FSC-klagomål mail.docx", "A 34834-2024")</f>
        <v/>
      </c>
      <c r="X233">
        <f>HYPERLINK("https://klasma.github.io/Logging_0883/tillsyn/A 34834-2024 tillsynsbegäran.docx", "A 34834-2024")</f>
        <v/>
      </c>
      <c r="Y233">
        <f>HYPERLINK("https://klasma.github.io/Logging_0883/tillsynsmail/A 34834-2024 tillsynsbegäran mail.docx", "A 34834-2024")</f>
        <v/>
      </c>
    </row>
    <row r="234" ht="15" customHeight="1">
      <c r="A234" t="inlineStr">
        <is>
          <t>A 35236-2024</t>
        </is>
      </c>
      <c r="B234" s="1" t="n">
        <v>45530</v>
      </c>
      <c r="C234" s="1" t="n">
        <v>45851</v>
      </c>
      <c r="D234" t="inlineStr">
        <is>
          <t>KALMAR LÄN</t>
        </is>
      </c>
      <c r="E234" t="inlineStr">
        <is>
          <t>VÄSTERVIK</t>
        </is>
      </c>
      <c r="G234" t="n">
        <v>0.9</v>
      </c>
      <c r="H234" t="n">
        <v>1</v>
      </c>
      <c r="I234" t="n">
        <v>1</v>
      </c>
      <c r="J234" t="n">
        <v>0</v>
      </c>
      <c r="K234" t="n">
        <v>1</v>
      </c>
      <c r="L234" t="n">
        <v>0</v>
      </c>
      <c r="M234" t="n">
        <v>0</v>
      </c>
      <c r="N234" t="n">
        <v>0</v>
      </c>
      <c r="O234" t="n">
        <v>1</v>
      </c>
      <c r="P234" t="n">
        <v>1</v>
      </c>
      <c r="Q234" t="n">
        <v>2</v>
      </c>
      <c r="R234" s="2" t="inlineStr">
        <is>
          <t>Knärot
Blåmossa</t>
        </is>
      </c>
      <c r="S234">
        <f>HYPERLINK("https://klasma.github.io/Logging_0883/artfynd/A 35236-2024 artfynd.xlsx", "A 35236-2024")</f>
        <v/>
      </c>
      <c r="T234">
        <f>HYPERLINK("https://klasma.github.io/Logging_0883/kartor/A 35236-2024 karta.png", "A 35236-2024")</f>
        <v/>
      </c>
      <c r="U234">
        <f>HYPERLINK("https://klasma.github.io/Logging_0883/knärot/A 35236-2024 karta knärot.png", "A 35236-2024")</f>
        <v/>
      </c>
      <c r="V234">
        <f>HYPERLINK("https://klasma.github.io/Logging_0883/klagomål/A 35236-2024 FSC-klagomål.docx", "A 35236-2024")</f>
        <v/>
      </c>
      <c r="W234">
        <f>HYPERLINK("https://klasma.github.io/Logging_0883/klagomålsmail/A 35236-2024 FSC-klagomål mail.docx", "A 35236-2024")</f>
        <v/>
      </c>
      <c r="X234">
        <f>HYPERLINK("https://klasma.github.io/Logging_0883/tillsyn/A 35236-2024 tillsynsbegäran.docx", "A 35236-2024")</f>
        <v/>
      </c>
      <c r="Y234">
        <f>HYPERLINK("https://klasma.github.io/Logging_0883/tillsynsmail/A 35236-2024 tillsynsbegäran mail.docx", "A 35236-2024")</f>
        <v/>
      </c>
    </row>
    <row r="235" ht="15" customHeight="1">
      <c r="A235" t="inlineStr">
        <is>
          <t>A 35930-2024</t>
        </is>
      </c>
      <c r="B235" s="1" t="n">
        <v>45533</v>
      </c>
      <c r="C235" s="1" t="n">
        <v>45851</v>
      </c>
      <c r="D235" t="inlineStr">
        <is>
          <t>KALMAR LÄN</t>
        </is>
      </c>
      <c r="E235" t="inlineStr">
        <is>
          <t>VÄSTERVIK</t>
        </is>
      </c>
      <c r="G235" t="n">
        <v>2.1</v>
      </c>
      <c r="H235" t="n">
        <v>1</v>
      </c>
      <c r="I235" t="n">
        <v>0</v>
      </c>
      <c r="J235" t="n">
        <v>2</v>
      </c>
      <c r="K235" t="n">
        <v>0</v>
      </c>
      <c r="L235" t="n">
        <v>0</v>
      </c>
      <c r="M235" t="n">
        <v>0</v>
      </c>
      <c r="N235" t="n">
        <v>0</v>
      </c>
      <c r="O235" t="n">
        <v>2</v>
      </c>
      <c r="P235" t="n">
        <v>0</v>
      </c>
      <c r="Q235" t="n">
        <v>2</v>
      </c>
      <c r="R235" s="2" t="inlineStr">
        <is>
          <t>Tallticka
Talltita</t>
        </is>
      </c>
      <c r="S235">
        <f>HYPERLINK("https://klasma.github.io/Logging_0883/artfynd/A 35930-2024 artfynd.xlsx", "A 35930-2024")</f>
        <v/>
      </c>
      <c r="T235">
        <f>HYPERLINK("https://klasma.github.io/Logging_0883/kartor/A 35930-2024 karta.png", "A 35930-2024")</f>
        <v/>
      </c>
      <c r="V235">
        <f>HYPERLINK("https://klasma.github.io/Logging_0883/klagomål/A 35930-2024 FSC-klagomål.docx", "A 35930-2024")</f>
        <v/>
      </c>
      <c r="W235">
        <f>HYPERLINK("https://klasma.github.io/Logging_0883/klagomålsmail/A 35930-2024 FSC-klagomål mail.docx", "A 35930-2024")</f>
        <v/>
      </c>
      <c r="X235">
        <f>HYPERLINK("https://klasma.github.io/Logging_0883/tillsyn/A 35930-2024 tillsynsbegäran.docx", "A 35930-2024")</f>
        <v/>
      </c>
      <c r="Y235">
        <f>HYPERLINK("https://klasma.github.io/Logging_0883/tillsynsmail/A 35930-2024 tillsynsbegäran mail.docx", "A 35930-2024")</f>
        <v/>
      </c>
      <c r="Z235">
        <f>HYPERLINK("https://klasma.github.io/Logging_0883/fåglar/A 35930-2024 prioriterade fågelarter.docx", "A 35930-2024")</f>
        <v/>
      </c>
    </row>
    <row r="236" ht="15" customHeight="1">
      <c r="A236" t="inlineStr">
        <is>
          <t>A 37106-2024</t>
        </is>
      </c>
      <c r="B236" s="1" t="n">
        <v>45539</v>
      </c>
      <c r="C236" s="1" t="n">
        <v>45851</v>
      </c>
      <c r="D236" t="inlineStr">
        <is>
          <t>KALMAR LÄN</t>
        </is>
      </c>
      <c r="E236" t="inlineStr">
        <is>
          <t>VÄSTERVIK</t>
        </is>
      </c>
      <c r="F236" t="inlineStr">
        <is>
          <t>Holmen skog AB</t>
        </is>
      </c>
      <c r="G236" t="n">
        <v>8.5</v>
      </c>
      <c r="H236" t="n">
        <v>2</v>
      </c>
      <c r="I236" t="n">
        <v>0</v>
      </c>
      <c r="J236" t="n">
        <v>1</v>
      </c>
      <c r="K236" t="n">
        <v>1</v>
      </c>
      <c r="L236" t="n">
        <v>0</v>
      </c>
      <c r="M236" t="n">
        <v>0</v>
      </c>
      <c r="N236" t="n">
        <v>0</v>
      </c>
      <c r="O236" t="n">
        <v>2</v>
      </c>
      <c r="P236" t="n">
        <v>1</v>
      </c>
      <c r="Q236" t="n">
        <v>2</v>
      </c>
      <c r="R236" s="2" t="inlineStr">
        <is>
          <t>Knärot
Mindre hackspett</t>
        </is>
      </c>
      <c r="S236">
        <f>HYPERLINK("https://klasma.github.io/Logging_0883/artfynd/A 37106-2024 artfynd.xlsx", "A 37106-2024")</f>
        <v/>
      </c>
      <c r="T236">
        <f>HYPERLINK("https://klasma.github.io/Logging_0883/kartor/A 37106-2024 karta.png", "A 37106-2024")</f>
        <v/>
      </c>
      <c r="U236">
        <f>HYPERLINK("https://klasma.github.io/Logging_0883/knärot/A 37106-2024 karta knärot.png", "A 37106-2024")</f>
        <v/>
      </c>
      <c r="V236">
        <f>HYPERLINK("https://klasma.github.io/Logging_0883/klagomål/A 37106-2024 FSC-klagomål.docx", "A 37106-2024")</f>
        <v/>
      </c>
      <c r="W236">
        <f>HYPERLINK("https://klasma.github.io/Logging_0883/klagomålsmail/A 37106-2024 FSC-klagomål mail.docx", "A 37106-2024")</f>
        <v/>
      </c>
      <c r="X236">
        <f>HYPERLINK("https://klasma.github.io/Logging_0883/tillsyn/A 37106-2024 tillsynsbegäran.docx", "A 37106-2024")</f>
        <v/>
      </c>
      <c r="Y236">
        <f>HYPERLINK("https://klasma.github.io/Logging_0883/tillsynsmail/A 37106-2024 tillsynsbegäran mail.docx", "A 37106-2024")</f>
        <v/>
      </c>
      <c r="Z236">
        <f>HYPERLINK("https://klasma.github.io/Logging_0883/fåglar/A 37106-2024 prioriterade fågelarter.docx", "A 37106-2024")</f>
        <v/>
      </c>
    </row>
    <row r="237" ht="15" customHeight="1">
      <c r="A237" t="inlineStr">
        <is>
          <t>A 39256-2024</t>
        </is>
      </c>
      <c r="B237" s="1" t="n">
        <v>45551</v>
      </c>
      <c r="C237" s="1" t="n">
        <v>45851</v>
      </c>
      <c r="D237" t="inlineStr">
        <is>
          <t>KALMAR LÄN</t>
        </is>
      </c>
      <c r="E237" t="inlineStr">
        <is>
          <t>VÄSTERVIK</t>
        </is>
      </c>
      <c r="G237" t="n">
        <v>1.9</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39256-2024 artfynd.xlsx", "A 39256-2024")</f>
        <v/>
      </c>
      <c r="T237">
        <f>HYPERLINK("https://klasma.github.io/Logging_0883/kartor/A 39256-2024 karta.png", "A 39256-2024")</f>
        <v/>
      </c>
      <c r="U237">
        <f>HYPERLINK("https://klasma.github.io/Logging_0883/knärot/A 39256-2024 karta knärot.png", "A 39256-2024")</f>
        <v/>
      </c>
      <c r="V237">
        <f>HYPERLINK("https://klasma.github.io/Logging_0883/klagomål/A 39256-2024 FSC-klagomål.docx", "A 39256-2024")</f>
        <v/>
      </c>
      <c r="W237">
        <f>HYPERLINK("https://klasma.github.io/Logging_0883/klagomålsmail/A 39256-2024 FSC-klagomål mail.docx", "A 39256-2024")</f>
        <v/>
      </c>
      <c r="X237">
        <f>HYPERLINK("https://klasma.github.io/Logging_0883/tillsyn/A 39256-2024 tillsynsbegäran.docx", "A 39256-2024")</f>
        <v/>
      </c>
      <c r="Y237">
        <f>HYPERLINK("https://klasma.github.io/Logging_0883/tillsynsmail/A 39256-2024 tillsynsbegäran mail.docx", "A 39256-2024")</f>
        <v/>
      </c>
      <c r="Z237">
        <f>HYPERLINK("https://klasma.github.io/Logging_0883/fåglar/A 39256-2024 prioriterade fågelarter.docx", "A 39256-2024")</f>
        <v/>
      </c>
    </row>
    <row r="238" ht="15" customHeight="1">
      <c r="A238" t="inlineStr">
        <is>
          <t>A 40331-2024</t>
        </is>
      </c>
      <c r="B238" s="1" t="n">
        <v>45555</v>
      </c>
      <c r="C238" s="1" t="n">
        <v>45851</v>
      </c>
      <c r="D238" t="inlineStr">
        <is>
          <t>KALMAR LÄN</t>
        </is>
      </c>
      <c r="E238" t="inlineStr">
        <is>
          <t>VÄSTERVIK</t>
        </is>
      </c>
      <c r="G238" t="n">
        <v>1.5</v>
      </c>
      <c r="H238" t="n">
        <v>1</v>
      </c>
      <c r="I238" t="n">
        <v>1</v>
      </c>
      <c r="J238" t="n">
        <v>0</v>
      </c>
      <c r="K238" t="n">
        <v>0</v>
      </c>
      <c r="L238" t="n">
        <v>0</v>
      </c>
      <c r="M238" t="n">
        <v>0</v>
      </c>
      <c r="N238" t="n">
        <v>0</v>
      </c>
      <c r="O238" t="n">
        <v>0</v>
      </c>
      <c r="P238" t="n">
        <v>0</v>
      </c>
      <c r="Q238" t="n">
        <v>2</v>
      </c>
      <c r="R238" s="2" t="inlineStr">
        <is>
          <t>Murgröna
Blåsippa</t>
        </is>
      </c>
      <c r="S238">
        <f>HYPERLINK("https://klasma.github.io/Logging_0883/artfynd/A 40331-2024 artfynd.xlsx", "A 40331-2024")</f>
        <v/>
      </c>
      <c r="T238">
        <f>HYPERLINK("https://klasma.github.io/Logging_0883/kartor/A 40331-2024 karta.png", "A 40331-2024")</f>
        <v/>
      </c>
      <c r="V238">
        <f>HYPERLINK("https://klasma.github.io/Logging_0883/klagomål/A 40331-2024 FSC-klagomål.docx", "A 40331-2024")</f>
        <v/>
      </c>
      <c r="W238">
        <f>HYPERLINK("https://klasma.github.io/Logging_0883/klagomålsmail/A 40331-2024 FSC-klagomål mail.docx", "A 40331-2024")</f>
        <v/>
      </c>
      <c r="X238">
        <f>HYPERLINK("https://klasma.github.io/Logging_0883/tillsyn/A 40331-2024 tillsynsbegäran.docx", "A 40331-2024")</f>
        <v/>
      </c>
      <c r="Y238">
        <f>HYPERLINK("https://klasma.github.io/Logging_0883/tillsynsmail/A 40331-2024 tillsynsbegäran mail.docx", "A 40331-2024")</f>
        <v/>
      </c>
    </row>
    <row r="239" ht="15" customHeight="1">
      <c r="A239" t="inlineStr">
        <is>
          <t>A 41573-2024</t>
        </is>
      </c>
      <c r="B239" s="1" t="n">
        <v>45560</v>
      </c>
      <c r="C239" s="1" t="n">
        <v>45851</v>
      </c>
      <c r="D239" t="inlineStr">
        <is>
          <t>KALMAR LÄN</t>
        </is>
      </c>
      <c r="E239" t="inlineStr">
        <is>
          <t>VÄSTERVIK</t>
        </is>
      </c>
      <c r="G239" t="n">
        <v>1.6</v>
      </c>
      <c r="H239" t="n">
        <v>1</v>
      </c>
      <c r="I239" t="n">
        <v>1</v>
      </c>
      <c r="J239" t="n">
        <v>0</v>
      </c>
      <c r="K239" t="n">
        <v>1</v>
      </c>
      <c r="L239" t="n">
        <v>0</v>
      </c>
      <c r="M239" t="n">
        <v>0</v>
      </c>
      <c r="N239" t="n">
        <v>0</v>
      </c>
      <c r="O239" t="n">
        <v>1</v>
      </c>
      <c r="P239" t="n">
        <v>1</v>
      </c>
      <c r="Q239" t="n">
        <v>2</v>
      </c>
      <c r="R239" s="2" t="inlineStr">
        <is>
          <t>Knärot
Blåmossa</t>
        </is>
      </c>
      <c r="S239">
        <f>HYPERLINK("https://klasma.github.io/Logging_0883/artfynd/A 41573-2024 artfynd.xlsx", "A 41573-2024")</f>
        <v/>
      </c>
      <c r="T239">
        <f>HYPERLINK("https://klasma.github.io/Logging_0883/kartor/A 41573-2024 karta.png", "A 41573-2024")</f>
        <v/>
      </c>
      <c r="U239">
        <f>HYPERLINK("https://klasma.github.io/Logging_0883/knärot/A 41573-2024 karta knärot.png", "A 41573-2024")</f>
        <v/>
      </c>
      <c r="V239">
        <f>HYPERLINK("https://klasma.github.io/Logging_0883/klagomål/A 41573-2024 FSC-klagomål.docx", "A 41573-2024")</f>
        <v/>
      </c>
      <c r="W239">
        <f>HYPERLINK("https://klasma.github.io/Logging_0883/klagomålsmail/A 41573-2024 FSC-klagomål mail.docx", "A 41573-2024")</f>
        <v/>
      </c>
      <c r="X239">
        <f>HYPERLINK("https://klasma.github.io/Logging_0883/tillsyn/A 41573-2024 tillsynsbegäran.docx", "A 41573-2024")</f>
        <v/>
      </c>
      <c r="Y239">
        <f>HYPERLINK("https://klasma.github.io/Logging_0883/tillsynsmail/A 41573-2024 tillsynsbegäran mail.docx", "A 41573-2024")</f>
        <v/>
      </c>
    </row>
    <row r="240" ht="15" customHeight="1">
      <c r="A240" t="inlineStr">
        <is>
          <t>A 48727-2024</t>
        </is>
      </c>
      <c r="B240" s="1" t="n">
        <v>45593</v>
      </c>
      <c r="C240" s="1" t="n">
        <v>45851</v>
      </c>
      <c r="D240" t="inlineStr">
        <is>
          <t>KALMAR LÄN</t>
        </is>
      </c>
      <c r="E240" t="inlineStr">
        <is>
          <t>VÄSTERVIK</t>
        </is>
      </c>
      <c r="G240" t="n">
        <v>2.1</v>
      </c>
      <c r="H240" t="n">
        <v>2</v>
      </c>
      <c r="I240" t="n">
        <v>0</v>
      </c>
      <c r="J240" t="n">
        <v>1</v>
      </c>
      <c r="K240" t="n">
        <v>1</v>
      </c>
      <c r="L240" t="n">
        <v>0</v>
      </c>
      <c r="M240" t="n">
        <v>0</v>
      </c>
      <c r="N240" t="n">
        <v>0</v>
      </c>
      <c r="O240" t="n">
        <v>2</v>
      </c>
      <c r="P240" t="n">
        <v>1</v>
      </c>
      <c r="Q240" t="n">
        <v>2</v>
      </c>
      <c r="R240" s="2" t="inlineStr">
        <is>
          <t>Knärot
Talltita</t>
        </is>
      </c>
      <c r="S240">
        <f>HYPERLINK("https://klasma.github.io/Logging_0883/artfynd/A 48727-2024 artfynd.xlsx", "A 48727-2024")</f>
        <v/>
      </c>
      <c r="T240">
        <f>HYPERLINK("https://klasma.github.io/Logging_0883/kartor/A 48727-2024 karta.png", "A 48727-2024")</f>
        <v/>
      </c>
      <c r="U240">
        <f>HYPERLINK("https://klasma.github.io/Logging_0883/knärot/A 48727-2024 karta knärot.png", "A 48727-2024")</f>
        <v/>
      </c>
      <c r="V240">
        <f>HYPERLINK("https://klasma.github.io/Logging_0883/klagomål/A 48727-2024 FSC-klagomål.docx", "A 48727-2024")</f>
        <v/>
      </c>
      <c r="W240">
        <f>HYPERLINK("https://klasma.github.io/Logging_0883/klagomålsmail/A 48727-2024 FSC-klagomål mail.docx", "A 48727-2024")</f>
        <v/>
      </c>
      <c r="X240">
        <f>HYPERLINK("https://klasma.github.io/Logging_0883/tillsyn/A 48727-2024 tillsynsbegäran.docx", "A 48727-2024")</f>
        <v/>
      </c>
      <c r="Y240">
        <f>HYPERLINK("https://klasma.github.io/Logging_0883/tillsynsmail/A 48727-2024 tillsynsbegäran mail.docx", "A 48727-2024")</f>
        <v/>
      </c>
      <c r="Z240">
        <f>HYPERLINK("https://klasma.github.io/Logging_0883/fåglar/A 48727-2024 prioriterade fågelarter.docx", "A 48727-2024")</f>
        <v/>
      </c>
    </row>
    <row r="241" ht="15" customHeight="1">
      <c r="A241" t="inlineStr">
        <is>
          <t>A 52723-2024</t>
        </is>
      </c>
      <c r="B241" s="1" t="n">
        <v>45610</v>
      </c>
      <c r="C241" s="1" t="n">
        <v>45851</v>
      </c>
      <c r="D241" t="inlineStr">
        <is>
          <t>KALMAR LÄN</t>
        </is>
      </c>
      <c r="E241" t="inlineStr">
        <is>
          <t>VÄSTERVIK</t>
        </is>
      </c>
      <c r="F241" t="inlineStr">
        <is>
          <t>Holmen skog AB</t>
        </is>
      </c>
      <c r="G241" t="n">
        <v>6.5</v>
      </c>
      <c r="H241" t="n">
        <v>2</v>
      </c>
      <c r="I241" t="n">
        <v>1</v>
      </c>
      <c r="J241" t="n">
        <v>1</v>
      </c>
      <c r="K241" t="n">
        <v>0</v>
      </c>
      <c r="L241" t="n">
        <v>0</v>
      </c>
      <c r="M241" t="n">
        <v>0</v>
      </c>
      <c r="N241" t="n">
        <v>0</v>
      </c>
      <c r="O241" t="n">
        <v>1</v>
      </c>
      <c r="P241" t="n">
        <v>0</v>
      </c>
      <c r="Q241" t="n">
        <v>2</v>
      </c>
      <c r="R241" s="2" t="inlineStr">
        <is>
          <t>Talltita
Ekoxe</t>
        </is>
      </c>
      <c r="S241">
        <f>HYPERLINK("https://klasma.github.io/Logging_0883/artfynd/A 52723-2024 artfynd.xlsx", "A 52723-2024")</f>
        <v/>
      </c>
      <c r="T241">
        <f>HYPERLINK("https://klasma.github.io/Logging_0883/kartor/A 52723-2024 karta.png", "A 52723-2024")</f>
        <v/>
      </c>
      <c r="V241">
        <f>HYPERLINK("https://klasma.github.io/Logging_0883/klagomål/A 52723-2024 FSC-klagomål.docx", "A 52723-2024")</f>
        <v/>
      </c>
      <c r="W241">
        <f>HYPERLINK("https://klasma.github.io/Logging_0883/klagomålsmail/A 52723-2024 FSC-klagomål mail.docx", "A 52723-2024")</f>
        <v/>
      </c>
      <c r="X241">
        <f>HYPERLINK("https://klasma.github.io/Logging_0883/tillsyn/A 52723-2024 tillsynsbegäran.docx", "A 52723-2024")</f>
        <v/>
      </c>
      <c r="Y241">
        <f>HYPERLINK("https://klasma.github.io/Logging_0883/tillsynsmail/A 52723-2024 tillsynsbegäran mail.docx", "A 52723-2024")</f>
        <v/>
      </c>
      <c r="Z241">
        <f>HYPERLINK("https://klasma.github.io/Logging_0883/fåglar/A 52723-2024 prioriterade fågelarter.docx", "A 52723-2024")</f>
        <v/>
      </c>
    </row>
    <row r="242" ht="15" customHeight="1">
      <c r="A242" t="inlineStr">
        <is>
          <t>A 54346-2024</t>
        </is>
      </c>
      <c r="B242" s="1" t="n">
        <v>45617</v>
      </c>
      <c r="C242" s="1" t="n">
        <v>45851</v>
      </c>
      <c r="D242" t="inlineStr">
        <is>
          <t>KALMAR LÄN</t>
        </is>
      </c>
      <c r="E242" t="inlineStr">
        <is>
          <t>VÄSTERVIK</t>
        </is>
      </c>
      <c r="F242" t="inlineStr">
        <is>
          <t>Kyrkan</t>
        </is>
      </c>
      <c r="G242" t="n">
        <v>2.4</v>
      </c>
      <c r="H242" t="n">
        <v>0</v>
      </c>
      <c r="I242" t="n">
        <v>1</v>
      </c>
      <c r="J242" t="n">
        <v>1</v>
      </c>
      <c r="K242" t="n">
        <v>0</v>
      </c>
      <c r="L242" t="n">
        <v>0</v>
      </c>
      <c r="M242" t="n">
        <v>0</v>
      </c>
      <c r="N242" t="n">
        <v>0</v>
      </c>
      <c r="O242" t="n">
        <v>1</v>
      </c>
      <c r="P242" t="n">
        <v>0</v>
      </c>
      <c r="Q242" t="n">
        <v>2</v>
      </c>
      <c r="R242" s="2" t="inlineStr">
        <is>
          <t>Tallticka
Dropptaggsvamp</t>
        </is>
      </c>
      <c r="S242">
        <f>HYPERLINK("https://klasma.github.io/Logging_0883/artfynd/A 54346-2024 artfynd.xlsx", "A 54346-2024")</f>
        <v/>
      </c>
      <c r="T242">
        <f>HYPERLINK("https://klasma.github.io/Logging_0883/kartor/A 54346-2024 karta.png", "A 54346-2024")</f>
        <v/>
      </c>
      <c r="V242">
        <f>HYPERLINK("https://klasma.github.io/Logging_0883/klagomål/A 54346-2024 FSC-klagomål.docx", "A 54346-2024")</f>
        <v/>
      </c>
      <c r="W242">
        <f>HYPERLINK("https://klasma.github.io/Logging_0883/klagomålsmail/A 54346-2024 FSC-klagomål mail.docx", "A 54346-2024")</f>
        <v/>
      </c>
      <c r="X242">
        <f>HYPERLINK("https://klasma.github.io/Logging_0883/tillsyn/A 54346-2024 tillsynsbegäran.docx", "A 54346-2024")</f>
        <v/>
      </c>
      <c r="Y242">
        <f>HYPERLINK("https://klasma.github.io/Logging_0883/tillsynsmail/A 54346-2024 tillsynsbegäran mail.docx", "A 54346-2024")</f>
        <v/>
      </c>
    </row>
    <row r="243" ht="15" customHeight="1">
      <c r="A243" t="inlineStr">
        <is>
          <t>A 56036-2024</t>
        </is>
      </c>
      <c r="B243" s="1" t="n">
        <v>45624</v>
      </c>
      <c r="C243" s="1" t="n">
        <v>45851</v>
      </c>
      <c r="D243" t="inlineStr">
        <is>
          <t>KALMAR LÄN</t>
        </is>
      </c>
      <c r="E243" t="inlineStr">
        <is>
          <t>VÄSTERVIK</t>
        </is>
      </c>
      <c r="F243" t="inlineStr">
        <is>
          <t>Kyrkan</t>
        </is>
      </c>
      <c r="G243" t="n">
        <v>5.5</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56036-2024 artfynd.xlsx", "A 56036-2024")</f>
        <v/>
      </c>
      <c r="T243">
        <f>HYPERLINK("https://klasma.github.io/Logging_0883/kartor/A 56036-2024 karta.png", "A 56036-2024")</f>
        <v/>
      </c>
      <c r="U243">
        <f>HYPERLINK("https://klasma.github.io/Logging_0883/knärot/A 56036-2024 karta knärot.png", "A 56036-2024")</f>
        <v/>
      </c>
      <c r="V243">
        <f>HYPERLINK("https://klasma.github.io/Logging_0883/klagomål/A 56036-2024 FSC-klagomål.docx", "A 56036-2024")</f>
        <v/>
      </c>
      <c r="W243">
        <f>HYPERLINK("https://klasma.github.io/Logging_0883/klagomålsmail/A 56036-2024 FSC-klagomål mail.docx", "A 56036-2024")</f>
        <v/>
      </c>
      <c r="X243">
        <f>HYPERLINK("https://klasma.github.io/Logging_0883/tillsyn/A 56036-2024 tillsynsbegäran.docx", "A 56036-2024")</f>
        <v/>
      </c>
      <c r="Y243">
        <f>HYPERLINK("https://klasma.github.io/Logging_0883/tillsynsmail/A 56036-2024 tillsynsbegäran mail.docx", "A 56036-2024")</f>
        <v/>
      </c>
      <c r="Z243">
        <f>HYPERLINK("https://klasma.github.io/Logging_0883/fåglar/A 56036-2024 prioriterade fågelarter.docx", "A 56036-2024")</f>
        <v/>
      </c>
    </row>
    <row r="244" ht="15" customHeight="1">
      <c r="A244" t="inlineStr">
        <is>
          <t>A 58430-2024</t>
        </is>
      </c>
      <c r="B244" s="1" t="n">
        <v>45634</v>
      </c>
      <c r="C244" s="1" t="n">
        <v>45851</v>
      </c>
      <c r="D244" t="inlineStr">
        <is>
          <t>KALMAR LÄN</t>
        </is>
      </c>
      <c r="E244" t="inlineStr">
        <is>
          <t>VÄSTERVIK</t>
        </is>
      </c>
      <c r="F244" t="inlineStr">
        <is>
          <t>Sveaskog</t>
        </is>
      </c>
      <c r="G244" t="n">
        <v>5.6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58430-2024 artfynd.xlsx", "A 58430-2024")</f>
        <v/>
      </c>
      <c r="T244">
        <f>HYPERLINK("https://klasma.github.io/Logging_0883/kartor/A 58430-2024 karta.png", "A 58430-2024")</f>
        <v/>
      </c>
      <c r="V244">
        <f>HYPERLINK("https://klasma.github.io/Logging_0883/klagomål/A 58430-2024 FSC-klagomål.docx", "A 58430-2024")</f>
        <v/>
      </c>
      <c r="W244">
        <f>HYPERLINK("https://klasma.github.io/Logging_0883/klagomålsmail/A 58430-2024 FSC-klagomål mail.docx", "A 58430-2024")</f>
        <v/>
      </c>
      <c r="X244">
        <f>HYPERLINK("https://klasma.github.io/Logging_0883/tillsyn/A 58430-2024 tillsynsbegäran.docx", "A 58430-2024")</f>
        <v/>
      </c>
      <c r="Y244">
        <f>HYPERLINK("https://klasma.github.io/Logging_0883/tillsynsmail/A 58430-2024 tillsynsbegäran mail.docx", "A 58430-2024")</f>
        <v/>
      </c>
      <c r="Z244">
        <f>HYPERLINK("https://klasma.github.io/Logging_0883/fåglar/A 58430-2024 prioriterade fågelarter.docx", "A 58430-2024")</f>
        <v/>
      </c>
    </row>
    <row r="245" ht="15" customHeight="1">
      <c r="A245" t="inlineStr">
        <is>
          <t>A 958-2025</t>
        </is>
      </c>
      <c r="B245" s="1" t="n">
        <v>45666</v>
      </c>
      <c r="C245" s="1" t="n">
        <v>45851</v>
      </c>
      <c r="D245" t="inlineStr">
        <is>
          <t>KALMAR LÄN</t>
        </is>
      </c>
      <c r="E245" t="inlineStr">
        <is>
          <t>VÄSTERVIK</t>
        </is>
      </c>
      <c r="G245" t="n">
        <v>2.8</v>
      </c>
      <c r="H245" t="n">
        <v>1</v>
      </c>
      <c r="I245" t="n">
        <v>0</v>
      </c>
      <c r="J245" t="n">
        <v>2</v>
      </c>
      <c r="K245" t="n">
        <v>0</v>
      </c>
      <c r="L245" t="n">
        <v>0</v>
      </c>
      <c r="M245" t="n">
        <v>0</v>
      </c>
      <c r="N245" t="n">
        <v>0</v>
      </c>
      <c r="O245" t="n">
        <v>2</v>
      </c>
      <c r="P245" t="n">
        <v>0</v>
      </c>
      <c r="Q245" t="n">
        <v>2</v>
      </c>
      <c r="R245" s="2" t="inlineStr">
        <is>
          <t>Orange taggsvamp
Spillkråka</t>
        </is>
      </c>
      <c r="S245">
        <f>HYPERLINK("https://klasma.github.io/Logging_0883/artfynd/A 958-2025 artfynd.xlsx", "A 958-2025")</f>
        <v/>
      </c>
      <c r="T245">
        <f>HYPERLINK("https://klasma.github.io/Logging_0883/kartor/A 958-2025 karta.png", "A 958-2025")</f>
        <v/>
      </c>
      <c r="V245">
        <f>HYPERLINK("https://klasma.github.io/Logging_0883/klagomål/A 958-2025 FSC-klagomål.docx", "A 958-2025")</f>
        <v/>
      </c>
      <c r="W245">
        <f>HYPERLINK("https://klasma.github.io/Logging_0883/klagomålsmail/A 958-2025 FSC-klagomål mail.docx", "A 958-2025")</f>
        <v/>
      </c>
      <c r="X245">
        <f>HYPERLINK("https://klasma.github.io/Logging_0883/tillsyn/A 958-2025 tillsynsbegäran.docx", "A 958-2025")</f>
        <v/>
      </c>
      <c r="Y245">
        <f>HYPERLINK("https://klasma.github.io/Logging_0883/tillsynsmail/A 958-2025 tillsynsbegäran mail.docx", "A 958-2025")</f>
        <v/>
      </c>
      <c r="Z245">
        <f>HYPERLINK("https://klasma.github.io/Logging_0883/fåglar/A 958-2025 prioriterade fågelarter.docx", "A 958-2025")</f>
        <v/>
      </c>
    </row>
    <row r="246" ht="15" customHeight="1">
      <c r="A246" t="inlineStr">
        <is>
          <t>A 1767-2025</t>
        </is>
      </c>
      <c r="B246" s="1" t="n">
        <v>45671</v>
      </c>
      <c r="C246" s="1" t="n">
        <v>45851</v>
      </c>
      <c r="D246" t="inlineStr">
        <is>
          <t>KALMAR LÄN</t>
        </is>
      </c>
      <c r="E246" t="inlineStr">
        <is>
          <t>VÄSTERVIK</t>
        </is>
      </c>
      <c r="G246" t="n">
        <v>1.4</v>
      </c>
      <c r="H246" t="n">
        <v>1</v>
      </c>
      <c r="I246" t="n">
        <v>0</v>
      </c>
      <c r="J246" t="n">
        <v>2</v>
      </c>
      <c r="K246" t="n">
        <v>0</v>
      </c>
      <c r="L246" t="n">
        <v>0</v>
      </c>
      <c r="M246" t="n">
        <v>0</v>
      </c>
      <c r="N246" t="n">
        <v>0</v>
      </c>
      <c r="O246" t="n">
        <v>2</v>
      </c>
      <c r="P246" t="n">
        <v>0</v>
      </c>
      <c r="Q246" t="n">
        <v>2</v>
      </c>
      <c r="R246" s="2" t="inlineStr">
        <is>
          <t>Garnlav
Spillkråka</t>
        </is>
      </c>
      <c r="S246">
        <f>HYPERLINK("https://klasma.github.io/Logging_0883/artfynd/A 1767-2025 artfynd.xlsx", "A 1767-2025")</f>
        <v/>
      </c>
      <c r="T246">
        <f>HYPERLINK("https://klasma.github.io/Logging_0883/kartor/A 1767-2025 karta.png", "A 1767-2025")</f>
        <v/>
      </c>
      <c r="U246">
        <f>HYPERLINK("https://klasma.github.io/Logging_0883/knärot/A 1767-2025 karta knärot.png", "A 1767-2025")</f>
        <v/>
      </c>
      <c r="V246">
        <f>HYPERLINK("https://klasma.github.io/Logging_0883/klagomål/A 1767-2025 FSC-klagomål.docx", "A 1767-2025")</f>
        <v/>
      </c>
      <c r="W246">
        <f>HYPERLINK("https://klasma.github.io/Logging_0883/klagomålsmail/A 1767-2025 FSC-klagomål mail.docx", "A 1767-2025")</f>
        <v/>
      </c>
      <c r="X246">
        <f>HYPERLINK("https://klasma.github.io/Logging_0883/tillsyn/A 1767-2025 tillsynsbegäran.docx", "A 1767-2025")</f>
        <v/>
      </c>
      <c r="Y246">
        <f>HYPERLINK("https://klasma.github.io/Logging_0883/tillsynsmail/A 1767-2025 tillsynsbegäran mail.docx", "A 1767-2025")</f>
        <v/>
      </c>
      <c r="Z246">
        <f>HYPERLINK("https://klasma.github.io/Logging_0883/fåglar/A 1767-2025 prioriterade fågelarter.docx", "A 1767-2025")</f>
        <v/>
      </c>
    </row>
    <row r="247" ht="15" customHeight="1">
      <c r="A247" t="inlineStr">
        <is>
          <t>A 2324-2025</t>
        </is>
      </c>
      <c r="B247" s="1" t="n">
        <v>45673</v>
      </c>
      <c r="C247" s="1" t="n">
        <v>45851</v>
      </c>
      <c r="D247" t="inlineStr">
        <is>
          <t>KALMAR LÄN</t>
        </is>
      </c>
      <c r="E247" t="inlineStr">
        <is>
          <t>VÄSTERVIK</t>
        </is>
      </c>
      <c r="F247" t="inlineStr">
        <is>
          <t>Sveaskog</t>
        </is>
      </c>
      <c r="G247" t="n">
        <v>5.7</v>
      </c>
      <c r="H247" t="n">
        <v>2</v>
      </c>
      <c r="I247" t="n">
        <v>0</v>
      </c>
      <c r="J247" t="n">
        <v>0</v>
      </c>
      <c r="K247" t="n">
        <v>0</v>
      </c>
      <c r="L247" t="n">
        <v>0</v>
      </c>
      <c r="M247" t="n">
        <v>0</v>
      </c>
      <c r="N247" t="n">
        <v>0</v>
      </c>
      <c r="O247" t="n">
        <v>0</v>
      </c>
      <c r="P247" t="n">
        <v>0</v>
      </c>
      <c r="Q247" t="n">
        <v>2</v>
      </c>
      <c r="R247" s="2" t="inlineStr">
        <is>
          <t>Kungsfågel
Mattlummer</t>
        </is>
      </c>
      <c r="S247">
        <f>HYPERLINK("https://klasma.github.io/Logging_0883/artfynd/A 2324-2025 artfynd.xlsx", "A 2324-2025")</f>
        <v/>
      </c>
      <c r="T247">
        <f>HYPERLINK("https://klasma.github.io/Logging_0883/kartor/A 2324-2025 karta.png", "A 2324-2025")</f>
        <v/>
      </c>
      <c r="V247">
        <f>HYPERLINK("https://klasma.github.io/Logging_0883/klagomål/A 2324-2025 FSC-klagomål.docx", "A 2324-2025")</f>
        <v/>
      </c>
      <c r="W247">
        <f>HYPERLINK("https://klasma.github.io/Logging_0883/klagomålsmail/A 2324-2025 FSC-klagomål mail.docx", "A 2324-2025")</f>
        <v/>
      </c>
      <c r="X247">
        <f>HYPERLINK("https://klasma.github.io/Logging_0883/tillsyn/A 2324-2025 tillsynsbegäran.docx", "A 2324-2025")</f>
        <v/>
      </c>
      <c r="Y247">
        <f>HYPERLINK("https://klasma.github.io/Logging_0883/tillsynsmail/A 2324-2025 tillsynsbegäran mail.docx", "A 2324-2025")</f>
        <v/>
      </c>
      <c r="Z247">
        <f>HYPERLINK("https://klasma.github.io/Logging_0883/fåglar/A 2324-2025 prioriterade fågelarter.docx", "A 2324-2025")</f>
        <v/>
      </c>
    </row>
    <row r="248" ht="15" customHeight="1">
      <c r="A248" t="inlineStr">
        <is>
          <t>A 2950-2025</t>
        </is>
      </c>
      <c r="B248" s="1" t="n">
        <v>45678</v>
      </c>
      <c r="C248" s="1" t="n">
        <v>45851</v>
      </c>
      <c r="D248" t="inlineStr">
        <is>
          <t>KALMAR LÄN</t>
        </is>
      </c>
      <c r="E248" t="inlineStr">
        <is>
          <t>VÄSTERVIK</t>
        </is>
      </c>
      <c r="G248" t="n">
        <v>6.1</v>
      </c>
      <c r="H248" t="n">
        <v>1</v>
      </c>
      <c r="I248" t="n">
        <v>1</v>
      </c>
      <c r="J248" t="n">
        <v>0</v>
      </c>
      <c r="K248" t="n">
        <v>1</v>
      </c>
      <c r="L248" t="n">
        <v>0</v>
      </c>
      <c r="M248" t="n">
        <v>0</v>
      </c>
      <c r="N248" t="n">
        <v>0</v>
      </c>
      <c r="O248" t="n">
        <v>1</v>
      </c>
      <c r="P248" t="n">
        <v>1</v>
      </c>
      <c r="Q248" t="n">
        <v>2</v>
      </c>
      <c r="R248" s="2" t="inlineStr">
        <is>
          <t>Knärot
Grovticka</t>
        </is>
      </c>
      <c r="S248">
        <f>HYPERLINK("https://klasma.github.io/Logging_0883/artfynd/A 2950-2025 artfynd.xlsx", "A 2950-2025")</f>
        <v/>
      </c>
      <c r="T248">
        <f>HYPERLINK("https://klasma.github.io/Logging_0883/kartor/A 2950-2025 karta.png", "A 2950-2025")</f>
        <v/>
      </c>
      <c r="U248">
        <f>HYPERLINK("https://klasma.github.io/Logging_0883/knärot/A 2950-2025 karta knärot.png", "A 2950-2025")</f>
        <v/>
      </c>
      <c r="V248">
        <f>HYPERLINK("https://klasma.github.io/Logging_0883/klagomål/A 2950-2025 FSC-klagomål.docx", "A 2950-2025")</f>
        <v/>
      </c>
      <c r="W248">
        <f>HYPERLINK("https://klasma.github.io/Logging_0883/klagomålsmail/A 2950-2025 FSC-klagomål mail.docx", "A 2950-2025")</f>
        <v/>
      </c>
      <c r="X248">
        <f>HYPERLINK("https://klasma.github.io/Logging_0883/tillsyn/A 2950-2025 tillsynsbegäran.docx", "A 2950-2025")</f>
        <v/>
      </c>
      <c r="Y248">
        <f>HYPERLINK("https://klasma.github.io/Logging_0883/tillsynsmail/A 2950-2025 tillsynsbegäran mail.docx", "A 2950-2025")</f>
        <v/>
      </c>
    </row>
    <row r="249" ht="15" customHeight="1">
      <c r="A249" t="inlineStr">
        <is>
          <t>A 3091-2025</t>
        </is>
      </c>
      <c r="B249" s="1" t="n">
        <v>45678</v>
      </c>
      <c r="C249" s="1" t="n">
        <v>45851</v>
      </c>
      <c r="D249" t="inlineStr">
        <is>
          <t>KALMAR LÄN</t>
        </is>
      </c>
      <c r="E249" t="inlineStr">
        <is>
          <t>VÄSTERVIK</t>
        </is>
      </c>
      <c r="G249" t="n">
        <v>3.7</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3091-2025 artfynd.xlsx", "A 3091-2025")</f>
        <v/>
      </c>
      <c r="T249">
        <f>HYPERLINK("https://klasma.github.io/Logging_0883/kartor/A 3091-2025 karta.png", "A 3091-2025")</f>
        <v/>
      </c>
      <c r="U249">
        <f>HYPERLINK("https://klasma.github.io/Logging_0883/knärot/A 3091-2025 karta knärot.png", "A 3091-2025")</f>
        <v/>
      </c>
      <c r="V249">
        <f>HYPERLINK("https://klasma.github.io/Logging_0883/klagomål/A 3091-2025 FSC-klagomål.docx", "A 3091-2025")</f>
        <v/>
      </c>
      <c r="W249">
        <f>HYPERLINK("https://klasma.github.io/Logging_0883/klagomålsmail/A 3091-2025 FSC-klagomål mail.docx", "A 3091-2025")</f>
        <v/>
      </c>
      <c r="X249">
        <f>HYPERLINK("https://klasma.github.io/Logging_0883/tillsyn/A 3091-2025 tillsynsbegäran.docx", "A 3091-2025")</f>
        <v/>
      </c>
      <c r="Y249">
        <f>HYPERLINK("https://klasma.github.io/Logging_0883/tillsynsmail/A 3091-2025 tillsynsbegäran mail.docx", "A 3091-2025")</f>
        <v/>
      </c>
      <c r="Z249">
        <f>HYPERLINK("https://klasma.github.io/Logging_0883/fåglar/A 3091-2025 prioriterade fågelarter.docx", "A 3091-2025")</f>
        <v/>
      </c>
    </row>
    <row r="250" ht="15" customHeight="1">
      <c r="A250" t="inlineStr">
        <is>
          <t>A 3182-2025</t>
        </is>
      </c>
      <c r="B250" s="1" t="n">
        <v>45679</v>
      </c>
      <c r="C250" s="1" t="n">
        <v>45851</v>
      </c>
      <c r="D250" t="inlineStr">
        <is>
          <t>KALMAR LÄN</t>
        </is>
      </c>
      <c r="E250" t="inlineStr">
        <is>
          <t>VÄSTERVIK</t>
        </is>
      </c>
      <c r="G250" t="n">
        <v>1.2</v>
      </c>
      <c r="H250" t="n">
        <v>2</v>
      </c>
      <c r="I250" t="n">
        <v>0</v>
      </c>
      <c r="J250" t="n">
        <v>1</v>
      </c>
      <c r="K250" t="n">
        <v>1</v>
      </c>
      <c r="L250" t="n">
        <v>0</v>
      </c>
      <c r="M250" t="n">
        <v>0</v>
      </c>
      <c r="N250" t="n">
        <v>0</v>
      </c>
      <c r="O250" t="n">
        <v>2</v>
      </c>
      <c r="P250" t="n">
        <v>1</v>
      </c>
      <c r="Q250" t="n">
        <v>2</v>
      </c>
      <c r="R250" s="2" t="inlineStr">
        <is>
          <t>Knärot
Spillkråka</t>
        </is>
      </c>
      <c r="S250">
        <f>HYPERLINK("https://klasma.github.io/Logging_0883/artfynd/A 3182-2025 artfynd.xlsx", "A 3182-2025")</f>
        <v/>
      </c>
      <c r="T250">
        <f>HYPERLINK("https://klasma.github.io/Logging_0883/kartor/A 3182-2025 karta.png", "A 3182-2025")</f>
        <v/>
      </c>
      <c r="U250">
        <f>HYPERLINK("https://klasma.github.io/Logging_0883/knärot/A 3182-2025 karta knärot.png", "A 3182-2025")</f>
        <v/>
      </c>
      <c r="V250">
        <f>HYPERLINK("https://klasma.github.io/Logging_0883/klagomål/A 3182-2025 FSC-klagomål.docx", "A 3182-2025")</f>
        <v/>
      </c>
      <c r="W250">
        <f>HYPERLINK("https://klasma.github.io/Logging_0883/klagomålsmail/A 3182-2025 FSC-klagomål mail.docx", "A 3182-2025")</f>
        <v/>
      </c>
      <c r="X250">
        <f>HYPERLINK("https://klasma.github.io/Logging_0883/tillsyn/A 3182-2025 tillsynsbegäran.docx", "A 3182-2025")</f>
        <v/>
      </c>
      <c r="Y250">
        <f>HYPERLINK("https://klasma.github.io/Logging_0883/tillsynsmail/A 3182-2025 tillsynsbegäran mail.docx", "A 3182-2025")</f>
        <v/>
      </c>
      <c r="Z250">
        <f>HYPERLINK("https://klasma.github.io/Logging_0883/fåglar/A 3182-2025 prioriterade fågelarter.docx", "A 3182-2025")</f>
        <v/>
      </c>
    </row>
    <row r="251" ht="15" customHeight="1">
      <c r="A251" t="inlineStr">
        <is>
          <t>A 4778-2025</t>
        </is>
      </c>
      <c r="B251" s="1" t="n">
        <v>45688</v>
      </c>
      <c r="C251" s="1" t="n">
        <v>45851</v>
      </c>
      <c r="D251" t="inlineStr">
        <is>
          <t>KALMAR LÄN</t>
        </is>
      </c>
      <c r="E251" t="inlineStr">
        <is>
          <t>VÄSTERVIK</t>
        </is>
      </c>
      <c r="F251" t="inlineStr">
        <is>
          <t>Holmen skog AB</t>
        </is>
      </c>
      <c r="G251" t="n">
        <v>3.8</v>
      </c>
      <c r="H251" t="n">
        <v>2</v>
      </c>
      <c r="I251" t="n">
        <v>0</v>
      </c>
      <c r="J251" t="n">
        <v>1</v>
      </c>
      <c r="K251" t="n">
        <v>1</v>
      </c>
      <c r="L251" t="n">
        <v>0</v>
      </c>
      <c r="M251" t="n">
        <v>0</v>
      </c>
      <c r="N251" t="n">
        <v>0</v>
      </c>
      <c r="O251" t="n">
        <v>2</v>
      </c>
      <c r="P251" t="n">
        <v>1</v>
      </c>
      <c r="Q251" t="n">
        <v>2</v>
      </c>
      <c r="R251" s="2" t="inlineStr">
        <is>
          <t>Knärot
Talltita</t>
        </is>
      </c>
      <c r="S251">
        <f>HYPERLINK("https://klasma.github.io/Logging_0883/artfynd/A 4778-2025 artfynd.xlsx", "A 4778-2025")</f>
        <v/>
      </c>
      <c r="T251">
        <f>HYPERLINK("https://klasma.github.io/Logging_0883/kartor/A 4778-2025 karta.png", "A 4778-2025")</f>
        <v/>
      </c>
      <c r="U251">
        <f>HYPERLINK("https://klasma.github.io/Logging_0883/knärot/A 4778-2025 karta knärot.png", "A 4778-2025")</f>
        <v/>
      </c>
      <c r="V251">
        <f>HYPERLINK("https://klasma.github.io/Logging_0883/klagomål/A 4778-2025 FSC-klagomål.docx", "A 4778-2025")</f>
        <v/>
      </c>
      <c r="W251">
        <f>HYPERLINK("https://klasma.github.io/Logging_0883/klagomålsmail/A 4778-2025 FSC-klagomål mail.docx", "A 4778-2025")</f>
        <v/>
      </c>
      <c r="X251">
        <f>HYPERLINK("https://klasma.github.io/Logging_0883/tillsyn/A 4778-2025 tillsynsbegäran.docx", "A 4778-2025")</f>
        <v/>
      </c>
      <c r="Y251">
        <f>HYPERLINK("https://klasma.github.io/Logging_0883/tillsynsmail/A 4778-2025 tillsynsbegäran mail.docx", "A 4778-2025")</f>
        <v/>
      </c>
      <c r="Z251">
        <f>HYPERLINK("https://klasma.github.io/Logging_0883/fåglar/A 4778-2025 prioriterade fågelarter.docx", "A 4778-2025")</f>
        <v/>
      </c>
    </row>
    <row r="252" ht="15" customHeight="1">
      <c r="A252" t="inlineStr">
        <is>
          <t>A 5114-2025</t>
        </is>
      </c>
      <c r="B252" s="1" t="n">
        <v>45691</v>
      </c>
      <c r="C252" s="1" t="n">
        <v>45851</v>
      </c>
      <c r="D252" t="inlineStr">
        <is>
          <t>KALMAR LÄN</t>
        </is>
      </c>
      <c r="E252" t="inlineStr">
        <is>
          <t>VÄSTERVIK</t>
        </is>
      </c>
      <c r="G252" t="n">
        <v>3.6</v>
      </c>
      <c r="H252" t="n">
        <v>2</v>
      </c>
      <c r="I252" t="n">
        <v>0</v>
      </c>
      <c r="J252" t="n">
        <v>2</v>
      </c>
      <c r="K252" t="n">
        <v>0</v>
      </c>
      <c r="L252" t="n">
        <v>0</v>
      </c>
      <c r="M252" t="n">
        <v>0</v>
      </c>
      <c r="N252" t="n">
        <v>0</v>
      </c>
      <c r="O252" t="n">
        <v>2</v>
      </c>
      <c r="P252" t="n">
        <v>0</v>
      </c>
      <c r="Q252" t="n">
        <v>2</v>
      </c>
      <c r="R252" s="2" t="inlineStr">
        <is>
          <t>Spillkråka
Talltita</t>
        </is>
      </c>
      <c r="S252">
        <f>HYPERLINK("https://klasma.github.io/Logging_0883/artfynd/A 5114-2025 artfynd.xlsx", "A 5114-2025")</f>
        <v/>
      </c>
      <c r="T252">
        <f>HYPERLINK("https://klasma.github.io/Logging_0883/kartor/A 5114-2025 karta.png", "A 5114-2025")</f>
        <v/>
      </c>
      <c r="U252">
        <f>HYPERLINK("https://klasma.github.io/Logging_0883/knärot/A 5114-2025 karta knärot.png", "A 5114-2025")</f>
        <v/>
      </c>
      <c r="V252">
        <f>HYPERLINK("https://klasma.github.io/Logging_0883/klagomål/A 5114-2025 FSC-klagomål.docx", "A 5114-2025")</f>
        <v/>
      </c>
      <c r="W252">
        <f>HYPERLINK("https://klasma.github.io/Logging_0883/klagomålsmail/A 5114-2025 FSC-klagomål mail.docx", "A 5114-2025")</f>
        <v/>
      </c>
      <c r="X252">
        <f>HYPERLINK("https://klasma.github.io/Logging_0883/tillsyn/A 5114-2025 tillsynsbegäran.docx", "A 5114-2025")</f>
        <v/>
      </c>
      <c r="Y252">
        <f>HYPERLINK("https://klasma.github.io/Logging_0883/tillsynsmail/A 5114-2025 tillsynsbegäran mail.docx", "A 5114-2025")</f>
        <v/>
      </c>
      <c r="Z252">
        <f>HYPERLINK("https://klasma.github.io/Logging_0883/fåglar/A 5114-2025 prioriterade fågelarter.docx", "A 5114-2025")</f>
        <v/>
      </c>
    </row>
    <row r="253" ht="15" customHeight="1">
      <c r="A253" t="inlineStr">
        <is>
          <t>A 5668-2025</t>
        </is>
      </c>
      <c r="B253" s="1" t="n">
        <v>45693</v>
      </c>
      <c r="C253" s="1" t="n">
        <v>45851</v>
      </c>
      <c r="D253" t="inlineStr">
        <is>
          <t>KALMAR LÄN</t>
        </is>
      </c>
      <c r="E253" t="inlineStr">
        <is>
          <t>VÄSTERVIK</t>
        </is>
      </c>
      <c r="G253" t="n">
        <v>1.2</v>
      </c>
      <c r="H253" t="n">
        <v>2</v>
      </c>
      <c r="I253" t="n">
        <v>0</v>
      </c>
      <c r="J253" t="n">
        <v>1</v>
      </c>
      <c r="K253" t="n">
        <v>0</v>
      </c>
      <c r="L253" t="n">
        <v>0</v>
      </c>
      <c r="M253" t="n">
        <v>0</v>
      </c>
      <c r="N253" t="n">
        <v>0</v>
      </c>
      <c r="O253" t="n">
        <v>1</v>
      </c>
      <c r="P253" t="n">
        <v>0</v>
      </c>
      <c r="Q253" t="n">
        <v>2</v>
      </c>
      <c r="R253" s="2" t="inlineStr">
        <is>
          <t>Talltita
Kungsfågel</t>
        </is>
      </c>
      <c r="S253">
        <f>HYPERLINK("https://klasma.github.io/Logging_0883/artfynd/A 5668-2025 artfynd.xlsx", "A 5668-2025")</f>
        <v/>
      </c>
      <c r="T253">
        <f>HYPERLINK("https://klasma.github.io/Logging_0883/kartor/A 5668-2025 karta.png", "A 5668-2025")</f>
        <v/>
      </c>
      <c r="V253">
        <f>HYPERLINK("https://klasma.github.io/Logging_0883/klagomål/A 5668-2025 FSC-klagomål.docx", "A 5668-2025")</f>
        <v/>
      </c>
      <c r="W253">
        <f>HYPERLINK("https://klasma.github.io/Logging_0883/klagomålsmail/A 5668-2025 FSC-klagomål mail.docx", "A 5668-2025")</f>
        <v/>
      </c>
      <c r="X253">
        <f>HYPERLINK("https://klasma.github.io/Logging_0883/tillsyn/A 5668-2025 tillsynsbegäran.docx", "A 5668-2025")</f>
        <v/>
      </c>
      <c r="Y253">
        <f>HYPERLINK("https://klasma.github.io/Logging_0883/tillsynsmail/A 5668-2025 tillsynsbegäran mail.docx", "A 5668-2025")</f>
        <v/>
      </c>
      <c r="Z253">
        <f>HYPERLINK("https://klasma.github.io/Logging_0883/fåglar/A 5668-2025 prioriterade fågelarter.docx", "A 5668-2025")</f>
        <v/>
      </c>
    </row>
    <row r="254" ht="15" customHeight="1">
      <c r="A254" t="inlineStr">
        <is>
          <t>A 10784-2025</t>
        </is>
      </c>
      <c r="B254" s="1" t="n">
        <v>45722</v>
      </c>
      <c r="C254" s="1" t="n">
        <v>45851</v>
      </c>
      <c r="D254" t="inlineStr">
        <is>
          <t>KALMAR LÄN</t>
        </is>
      </c>
      <c r="E254" t="inlineStr">
        <is>
          <t>VÄSTERVIK</t>
        </is>
      </c>
      <c r="G254" t="n">
        <v>2.1</v>
      </c>
      <c r="H254" t="n">
        <v>2</v>
      </c>
      <c r="I254" t="n">
        <v>0</v>
      </c>
      <c r="J254" t="n">
        <v>1</v>
      </c>
      <c r="K254" t="n">
        <v>0</v>
      </c>
      <c r="L254" t="n">
        <v>0</v>
      </c>
      <c r="M254" t="n">
        <v>0</v>
      </c>
      <c r="N254" t="n">
        <v>0</v>
      </c>
      <c r="O254" t="n">
        <v>1</v>
      </c>
      <c r="P254" t="n">
        <v>0</v>
      </c>
      <c r="Q254" t="n">
        <v>2</v>
      </c>
      <c r="R254" s="2" t="inlineStr">
        <is>
          <t>Talltita
Kungsfågel</t>
        </is>
      </c>
      <c r="S254">
        <f>HYPERLINK("https://klasma.github.io/Logging_080883/artfynd/A 10784-2025 artfynd.xlsx", "A 10784-2025")</f>
        <v/>
      </c>
      <c r="T254">
        <f>HYPERLINK("https://klasma.github.io/Logging_080883/kartor/A 10784-2025 karta.png", "A 10784-2025")</f>
        <v/>
      </c>
      <c r="V254">
        <f>HYPERLINK("https://klasma.github.io/Logging_080883/klagomål/A 10784-2025 FSC-klagomål.docx", "A 10784-2025")</f>
        <v/>
      </c>
      <c r="W254">
        <f>HYPERLINK("https://klasma.github.io/Logging_080883/klagomålsmail/A 10784-2025 FSC-klagomål mail.docx", "A 10784-2025")</f>
        <v/>
      </c>
      <c r="X254">
        <f>HYPERLINK("https://klasma.github.io/Logging_080883/tillsyn/A 10784-2025 tillsynsbegäran.docx", "A 10784-2025")</f>
        <v/>
      </c>
      <c r="Y254">
        <f>HYPERLINK("https://klasma.github.io/Logging_080883/tillsynsmail/A 10784-2025 tillsynsbegäran mail.docx", "A 10784-2025")</f>
        <v/>
      </c>
      <c r="Z254">
        <f>HYPERLINK("https://klasma.github.io/Logging_080883/fåglar/A 10784-2025 prioriterade fågelarter.docx", "A 10784-2025")</f>
        <v/>
      </c>
    </row>
    <row r="255" ht="15" customHeight="1">
      <c r="A255" t="inlineStr">
        <is>
          <t>A 14126-2025</t>
        </is>
      </c>
      <c r="B255" s="1" t="n">
        <v>45740</v>
      </c>
      <c r="C255" s="1" t="n">
        <v>45851</v>
      </c>
      <c r="D255" t="inlineStr">
        <is>
          <t>KALMAR LÄN</t>
        </is>
      </c>
      <c r="E255" t="inlineStr">
        <is>
          <t>VÄSTERVIK</t>
        </is>
      </c>
      <c r="F255" t="inlineStr">
        <is>
          <t>Sveaskog</t>
        </is>
      </c>
      <c r="G255" t="n">
        <v>1.3</v>
      </c>
      <c r="H255" t="n">
        <v>2</v>
      </c>
      <c r="I255" t="n">
        <v>0</v>
      </c>
      <c r="J255" t="n">
        <v>1</v>
      </c>
      <c r="K255" t="n">
        <v>0</v>
      </c>
      <c r="L255" t="n">
        <v>0</v>
      </c>
      <c r="M255" t="n">
        <v>0</v>
      </c>
      <c r="N255" t="n">
        <v>0</v>
      </c>
      <c r="O255" t="n">
        <v>1</v>
      </c>
      <c r="P255" t="n">
        <v>0</v>
      </c>
      <c r="Q255" t="n">
        <v>2</v>
      </c>
      <c r="R255" s="2" t="inlineStr">
        <is>
          <t>Grönsångare
Blåsippa</t>
        </is>
      </c>
      <c r="S255">
        <f>HYPERLINK("https://klasma.github.io/Logging_080883/artfynd/A 14126-2025 artfynd.xlsx", "A 14126-2025")</f>
        <v/>
      </c>
      <c r="T255">
        <f>HYPERLINK("https://klasma.github.io/Logging_080883/kartor/A 14126-2025 karta.png", "A 14126-2025")</f>
        <v/>
      </c>
      <c r="V255">
        <f>HYPERLINK("https://klasma.github.io/Logging_080883/klagomål/A 14126-2025 FSC-klagomål.docx", "A 14126-2025")</f>
        <v/>
      </c>
      <c r="W255">
        <f>HYPERLINK("https://klasma.github.io/Logging_080883/klagomålsmail/A 14126-2025 FSC-klagomål mail.docx", "A 14126-2025")</f>
        <v/>
      </c>
      <c r="X255">
        <f>HYPERLINK("https://klasma.github.io/Logging_080883/tillsyn/A 14126-2025 tillsynsbegäran.docx", "A 14126-2025")</f>
        <v/>
      </c>
      <c r="Y255">
        <f>HYPERLINK("https://klasma.github.io/Logging_080883/tillsynsmail/A 14126-2025 tillsynsbegäran mail.docx", "A 14126-2025")</f>
        <v/>
      </c>
      <c r="Z255">
        <f>HYPERLINK("https://klasma.github.io/Logging_080883/fåglar/A 14126-2025 prioriterade fågelarter.docx", "A 14126-2025")</f>
        <v/>
      </c>
    </row>
    <row r="256" ht="15" customHeight="1">
      <c r="A256" t="inlineStr">
        <is>
          <t>A 14086-2025</t>
        </is>
      </c>
      <c r="B256" s="1" t="n">
        <v>45740</v>
      </c>
      <c r="C256" s="1" t="n">
        <v>45851</v>
      </c>
      <c r="D256" t="inlineStr">
        <is>
          <t>KALMAR LÄN</t>
        </is>
      </c>
      <c r="E256" t="inlineStr">
        <is>
          <t>VÄSTERVIK</t>
        </is>
      </c>
      <c r="F256" t="inlineStr">
        <is>
          <t>Sveaskog</t>
        </is>
      </c>
      <c r="G256" t="n">
        <v>3.2</v>
      </c>
      <c r="H256" t="n">
        <v>1</v>
      </c>
      <c r="I256" t="n">
        <v>1</v>
      </c>
      <c r="J256" t="n">
        <v>0</v>
      </c>
      <c r="K256" t="n">
        <v>0</v>
      </c>
      <c r="L256" t="n">
        <v>0</v>
      </c>
      <c r="M256" t="n">
        <v>0</v>
      </c>
      <c r="N256" t="n">
        <v>0</v>
      </c>
      <c r="O256" t="n">
        <v>0</v>
      </c>
      <c r="P256" t="n">
        <v>0</v>
      </c>
      <c r="Q256" t="n">
        <v>2</v>
      </c>
      <c r="R256" s="2" t="inlineStr">
        <is>
          <t>Skogsbräsma
Åkergroda</t>
        </is>
      </c>
      <c r="S256">
        <f>HYPERLINK("https://klasma.github.io/Logging_080883/artfynd/A 14086-2025 artfynd.xlsx", "A 14086-2025")</f>
        <v/>
      </c>
      <c r="T256">
        <f>HYPERLINK("https://klasma.github.io/Logging_080883/kartor/A 14086-2025 karta.png", "A 14086-2025")</f>
        <v/>
      </c>
      <c r="V256">
        <f>HYPERLINK("https://klasma.github.io/Logging_080883/klagomål/A 14086-2025 FSC-klagomål.docx", "A 14086-2025")</f>
        <v/>
      </c>
      <c r="W256">
        <f>HYPERLINK("https://klasma.github.io/Logging_080883/klagomålsmail/A 14086-2025 FSC-klagomål mail.docx", "A 14086-2025")</f>
        <v/>
      </c>
      <c r="X256">
        <f>HYPERLINK("https://klasma.github.io/Logging_080883/tillsyn/A 14086-2025 tillsynsbegäran.docx", "A 14086-2025")</f>
        <v/>
      </c>
      <c r="Y256">
        <f>HYPERLINK("https://klasma.github.io/Logging_080883/tillsynsmail/A 14086-2025 tillsynsbegäran mail.docx", "A 14086-2025")</f>
        <v/>
      </c>
    </row>
    <row r="257" ht="15" customHeight="1">
      <c r="A257" t="inlineStr">
        <is>
          <t>A 14090-2025</t>
        </is>
      </c>
      <c r="B257" s="1" t="n">
        <v>45740</v>
      </c>
      <c r="C257" s="1" t="n">
        <v>45851</v>
      </c>
      <c r="D257" t="inlineStr">
        <is>
          <t>KALMAR LÄN</t>
        </is>
      </c>
      <c r="E257" t="inlineStr">
        <is>
          <t>VÄSTERVIK</t>
        </is>
      </c>
      <c r="F257" t="inlineStr">
        <is>
          <t>Sveaskog</t>
        </is>
      </c>
      <c r="G257" t="n">
        <v>1</v>
      </c>
      <c r="H257" t="n">
        <v>2</v>
      </c>
      <c r="I257" t="n">
        <v>0</v>
      </c>
      <c r="J257" t="n">
        <v>1</v>
      </c>
      <c r="K257" t="n">
        <v>0</v>
      </c>
      <c r="L257" t="n">
        <v>0</v>
      </c>
      <c r="M257" t="n">
        <v>0</v>
      </c>
      <c r="N257" t="n">
        <v>0</v>
      </c>
      <c r="O257" t="n">
        <v>1</v>
      </c>
      <c r="P257" t="n">
        <v>0</v>
      </c>
      <c r="Q257" t="n">
        <v>2</v>
      </c>
      <c r="R257" s="2" t="inlineStr">
        <is>
          <t>Grönsångare
Åkergroda</t>
        </is>
      </c>
      <c r="S257">
        <f>HYPERLINK("https://klasma.github.io/Logging_080883/artfynd/A 14090-2025 artfynd.xlsx", "A 14090-2025")</f>
        <v/>
      </c>
      <c r="T257">
        <f>HYPERLINK("https://klasma.github.io/Logging_080883/kartor/A 14090-2025 karta.png", "A 14090-2025")</f>
        <v/>
      </c>
      <c r="V257">
        <f>HYPERLINK("https://klasma.github.io/Logging_080883/klagomål/A 14090-2025 FSC-klagomål.docx", "A 14090-2025")</f>
        <v/>
      </c>
      <c r="W257">
        <f>HYPERLINK("https://klasma.github.io/Logging_080883/klagomålsmail/A 14090-2025 FSC-klagomål mail.docx", "A 14090-2025")</f>
        <v/>
      </c>
      <c r="X257">
        <f>HYPERLINK("https://klasma.github.io/Logging_080883/tillsyn/A 14090-2025 tillsynsbegäran.docx", "A 14090-2025")</f>
        <v/>
      </c>
      <c r="Y257">
        <f>HYPERLINK("https://klasma.github.io/Logging_080883/tillsynsmail/A 14090-2025 tillsynsbegäran mail.docx", "A 14090-2025")</f>
        <v/>
      </c>
      <c r="Z257">
        <f>HYPERLINK("https://klasma.github.io/Logging_080883/fåglar/A 14090-2025 prioriterade fågelarter.docx", "A 14090-2025")</f>
        <v/>
      </c>
    </row>
    <row r="258" ht="15" customHeight="1">
      <c r="A258" t="inlineStr">
        <is>
          <t>A 15018-2025</t>
        </is>
      </c>
      <c r="B258" s="1" t="n">
        <v>45743</v>
      </c>
      <c r="C258" s="1" t="n">
        <v>45851</v>
      </c>
      <c r="D258" t="inlineStr">
        <is>
          <t>KALMAR LÄN</t>
        </is>
      </c>
      <c r="E258" t="inlineStr">
        <is>
          <t>VÄSTERVIK</t>
        </is>
      </c>
      <c r="G258" t="n">
        <v>1.7</v>
      </c>
      <c r="H258" t="n">
        <v>2</v>
      </c>
      <c r="I258" t="n">
        <v>0</v>
      </c>
      <c r="J258" t="n">
        <v>1</v>
      </c>
      <c r="K258" t="n">
        <v>0</v>
      </c>
      <c r="L258" t="n">
        <v>0</v>
      </c>
      <c r="M258" t="n">
        <v>0</v>
      </c>
      <c r="N258" t="n">
        <v>0</v>
      </c>
      <c r="O258" t="n">
        <v>1</v>
      </c>
      <c r="P258" t="n">
        <v>0</v>
      </c>
      <c r="Q258" t="n">
        <v>2</v>
      </c>
      <c r="R258" s="2" t="inlineStr">
        <is>
          <t>Fjällvråk
Nattskärra</t>
        </is>
      </c>
      <c r="S258">
        <f>HYPERLINK("https://klasma.github.io/Logging_080883/artfynd/A 15018-2025 artfynd.xlsx", "A 15018-2025")</f>
        <v/>
      </c>
      <c r="T258">
        <f>HYPERLINK("https://klasma.github.io/Logging_080883/kartor/A 15018-2025 karta.png", "A 15018-2025")</f>
        <v/>
      </c>
      <c r="V258">
        <f>HYPERLINK("https://klasma.github.io/Logging_080883/klagomål/A 15018-2025 FSC-klagomål.docx", "A 15018-2025")</f>
        <v/>
      </c>
      <c r="W258">
        <f>HYPERLINK("https://klasma.github.io/Logging_080883/klagomålsmail/A 15018-2025 FSC-klagomål mail.docx", "A 15018-2025")</f>
        <v/>
      </c>
      <c r="X258">
        <f>HYPERLINK("https://klasma.github.io/Logging_080883/tillsyn/A 15018-2025 tillsynsbegäran.docx", "A 15018-2025")</f>
        <v/>
      </c>
      <c r="Y258">
        <f>HYPERLINK("https://klasma.github.io/Logging_080883/tillsynsmail/A 15018-2025 tillsynsbegäran mail.docx", "A 15018-2025")</f>
        <v/>
      </c>
      <c r="Z258">
        <f>HYPERLINK("https://klasma.github.io/Logging_080883/fåglar/A 15018-2025 prioriterade fågelarter.docx", "A 15018-2025")</f>
        <v/>
      </c>
    </row>
    <row r="259" ht="15" customHeight="1">
      <c r="A259" t="inlineStr">
        <is>
          <t>A 16700-2025</t>
        </is>
      </c>
      <c r="B259" s="1" t="n">
        <v>45754</v>
      </c>
      <c r="C259" s="1" t="n">
        <v>45851</v>
      </c>
      <c r="D259" t="inlineStr">
        <is>
          <t>KALMAR LÄN</t>
        </is>
      </c>
      <c r="E259" t="inlineStr">
        <is>
          <t>VÄSTERVIK</t>
        </is>
      </c>
      <c r="F259" t="inlineStr">
        <is>
          <t>Sveaskog</t>
        </is>
      </c>
      <c r="G259" t="n">
        <v>1.7</v>
      </c>
      <c r="H259" t="n">
        <v>2</v>
      </c>
      <c r="I259" t="n">
        <v>0</v>
      </c>
      <c r="J259" t="n">
        <v>1</v>
      </c>
      <c r="K259" t="n">
        <v>0</v>
      </c>
      <c r="L259" t="n">
        <v>0</v>
      </c>
      <c r="M259" t="n">
        <v>0</v>
      </c>
      <c r="N259" t="n">
        <v>0</v>
      </c>
      <c r="O259" t="n">
        <v>1</v>
      </c>
      <c r="P259" t="n">
        <v>0</v>
      </c>
      <c r="Q259" t="n">
        <v>2</v>
      </c>
      <c r="R259" s="2" t="inlineStr">
        <is>
          <t>Spillkråka
Kungsfågel</t>
        </is>
      </c>
      <c r="S259">
        <f>HYPERLINK("https://klasma.github.io/Logging_080883/artfynd/A 16700-2025 artfynd.xlsx", "A 16700-2025")</f>
        <v/>
      </c>
      <c r="T259">
        <f>HYPERLINK("https://klasma.github.io/Logging_080883/kartor/A 16700-2025 karta.png", "A 16700-2025")</f>
        <v/>
      </c>
      <c r="V259">
        <f>HYPERLINK("https://klasma.github.io/Logging_080883/klagomål/A 16700-2025 FSC-klagomål.docx", "A 16700-2025")</f>
        <v/>
      </c>
      <c r="W259">
        <f>HYPERLINK("https://klasma.github.io/Logging_080883/klagomålsmail/A 16700-2025 FSC-klagomål mail.docx", "A 16700-2025")</f>
        <v/>
      </c>
      <c r="X259">
        <f>HYPERLINK("https://klasma.github.io/Logging_080883/tillsyn/A 16700-2025 tillsynsbegäran.docx", "A 16700-2025")</f>
        <v/>
      </c>
      <c r="Y259">
        <f>HYPERLINK("https://klasma.github.io/Logging_080883/tillsynsmail/A 16700-2025 tillsynsbegäran mail.docx", "A 16700-2025")</f>
        <v/>
      </c>
      <c r="Z259">
        <f>HYPERLINK("https://klasma.github.io/Logging_080883/fåglar/A 16700-2025 prioriterade fågelarter.docx", "A 16700-2025")</f>
        <v/>
      </c>
    </row>
    <row r="260" ht="15" customHeight="1">
      <c r="A260" t="inlineStr">
        <is>
          <t>A 21081-2025</t>
        </is>
      </c>
      <c r="B260" s="1" t="n">
        <v>45777</v>
      </c>
      <c r="C260" s="1" t="n">
        <v>45851</v>
      </c>
      <c r="D260" t="inlineStr">
        <is>
          <t>KALMAR LÄN</t>
        </is>
      </c>
      <c r="E260" t="inlineStr">
        <is>
          <t>VÄSTERVIK</t>
        </is>
      </c>
      <c r="G260" t="n">
        <v>1</v>
      </c>
      <c r="H260" t="n">
        <v>1</v>
      </c>
      <c r="I260" t="n">
        <v>0</v>
      </c>
      <c r="J260" t="n">
        <v>1</v>
      </c>
      <c r="K260" t="n">
        <v>1</v>
      </c>
      <c r="L260" t="n">
        <v>0</v>
      </c>
      <c r="M260" t="n">
        <v>0</v>
      </c>
      <c r="N260" t="n">
        <v>0</v>
      </c>
      <c r="O260" t="n">
        <v>2</v>
      </c>
      <c r="P260" t="n">
        <v>1</v>
      </c>
      <c r="Q260" t="n">
        <v>2</v>
      </c>
      <c r="R260" s="2" t="inlineStr">
        <is>
          <t>Knärot
Ullticka</t>
        </is>
      </c>
      <c r="S260">
        <f>HYPERLINK("https://klasma.github.io/Logging_080883/artfynd/A 21081-2025 artfynd.xlsx", "A 21081-2025")</f>
        <v/>
      </c>
      <c r="T260">
        <f>HYPERLINK("https://klasma.github.io/Logging_080883/kartor/A 21081-2025 karta.png", "A 21081-2025")</f>
        <v/>
      </c>
      <c r="U260">
        <f>HYPERLINK("https://klasma.github.io/Logging_080883/knärot/A 21081-2025 karta knärot.png", "A 21081-2025")</f>
        <v/>
      </c>
      <c r="V260">
        <f>HYPERLINK("https://klasma.github.io/Logging_080883/klagomål/A 21081-2025 FSC-klagomål.docx", "A 21081-2025")</f>
        <v/>
      </c>
      <c r="W260">
        <f>HYPERLINK("https://klasma.github.io/Logging_080883/klagomålsmail/A 21081-2025 FSC-klagomål mail.docx", "A 21081-2025")</f>
        <v/>
      </c>
      <c r="X260">
        <f>HYPERLINK("https://klasma.github.io/Logging_080883/tillsyn/A 21081-2025 tillsynsbegäran.docx", "A 21081-2025")</f>
        <v/>
      </c>
      <c r="Y260">
        <f>HYPERLINK("https://klasma.github.io/Logging_080883/tillsynsmail/A 21081-2025 tillsynsbegäran mail.docx", "A 21081-2025")</f>
        <v/>
      </c>
    </row>
    <row r="261" ht="15" customHeight="1">
      <c r="A261" t="inlineStr">
        <is>
          <t>A 27200-2019</t>
        </is>
      </c>
      <c r="B261" s="1" t="n">
        <v>43614</v>
      </c>
      <c r="C261" s="1" t="n">
        <v>45851</v>
      </c>
      <c r="D261" t="inlineStr">
        <is>
          <t>KALMAR LÄN</t>
        </is>
      </c>
      <c r="E261" t="inlineStr">
        <is>
          <t>VÄSTERVIK</t>
        </is>
      </c>
      <c r="F261" t="inlineStr">
        <is>
          <t>Sveaskog</t>
        </is>
      </c>
      <c r="G261" t="n">
        <v>8.5</v>
      </c>
      <c r="H261" t="n">
        <v>0</v>
      </c>
      <c r="I261" t="n">
        <v>1</v>
      </c>
      <c r="J261" t="n">
        <v>0</v>
      </c>
      <c r="K261" t="n">
        <v>0</v>
      </c>
      <c r="L261" t="n">
        <v>0</v>
      </c>
      <c r="M261" t="n">
        <v>0</v>
      </c>
      <c r="N261" t="n">
        <v>0</v>
      </c>
      <c r="O261" t="n">
        <v>0</v>
      </c>
      <c r="P261" t="n">
        <v>0</v>
      </c>
      <c r="Q261" t="n">
        <v>1</v>
      </c>
      <c r="R261" s="2" t="inlineStr">
        <is>
          <t>Myskmadra</t>
        </is>
      </c>
      <c r="S261">
        <f>HYPERLINK("https://klasma.github.io/Logging_0883/artfynd/A 27200-2019 artfynd.xlsx", "A 27200-2019")</f>
        <v/>
      </c>
      <c r="T261">
        <f>HYPERLINK("https://klasma.github.io/Logging_0883/kartor/A 27200-2019 karta.png", "A 27200-2019")</f>
        <v/>
      </c>
      <c r="V261">
        <f>HYPERLINK("https://klasma.github.io/Logging_0883/klagomål/A 27200-2019 FSC-klagomål.docx", "A 27200-2019")</f>
        <v/>
      </c>
      <c r="W261">
        <f>HYPERLINK("https://klasma.github.io/Logging_0883/klagomålsmail/A 27200-2019 FSC-klagomål mail.docx", "A 27200-2019")</f>
        <v/>
      </c>
      <c r="X261">
        <f>HYPERLINK("https://klasma.github.io/Logging_0883/tillsyn/A 27200-2019 tillsynsbegäran.docx", "A 27200-2019")</f>
        <v/>
      </c>
      <c r="Y261">
        <f>HYPERLINK("https://klasma.github.io/Logging_0883/tillsynsmail/A 27200-2019 tillsynsbegäran mail.docx", "A 27200-2019")</f>
        <v/>
      </c>
    </row>
    <row r="262" ht="15" customHeight="1">
      <c r="A262" t="inlineStr">
        <is>
          <t>A 27204-2019</t>
        </is>
      </c>
      <c r="B262" s="1" t="n">
        <v>43614</v>
      </c>
      <c r="C262" s="1" t="n">
        <v>45851</v>
      </c>
      <c r="D262" t="inlineStr">
        <is>
          <t>KALMAR LÄN</t>
        </is>
      </c>
      <c r="E262" t="inlineStr">
        <is>
          <t>VÄSTERVIK</t>
        </is>
      </c>
      <c r="F262" t="inlineStr">
        <is>
          <t>Sveaskog</t>
        </is>
      </c>
      <c r="G262" t="n">
        <v>12.9</v>
      </c>
      <c r="H262" t="n">
        <v>0</v>
      </c>
      <c r="I262" t="n">
        <v>1</v>
      </c>
      <c r="J262" t="n">
        <v>0</v>
      </c>
      <c r="K262" t="n">
        <v>0</v>
      </c>
      <c r="L262" t="n">
        <v>0</v>
      </c>
      <c r="M262" t="n">
        <v>0</v>
      </c>
      <c r="N262" t="n">
        <v>0</v>
      </c>
      <c r="O262" t="n">
        <v>0</v>
      </c>
      <c r="P262" t="n">
        <v>0</v>
      </c>
      <c r="Q262" t="n">
        <v>1</v>
      </c>
      <c r="R262" s="2" t="inlineStr">
        <is>
          <t>Platt fjädermossa</t>
        </is>
      </c>
      <c r="S262">
        <f>HYPERLINK("https://klasma.github.io/Logging_0883/artfynd/A 27204-2019 artfynd.xlsx", "A 27204-2019")</f>
        <v/>
      </c>
      <c r="T262">
        <f>HYPERLINK("https://klasma.github.io/Logging_0883/kartor/A 27204-2019 karta.png", "A 27204-2019")</f>
        <v/>
      </c>
      <c r="V262">
        <f>HYPERLINK("https://klasma.github.io/Logging_0883/klagomål/A 27204-2019 FSC-klagomål.docx", "A 27204-2019")</f>
        <v/>
      </c>
      <c r="W262">
        <f>HYPERLINK("https://klasma.github.io/Logging_0883/klagomålsmail/A 27204-2019 FSC-klagomål mail.docx", "A 27204-2019")</f>
        <v/>
      </c>
      <c r="X262">
        <f>HYPERLINK("https://klasma.github.io/Logging_0883/tillsyn/A 27204-2019 tillsynsbegäran.docx", "A 27204-2019")</f>
        <v/>
      </c>
      <c r="Y262">
        <f>HYPERLINK("https://klasma.github.io/Logging_0883/tillsynsmail/A 27204-2019 tillsynsbegäran mail.docx", "A 27204-2019")</f>
        <v/>
      </c>
    </row>
    <row r="263" ht="15" customHeight="1">
      <c r="A263" t="inlineStr">
        <is>
          <t>A 27203-2019</t>
        </is>
      </c>
      <c r="B263" s="1" t="n">
        <v>43614</v>
      </c>
      <c r="C263" s="1" t="n">
        <v>45851</v>
      </c>
      <c r="D263" t="inlineStr">
        <is>
          <t>KALMAR LÄN</t>
        </is>
      </c>
      <c r="E263" t="inlineStr">
        <is>
          <t>VÄSTERVIK</t>
        </is>
      </c>
      <c r="F263" t="inlineStr">
        <is>
          <t>Sveaskog</t>
        </is>
      </c>
      <c r="G263" t="n">
        <v>4.8</v>
      </c>
      <c r="H263" t="n">
        <v>0</v>
      </c>
      <c r="I263" t="n">
        <v>1</v>
      </c>
      <c r="J263" t="n">
        <v>0</v>
      </c>
      <c r="K263" t="n">
        <v>0</v>
      </c>
      <c r="L263" t="n">
        <v>0</v>
      </c>
      <c r="M263" t="n">
        <v>0</v>
      </c>
      <c r="N263" t="n">
        <v>0</v>
      </c>
      <c r="O263" t="n">
        <v>0</v>
      </c>
      <c r="P263" t="n">
        <v>0</v>
      </c>
      <c r="Q263" t="n">
        <v>1</v>
      </c>
      <c r="R263" s="2" t="inlineStr">
        <is>
          <t>Blomskägglav</t>
        </is>
      </c>
      <c r="S263">
        <f>HYPERLINK("https://klasma.github.io/Logging_0883/artfynd/A 27203-2019 artfynd.xlsx", "A 27203-2019")</f>
        <v/>
      </c>
      <c r="T263">
        <f>HYPERLINK("https://klasma.github.io/Logging_0883/kartor/A 27203-2019 karta.png", "A 27203-2019")</f>
        <v/>
      </c>
      <c r="V263">
        <f>HYPERLINK("https://klasma.github.io/Logging_0883/klagomål/A 27203-2019 FSC-klagomål.docx", "A 27203-2019")</f>
        <v/>
      </c>
      <c r="W263">
        <f>HYPERLINK("https://klasma.github.io/Logging_0883/klagomålsmail/A 27203-2019 FSC-klagomål mail.docx", "A 27203-2019")</f>
        <v/>
      </c>
      <c r="X263">
        <f>HYPERLINK("https://klasma.github.io/Logging_0883/tillsyn/A 27203-2019 tillsynsbegäran.docx", "A 27203-2019")</f>
        <v/>
      </c>
      <c r="Y263">
        <f>HYPERLINK("https://klasma.github.io/Logging_0883/tillsynsmail/A 27203-2019 tillsynsbegäran mail.docx", "A 27203-2019")</f>
        <v/>
      </c>
    </row>
    <row r="264" ht="15" customHeight="1">
      <c r="A264" t="inlineStr">
        <is>
          <t>A 59193-2019</t>
        </is>
      </c>
      <c r="B264" s="1" t="n">
        <v>43775</v>
      </c>
      <c r="C264" s="1" t="n">
        <v>45851</v>
      </c>
      <c r="D264" t="inlineStr">
        <is>
          <t>KALMAR LÄN</t>
        </is>
      </c>
      <c r="E264" t="inlineStr">
        <is>
          <t>VÄSTERVIK</t>
        </is>
      </c>
      <c r="G264" t="n">
        <v>3.8</v>
      </c>
      <c r="H264" t="n">
        <v>0</v>
      </c>
      <c r="I264" t="n">
        <v>0</v>
      </c>
      <c r="J264" t="n">
        <v>1</v>
      </c>
      <c r="K264" t="n">
        <v>0</v>
      </c>
      <c r="L264" t="n">
        <v>0</v>
      </c>
      <c r="M264" t="n">
        <v>0</v>
      </c>
      <c r="N264" t="n">
        <v>0</v>
      </c>
      <c r="O264" t="n">
        <v>1</v>
      </c>
      <c r="P264" t="n">
        <v>0</v>
      </c>
      <c r="Q264" t="n">
        <v>1</v>
      </c>
      <c r="R264" s="2" t="inlineStr">
        <is>
          <t>Åkerkulla</t>
        </is>
      </c>
      <c r="S264">
        <f>HYPERLINK("https://klasma.github.io/Logging_0883/artfynd/A 59193-2019 artfynd.xlsx", "A 59193-2019")</f>
        <v/>
      </c>
      <c r="T264">
        <f>HYPERLINK("https://klasma.github.io/Logging_0883/kartor/A 59193-2019 karta.png", "A 59193-2019")</f>
        <v/>
      </c>
      <c r="V264">
        <f>HYPERLINK("https://klasma.github.io/Logging_0883/klagomål/A 59193-2019 FSC-klagomål.docx", "A 59193-2019")</f>
        <v/>
      </c>
      <c r="W264">
        <f>HYPERLINK("https://klasma.github.io/Logging_0883/klagomålsmail/A 59193-2019 FSC-klagomål mail.docx", "A 59193-2019")</f>
        <v/>
      </c>
      <c r="X264">
        <f>HYPERLINK("https://klasma.github.io/Logging_0883/tillsyn/A 59193-2019 tillsynsbegäran.docx", "A 59193-2019")</f>
        <v/>
      </c>
      <c r="Y264">
        <f>HYPERLINK("https://klasma.github.io/Logging_0883/tillsynsmail/A 59193-2019 tillsynsbegäran mail.docx", "A 59193-2019")</f>
        <v/>
      </c>
    </row>
    <row r="265" ht="15" customHeight="1">
      <c r="A265" t="inlineStr">
        <is>
          <t>A 16608-2020</t>
        </is>
      </c>
      <c r="B265" s="1" t="n">
        <v>43908</v>
      </c>
      <c r="C265" s="1" t="n">
        <v>45851</v>
      </c>
      <c r="D265" t="inlineStr">
        <is>
          <t>KALMAR LÄN</t>
        </is>
      </c>
      <c r="E265" t="inlineStr">
        <is>
          <t>VÄSTERVIK</t>
        </is>
      </c>
      <c r="F265" t="inlineStr">
        <is>
          <t>Övriga Aktiebolag</t>
        </is>
      </c>
      <c r="G265" t="n">
        <v>1.7</v>
      </c>
      <c r="H265" t="n">
        <v>0</v>
      </c>
      <c r="I265" t="n">
        <v>0</v>
      </c>
      <c r="J265" t="n">
        <v>1</v>
      </c>
      <c r="K265" t="n">
        <v>0</v>
      </c>
      <c r="L265" t="n">
        <v>0</v>
      </c>
      <c r="M265" t="n">
        <v>0</v>
      </c>
      <c r="N265" t="n">
        <v>0</v>
      </c>
      <c r="O265" t="n">
        <v>1</v>
      </c>
      <c r="P265" t="n">
        <v>0</v>
      </c>
      <c r="Q265" t="n">
        <v>1</v>
      </c>
      <c r="R265" s="2" t="inlineStr">
        <is>
          <t>Skogsklocka</t>
        </is>
      </c>
      <c r="S265">
        <f>HYPERLINK("https://klasma.github.io/Logging_0883/artfynd/A 16608-2020 artfynd.xlsx", "A 16608-2020")</f>
        <v/>
      </c>
      <c r="T265">
        <f>HYPERLINK("https://klasma.github.io/Logging_0883/kartor/A 16608-2020 karta.png", "A 16608-2020")</f>
        <v/>
      </c>
      <c r="V265">
        <f>HYPERLINK("https://klasma.github.io/Logging_0883/klagomål/A 16608-2020 FSC-klagomål.docx", "A 16608-2020")</f>
        <v/>
      </c>
      <c r="W265">
        <f>HYPERLINK("https://klasma.github.io/Logging_0883/klagomålsmail/A 16608-2020 FSC-klagomål mail.docx", "A 16608-2020")</f>
        <v/>
      </c>
      <c r="X265">
        <f>HYPERLINK("https://klasma.github.io/Logging_0883/tillsyn/A 16608-2020 tillsynsbegäran.docx", "A 16608-2020")</f>
        <v/>
      </c>
      <c r="Y265">
        <f>HYPERLINK("https://klasma.github.io/Logging_0883/tillsynsmail/A 16608-2020 tillsynsbegäran mail.docx", "A 16608-2020")</f>
        <v/>
      </c>
    </row>
    <row r="266" ht="15" customHeight="1">
      <c r="A266" t="inlineStr">
        <is>
          <t>A 15357-2020</t>
        </is>
      </c>
      <c r="B266" s="1" t="n">
        <v>43913</v>
      </c>
      <c r="C266" s="1" t="n">
        <v>45851</v>
      </c>
      <c r="D266" t="inlineStr">
        <is>
          <t>KALMAR LÄN</t>
        </is>
      </c>
      <c r="E266" t="inlineStr">
        <is>
          <t>VÄSTERVIK</t>
        </is>
      </c>
      <c r="G266" t="n">
        <v>2.9</v>
      </c>
      <c r="H266" t="n">
        <v>0</v>
      </c>
      <c r="I266" t="n">
        <v>1</v>
      </c>
      <c r="J266" t="n">
        <v>0</v>
      </c>
      <c r="K266" t="n">
        <v>0</v>
      </c>
      <c r="L266" t="n">
        <v>0</v>
      </c>
      <c r="M266" t="n">
        <v>0</v>
      </c>
      <c r="N266" t="n">
        <v>0</v>
      </c>
      <c r="O266" t="n">
        <v>0</v>
      </c>
      <c r="P266" t="n">
        <v>0</v>
      </c>
      <c r="Q266" t="n">
        <v>1</v>
      </c>
      <c r="R266" s="2" t="inlineStr">
        <is>
          <t>Grönpyrola</t>
        </is>
      </c>
      <c r="S266">
        <f>HYPERLINK("https://klasma.github.io/Logging_0883/artfynd/A 15357-2020 artfynd.xlsx", "A 15357-2020")</f>
        <v/>
      </c>
      <c r="T266">
        <f>HYPERLINK("https://klasma.github.io/Logging_0883/kartor/A 15357-2020 karta.png", "A 15357-2020")</f>
        <v/>
      </c>
      <c r="U266">
        <f>HYPERLINK("https://klasma.github.io/Logging_0883/knärot/A 15357-2020 karta knärot.png", "A 15357-2020")</f>
        <v/>
      </c>
      <c r="V266">
        <f>HYPERLINK("https://klasma.github.io/Logging_0883/klagomål/A 15357-2020 FSC-klagomål.docx", "A 15357-2020")</f>
        <v/>
      </c>
      <c r="W266">
        <f>HYPERLINK("https://klasma.github.io/Logging_0883/klagomålsmail/A 15357-2020 FSC-klagomål mail.docx", "A 15357-2020")</f>
        <v/>
      </c>
      <c r="X266">
        <f>HYPERLINK("https://klasma.github.io/Logging_0883/tillsyn/A 15357-2020 tillsynsbegäran.docx", "A 15357-2020")</f>
        <v/>
      </c>
      <c r="Y266">
        <f>HYPERLINK("https://klasma.github.io/Logging_0883/tillsynsmail/A 15357-2020 tillsynsbegäran mail.docx", "A 15357-2020")</f>
        <v/>
      </c>
    </row>
    <row r="267" ht="15" customHeight="1">
      <c r="A267" t="inlineStr">
        <is>
          <t>A 39836-2020</t>
        </is>
      </c>
      <c r="B267" s="1" t="n">
        <v>44064</v>
      </c>
      <c r="C267" s="1" t="n">
        <v>45851</v>
      </c>
      <c r="D267" t="inlineStr">
        <is>
          <t>KALMAR LÄN</t>
        </is>
      </c>
      <c r="E267" t="inlineStr">
        <is>
          <t>VÄSTERVIK</t>
        </is>
      </c>
      <c r="G267" t="n">
        <v>13.4</v>
      </c>
      <c r="H267" t="n">
        <v>1</v>
      </c>
      <c r="I267" t="n">
        <v>0</v>
      </c>
      <c r="J267" t="n">
        <v>1</v>
      </c>
      <c r="K267" t="n">
        <v>0</v>
      </c>
      <c r="L267" t="n">
        <v>0</v>
      </c>
      <c r="M267" t="n">
        <v>0</v>
      </c>
      <c r="N267" t="n">
        <v>0</v>
      </c>
      <c r="O267" t="n">
        <v>1</v>
      </c>
      <c r="P267" t="n">
        <v>0</v>
      </c>
      <c r="Q267" t="n">
        <v>1</v>
      </c>
      <c r="R267" s="2" t="inlineStr">
        <is>
          <t>Havsörn</t>
        </is>
      </c>
      <c r="S267">
        <f>HYPERLINK("https://klasma.github.io/Logging_0883/artfynd/A 39836-2020 artfynd.xlsx", "A 39836-2020")</f>
        <v/>
      </c>
      <c r="T267">
        <f>HYPERLINK("https://klasma.github.io/Logging_0883/kartor/A 39836-2020 karta.png", "A 39836-2020")</f>
        <v/>
      </c>
      <c r="V267">
        <f>HYPERLINK("https://klasma.github.io/Logging_0883/klagomål/A 39836-2020 FSC-klagomål.docx", "A 39836-2020")</f>
        <v/>
      </c>
      <c r="W267">
        <f>HYPERLINK("https://klasma.github.io/Logging_0883/klagomålsmail/A 39836-2020 FSC-klagomål mail.docx", "A 39836-2020")</f>
        <v/>
      </c>
      <c r="X267">
        <f>HYPERLINK("https://klasma.github.io/Logging_0883/tillsyn/A 39836-2020 tillsynsbegäran.docx", "A 39836-2020")</f>
        <v/>
      </c>
      <c r="Y267">
        <f>HYPERLINK("https://klasma.github.io/Logging_0883/tillsynsmail/A 39836-2020 tillsynsbegäran mail.docx", "A 39836-2020")</f>
        <v/>
      </c>
      <c r="Z267">
        <f>HYPERLINK("https://klasma.github.io/Logging_0883/fåglar/A 39836-2020 prioriterade fågelarter.docx", "A 39836-2020")</f>
        <v/>
      </c>
    </row>
    <row r="268" ht="15" customHeight="1">
      <c r="A268" t="inlineStr">
        <is>
          <t>A 66752-2020</t>
        </is>
      </c>
      <c r="B268" s="1" t="n">
        <v>44175</v>
      </c>
      <c r="C268" s="1" t="n">
        <v>45851</v>
      </c>
      <c r="D268" t="inlineStr">
        <is>
          <t>KALMAR LÄN</t>
        </is>
      </c>
      <c r="E268" t="inlineStr">
        <is>
          <t>VÄSTERVIK</t>
        </is>
      </c>
      <c r="G268" t="n">
        <v>0.7</v>
      </c>
      <c r="H268" t="n">
        <v>0</v>
      </c>
      <c r="I268" t="n">
        <v>0</v>
      </c>
      <c r="J268" t="n">
        <v>1</v>
      </c>
      <c r="K268" t="n">
        <v>0</v>
      </c>
      <c r="L268" t="n">
        <v>0</v>
      </c>
      <c r="M268" t="n">
        <v>0</v>
      </c>
      <c r="N268" t="n">
        <v>0</v>
      </c>
      <c r="O268" t="n">
        <v>1</v>
      </c>
      <c r="P268" t="n">
        <v>0</v>
      </c>
      <c r="Q268" t="n">
        <v>1</v>
      </c>
      <c r="R268" s="2" t="inlineStr">
        <is>
          <t>Tallticka</t>
        </is>
      </c>
      <c r="S268">
        <f>HYPERLINK("https://klasma.github.io/Logging_0883/artfynd/A 66752-2020 artfynd.xlsx", "A 66752-2020")</f>
        <v/>
      </c>
      <c r="T268">
        <f>HYPERLINK("https://klasma.github.io/Logging_0883/kartor/A 66752-2020 karta.png", "A 66752-2020")</f>
        <v/>
      </c>
      <c r="V268">
        <f>HYPERLINK("https://klasma.github.io/Logging_0883/klagomål/A 66752-2020 FSC-klagomål.docx", "A 66752-2020")</f>
        <v/>
      </c>
      <c r="W268">
        <f>HYPERLINK("https://klasma.github.io/Logging_0883/klagomålsmail/A 66752-2020 FSC-klagomål mail.docx", "A 66752-2020")</f>
        <v/>
      </c>
      <c r="X268">
        <f>HYPERLINK("https://klasma.github.io/Logging_0883/tillsyn/A 66752-2020 tillsynsbegäran.docx", "A 66752-2020")</f>
        <v/>
      </c>
      <c r="Y268">
        <f>HYPERLINK("https://klasma.github.io/Logging_0883/tillsynsmail/A 66752-2020 tillsynsbegäran mail.docx", "A 66752-2020")</f>
        <v/>
      </c>
    </row>
    <row r="269" ht="15" customHeight="1">
      <c r="A269" t="inlineStr">
        <is>
          <t>A 69632-2020</t>
        </is>
      </c>
      <c r="B269" s="1" t="n">
        <v>44195</v>
      </c>
      <c r="C269" s="1" t="n">
        <v>45851</v>
      </c>
      <c r="D269" t="inlineStr">
        <is>
          <t>KALMAR LÄN</t>
        </is>
      </c>
      <c r="E269" t="inlineStr">
        <is>
          <t>VÄSTERVIK</t>
        </is>
      </c>
      <c r="G269" t="n">
        <v>2.5</v>
      </c>
      <c r="H269" t="n">
        <v>0</v>
      </c>
      <c r="I269" t="n">
        <v>0</v>
      </c>
      <c r="J269" t="n">
        <v>1</v>
      </c>
      <c r="K269" t="n">
        <v>0</v>
      </c>
      <c r="L269" t="n">
        <v>0</v>
      </c>
      <c r="M269" t="n">
        <v>0</v>
      </c>
      <c r="N269" t="n">
        <v>0</v>
      </c>
      <c r="O269" t="n">
        <v>1</v>
      </c>
      <c r="P269" t="n">
        <v>0</v>
      </c>
      <c r="Q269" t="n">
        <v>1</v>
      </c>
      <c r="R269" s="2" t="inlineStr">
        <is>
          <t>Tallticka</t>
        </is>
      </c>
      <c r="S269">
        <f>HYPERLINK("https://klasma.github.io/Logging_0883/artfynd/A 69632-2020 artfynd.xlsx", "A 69632-2020")</f>
        <v/>
      </c>
      <c r="T269">
        <f>HYPERLINK("https://klasma.github.io/Logging_0883/kartor/A 69632-2020 karta.png", "A 69632-2020")</f>
        <v/>
      </c>
      <c r="V269">
        <f>HYPERLINK("https://klasma.github.io/Logging_0883/klagomål/A 69632-2020 FSC-klagomål.docx", "A 69632-2020")</f>
        <v/>
      </c>
      <c r="W269">
        <f>HYPERLINK("https://klasma.github.io/Logging_0883/klagomålsmail/A 69632-2020 FSC-klagomål mail.docx", "A 69632-2020")</f>
        <v/>
      </c>
      <c r="X269">
        <f>HYPERLINK("https://klasma.github.io/Logging_0883/tillsyn/A 69632-2020 tillsynsbegäran.docx", "A 69632-2020")</f>
        <v/>
      </c>
      <c r="Y269">
        <f>HYPERLINK("https://klasma.github.io/Logging_0883/tillsynsmail/A 69632-2020 tillsynsbegäran mail.docx", "A 69632-2020")</f>
        <v/>
      </c>
    </row>
    <row r="270" ht="15" customHeight="1">
      <c r="A270" t="inlineStr">
        <is>
          <t>A 5575-2021</t>
        </is>
      </c>
      <c r="B270" s="1" t="n">
        <v>44230</v>
      </c>
      <c r="C270" s="1" t="n">
        <v>45851</v>
      </c>
      <c r="D270" t="inlineStr">
        <is>
          <t>KALMAR LÄN</t>
        </is>
      </c>
      <c r="E270" t="inlineStr">
        <is>
          <t>VÄSTERVIK</t>
        </is>
      </c>
      <c r="G270" t="n">
        <v>2.6</v>
      </c>
      <c r="H270" t="n">
        <v>1</v>
      </c>
      <c r="I270" t="n">
        <v>1</v>
      </c>
      <c r="J270" t="n">
        <v>0</v>
      </c>
      <c r="K270" t="n">
        <v>0</v>
      </c>
      <c r="L270" t="n">
        <v>0</v>
      </c>
      <c r="M270" t="n">
        <v>0</v>
      </c>
      <c r="N270" t="n">
        <v>0</v>
      </c>
      <c r="O270" t="n">
        <v>0</v>
      </c>
      <c r="P270" t="n">
        <v>0</v>
      </c>
      <c r="Q270" t="n">
        <v>1</v>
      </c>
      <c r="R270" s="2" t="inlineStr">
        <is>
          <t>Ekoxe</t>
        </is>
      </c>
      <c r="S270">
        <f>HYPERLINK("https://klasma.github.io/Logging_0883/artfynd/A 5575-2021 artfynd.xlsx", "A 5575-2021")</f>
        <v/>
      </c>
      <c r="T270">
        <f>HYPERLINK("https://klasma.github.io/Logging_0883/kartor/A 5575-2021 karta.png", "A 5575-2021")</f>
        <v/>
      </c>
      <c r="V270">
        <f>HYPERLINK("https://klasma.github.io/Logging_0883/klagomål/A 5575-2021 FSC-klagomål.docx", "A 5575-2021")</f>
        <v/>
      </c>
      <c r="W270">
        <f>HYPERLINK("https://klasma.github.io/Logging_0883/klagomålsmail/A 5575-2021 FSC-klagomål mail.docx", "A 5575-2021")</f>
        <v/>
      </c>
      <c r="X270">
        <f>HYPERLINK("https://klasma.github.io/Logging_0883/tillsyn/A 5575-2021 tillsynsbegäran.docx", "A 5575-2021")</f>
        <v/>
      </c>
      <c r="Y270">
        <f>HYPERLINK("https://klasma.github.io/Logging_0883/tillsynsmail/A 5575-2021 tillsynsbegäran mail.docx", "A 5575-2021")</f>
        <v/>
      </c>
    </row>
    <row r="271" ht="15" customHeight="1">
      <c r="A271" t="inlineStr">
        <is>
          <t>A 20233-2021</t>
        </is>
      </c>
      <c r="B271" s="1" t="n">
        <v>44314</v>
      </c>
      <c r="C271" s="1" t="n">
        <v>45851</v>
      </c>
      <c r="D271" t="inlineStr">
        <is>
          <t>KALMAR LÄN</t>
        </is>
      </c>
      <c r="E271" t="inlineStr">
        <is>
          <t>VÄSTERVIK</t>
        </is>
      </c>
      <c r="F271" t="inlineStr">
        <is>
          <t>Holmen skog AB</t>
        </is>
      </c>
      <c r="G271" t="n">
        <v>11.8</v>
      </c>
      <c r="H271" t="n">
        <v>0</v>
      </c>
      <c r="I271" t="n">
        <v>0</v>
      </c>
      <c r="J271" t="n">
        <v>1</v>
      </c>
      <c r="K271" t="n">
        <v>0</v>
      </c>
      <c r="L271" t="n">
        <v>0</v>
      </c>
      <c r="M271" t="n">
        <v>0</v>
      </c>
      <c r="N271" t="n">
        <v>0</v>
      </c>
      <c r="O271" t="n">
        <v>1</v>
      </c>
      <c r="P271" t="n">
        <v>0</v>
      </c>
      <c r="Q271" t="n">
        <v>1</v>
      </c>
      <c r="R271" s="2" t="inlineStr">
        <is>
          <t>Skogsklocka</t>
        </is>
      </c>
      <c r="S271">
        <f>HYPERLINK("https://klasma.github.io/Logging_0883/artfynd/A 20233-2021 artfynd.xlsx", "A 20233-2021")</f>
        <v/>
      </c>
      <c r="T271">
        <f>HYPERLINK("https://klasma.github.io/Logging_0883/kartor/A 20233-2021 karta.png", "A 20233-2021")</f>
        <v/>
      </c>
      <c r="V271">
        <f>HYPERLINK("https://klasma.github.io/Logging_0883/klagomål/A 20233-2021 FSC-klagomål.docx", "A 20233-2021")</f>
        <v/>
      </c>
      <c r="W271">
        <f>HYPERLINK("https://klasma.github.io/Logging_0883/klagomålsmail/A 20233-2021 FSC-klagomål mail.docx", "A 20233-2021")</f>
        <v/>
      </c>
      <c r="X271">
        <f>HYPERLINK("https://klasma.github.io/Logging_0883/tillsyn/A 20233-2021 tillsynsbegäran.docx", "A 20233-2021")</f>
        <v/>
      </c>
      <c r="Y271">
        <f>HYPERLINK("https://klasma.github.io/Logging_0883/tillsynsmail/A 20233-2021 tillsynsbegäran mail.docx", "A 20233-2021")</f>
        <v/>
      </c>
    </row>
    <row r="272" ht="15" customHeight="1">
      <c r="A272" t="inlineStr">
        <is>
          <t>A 24048-2021</t>
        </is>
      </c>
      <c r="B272" s="1" t="n">
        <v>44336</v>
      </c>
      <c r="C272" s="1" t="n">
        <v>45851</v>
      </c>
      <c r="D272" t="inlineStr">
        <is>
          <t>KALMAR LÄN</t>
        </is>
      </c>
      <c r="E272" t="inlineStr">
        <is>
          <t>VÄSTERVIK</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HYPERLINK("https://klasma.github.io/Logging_0883/artfynd/A 24048-2021 artfynd.xlsx", "A 24048-2021")</f>
        <v/>
      </c>
      <c r="T272">
        <f>HYPERLINK("https://klasma.github.io/Logging_0883/kartor/A 24048-2021 karta.png", "A 24048-2021")</f>
        <v/>
      </c>
      <c r="U272">
        <f>HYPERLINK("https://klasma.github.io/Logging_0883/knärot/A 24048-2021 karta knärot.png", "A 24048-2021")</f>
        <v/>
      </c>
      <c r="V272">
        <f>HYPERLINK("https://klasma.github.io/Logging_0883/klagomål/A 24048-2021 FSC-klagomål.docx", "A 24048-2021")</f>
        <v/>
      </c>
      <c r="W272">
        <f>HYPERLINK("https://klasma.github.io/Logging_0883/klagomålsmail/A 24048-2021 FSC-klagomål mail.docx", "A 24048-2021")</f>
        <v/>
      </c>
      <c r="X272">
        <f>HYPERLINK("https://klasma.github.io/Logging_0883/tillsyn/A 24048-2021 tillsynsbegäran.docx", "A 24048-2021")</f>
        <v/>
      </c>
      <c r="Y272">
        <f>HYPERLINK("https://klasma.github.io/Logging_0883/tillsynsmail/A 24048-2021 tillsynsbegäran mail.docx", "A 24048-2021")</f>
        <v/>
      </c>
    </row>
    <row r="273" ht="15" customHeight="1">
      <c r="A273" t="inlineStr">
        <is>
          <t>A 25447-2021</t>
        </is>
      </c>
      <c r="B273" s="1" t="n">
        <v>44342</v>
      </c>
      <c r="C273" s="1" t="n">
        <v>45851</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25594-2021</t>
        </is>
      </c>
      <c r="B274" s="1" t="n">
        <v>44343</v>
      </c>
      <c r="C274" s="1" t="n">
        <v>45851</v>
      </c>
      <c r="D274" t="inlineStr">
        <is>
          <t>KALMAR LÄN</t>
        </is>
      </c>
      <c r="E274" t="inlineStr">
        <is>
          <t>VÄSTERVIK</t>
        </is>
      </c>
      <c r="F274" t="inlineStr">
        <is>
          <t>Holmen skog AB</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HYPERLINK("https://klasma.github.io/Logging_0883/artfynd/A 25594-2021 artfynd.xlsx", "A 25594-2021")</f>
        <v/>
      </c>
      <c r="T274">
        <f>HYPERLINK("https://klasma.github.io/Logging_0883/kartor/A 25594-2021 karta.png", "A 25594-2021")</f>
        <v/>
      </c>
      <c r="U274">
        <f>HYPERLINK("https://klasma.github.io/Logging_0883/knärot/A 25594-2021 karta knärot.png", "A 25594-2021")</f>
        <v/>
      </c>
      <c r="V274">
        <f>HYPERLINK("https://klasma.github.io/Logging_0883/klagomål/A 25594-2021 FSC-klagomål.docx", "A 25594-2021")</f>
        <v/>
      </c>
      <c r="W274">
        <f>HYPERLINK("https://klasma.github.io/Logging_0883/klagomålsmail/A 25594-2021 FSC-klagomål mail.docx", "A 25594-2021")</f>
        <v/>
      </c>
      <c r="X274">
        <f>HYPERLINK("https://klasma.github.io/Logging_0883/tillsyn/A 25594-2021 tillsynsbegäran.docx", "A 25594-2021")</f>
        <v/>
      </c>
      <c r="Y274">
        <f>HYPERLINK("https://klasma.github.io/Logging_0883/tillsynsmail/A 25594-2021 tillsynsbegäran mail.docx", "A 25594-2021")</f>
        <v/>
      </c>
    </row>
    <row r="275" ht="15" customHeight="1">
      <c r="A275" t="inlineStr">
        <is>
          <t>A 29455-2021</t>
        </is>
      </c>
      <c r="B275" s="1" t="n">
        <v>44361</v>
      </c>
      <c r="C275" s="1" t="n">
        <v>45851</v>
      </c>
      <c r="D275" t="inlineStr">
        <is>
          <t>KALMAR LÄN</t>
        </is>
      </c>
      <c r="E275" t="inlineStr">
        <is>
          <t>VÄSTERVIK</t>
        </is>
      </c>
      <c r="F275" t="inlineStr">
        <is>
          <t>Övriga Aktiebolag</t>
        </is>
      </c>
      <c r="G275" t="n">
        <v>3.1</v>
      </c>
      <c r="H275" t="n">
        <v>1</v>
      </c>
      <c r="I275" t="n">
        <v>0</v>
      </c>
      <c r="J275" t="n">
        <v>0</v>
      </c>
      <c r="K275" t="n">
        <v>1</v>
      </c>
      <c r="L275" t="n">
        <v>0</v>
      </c>
      <c r="M275" t="n">
        <v>0</v>
      </c>
      <c r="N275" t="n">
        <v>0</v>
      </c>
      <c r="O275" t="n">
        <v>1</v>
      </c>
      <c r="P275" t="n">
        <v>1</v>
      </c>
      <c r="Q275" t="n">
        <v>1</v>
      </c>
      <c r="R275" s="2" t="inlineStr">
        <is>
          <t>Knärot</t>
        </is>
      </c>
      <c r="S275">
        <f>HYPERLINK("https://klasma.github.io/Logging_0883/artfynd/A 29455-2021 artfynd.xlsx", "A 29455-2021")</f>
        <v/>
      </c>
      <c r="T275">
        <f>HYPERLINK("https://klasma.github.io/Logging_0883/kartor/A 29455-2021 karta.png", "A 29455-2021")</f>
        <v/>
      </c>
      <c r="U275">
        <f>HYPERLINK("https://klasma.github.io/Logging_0883/knärot/A 29455-2021 karta knärot.png", "A 29455-2021")</f>
        <v/>
      </c>
      <c r="V275">
        <f>HYPERLINK("https://klasma.github.io/Logging_0883/klagomål/A 29455-2021 FSC-klagomål.docx", "A 29455-2021")</f>
        <v/>
      </c>
      <c r="W275">
        <f>HYPERLINK("https://klasma.github.io/Logging_0883/klagomålsmail/A 29455-2021 FSC-klagomål mail.docx", "A 29455-2021")</f>
        <v/>
      </c>
      <c r="X275">
        <f>HYPERLINK("https://klasma.github.io/Logging_0883/tillsyn/A 29455-2021 tillsynsbegäran.docx", "A 29455-2021")</f>
        <v/>
      </c>
      <c r="Y275">
        <f>HYPERLINK("https://klasma.github.io/Logging_0883/tillsynsmail/A 29455-2021 tillsynsbegäran mail.docx", "A 29455-2021")</f>
        <v/>
      </c>
    </row>
    <row r="276" ht="15" customHeight="1">
      <c r="A276" t="inlineStr">
        <is>
          <t>A 31315-2021</t>
        </is>
      </c>
      <c r="B276" s="1" t="n">
        <v>44368</v>
      </c>
      <c r="C276" s="1" t="n">
        <v>45851</v>
      </c>
      <c r="D276" t="inlineStr">
        <is>
          <t>KALMAR LÄN</t>
        </is>
      </c>
      <c r="E276" t="inlineStr">
        <is>
          <t>VÄSTERVIK</t>
        </is>
      </c>
      <c r="G276" t="n">
        <v>3.3</v>
      </c>
      <c r="H276" t="n">
        <v>1</v>
      </c>
      <c r="I276" t="n">
        <v>0</v>
      </c>
      <c r="J276" t="n">
        <v>0</v>
      </c>
      <c r="K276" t="n">
        <v>1</v>
      </c>
      <c r="L276" t="n">
        <v>0</v>
      </c>
      <c r="M276" t="n">
        <v>0</v>
      </c>
      <c r="N276" t="n">
        <v>0</v>
      </c>
      <c r="O276" t="n">
        <v>1</v>
      </c>
      <c r="P276" t="n">
        <v>1</v>
      </c>
      <c r="Q276" t="n">
        <v>1</v>
      </c>
      <c r="R276" s="2" t="inlineStr">
        <is>
          <t>Knärot</t>
        </is>
      </c>
      <c r="S276">
        <f>HYPERLINK("https://klasma.github.io/Logging_0883/artfynd/A 31315-2021 artfynd.xlsx", "A 31315-2021")</f>
        <v/>
      </c>
      <c r="T276">
        <f>HYPERLINK("https://klasma.github.io/Logging_0883/kartor/A 31315-2021 karta.png", "A 31315-2021")</f>
        <v/>
      </c>
      <c r="U276">
        <f>HYPERLINK("https://klasma.github.io/Logging_0883/knärot/A 31315-2021 karta knärot.png", "A 31315-2021")</f>
        <v/>
      </c>
      <c r="V276">
        <f>HYPERLINK("https://klasma.github.io/Logging_0883/klagomål/A 31315-2021 FSC-klagomål.docx", "A 31315-2021")</f>
        <v/>
      </c>
      <c r="W276">
        <f>HYPERLINK("https://klasma.github.io/Logging_0883/klagomålsmail/A 31315-2021 FSC-klagomål mail.docx", "A 31315-2021")</f>
        <v/>
      </c>
      <c r="X276">
        <f>HYPERLINK("https://klasma.github.io/Logging_0883/tillsyn/A 31315-2021 tillsynsbegäran.docx", "A 31315-2021")</f>
        <v/>
      </c>
      <c r="Y276">
        <f>HYPERLINK("https://klasma.github.io/Logging_0883/tillsynsmail/A 31315-2021 tillsynsbegäran mail.docx", "A 31315-2021")</f>
        <v/>
      </c>
    </row>
    <row r="277" ht="15" customHeight="1">
      <c r="A277" t="inlineStr">
        <is>
          <t>A 44635-2021</t>
        </is>
      </c>
      <c r="B277" s="1" t="n">
        <v>44437</v>
      </c>
      <c r="C277" s="1" t="n">
        <v>45851</v>
      </c>
      <c r="D277" t="inlineStr">
        <is>
          <t>KALMAR LÄN</t>
        </is>
      </c>
      <c r="E277" t="inlineStr">
        <is>
          <t>VÄSTERVIK</t>
        </is>
      </c>
      <c r="G277" t="n">
        <v>0.9</v>
      </c>
      <c r="H277" t="n">
        <v>0</v>
      </c>
      <c r="I277" t="n">
        <v>1</v>
      </c>
      <c r="J277" t="n">
        <v>0</v>
      </c>
      <c r="K277" t="n">
        <v>0</v>
      </c>
      <c r="L277" t="n">
        <v>0</v>
      </c>
      <c r="M277" t="n">
        <v>0</v>
      </c>
      <c r="N277" t="n">
        <v>0</v>
      </c>
      <c r="O277" t="n">
        <v>0</v>
      </c>
      <c r="P277" t="n">
        <v>0</v>
      </c>
      <c r="Q277" t="n">
        <v>1</v>
      </c>
      <c r="R277" s="2" t="inlineStr">
        <is>
          <t>Brandticka</t>
        </is>
      </c>
      <c r="S277">
        <f>HYPERLINK("https://klasma.github.io/Logging_0883/artfynd/A 44635-2021 artfynd.xlsx", "A 44635-2021")</f>
        <v/>
      </c>
      <c r="T277">
        <f>HYPERLINK("https://klasma.github.io/Logging_0883/kartor/A 44635-2021 karta.png", "A 44635-2021")</f>
        <v/>
      </c>
      <c r="V277">
        <f>HYPERLINK("https://klasma.github.io/Logging_0883/klagomål/A 44635-2021 FSC-klagomål.docx", "A 44635-2021")</f>
        <v/>
      </c>
      <c r="W277">
        <f>HYPERLINK("https://klasma.github.io/Logging_0883/klagomålsmail/A 44635-2021 FSC-klagomål mail.docx", "A 44635-2021")</f>
        <v/>
      </c>
      <c r="X277">
        <f>HYPERLINK("https://klasma.github.io/Logging_0883/tillsyn/A 44635-2021 tillsynsbegäran.docx", "A 44635-2021")</f>
        <v/>
      </c>
      <c r="Y277">
        <f>HYPERLINK("https://klasma.github.io/Logging_0883/tillsynsmail/A 44635-2021 tillsynsbegäran mail.docx", "A 44635-2021")</f>
        <v/>
      </c>
    </row>
    <row r="278" ht="15" customHeight="1">
      <c r="A278" t="inlineStr">
        <is>
          <t>A 47860-2021</t>
        </is>
      </c>
      <c r="B278" s="1" t="n">
        <v>44448</v>
      </c>
      <c r="C278" s="1" t="n">
        <v>45851</v>
      </c>
      <c r="D278" t="inlineStr">
        <is>
          <t>KALMAR LÄN</t>
        </is>
      </c>
      <c r="E278" t="inlineStr">
        <is>
          <t>VÄSTERVIK</t>
        </is>
      </c>
      <c r="G278" t="n">
        <v>2.8</v>
      </c>
      <c r="H278" t="n">
        <v>0</v>
      </c>
      <c r="I278" t="n">
        <v>0</v>
      </c>
      <c r="J278" t="n">
        <v>1</v>
      </c>
      <c r="K278" t="n">
        <v>0</v>
      </c>
      <c r="L278" t="n">
        <v>0</v>
      </c>
      <c r="M278" t="n">
        <v>0</v>
      </c>
      <c r="N278" t="n">
        <v>0</v>
      </c>
      <c r="O278" t="n">
        <v>1</v>
      </c>
      <c r="P278" t="n">
        <v>0</v>
      </c>
      <c r="Q278" t="n">
        <v>1</v>
      </c>
      <c r="R278" s="2" t="inlineStr">
        <is>
          <t>Tallticka</t>
        </is>
      </c>
      <c r="S278">
        <f>HYPERLINK("https://klasma.github.io/Logging_0883/artfynd/A 47860-2021 artfynd.xlsx", "A 47860-2021")</f>
        <v/>
      </c>
      <c r="T278">
        <f>HYPERLINK("https://klasma.github.io/Logging_0883/kartor/A 47860-2021 karta.png", "A 47860-2021")</f>
        <v/>
      </c>
      <c r="V278">
        <f>HYPERLINK("https://klasma.github.io/Logging_0883/klagomål/A 47860-2021 FSC-klagomål.docx", "A 47860-2021")</f>
        <v/>
      </c>
      <c r="W278">
        <f>HYPERLINK("https://klasma.github.io/Logging_0883/klagomålsmail/A 47860-2021 FSC-klagomål mail.docx", "A 47860-2021")</f>
        <v/>
      </c>
      <c r="X278">
        <f>HYPERLINK("https://klasma.github.io/Logging_0883/tillsyn/A 47860-2021 tillsynsbegäran.docx", "A 47860-2021")</f>
        <v/>
      </c>
      <c r="Y278">
        <f>HYPERLINK("https://klasma.github.io/Logging_0883/tillsynsmail/A 47860-2021 tillsynsbegäran mail.docx", "A 47860-2021")</f>
        <v/>
      </c>
    </row>
    <row r="279" ht="15" customHeight="1">
      <c r="A279" t="inlineStr">
        <is>
          <t>A 52831-2021</t>
        </is>
      </c>
      <c r="B279" s="1" t="n">
        <v>44467</v>
      </c>
      <c r="C279" s="1" t="n">
        <v>45851</v>
      </c>
      <c r="D279" t="inlineStr">
        <is>
          <t>KALMAR LÄN</t>
        </is>
      </c>
      <c r="E279" t="inlineStr">
        <is>
          <t>VÄSTERVIK</t>
        </is>
      </c>
      <c r="G279" t="n">
        <v>0.8</v>
      </c>
      <c r="H279" t="n">
        <v>0</v>
      </c>
      <c r="I279" t="n">
        <v>0</v>
      </c>
      <c r="J279" t="n">
        <v>1</v>
      </c>
      <c r="K279" t="n">
        <v>0</v>
      </c>
      <c r="L279" t="n">
        <v>0</v>
      </c>
      <c r="M279" t="n">
        <v>0</v>
      </c>
      <c r="N279" t="n">
        <v>0</v>
      </c>
      <c r="O279" t="n">
        <v>1</v>
      </c>
      <c r="P279" t="n">
        <v>0</v>
      </c>
      <c r="Q279" t="n">
        <v>1</v>
      </c>
      <c r="R279" s="2" t="inlineStr">
        <is>
          <t>Tallticka</t>
        </is>
      </c>
      <c r="S279">
        <f>HYPERLINK("https://klasma.github.io/Logging_0883/artfynd/A 52831-2021 artfynd.xlsx", "A 52831-2021")</f>
        <v/>
      </c>
      <c r="T279">
        <f>HYPERLINK("https://klasma.github.io/Logging_0883/kartor/A 52831-2021 karta.png", "A 52831-2021")</f>
        <v/>
      </c>
      <c r="V279">
        <f>HYPERLINK("https://klasma.github.io/Logging_0883/klagomål/A 52831-2021 FSC-klagomål.docx", "A 52831-2021")</f>
        <v/>
      </c>
      <c r="W279">
        <f>HYPERLINK("https://klasma.github.io/Logging_0883/klagomålsmail/A 52831-2021 FSC-klagomål mail.docx", "A 52831-2021")</f>
        <v/>
      </c>
      <c r="X279">
        <f>HYPERLINK("https://klasma.github.io/Logging_0883/tillsyn/A 52831-2021 tillsynsbegäran.docx", "A 52831-2021")</f>
        <v/>
      </c>
      <c r="Y279">
        <f>HYPERLINK("https://klasma.github.io/Logging_0883/tillsynsmail/A 52831-2021 tillsynsbegäran mail.docx", "A 52831-2021")</f>
        <v/>
      </c>
    </row>
    <row r="280" ht="15" customHeight="1">
      <c r="A280" t="inlineStr">
        <is>
          <t>A 53738-2021</t>
        </is>
      </c>
      <c r="B280" s="1" t="n">
        <v>44467</v>
      </c>
      <c r="C280" s="1" t="n">
        <v>45851</v>
      </c>
      <c r="D280" t="inlineStr">
        <is>
          <t>KALMAR LÄN</t>
        </is>
      </c>
      <c r="E280" t="inlineStr">
        <is>
          <t>VÄSTERVIK</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HYPERLINK("https://klasma.github.io/Logging_0883/artfynd/A 53738-2021 artfynd.xlsx", "A 53738-2021")</f>
        <v/>
      </c>
      <c r="T280">
        <f>HYPERLINK("https://klasma.github.io/Logging_0883/kartor/A 53738-2021 karta.png", "A 53738-2021")</f>
        <v/>
      </c>
      <c r="U280">
        <f>HYPERLINK("https://klasma.github.io/Logging_0883/knärot/A 53738-2021 karta knärot.png", "A 53738-2021")</f>
        <v/>
      </c>
      <c r="V280">
        <f>HYPERLINK("https://klasma.github.io/Logging_0883/klagomål/A 53738-2021 FSC-klagomål.docx", "A 53738-2021")</f>
        <v/>
      </c>
      <c r="W280">
        <f>HYPERLINK("https://klasma.github.io/Logging_0883/klagomålsmail/A 53738-2021 FSC-klagomål mail.docx", "A 53738-2021")</f>
        <v/>
      </c>
      <c r="X280">
        <f>HYPERLINK("https://klasma.github.io/Logging_0883/tillsyn/A 53738-2021 tillsynsbegäran.docx", "A 53738-2021")</f>
        <v/>
      </c>
      <c r="Y280">
        <f>HYPERLINK("https://klasma.github.io/Logging_0883/tillsynsmail/A 53738-2021 tillsynsbegäran mail.docx", "A 53738-2021")</f>
        <v/>
      </c>
    </row>
    <row r="281" ht="15" customHeight="1">
      <c r="A281" t="inlineStr">
        <is>
          <t>A 56618-2021</t>
        </is>
      </c>
      <c r="B281" s="1" t="n">
        <v>44480</v>
      </c>
      <c r="C281" s="1" t="n">
        <v>45851</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56618-2021 artfynd.xlsx", "A 56618-2021")</f>
        <v/>
      </c>
      <c r="T281">
        <f>HYPERLINK("https://klasma.github.io/Logging_0883/kartor/A 56618-2021 karta.png", "A 56618-2021")</f>
        <v/>
      </c>
      <c r="V281">
        <f>HYPERLINK("https://klasma.github.io/Logging_0883/klagomål/A 56618-2021 FSC-klagomål.docx", "A 56618-2021")</f>
        <v/>
      </c>
      <c r="W281">
        <f>HYPERLINK("https://klasma.github.io/Logging_0883/klagomålsmail/A 56618-2021 FSC-klagomål mail.docx", "A 56618-2021")</f>
        <v/>
      </c>
      <c r="X281">
        <f>HYPERLINK("https://klasma.github.io/Logging_0883/tillsyn/A 56618-2021 tillsynsbegäran.docx", "A 56618-2021")</f>
        <v/>
      </c>
      <c r="Y281">
        <f>HYPERLINK("https://klasma.github.io/Logging_0883/tillsynsmail/A 56618-2021 tillsynsbegäran mail.docx", "A 56618-2021")</f>
        <v/>
      </c>
    </row>
    <row r="282" ht="15" customHeight="1">
      <c r="A282" t="inlineStr">
        <is>
          <t>A 61319-2021</t>
        </is>
      </c>
      <c r="B282" s="1" t="n">
        <v>44498</v>
      </c>
      <c r="C282" s="1" t="n">
        <v>45851</v>
      </c>
      <c r="D282" t="inlineStr">
        <is>
          <t>KALMAR LÄN</t>
        </is>
      </c>
      <c r="E282" t="inlineStr">
        <is>
          <t>VÄSTERVIK</t>
        </is>
      </c>
      <c r="G282" t="n">
        <v>2.2</v>
      </c>
      <c r="H282" t="n">
        <v>1</v>
      </c>
      <c r="I282" t="n">
        <v>1</v>
      </c>
      <c r="J282" t="n">
        <v>0</v>
      </c>
      <c r="K282" t="n">
        <v>0</v>
      </c>
      <c r="L282" t="n">
        <v>0</v>
      </c>
      <c r="M282" t="n">
        <v>0</v>
      </c>
      <c r="N282" t="n">
        <v>0</v>
      </c>
      <c r="O282" t="n">
        <v>0</v>
      </c>
      <c r="P282" t="n">
        <v>0</v>
      </c>
      <c r="Q282" t="n">
        <v>1</v>
      </c>
      <c r="R282" s="2" t="inlineStr">
        <is>
          <t>Ekoxe</t>
        </is>
      </c>
      <c r="S282">
        <f>HYPERLINK("https://klasma.github.io/Logging_0883/artfynd/A 61319-2021 artfynd.xlsx", "A 61319-2021")</f>
        <v/>
      </c>
      <c r="T282">
        <f>HYPERLINK("https://klasma.github.io/Logging_0883/kartor/A 61319-2021 karta.png", "A 61319-2021")</f>
        <v/>
      </c>
      <c r="V282">
        <f>HYPERLINK("https://klasma.github.io/Logging_0883/klagomål/A 61319-2021 FSC-klagomål.docx", "A 61319-2021")</f>
        <v/>
      </c>
      <c r="W282">
        <f>HYPERLINK("https://klasma.github.io/Logging_0883/klagomålsmail/A 61319-2021 FSC-klagomål mail.docx", "A 61319-2021")</f>
        <v/>
      </c>
      <c r="X282">
        <f>HYPERLINK("https://klasma.github.io/Logging_0883/tillsyn/A 61319-2021 tillsynsbegäran.docx", "A 61319-2021")</f>
        <v/>
      </c>
      <c r="Y282">
        <f>HYPERLINK("https://klasma.github.io/Logging_0883/tillsynsmail/A 61319-2021 tillsynsbegäran mail.docx", "A 61319-2021")</f>
        <v/>
      </c>
    </row>
    <row r="283" ht="15" customHeight="1">
      <c r="A283" t="inlineStr">
        <is>
          <t>A 1677-2022</t>
        </is>
      </c>
      <c r="B283" s="1" t="n">
        <v>44574</v>
      </c>
      <c r="C283" s="1" t="n">
        <v>45851</v>
      </c>
      <c r="D283" t="inlineStr">
        <is>
          <t>KALMAR LÄN</t>
        </is>
      </c>
      <c r="E283" t="inlineStr">
        <is>
          <t>VÄSTERVIK</t>
        </is>
      </c>
      <c r="G283" t="n">
        <v>3.3</v>
      </c>
      <c r="H283" t="n">
        <v>1</v>
      </c>
      <c r="I283" t="n">
        <v>0</v>
      </c>
      <c r="J283" t="n">
        <v>0</v>
      </c>
      <c r="K283" t="n">
        <v>1</v>
      </c>
      <c r="L283" t="n">
        <v>0</v>
      </c>
      <c r="M283" t="n">
        <v>0</v>
      </c>
      <c r="N283" t="n">
        <v>0</v>
      </c>
      <c r="O283" t="n">
        <v>1</v>
      </c>
      <c r="P283" t="n">
        <v>1</v>
      </c>
      <c r="Q283" t="n">
        <v>1</v>
      </c>
      <c r="R283" s="2" t="inlineStr">
        <is>
          <t>Knärot</t>
        </is>
      </c>
      <c r="S283">
        <f>HYPERLINK("https://klasma.github.io/Logging_0883/artfynd/A 1677-2022 artfynd.xlsx", "A 1677-2022")</f>
        <v/>
      </c>
      <c r="T283">
        <f>HYPERLINK("https://klasma.github.io/Logging_0883/kartor/A 1677-2022 karta.png", "A 1677-2022")</f>
        <v/>
      </c>
      <c r="U283">
        <f>HYPERLINK("https://klasma.github.io/Logging_0883/knärot/A 1677-2022 karta knärot.png", "A 1677-2022")</f>
        <v/>
      </c>
      <c r="V283">
        <f>HYPERLINK("https://klasma.github.io/Logging_0883/klagomål/A 1677-2022 FSC-klagomål.docx", "A 1677-2022")</f>
        <v/>
      </c>
      <c r="W283">
        <f>HYPERLINK("https://klasma.github.io/Logging_0883/klagomålsmail/A 1677-2022 FSC-klagomål mail.docx", "A 1677-2022")</f>
        <v/>
      </c>
      <c r="X283">
        <f>HYPERLINK("https://klasma.github.io/Logging_0883/tillsyn/A 1677-2022 tillsynsbegäran.docx", "A 1677-2022")</f>
        <v/>
      </c>
      <c r="Y283">
        <f>HYPERLINK("https://klasma.github.io/Logging_0883/tillsynsmail/A 1677-2022 tillsynsbegäran mail.docx", "A 1677-2022")</f>
        <v/>
      </c>
    </row>
    <row r="284" ht="15" customHeight="1">
      <c r="A284" t="inlineStr">
        <is>
          <t>A 11609-2022</t>
        </is>
      </c>
      <c r="B284" s="1" t="n">
        <v>44631</v>
      </c>
      <c r="C284" s="1" t="n">
        <v>45851</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12662-2022</t>
        </is>
      </c>
      <c r="B285" s="1" t="n">
        <v>44641</v>
      </c>
      <c r="C285" s="1" t="n">
        <v>45851</v>
      </c>
      <c r="D285" t="inlineStr">
        <is>
          <t>KALMAR LÄN</t>
        </is>
      </c>
      <c r="E285" t="inlineStr">
        <is>
          <t>VÄSTERVIK</t>
        </is>
      </c>
      <c r="G285" t="n">
        <v>2.1</v>
      </c>
      <c r="H285" t="n">
        <v>0</v>
      </c>
      <c r="I285" t="n">
        <v>1</v>
      </c>
      <c r="J285" t="n">
        <v>0</v>
      </c>
      <c r="K285" t="n">
        <v>0</v>
      </c>
      <c r="L285" t="n">
        <v>0</v>
      </c>
      <c r="M285" t="n">
        <v>0</v>
      </c>
      <c r="N285" t="n">
        <v>0</v>
      </c>
      <c r="O285" t="n">
        <v>0</v>
      </c>
      <c r="P285" t="n">
        <v>0</v>
      </c>
      <c r="Q285" t="n">
        <v>1</v>
      </c>
      <c r="R285" s="2" t="inlineStr">
        <is>
          <t>Blåmossa</t>
        </is>
      </c>
      <c r="S285">
        <f>HYPERLINK("https://klasma.github.io/Logging_0883/artfynd/A 12662-2022 artfynd.xlsx", "A 12662-2022")</f>
        <v/>
      </c>
      <c r="T285">
        <f>HYPERLINK("https://klasma.github.io/Logging_0883/kartor/A 12662-2022 karta.png", "A 12662-2022")</f>
        <v/>
      </c>
      <c r="V285">
        <f>HYPERLINK("https://klasma.github.io/Logging_0883/klagomål/A 12662-2022 FSC-klagomål.docx", "A 12662-2022")</f>
        <v/>
      </c>
      <c r="W285">
        <f>HYPERLINK("https://klasma.github.io/Logging_0883/klagomålsmail/A 12662-2022 FSC-klagomål mail.docx", "A 12662-2022")</f>
        <v/>
      </c>
      <c r="X285">
        <f>HYPERLINK("https://klasma.github.io/Logging_0883/tillsyn/A 12662-2022 tillsynsbegäran.docx", "A 12662-2022")</f>
        <v/>
      </c>
      <c r="Y285">
        <f>HYPERLINK("https://klasma.github.io/Logging_0883/tillsynsmail/A 12662-2022 tillsynsbegäran mail.docx", "A 12662-2022")</f>
        <v/>
      </c>
    </row>
    <row r="286" ht="15" customHeight="1">
      <c r="A286" t="inlineStr">
        <is>
          <t>A 15378-2022</t>
        </is>
      </c>
      <c r="B286" s="1" t="n">
        <v>44659</v>
      </c>
      <c r="C286" s="1" t="n">
        <v>45851</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Klofibbla</t>
        </is>
      </c>
      <c r="S286">
        <f>HYPERLINK("https://klasma.github.io/Logging_0883/artfynd/A 15378-2022 artfynd.xlsx", "A 15378-2022")</f>
        <v/>
      </c>
      <c r="T286">
        <f>HYPERLINK("https://klasma.github.io/Logging_0883/kartor/A 15378-2022 karta.png", "A 15378-2022")</f>
        <v/>
      </c>
      <c r="V286">
        <f>HYPERLINK("https://klasma.github.io/Logging_0883/klagomål/A 15378-2022 FSC-klagomål.docx", "A 15378-2022")</f>
        <v/>
      </c>
      <c r="W286">
        <f>HYPERLINK("https://klasma.github.io/Logging_0883/klagomålsmail/A 15378-2022 FSC-klagomål mail.docx", "A 15378-2022")</f>
        <v/>
      </c>
      <c r="X286">
        <f>HYPERLINK("https://klasma.github.io/Logging_0883/tillsyn/A 15378-2022 tillsynsbegäran.docx", "A 15378-2022")</f>
        <v/>
      </c>
      <c r="Y286">
        <f>HYPERLINK("https://klasma.github.io/Logging_0883/tillsynsmail/A 15378-2022 tillsynsbegäran mail.docx", "A 15378-2022")</f>
        <v/>
      </c>
    </row>
    <row r="287" ht="15" customHeight="1">
      <c r="A287" t="inlineStr">
        <is>
          <t>A 19900-2022</t>
        </is>
      </c>
      <c r="B287" s="1" t="n">
        <v>44697</v>
      </c>
      <c r="C287" s="1" t="n">
        <v>45851</v>
      </c>
      <c r="D287" t="inlineStr">
        <is>
          <t>KALMAR LÄN</t>
        </is>
      </c>
      <c r="E287" t="inlineStr">
        <is>
          <t>VÄSTERVIK</t>
        </is>
      </c>
      <c r="G287" t="n">
        <v>2.4</v>
      </c>
      <c r="H287" t="n">
        <v>1</v>
      </c>
      <c r="I287" t="n">
        <v>0</v>
      </c>
      <c r="J287" t="n">
        <v>0</v>
      </c>
      <c r="K287" t="n">
        <v>1</v>
      </c>
      <c r="L287" t="n">
        <v>0</v>
      </c>
      <c r="M287" t="n">
        <v>0</v>
      </c>
      <c r="N287" t="n">
        <v>0</v>
      </c>
      <c r="O287" t="n">
        <v>1</v>
      </c>
      <c r="P287" t="n">
        <v>1</v>
      </c>
      <c r="Q287" t="n">
        <v>1</v>
      </c>
      <c r="R287" s="2" t="inlineStr">
        <is>
          <t>Knärot</t>
        </is>
      </c>
      <c r="S287">
        <f>HYPERLINK("https://klasma.github.io/Logging_0883/artfynd/A 19900-2022 artfynd.xlsx", "A 19900-2022")</f>
        <v/>
      </c>
      <c r="T287">
        <f>HYPERLINK("https://klasma.github.io/Logging_0883/kartor/A 19900-2022 karta.png", "A 19900-2022")</f>
        <v/>
      </c>
      <c r="U287">
        <f>HYPERLINK("https://klasma.github.io/Logging_0883/knärot/A 19900-2022 karta knärot.png", "A 19900-2022")</f>
        <v/>
      </c>
      <c r="V287">
        <f>HYPERLINK("https://klasma.github.io/Logging_0883/klagomål/A 19900-2022 FSC-klagomål.docx", "A 19900-2022")</f>
        <v/>
      </c>
      <c r="W287">
        <f>HYPERLINK("https://klasma.github.io/Logging_0883/klagomålsmail/A 19900-2022 FSC-klagomål mail.docx", "A 19900-2022")</f>
        <v/>
      </c>
      <c r="X287">
        <f>HYPERLINK("https://klasma.github.io/Logging_0883/tillsyn/A 19900-2022 tillsynsbegäran.docx", "A 19900-2022")</f>
        <v/>
      </c>
      <c r="Y287">
        <f>HYPERLINK("https://klasma.github.io/Logging_0883/tillsynsmail/A 19900-2022 tillsynsbegäran mail.docx", "A 19900-2022")</f>
        <v/>
      </c>
    </row>
    <row r="288" ht="15" customHeight="1">
      <c r="A288" t="inlineStr">
        <is>
          <t>A 26056-2022</t>
        </is>
      </c>
      <c r="B288" s="1" t="n">
        <v>44734</v>
      </c>
      <c r="C288" s="1" t="n">
        <v>45851</v>
      </c>
      <c r="D288" t="inlineStr">
        <is>
          <t>KALMAR LÄN</t>
        </is>
      </c>
      <c r="E288" t="inlineStr">
        <is>
          <t>VÄSTERVIK</t>
        </is>
      </c>
      <c r="G288" t="n">
        <v>1.1</v>
      </c>
      <c r="H288" t="n">
        <v>0</v>
      </c>
      <c r="I288" t="n">
        <v>0</v>
      </c>
      <c r="J288" t="n">
        <v>1</v>
      </c>
      <c r="K288" t="n">
        <v>0</v>
      </c>
      <c r="L288" t="n">
        <v>0</v>
      </c>
      <c r="M288" t="n">
        <v>0</v>
      </c>
      <c r="N288" t="n">
        <v>0</v>
      </c>
      <c r="O288" t="n">
        <v>1</v>
      </c>
      <c r="P288" t="n">
        <v>0</v>
      </c>
      <c r="Q288" t="n">
        <v>1</v>
      </c>
      <c r="R288" s="2" t="inlineStr">
        <is>
          <t>Slåtterfibbla</t>
        </is>
      </c>
      <c r="S288">
        <f>HYPERLINK("https://klasma.github.io/Logging_0883/artfynd/A 26056-2022 artfynd.xlsx", "A 26056-2022")</f>
        <v/>
      </c>
      <c r="T288">
        <f>HYPERLINK("https://klasma.github.io/Logging_0883/kartor/A 26056-2022 karta.png", "A 26056-2022")</f>
        <v/>
      </c>
      <c r="V288">
        <f>HYPERLINK("https://klasma.github.io/Logging_0883/klagomål/A 26056-2022 FSC-klagomål.docx", "A 26056-2022")</f>
        <v/>
      </c>
      <c r="W288">
        <f>HYPERLINK("https://klasma.github.io/Logging_0883/klagomålsmail/A 26056-2022 FSC-klagomål mail.docx", "A 26056-2022")</f>
        <v/>
      </c>
      <c r="X288">
        <f>HYPERLINK("https://klasma.github.io/Logging_0883/tillsyn/A 26056-2022 tillsynsbegäran.docx", "A 26056-2022")</f>
        <v/>
      </c>
      <c r="Y288">
        <f>HYPERLINK("https://klasma.github.io/Logging_0883/tillsynsmail/A 26056-2022 tillsynsbegäran mail.docx", "A 26056-2022")</f>
        <v/>
      </c>
    </row>
    <row r="289" ht="15" customHeight="1">
      <c r="A289" t="inlineStr">
        <is>
          <t>A 33209-2022</t>
        </is>
      </c>
      <c r="B289" s="1" t="n">
        <v>44785</v>
      </c>
      <c r="C289" s="1" t="n">
        <v>45851</v>
      </c>
      <c r="D289" t="inlineStr">
        <is>
          <t>KALMAR LÄN</t>
        </is>
      </c>
      <c r="E289" t="inlineStr">
        <is>
          <t>VÄSTERVIK</t>
        </is>
      </c>
      <c r="G289" t="n">
        <v>1.4</v>
      </c>
      <c r="H289" t="n">
        <v>0</v>
      </c>
      <c r="I289" t="n">
        <v>0</v>
      </c>
      <c r="J289" t="n">
        <v>1</v>
      </c>
      <c r="K289" t="n">
        <v>0</v>
      </c>
      <c r="L289" t="n">
        <v>0</v>
      </c>
      <c r="M289" t="n">
        <v>0</v>
      </c>
      <c r="N289" t="n">
        <v>0</v>
      </c>
      <c r="O289" t="n">
        <v>1</v>
      </c>
      <c r="P289" t="n">
        <v>0</v>
      </c>
      <c r="Q289" t="n">
        <v>1</v>
      </c>
      <c r="R289" s="2" t="inlineStr">
        <is>
          <t>Slåtterfibbla</t>
        </is>
      </c>
      <c r="S289">
        <f>HYPERLINK("https://klasma.github.io/Logging_0883/artfynd/A 33209-2022 artfynd.xlsx", "A 33209-2022")</f>
        <v/>
      </c>
      <c r="T289">
        <f>HYPERLINK("https://klasma.github.io/Logging_0883/kartor/A 33209-2022 karta.png", "A 33209-2022")</f>
        <v/>
      </c>
      <c r="V289">
        <f>HYPERLINK("https://klasma.github.io/Logging_0883/klagomål/A 33209-2022 FSC-klagomål.docx", "A 33209-2022")</f>
        <v/>
      </c>
      <c r="W289">
        <f>HYPERLINK("https://klasma.github.io/Logging_0883/klagomålsmail/A 33209-2022 FSC-klagomål mail.docx", "A 33209-2022")</f>
        <v/>
      </c>
      <c r="X289">
        <f>HYPERLINK("https://klasma.github.io/Logging_0883/tillsyn/A 33209-2022 tillsynsbegäran.docx", "A 33209-2022")</f>
        <v/>
      </c>
      <c r="Y289">
        <f>HYPERLINK("https://klasma.github.io/Logging_0883/tillsynsmail/A 33209-2022 tillsynsbegäran mail.docx", "A 33209-2022")</f>
        <v/>
      </c>
    </row>
    <row r="290" ht="15" customHeight="1">
      <c r="A290" t="inlineStr">
        <is>
          <t>A 40924-2022</t>
        </is>
      </c>
      <c r="B290" s="1" t="n">
        <v>44825</v>
      </c>
      <c r="C290" s="1" t="n">
        <v>45851</v>
      </c>
      <c r="D290" t="inlineStr">
        <is>
          <t>KALMAR LÄN</t>
        </is>
      </c>
      <c r="E290" t="inlineStr">
        <is>
          <t>VÄSTERVIK</t>
        </is>
      </c>
      <c r="F290" t="inlineStr">
        <is>
          <t>Sveaskog</t>
        </is>
      </c>
      <c r="G290" t="n">
        <v>0.5</v>
      </c>
      <c r="H290" t="n">
        <v>1</v>
      </c>
      <c r="I290" t="n">
        <v>0</v>
      </c>
      <c r="J290" t="n">
        <v>1</v>
      </c>
      <c r="K290" t="n">
        <v>0</v>
      </c>
      <c r="L290" t="n">
        <v>0</v>
      </c>
      <c r="M290" t="n">
        <v>0</v>
      </c>
      <c r="N290" t="n">
        <v>0</v>
      </c>
      <c r="O290" t="n">
        <v>1</v>
      </c>
      <c r="P290" t="n">
        <v>0</v>
      </c>
      <c r="Q290" t="n">
        <v>1</v>
      </c>
      <c r="R290" s="2" t="inlineStr">
        <is>
          <t>Barbastell</t>
        </is>
      </c>
      <c r="S290">
        <f>HYPERLINK("https://klasma.github.io/Logging_0883/artfynd/A 40924-2022 artfynd.xlsx", "A 40924-2022")</f>
        <v/>
      </c>
      <c r="T290">
        <f>HYPERLINK("https://klasma.github.io/Logging_0883/kartor/A 40924-2022 karta.png", "A 40924-2022")</f>
        <v/>
      </c>
      <c r="V290">
        <f>HYPERLINK("https://klasma.github.io/Logging_0883/klagomål/A 40924-2022 FSC-klagomål.docx", "A 40924-2022")</f>
        <v/>
      </c>
      <c r="W290">
        <f>HYPERLINK("https://klasma.github.io/Logging_0883/klagomålsmail/A 40924-2022 FSC-klagomål mail.docx", "A 40924-2022")</f>
        <v/>
      </c>
      <c r="X290">
        <f>HYPERLINK("https://klasma.github.io/Logging_0883/tillsyn/A 40924-2022 tillsynsbegäran.docx", "A 40924-2022")</f>
        <v/>
      </c>
      <c r="Y290">
        <f>HYPERLINK("https://klasma.github.io/Logging_0883/tillsynsmail/A 40924-2022 tillsynsbegäran mail.docx", "A 40924-2022")</f>
        <v/>
      </c>
    </row>
    <row r="291" ht="15" customHeight="1">
      <c r="A291" t="inlineStr">
        <is>
          <t>A 46559-2022</t>
        </is>
      </c>
      <c r="B291" s="1" t="n">
        <v>44848</v>
      </c>
      <c r="C291" s="1" t="n">
        <v>45851</v>
      </c>
      <c r="D291" t="inlineStr">
        <is>
          <t>KALMAR LÄN</t>
        </is>
      </c>
      <c r="E291" t="inlineStr">
        <is>
          <t>VÄSTERVIK</t>
        </is>
      </c>
      <c r="F291" t="inlineStr">
        <is>
          <t>Sveaskog</t>
        </is>
      </c>
      <c r="G291" t="n">
        <v>2.2</v>
      </c>
      <c r="H291" t="n">
        <v>1</v>
      </c>
      <c r="I291" t="n">
        <v>0</v>
      </c>
      <c r="J291" t="n">
        <v>0</v>
      </c>
      <c r="K291" t="n">
        <v>0</v>
      </c>
      <c r="L291" t="n">
        <v>0</v>
      </c>
      <c r="M291" t="n">
        <v>0</v>
      </c>
      <c r="N291" t="n">
        <v>0</v>
      </c>
      <c r="O291" t="n">
        <v>0</v>
      </c>
      <c r="P291" t="n">
        <v>0</v>
      </c>
      <c r="Q291" t="n">
        <v>1</v>
      </c>
      <c r="R291" s="2" t="inlineStr">
        <is>
          <t>Blåsippa</t>
        </is>
      </c>
      <c r="S291">
        <f>HYPERLINK("https://klasma.github.io/Logging_0883/artfynd/A 46559-2022 artfynd.xlsx", "A 46559-2022")</f>
        <v/>
      </c>
      <c r="T291">
        <f>HYPERLINK("https://klasma.github.io/Logging_0883/kartor/A 46559-2022 karta.png", "A 46559-2022")</f>
        <v/>
      </c>
      <c r="V291">
        <f>HYPERLINK("https://klasma.github.io/Logging_0883/klagomål/A 46559-2022 FSC-klagomål.docx", "A 46559-2022")</f>
        <v/>
      </c>
      <c r="W291">
        <f>HYPERLINK("https://klasma.github.io/Logging_0883/klagomålsmail/A 46559-2022 FSC-klagomål mail.docx", "A 46559-2022")</f>
        <v/>
      </c>
      <c r="X291">
        <f>HYPERLINK("https://klasma.github.io/Logging_0883/tillsyn/A 46559-2022 tillsynsbegäran.docx", "A 46559-2022")</f>
        <v/>
      </c>
      <c r="Y291">
        <f>HYPERLINK("https://klasma.github.io/Logging_0883/tillsynsmail/A 46559-2022 tillsynsbegäran mail.docx", "A 46559-2022")</f>
        <v/>
      </c>
    </row>
    <row r="292" ht="15" customHeight="1">
      <c r="A292" t="inlineStr">
        <is>
          <t>A 46556-2022</t>
        </is>
      </c>
      <c r="B292" s="1" t="n">
        <v>44848</v>
      </c>
      <c r="C292" s="1" t="n">
        <v>45851</v>
      </c>
      <c r="D292" t="inlineStr">
        <is>
          <t>KALMAR LÄN</t>
        </is>
      </c>
      <c r="E292" t="inlineStr">
        <is>
          <t>VÄSTERVIK</t>
        </is>
      </c>
      <c r="F292" t="inlineStr">
        <is>
          <t>Sveaskog</t>
        </is>
      </c>
      <c r="G292" t="n">
        <v>1.5</v>
      </c>
      <c r="H292" t="n">
        <v>0</v>
      </c>
      <c r="I292" t="n">
        <v>1</v>
      </c>
      <c r="J292" t="n">
        <v>0</v>
      </c>
      <c r="K292" t="n">
        <v>0</v>
      </c>
      <c r="L292" t="n">
        <v>0</v>
      </c>
      <c r="M292" t="n">
        <v>0</v>
      </c>
      <c r="N292" t="n">
        <v>0</v>
      </c>
      <c r="O292" t="n">
        <v>0</v>
      </c>
      <c r="P292" t="n">
        <v>0</v>
      </c>
      <c r="Q292" t="n">
        <v>1</v>
      </c>
      <c r="R292" s="2" t="inlineStr">
        <is>
          <t>Fjällig taggsvamp s.str.</t>
        </is>
      </c>
      <c r="S292">
        <f>HYPERLINK("https://klasma.github.io/Logging_0883/artfynd/A 46556-2022 artfynd.xlsx", "A 46556-2022")</f>
        <v/>
      </c>
      <c r="T292">
        <f>HYPERLINK("https://klasma.github.io/Logging_0883/kartor/A 46556-2022 karta.png", "A 46556-2022")</f>
        <v/>
      </c>
      <c r="V292">
        <f>HYPERLINK("https://klasma.github.io/Logging_0883/klagomål/A 46556-2022 FSC-klagomål.docx", "A 46556-2022")</f>
        <v/>
      </c>
      <c r="W292">
        <f>HYPERLINK("https://klasma.github.io/Logging_0883/klagomålsmail/A 46556-2022 FSC-klagomål mail.docx", "A 46556-2022")</f>
        <v/>
      </c>
      <c r="X292">
        <f>HYPERLINK("https://klasma.github.io/Logging_0883/tillsyn/A 46556-2022 tillsynsbegäran.docx", "A 46556-2022")</f>
        <v/>
      </c>
      <c r="Y292">
        <f>HYPERLINK("https://klasma.github.io/Logging_0883/tillsynsmail/A 46556-2022 tillsynsbegäran mail.docx", "A 46556-2022")</f>
        <v/>
      </c>
    </row>
    <row r="293" ht="15" customHeight="1">
      <c r="A293" t="inlineStr">
        <is>
          <t>A 51024-2022</t>
        </is>
      </c>
      <c r="B293" s="1" t="n">
        <v>44867</v>
      </c>
      <c r="C293" s="1" t="n">
        <v>45851</v>
      </c>
      <c r="D293" t="inlineStr">
        <is>
          <t>KALMAR LÄN</t>
        </is>
      </c>
      <c r="E293" t="inlineStr">
        <is>
          <t>VÄSTERVIK</t>
        </is>
      </c>
      <c r="F293" t="inlineStr">
        <is>
          <t>Holmen skog AB</t>
        </is>
      </c>
      <c r="G293" t="n">
        <v>7.6</v>
      </c>
      <c r="H293" t="n">
        <v>1</v>
      </c>
      <c r="I293" t="n">
        <v>0</v>
      </c>
      <c r="J293" t="n">
        <v>1</v>
      </c>
      <c r="K293" t="n">
        <v>0</v>
      </c>
      <c r="L293" t="n">
        <v>0</v>
      </c>
      <c r="M293" t="n">
        <v>0</v>
      </c>
      <c r="N293" t="n">
        <v>0</v>
      </c>
      <c r="O293" t="n">
        <v>1</v>
      </c>
      <c r="P293" t="n">
        <v>0</v>
      </c>
      <c r="Q293" t="n">
        <v>1</v>
      </c>
      <c r="R293" s="2" t="inlineStr">
        <is>
          <t>Talltita</t>
        </is>
      </c>
      <c r="S293">
        <f>HYPERLINK("https://klasma.github.io/Logging_0883/artfynd/A 51024-2022 artfynd.xlsx", "A 51024-2022")</f>
        <v/>
      </c>
      <c r="T293">
        <f>HYPERLINK("https://klasma.github.io/Logging_0883/kartor/A 51024-2022 karta.png", "A 51024-2022")</f>
        <v/>
      </c>
      <c r="V293">
        <f>HYPERLINK("https://klasma.github.io/Logging_0883/klagomål/A 51024-2022 FSC-klagomål.docx", "A 51024-2022")</f>
        <v/>
      </c>
      <c r="W293">
        <f>HYPERLINK("https://klasma.github.io/Logging_0883/klagomålsmail/A 51024-2022 FSC-klagomål mail.docx", "A 51024-2022")</f>
        <v/>
      </c>
      <c r="X293">
        <f>HYPERLINK("https://klasma.github.io/Logging_0883/tillsyn/A 51024-2022 tillsynsbegäran.docx", "A 51024-2022")</f>
        <v/>
      </c>
      <c r="Y293">
        <f>HYPERLINK("https://klasma.github.io/Logging_0883/tillsynsmail/A 51024-2022 tillsynsbegäran mail.docx", "A 51024-2022")</f>
        <v/>
      </c>
      <c r="Z293">
        <f>HYPERLINK("https://klasma.github.io/Logging_0883/fåglar/A 51024-2022 prioriterade fågelarter.docx", "A 51024-2022")</f>
        <v/>
      </c>
    </row>
    <row r="294" ht="15" customHeight="1">
      <c r="A294" t="inlineStr">
        <is>
          <t>A 54193-2022</t>
        </is>
      </c>
      <c r="B294" s="1" t="n">
        <v>44881</v>
      </c>
      <c r="C294" s="1" t="n">
        <v>45851</v>
      </c>
      <c r="D294" t="inlineStr">
        <is>
          <t>KALMAR LÄN</t>
        </is>
      </c>
      <c r="E294" t="inlineStr">
        <is>
          <t>VÄSTERVIK</t>
        </is>
      </c>
      <c r="G294" t="n">
        <v>1.7</v>
      </c>
      <c r="H294" t="n">
        <v>0</v>
      </c>
      <c r="I294" t="n">
        <v>1</v>
      </c>
      <c r="J294" t="n">
        <v>0</v>
      </c>
      <c r="K294" t="n">
        <v>0</v>
      </c>
      <c r="L294" t="n">
        <v>0</v>
      </c>
      <c r="M294" t="n">
        <v>0</v>
      </c>
      <c r="N294" t="n">
        <v>0</v>
      </c>
      <c r="O294" t="n">
        <v>0</v>
      </c>
      <c r="P294" t="n">
        <v>0</v>
      </c>
      <c r="Q294" t="n">
        <v>1</v>
      </c>
      <c r="R294" s="2" t="inlineStr">
        <is>
          <t>Murgröna</t>
        </is>
      </c>
      <c r="S294">
        <f>HYPERLINK("https://klasma.github.io/Logging_0883/artfynd/A 54193-2022 artfynd.xlsx", "A 54193-2022")</f>
        <v/>
      </c>
      <c r="T294">
        <f>HYPERLINK("https://klasma.github.io/Logging_0883/kartor/A 54193-2022 karta.png", "A 54193-2022")</f>
        <v/>
      </c>
      <c r="U294">
        <f>HYPERLINK("https://klasma.github.io/Logging_0883/knärot/A 54193-2022 karta knärot.png", "A 54193-2022")</f>
        <v/>
      </c>
      <c r="V294">
        <f>HYPERLINK("https://klasma.github.io/Logging_0883/klagomål/A 54193-2022 FSC-klagomål.docx", "A 54193-2022")</f>
        <v/>
      </c>
      <c r="W294">
        <f>HYPERLINK("https://klasma.github.io/Logging_0883/klagomålsmail/A 54193-2022 FSC-klagomål mail.docx", "A 54193-2022")</f>
        <v/>
      </c>
      <c r="X294">
        <f>HYPERLINK("https://klasma.github.io/Logging_0883/tillsyn/A 54193-2022 tillsynsbegäran.docx", "A 54193-2022")</f>
        <v/>
      </c>
      <c r="Y294">
        <f>HYPERLINK("https://klasma.github.io/Logging_0883/tillsynsmail/A 54193-2022 tillsynsbegäran mail.docx", "A 54193-2022")</f>
        <v/>
      </c>
    </row>
    <row r="295" ht="15" customHeight="1">
      <c r="A295" t="inlineStr">
        <is>
          <t>A 59178-2022</t>
        </is>
      </c>
      <c r="B295" s="1" t="n">
        <v>44904</v>
      </c>
      <c r="C295" s="1" t="n">
        <v>45851</v>
      </c>
      <c r="D295" t="inlineStr">
        <is>
          <t>KALMAR LÄN</t>
        </is>
      </c>
      <c r="E295" t="inlineStr">
        <is>
          <t>VÄSTERVIK</t>
        </is>
      </c>
      <c r="G295" t="n">
        <v>3.3</v>
      </c>
      <c r="H295" t="n">
        <v>0</v>
      </c>
      <c r="I295" t="n">
        <v>0</v>
      </c>
      <c r="J295" t="n">
        <v>1</v>
      </c>
      <c r="K295" t="n">
        <v>0</v>
      </c>
      <c r="L295" t="n">
        <v>0</v>
      </c>
      <c r="M295" t="n">
        <v>0</v>
      </c>
      <c r="N295" t="n">
        <v>0</v>
      </c>
      <c r="O295" t="n">
        <v>1</v>
      </c>
      <c r="P295" t="n">
        <v>0</v>
      </c>
      <c r="Q295" t="n">
        <v>1</v>
      </c>
      <c r="R295" s="2" t="inlineStr">
        <is>
          <t>Tallticka</t>
        </is>
      </c>
      <c r="S295">
        <f>HYPERLINK("https://klasma.github.io/Logging_0883/artfynd/A 59178-2022 artfynd.xlsx", "A 59178-2022")</f>
        <v/>
      </c>
      <c r="T295">
        <f>HYPERLINK("https://klasma.github.io/Logging_0883/kartor/A 59178-2022 karta.png", "A 59178-2022")</f>
        <v/>
      </c>
      <c r="V295">
        <f>HYPERLINK("https://klasma.github.io/Logging_0883/klagomål/A 59178-2022 FSC-klagomål.docx", "A 59178-2022")</f>
        <v/>
      </c>
      <c r="W295">
        <f>HYPERLINK("https://klasma.github.io/Logging_0883/klagomålsmail/A 59178-2022 FSC-klagomål mail.docx", "A 59178-2022")</f>
        <v/>
      </c>
      <c r="X295">
        <f>HYPERLINK("https://klasma.github.io/Logging_0883/tillsyn/A 59178-2022 tillsynsbegäran.docx", "A 59178-2022")</f>
        <v/>
      </c>
      <c r="Y295">
        <f>HYPERLINK("https://klasma.github.io/Logging_0883/tillsynsmail/A 59178-2022 tillsynsbegäran mail.docx", "A 59178-2022")</f>
        <v/>
      </c>
    </row>
    <row r="296" ht="15" customHeight="1">
      <c r="A296" t="inlineStr">
        <is>
          <t>A 975-2023</t>
        </is>
      </c>
      <c r="B296" s="1" t="n">
        <v>44935</v>
      </c>
      <c r="C296" s="1" t="n">
        <v>45851</v>
      </c>
      <c r="D296" t="inlineStr">
        <is>
          <t>KALMAR LÄN</t>
        </is>
      </c>
      <c r="E296" t="inlineStr">
        <is>
          <t>VÄSTERVIK</t>
        </is>
      </c>
      <c r="G296" t="n">
        <v>1.7</v>
      </c>
      <c r="H296" t="n">
        <v>1</v>
      </c>
      <c r="I296" t="n">
        <v>0</v>
      </c>
      <c r="J296" t="n">
        <v>0</v>
      </c>
      <c r="K296" t="n">
        <v>1</v>
      </c>
      <c r="L296" t="n">
        <v>0</v>
      </c>
      <c r="M296" t="n">
        <v>0</v>
      </c>
      <c r="N296" t="n">
        <v>0</v>
      </c>
      <c r="O296" t="n">
        <v>1</v>
      </c>
      <c r="P296" t="n">
        <v>1</v>
      </c>
      <c r="Q296" t="n">
        <v>1</v>
      </c>
      <c r="R296" s="2" t="inlineStr">
        <is>
          <t>Läderbagge</t>
        </is>
      </c>
      <c r="S296">
        <f>HYPERLINK("https://klasma.github.io/Logging_0883/artfynd/A 975-2023 artfynd.xlsx", "A 975-2023")</f>
        <v/>
      </c>
      <c r="T296">
        <f>HYPERLINK("https://klasma.github.io/Logging_0883/kartor/A 975-2023 karta.png", "A 975-2023")</f>
        <v/>
      </c>
      <c r="V296">
        <f>HYPERLINK("https://klasma.github.io/Logging_0883/klagomål/A 975-2023 FSC-klagomål.docx", "A 975-2023")</f>
        <v/>
      </c>
      <c r="W296">
        <f>HYPERLINK("https://klasma.github.io/Logging_0883/klagomålsmail/A 975-2023 FSC-klagomål mail.docx", "A 975-2023")</f>
        <v/>
      </c>
      <c r="X296">
        <f>HYPERLINK("https://klasma.github.io/Logging_0883/tillsyn/A 975-2023 tillsynsbegäran.docx", "A 975-2023")</f>
        <v/>
      </c>
      <c r="Y296">
        <f>HYPERLINK("https://klasma.github.io/Logging_0883/tillsynsmail/A 975-2023 tillsynsbegäran mail.docx", "A 975-2023")</f>
        <v/>
      </c>
    </row>
    <row r="297" ht="15" customHeight="1">
      <c r="A297" t="inlineStr">
        <is>
          <t>A 1024-2023</t>
        </is>
      </c>
      <c r="B297" s="1" t="n">
        <v>44935</v>
      </c>
      <c r="C297" s="1" t="n">
        <v>45851</v>
      </c>
      <c r="D297" t="inlineStr">
        <is>
          <t>KALMAR LÄN</t>
        </is>
      </c>
      <c r="E297" t="inlineStr">
        <is>
          <t>VÄSTERVIK</t>
        </is>
      </c>
      <c r="F297" t="inlineStr">
        <is>
          <t>Holmen skog AB</t>
        </is>
      </c>
      <c r="G297" t="n">
        <v>1.9</v>
      </c>
      <c r="H297" t="n">
        <v>0</v>
      </c>
      <c r="I297" t="n">
        <v>0</v>
      </c>
      <c r="J297" t="n">
        <v>1</v>
      </c>
      <c r="K297" t="n">
        <v>0</v>
      </c>
      <c r="L297" t="n">
        <v>0</v>
      </c>
      <c r="M297" t="n">
        <v>0</v>
      </c>
      <c r="N297" t="n">
        <v>0</v>
      </c>
      <c r="O297" t="n">
        <v>1</v>
      </c>
      <c r="P297" t="n">
        <v>0</v>
      </c>
      <c r="Q297" t="n">
        <v>1</v>
      </c>
      <c r="R297" s="2" t="inlineStr">
        <is>
          <t>Ekticka</t>
        </is>
      </c>
      <c r="S297">
        <f>HYPERLINK("https://klasma.github.io/Logging_0883/artfynd/A 1024-2023 artfynd.xlsx", "A 1024-2023")</f>
        <v/>
      </c>
      <c r="T297">
        <f>HYPERLINK("https://klasma.github.io/Logging_0883/kartor/A 1024-2023 karta.png", "A 1024-2023")</f>
        <v/>
      </c>
      <c r="V297">
        <f>HYPERLINK("https://klasma.github.io/Logging_0883/klagomål/A 1024-2023 FSC-klagomål.docx", "A 1024-2023")</f>
        <v/>
      </c>
      <c r="W297">
        <f>HYPERLINK("https://klasma.github.io/Logging_0883/klagomålsmail/A 1024-2023 FSC-klagomål mail.docx", "A 1024-2023")</f>
        <v/>
      </c>
      <c r="X297">
        <f>HYPERLINK("https://klasma.github.io/Logging_0883/tillsyn/A 1024-2023 tillsynsbegäran.docx", "A 1024-2023")</f>
        <v/>
      </c>
      <c r="Y297">
        <f>HYPERLINK("https://klasma.github.io/Logging_0883/tillsynsmail/A 1024-2023 tillsynsbegäran mail.docx", "A 1024-2023")</f>
        <v/>
      </c>
    </row>
    <row r="298" ht="15" customHeight="1">
      <c r="A298" t="inlineStr">
        <is>
          <t>A 11589-2023</t>
        </is>
      </c>
      <c r="B298" s="1" t="n">
        <v>44994</v>
      </c>
      <c r="C298" s="1" t="n">
        <v>45851</v>
      </c>
      <c r="D298" t="inlineStr">
        <is>
          <t>KALMAR LÄN</t>
        </is>
      </c>
      <c r="E298" t="inlineStr">
        <is>
          <t>VÄSTERVIK</t>
        </is>
      </c>
      <c r="G298" t="n">
        <v>7.7</v>
      </c>
      <c r="H298" t="n">
        <v>1</v>
      </c>
      <c r="I298" t="n">
        <v>0</v>
      </c>
      <c r="J298" t="n">
        <v>0</v>
      </c>
      <c r="K298" t="n">
        <v>0</v>
      </c>
      <c r="L298" t="n">
        <v>0</v>
      </c>
      <c r="M298" t="n">
        <v>0</v>
      </c>
      <c r="N298" t="n">
        <v>0</v>
      </c>
      <c r="O298" t="n">
        <v>0</v>
      </c>
      <c r="P298" t="n">
        <v>0</v>
      </c>
      <c r="Q298" t="n">
        <v>1</v>
      </c>
      <c r="R298" s="2" t="inlineStr">
        <is>
          <t>Revlummer</t>
        </is>
      </c>
      <c r="S298">
        <f>HYPERLINK("https://klasma.github.io/Logging_0883/artfynd/A 11589-2023 artfynd.xlsx", "A 11589-2023")</f>
        <v/>
      </c>
      <c r="T298">
        <f>HYPERLINK("https://klasma.github.io/Logging_0883/kartor/A 11589-2023 karta.png", "A 11589-2023")</f>
        <v/>
      </c>
      <c r="V298">
        <f>HYPERLINK("https://klasma.github.io/Logging_0883/klagomål/A 11589-2023 FSC-klagomål.docx", "A 11589-2023")</f>
        <v/>
      </c>
      <c r="W298">
        <f>HYPERLINK("https://klasma.github.io/Logging_0883/klagomålsmail/A 11589-2023 FSC-klagomål mail.docx", "A 11589-2023")</f>
        <v/>
      </c>
      <c r="X298">
        <f>HYPERLINK("https://klasma.github.io/Logging_0883/tillsyn/A 11589-2023 tillsynsbegäran.docx", "A 11589-2023")</f>
        <v/>
      </c>
      <c r="Y298">
        <f>HYPERLINK("https://klasma.github.io/Logging_0883/tillsynsmail/A 11589-2023 tillsynsbegäran mail.docx", "A 11589-2023")</f>
        <v/>
      </c>
    </row>
    <row r="299" ht="15" customHeight="1">
      <c r="A299" t="inlineStr">
        <is>
          <t>A 11729-2023</t>
        </is>
      </c>
      <c r="B299" s="1" t="n">
        <v>44994</v>
      </c>
      <c r="C299" s="1" t="n">
        <v>45851</v>
      </c>
      <c r="D299" t="inlineStr">
        <is>
          <t>KALMAR LÄN</t>
        </is>
      </c>
      <c r="E299" t="inlineStr">
        <is>
          <t>VÄSTERVIK</t>
        </is>
      </c>
      <c r="F299" t="inlineStr">
        <is>
          <t>Sveaskog</t>
        </is>
      </c>
      <c r="G299" t="n">
        <v>4.1</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HYPERLINK("https://klasma.github.io/Logging_0883/artfynd/A 11729-2023 artfynd.xlsx", "A 11729-2023")</f>
        <v/>
      </c>
      <c r="T299">
        <f>HYPERLINK("https://klasma.github.io/Logging_0883/kartor/A 11729-2023 karta.png", "A 11729-2023")</f>
        <v/>
      </c>
      <c r="V299">
        <f>HYPERLINK("https://klasma.github.io/Logging_0883/klagomål/A 11729-2023 FSC-klagomål.docx", "A 11729-2023")</f>
        <v/>
      </c>
      <c r="W299">
        <f>HYPERLINK("https://klasma.github.io/Logging_0883/klagomålsmail/A 11729-2023 FSC-klagomål mail.docx", "A 11729-2023")</f>
        <v/>
      </c>
      <c r="X299">
        <f>HYPERLINK("https://klasma.github.io/Logging_0883/tillsyn/A 11729-2023 tillsynsbegäran.docx", "A 11729-2023")</f>
        <v/>
      </c>
      <c r="Y299">
        <f>HYPERLINK("https://klasma.github.io/Logging_0883/tillsynsmail/A 11729-2023 tillsynsbegäran mail.docx", "A 11729-2023")</f>
        <v/>
      </c>
    </row>
    <row r="300" ht="15" customHeight="1">
      <c r="A300" t="inlineStr">
        <is>
          <t>A 14720-2023</t>
        </is>
      </c>
      <c r="B300" s="1" t="n">
        <v>45014</v>
      </c>
      <c r="C300" s="1" t="n">
        <v>45851</v>
      </c>
      <c r="D300" t="inlineStr">
        <is>
          <t>KALMAR LÄN</t>
        </is>
      </c>
      <c r="E300" t="inlineStr">
        <is>
          <t>VÄSTERVIK</t>
        </is>
      </c>
      <c r="G300" t="n">
        <v>3.5</v>
      </c>
      <c r="H300" t="n">
        <v>1</v>
      </c>
      <c r="I300" t="n">
        <v>0</v>
      </c>
      <c r="J300" t="n">
        <v>0</v>
      </c>
      <c r="K300" t="n">
        <v>1</v>
      </c>
      <c r="L300" t="n">
        <v>0</v>
      </c>
      <c r="M300" t="n">
        <v>0</v>
      </c>
      <c r="N300" t="n">
        <v>0</v>
      </c>
      <c r="O300" t="n">
        <v>1</v>
      </c>
      <c r="P300" t="n">
        <v>1</v>
      </c>
      <c r="Q300" t="n">
        <v>1</v>
      </c>
      <c r="R300" s="2" t="inlineStr">
        <is>
          <t>Knärot</t>
        </is>
      </c>
      <c r="S300">
        <f>HYPERLINK("https://klasma.github.io/Logging_0883/artfynd/A 14720-2023 artfynd.xlsx", "A 14720-2023")</f>
        <v/>
      </c>
      <c r="T300">
        <f>HYPERLINK("https://klasma.github.io/Logging_0883/kartor/A 14720-2023 karta.png", "A 14720-2023")</f>
        <v/>
      </c>
      <c r="U300">
        <f>HYPERLINK("https://klasma.github.io/Logging_0883/knärot/A 14720-2023 karta knärot.png", "A 14720-2023")</f>
        <v/>
      </c>
      <c r="V300">
        <f>HYPERLINK("https://klasma.github.io/Logging_0883/klagomål/A 14720-2023 FSC-klagomål.docx", "A 14720-2023")</f>
        <v/>
      </c>
      <c r="W300">
        <f>HYPERLINK("https://klasma.github.io/Logging_0883/klagomålsmail/A 14720-2023 FSC-klagomål mail.docx", "A 14720-2023")</f>
        <v/>
      </c>
      <c r="X300">
        <f>HYPERLINK("https://klasma.github.io/Logging_0883/tillsyn/A 14720-2023 tillsynsbegäran.docx", "A 14720-2023")</f>
        <v/>
      </c>
      <c r="Y300">
        <f>HYPERLINK("https://klasma.github.io/Logging_0883/tillsynsmail/A 14720-2023 tillsynsbegäran mail.docx", "A 14720-2023")</f>
        <v/>
      </c>
    </row>
    <row r="301" ht="15" customHeight="1">
      <c r="A301" t="inlineStr">
        <is>
          <t>A 21828-2023</t>
        </is>
      </c>
      <c r="B301" s="1" t="n">
        <v>45068</v>
      </c>
      <c r="C301" s="1" t="n">
        <v>45851</v>
      </c>
      <c r="D301" t="inlineStr">
        <is>
          <t>KALMAR LÄN</t>
        </is>
      </c>
      <c r="E301" t="inlineStr">
        <is>
          <t>VÄSTERVIK</t>
        </is>
      </c>
      <c r="G301" t="n">
        <v>0.7</v>
      </c>
      <c r="H301" t="n">
        <v>0</v>
      </c>
      <c r="I301" t="n">
        <v>1</v>
      </c>
      <c r="J301" t="n">
        <v>0</v>
      </c>
      <c r="K301" t="n">
        <v>0</v>
      </c>
      <c r="L301" t="n">
        <v>0</v>
      </c>
      <c r="M301" t="n">
        <v>0</v>
      </c>
      <c r="N301" t="n">
        <v>0</v>
      </c>
      <c r="O301" t="n">
        <v>0</v>
      </c>
      <c r="P301" t="n">
        <v>0</v>
      </c>
      <c r="Q301" t="n">
        <v>1</v>
      </c>
      <c r="R301" s="2" t="inlineStr">
        <is>
          <t>Grönpyrola</t>
        </is>
      </c>
      <c r="S301">
        <f>HYPERLINK("https://klasma.github.io/Logging_0883/artfynd/A 21828-2023 artfynd.xlsx", "A 21828-2023")</f>
        <v/>
      </c>
      <c r="T301">
        <f>HYPERLINK("https://klasma.github.io/Logging_0883/kartor/A 21828-2023 karta.png", "A 21828-2023")</f>
        <v/>
      </c>
      <c r="V301">
        <f>HYPERLINK("https://klasma.github.io/Logging_0883/klagomål/A 21828-2023 FSC-klagomål.docx", "A 21828-2023")</f>
        <v/>
      </c>
      <c r="W301">
        <f>HYPERLINK("https://klasma.github.io/Logging_0883/klagomålsmail/A 21828-2023 FSC-klagomål mail.docx", "A 21828-2023")</f>
        <v/>
      </c>
      <c r="X301">
        <f>HYPERLINK("https://klasma.github.io/Logging_0883/tillsyn/A 21828-2023 tillsynsbegäran.docx", "A 21828-2023")</f>
        <v/>
      </c>
      <c r="Y301">
        <f>HYPERLINK("https://klasma.github.io/Logging_0883/tillsynsmail/A 21828-2023 tillsynsbegäran mail.docx", "A 21828-2023")</f>
        <v/>
      </c>
    </row>
    <row r="302" ht="15" customHeight="1">
      <c r="A302" t="inlineStr">
        <is>
          <t>A 25436-2023</t>
        </is>
      </c>
      <c r="B302" s="1" t="n">
        <v>45089</v>
      </c>
      <c r="C302" s="1" t="n">
        <v>45851</v>
      </c>
      <c r="D302" t="inlineStr">
        <is>
          <t>KALMAR LÄN</t>
        </is>
      </c>
      <c r="E302" t="inlineStr">
        <is>
          <t>VÄSTERVIK</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HYPERLINK("https://klasma.github.io/Logging_0883/artfynd/A 25436-2023 artfynd.xlsx", "A 25436-2023")</f>
        <v/>
      </c>
      <c r="T302">
        <f>HYPERLINK("https://klasma.github.io/Logging_0883/kartor/A 25436-2023 karta.png", "A 25436-2023")</f>
        <v/>
      </c>
      <c r="U302">
        <f>HYPERLINK("https://klasma.github.io/Logging_0883/knärot/A 25436-2023 karta knärot.png", "A 25436-2023")</f>
        <v/>
      </c>
      <c r="V302">
        <f>HYPERLINK("https://klasma.github.io/Logging_0883/klagomål/A 25436-2023 FSC-klagomål.docx", "A 25436-2023")</f>
        <v/>
      </c>
      <c r="W302">
        <f>HYPERLINK("https://klasma.github.io/Logging_0883/klagomålsmail/A 25436-2023 FSC-klagomål mail.docx", "A 25436-2023")</f>
        <v/>
      </c>
      <c r="X302">
        <f>HYPERLINK("https://klasma.github.io/Logging_0883/tillsyn/A 25436-2023 tillsynsbegäran.docx", "A 25436-2023")</f>
        <v/>
      </c>
      <c r="Y302">
        <f>HYPERLINK("https://klasma.github.io/Logging_0883/tillsynsmail/A 25436-2023 tillsynsbegäran mail.docx", "A 25436-2023")</f>
        <v/>
      </c>
    </row>
    <row r="303" ht="15" customHeight="1">
      <c r="A303" t="inlineStr">
        <is>
          <t>A 25433-2023</t>
        </is>
      </c>
      <c r="B303" s="1" t="n">
        <v>45089</v>
      </c>
      <c r="C303" s="1" t="n">
        <v>45851</v>
      </c>
      <c r="D303" t="inlineStr">
        <is>
          <t>KALMAR LÄN</t>
        </is>
      </c>
      <c r="E303" t="inlineStr">
        <is>
          <t>VÄSTERVIK</t>
        </is>
      </c>
      <c r="G303" t="n">
        <v>2.3</v>
      </c>
      <c r="H303" t="n">
        <v>1</v>
      </c>
      <c r="I303" t="n">
        <v>0</v>
      </c>
      <c r="J303" t="n">
        <v>0</v>
      </c>
      <c r="K303" t="n">
        <v>1</v>
      </c>
      <c r="L303" t="n">
        <v>0</v>
      </c>
      <c r="M303" t="n">
        <v>0</v>
      </c>
      <c r="N303" t="n">
        <v>0</v>
      </c>
      <c r="O303" t="n">
        <v>1</v>
      </c>
      <c r="P303" t="n">
        <v>1</v>
      </c>
      <c r="Q303" t="n">
        <v>1</v>
      </c>
      <c r="R303" s="2" t="inlineStr">
        <is>
          <t>Knärot</t>
        </is>
      </c>
      <c r="S303">
        <f>HYPERLINK("https://klasma.github.io/Logging_0883/artfynd/A 25433-2023 artfynd.xlsx", "A 25433-2023")</f>
        <v/>
      </c>
      <c r="T303">
        <f>HYPERLINK("https://klasma.github.io/Logging_0883/kartor/A 25433-2023 karta.png", "A 25433-2023")</f>
        <v/>
      </c>
      <c r="U303">
        <f>HYPERLINK("https://klasma.github.io/Logging_0883/knärot/A 25433-2023 karta knärot.png", "A 25433-2023")</f>
        <v/>
      </c>
      <c r="V303">
        <f>HYPERLINK("https://klasma.github.io/Logging_0883/klagomål/A 25433-2023 FSC-klagomål.docx", "A 25433-2023")</f>
        <v/>
      </c>
      <c r="W303">
        <f>HYPERLINK("https://klasma.github.io/Logging_0883/klagomålsmail/A 25433-2023 FSC-klagomål mail.docx", "A 25433-2023")</f>
        <v/>
      </c>
      <c r="X303">
        <f>HYPERLINK("https://klasma.github.io/Logging_0883/tillsyn/A 25433-2023 tillsynsbegäran.docx", "A 25433-2023")</f>
        <v/>
      </c>
      <c r="Y303">
        <f>HYPERLINK("https://klasma.github.io/Logging_0883/tillsynsmail/A 25433-2023 tillsynsbegäran mail.docx", "A 25433-2023")</f>
        <v/>
      </c>
    </row>
    <row r="304" ht="15" customHeight="1">
      <c r="A304" t="inlineStr">
        <is>
          <t>A 25563-2023</t>
        </is>
      </c>
      <c r="B304" s="1" t="n">
        <v>45089</v>
      </c>
      <c r="C304" s="1" t="n">
        <v>45851</v>
      </c>
      <c r="D304" t="inlineStr">
        <is>
          <t>KALMAR LÄN</t>
        </is>
      </c>
      <c r="E304" t="inlineStr">
        <is>
          <t>VÄSTERVIK</t>
        </is>
      </c>
      <c r="G304" t="n">
        <v>1.6</v>
      </c>
      <c r="H304" t="n">
        <v>1</v>
      </c>
      <c r="I304" t="n">
        <v>0</v>
      </c>
      <c r="J304" t="n">
        <v>1</v>
      </c>
      <c r="K304" t="n">
        <v>0</v>
      </c>
      <c r="L304" t="n">
        <v>0</v>
      </c>
      <c r="M304" t="n">
        <v>0</v>
      </c>
      <c r="N304" t="n">
        <v>0</v>
      </c>
      <c r="O304" t="n">
        <v>1</v>
      </c>
      <c r="P304" t="n">
        <v>0</v>
      </c>
      <c r="Q304" t="n">
        <v>1</v>
      </c>
      <c r="R304" s="2" t="inlineStr">
        <is>
          <t>Talltita</t>
        </is>
      </c>
      <c r="S304">
        <f>HYPERLINK("https://klasma.github.io/Logging_0883/artfynd/A 25563-2023 artfynd.xlsx", "A 25563-2023")</f>
        <v/>
      </c>
      <c r="T304">
        <f>HYPERLINK("https://klasma.github.io/Logging_0883/kartor/A 25563-2023 karta.png", "A 25563-2023")</f>
        <v/>
      </c>
      <c r="V304">
        <f>HYPERLINK("https://klasma.github.io/Logging_0883/klagomål/A 25563-2023 FSC-klagomål.docx", "A 25563-2023")</f>
        <v/>
      </c>
      <c r="W304">
        <f>HYPERLINK("https://klasma.github.io/Logging_0883/klagomålsmail/A 25563-2023 FSC-klagomål mail.docx", "A 25563-2023")</f>
        <v/>
      </c>
      <c r="X304">
        <f>HYPERLINK("https://klasma.github.io/Logging_0883/tillsyn/A 25563-2023 tillsynsbegäran.docx", "A 25563-2023")</f>
        <v/>
      </c>
      <c r="Y304">
        <f>HYPERLINK("https://klasma.github.io/Logging_0883/tillsynsmail/A 25563-2023 tillsynsbegäran mail.docx", "A 25563-2023")</f>
        <v/>
      </c>
      <c r="Z304">
        <f>HYPERLINK("https://klasma.github.io/Logging_0883/fåglar/A 25563-2023 prioriterade fågelarter.docx", "A 25563-2023")</f>
        <v/>
      </c>
    </row>
    <row r="305" ht="15" customHeight="1">
      <c r="A305" t="inlineStr">
        <is>
          <t>A 26278-2023</t>
        </is>
      </c>
      <c r="B305" s="1" t="n">
        <v>45091</v>
      </c>
      <c r="C305" s="1" t="n">
        <v>45851</v>
      </c>
      <c r="D305" t="inlineStr">
        <is>
          <t>KALMAR LÄN</t>
        </is>
      </c>
      <c r="E305" t="inlineStr">
        <is>
          <t>VÄSTERVIK</t>
        </is>
      </c>
      <c r="G305" t="n">
        <v>3.1</v>
      </c>
      <c r="H305" t="n">
        <v>1</v>
      </c>
      <c r="I305" t="n">
        <v>0</v>
      </c>
      <c r="J305" t="n">
        <v>0</v>
      </c>
      <c r="K305" t="n">
        <v>1</v>
      </c>
      <c r="L305" t="n">
        <v>0</v>
      </c>
      <c r="M305" t="n">
        <v>0</v>
      </c>
      <c r="N305" t="n">
        <v>0</v>
      </c>
      <c r="O305" t="n">
        <v>1</v>
      </c>
      <c r="P305" t="n">
        <v>1</v>
      </c>
      <c r="Q305" t="n">
        <v>1</v>
      </c>
      <c r="R305" s="2" t="inlineStr">
        <is>
          <t>Knärot</t>
        </is>
      </c>
      <c r="S305">
        <f>HYPERLINK("https://klasma.github.io/Logging_0883/artfynd/A 26278-2023 artfynd.xlsx", "A 26278-2023")</f>
        <v/>
      </c>
      <c r="T305">
        <f>HYPERLINK("https://klasma.github.io/Logging_0883/kartor/A 26278-2023 karta.png", "A 26278-2023")</f>
        <v/>
      </c>
      <c r="U305">
        <f>HYPERLINK("https://klasma.github.io/Logging_0883/knärot/A 26278-2023 karta knärot.png", "A 26278-2023")</f>
        <v/>
      </c>
      <c r="V305">
        <f>HYPERLINK("https://klasma.github.io/Logging_0883/klagomål/A 26278-2023 FSC-klagomål.docx", "A 26278-2023")</f>
        <v/>
      </c>
      <c r="W305">
        <f>HYPERLINK("https://klasma.github.io/Logging_0883/klagomålsmail/A 26278-2023 FSC-klagomål mail.docx", "A 26278-2023")</f>
        <v/>
      </c>
      <c r="X305">
        <f>HYPERLINK("https://klasma.github.io/Logging_0883/tillsyn/A 26278-2023 tillsynsbegäran.docx", "A 26278-2023")</f>
        <v/>
      </c>
      <c r="Y305">
        <f>HYPERLINK("https://klasma.github.io/Logging_0883/tillsynsmail/A 26278-2023 tillsynsbegäran mail.docx", "A 26278-2023")</f>
        <v/>
      </c>
    </row>
    <row r="306" ht="15" customHeight="1">
      <c r="A306" t="inlineStr">
        <is>
          <t>A 28495-2023</t>
        </is>
      </c>
      <c r="B306" s="1" t="n">
        <v>45103</v>
      </c>
      <c r="C306" s="1" t="n">
        <v>45851</v>
      </c>
      <c r="D306" t="inlineStr">
        <is>
          <t>KALMAR LÄN</t>
        </is>
      </c>
      <c r="E306" t="inlineStr">
        <is>
          <t>VÄSTERVIK</t>
        </is>
      </c>
      <c r="G306" t="n">
        <v>3.1</v>
      </c>
      <c r="H306" t="n">
        <v>1</v>
      </c>
      <c r="I306" t="n">
        <v>0</v>
      </c>
      <c r="J306" t="n">
        <v>0</v>
      </c>
      <c r="K306" t="n">
        <v>1</v>
      </c>
      <c r="L306" t="n">
        <v>0</v>
      </c>
      <c r="M306" t="n">
        <v>0</v>
      </c>
      <c r="N306" t="n">
        <v>0</v>
      </c>
      <c r="O306" t="n">
        <v>1</v>
      </c>
      <c r="P306" t="n">
        <v>1</v>
      </c>
      <c r="Q306" t="n">
        <v>1</v>
      </c>
      <c r="R306" s="2" t="inlineStr">
        <is>
          <t>Knärot</t>
        </is>
      </c>
      <c r="S306">
        <f>HYPERLINK("https://klasma.github.io/Logging_0883/artfynd/A 28495-2023 artfynd.xlsx", "A 28495-2023")</f>
        <v/>
      </c>
      <c r="T306">
        <f>HYPERLINK("https://klasma.github.io/Logging_0883/kartor/A 28495-2023 karta.png", "A 28495-2023")</f>
        <v/>
      </c>
      <c r="U306">
        <f>HYPERLINK("https://klasma.github.io/Logging_0883/knärot/A 28495-2023 karta knärot.png", "A 28495-2023")</f>
        <v/>
      </c>
      <c r="V306">
        <f>HYPERLINK("https://klasma.github.io/Logging_0883/klagomål/A 28495-2023 FSC-klagomål.docx", "A 28495-2023")</f>
        <v/>
      </c>
      <c r="W306">
        <f>HYPERLINK("https://klasma.github.io/Logging_0883/klagomålsmail/A 28495-2023 FSC-klagomål mail.docx", "A 28495-2023")</f>
        <v/>
      </c>
      <c r="X306">
        <f>HYPERLINK("https://klasma.github.io/Logging_0883/tillsyn/A 28495-2023 tillsynsbegäran.docx", "A 28495-2023")</f>
        <v/>
      </c>
      <c r="Y306">
        <f>HYPERLINK("https://klasma.github.io/Logging_0883/tillsynsmail/A 28495-2023 tillsynsbegäran mail.docx", "A 28495-2023")</f>
        <v/>
      </c>
    </row>
    <row r="307" ht="15" customHeight="1">
      <c r="A307" t="inlineStr">
        <is>
          <t>A 32653-2023</t>
        </is>
      </c>
      <c r="B307" s="1" t="n">
        <v>45121</v>
      </c>
      <c r="C307" s="1" t="n">
        <v>45851</v>
      </c>
      <c r="D307" t="inlineStr">
        <is>
          <t>KALMAR LÄN</t>
        </is>
      </c>
      <c r="E307" t="inlineStr">
        <is>
          <t>VÄSTERVIK</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HYPERLINK("https://klasma.github.io/Logging_0883/artfynd/A 32653-2023 artfynd.xlsx", "A 32653-2023")</f>
        <v/>
      </c>
      <c r="T307">
        <f>HYPERLINK("https://klasma.github.io/Logging_0883/kartor/A 32653-2023 karta.png", "A 32653-2023")</f>
        <v/>
      </c>
      <c r="U307">
        <f>HYPERLINK("https://klasma.github.io/Logging_0883/knärot/A 32653-2023 karta knärot.png", "A 32653-2023")</f>
        <v/>
      </c>
      <c r="V307">
        <f>HYPERLINK("https://klasma.github.io/Logging_0883/klagomål/A 32653-2023 FSC-klagomål.docx", "A 32653-2023")</f>
        <v/>
      </c>
      <c r="W307">
        <f>HYPERLINK("https://klasma.github.io/Logging_0883/klagomålsmail/A 32653-2023 FSC-klagomål mail.docx", "A 32653-2023")</f>
        <v/>
      </c>
      <c r="X307">
        <f>HYPERLINK("https://klasma.github.io/Logging_0883/tillsyn/A 32653-2023 tillsynsbegäran.docx", "A 32653-2023")</f>
        <v/>
      </c>
      <c r="Y307">
        <f>HYPERLINK("https://klasma.github.io/Logging_0883/tillsynsmail/A 32653-2023 tillsynsbegäran mail.docx", "A 32653-2023")</f>
        <v/>
      </c>
    </row>
    <row r="308" ht="15" customHeight="1">
      <c r="A308" t="inlineStr">
        <is>
          <t>A 33816-2023</t>
        </is>
      </c>
      <c r="B308" s="1" t="n">
        <v>45133</v>
      </c>
      <c r="C308" s="1" t="n">
        <v>45851</v>
      </c>
      <c r="D308" t="inlineStr">
        <is>
          <t>KALMAR LÄN</t>
        </is>
      </c>
      <c r="E308" t="inlineStr">
        <is>
          <t>VÄSTERVIK</t>
        </is>
      </c>
      <c r="G308" t="n">
        <v>4.9</v>
      </c>
      <c r="H308" t="n">
        <v>0</v>
      </c>
      <c r="I308" t="n">
        <v>0</v>
      </c>
      <c r="J308" t="n">
        <v>1</v>
      </c>
      <c r="K308" t="n">
        <v>0</v>
      </c>
      <c r="L308" t="n">
        <v>0</v>
      </c>
      <c r="M308" t="n">
        <v>0</v>
      </c>
      <c r="N308" t="n">
        <v>0</v>
      </c>
      <c r="O308" t="n">
        <v>1</v>
      </c>
      <c r="P308" t="n">
        <v>0</v>
      </c>
      <c r="Q308" t="n">
        <v>1</v>
      </c>
      <c r="R308" s="2" t="inlineStr">
        <is>
          <t>Tallticka</t>
        </is>
      </c>
      <c r="S308">
        <f>HYPERLINK("https://klasma.github.io/Logging_0883/artfynd/A 33816-2023 artfynd.xlsx", "A 33816-2023")</f>
        <v/>
      </c>
      <c r="T308">
        <f>HYPERLINK("https://klasma.github.io/Logging_0883/kartor/A 33816-2023 karta.png", "A 33816-2023")</f>
        <v/>
      </c>
      <c r="V308">
        <f>HYPERLINK("https://klasma.github.io/Logging_0883/klagomål/A 33816-2023 FSC-klagomål.docx", "A 33816-2023")</f>
        <v/>
      </c>
      <c r="W308">
        <f>HYPERLINK("https://klasma.github.io/Logging_0883/klagomålsmail/A 33816-2023 FSC-klagomål mail.docx", "A 33816-2023")</f>
        <v/>
      </c>
      <c r="X308">
        <f>HYPERLINK("https://klasma.github.io/Logging_0883/tillsyn/A 33816-2023 tillsynsbegäran.docx", "A 33816-2023")</f>
        <v/>
      </c>
      <c r="Y308">
        <f>HYPERLINK("https://klasma.github.io/Logging_0883/tillsynsmail/A 33816-2023 tillsynsbegäran mail.docx", "A 33816-2023")</f>
        <v/>
      </c>
    </row>
    <row r="309" ht="15" customHeight="1">
      <c r="A309" t="inlineStr">
        <is>
          <t>A 33815-2023</t>
        </is>
      </c>
      <c r="B309" s="1" t="n">
        <v>45133</v>
      </c>
      <c r="C309" s="1" t="n">
        <v>45851</v>
      </c>
      <c r="D309" t="inlineStr">
        <is>
          <t>KALMAR LÄN</t>
        </is>
      </c>
      <c r="E309" t="inlineStr">
        <is>
          <t>VÄSTERVIK</t>
        </is>
      </c>
      <c r="G309" t="n">
        <v>3.4</v>
      </c>
      <c r="H309" t="n">
        <v>0</v>
      </c>
      <c r="I309" t="n">
        <v>1</v>
      </c>
      <c r="J309" t="n">
        <v>0</v>
      </c>
      <c r="K309" t="n">
        <v>0</v>
      </c>
      <c r="L309" t="n">
        <v>0</v>
      </c>
      <c r="M309" t="n">
        <v>0</v>
      </c>
      <c r="N309" t="n">
        <v>0</v>
      </c>
      <c r="O309" t="n">
        <v>0</v>
      </c>
      <c r="P309" t="n">
        <v>0</v>
      </c>
      <c r="Q309" t="n">
        <v>1</v>
      </c>
      <c r="R309" s="2" t="inlineStr">
        <is>
          <t>Grönpyrola</t>
        </is>
      </c>
      <c r="S309">
        <f>HYPERLINK("https://klasma.github.io/Logging_0883/artfynd/A 33815-2023 artfynd.xlsx", "A 33815-2023")</f>
        <v/>
      </c>
      <c r="T309">
        <f>HYPERLINK("https://klasma.github.io/Logging_0883/kartor/A 33815-2023 karta.png", "A 33815-2023")</f>
        <v/>
      </c>
      <c r="V309">
        <f>HYPERLINK("https://klasma.github.io/Logging_0883/klagomål/A 33815-2023 FSC-klagomål.docx", "A 33815-2023")</f>
        <v/>
      </c>
      <c r="W309">
        <f>HYPERLINK("https://klasma.github.io/Logging_0883/klagomålsmail/A 33815-2023 FSC-klagomål mail.docx", "A 33815-2023")</f>
        <v/>
      </c>
      <c r="X309">
        <f>HYPERLINK("https://klasma.github.io/Logging_0883/tillsyn/A 33815-2023 tillsynsbegäran.docx", "A 33815-2023")</f>
        <v/>
      </c>
      <c r="Y309">
        <f>HYPERLINK("https://klasma.github.io/Logging_0883/tillsynsmail/A 33815-2023 tillsynsbegäran mail.docx", "A 33815-2023")</f>
        <v/>
      </c>
    </row>
    <row r="310" ht="15" customHeight="1">
      <c r="A310" t="inlineStr">
        <is>
          <t>A 34563-2023</t>
        </is>
      </c>
      <c r="B310" s="1" t="n">
        <v>45140</v>
      </c>
      <c r="C310" s="1" t="n">
        <v>45851</v>
      </c>
      <c r="D310" t="inlineStr">
        <is>
          <t>KALMAR LÄN</t>
        </is>
      </c>
      <c r="E310" t="inlineStr">
        <is>
          <t>VÄSTERVIK</t>
        </is>
      </c>
      <c r="G310" t="n">
        <v>1.4</v>
      </c>
      <c r="H310" t="n">
        <v>0</v>
      </c>
      <c r="I310" t="n">
        <v>1</v>
      </c>
      <c r="J310" t="n">
        <v>0</v>
      </c>
      <c r="K310" t="n">
        <v>0</v>
      </c>
      <c r="L310" t="n">
        <v>0</v>
      </c>
      <c r="M310" t="n">
        <v>0</v>
      </c>
      <c r="N310" t="n">
        <v>0</v>
      </c>
      <c r="O310" t="n">
        <v>0</v>
      </c>
      <c r="P310" t="n">
        <v>0</v>
      </c>
      <c r="Q310" t="n">
        <v>1</v>
      </c>
      <c r="R310" s="2" t="inlineStr">
        <is>
          <t>Fjällig taggsvamp s.str.</t>
        </is>
      </c>
      <c r="S310">
        <f>HYPERLINK("https://klasma.github.io/Logging_0883/artfynd/A 34563-2023 artfynd.xlsx", "A 34563-2023")</f>
        <v/>
      </c>
      <c r="T310">
        <f>HYPERLINK("https://klasma.github.io/Logging_0883/kartor/A 34563-2023 karta.png", "A 34563-2023")</f>
        <v/>
      </c>
      <c r="U310">
        <f>HYPERLINK("https://klasma.github.io/Logging_0883/knärot/A 34563-2023 karta knärot.png", "A 34563-2023")</f>
        <v/>
      </c>
      <c r="V310">
        <f>HYPERLINK("https://klasma.github.io/Logging_0883/klagomål/A 34563-2023 FSC-klagomål.docx", "A 34563-2023")</f>
        <v/>
      </c>
      <c r="W310">
        <f>HYPERLINK("https://klasma.github.io/Logging_0883/klagomålsmail/A 34563-2023 FSC-klagomål mail.docx", "A 34563-2023")</f>
        <v/>
      </c>
      <c r="X310">
        <f>HYPERLINK("https://klasma.github.io/Logging_0883/tillsyn/A 34563-2023 tillsynsbegäran.docx", "A 34563-2023")</f>
        <v/>
      </c>
      <c r="Y310">
        <f>HYPERLINK("https://klasma.github.io/Logging_0883/tillsynsmail/A 34563-2023 tillsynsbegäran mail.docx", "A 34563-2023")</f>
        <v/>
      </c>
    </row>
    <row r="311" ht="15" customHeight="1">
      <c r="A311" t="inlineStr">
        <is>
          <t>A 36400-2023</t>
        </is>
      </c>
      <c r="B311" s="1" t="n">
        <v>45152</v>
      </c>
      <c r="C311" s="1" t="n">
        <v>45851</v>
      </c>
      <c r="D311" t="inlineStr">
        <is>
          <t>KALMAR LÄN</t>
        </is>
      </c>
      <c r="E311" t="inlineStr">
        <is>
          <t>VÄSTERVIK</t>
        </is>
      </c>
      <c r="G311" t="n">
        <v>1.4</v>
      </c>
      <c r="H311" t="n">
        <v>0</v>
      </c>
      <c r="I311" t="n">
        <v>1</v>
      </c>
      <c r="J311" t="n">
        <v>0</v>
      </c>
      <c r="K311" t="n">
        <v>0</v>
      </c>
      <c r="L311" t="n">
        <v>0</v>
      </c>
      <c r="M311" t="n">
        <v>0</v>
      </c>
      <c r="N311" t="n">
        <v>0</v>
      </c>
      <c r="O311" t="n">
        <v>0</v>
      </c>
      <c r="P311" t="n">
        <v>0</v>
      </c>
      <c r="Q311" t="n">
        <v>1</v>
      </c>
      <c r="R311" s="2" t="inlineStr">
        <is>
          <t>Fjällig taggsvamp s.str.</t>
        </is>
      </c>
      <c r="S311">
        <f>HYPERLINK("https://klasma.github.io/Logging_0883/artfynd/A 36400-2023 artfynd.xlsx", "A 36400-2023")</f>
        <v/>
      </c>
      <c r="T311">
        <f>HYPERLINK("https://klasma.github.io/Logging_0883/kartor/A 36400-2023 karta.png", "A 36400-2023")</f>
        <v/>
      </c>
      <c r="U311">
        <f>HYPERLINK("https://klasma.github.io/Logging_0883/knärot/A 36400-2023 karta knärot.png", "A 36400-2023")</f>
        <v/>
      </c>
      <c r="V311">
        <f>HYPERLINK("https://klasma.github.io/Logging_0883/klagomål/A 36400-2023 FSC-klagomål.docx", "A 36400-2023")</f>
        <v/>
      </c>
      <c r="W311">
        <f>HYPERLINK("https://klasma.github.io/Logging_0883/klagomålsmail/A 36400-2023 FSC-klagomål mail.docx", "A 36400-2023")</f>
        <v/>
      </c>
      <c r="X311">
        <f>HYPERLINK("https://klasma.github.io/Logging_0883/tillsyn/A 36400-2023 tillsynsbegäran.docx", "A 36400-2023")</f>
        <v/>
      </c>
      <c r="Y311">
        <f>HYPERLINK("https://klasma.github.io/Logging_0883/tillsynsmail/A 36400-2023 tillsynsbegäran mail.docx", "A 36400-2023")</f>
        <v/>
      </c>
    </row>
    <row r="312" ht="15" customHeight="1">
      <c r="A312" t="inlineStr">
        <is>
          <t>A 43788-2023</t>
        </is>
      </c>
      <c r="B312" s="1" t="n">
        <v>45187</v>
      </c>
      <c r="C312" s="1" t="n">
        <v>45851</v>
      </c>
      <c r="D312" t="inlineStr">
        <is>
          <t>KALMAR LÄN</t>
        </is>
      </c>
      <c r="E312" t="inlineStr">
        <is>
          <t>VÄSTERVIK</t>
        </is>
      </c>
      <c r="G312" t="n">
        <v>4.5</v>
      </c>
      <c r="H312" t="n">
        <v>0</v>
      </c>
      <c r="I312" t="n">
        <v>0</v>
      </c>
      <c r="J312" t="n">
        <v>1</v>
      </c>
      <c r="K312" t="n">
        <v>0</v>
      </c>
      <c r="L312" t="n">
        <v>0</v>
      </c>
      <c r="M312" t="n">
        <v>0</v>
      </c>
      <c r="N312" t="n">
        <v>0</v>
      </c>
      <c r="O312" t="n">
        <v>1</v>
      </c>
      <c r="P312" t="n">
        <v>0</v>
      </c>
      <c r="Q312" t="n">
        <v>1</v>
      </c>
      <c r="R312" s="2" t="inlineStr">
        <is>
          <t>Motaggsvamp</t>
        </is>
      </c>
      <c r="S312">
        <f>HYPERLINK("https://klasma.github.io/Logging_0883/artfynd/A 43788-2023 artfynd.xlsx", "A 43788-2023")</f>
        <v/>
      </c>
      <c r="T312">
        <f>HYPERLINK("https://klasma.github.io/Logging_0883/kartor/A 43788-2023 karta.png", "A 43788-2023")</f>
        <v/>
      </c>
      <c r="V312">
        <f>HYPERLINK("https://klasma.github.io/Logging_0883/klagomål/A 43788-2023 FSC-klagomål.docx", "A 43788-2023")</f>
        <v/>
      </c>
      <c r="W312">
        <f>HYPERLINK("https://klasma.github.io/Logging_0883/klagomålsmail/A 43788-2023 FSC-klagomål mail.docx", "A 43788-2023")</f>
        <v/>
      </c>
      <c r="X312">
        <f>HYPERLINK("https://klasma.github.io/Logging_0883/tillsyn/A 43788-2023 tillsynsbegäran.docx", "A 43788-2023")</f>
        <v/>
      </c>
      <c r="Y312">
        <f>HYPERLINK("https://klasma.github.io/Logging_0883/tillsynsmail/A 43788-2023 tillsynsbegäran mail.docx", "A 43788-2023")</f>
        <v/>
      </c>
    </row>
    <row r="313" ht="15" customHeight="1">
      <c r="A313" t="inlineStr">
        <is>
          <t>A 46722-2023</t>
        </is>
      </c>
      <c r="B313" s="1" t="n">
        <v>45194</v>
      </c>
      <c r="C313" s="1" t="n">
        <v>45851</v>
      </c>
      <c r="D313" t="inlineStr">
        <is>
          <t>KALMAR LÄN</t>
        </is>
      </c>
      <c r="E313" t="inlineStr">
        <is>
          <t>VÄSTERVIK</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HYPERLINK("https://klasma.github.io/Logging_0883/artfynd/A 46722-2023 artfynd.xlsx", "A 46722-2023")</f>
        <v/>
      </c>
      <c r="T313">
        <f>HYPERLINK("https://klasma.github.io/Logging_0883/kartor/A 46722-2023 karta.png", "A 46722-2023")</f>
        <v/>
      </c>
      <c r="U313">
        <f>HYPERLINK("https://klasma.github.io/Logging_0883/knärot/A 46722-2023 karta knärot.png", "A 46722-2023")</f>
        <v/>
      </c>
      <c r="V313">
        <f>HYPERLINK("https://klasma.github.io/Logging_0883/klagomål/A 46722-2023 FSC-klagomål.docx", "A 46722-2023")</f>
        <v/>
      </c>
      <c r="W313">
        <f>HYPERLINK("https://klasma.github.io/Logging_0883/klagomålsmail/A 46722-2023 FSC-klagomål mail.docx", "A 46722-2023")</f>
        <v/>
      </c>
      <c r="X313">
        <f>HYPERLINK("https://klasma.github.io/Logging_0883/tillsyn/A 46722-2023 tillsynsbegäran.docx", "A 46722-2023")</f>
        <v/>
      </c>
      <c r="Y313">
        <f>HYPERLINK("https://klasma.github.io/Logging_0883/tillsynsmail/A 46722-2023 tillsynsbegäran mail.docx", "A 46722-2023")</f>
        <v/>
      </c>
    </row>
    <row r="314" ht="15" customHeight="1">
      <c r="A314" t="inlineStr">
        <is>
          <t>A 47112-2023</t>
        </is>
      </c>
      <c r="B314" s="1" t="n">
        <v>45201</v>
      </c>
      <c r="C314" s="1" t="n">
        <v>45851</v>
      </c>
      <c r="D314" t="inlineStr">
        <is>
          <t>KALMAR LÄN</t>
        </is>
      </c>
      <c r="E314" t="inlineStr">
        <is>
          <t>VÄSTERVIK</t>
        </is>
      </c>
      <c r="G314" t="n">
        <v>1</v>
      </c>
      <c r="H314" t="n">
        <v>0</v>
      </c>
      <c r="I314" t="n">
        <v>0</v>
      </c>
      <c r="J314" t="n">
        <v>1</v>
      </c>
      <c r="K314" t="n">
        <v>0</v>
      </c>
      <c r="L314" t="n">
        <v>0</v>
      </c>
      <c r="M314" t="n">
        <v>0</v>
      </c>
      <c r="N314" t="n">
        <v>0</v>
      </c>
      <c r="O314" t="n">
        <v>1</v>
      </c>
      <c r="P314" t="n">
        <v>0</v>
      </c>
      <c r="Q314" t="n">
        <v>1</v>
      </c>
      <c r="R314" s="2" t="inlineStr">
        <is>
          <t>Tallticka</t>
        </is>
      </c>
      <c r="S314">
        <f>HYPERLINK("https://klasma.github.io/Logging_0883/artfynd/A 47112-2023 artfynd.xlsx", "A 47112-2023")</f>
        <v/>
      </c>
      <c r="T314">
        <f>HYPERLINK("https://klasma.github.io/Logging_0883/kartor/A 47112-2023 karta.png", "A 47112-2023")</f>
        <v/>
      </c>
      <c r="V314">
        <f>HYPERLINK("https://klasma.github.io/Logging_0883/klagomål/A 47112-2023 FSC-klagomål.docx", "A 47112-2023")</f>
        <v/>
      </c>
      <c r="W314">
        <f>HYPERLINK("https://klasma.github.io/Logging_0883/klagomålsmail/A 47112-2023 FSC-klagomål mail.docx", "A 47112-2023")</f>
        <v/>
      </c>
      <c r="X314">
        <f>HYPERLINK("https://klasma.github.io/Logging_0883/tillsyn/A 47112-2023 tillsynsbegäran.docx", "A 47112-2023")</f>
        <v/>
      </c>
      <c r="Y314">
        <f>HYPERLINK("https://klasma.github.io/Logging_0883/tillsynsmail/A 47112-2023 tillsynsbegäran mail.docx", "A 47112-2023")</f>
        <v/>
      </c>
    </row>
    <row r="315" ht="15" customHeight="1">
      <c r="A315" t="inlineStr">
        <is>
          <t>A 49680-2023</t>
        </is>
      </c>
      <c r="B315" s="1" t="n">
        <v>45212</v>
      </c>
      <c r="C315" s="1" t="n">
        <v>45851</v>
      </c>
      <c r="D315" t="inlineStr">
        <is>
          <t>KALMAR LÄN</t>
        </is>
      </c>
      <c r="E315" t="inlineStr">
        <is>
          <t>VÄSTERVIK</t>
        </is>
      </c>
      <c r="G315" t="n">
        <v>3.3</v>
      </c>
      <c r="H315" t="n">
        <v>0</v>
      </c>
      <c r="I315" t="n">
        <v>0</v>
      </c>
      <c r="J315" t="n">
        <v>1</v>
      </c>
      <c r="K315" t="n">
        <v>0</v>
      </c>
      <c r="L315" t="n">
        <v>0</v>
      </c>
      <c r="M315" t="n">
        <v>0</v>
      </c>
      <c r="N315" t="n">
        <v>0</v>
      </c>
      <c r="O315" t="n">
        <v>1</v>
      </c>
      <c r="P315" t="n">
        <v>0</v>
      </c>
      <c r="Q315" t="n">
        <v>1</v>
      </c>
      <c r="R315" s="2" t="inlineStr">
        <is>
          <t>Skogsklocka</t>
        </is>
      </c>
      <c r="S315">
        <f>HYPERLINK("https://klasma.github.io/Logging_0883/artfynd/A 49680-2023 artfynd.xlsx", "A 49680-2023")</f>
        <v/>
      </c>
      <c r="T315">
        <f>HYPERLINK("https://klasma.github.io/Logging_0883/kartor/A 49680-2023 karta.png", "A 49680-2023")</f>
        <v/>
      </c>
      <c r="V315">
        <f>HYPERLINK("https://klasma.github.io/Logging_0883/klagomål/A 49680-2023 FSC-klagomål.docx", "A 49680-2023")</f>
        <v/>
      </c>
      <c r="W315">
        <f>HYPERLINK("https://klasma.github.io/Logging_0883/klagomålsmail/A 49680-2023 FSC-klagomål mail.docx", "A 49680-2023")</f>
        <v/>
      </c>
      <c r="X315">
        <f>HYPERLINK("https://klasma.github.io/Logging_0883/tillsyn/A 49680-2023 tillsynsbegäran.docx", "A 49680-2023")</f>
        <v/>
      </c>
      <c r="Y315">
        <f>HYPERLINK("https://klasma.github.io/Logging_0883/tillsynsmail/A 49680-2023 tillsynsbegäran mail.docx", "A 49680-2023")</f>
        <v/>
      </c>
    </row>
    <row r="316" ht="15" customHeight="1">
      <c r="A316" t="inlineStr">
        <is>
          <t>A 54272-2023</t>
        </is>
      </c>
      <c r="B316" s="1" t="n">
        <v>45232</v>
      </c>
      <c r="C316" s="1" t="n">
        <v>45851</v>
      </c>
      <c r="D316" t="inlineStr">
        <is>
          <t>KALMAR LÄN</t>
        </is>
      </c>
      <c r="E316" t="inlineStr">
        <is>
          <t>VÄSTERVIK</t>
        </is>
      </c>
      <c r="G316" t="n">
        <v>1</v>
      </c>
      <c r="H316" t="n">
        <v>0</v>
      </c>
      <c r="I316" t="n">
        <v>1</v>
      </c>
      <c r="J316" t="n">
        <v>0</v>
      </c>
      <c r="K316" t="n">
        <v>0</v>
      </c>
      <c r="L316" t="n">
        <v>0</v>
      </c>
      <c r="M316" t="n">
        <v>0</v>
      </c>
      <c r="N316" t="n">
        <v>0</v>
      </c>
      <c r="O316" t="n">
        <v>0</v>
      </c>
      <c r="P316" t="n">
        <v>0</v>
      </c>
      <c r="Q316" t="n">
        <v>1</v>
      </c>
      <c r="R316" s="2" t="inlineStr">
        <is>
          <t>Aprikosfingersvamp</t>
        </is>
      </c>
      <c r="S316">
        <f>HYPERLINK("https://klasma.github.io/Logging_0883/artfynd/A 54272-2023 artfynd.xlsx", "A 54272-2023")</f>
        <v/>
      </c>
      <c r="T316">
        <f>HYPERLINK("https://klasma.github.io/Logging_0883/kartor/A 54272-2023 karta.png", "A 54272-2023")</f>
        <v/>
      </c>
      <c r="V316">
        <f>HYPERLINK("https://klasma.github.io/Logging_0883/klagomål/A 54272-2023 FSC-klagomål.docx", "A 54272-2023")</f>
        <v/>
      </c>
      <c r="W316">
        <f>HYPERLINK("https://klasma.github.io/Logging_0883/klagomålsmail/A 54272-2023 FSC-klagomål mail.docx", "A 54272-2023")</f>
        <v/>
      </c>
      <c r="X316">
        <f>HYPERLINK("https://klasma.github.io/Logging_0883/tillsyn/A 54272-2023 tillsynsbegäran.docx", "A 54272-2023")</f>
        <v/>
      </c>
      <c r="Y316">
        <f>HYPERLINK("https://klasma.github.io/Logging_0883/tillsynsmail/A 54272-2023 tillsynsbegäran mail.docx", "A 54272-2023")</f>
        <v/>
      </c>
    </row>
    <row r="317" ht="15" customHeight="1">
      <c r="A317" t="inlineStr">
        <is>
          <t>A 55575-2023</t>
        </is>
      </c>
      <c r="B317" s="1" t="n">
        <v>45238</v>
      </c>
      <c r="C317" s="1" t="n">
        <v>45851</v>
      </c>
      <c r="D317" t="inlineStr">
        <is>
          <t>KALMAR LÄN</t>
        </is>
      </c>
      <c r="E317" t="inlineStr">
        <is>
          <t>VÄSTERVIK</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HYPERLINK("https://klasma.github.io/Logging_0883/artfynd/A 55575-2023 artfynd.xlsx", "A 55575-2023")</f>
        <v/>
      </c>
      <c r="T317">
        <f>HYPERLINK("https://klasma.github.io/Logging_0883/kartor/A 55575-2023 karta.png", "A 55575-2023")</f>
        <v/>
      </c>
      <c r="U317">
        <f>HYPERLINK("https://klasma.github.io/Logging_0883/knärot/A 55575-2023 karta knärot.png", "A 55575-2023")</f>
        <v/>
      </c>
      <c r="V317">
        <f>HYPERLINK("https://klasma.github.io/Logging_0883/klagomål/A 55575-2023 FSC-klagomål.docx", "A 55575-2023")</f>
        <v/>
      </c>
      <c r="W317">
        <f>HYPERLINK("https://klasma.github.io/Logging_0883/klagomålsmail/A 55575-2023 FSC-klagomål mail.docx", "A 55575-2023")</f>
        <v/>
      </c>
      <c r="X317">
        <f>HYPERLINK("https://klasma.github.io/Logging_0883/tillsyn/A 55575-2023 tillsynsbegäran.docx", "A 55575-2023")</f>
        <v/>
      </c>
      <c r="Y317">
        <f>HYPERLINK("https://klasma.github.io/Logging_0883/tillsynsmail/A 55575-2023 tillsynsbegäran mail.docx", "A 55575-2023")</f>
        <v/>
      </c>
    </row>
    <row r="318" ht="15" customHeight="1">
      <c r="A318" t="inlineStr">
        <is>
          <t>A 56186-2023</t>
        </is>
      </c>
      <c r="B318" s="1" t="n">
        <v>45240</v>
      </c>
      <c r="C318" s="1" t="n">
        <v>45851</v>
      </c>
      <c r="D318" t="inlineStr">
        <is>
          <t>KALMAR LÄN</t>
        </is>
      </c>
      <c r="E318" t="inlineStr">
        <is>
          <t>VÄSTERVIK</t>
        </is>
      </c>
      <c r="G318" t="n">
        <v>2.7</v>
      </c>
      <c r="H318" t="n">
        <v>0</v>
      </c>
      <c r="I318" t="n">
        <v>0</v>
      </c>
      <c r="J318" t="n">
        <v>1</v>
      </c>
      <c r="K318" t="n">
        <v>0</v>
      </c>
      <c r="L318" t="n">
        <v>0</v>
      </c>
      <c r="M318" t="n">
        <v>0</v>
      </c>
      <c r="N318" t="n">
        <v>0</v>
      </c>
      <c r="O318" t="n">
        <v>1</v>
      </c>
      <c r="P318" t="n">
        <v>0</v>
      </c>
      <c r="Q318" t="n">
        <v>1</v>
      </c>
      <c r="R318" s="2" t="inlineStr">
        <is>
          <t>Tallticka</t>
        </is>
      </c>
      <c r="S318">
        <f>HYPERLINK("https://klasma.github.io/Logging_0883/artfynd/A 56186-2023 artfynd.xlsx", "A 56186-2023")</f>
        <v/>
      </c>
      <c r="T318">
        <f>HYPERLINK("https://klasma.github.io/Logging_0883/kartor/A 56186-2023 karta.png", "A 56186-2023")</f>
        <v/>
      </c>
      <c r="V318">
        <f>HYPERLINK("https://klasma.github.io/Logging_0883/klagomål/A 56186-2023 FSC-klagomål.docx", "A 56186-2023")</f>
        <v/>
      </c>
      <c r="W318">
        <f>HYPERLINK("https://klasma.github.io/Logging_0883/klagomålsmail/A 56186-2023 FSC-klagomål mail.docx", "A 56186-2023")</f>
        <v/>
      </c>
      <c r="X318">
        <f>HYPERLINK("https://klasma.github.io/Logging_0883/tillsyn/A 56186-2023 tillsynsbegäran.docx", "A 56186-2023")</f>
        <v/>
      </c>
      <c r="Y318">
        <f>HYPERLINK("https://klasma.github.io/Logging_0883/tillsynsmail/A 56186-2023 tillsynsbegäran mail.docx", "A 56186-2023")</f>
        <v/>
      </c>
    </row>
    <row r="319" ht="15" customHeight="1">
      <c r="A319" t="inlineStr">
        <is>
          <t>A 59368-2023</t>
        </is>
      </c>
      <c r="B319" s="1" t="n">
        <v>45253</v>
      </c>
      <c r="C319" s="1" t="n">
        <v>45851</v>
      </c>
      <c r="D319" t="inlineStr">
        <is>
          <t>KALMAR LÄN</t>
        </is>
      </c>
      <c r="E319" t="inlineStr">
        <is>
          <t>VÄSTERVIK</t>
        </is>
      </c>
      <c r="G319" t="n">
        <v>2.4</v>
      </c>
      <c r="H319" t="n">
        <v>1</v>
      </c>
      <c r="I319" t="n">
        <v>0</v>
      </c>
      <c r="J319" t="n">
        <v>0</v>
      </c>
      <c r="K319" t="n">
        <v>1</v>
      </c>
      <c r="L319" t="n">
        <v>0</v>
      </c>
      <c r="M319" t="n">
        <v>0</v>
      </c>
      <c r="N319" t="n">
        <v>0</v>
      </c>
      <c r="O319" t="n">
        <v>1</v>
      </c>
      <c r="P319" t="n">
        <v>1</v>
      </c>
      <c r="Q319" t="n">
        <v>1</v>
      </c>
      <c r="R319" s="2" t="inlineStr">
        <is>
          <t>Knärot</t>
        </is>
      </c>
      <c r="S319">
        <f>HYPERLINK("https://klasma.github.io/Logging_0883/artfynd/A 59368-2023 artfynd.xlsx", "A 59368-2023")</f>
        <v/>
      </c>
      <c r="T319">
        <f>HYPERLINK("https://klasma.github.io/Logging_0883/kartor/A 59368-2023 karta.png", "A 59368-2023")</f>
        <v/>
      </c>
      <c r="U319">
        <f>HYPERLINK("https://klasma.github.io/Logging_0883/knärot/A 59368-2023 karta knärot.png", "A 59368-2023")</f>
        <v/>
      </c>
      <c r="V319">
        <f>HYPERLINK("https://klasma.github.io/Logging_0883/klagomål/A 59368-2023 FSC-klagomål.docx", "A 59368-2023")</f>
        <v/>
      </c>
      <c r="W319">
        <f>HYPERLINK("https://klasma.github.io/Logging_0883/klagomålsmail/A 59368-2023 FSC-klagomål mail.docx", "A 59368-2023")</f>
        <v/>
      </c>
      <c r="X319">
        <f>HYPERLINK("https://klasma.github.io/Logging_0883/tillsyn/A 59368-2023 tillsynsbegäran.docx", "A 59368-2023")</f>
        <v/>
      </c>
      <c r="Y319">
        <f>HYPERLINK("https://klasma.github.io/Logging_0883/tillsynsmail/A 59368-2023 tillsynsbegäran mail.docx", "A 59368-2023")</f>
        <v/>
      </c>
    </row>
    <row r="320" ht="15" customHeight="1">
      <c r="A320" t="inlineStr">
        <is>
          <t>A 60633-2023</t>
        </is>
      </c>
      <c r="B320" s="1" t="n">
        <v>45260</v>
      </c>
      <c r="C320" s="1" t="n">
        <v>45851</v>
      </c>
      <c r="D320" t="inlineStr">
        <is>
          <t>KALMAR LÄN</t>
        </is>
      </c>
      <c r="E320" t="inlineStr">
        <is>
          <t>VÄSTERVIK</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HYPERLINK("https://klasma.github.io/Logging_0883/artfynd/A 60633-2023 artfynd.xlsx", "A 60633-2023")</f>
        <v/>
      </c>
      <c r="T320">
        <f>HYPERLINK("https://klasma.github.io/Logging_0883/kartor/A 60633-2023 karta.png", "A 60633-2023")</f>
        <v/>
      </c>
      <c r="V320">
        <f>HYPERLINK("https://klasma.github.io/Logging_0883/klagomål/A 60633-2023 FSC-klagomål.docx", "A 60633-2023")</f>
        <v/>
      </c>
      <c r="W320">
        <f>HYPERLINK("https://klasma.github.io/Logging_0883/klagomålsmail/A 60633-2023 FSC-klagomål mail.docx", "A 60633-2023")</f>
        <v/>
      </c>
      <c r="X320">
        <f>HYPERLINK("https://klasma.github.io/Logging_0883/tillsyn/A 60633-2023 tillsynsbegäran.docx", "A 60633-2023")</f>
        <v/>
      </c>
      <c r="Y320">
        <f>HYPERLINK("https://klasma.github.io/Logging_0883/tillsynsmail/A 60633-2023 tillsynsbegäran mail.docx", "A 60633-2023")</f>
        <v/>
      </c>
      <c r="Z320">
        <f>HYPERLINK("https://klasma.github.io/Logging_0883/fåglar/A 60633-2023 prioriterade fågelarter.docx", "A 60633-2023")</f>
        <v/>
      </c>
    </row>
    <row r="321" ht="15" customHeight="1">
      <c r="A321" t="inlineStr">
        <is>
          <t>A 61806-2023</t>
        </is>
      </c>
      <c r="B321" s="1" t="n">
        <v>45266</v>
      </c>
      <c r="C321" s="1" t="n">
        <v>45851</v>
      </c>
      <c r="D321" t="inlineStr">
        <is>
          <t>KALMAR LÄN</t>
        </is>
      </c>
      <c r="E321" t="inlineStr">
        <is>
          <t>VÄSTERVIK</t>
        </is>
      </c>
      <c r="G321" t="n">
        <v>1.1</v>
      </c>
      <c r="H321" t="n">
        <v>0</v>
      </c>
      <c r="I321" t="n">
        <v>0</v>
      </c>
      <c r="J321" t="n">
        <v>1</v>
      </c>
      <c r="K321" t="n">
        <v>0</v>
      </c>
      <c r="L321" t="n">
        <v>0</v>
      </c>
      <c r="M321" t="n">
        <v>0</v>
      </c>
      <c r="N321" t="n">
        <v>0</v>
      </c>
      <c r="O321" t="n">
        <v>1</v>
      </c>
      <c r="P321" t="n">
        <v>0</v>
      </c>
      <c r="Q321" t="n">
        <v>1</v>
      </c>
      <c r="R321" s="2" t="inlineStr">
        <is>
          <t>Veckticka</t>
        </is>
      </c>
      <c r="S321">
        <f>HYPERLINK("https://klasma.github.io/Logging_0883/artfynd/A 61806-2023 artfynd.xlsx", "A 61806-2023")</f>
        <v/>
      </c>
      <c r="T321">
        <f>HYPERLINK("https://klasma.github.io/Logging_0883/kartor/A 61806-2023 karta.png", "A 61806-2023")</f>
        <v/>
      </c>
      <c r="V321">
        <f>HYPERLINK("https://klasma.github.io/Logging_0883/klagomål/A 61806-2023 FSC-klagomål.docx", "A 61806-2023")</f>
        <v/>
      </c>
      <c r="W321">
        <f>HYPERLINK("https://klasma.github.io/Logging_0883/klagomålsmail/A 61806-2023 FSC-klagomål mail.docx", "A 61806-2023")</f>
        <v/>
      </c>
      <c r="X321">
        <f>HYPERLINK("https://klasma.github.io/Logging_0883/tillsyn/A 61806-2023 tillsynsbegäran.docx", "A 61806-2023")</f>
        <v/>
      </c>
      <c r="Y321">
        <f>HYPERLINK("https://klasma.github.io/Logging_0883/tillsynsmail/A 61806-2023 tillsynsbegäran mail.docx", "A 61806-2023")</f>
        <v/>
      </c>
    </row>
    <row r="322" ht="15" customHeight="1">
      <c r="A322" t="inlineStr">
        <is>
          <t>A 1176-2024</t>
        </is>
      </c>
      <c r="B322" s="1" t="n">
        <v>45302</v>
      </c>
      <c r="C322" s="1" t="n">
        <v>45851</v>
      </c>
      <c r="D322" t="inlineStr">
        <is>
          <t>KALMAR LÄN</t>
        </is>
      </c>
      <c r="E322" t="inlineStr">
        <is>
          <t>VÄSTERVIK</t>
        </is>
      </c>
      <c r="G322" t="n">
        <v>2.5</v>
      </c>
      <c r="H322" t="n">
        <v>0</v>
      </c>
      <c r="I322" t="n">
        <v>0</v>
      </c>
      <c r="J322" t="n">
        <v>1</v>
      </c>
      <c r="K322" t="n">
        <v>0</v>
      </c>
      <c r="L322" t="n">
        <v>0</v>
      </c>
      <c r="M322" t="n">
        <v>0</v>
      </c>
      <c r="N322" t="n">
        <v>0</v>
      </c>
      <c r="O322" t="n">
        <v>1</v>
      </c>
      <c r="P322" t="n">
        <v>0</v>
      </c>
      <c r="Q322" t="n">
        <v>1</v>
      </c>
      <c r="R322" s="2" t="inlineStr">
        <is>
          <t>Tallticka</t>
        </is>
      </c>
      <c r="S322">
        <f>HYPERLINK("https://klasma.github.io/Logging_0883/artfynd/A 1176-2024 artfynd.xlsx", "A 1176-2024")</f>
        <v/>
      </c>
      <c r="T322">
        <f>HYPERLINK("https://klasma.github.io/Logging_0883/kartor/A 1176-2024 karta.png", "A 1176-2024")</f>
        <v/>
      </c>
      <c r="V322">
        <f>HYPERLINK("https://klasma.github.io/Logging_0883/klagomål/A 1176-2024 FSC-klagomål.docx", "A 1176-2024")</f>
        <v/>
      </c>
      <c r="W322">
        <f>HYPERLINK("https://klasma.github.io/Logging_0883/klagomålsmail/A 1176-2024 FSC-klagomål mail.docx", "A 1176-2024")</f>
        <v/>
      </c>
      <c r="X322">
        <f>HYPERLINK("https://klasma.github.io/Logging_0883/tillsyn/A 1176-2024 tillsynsbegäran.docx", "A 1176-2024")</f>
        <v/>
      </c>
      <c r="Y322">
        <f>HYPERLINK("https://klasma.github.io/Logging_0883/tillsynsmail/A 1176-2024 tillsynsbegäran mail.docx", "A 1176-2024")</f>
        <v/>
      </c>
    </row>
    <row r="323" ht="15" customHeight="1">
      <c r="A323" t="inlineStr">
        <is>
          <t>A 2804-2024</t>
        </is>
      </c>
      <c r="B323" s="1" t="n">
        <v>45314</v>
      </c>
      <c r="C323" s="1" t="n">
        <v>45851</v>
      </c>
      <c r="D323" t="inlineStr">
        <is>
          <t>KALMAR LÄN</t>
        </is>
      </c>
      <c r="E323" t="inlineStr">
        <is>
          <t>VÄSTERVIK</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HYPERLINK("https://klasma.github.io/Logging_0883/artfynd/A 2804-2024 artfynd.xlsx", "A 2804-2024")</f>
        <v/>
      </c>
      <c r="T323">
        <f>HYPERLINK("https://klasma.github.io/Logging_0883/kartor/A 2804-2024 karta.png", "A 2804-2024")</f>
        <v/>
      </c>
      <c r="U323">
        <f>HYPERLINK("https://klasma.github.io/Logging_0883/knärot/A 2804-2024 karta knärot.png", "A 2804-2024")</f>
        <v/>
      </c>
      <c r="V323">
        <f>HYPERLINK("https://klasma.github.io/Logging_0883/klagomål/A 2804-2024 FSC-klagomål.docx", "A 2804-2024")</f>
        <v/>
      </c>
      <c r="W323">
        <f>HYPERLINK("https://klasma.github.io/Logging_0883/klagomålsmail/A 2804-2024 FSC-klagomål mail.docx", "A 2804-2024")</f>
        <v/>
      </c>
      <c r="X323">
        <f>HYPERLINK("https://klasma.github.io/Logging_0883/tillsyn/A 2804-2024 tillsynsbegäran.docx", "A 2804-2024")</f>
        <v/>
      </c>
      <c r="Y323">
        <f>HYPERLINK("https://klasma.github.io/Logging_0883/tillsynsmail/A 2804-2024 tillsynsbegäran mail.docx", "A 2804-2024")</f>
        <v/>
      </c>
    </row>
    <row r="324" ht="15" customHeight="1">
      <c r="A324" t="inlineStr">
        <is>
          <t>A 6025-2024</t>
        </is>
      </c>
      <c r="B324" s="1" t="n">
        <v>45336</v>
      </c>
      <c r="C324" s="1" t="n">
        <v>45851</v>
      </c>
      <c r="D324" t="inlineStr">
        <is>
          <t>KALMAR LÄN</t>
        </is>
      </c>
      <c r="E324" t="inlineStr">
        <is>
          <t>VÄSTERVIK</t>
        </is>
      </c>
      <c r="G324" t="n">
        <v>2.8</v>
      </c>
      <c r="H324" t="n">
        <v>0</v>
      </c>
      <c r="I324" t="n">
        <v>0</v>
      </c>
      <c r="J324" t="n">
        <v>1</v>
      </c>
      <c r="K324" t="n">
        <v>0</v>
      </c>
      <c r="L324" t="n">
        <v>0</v>
      </c>
      <c r="M324" t="n">
        <v>0</v>
      </c>
      <c r="N324" t="n">
        <v>0</v>
      </c>
      <c r="O324" t="n">
        <v>1</v>
      </c>
      <c r="P324" t="n">
        <v>0</v>
      </c>
      <c r="Q324" t="n">
        <v>1</v>
      </c>
      <c r="R324" s="2" t="inlineStr">
        <is>
          <t>Tallticka</t>
        </is>
      </c>
      <c r="S324">
        <f>HYPERLINK("https://klasma.github.io/Logging_0883/artfynd/A 6025-2024 artfynd.xlsx", "A 6025-2024")</f>
        <v/>
      </c>
      <c r="T324">
        <f>HYPERLINK("https://klasma.github.io/Logging_0883/kartor/A 6025-2024 karta.png", "A 6025-2024")</f>
        <v/>
      </c>
      <c r="V324">
        <f>HYPERLINK("https://klasma.github.io/Logging_0883/klagomål/A 6025-2024 FSC-klagomål.docx", "A 6025-2024")</f>
        <v/>
      </c>
      <c r="W324">
        <f>HYPERLINK("https://klasma.github.io/Logging_0883/klagomålsmail/A 6025-2024 FSC-klagomål mail.docx", "A 6025-2024")</f>
        <v/>
      </c>
      <c r="X324">
        <f>HYPERLINK("https://klasma.github.io/Logging_0883/tillsyn/A 6025-2024 tillsynsbegäran.docx", "A 6025-2024")</f>
        <v/>
      </c>
      <c r="Y324">
        <f>HYPERLINK("https://klasma.github.io/Logging_0883/tillsynsmail/A 6025-2024 tillsynsbegäran mail.docx", "A 6025-2024")</f>
        <v/>
      </c>
    </row>
    <row r="325" ht="15" customHeight="1">
      <c r="A325" t="inlineStr">
        <is>
          <t>A 11165-2024</t>
        </is>
      </c>
      <c r="B325" s="1" t="n">
        <v>45371</v>
      </c>
      <c r="C325" s="1" t="n">
        <v>45851</v>
      </c>
      <c r="D325" t="inlineStr">
        <is>
          <t>KALMAR LÄN</t>
        </is>
      </c>
      <c r="E325" t="inlineStr">
        <is>
          <t>VÄSTERVIK</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HYPERLINK("https://klasma.github.io/Logging_0883/artfynd/A 11165-2024 artfynd.xlsx", "A 11165-2024")</f>
        <v/>
      </c>
      <c r="T325">
        <f>HYPERLINK("https://klasma.github.io/Logging_0883/kartor/A 11165-2024 karta.png", "A 11165-2024")</f>
        <v/>
      </c>
      <c r="V325">
        <f>HYPERLINK("https://klasma.github.io/Logging_0883/klagomål/A 11165-2024 FSC-klagomål.docx", "A 11165-2024")</f>
        <v/>
      </c>
      <c r="W325">
        <f>HYPERLINK("https://klasma.github.io/Logging_0883/klagomålsmail/A 11165-2024 FSC-klagomål mail.docx", "A 11165-2024")</f>
        <v/>
      </c>
      <c r="X325">
        <f>HYPERLINK("https://klasma.github.io/Logging_0883/tillsyn/A 11165-2024 tillsynsbegäran.docx", "A 11165-2024")</f>
        <v/>
      </c>
      <c r="Y325">
        <f>HYPERLINK("https://klasma.github.io/Logging_0883/tillsynsmail/A 11165-2024 tillsynsbegäran mail.docx", "A 11165-2024")</f>
        <v/>
      </c>
      <c r="Z325">
        <f>HYPERLINK("https://klasma.github.io/Logging_0883/fåglar/A 11165-2024 prioriterade fågelarter.docx", "A 11165-2024")</f>
        <v/>
      </c>
    </row>
    <row r="326" ht="15" customHeight="1">
      <c r="A326" t="inlineStr">
        <is>
          <t>A 11195-2024</t>
        </is>
      </c>
      <c r="B326" s="1" t="n">
        <v>45371</v>
      </c>
      <c r="C326" s="1" t="n">
        <v>45851</v>
      </c>
      <c r="D326" t="inlineStr">
        <is>
          <t>KALMAR LÄN</t>
        </is>
      </c>
      <c r="E326" t="inlineStr">
        <is>
          <t>VÄSTERVIK</t>
        </is>
      </c>
      <c r="G326" t="n">
        <v>1.9</v>
      </c>
      <c r="H326" t="n">
        <v>1</v>
      </c>
      <c r="I326" t="n">
        <v>0</v>
      </c>
      <c r="J326" t="n">
        <v>0</v>
      </c>
      <c r="K326" t="n">
        <v>1</v>
      </c>
      <c r="L326" t="n">
        <v>0</v>
      </c>
      <c r="M326" t="n">
        <v>0</v>
      </c>
      <c r="N326" t="n">
        <v>0</v>
      </c>
      <c r="O326" t="n">
        <v>1</v>
      </c>
      <c r="P326" t="n">
        <v>1</v>
      </c>
      <c r="Q326" t="n">
        <v>1</v>
      </c>
      <c r="R326" s="2" t="inlineStr">
        <is>
          <t>Knärot</t>
        </is>
      </c>
      <c r="S326">
        <f>HYPERLINK("https://klasma.github.io/Logging_0883/artfynd/A 11195-2024 artfynd.xlsx", "A 11195-2024")</f>
        <v/>
      </c>
      <c r="T326">
        <f>HYPERLINK("https://klasma.github.io/Logging_0883/kartor/A 11195-2024 karta.png", "A 11195-2024")</f>
        <v/>
      </c>
      <c r="U326">
        <f>HYPERLINK("https://klasma.github.io/Logging_0883/knärot/A 11195-2024 karta knärot.png", "A 11195-2024")</f>
        <v/>
      </c>
      <c r="V326">
        <f>HYPERLINK("https://klasma.github.io/Logging_0883/klagomål/A 11195-2024 FSC-klagomål.docx", "A 11195-2024")</f>
        <v/>
      </c>
      <c r="W326">
        <f>HYPERLINK("https://klasma.github.io/Logging_0883/klagomålsmail/A 11195-2024 FSC-klagomål mail.docx", "A 11195-2024")</f>
        <v/>
      </c>
      <c r="X326">
        <f>HYPERLINK("https://klasma.github.io/Logging_0883/tillsyn/A 11195-2024 tillsynsbegäran.docx", "A 11195-2024")</f>
        <v/>
      </c>
      <c r="Y326">
        <f>HYPERLINK("https://klasma.github.io/Logging_0883/tillsynsmail/A 11195-2024 tillsynsbegäran mail.docx", "A 11195-2024")</f>
        <v/>
      </c>
    </row>
    <row r="327" ht="15" customHeight="1">
      <c r="A327" t="inlineStr">
        <is>
          <t>A 13745-2024</t>
        </is>
      </c>
      <c r="B327" s="1" t="n">
        <v>45390</v>
      </c>
      <c r="C327" s="1" t="n">
        <v>45851</v>
      </c>
      <c r="D327" t="inlineStr">
        <is>
          <t>KALMAR LÄN</t>
        </is>
      </c>
      <c r="E327" t="inlineStr">
        <is>
          <t>VÄSTERVIK</t>
        </is>
      </c>
      <c r="F327" t="inlineStr">
        <is>
          <t>Sveaskog</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HYPERLINK("https://klasma.github.io/Logging_0883/artfynd/A 13745-2024 artfynd.xlsx", "A 13745-2024")</f>
        <v/>
      </c>
      <c r="T327">
        <f>HYPERLINK("https://klasma.github.io/Logging_0883/kartor/A 13745-2024 karta.png", "A 13745-2024")</f>
        <v/>
      </c>
      <c r="U327">
        <f>HYPERLINK("https://klasma.github.io/Logging_0883/knärot/A 13745-2024 karta knärot.png", "A 13745-2024")</f>
        <v/>
      </c>
      <c r="V327">
        <f>HYPERLINK("https://klasma.github.io/Logging_0883/klagomål/A 13745-2024 FSC-klagomål.docx", "A 13745-2024")</f>
        <v/>
      </c>
      <c r="W327">
        <f>HYPERLINK("https://klasma.github.io/Logging_0883/klagomålsmail/A 13745-2024 FSC-klagomål mail.docx", "A 13745-2024")</f>
        <v/>
      </c>
      <c r="X327">
        <f>HYPERLINK("https://klasma.github.io/Logging_0883/tillsyn/A 13745-2024 tillsynsbegäran.docx", "A 13745-2024")</f>
        <v/>
      </c>
      <c r="Y327">
        <f>HYPERLINK("https://klasma.github.io/Logging_0883/tillsynsmail/A 13745-2024 tillsynsbegäran mail.docx", "A 13745-2024")</f>
        <v/>
      </c>
      <c r="Z327">
        <f>HYPERLINK("https://klasma.github.io/Logging_0883/fåglar/A 13745-2024 prioriterade fågelarter.docx", "A 13745-2024")</f>
        <v/>
      </c>
    </row>
    <row r="328" ht="15" customHeight="1">
      <c r="A328" t="inlineStr">
        <is>
          <t>A 14231-2024</t>
        </is>
      </c>
      <c r="B328" s="1" t="n">
        <v>45393</v>
      </c>
      <c r="C328" s="1" t="n">
        <v>45851</v>
      </c>
      <c r="D328" t="inlineStr">
        <is>
          <t>KALMAR LÄN</t>
        </is>
      </c>
      <c r="E328" t="inlineStr">
        <is>
          <t>VÄSTERVIK</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HYPERLINK("https://klasma.github.io/Logging_0883/artfynd/A 14231-2024 artfynd.xlsx", "A 14231-2024")</f>
        <v/>
      </c>
      <c r="T328">
        <f>HYPERLINK("https://klasma.github.io/Logging_0883/kartor/A 14231-2024 karta.png", "A 14231-2024")</f>
        <v/>
      </c>
      <c r="U328">
        <f>HYPERLINK("https://klasma.github.io/Logging_0883/knärot/A 14231-2024 karta knärot.png", "A 14231-2024")</f>
        <v/>
      </c>
      <c r="V328">
        <f>HYPERLINK("https://klasma.github.io/Logging_0883/klagomål/A 14231-2024 FSC-klagomål.docx", "A 14231-2024")</f>
        <v/>
      </c>
      <c r="W328">
        <f>HYPERLINK("https://klasma.github.io/Logging_0883/klagomålsmail/A 14231-2024 FSC-klagomål mail.docx", "A 14231-2024")</f>
        <v/>
      </c>
      <c r="X328">
        <f>HYPERLINK("https://klasma.github.io/Logging_0883/tillsyn/A 14231-2024 tillsynsbegäran.docx", "A 14231-2024")</f>
        <v/>
      </c>
      <c r="Y328">
        <f>HYPERLINK("https://klasma.github.io/Logging_0883/tillsynsmail/A 14231-2024 tillsynsbegäran mail.docx", "A 14231-2024")</f>
        <v/>
      </c>
    </row>
    <row r="329" ht="15" customHeight="1">
      <c r="A329" t="inlineStr">
        <is>
          <t>A 16406-2024</t>
        </is>
      </c>
      <c r="B329" s="1" t="n">
        <v>45407</v>
      </c>
      <c r="C329" s="1" t="n">
        <v>45851</v>
      </c>
      <c r="D329" t="inlineStr">
        <is>
          <t>KALMAR LÄN</t>
        </is>
      </c>
      <c r="E329" t="inlineStr">
        <is>
          <t>VÄSTERVIK</t>
        </is>
      </c>
      <c r="F329" t="inlineStr">
        <is>
          <t>Holmen skog AB</t>
        </is>
      </c>
      <c r="G329" t="n">
        <v>4.9</v>
      </c>
      <c r="H329" t="n">
        <v>0</v>
      </c>
      <c r="I329" t="n">
        <v>1</v>
      </c>
      <c r="J329" t="n">
        <v>0</v>
      </c>
      <c r="K329" t="n">
        <v>0</v>
      </c>
      <c r="L329" t="n">
        <v>0</v>
      </c>
      <c r="M329" t="n">
        <v>0</v>
      </c>
      <c r="N329" t="n">
        <v>0</v>
      </c>
      <c r="O329" t="n">
        <v>0</v>
      </c>
      <c r="P329" t="n">
        <v>0</v>
      </c>
      <c r="Q329" t="n">
        <v>1</v>
      </c>
      <c r="R329" s="2" t="inlineStr">
        <is>
          <t>Tibast</t>
        </is>
      </c>
      <c r="S329">
        <f>HYPERLINK("https://klasma.github.io/Logging_0883/artfynd/A 16406-2024 artfynd.xlsx", "A 16406-2024")</f>
        <v/>
      </c>
      <c r="T329">
        <f>HYPERLINK("https://klasma.github.io/Logging_0883/kartor/A 16406-2024 karta.png", "A 16406-2024")</f>
        <v/>
      </c>
      <c r="V329">
        <f>HYPERLINK("https://klasma.github.io/Logging_0883/klagomål/A 16406-2024 FSC-klagomål.docx", "A 16406-2024")</f>
        <v/>
      </c>
      <c r="W329">
        <f>HYPERLINK("https://klasma.github.io/Logging_0883/klagomålsmail/A 16406-2024 FSC-klagomål mail.docx", "A 16406-2024")</f>
        <v/>
      </c>
      <c r="X329">
        <f>HYPERLINK("https://klasma.github.io/Logging_0883/tillsyn/A 16406-2024 tillsynsbegäran.docx", "A 16406-2024")</f>
        <v/>
      </c>
      <c r="Y329">
        <f>HYPERLINK("https://klasma.github.io/Logging_0883/tillsynsmail/A 16406-2024 tillsynsbegäran mail.docx", "A 16406-2024")</f>
        <v/>
      </c>
    </row>
    <row r="330" ht="15" customHeight="1">
      <c r="A330" t="inlineStr">
        <is>
          <t>A 17424-2024</t>
        </is>
      </c>
      <c r="B330" s="1" t="n">
        <v>45415</v>
      </c>
      <c r="C330" s="1" t="n">
        <v>45851</v>
      </c>
      <c r="D330" t="inlineStr">
        <is>
          <t>KALMAR LÄN</t>
        </is>
      </c>
      <c r="E330" t="inlineStr">
        <is>
          <t>VÄSTERVIK</t>
        </is>
      </c>
      <c r="F330" t="inlineStr">
        <is>
          <t>Sveaskog</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HYPERLINK("https://klasma.github.io/Logging_0883/artfynd/A 17424-2024 artfynd.xlsx", "A 17424-2024")</f>
        <v/>
      </c>
      <c r="T330">
        <f>HYPERLINK("https://klasma.github.io/Logging_0883/kartor/A 17424-2024 karta.png", "A 17424-2024")</f>
        <v/>
      </c>
      <c r="V330">
        <f>HYPERLINK("https://klasma.github.io/Logging_0883/klagomål/A 17424-2024 FSC-klagomål.docx", "A 17424-2024")</f>
        <v/>
      </c>
      <c r="W330">
        <f>HYPERLINK("https://klasma.github.io/Logging_0883/klagomålsmail/A 17424-2024 FSC-klagomål mail.docx", "A 17424-2024")</f>
        <v/>
      </c>
      <c r="X330">
        <f>HYPERLINK("https://klasma.github.io/Logging_0883/tillsyn/A 17424-2024 tillsynsbegäran.docx", "A 17424-2024")</f>
        <v/>
      </c>
      <c r="Y330">
        <f>HYPERLINK("https://klasma.github.io/Logging_0883/tillsynsmail/A 17424-2024 tillsynsbegäran mail.docx", "A 17424-2024")</f>
        <v/>
      </c>
    </row>
    <row r="331" ht="15" customHeight="1">
      <c r="A331" t="inlineStr">
        <is>
          <t>A 18396-2024</t>
        </is>
      </c>
      <c r="B331" s="1" t="n">
        <v>45425</v>
      </c>
      <c r="C331" s="1" t="n">
        <v>45851</v>
      </c>
      <c r="D331" t="inlineStr">
        <is>
          <t>KALMAR LÄN</t>
        </is>
      </c>
      <c r="E331" t="inlineStr">
        <is>
          <t>VÄSTERVIK</t>
        </is>
      </c>
      <c r="F331" t="inlineStr">
        <is>
          <t>Holmen skog AB</t>
        </is>
      </c>
      <c r="G331" t="n">
        <v>3.5</v>
      </c>
      <c r="H331" t="n">
        <v>0</v>
      </c>
      <c r="I331" t="n">
        <v>1</v>
      </c>
      <c r="J331" t="n">
        <v>0</v>
      </c>
      <c r="K331" t="n">
        <v>0</v>
      </c>
      <c r="L331" t="n">
        <v>0</v>
      </c>
      <c r="M331" t="n">
        <v>0</v>
      </c>
      <c r="N331" t="n">
        <v>0</v>
      </c>
      <c r="O331" t="n">
        <v>0</v>
      </c>
      <c r="P331" t="n">
        <v>0</v>
      </c>
      <c r="Q331" t="n">
        <v>1</v>
      </c>
      <c r="R331" s="2" t="inlineStr">
        <is>
          <t>Blåmossa</t>
        </is>
      </c>
      <c r="S331">
        <f>HYPERLINK("https://klasma.github.io/Logging_0883/artfynd/A 18396-2024 artfynd.xlsx", "A 18396-2024")</f>
        <v/>
      </c>
      <c r="T331">
        <f>HYPERLINK("https://klasma.github.io/Logging_0883/kartor/A 18396-2024 karta.png", "A 18396-2024")</f>
        <v/>
      </c>
      <c r="V331">
        <f>HYPERLINK("https://klasma.github.io/Logging_0883/klagomål/A 18396-2024 FSC-klagomål.docx", "A 18396-2024")</f>
        <v/>
      </c>
      <c r="W331">
        <f>HYPERLINK("https://klasma.github.io/Logging_0883/klagomålsmail/A 18396-2024 FSC-klagomål mail.docx", "A 18396-2024")</f>
        <v/>
      </c>
      <c r="X331">
        <f>HYPERLINK("https://klasma.github.io/Logging_0883/tillsyn/A 18396-2024 tillsynsbegäran.docx", "A 18396-2024")</f>
        <v/>
      </c>
      <c r="Y331">
        <f>HYPERLINK("https://klasma.github.io/Logging_0883/tillsynsmail/A 18396-2024 tillsynsbegäran mail.docx", "A 18396-2024")</f>
        <v/>
      </c>
    </row>
    <row r="332" ht="15" customHeight="1">
      <c r="A332" t="inlineStr">
        <is>
          <t>A 22885-2024</t>
        </is>
      </c>
      <c r="B332" s="1" t="n">
        <v>45448</v>
      </c>
      <c r="C332" s="1" t="n">
        <v>45851</v>
      </c>
      <c r="D332" t="inlineStr">
        <is>
          <t>KALMAR LÄN</t>
        </is>
      </c>
      <c r="E332" t="inlineStr">
        <is>
          <t>VÄSTERVIK</t>
        </is>
      </c>
      <c r="G332" t="n">
        <v>7.1</v>
      </c>
      <c r="H332" t="n">
        <v>0</v>
      </c>
      <c r="I332" t="n">
        <v>0</v>
      </c>
      <c r="J332" t="n">
        <v>1</v>
      </c>
      <c r="K332" t="n">
        <v>0</v>
      </c>
      <c r="L332" t="n">
        <v>0</v>
      </c>
      <c r="M332" t="n">
        <v>0</v>
      </c>
      <c r="N332" t="n">
        <v>0</v>
      </c>
      <c r="O332" t="n">
        <v>1</v>
      </c>
      <c r="P332" t="n">
        <v>0</v>
      </c>
      <c r="Q332" t="n">
        <v>1</v>
      </c>
      <c r="R332" s="2" t="inlineStr">
        <is>
          <t>Tallticka</t>
        </is>
      </c>
      <c r="S332">
        <f>HYPERLINK("https://klasma.github.io/Logging_0883/artfynd/A 22885-2024 artfynd.xlsx", "A 22885-2024")</f>
        <v/>
      </c>
      <c r="T332">
        <f>HYPERLINK("https://klasma.github.io/Logging_0883/kartor/A 22885-2024 karta.png", "A 22885-2024")</f>
        <v/>
      </c>
      <c r="V332">
        <f>HYPERLINK("https://klasma.github.io/Logging_0883/klagomål/A 22885-2024 FSC-klagomål.docx", "A 22885-2024")</f>
        <v/>
      </c>
      <c r="W332">
        <f>HYPERLINK("https://klasma.github.io/Logging_0883/klagomålsmail/A 22885-2024 FSC-klagomål mail.docx", "A 22885-2024")</f>
        <v/>
      </c>
      <c r="X332">
        <f>HYPERLINK("https://klasma.github.io/Logging_0883/tillsyn/A 22885-2024 tillsynsbegäran.docx", "A 22885-2024")</f>
        <v/>
      </c>
      <c r="Y332">
        <f>HYPERLINK("https://klasma.github.io/Logging_0883/tillsynsmail/A 22885-2024 tillsynsbegäran mail.docx", "A 22885-2024")</f>
        <v/>
      </c>
    </row>
    <row r="333" ht="15" customHeight="1">
      <c r="A333" t="inlineStr">
        <is>
          <t>A 27708-2024</t>
        </is>
      </c>
      <c r="B333" s="1" t="n">
        <v>45475</v>
      </c>
      <c r="C333" s="1" t="n">
        <v>45851</v>
      </c>
      <c r="D333" t="inlineStr">
        <is>
          <t>KALMAR LÄN</t>
        </is>
      </c>
      <c r="E333" t="inlineStr">
        <is>
          <t>VÄSTERVIK</t>
        </is>
      </c>
      <c r="F333" t="inlineStr">
        <is>
          <t>Holmen skog AB</t>
        </is>
      </c>
      <c r="G333" t="n">
        <v>1.7</v>
      </c>
      <c r="H333" t="n">
        <v>1</v>
      </c>
      <c r="I333" t="n">
        <v>0</v>
      </c>
      <c r="J333" t="n">
        <v>1</v>
      </c>
      <c r="K333" t="n">
        <v>0</v>
      </c>
      <c r="L333" t="n">
        <v>0</v>
      </c>
      <c r="M333" t="n">
        <v>0</v>
      </c>
      <c r="N333" t="n">
        <v>0</v>
      </c>
      <c r="O333" t="n">
        <v>1</v>
      </c>
      <c r="P333" t="n">
        <v>0</v>
      </c>
      <c r="Q333" t="n">
        <v>1</v>
      </c>
      <c r="R333" s="2" t="inlineStr">
        <is>
          <t>Spillkråka</t>
        </is>
      </c>
      <c r="S333">
        <f>HYPERLINK("https://klasma.github.io/Logging_0883/artfynd/A 27708-2024 artfynd.xlsx", "A 27708-2024")</f>
        <v/>
      </c>
      <c r="T333">
        <f>HYPERLINK("https://klasma.github.io/Logging_0883/kartor/A 27708-2024 karta.png", "A 27708-2024")</f>
        <v/>
      </c>
      <c r="V333">
        <f>HYPERLINK("https://klasma.github.io/Logging_0883/klagomål/A 27708-2024 FSC-klagomål.docx", "A 27708-2024")</f>
        <v/>
      </c>
      <c r="W333">
        <f>HYPERLINK("https://klasma.github.io/Logging_0883/klagomålsmail/A 27708-2024 FSC-klagomål mail.docx", "A 27708-2024")</f>
        <v/>
      </c>
      <c r="X333">
        <f>HYPERLINK("https://klasma.github.io/Logging_0883/tillsyn/A 27708-2024 tillsynsbegäran.docx", "A 27708-2024")</f>
        <v/>
      </c>
      <c r="Y333">
        <f>HYPERLINK("https://klasma.github.io/Logging_0883/tillsynsmail/A 27708-2024 tillsynsbegäran mail.docx", "A 27708-2024")</f>
        <v/>
      </c>
      <c r="Z333">
        <f>HYPERLINK("https://klasma.github.io/Logging_0883/fåglar/A 27708-2024 prioriterade fågelarter.docx", "A 27708-2024")</f>
        <v/>
      </c>
    </row>
    <row r="334" ht="15" customHeight="1">
      <c r="A334" t="inlineStr">
        <is>
          <t>A 29398-2024</t>
        </is>
      </c>
      <c r="B334" s="1" t="n">
        <v>45483</v>
      </c>
      <c r="C334" s="1" t="n">
        <v>45851</v>
      </c>
      <c r="D334" t="inlineStr">
        <is>
          <t>KALMAR LÄN</t>
        </is>
      </c>
      <c r="E334" t="inlineStr">
        <is>
          <t>VÄSTERVIK</t>
        </is>
      </c>
      <c r="G334" t="n">
        <v>2.7</v>
      </c>
      <c r="H334" t="n">
        <v>0</v>
      </c>
      <c r="I334" t="n">
        <v>0</v>
      </c>
      <c r="J334" t="n">
        <v>1</v>
      </c>
      <c r="K334" t="n">
        <v>0</v>
      </c>
      <c r="L334" t="n">
        <v>0</v>
      </c>
      <c r="M334" t="n">
        <v>0</v>
      </c>
      <c r="N334" t="n">
        <v>0</v>
      </c>
      <c r="O334" t="n">
        <v>1</v>
      </c>
      <c r="P334" t="n">
        <v>0</v>
      </c>
      <c r="Q334" t="n">
        <v>1</v>
      </c>
      <c r="R334" s="2" t="inlineStr">
        <is>
          <t>Skogsklocka</t>
        </is>
      </c>
      <c r="S334">
        <f>HYPERLINK("https://klasma.github.io/Logging_0883/artfynd/A 29398-2024 artfynd.xlsx", "A 29398-2024")</f>
        <v/>
      </c>
      <c r="T334">
        <f>HYPERLINK("https://klasma.github.io/Logging_0883/kartor/A 29398-2024 karta.png", "A 29398-2024")</f>
        <v/>
      </c>
      <c r="V334">
        <f>HYPERLINK("https://klasma.github.io/Logging_0883/klagomål/A 29398-2024 FSC-klagomål.docx", "A 29398-2024")</f>
        <v/>
      </c>
      <c r="W334">
        <f>HYPERLINK("https://klasma.github.io/Logging_0883/klagomålsmail/A 29398-2024 FSC-klagomål mail.docx", "A 29398-2024")</f>
        <v/>
      </c>
      <c r="X334">
        <f>HYPERLINK("https://klasma.github.io/Logging_0883/tillsyn/A 29398-2024 tillsynsbegäran.docx", "A 29398-2024")</f>
        <v/>
      </c>
      <c r="Y334">
        <f>HYPERLINK("https://klasma.github.io/Logging_0883/tillsynsmail/A 29398-2024 tillsynsbegäran mail.docx", "A 29398-2024")</f>
        <v/>
      </c>
    </row>
    <row r="335" ht="15" customHeight="1">
      <c r="A335" t="inlineStr">
        <is>
          <t>A 30386-2024</t>
        </is>
      </c>
      <c r="B335" s="1" t="n">
        <v>45491</v>
      </c>
      <c r="C335" s="1" t="n">
        <v>45851</v>
      </c>
      <c r="D335" t="inlineStr">
        <is>
          <t>KALMAR LÄN</t>
        </is>
      </c>
      <c r="E335" t="inlineStr">
        <is>
          <t>VÄSTERVIK</t>
        </is>
      </c>
      <c r="F335" t="inlineStr">
        <is>
          <t>Holmen skog AB</t>
        </is>
      </c>
      <c r="G335" t="n">
        <v>3.7</v>
      </c>
      <c r="H335" t="n">
        <v>0</v>
      </c>
      <c r="I335" t="n">
        <v>0</v>
      </c>
      <c r="J335" t="n">
        <v>1</v>
      </c>
      <c r="K335" t="n">
        <v>0</v>
      </c>
      <c r="L335" t="n">
        <v>0</v>
      </c>
      <c r="M335" t="n">
        <v>0</v>
      </c>
      <c r="N335" t="n">
        <v>0</v>
      </c>
      <c r="O335" t="n">
        <v>1</v>
      </c>
      <c r="P335" t="n">
        <v>0</v>
      </c>
      <c r="Q335" t="n">
        <v>1</v>
      </c>
      <c r="R335" s="2" t="inlineStr">
        <is>
          <t>Svedjenäva</t>
        </is>
      </c>
      <c r="S335">
        <f>HYPERLINK("https://klasma.github.io/Logging_0883/artfynd/A 30386-2024 artfynd.xlsx", "A 30386-2024")</f>
        <v/>
      </c>
      <c r="T335">
        <f>HYPERLINK("https://klasma.github.io/Logging_0883/kartor/A 30386-2024 karta.png", "A 30386-2024")</f>
        <v/>
      </c>
      <c r="V335">
        <f>HYPERLINK("https://klasma.github.io/Logging_0883/klagomål/A 30386-2024 FSC-klagomål.docx", "A 30386-2024")</f>
        <v/>
      </c>
      <c r="W335">
        <f>HYPERLINK("https://klasma.github.io/Logging_0883/klagomålsmail/A 30386-2024 FSC-klagomål mail.docx", "A 30386-2024")</f>
        <v/>
      </c>
      <c r="X335">
        <f>HYPERLINK("https://klasma.github.io/Logging_0883/tillsyn/A 30386-2024 tillsynsbegäran.docx", "A 30386-2024")</f>
        <v/>
      </c>
      <c r="Y335">
        <f>HYPERLINK("https://klasma.github.io/Logging_0883/tillsynsmail/A 30386-2024 tillsynsbegäran mail.docx", "A 30386-2024")</f>
        <v/>
      </c>
    </row>
    <row r="336" ht="15" customHeight="1">
      <c r="A336" t="inlineStr">
        <is>
          <t>A 34357-2024</t>
        </is>
      </c>
      <c r="B336" s="1" t="n">
        <v>45525</v>
      </c>
      <c r="C336" s="1" t="n">
        <v>45851</v>
      </c>
      <c r="D336" t="inlineStr">
        <is>
          <t>KALMAR LÄN</t>
        </is>
      </c>
      <c r="E336" t="inlineStr">
        <is>
          <t>VÄSTERVIK</t>
        </is>
      </c>
      <c r="F336" t="inlineStr">
        <is>
          <t>Övriga Aktiebolag</t>
        </is>
      </c>
      <c r="G336" t="n">
        <v>14</v>
      </c>
      <c r="H336" t="n">
        <v>1</v>
      </c>
      <c r="I336" t="n">
        <v>0</v>
      </c>
      <c r="J336" t="n">
        <v>1</v>
      </c>
      <c r="K336" t="n">
        <v>0</v>
      </c>
      <c r="L336" t="n">
        <v>0</v>
      </c>
      <c r="M336" t="n">
        <v>0</v>
      </c>
      <c r="N336" t="n">
        <v>0</v>
      </c>
      <c r="O336" t="n">
        <v>1</v>
      </c>
      <c r="P336" t="n">
        <v>0</v>
      </c>
      <c r="Q336" t="n">
        <v>1</v>
      </c>
      <c r="R336" s="2" t="inlineStr">
        <is>
          <t>Havsörn</t>
        </is>
      </c>
      <c r="S336">
        <f>HYPERLINK("https://klasma.github.io/Logging_0883/artfynd/A 34357-2024 artfynd.xlsx", "A 34357-2024")</f>
        <v/>
      </c>
      <c r="T336">
        <f>HYPERLINK("https://klasma.github.io/Logging_0883/kartor/A 34357-2024 karta.png", "A 34357-2024")</f>
        <v/>
      </c>
      <c r="V336">
        <f>HYPERLINK("https://klasma.github.io/Logging_0883/klagomål/A 34357-2024 FSC-klagomål.docx", "A 34357-2024")</f>
        <v/>
      </c>
      <c r="W336">
        <f>HYPERLINK("https://klasma.github.io/Logging_0883/klagomålsmail/A 34357-2024 FSC-klagomål mail.docx", "A 34357-2024")</f>
        <v/>
      </c>
      <c r="X336">
        <f>HYPERLINK("https://klasma.github.io/Logging_0883/tillsyn/A 34357-2024 tillsynsbegäran.docx", "A 34357-2024")</f>
        <v/>
      </c>
      <c r="Y336">
        <f>HYPERLINK("https://klasma.github.io/Logging_0883/tillsynsmail/A 34357-2024 tillsynsbegäran mail.docx", "A 34357-2024")</f>
        <v/>
      </c>
      <c r="Z336">
        <f>HYPERLINK("https://klasma.github.io/Logging_0883/fåglar/A 34357-2024 prioriterade fågelarter.docx", "A 34357-2024")</f>
        <v/>
      </c>
    </row>
    <row r="337" ht="15" customHeight="1">
      <c r="A337" t="inlineStr">
        <is>
          <t>A 35028-2024</t>
        </is>
      </c>
      <c r="B337" s="1" t="n">
        <v>45527</v>
      </c>
      <c r="C337" s="1" t="n">
        <v>45851</v>
      </c>
      <c r="D337" t="inlineStr">
        <is>
          <t>KALMAR LÄN</t>
        </is>
      </c>
      <c r="E337" t="inlineStr">
        <is>
          <t>VÄSTERVIK</t>
        </is>
      </c>
      <c r="G337" t="n">
        <v>1.3</v>
      </c>
      <c r="H337" t="n">
        <v>0</v>
      </c>
      <c r="I337" t="n">
        <v>1</v>
      </c>
      <c r="J337" t="n">
        <v>0</v>
      </c>
      <c r="K337" t="n">
        <v>0</v>
      </c>
      <c r="L337" t="n">
        <v>0</v>
      </c>
      <c r="M337" t="n">
        <v>0</v>
      </c>
      <c r="N337" t="n">
        <v>0</v>
      </c>
      <c r="O337" t="n">
        <v>0</v>
      </c>
      <c r="P337" t="n">
        <v>0</v>
      </c>
      <c r="Q337" t="n">
        <v>1</v>
      </c>
      <c r="R337" s="2" t="inlineStr">
        <is>
          <t>Blomkålssvamp</t>
        </is>
      </c>
      <c r="S337">
        <f>HYPERLINK("https://klasma.github.io/Logging_0883/artfynd/A 35028-2024 artfynd.xlsx", "A 35028-2024")</f>
        <v/>
      </c>
      <c r="T337">
        <f>HYPERLINK("https://klasma.github.io/Logging_0883/kartor/A 35028-2024 karta.png", "A 35028-2024")</f>
        <v/>
      </c>
      <c r="V337">
        <f>HYPERLINK("https://klasma.github.io/Logging_0883/klagomål/A 35028-2024 FSC-klagomål.docx", "A 35028-2024")</f>
        <v/>
      </c>
      <c r="W337">
        <f>HYPERLINK("https://klasma.github.io/Logging_0883/klagomålsmail/A 35028-2024 FSC-klagomål mail.docx", "A 35028-2024")</f>
        <v/>
      </c>
      <c r="X337">
        <f>HYPERLINK("https://klasma.github.io/Logging_0883/tillsyn/A 35028-2024 tillsynsbegäran.docx", "A 35028-2024")</f>
        <v/>
      </c>
      <c r="Y337">
        <f>HYPERLINK("https://klasma.github.io/Logging_0883/tillsynsmail/A 35028-2024 tillsynsbegäran mail.docx", "A 35028-2024")</f>
        <v/>
      </c>
    </row>
    <row r="338" ht="15" customHeight="1">
      <c r="A338" t="inlineStr">
        <is>
          <t>A 35959-2024</t>
        </is>
      </c>
      <c r="B338" s="1" t="n">
        <v>45533</v>
      </c>
      <c r="C338" s="1" t="n">
        <v>45851</v>
      </c>
      <c r="D338" t="inlineStr">
        <is>
          <t>KALMAR LÄN</t>
        </is>
      </c>
      <c r="E338" t="inlineStr">
        <is>
          <t>VÄSTERVIK</t>
        </is>
      </c>
      <c r="F338" t="inlineStr">
        <is>
          <t>Holmen skog AB</t>
        </is>
      </c>
      <c r="G338" t="n">
        <v>3.2</v>
      </c>
      <c r="H338" t="n">
        <v>0</v>
      </c>
      <c r="I338" t="n">
        <v>0</v>
      </c>
      <c r="J338" t="n">
        <v>1</v>
      </c>
      <c r="K338" t="n">
        <v>0</v>
      </c>
      <c r="L338" t="n">
        <v>0</v>
      </c>
      <c r="M338" t="n">
        <v>0</v>
      </c>
      <c r="N338" t="n">
        <v>0</v>
      </c>
      <c r="O338" t="n">
        <v>1</v>
      </c>
      <c r="P338" t="n">
        <v>0</v>
      </c>
      <c r="Q338" t="n">
        <v>1</v>
      </c>
      <c r="R338" s="2" t="inlineStr">
        <is>
          <t>Smalsprötad bastardsvärmare</t>
        </is>
      </c>
      <c r="S338">
        <f>HYPERLINK("https://klasma.github.io/Logging_0883/artfynd/A 35959-2024 artfynd.xlsx", "A 35959-2024")</f>
        <v/>
      </c>
      <c r="T338">
        <f>HYPERLINK("https://klasma.github.io/Logging_0883/kartor/A 35959-2024 karta.png", "A 35959-2024")</f>
        <v/>
      </c>
      <c r="V338">
        <f>HYPERLINK("https://klasma.github.io/Logging_0883/klagomål/A 35959-2024 FSC-klagomål.docx", "A 35959-2024")</f>
        <v/>
      </c>
      <c r="W338">
        <f>HYPERLINK("https://klasma.github.io/Logging_0883/klagomålsmail/A 35959-2024 FSC-klagomål mail.docx", "A 35959-2024")</f>
        <v/>
      </c>
      <c r="X338">
        <f>HYPERLINK("https://klasma.github.io/Logging_0883/tillsyn/A 35959-2024 tillsynsbegäran.docx", "A 35959-2024")</f>
        <v/>
      </c>
      <c r="Y338">
        <f>HYPERLINK("https://klasma.github.io/Logging_0883/tillsynsmail/A 35959-2024 tillsynsbegäran mail.docx", "A 35959-2024")</f>
        <v/>
      </c>
    </row>
    <row r="339" ht="15" customHeight="1">
      <c r="A339" t="inlineStr">
        <is>
          <t>A 42811-2024</t>
        </is>
      </c>
      <c r="B339" s="1" t="n">
        <v>45566</v>
      </c>
      <c r="C339" s="1" t="n">
        <v>45851</v>
      </c>
      <c r="D339" t="inlineStr">
        <is>
          <t>KALMAR LÄN</t>
        </is>
      </c>
      <c r="E339" t="inlineStr">
        <is>
          <t>VÄSTERVIK</t>
        </is>
      </c>
      <c r="G339" t="n">
        <v>4.4</v>
      </c>
      <c r="H339" t="n">
        <v>0</v>
      </c>
      <c r="I339" t="n">
        <v>1</v>
      </c>
      <c r="J339" t="n">
        <v>0</v>
      </c>
      <c r="K339" t="n">
        <v>0</v>
      </c>
      <c r="L339" t="n">
        <v>0</v>
      </c>
      <c r="M339" t="n">
        <v>0</v>
      </c>
      <c r="N339" t="n">
        <v>0</v>
      </c>
      <c r="O339" t="n">
        <v>0</v>
      </c>
      <c r="P339" t="n">
        <v>0</v>
      </c>
      <c r="Q339" t="n">
        <v>1</v>
      </c>
      <c r="R339" s="2" t="inlineStr">
        <is>
          <t>Grönpyrola</t>
        </is>
      </c>
      <c r="S339">
        <f>HYPERLINK("https://klasma.github.io/Logging_0883/artfynd/A 42811-2024 artfynd.xlsx", "A 42811-2024")</f>
        <v/>
      </c>
      <c r="T339">
        <f>HYPERLINK("https://klasma.github.io/Logging_0883/kartor/A 42811-2024 karta.png", "A 42811-2024")</f>
        <v/>
      </c>
      <c r="V339">
        <f>HYPERLINK("https://klasma.github.io/Logging_0883/klagomål/A 42811-2024 FSC-klagomål.docx", "A 42811-2024")</f>
        <v/>
      </c>
      <c r="W339">
        <f>HYPERLINK("https://klasma.github.io/Logging_0883/klagomålsmail/A 42811-2024 FSC-klagomål mail.docx", "A 42811-2024")</f>
        <v/>
      </c>
      <c r="X339">
        <f>HYPERLINK("https://klasma.github.io/Logging_0883/tillsyn/A 42811-2024 tillsynsbegäran.docx", "A 42811-2024")</f>
        <v/>
      </c>
      <c r="Y339">
        <f>HYPERLINK("https://klasma.github.io/Logging_0883/tillsynsmail/A 42811-2024 tillsynsbegäran mail.docx", "A 42811-2024")</f>
        <v/>
      </c>
    </row>
    <row r="340" ht="15" customHeight="1">
      <c r="A340" t="inlineStr">
        <is>
          <t>A 44333-2024</t>
        </is>
      </c>
      <c r="B340" s="1" t="n">
        <v>45573</v>
      </c>
      <c r="C340" s="1" t="n">
        <v>45851</v>
      </c>
      <c r="D340" t="inlineStr">
        <is>
          <t>KALMAR LÄN</t>
        </is>
      </c>
      <c r="E340" t="inlineStr">
        <is>
          <t>VÄSTERVIK</t>
        </is>
      </c>
      <c r="F340" t="inlineStr">
        <is>
          <t>Holmen skog AB</t>
        </is>
      </c>
      <c r="G340" t="n">
        <v>4.5</v>
      </c>
      <c r="H340" t="n">
        <v>1</v>
      </c>
      <c r="I340" t="n">
        <v>0</v>
      </c>
      <c r="J340" t="n">
        <v>1</v>
      </c>
      <c r="K340" t="n">
        <v>0</v>
      </c>
      <c r="L340" t="n">
        <v>0</v>
      </c>
      <c r="M340" t="n">
        <v>0</v>
      </c>
      <c r="N340" t="n">
        <v>0</v>
      </c>
      <c r="O340" t="n">
        <v>1</v>
      </c>
      <c r="P340" t="n">
        <v>0</v>
      </c>
      <c r="Q340" t="n">
        <v>1</v>
      </c>
      <c r="R340" s="2" t="inlineStr">
        <is>
          <t>Havsörn</t>
        </is>
      </c>
      <c r="S340">
        <f>HYPERLINK("https://klasma.github.io/Logging_0883/artfynd/A 44333-2024 artfynd.xlsx", "A 44333-2024")</f>
        <v/>
      </c>
      <c r="T340">
        <f>HYPERLINK("https://klasma.github.io/Logging_0883/kartor/A 44333-2024 karta.png", "A 44333-2024")</f>
        <v/>
      </c>
      <c r="V340">
        <f>HYPERLINK("https://klasma.github.io/Logging_0883/klagomål/A 44333-2024 FSC-klagomål.docx", "A 44333-2024")</f>
        <v/>
      </c>
      <c r="W340">
        <f>HYPERLINK("https://klasma.github.io/Logging_0883/klagomålsmail/A 44333-2024 FSC-klagomål mail.docx", "A 44333-2024")</f>
        <v/>
      </c>
      <c r="X340">
        <f>HYPERLINK("https://klasma.github.io/Logging_0883/tillsyn/A 44333-2024 tillsynsbegäran.docx", "A 44333-2024")</f>
        <v/>
      </c>
      <c r="Y340">
        <f>HYPERLINK("https://klasma.github.io/Logging_0883/tillsynsmail/A 44333-2024 tillsynsbegäran mail.docx", "A 44333-2024")</f>
        <v/>
      </c>
      <c r="Z340">
        <f>HYPERLINK("https://klasma.github.io/Logging_0883/fåglar/A 44333-2024 prioriterade fågelarter.docx", "A 44333-2024")</f>
        <v/>
      </c>
    </row>
    <row r="341" ht="15" customHeight="1">
      <c r="A341" t="inlineStr">
        <is>
          <t>A 45462-2024</t>
        </is>
      </c>
      <c r="B341" s="1" t="n">
        <v>45576</v>
      </c>
      <c r="C341" s="1" t="n">
        <v>45851</v>
      </c>
      <c r="D341" t="inlineStr">
        <is>
          <t>KALMAR LÄN</t>
        </is>
      </c>
      <c r="E341" t="inlineStr">
        <is>
          <t>VÄSTERVIK</t>
        </is>
      </c>
      <c r="G341" t="n">
        <v>3.5</v>
      </c>
      <c r="H341" t="n">
        <v>1</v>
      </c>
      <c r="I341" t="n">
        <v>0</v>
      </c>
      <c r="J341" t="n">
        <v>1</v>
      </c>
      <c r="K341" t="n">
        <v>0</v>
      </c>
      <c r="L341" t="n">
        <v>0</v>
      </c>
      <c r="M341" t="n">
        <v>0</v>
      </c>
      <c r="N341" t="n">
        <v>0</v>
      </c>
      <c r="O341" t="n">
        <v>1</v>
      </c>
      <c r="P341" t="n">
        <v>0</v>
      </c>
      <c r="Q341" t="n">
        <v>1</v>
      </c>
      <c r="R341" s="2" t="inlineStr">
        <is>
          <t>Järpe</t>
        </is>
      </c>
      <c r="S341">
        <f>HYPERLINK("https://klasma.github.io/Logging_0883/artfynd/A 45462-2024 artfynd.xlsx", "A 45462-2024")</f>
        <v/>
      </c>
      <c r="T341">
        <f>HYPERLINK("https://klasma.github.io/Logging_0883/kartor/A 45462-2024 karta.png", "A 45462-2024")</f>
        <v/>
      </c>
      <c r="V341">
        <f>HYPERLINK("https://klasma.github.io/Logging_0883/klagomål/A 45462-2024 FSC-klagomål.docx", "A 45462-2024")</f>
        <v/>
      </c>
      <c r="W341">
        <f>HYPERLINK("https://klasma.github.io/Logging_0883/klagomålsmail/A 45462-2024 FSC-klagomål mail.docx", "A 45462-2024")</f>
        <v/>
      </c>
      <c r="X341">
        <f>HYPERLINK("https://klasma.github.io/Logging_0883/tillsyn/A 45462-2024 tillsynsbegäran.docx", "A 45462-2024")</f>
        <v/>
      </c>
      <c r="Y341">
        <f>HYPERLINK("https://klasma.github.io/Logging_0883/tillsynsmail/A 45462-2024 tillsynsbegäran mail.docx", "A 45462-2024")</f>
        <v/>
      </c>
      <c r="Z341">
        <f>HYPERLINK("https://klasma.github.io/Logging_0883/fåglar/A 45462-2024 prioriterade fågelarter.docx", "A 45462-2024")</f>
        <v/>
      </c>
    </row>
    <row r="342" ht="15" customHeight="1">
      <c r="A342" t="inlineStr">
        <is>
          <t>A 45679-2024</t>
        </is>
      </c>
      <c r="B342" s="1" t="n">
        <v>45579</v>
      </c>
      <c r="C342" s="1" t="n">
        <v>45851</v>
      </c>
      <c r="D342" t="inlineStr">
        <is>
          <t>KALMAR LÄN</t>
        </is>
      </c>
      <c r="E342" t="inlineStr">
        <is>
          <t>VÄSTERVIK</t>
        </is>
      </c>
      <c r="F342" t="inlineStr">
        <is>
          <t>Kyrkan</t>
        </is>
      </c>
      <c r="G342" t="n">
        <v>2.8</v>
      </c>
      <c r="H342" t="n">
        <v>1</v>
      </c>
      <c r="I342" t="n">
        <v>0</v>
      </c>
      <c r="J342" t="n">
        <v>0</v>
      </c>
      <c r="K342" t="n">
        <v>1</v>
      </c>
      <c r="L342" t="n">
        <v>0</v>
      </c>
      <c r="M342" t="n">
        <v>0</v>
      </c>
      <c r="N342" t="n">
        <v>0</v>
      </c>
      <c r="O342" t="n">
        <v>1</v>
      </c>
      <c r="P342" t="n">
        <v>1</v>
      </c>
      <c r="Q342" t="n">
        <v>1</v>
      </c>
      <c r="R342" s="2" t="inlineStr">
        <is>
          <t>Knärot</t>
        </is>
      </c>
      <c r="S342">
        <f>HYPERLINK("https://klasma.github.io/Logging_0883/artfynd/A 45679-2024 artfynd.xlsx", "A 45679-2024")</f>
        <v/>
      </c>
      <c r="T342">
        <f>HYPERLINK("https://klasma.github.io/Logging_0883/kartor/A 45679-2024 karta.png", "A 45679-2024")</f>
        <v/>
      </c>
      <c r="U342">
        <f>HYPERLINK("https://klasma.github.io/Logging_0883/knärot/A 45679-2024 karta knärot.png", "A 45679-2024")</f>
        <v/>
      </c>
      <c r="V342">
        <f>HYPERLINK("https://klasma.github.io/Logging_0883/klagomål/A 45679-2024 FSC-klagomål.docx", "A 45679-2024")</f>
        <v/>
      </c>
      <c r="W342">
        <f>HYPERLINK("https://klasma.github.io/Logging_0883/klagomålsmail/A 45679-2024 FSC-klagomål mail.docx", "A 45679-2024")</f>
        <v/>
      </c>
      <c r="X342">
        <f>HYPERLINK("https://klasma.github.io/Logging_0883/tillsyn/A 45679-2024 tillsynsbegäran.docx", "A 45679-2024")</f>
        <v/>
      </c>
      <c r="Y342">
        <f>HYPERLINK("https://klasma.github.io/Logging_0883/tillsynsmail/A 45679-2024 tillsynsbegäran mail.docx", "A 45679-2024")</f>
        <v/>
      </c>
    </row>
    <row r="343" ht="15" customHeight="1">
      <c r="A343" t="inlineStr">
        <is>
          <t>A 51488-2024</t>
        </is>
      </c>
      <c r="B343" s="1" t="n">
        <v>45604</v>
      </c>
      <c r="C343" s="1" t="n">
        <v>45851</v>
      </c>
      <c r="D343" t="inlineStr">
        <is>
          <t>KALMAR LÄN</t>
        </is>
      </c>
      <c r="E343" t="inlineStr">
        <is>
          <t>VÄSTERVIK</t>
        </is>
      </c>
      <c r="F343" t="inlineStr">
        <is>
          <t>Övriga Aktiebolag</t>
        </is>
      </c>
      <c r="G343" t="n">
        <v>2.9</v>
      </c>
      <c r="H343" t="n">
        <v>1</v>
      </c>
      <c r="I343" t="n">
        <v>0</v>
      </c>
      <c r="J343" t="n">
        <v>1</v>
      </c>
      <c r="K343" t="n">
        <v>0</v>
      </c>
      <c r="L343" t="n">
        <v>0</v>
      </c>
      <c r="M343" t="n">
        <v>0</v>
      </c>
      <c r="N343" t="n">
        <v>0</v>
      </c>
      <c r="O343" t="n">
        <v>1</v>
      </c>
      <c r="P343" t="n">
        <v>0</v>
      </c>
      <c r="Q343" t="n">
        <v>1</v>
      </c>
      <c r="R343" s="2" t="inlineStr">
        <is>
          <t>Entita</t>
        </is>
      </c>
      <c r="S343">
        <f>HYPERLINK("https://klasma.github.io/Logging_0883/artfynd/A 51488-2024 artfynd.xlsx", "A 51488-2024")</f>
        <v/>
      </c>
      <c r="T343">
        <f>HYPERLINK("https://klasma.github.io/Logging_0883/kartor/A 51488-2024 karta.png", "A 51488-2024")</f>
        <v/>
      </c>
      <c r="V343">
        <f>HYPERLINK("https://klasma.github.io/Logging_0883/klagomål/A 51488-2024 FSC-klagomål.docx", "A 51488-2024")</f>
        <v/>
      </c>
      <c r="W343">
        <f>HYPERLINK("https://klasma.github.io/Logging_0883/klagomålsmail/A 51488-2024 FSC-klagomål mail.docx", "A 51488-2024")</f>
        <v/>
      </c>
      <c r="X343">
        <f>HYPERLINK("https://klasma.github.io/Logging_0883/tillsyn/A 51488-2024 tillsynsbegäran.docx", "A 51488-2024")</f>
        <v/>
      </c>
      <c r="Y343">
        <f>HYPERLINK("https://klasma.github.io/Logging_0883/tillsynsmail/A 51488-2024 tillsynsbegäran mail.docx", "A 51488-2024")</f>
        <v/>
      </c>
      <c r="Z343">
        <f>HYPERLINK("https://klasma.github.io/Logging_0883/fåglar/A 51488-2024 prioriterade fågelarter.docx", "A 51488-2024")</f>
        <v/>
      </c>
    </row>
    <row r="344" ht="15" customHeight="1">
      <c r="A344" t="inlineStr">
        <is>
          <t>A 51514-2024</t>
        </is>
      </c>
      <c r="B344" s="1" t="n">
        <v>45604</v>
      </c>
      <c r="C344" s="1" t="n">
        <v>45851</v>
      </c>
      <c r="D344" t="inlineStr">
        <is>
          <t>KALMAR LÄN</t>
        </is>
      </c>
      <c r="E344" t="inlineStr">
        <is>
          <t>VÄSTERVIK</t>
        </is>
      </c>
      <c r="F344" t="inlineStr">
        <is>
          <t>Övriga Aktiebolag</t>
        </is>
      </c>
      <c r="G344" t="n">
        <v>2.4</v>
      </c>
      <c r="H344" t="n">
        <v>1</v>
      </c>
      <c r="I344" t="n">
        <v>0</v>
      </c>
      <c r="J344" t="n">
        <v>1</v>
      </c>
      <c r="K344" t="n">
        <v>0</v>
      </c>
      <c r="L344" t="n">
        <v>0</v>
      </c>
      <c r="M344" t="n">
        <v>0</v>
      </c>
      <c r="N344" t="n">
        <v>0</v>
      </c>
      <c r="O344" t="n">
        <v>1</v>
      </c>
      <c r="P344" t="n">
        <v>0</v>
      </c>
      <c r="Q344" t="n">
        <v>1</v>
      </c>
      <c r="R344" s="2" t="inlineStr">
        <is>
          <t>Havsörn</t>
        </is>
      </c>
      <c r="S344">
        <f>HYPERLINK("https://klasma.github.io/Logging_0883/artfynd/A 51514-2024 artfynd.xlsx", "A 51514-2024")</f>
        <v/>
      </c>
      <c r="T344">
        <f>HYPERLINK("https://klasma.github.io/Logging_0883/kartor/A 51514-2024 karta.png", "A 51514-2024")</f>
        <v/>
      </c>
      <c r="V344">
        <f>HYPERLINK("https://klasma.github.io/Logging_0883/klagomål/A 51514-2024 FSC-klagomål.docx", "A 51514-2024")</f>
        <v/>
      </c>
      <c r="W344">
        <f>HYPERLINK("https://klasma.github.io/Logging_0883/klagomålsmail/A 51514-2024 FSC-klagomål mail.docx", "A 51514-2024")</f>
        <v/>
      </c>
      <c r="X344">
        <f>HYPERLINK("https://klasma.github.io/Logging_0883/tillsyn/A 51514-2024 tillsynsbegäran.docx", "A 51514-2024")</f>
        <v/>
      </c>
      <c r="Y344">
        <f>HYPERLINK("https://klasma.github.io/Logging_0883/tillsynsmail/A 51514-2024 tillsynsbegäran mail.docx", "A 51514-2024")</f>
        <v/>
      </c>
      <c r="Z344">
        <f>HYPERLINK("https://klasma.github.io/Logging_0883/fåglar/A 51514-2024 prioriterade fågelarter.docx", "A 51514-2024")</f>
        <v/>
      </c>
    </row>
    <row r="345" ht="15" customHeight="1">
      <c r="A345" t="inlineStr">
        <is>
          <t>A 53075-2024</t>
        </is>
      </c>
      <c r="B345" s="1" t="n">
        <v>45611</v>
      </c>
      <c r="C345" s="1" t="n">
        <v>45851</v>
      </c>
      <c r="D345" t="inlineStr">
        <is>
          <t>KALMAR LÄN</t>
        </is>
      </c>
      <c r="E345" t="inlineStr">
        <is>
          <t>VÄSTERVIK</t>
        </is>
      </c>
      <c r="F345" t="inlineStr">
        <is>
          <t>Holmen skog AB</t>
        </is>
      </c>
      <c r="G345" t="n">
        <v>8.5</v>
      </c>
      <c r="H345" t="n">
        <v>1</v>
      </c>
      <c r="I345" t="n">
        <v>0</v>
      </c>
      <c r="J345" t="n">
        <v>1</v>
      </c>
      <c r="K345" t="n">
        <v>0</v>
      </c>
      <c r="L345" t="n">
        <v>0</v>
      </c>
      <c r="M345" t="n">
        <v>0</v>
      </c>
      <c r="N345" t="n">
        <v>0</v>
      </c>
      <c r="O345" t="n">
        <v>1</v>
      </c>
      <c r="P345" t="n">
        <v>0</v>
      </c>
      <c r="Q345" t="n">
        <v>1</v>
      </c>
      <c r="R345" s="2" t="inlineStr">
        <is>
          <t>Talltita</t>
        </is>
      </c>
      <c r="S345">
        <f>HYPERLINK("https://klasma.github.io/Logging_0883/artfynd/A 53075-2024 artfynd.xlsx", "A 53075-2024")</f>
        <v/>
      </c>
      <c r="T345">
        <f>HYPERLINK("https://klasma.github.io/Logging_0883/kartor/A 53075-2024 karta.png", "A 53075-2024")</f>
        <v/>
      </c>
      <c r="V345">
        <f>HYPERLINK("https://klasma.github.io/Logging_0883/klagomål/A 53075-2024 FSC-klagomål.docx", "A 53075-2024")</f>
        <v/>
      </c>
      <c r="W345">
        <f>HYPERLINK("https://klasma.github.io/Logging_0883/klagomålsmail/A 53075-2024 FSC-klagomål mail.docx", "A 53075-2024")</f>
        <v/>
      </c>
      <c r="X345">
        <f>HYPERLINK("https://klasma.github.io/Logging_0883/tillsyn/A 53075-2024 tillsynsbegäran.docx", "A 53075-2024")</f>
        <v/>
      </c>
      <c r="Y345">
        <f>HYPERLINK("https://klasma.github.io/Logging_0883/tillsynsmail/A 53075-2024 tillsynsbegäran mail.docx", "A 53075-2024")</f>
        <v/>
      </c>
      <c r="Z345">
        <f>HYPERLINK("https://klasma.github.io/Logging_0883/fåglar/A 53075-2024 prioriterade fågelarter.docx", "A 53075-2024")</f>
        <v/>
      </c>
    </row>
    <row r="346" ht="15" customHeight="1">
      <c r="A346" t="inlineStr">
        <is>
          <t>A 55360-2024</t>
        </is>
      </c>
      <c r="B346" s="1" t="n">
        <v>45621</v>
      </c>
      <c r="C346" s="1" t="n">
        <v>45851</v>
      </c>
      <c r="D346" t="inlineStr">
        <is>
          <t>KALMAR LÄN</t>
        </is>
      </c>
      <c r="E346" t="inlineStr">
        <is>
          <t>VÄSTERVIK</t>
        </is>
      </c>
      <c r="F346" t="inlineStr">
        <is>
          <t>Sveaskog</t>
        </is>
      </c>
      <c r="G346" t="n">
        <v>11.1</v>
      </c>
      <c r="H346" t="n">
        <v>0</v>
      </c>
      <c r="I346" t="n">
        <v>0</v>
      </c>
      <c r="J346" t="n">
        <v>1</v>
      </c>
      <c r="K346" t="n">
        <v>0</v>
      </c>
      <c r="L346" t="n">
        <v>0</v>
      </c>
      <c r="M346" t="n">
        <v>0</v>
      </c>
      <c r="N346" t="n">
        <v>0</v>
      </c>
      <c r="O346" t="n">
        <v>1</v>
      </c>
      <c r="P346" t="n">
        <v>0</v>
      </c>
      <c r="Q346" t="n">
        <v>1</v>
      </c>
      <c r="R346" s="2" t="inlineStr">
        <is>
          <t>Vårstarr</t>
        </is>
      </c>
      <c r="S346">
        <f>HYPERLINK("https://klasma.github.io/Logging_0883/artfynd/A 55360-2024 artfynd.xlsx", "A 55360-2024")</f>
        <v/>
      </c>
      <c r="T346">
        <f>HYPERLINK("https://klasma.github.io/Logging_0883/kartor/A 55360-2024 karta.png", "A 55360-2024")</f>
        <v/>
      </c>
      <c r="V346">
        <f>HYPERLINK("https://klasma.github.io/Logging_0883/klagomål/A 55360-2024 FSC-klagomål.docx", "A 55360-2024")</f>
        <v/>
      </c>
      <c r="W346">
        <f>HYPERLINK("https://klasma.github.io/Logging_0883/klagomålsmail/A 55360-2024 FSC-klagomål mail.docx", "A 55360-2024")</f>
        <v/>
      </c>
      <c r="X346">
        <f>HYPERLINK("https://klasma.github.io/Logging_0883/tillsyn/A 55360-2024 tillsynsbegäran.docx", "A 55360-2024")</f>
        <v/>
      </c>
      <c r="Y346">
        <f>HYPERLINK("https://klasma.github.io/Logging_0883/tillsynsmail/A 55360-2024 tillsynsbegäran mail.docx", "A 55360-2024")</f>
        <v/>
      </c>
    </row>
    <row r="347" ht="15" customHeight="1">
      <c r="A347" t="inlineStr">
        <is>
          <t>A 55616-2024</t>
        </is>
      </c>
      <c r="B347" s="1" t="n">
        <v>45622</v>
      </c>
      <c r="C347" s="1" t="n">
        <v>45851</v>
      </c>
      <c r="D347" t="inlineStr">
        <is>
          <t>KALMAR LÄN</t>
        </is>
      </c>
      <c r="E347" t="inlineStr">
        <is>
          <t>VÄSTERVIK</t>
        </is>
      </c>
      <c r="G347" t="n">
        <v>0.5</v>
      </c>
      <c r="H347" t="n">
        <v>1</v>
      </c>
      <c r="I347" t="n">
        <v>0</v>
      </c>
      <c r="J347" t="n">
        <v>1</v>
      </c>
      <c r="K347" t="n">
        <v>0</v>
      </c>
      <c r="L347" t="n">
        <v>0</v>
      </c>
      <c r="M347" t="n">
        <v>0</v>
      </c>
      <c r="N347" t="n">
        <v>0</v>
      </c>
      <c r="O347" t="n">
        <v>1</v>
      </c>
      <c r="P347" t="n">
        <v>0</v>
      </c>
      <c r="Q347" t="n">
        <v>1</v>
      </c>
      <c r="R347" s="2" t="inlineStr">
        <is>
          <t>Entita</t>
        </is>
      </c>
      <c r="S347">
        <f>HYPERLINK("https://klasma.github.io/Logging_0883/artfynd/A 55616-2024 artfynd.xlsx", "A 55616-2024")</f>
        <v/>
      </c>
      <c r="T347">
        <f>HYPERLINK("https://klasma.github.io/Logging_0883/kartor/A 55616-2024 karta.png", "A 55616-2024")</f>
        <v/>
      </c>
      <c r="V347">
        <f>HYPERLINK("https://klasma.github.io/Logging_0883/klagomål/A 55616-2024 FSC-klagomål.docx", "A 55616-2024")</f>
        <v/>
      </c>
      <c r="W347">
        <f>HYPERLINK("https://klasma.github.io/Logging_0883/klagomålsmail/A 55616-2024 FSC-klagomål mail.docx", "A 55616-2024")</f>
        <v/>
      </c>
      <c r="X347">
        <f>HYPERLINK("https://klasma.github.io/Logging_0883/tillsyn/A 55616-2024 tillsynsbegäran.docx", "A 55616-2024")</f>
        <v/>
      </c>
      <c r="Y347">
        <f>HYPERLINK("https://klasma.github.io/Logging_0883/tillsynsmail/A 55616-2024 tillsynsbegäran mail.docx", "A 55616-2024")</f>
        <v/>
      </c>
      <c r="Z347">
        <f>HYPERLINK("https://klasma.github.io/Logging_0883/fåglar/A 55616-2024 prioriterade fågelarter.docx", "A 55616-2024")</f>
        <v/>
      </c>
    </row>
    <row r="348" ht="15" customHeight="1">
      <c r="A348" t="inlineStr">
        <is>
          <t>A 56439-2024</t>
        </is>
      </c>
      <c r="B348" s="1" t="n">
        <v>45625</v>
      </c>
      <c r="C348" s="1" t="n">
        <v>45851</v>
      </c>
      <c r="D348" t="inlineStr">
        <is>
          <t>KALMAR LÄN</t>
        </is>
      </c>
      <c r="E348" t="inlineStr">
        <is>
          <t>VÄSTERVIK</t>
        </is>
      </c>
      <c r="F348" t="inlineStr">
        <is>
          <t>Övriga Aktiebolag</t>
        </is>
      </c>
      <c r="G348" t="n">
        <v>3.3</v>
      </c>
      <c r="H348" t="n">
        <v>0</v>
      </c>
      <c r="I348" t="n">
        <v>1</v>
      </c>
      <c r="J348" t="n">
        <v>0</v>
      </c>
      <c r="K348" t="n">
        <v>0</v>
      </c>
      <c r="L348" t="n">
        <v>0</v>
      </c>
      <c r="M348" t="n">
        <v>0</v>
      </c>
      <c r="N348" t="n">
        <v>0</v>
      </c>
      <c r="O348" t="n">
        <v>0</v>
      </c>
      <c r="P348" t="n">
        <v>0</v>
      </c>
      <c r="Q348" t="n">
        <v>1</v>
      </c>
      <c r="R348" s="2" t="inlineStr">
        <is>
          <t>Hasselticka</t>
        </is>
      </c>
      <c r="S348">
        <f>HYPERLINK("https://klasma.github.io/Logging_0883/artfynd/A 56439-2024 artfynd.xlsx", "A 56439-2024")</f>
        <v/>
      </c>
      <c r="T348">
        <f>HYPERLINK("https://klasma.github.io/Logging_0883/kartor/A 56439-2024 karta.png", "A 56439-2024")</f>
        <v/>
      </c>
      <c r="V348">
        <f>HYPERLINK("https://klasma.github.io/Logging_0883/klagomål/A 56439-2024 FSC-klagomål.docx", "A 56439-2024")</f>
        <v/>
      </c>
      <c r="W348">
        <f>HYPERLINK("https://klasma.github.io/Logging_0883/klagomålsmail/A 56439-2024 FSC-klagomål mail.docx", "A 56439-2024")</f>
        <v/>
      </c>
      <c r="X348">
        <f>HYPERLINK("https://klasma.github.io/Logging_0883/tillsyn/A 56439-2024 tillsynsbegäran.docx", "A 56439-2024")</f>
        <v/>
      </c>
      <c r="Y348">
        <f>HYPERLINK("https://klasma.github.io/Logging_0883/tillsynsmail/A 56439-2024 tillsynsbegäran mail.docx", "A 56439-2024")</f>
        <v/>
      </c>
    </row>
    <row r="349" ht="15" customHeight="1">
      <c r="A349" t="inlineStr">
        <is>
          <t>A 59616-2024</t>
        </is>
      </c>
      <c r="B349" s="1" t="n">
        <v>45638</v>
      </c>
      <c r="C349" s="1" t="n">
        <v>45851</v>
      </c>
      <c r="D349" t="inlineStr">
        <is>
          <t>KALMAR LÄN</t>
        </is>
      </c>
      <c r="E349" t="inlineStr">
        <is>
          <t>VÄSTERVIK</t>
        </is>
      </c>
      <c r="G349" t="n">
        <v>2.3</v>
      </c>
      <c r="H349" t="n">
        <v>1</v>
      </c>
      <c r="I349" t="n">
        <v>0</v>
      </c>
      <c r="J349" t="n">
        <v>0</v>
      </c>
      <c r="K349" t="n">
        <v>1</v>
      </c>
      <c r="L349" t="n">
        <v>0</v>
      </c>
      <c r="M349" t="n">
        <v>0</v>
      </c>
      <c r="N349" t="n">
        <v>0</v>
      </c>
      <c r="O349" t="n">
        <v>1</v>
      </c>
      <c r="P349" t="n">
        <v>1</v>
      </c>
      <c r="Q349" t="n">
        <v>1</v>
      </c>
      <c r="R349" s="2" t="inlineStr">
        <is>
          <t>Knärot</t>
        </is>
      </c>
      <c r="S349">
        <f>HYPERLINK("https://klasma.github.io/Logging_0883/artfynd/A 59616-2024 artfynd.xlsx", "A 59616-2024")</f>
        <v/>
      </c>
      <c r="T349">
        <f>HYPERLINK("https://klasma.github.io/Logging_0883/kartor/A 59616-2024 karta.png", "A 59616-2024")</f>
        <v/>
      </c>
      <c r="U349">
        <f>HYPERLINK("https://klasma.github.io/Logging_0883/knärot/A 59616-2024 karta knärot.png", "A 59616-2024")</f>
        <v/>
      </c>
      <c r="V349">
        <f>HYPERLINK("https://klasma.github.io/Logging_0883/klagomål/A 59616-2024 FSC-klagomål.docx", "A 59616-2024")</f>
        <v/>
      </c>
      <c r="W349">
        <f>HYPERLINK("https://klasma.github.io/Logging_0883/klagomålsmail/A 59616-2024 FSC-klagomål mail.docx", "A 59616-2024")</f>
        <v/>
      </c>
      <c r="X349">
        <f>HYPERLINK("https://klasma.github.io/Logging_0883/tillsyn/A 59616-2024 tillsynsbegäran.docx", "A 59616-2024")</f>
        <v/>
      </c>
      <c r="Y349">
        <f>HYPERLINK("https://klasma.github.io/Logging_0883/tillsynsmail/A 59616-2024 tillsynsbegäran mail.docx", "A 59616-2024")</f>
        <v/>
      </c>
    </row>
    <row r="350" ht="15" customHeight="1">
      <c r="A350" t="inlineStr">
        <is>
          <t>A 59351-2024</t>
        </is>
      </c>
      <c r="B350" s="1" t="n">
        <v>45638</v>
      </c>
      <c r="C350" s="1" t="n">
        <v>45851</v>
      </c>
      <c r="D350" t="inlineStr">
        <is>
          <t>KALMAR LÄN</t>
        </is>
      </c>
      <c r="E350" t="inlineStr">
        <is>
          <t>VÄSTERVIK</t>
        </is>
      </c>
      <c r="G350" t="n">
        <v>4</v>
      </c>
      <c r="H350" t="n">
        <v>0</v>
      </c>
      <c r="I350" t="n">
        <v>0</v>
      </c>
      <c r="J350" t="n">
        <v>1</v>
      </c>
      <c r="K350" t="n">
        <v>0</v>
      </c>
      <c r="L350" t="n">
        <v>0</v>
      </c>
      <c r="M350" t="n">
        <v>0</v>
      </c>
      <c r="N350" t="n">
        <v>0</v>
      </c>
      <c r="O350" t="n">
        <v>1</v>
      </c>
      <c r="P350" t="n">
        <v>0</v>
      </c>
      <c r="Q350" t="n">
        <v>1</v>
      </c>
      <c r="R350" s="2" t="inlineStr">
        <is>
          <t>Nubbfibbla</t>
        </is>
      </c>
      <c r="S350">
        <f>HYPERLINK("https://klasma.github.io/Logging_0883/artfynd/A 59351-2024 artfynd.xlsx", "A 59351-2024")</f>
        <v/>
      </c>
      <c r="T350">
        <f>HYPERLINK("https://klasma.github.io/Logging_0883/kartor/A 59351-2024 karta.png", "A 59351-2024")</f>
        <v/>
      </c>
      <c r="V350">
        <f>HYPERLINK("https://klasma.github.io/Logging_0883/klagomål/A 59351-2024 FSC-klagomål.docx", "A 59351-2024")</f>
        <v/>
      </c>
      <c r="W350">
        <f>HYPERLINK("https://klasma.github.io/Logging_0883/klagomålsmail/A 59351-2024 FSC-klagomål mail.docx", "A 59351-2024")</f>
        <v/>
      </c>
      <c r="X350">
        <f>HYPERLINK("https://klasma.github.io/Logging_0883/tillsyn/A 59351-2024 tillsynsbegäran.docx", "A 59351-2024")</f>
        <v/>
      </c>
      <c r="Y350">
        <f>HYPERLINK("https://klasma.github.io/Logging_0883/tillsynsmail/A 59351-2024 tillsynsbegäran mail.docx", "A 59351-2024")</f>
        <v/>
      </c>
    </row>
    <row r="351" ht="15" customHeight="1">
      <c r="A351" t="inlineStr">
        <is>
          <t>A 961-2025</t>
        </is>
      </c>
      <c r="B351" s="1" t="n">
        <v>45666</v>
      </c>
      <c r="C351" s="1" t="n">
        <v>45851</v>
      </c>
      <c r="D351" t="inlineStr">
        <is>
          <t>KALMAR LÄN</t>
        </is>
      </c>
      <c r="E351" t="inlineStr">
        <is>
          <t>VÄSTERVIK</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HYPERLINK("https://klasma.github.io/Logging_0883/artfynd/A 961-2025 artfynd.xlsx", "A 961-2025")</f>
        <v/>
      </c>
      <c r="T351">
        <f>HYPERLINK("https://klasma.github.io/Logging_0883/kartor/A 961-2025 karta.png", "A 961-2025")</f>
        <v/>
      </c>
      <c r="U351">
        <f>HYPERLINK("https://klasma.github.io/Logging_0883/knärot/A 961-2025 karta knärot.png", "A 961-2025")</f>
        <v/>
      </c>
      <c r="V351">
        <f>HYPERLINK("https://klasma.github.io/Logging_0883/klagomål/A 961-2025 FSC-klagomål.docx", "A 961-2025")</f>
        <v/>
      </c>
      <c r="W351">
        <f>HYPERLINK("https://klasma.github.io/Logging_0883/klagomålsmail/A 961-2025 FSC-klagomål mail.docx", "A 961-2025")</f>
        <v/>
      </c>
      <c r="X351">
        <f>HYPERLINK("https://klasma.github.io/Logging_0883/tillsyn/A 961-2025 tillsynsbegäran.docx", "A 961-2025")</f>
        <v/>
      </c>
      <c r="Y351">
        <f>HYPERLINK("https://klasma.github.io/Logging_0883/tillsynsmail/A 961-2025 tillsynsbegäran mail.docx", "A 961-2025")</f>
        <v/>
      </c>
    </row>
    <row r="352" ht="15" customHeight="1">
      <c r="A352" t="inlineStr">
        <is>
          <t>A 1775-2025</t>
        </is>
      </c>
      <c r="B352" s="1" t="n">
        <v>45671</v>
      </c>
      <c r="C352" s="1" t="n">
        <v>45851</v>
      </c>
      <c r="D352" t="inlineStr">
        <is>
          <t>KALMAR LÄN</t>
        </is>
      </c>
      <c r="E352" t="inlineStr">
        <is>
          <t>VÄSTERVIK</t>
        </is>
      </c>
      <c r="G352" t="n">
        <v>0.9</v>
      </c>
      <c r="H352" t="n">
        <v>1</v>
      </c>
      <c r="I352" t="n">
        <v>0</v>
      </c>
      <c r="J352" t="n">
        <v>0</v>
      </c>
      <c r="K352" t="n">
        <v>0</v>
      </c>
      <c r="L352" t="n">
        <v>0</v>
      </c>
      <c r="M352" t="n">
        <v>0</v>
      </c>
      <c r="N352" t="n">
        <v>0</v>
      </c>
      <c r="O352" t="n">
        <v>0</v>
      </c>
      <c r="P352" t="n">
        <v>0</v>
      </c>
      <c r="Q352" t="n">
        <v>1</v>
      </c>
      <c r="R352" s="2" t="inlineStr">
        <is>
          <t>Kungsfågel</t>
        </is>
      </c>
      <c r="S352">
        <f>HYPERLINK("https://klasma.github.io/Logging_0883/artfynd/A 1775-2025 artfynd.xlsx", "A 1775-2025")</f>
        <v/>
      </c>
      <c r="T352">
        <f>HYPERLINK("https://klasma.github.io/Logging_0883/kartor/A 1775-2025 karta.png", "A 1775-2025")</f>
        <v/>
      </c>
      <c r="V352">
        <f>HYPERLINK("https://klasma.github.io/Logging_0883/klagomål/A 1775-2025 FSC-klagomål.docx", "A 1775-2025")</f>
        <v/>
      </c>
      <c r="W352">
        <f>HYPERLINK("https://klasma.github.io/Logging_0883/klagomålsmail/A 1775-2025 FSC-klagomål mail.docx", "A 1775-2025")</f>
        <v/>
      </c>
      <c r="X352">
        <f>HYPERLINK("https://klasma.github.io/Logging_0883/tillsyn/A 1775-2025 tillsynsbegäran.docx", "A 1775-2025")</f>
        <v/>
      </c>
      <c r="Y352">
        <f>HYPERLINK("https://klasma.github.io/Logging_0883/tillsynsmail/A 1775-2025 tillsynsbegäran mail.docx", "A 1775-2025")</f>
        <v/>
      </c>
      <c r="Z352">
        <f>HYPERLINK("https://klasma.github.io/Logging_0883/fåglar/A 1775-2025 prioriterade fågelarter.docx", "A 1775-2025")</f>
        <v/>
      </c>
    </row>
    <row r="353" ht="15" customHeight="1">
      <c r="A353" t="inlineStr">
        <is>
          <t>A 2328-2025</t>
        </is>
      </c>
      <c r="B353" s="1" t="n">
        <v>45673</v>
      </c>
      <c r="C353" s="1" t="n">
        <v>45851</v>
      </c>
      <c r="D353" t="inlineStr">
        <is>
          <t>KALMAR LÄN</t>
        </is>
      </c>
      <c r="E353" t="inlineStr">
        <is>
          <t>VÄSTERVIK</t>
        </is>
      </c>
      <c r="F353" t="inlineStr">
        <is>
          <t>Sveaskog</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HYPERLINK("https://klasma.github.io/Logging_0883/artfynd/A 2328-2025 artfynd.xlsx", "A 2328-2025")</f>
        <v/>
      </c>
      <c r="T353">
        <f>HYPERLINK("https://klasma.github.io/Logging_0883/kartor/A 2328-2025 karta.png", "A 2328-2025")</f>
        <v/>
      </c>
      <c r="V353">
        <f>HYPERLINK("https://klasma.github.io/Logging_0883/klagomål/A 2328-2025 FSC-klagomål.docx", "A 2328-2025")</f>
        <v/>
      </c>
      <c r="W353">
        <f>HYPERLINK("https://klasma.github.io/Logging_0883/klagomålsmail/A 2328-2025 FSC-klagomål mail.docx", "A 2328-2025")</f>
        <v/>
      </c>
      <c r="X353">
        <f>HYPERLINK("https://klasma.github.io/Logging_0883/tillsyn/A 2328-2025 tillsynsbegäran.docx", "A 2328-2025")</f>
        <v/>
      </c>
      <c r="Y353">
        <f>HYPERLINK("https://klasma.github.io/Logging_0883/tillsynsmail/A 2328-2025 tillsynsbegäran mail.docx", "A 2328-2025")</f>
        <v/>
      </c>
    </row>
    <row r="354" ht="15" customHeight="1">
      <c r="A354" t="inlineStr">
        <is>
          <t>A 3112-2025</t>
        </is>
      </c>
      <c r="B354" s="1" t="n">
        <v>45678</v>
      </c>
      <c r="C354" s="1" t="n">
        <v>45851</v>
      </c>
      <c r="D354" t="inlineStr">
        <is>
          <t>KALMAR LÄN</t>
        </is>
      </c>
      <c r="E354" t="inlineStr">
        <is>
          <t>VÄSTERVIK</t>
        </is>
      </c>
      <c r="G354" t="n">
        <v>1.5</v>
      </c>
      <c r="H354" t="n">
        <v>1</v>
      </c>
      <c r="I354" t="n">
        <v>0</v>
      </c>
      <c r="J354" t="n">
        <v>0</v>
      </c>
      <c r="K354" t="n">
        <v>0</v>
      </c>
      <c r="L354" t="n">
        <v>0</v>
      </c>
      <c r="M354" t="n">
        <v>0</v>
      </c>
      <c r="N354" t="n">
        <v>0</v>
      </c>
      <c r="O354" t="n">
        <v>0</v>
      </c>
      <c r="P354" t="n">
        <v>0</v>
      </c>
      <c r="Q354" t="n">
        <v>1</v>
      </c>
      <c r="R354" s="2" t="inlineStr">
        <is>
          <t>Mattlummer</t>
        </is>
      </c>
      <c r="S354">
        <f>HYPERLINK("https://klasma.github.io/Logging_0883/artfynd/A 3112-2025 artfynd.xlsx", "A 3112-2025")</f>
        <v/>
      </c>
      <c r="T354">
        <f>HYPERLINK("https://klasma.github.io/Logging_0883/kartor/A 3112-2025 karta.png", "A 3112-2025")</f>
        <v/>
      </c>
      <c r="V354">
        <f>HYPERLINK("https://klasma.github.io/Logging_0883/klagomål/A 3112-2025 FSC-klagomål.docx", "A 3112-2025")</f>
        <v/>
      </c>
      <c r="W354">
        <f>HYPERLINK("https://klasma.github.io/Logging_0883/klagomålsmail/A 3112-2025 FSC-klagomål mail.docx", "A 3112-2025")</f>
        <v/>
      </c>
      <c r="X354">
        <f>HYPERLINK("https://klasma.github.io/Logging_0883/tillsyn/A 3112-2025 tillsynsbegäran.docx", "A 3112-2025")</f>
        <v/>
      </c>
      <c r="Y354">
        <f>HYPERLINK("https://klasma.github.io/Logging_0883/tillsynsmail/A 3112-2025 tillsynsbegäran mail.docx", "A 3112-2025")</f>
        <v/>
      </c>
    </row>
    <row r="355" ht="15" customHeight="1">
      <c r="A355" t="inlineStr">
        <is>
          <t>A 3057-2025</t>
        </is>
      </c>
      <c r="B355" s="1" t="n">
        <v>45678</v>
      </c>
      <c r="C355" s="1" t="n">
        <v>45851</v>
      </c>
      <c r="D355" t="inlineStr">
        <is>
          <t>KALMAR LÄN</t>
        </is>
      </c>
      <c r="E355" t="inlineStr">
        <is>
          <t>VÄSTERVIK</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HYPERLINK("https://klasma.github.io/Logging_0883/artfynd/A 3057-2025 artfynd.xlsx", "A 3057-2025")</f>
        <v/>
      </c>
      <c r="T355">
        <f>HYPERLINK("https://klasma.github.io/Logging_0883/kartor/A 3057-2025 karta.png", "A 3057-2025")</f>
        <v/>
      </c>
      <c r="U355">
        <f>HYPERLINK("https://klasma.github.io/Logging_0883/knärot/A 3057-2025 karta knärot.png", "A 3057-2025")</f>
        <v/>
      </c>
      <c r="V355">
        <f>HYPERLINK("https://klasma.github.io/Logging_0883/klagomål/A 3057-2025 FSC-klagomål.docx", "A 3057-2025")</f>
        <v/>
      </c>
      <c r="W355">
        <f>HYPERLINK("https://klasma.github.io/Logging_0883/klagomålsmail/A 3057-2025 FSC-klagomål mail.docx", "A 3057-2025")</f>
        <v/>
      </c>
      <c r="X355">
        <f>HYPERLINK("https://klasma.github.io/Logging_0883/tillsyn/A 3057-2025 tillsynsbegäran.docx", "A 3057-2025")</f>
        <v/>
      </c>
      <c r="Y355">
        <f>HYPERLINK("https://klasma.github.io/Logging_0883/tillsynsmail/A 3057-2025 tillsynsbegäran mail.docx", "A 3057-2025")</f>
        <v/>
      </c>
    </row>
    <row r="356" ht="15" customHeight="1">
      <c r="A356" t="inlineStr">
        <is>
          <t>A 3673-2025</t>
        </is>
      </c>
      <c r="B356" s="1" t="n">
        <v>45681</v>
      </c>
      <c r="C356" s="1" t="n">
        <v>45851</v>
      </c>
      <c r="D356" t="inlineStr">
        <is>
          <t>KALMAR LÄN</t>
        </is>
      </c>
      <c r="E356" t="inlineStr">
        <is>
          <t>VÄSTERVIK</t>
        </is>
      </c>
      <c r="G356" t="n">
        <v>1.1</v>
      </c>
      <c r="H356" t="n">
        <v>0</v>
      </c>
      <c r="I356" t="n">
        <v>1</v>
      </c>
      <c r="J356" t="n">
        <v>0</v>
      </c>
      <c r="K356" t="n">
        <v>0</v>
      </c>
      <c r="L356" t="n">
        <v>0</v>
      </c>
      <c r="M356" t="n">
        <v>0</v>
      </c>
      <c r="N356" t="n">
        <v>0</v>
      </c>
      <c r="O356" t="n">
        <v>0</v>
      </c>
      <c r="P356" t="n">
        <v>0</v>
      </c>
      <c r="Q356" t="n">
        <v>1</v>
      </c>
      <c r="R356" s="2" t="inlineStr">
        <is>
          <t>Blodticka</t>
        </is>
      </c>
      <c r="S356">
        <f>HYPERLINK("https://klasma.github.io/Logging_0883/artfynd/A 3673-2025 artfynd.xlsx", "A 3673-2025")</f>
        <v/>
      </c>
      <c r="T356">
        <f>HYPERLINK("https://klasma.github.io/Logging_0883/kartor/A 3673-2025 karta.png", "A 3673-2025")</f>
        <v/>
      </c>
      <c r="V356">
        <f>HYPERLINK("https://klasma.github.io/Logging_0883/klagomål/A 3673-2025 FSC-klagomål.docx", "A 3673-2025")</f>
        <v/>
      </c>
      <c r="W356">
        <f>HYPERLINK("https://klasma.github.io/Logging_0883/klagomålsmail/A 3673-2025 FSC-klagomål mail.docx", "A 3673-2025")</f>
        <v/>
      </c>
      <c r="X356">
        <f>HYPERLINK("https://klasma.github.io/Logging_0883/tillsyn/A 3673-2025 tillsynsbegäran.docx", "A 3673-2025")</f>
        <v/>
      </c>
      <c r="Y356">
        <f>HYPERLINK("https://klasma.github.io/Logging_0883/tillsynsmail/A 3673-2025 tillsynsbegäran mail.docx", "A 3673-2025")</f>
        <v/>
      </c>
    </row>
    <row r="357" ht="15" customHeight="1">
      <c r="A357" t="inlineStr">
        <is>
          <t>A 3600-2025</t>
        </is>
      </c>
      <c r="B357" s="1" t="n">
        <v>45681</v>
      </c>
      <c r="C357" s="1" t="n">
        <v>45851</v>
      </c>
      <c r="D357" t="inlineStr">
        <is>
          <t>KALMAR LÄN</t>
        </is>
      </c>
      <c r="E357" t="inlineStr">
        <is>
          <t>VÄSTERVIK</t>
        </is>
      </c>
      <c r="G357" t="n">
        <v>1</v>
      </c>
      <c r="H357" t="n">
        <v>1</v>
      </c>
      <c r="I357" t="n">
        <v>0</v>
      </c>
      <c r="J357" t="n">
        <v>1</v>
      </c>
      <c r="K357" t="n">
        <v>0</v>
      </c>
      <c r="L357" t="n">
        <v>0</v>
      </c>
      <c r="M357" t="n">
        <v>0</v>
      </c>
      <c r="N357" t="n">
        <v>0</v>
      </c>
      <c r="O357" t="n">
        <v>1</v>
      </c>
      <c r="P357" t="n">
        <v>0</v>
      </c>
      <c r="Q357" t="n">
        <v>1</v>
      </c>
      <c r="R357" s="2" t="inlineStr">
        <is>
          <t>Spillkråka</t>
        </is>
      </c>
      <c r="S357">
        <f>HYPERLINK("https://klasma.github.io/Logging_0883/artfynd/A 3600-2025 artfynd.xlsx", "A 3600-2025")</f>
        <v/>
      </c>
      <c r="T357">
        <f>HYPERLINK("https://klasma.github.io/Logging_0883/kartor/A 3600-2025 karta.png", "A 3600-2025")</f>
        <v/>
      </c>
      <c r="V357">
        <f>HYPERLINK("https://klasma.github.io/Logging_0883/klagomål/A 3600-2025 FSC-klagomål.docx", "A 3600-2025")</f>
        <v/>
      </c>
      <c r="W357">
        <f>HYPERLINK("https://klasma.github.io/Logging_0883/klagomålsmail/A 3600-2025 FSC-klagomål mail.docx", "A 3600-2025")</f>
        <v/>
      </c>
      <c r="X357">
        <f>HYPERLINK("https://klasma.github.io/Logging_0883/tillsyn/A 3600-2025 tillsynsbegäran.docx", "A 3600-2025")</f>
        <v/>
      </c>
      <c r="Y357">
        <f>HYPERLINK("https://klasma.github.io/Logging_0883/tillsynsmail/A 3600-2025 tillsynsbegäran mail.docx", "A 3600-2025")</f>
        <v/>
      </c>
      <c r="Z357">
        <f>HYPERLINK("https://klasma.github.io/Logging_0883/fåglar/A 3600-2025 prioriterade fågelarter.docx", "A 3600-2025")</f>
        <v/>
      </c>
    </row>
    <row r="358" ht="15" customHeight="1">
      <c r="A358" t="inlineStr">
        <is>
          <t>A 4750-2025</t>
        </is>
      </c>
      <c r="B358" s="1" t="n">
        <v>45688</v>
      </c>
      <c r="C358" s="1" t="n">
        <v>45851</v>
      </c>
      <c r="D358" t="inlineStr">
        <is>
          <t>KALMAR LÄN</t>
        </is>
      </c>
      <c r="E358" t="inlineStr">
        <is>
          <t>VÄSTERVIK</t>
        </is>
      </c>
      <c r="F358" t="inlineStr">
        <is>
          <t>Holmen skog AB</t>
        </is>
      </c>
      <c r="G358" t="n">
        <v>0.9</v>
      </c>
      <c r="H358" t="n">
        <v>1</v>
      </c>
      <c r="I358" t="n">
        <v>0</v>
      </c>
      <c r="J358" t="n">
        <v>1</v>
      </c>
      <c r="K358" t="n">
        <v>0</v>
      </c>
      <c r="L358" t="n">
        <v>0</v>
      </c>
      <c r="M358" t="n">
        <v>0</v>
      </c>
      <c r="N358" t="n">
        <v>0</v>
      </c>
      <c r="O358" t="n">
        <v>1</v>
      </c>
      <c r="P358" t="n">
        <v>0</v>
      </c>
      <c r="Q358" t="n">
        <v>1</v>
      </c>
      <c r="R358" s="2" t="inlineStr">
        <is>
          <t>Talltita</t>
        </is>
      </c>
      <c r="S358">
        <f>HYPERLINK("https://klasma.github.io/Logging_0883/artfynd/A 4750-2025 artfynd.xlsx", "A 4750-2025")</f>
        <v/>
      </c>
      <c r="T358">
        <f>HYPERLINK("https://klasma.github.io/Logging_0883/kartor/A 4750-2025 karta.png", "A 4750-2025")</f>
        <v/>
      </c>
      <c r="V358">
        <f>HYPERLINK("https://klasma.github.io/Logging_0883/klagomål/A 4750-2025 FSC-klagomål.docx", "A 4750-2025")</f>
        <v/>
      </c>
      <c r="W358">
        <f>HYPERLINK("https://klasma.github.io/Logging_0883/klagomålsmail/A 4750-2025 FSC-klagomål mail.docx", "A 4750-2025")</f>
        <v/>
      </c>
      <c r="X358">
        <f>HYPERLINK("https://klasma.github.io/Logging_0883/tillsyn/A 4750-2025 tillsynsbegäran.docx", "A 4750-2025")</f>
        <v/>
      </c>
      <c r="Y358">
        <f>HYPERLINK("https://klasma.github.io/Logging_0883/tillsynsmail/A 4750-2025 tillsynsbegäran mail.docx", "A 4750-2025")</f>
        <v/>
      </c>
      <c r="Z358">
        <f>HYPERLINK("https://klasma.github.io/Logging_0883/fåglar/A 4750-2025 prioriterade fågelarter.docx", "A 4750-2025")</f>
        <v/>
      </c>
    </row>
    <row r="359" ht="15" customHeight="1">
      <c r="A359" t="inlineStr">
        <is>
          <t>A 4719-2025</t>
        </is>
      </c>
      <c r="B359" s="1" t="n">
        <v>45688</v>
      </c>
      <c r="C359" s="1" t="n">
        <v>45851</v>
      </c>
      <c r="D359" t="inlineStr">
        <is>
          <t>KALMAR LÄN</t>
        </is>
      </c>
      <c r="E359" t="inlineStr">
        <is>
          <t>VÄSTERVIK</t>
        </is>
      </c>
      <c r="G359" t="n">
        <v>10.4</v>
      </c>
      <c r="H359" t="n">
        <v>0</v>
      </c>
      <c r="I359" t="n">
        <v>1</v>
      </c>
      <c r="J359" t="n">
        <v>0</v>
      </c>
      <c r="K359" t="n">
        <v>0</v>
      </c>
      <c r="L359" t="n">
        <v>0</v>
      </c>
      <c r="M359" t="n">
        <v>0</v>
      </c>
      <c r="N359" t="n">
        <v>0</v>
      </c>
      <c r="O359" t="n">
        <v>0</v>
      </c>
      <c r="P359" t="n">
        <v>0</v>
      </c>
      <c r="Q359" t="n">
        <v>1</v>
      </c>
      <c r="R359" s="2" t="inlineStr">
        <is>
          <t>Dropptaggsvamp</t>
        </is>
      </c>
      <c r="S359">
        <f>HYPERLINK("https://klasma.github.io/Logging_0883/artfynd/A 4719-2025 artfynd.xlsx", "A 4719-2025")</f>
        <v/>
      </c>
      <c r="T359">
        <f>HYPERLINK("https://klasma.github.io/Logging_0883/kartor/A 4719-2025 karta.png", "A 4719-2025")</f>
        <v/>
      </c>
      <c r="V359">
        <f>HYPERLINK("https://klasma.github.io/Logging_0883/klagomål/A 4719-2025 FSC-klagomål.docx", "A 4719-2025")</f>
        <v/>
      </c>
      <c r="W359">
        <f>HYPERLINK("https://klasma.github.io/Logging_0883/klagomålsmail/A 4719-2025 FSC-klagomål mail.docx", "A 4719-2025")</f>
        <v/>
      </c>
      <c r="X359">
        <f>HYPERLINK("https://klasma.github.io/Logging_0883/tillsyn/A 4719-2025 tillsynsbegäran.docx", "A 4719-2025")</f>
        <v/>
      </c>
      <c r="Y359">
        <f>HYPERLINK("https://klasma.github.io/Logging_0883/tillsynsmail/A 4719-2025 tillsynsbegäran mail.docx", "A 4719-2025")</f>
        <v/>
      </c>
    </row>
    <row r="360" ht="15" customHeight="1">
      <c r="A360" t="inlineStr">
        <is>
          <t>A 5840-2025</t>
        </is>
      </c>
      <c r="B360" s="1" t="n">
        <v>45695</v>
      </c>
      <c r="C360" s="1" t="n">
        <v>45851</v>
      </c>
      <c r="D360" t="inlineStr">
        <is>
          <t>KALMAR LÄN</t>
        </is>
      </c>
      <c r="E360" t="inlineStr">
        <is>
          <t>VÄSTERVIK</t>
        </is>
      </c>
      <c r="F360" t="inlineStr">
        <is>
          <t>Holmen skog AB</t>
        </is>
      </c>
      <c r="G360" t="n">
        <v>2.7</v>
      </c>
      <c r="H360" t="n">
        <v>0</v>
      </c>
      <c r="I360" t="n">
        <v>0</v>
      </c>
      <c r="J360" t="n">
        <v>1</v>
      </c>
      <c r="K360" t="n">
        <v>0</v>
      </c>
      <c r="L360" t="n">
        <v>0</v>
      </c>
      <c r="M360" t="n">
        <v>0</v>
      </c>
      <c r="N360" t="n">
        <v>0</v>
      </c>
      <c r="O360" t="n">
        <v>1</v>
      </c>
      <c r="P360" t="n">
        <v>0</v>
      </c>
      <c r="Q360" t="n">
        <v>1</v>
      </c>
      <c r="R360" s="2" t="inlineStr">
        <is>
          <t>Krusfrö</t>
        </is>
      </c>
      <c r="S360">
        <f>HYPERLINK("https://klasma.github.io/Logging_0883/artfynd/A 5840-2025 artfynd.xlsx", "A 5840-2025")</f>
        <v/>
      </c>
      <c r="T360">
        <f>HYPERLINK("https://klasma.github.io/Logging_0883/kartor/A 5840-2025 karta.png", "A 5840-2025")</f>
        <v/>
      </c>
      <c r="V360">
        <f>HYPERLINK("https://klasma.github.io/Logging_0883/klagomål/A 5840-2025 FSC-klagomål.docx", "A 5840-2025")</f>
        <v/>
      </c>
      <c r="W360">
        <f>HYPERLINK("https://klasma.github.io/Logging_0883/klagomålsmail/A 5840-2025 FSC-klagomål mail.docx", "A 5840-2025")</f>
        <v/>
      </c>
      <c r="X360">
        <f>HYPERLINK("https://klasma.github.io/Logging_0883/tillsyn/A 5840-2025 tillsynsbegäran.docx", "A 5840-2025")</f>
        <v/>
      </c>
      <c r="Y360">
        <f>HYPERLINK("https://klasma.github.io/Logging_0883/tillsynsmail/A 5840-2025 tillsynsbegäran mail.docx", "A 5840-2025")</f>
        <v/>
      </c>
    </row>
    <row r="361" ht="15" customHeight="1">
      <c r="A361" t="inlineStr">
        <is>
          <t>A 6657-2025</t>
        </is>
      </c>
      <c r="B361" s="1" t="n">
        <v>45700</v>
      </c>
      <c r="C361" s="1" t="n">
        <v>45851</v>
      </c>
      <c r="D361" t="inlineStr">
        <is>
          <t>KALMAR LÄN</t>
        </is>
      </c>
      <c r="E361" t="inlineStr">
        <is>
          <t>VÄSTERVIK</t>
        </is>
      </c>
      <c r="F361" t="inlineStr">
        <is>
          <t>Holmen skog AB</t>
        </is>
      </c>
      <c r="G361" t="n">
        <v>3</v>
      </c>
      <c r="H361" t="n">
        <v>1</v>
      </c>
      <c r="I361" t="n">
        <v>0</v>
      </c>
      <c r="J361" t="n">
        <v>0</v>
      </c>
      <c r="K361" t="n">
        <v>1</v>
      </c>
      <c r="L361" t="n">
        <v>0</v>
      </c>
      <c r="M361" t="n">
        <v>0</v>
      </c>
      <c r="N361" t="n">
        <v>0</v>
      </c>
      <c r="O361" t="n">
        <v>1</v>
      </c>
      <c r="P361" t="n">
        <v>1</v>
      </c>
      <c r="Q361" t="n">
        <v>1</v>
      </c>
      <c r="R361" s="2" t="inlineStr">
        <is>
          <t>Knärot</t>
        </is>
      </c>
      <c r="S361">
        <f>HYPERLINK("https://klasma.github.io/Logging_0883/artfynd/A 6657-2025 artfynd.xlsx", "A 6657-2025")</f>
        <v/>
      </c>
      <c r="T361">
        <f>HYPERLINK("https://klasma.github.io/Logging_0883/kartor/A 6657-2025 karta.png", "A 6657-2025")</f>
        <v/>
      </c>
      <c r="U361">
        <f>HYPERLINK("https://klasma.github.io/Logging_0883/knärot/A 6657-2025 karta knärot.png", "A 6657-2025")</f>
        <v/>
      </c>
      <c r="V361">
        <f>HYPERLINK("https://klasma.github.io/Logging_0883/klagomål/A 6657-2025 FSC-klagomål.docx", "A 6657-2025")</f>
        <v/>
      </c>
      <c r="W361">
        <f>HYPERLINK("https://klasma.github.io/Logging_0883/klagomålsmail/A 6657-2025 FSC-klagomål mail.docx", "A 6657-2025")</f>
        <v/>
      </c>
      <c r="X361">
        <f>HYPERLINK("https://klasma.github.io/Logging_0883/tillsyn/A 6657-2025 tillsynsbegäran.docx", "A 6657-2025")</f>
        <v/>
      </c>
      <c r="Y361">
        <f>HYPERLINK("https://klasma.github.io/Logging_0883/tillsynsmail/A 6657-2025 tillsynsbegäran mail.docx", "A 6657-2025")</f>
        <v/>
      </c>
    </row>
    <row r="362" ht="15" customHeight="1">
      <c r="A362" t="inlineStr">
        <is>
          <t>A 6634-2025</t>
        </is>
      </c>
      <c r="B362" s="1" t="n">
        <v>45700</v>
      </c>
      <c r="C362" s="1" t="n">
        <v>45851</v>
      </c>
      <c r="D362" t="inlineStr">
        <is>
          <t>KALMAR LÄN</t>
        </is>
      </c>
      <c r="E362" t="inlineStr">
        <is>
          <t>VÄSTERVIK</t>
        </is>
      </c>
      <c r="G362" t="n">
        <v>2.2</v>
      </c>
      <c r="H362" t="n">
        <v>0</v>
      </c>
      <c r="I362" t="n">
        <v>1</v>
      </c>
      <c r="J362" t="n">
        <v>0</v>
      </c>
      <c r="K362" t="n">
        <v>0</v>
      </c>
      <c r="L362" t="n">
        <v>0</v>
      </c>
      <c r="M362" t="n">
        <v>0</v>
      </c>
      <c r="N362" t="n">
        <v>0</v>
      </c>
      <c r="O362" t="n">
        <v>0</v>
      </c>
      <c r="P362" t="n">
        <v>0</v>
      </c>
      <c r="Q362" t="n">
        <v>1</v>
      </c>
      <c r="R362" s="2" t="inlineStr">
        <is>
          <t>Ögonpyrola</t>
        </is>
      </c>
      <c r="S362">
        <f>HYPERLINK("https://klasma.github.io/Logging_0883/artfynd/A 6634-2025 artfynd.xlsx", "A 6634-2025")</f>
        <v/>
      </c>
      <c r="T362">
        <f>HYPERLINK("https://klasma.github.io/Logging_0883/kartor/A 6634-2025 karta.png", "A 6634-2025")</f>
        <v/>
      </c>
      <c r="V362">
        <f>HYPERLINK("https://klasma.github.io/Logging_0883/klagomål/A 6634-2025 FSC-klagomål.docx", "A 6634-2025")</f>
        <v/>
      </c>
      <c r="W362">
        <f>HYPERLINK("https://klasma.github.io/Logging_0883/klagomålsmail/A 6634-2025 FSC-klagomål mail.docx", "A 6634-2025")</f>
        <v/>
      </c>
      <c r="X362">
        <f>HYPERLINK("https://klasma.github.io/Logging_0883/tillsyn/A 6634-2025 tillsynsbegäran.docx", "A 6634-2025")</f>
        <v/>
      </c>
      <c r="Y362">
        <f>HYPERLINK("https://klasma.github.io/Logging_0883/tillsynsmail/A 6634-2025 tillsynsbegäran mail.docx", "A 6634-2025")</f>
        <v/>
      </c>
    </row>
    <row r="363" ht="15" customHeight="1">
      <c r="A363" t="inlineStr">
        <is>
          <t>A 6605-2025</t>
        </is>
      </c>
      <c r="B363" s="1" t="n">
        <v>45700</v>
      </c>
      <c r="C363" s="1" t="n">
        <v>45851</v>
      </c>
      <c r="D363" t="inlineStr">
        <is>
          <t>KALMAR LÄN</t>
        </is>
      </c>
      <c r="E363" t="inlineStr">
        <is>
          <t>VÄSTERVIK</t>
        </is>
      </c>
      <c r="G363" t="n">
        <v>4.5</v>
      </c>
      <c r="H363" t="n">
        <v>0</v>
      </c>
      <c r="I363" t="n">
        <v>1</v>
      </c>
      <c r="J363" t="n">
        <v>0</v>
      </c>
      <c r="K363" t="n">
        <v>0</v>
      </c>
      <c r="L363" t="n">
        <v>0</v>
      </c>
      <c r="M363" t="n">
        <v>0</v>
      </c>
      <c r="N363" t="n">
        <v>0</v>
      </c>
      <c r="O363" t="n">
        <v>0</v>
      </c>
      <c r="P363" t="n">
        <v>0</v>
      </c>
      <c r="Q363" t="n">
        <v>1</v>
      </c>
      <c r="R363" s="2" t="inlineStr">
        <is>
          <t>Dropptaggsvamp</t>
        </is>
      </c>
      <c r="S363">
        <f>HYPERLINK("https://klasma.github.io/Logging_0883/artfynd/A 6605-2025 artfynd.xlsx", "A 6605-2025")</f>
        <v/>
      </c>
      <c r="T363">
        <f>HYPERLINK("https://klasma.github.io/Logging_0883/kartor/A 6605-2025 karta.png", "A 6605-2025")</f>
        <v/>
      </c>
      <c r="V363">
        <f>HYPERLINK("https://klasma.github.io/Logging_0883/klagomål/A 6605-2025 FSC-klagomål.docx", "A 6605-2025")</f>
        <v/>
      </c>
      <c r="W363">
        <f>HYPERLINK("https://klasma.github.io/Logging_0883/klagomålsmail/A 6605-2025 FSC-klagomål mail.docx", "A 6605-2025")</f>
        <v/>
      </c>
      <c r="X363">
        <f>HYPERLINK("https://klasma.github.io/Logging_0883/tillsyn/A 6605-2025 tillsynsbegäran.docx", "A 6605-2025")</f>
        <v/>
      </c>
      <c r="Y363">
        <f>HYPERLINK("https://klasma.github.io/Logging_0883/tillsynsmail/A 6605-2025 tillsynsbegäran mail.docx", "A 6605-2025")</f>
        <v/>
      </c>
    </row>
    <row r="364" ht="15" customHeight="1">
      <c r="A364" t="inlineStr">
        <is>
          <t>A 9261-2025</t>
        </is>
      </c>
      <c r="B364" s="1" t="n">
        <v>45714</v>
      </c>
      <c r="C364" s="1" t="n">
        <v>45851</v>
      </c>
      <c r="D364" t="inlineStr">
        <is>
          <t>KALMAR LÄN</t>
        </is>
      </c>
      <c r="E364" t="inlineStr">
        <is>
          <t>VÄSTERVIK</t>
        </is>
      </c>
      <c r="F364" t="inlineStr">
        <is>
          <t>Sveaskog</t>
        </is>
      </c>
      <c r="G364" t="n">
        <v>4.9</v>
      </c>
      <c r="H364" t="n">
        <v>1</v>
      </c>
      <c r="I364" t="n">
        <v>0</v>
      </c>
      <c r="J364" t="n">
        <v>1</v>
      </c>
      <c r="K364" t="n">
        <v>0</v>
      </c>
      <c r="L364" t="n">
        <v>0</v>
      </c>
      <c r="M364" t="n">
        <v>0</v>
      </c>
      <c r="N364" t="n">
        <v>0</v>
      </c>
      <c r="O364" t="n">
        <v>1</v>
      </c>
      <c r="P364" t="n">
        <v>0</v>
      </c>
      <c r="Q364" t="n">
        <v>1</v>
      </c>
      <c r="R364" s="2" t="inlineStr">
        <is>
          <t>Havsörn</t>
        </is>
      </c>
      <c r="S364">
        <f>HYPERLINK("https://klasma.github.io/Logging_0883/artfynd/A 9261-2025 artfynd.xlsx", "A 9261-2025")</f>
        <v/>
      </c>
      <c r="T364">
        <f>HYPERLINK("https://klasma.github.io/Logging_0883/kartor/A 9261-2025 karta.png", "A 9261-2025")</f>
        <v/>
      </c>
      <c r="V364">
        <f>HYPERLINK("https://klasma.github.io/Logging_0883/klagomål/A 9261-2025 FSC-klagomål.docx", "A 9261-2025")</f>
        <v/>
      </c>
      <c r="W364">
        <f>HYPERLINK("https://klasma.github.io/Logging_0883/klagomålsmail/A 9261-2025 FSC-klagomål mail.docx", "A 9261-2025")</f>
        <v/>
      </c>
      <c r="X364">
        <f>HYPERLINK("https://klasma.github.io/Logging_0883/tillsyn/A 9261-2025 tillsynsbegäran.docx", "A 9261-2025")</f>
        <v/>
      </c>
      <c r="Y364">
        <f>HYPERLINK("https://klasma.github.io/Logging_0883/tillsynsmail/A 9261-2025 tillsynsbegäran mail.docx", "A 9261-2025")</f>
        <v/>
      </c>
      <c r="Z364">
        <f>HYPERLINK("https://klasma.github.io/Logging_0883/fåglar/A 9261-2025 prioriterade fågelarter.docx", "A 9261-2025")</f>
        <v/>
      </c>
    </row>
    <row r="365" ht="15" customHeight="1">
      <c r="A365" t="inlineStr">
        <is>
          <t>A 9265-2025</t>
        </is>
      </c>
      <c r="B365" s="1" t="n">
        <v>45714</v>
      </c>
      <c r="C365" s="1" t="n">
        <v>45851</v>
      </c>
      <c r="D365" t="inlineStr">
        <is>
          <t>KALMAR LÄN</t>
        </is>
      </c>
      <c r="E365" t="inlineStr">
        <is>
          <t>VÄSTERVIK</t>
        </is>
      </c>
      <c r="F365" t="inlineStr">
        <is>
          <t>Sveaskog</t>
        </is>
      </c>
      <c r="G365" t="n">
        <v>2.2</v>
      </c>
      <c r="H365" t="n">
        <v>1</v>
      </c>
      <c r="I365" t="n">
        <v>0</v>
      </c>
      <c r="J365" t="n">
        <v>1</v>
      </c>
      <c r="K365" t="n">
        <v>0</v>
      </c>
      <c r="L365" t="n">
        <v>0</v>
      </c>
      <c r="M365" t="n">
        <v>0</v>
      </c>
      <c r="N365" t="n">
        <v>0</v>
      </c>
      <c r="O365" t="n">
        <v>1</v>
      </c>
      <c r="P365" t="n">
        <v>0</v>
      </c>
      <c r="Q365" t="n">
        <v>1</v>
      </c>
      <c r="R365" s="2" t="inlineStr">
        <is>
          <t>Havsörn</t>
        </is>
      </c>
      <c r="S365">
        <f>HYPERLINK("https://klasma.github.io/Logging_0883/artfynd/A 9265-2025 artfynd.xlsx", "A 9265-2025")</f>
        <v/>
      </c>
      <c r="T365">
        <f>HYPERLINK("https://klasma.github.io/Logging_0883/kartor/A 9265-2025 karta.png", "A 9265-2025")</f>
        <v/>
      </c>
      <c r="V365">
        <f>HYPERLINK("https://klasma.github.io/Logging_0883/klagomål/A 9265-2025 FSC-klagomål.docx", "A 9265-2025")</f>
        <v/>
      </c>
      <c r="W365">
        <f>HYPERLINK("https://klasma.github.io/Logging_0883/klagomålsmail/A 9265-2025 FSC-klagomål mail.docx", "A 9265-2025")</f>
        <v/>
      </c>
      <c r="X365">
        <f>HYPERLINK("https://klasma.github.io/Logging_0883/tillsyn/A 9265-2025 tillsynsbegäran.docx", "A 9265-2025")</f>
        <v/>
      </c>
      <c r="Y365">
        <f>HYPERLINK("https://klasma.github.io/Logging_0883/tillsynsmail/A 9265-2025 tillsynsbegäran mail.docx", "A 9265-2025")</f>
        <v/>
      </c>
      <c r="Z365">
        <f>HYPERLINK("https://klasma.github.io/Logging_0883/fåglar/A 9265-2025 prioriterade fågelarter.docx", "A 9265-2025")</f>
        <v/>
      </c>
    </row>
    <row r="366" ht="15" customHeight="1">
      <c r="A366" t="inlineStr">
        <is>
          <t>A 9571-2025</t>
        </is>
      </c>
      <c r="B366" s="1" t="n">
        <v>45715</v>
      </c>
      <c r="C366" s="1" t="n">
        <v>45851</v>
      </c>
      <c r="D366" t="inlineStr">
        <is>
          <t>KALMAR LÄN</t>
        </is>
      </c>
      <c r="E366" t="inlineStr">
        <is>
          <t>VÄSTERVIK</t>
        </is>
      </c>
      <c r="G366" t="n">
        <v>12</v>
      </c>
      <c r="H366" t="n">
        <v>1</v>
      </c>
      <c r="I366" t="n">
        <v>0</v>
      </c>
      <c r="J366" t="n">
        <v>0</v>
      </c>
      <c r="K366" t="n">
        <v>0</v>
      </c>
      <c r="L366" t="n">
        <v>0</v>
      </c>
      <c r="M366" t="n">
        <v>0</v>
      </c>
      <c r="N366" t="n">
        <v>0</v>
      </c>
      <c r="O366" t="n">
        <v>0</v>
      </c>
      <c r="P366" t="n">
        <v>0</v>
      </c>
      <c r="Q366" t="n">
        <v>1</v>
      </c>
      <c r="R366" s="2" t="inlineStr">
        <is>
          <t>Revlummer</t>
        </is>
      </c>
      <c r="S366">
        <f>HYPERLINK("https://klasma.github.io/Logging_080883/artfynd/A 9571-2025 artfynd.xlsx", "A 9571-2025")</f>
        <v/>
      </c>
      <c r="T366">
        <f>HYPERLINK("https://klasma.github.io/Logging_080883/kartor/A 9571-2025 karta.png", "A 9571-2025")</f>
        <v/>
      </c>
      <c r="V366">
        <f>HYPERLINK("https://klasma.github.io/Logging_080883/klagomål/A 9571-2025 FSC-klagomål.docx", "A 9571-2025")</f>
        <v/>
      </c>
      <c r="W366">
        <f>HYPERLINK("https://klasma.github.io/Logging_080883/klagomålsmail/A 9571-2025 FSC-klagomål mail.docx", "A 9571-2025")</f>
        <v/>
      </c>
      <c r="X366">
        <f>HYPERLINK("https://klasma.github.io/Logging_080883/tillsyn/A 9571-2025 tillsynsbegäran.docx", "A 9571-2025")</f>
        <v/>
      </c>
      <c r="Y366">
        <f>HYPERLINK("https://klasma.github.io/Logging_080883/tillsynsmail/A 9571-2025 tillsynsbegäran mail.docx", "A 9571-2025")</f>
        <v/>
      </c>
    </row>
    <row r="367" ht="15" customHeight="1">
      <c r="A367" t="inlineStr">
        <is>
          <t>A 10768-2025</t>
        </is>
      </c>
      <c r="B367" s="1" t="n">
        <v>45722</v>
      </c>
      <c r="C367" s="1" t="n">
        <v>45851</v>
      </c>
      <c r="D367" t="inlineStr">
        <is>
          <t>KALMAR LÄN</t>
        </is>
      </c>
      <c r="E367" t="inlineStr">
        <is>
          <t>VÄSTERVIK</t>
        </is>
      </c>
      <c r="G367" t="n">
        <v>0.9</v>
      </c>
      <c r="H367" t="n">
        <v>1</v>
      </c>
      <c r="I367" t="n">
        <v>0</v>
      </c>
      <c r="J367" t="n">
        <v>1</v>
      </c>
      <c r="K367" t="n">
        <v>0</v>
      </c>
      <c r="L367" t="n">
        <v>0</v>
      </c>
      <c r="M367" t="n">
        <v>0</v>
      </c>
      <c r="N367" t="n">
        <v>0</v>
      </c>
      <c r="O367" t="n">
        <v>1</v>
      </c>
      <c r="P367" t="n">
        <v>0</v>
      </c>
      <c r="Q367" t="n">
        <v>1</v>
      </c>
      <c r="R367" s="2" t="inlineStr">
        <is>
          <t>Talltita</t>
        </is>
      </c>
      <c r="S367">
        <f>HYPERLINK("https://klasma.github.io/Logging_080883/artfynd/A 10768-2025 artfynd.xlsx", "A 10768-2025")</f>
        <v/>
      </c>
      <c r="T367">
        <f>HYPERLINK("https://klasma.github.io/Logging_080883/kartor/A 10768-2025 karta.png", "A 10768-2025")</f>
        <v/>
      </c>
      <c r="V367">
        <f>HYPERLINK("https://klasma.github.io/Logging_080883/klagomål/A 10768-2025 FSC-klagomål.docx", "A 10768-2025")</f>
        <v/>
      </c>
      <c r="W367">
        <f>HYPERLINK("https://klasma.github.io/Logging_080883/klagomålsmail/A 10768-2025 FSC-klagomål mail.docx", "A 10768-2025")</f>
        <v/>
      </c>
      <c r="X367">
        <f>HYPERLINK("https://klasma.github.io/Logging_080883/tillsyn/A 10768-2025 tillsynsbegäran.docx", "A 10768-2025")</f>
        <v/>
      </c>
      <c r="Y367">
        <f>HYPERLINK("https://klasma.github.io/Logging_080883/tillsynsmail/A 10768-2025 tillsynsbegäran mail.docx", "A 10768-2025")</f>
        <v/>
      </c>
      <c r="Z367">
        <f>HYPERLINK("https://klasma.github.io/Logging_080883/fåglar/A 10768-2025 prioriterade fågelarter.docx", "A 10768-2025")</f>
        <v/>
      </c>
    </row>
    <row r="368" ht="15" customHeight="1">
      <c r="A368" t="inlineStr">
        <is>
          <t>A 12292-2025</t>
        </is>
      </c>
      <c r="B368" s="1" t="n">
        <v>45729</v>
      </c>
      <c r="C368" s="1" t="n">
        <v>45851</v>
      </c>
      <c r="D368" t="inlineStr">
        <is>
          <t>KALMAR LÄN</t>
        </is>
      </c>
      <c r="E368" t="inlineStr">
        <is>
          <t>VÄSTERVIK</t>
        </is>
      </c>
      <c r="G368" t="n">
        <v>1.7</v>
      </c>
      <c r="H368" t="n">
        <v>1</v>
      </c>
      <c r="I368" t="n">
        <v>0</v>
      </c>
      <c r="J368" t="n">
        <v>0</v>
      </c>
      <c r="K368" t="n">
        <v>1</v>
      </c>
      <c r="L368" t="n">
        <v>0</v>
      </c>
      <c r="M368" t="n">
        <v>0</v>
      </c>
      <c r="N368" t="n">
        <v>0</v>
      </c>
      <c r="O368" t="n">
        <v>1</v>
      </c>
      <c r="P368" t="n">
        <v>1</v>
      </c>
      <c r="Q368" t="n">
        <v>1</v>
      </c>
      <c r="R368" s="2" t="inlineStr">
        <is>
          <t>Knärot</t>
        </is>
      </c>
      <c r="S368">
        <f>HYPERLINK("https://klasma.github.io/Logging_080883/artfynd/A 12292-2025 artfynd.xlsx", "A 12292-2025")</f>
        <v/>
      </c>
      <c r="T368">
        <f>HYPERLINK("https://klasma.github.io/Logging_080883/kartor/A 12292-2025 karta.png", "A 12292-2025")</f>
        <v/>
      </c>
      <c r="U368">
        <f>HYPERLINK("https://klasma.github.io/Logging_080883/knärot/A 12292-2025 karta knärot.png", "A 12292-2025")</f>
        <v/>
      </c>
      <c r="V368">
        <f>HYPERLINK("https://klasma.github.io/Logging_080883/klagomål/A 12292-2025 FSC-klagomål.docx", "A 12292-2025")</f>
        <v/>
      </c>
      <c r="W368">
        <f>HYPERLINK("https://klasma.github.io/Logging_080883/klagomålsmail/A 12292-2025 FSC-klagomål mail.docx", "A 12292-2025")</f>
        <v/>
      </c>
      <c r="X368">
        <f>HYPERLINK("https://klasma.github.io/Logging_080883/tillsyn/A 12292-2025 tillsynsbegäran.docx", "A 12292-2025")</f>
        <v/>
      </c>
      <c r="Y368">
        <f>HYPERLINK("https://klasma.github.io/Logging_080883/tillsynsmail/A 12292-2025 tillsynsbegäran mail.docx", "A 12292-2025")</f>
        <v/>
      </c>
    </row>
    <row r="369" ht="15" customHeight="1">
      <c r="A369" t="inlineStr">
        <is>
          <t>A 13107-2025</t>
        </is>
      </c>
      <c r="B369" s="1" t="n">
        <v>45734</v>
      </c>
      <c r="C369" s="1" t="n">
        <v>45851</v>
      </c>
      <c r="D369" t="inlineStr">
        <is>
          <t>KALMAR LÄN</t>
        </is>
      </c>
      <c r="E369" t="inlineStr">
        <is>
          <t>VÄSTERVIK</t>
        </is>
      </c>
      <c r="G369" t="n">
        <v>1</v>
      </c>
      <c r="H369" t="n">
        <v>1</v>
      </c>
      <c r="I369" t="n">
        <v>0</v>
      </c>
      <c r="J369" t="n">
        <v>0</v>
      </c>
      <c r="K369" t="n">
        <v>0</v>
      </c>
      <c r="L369" t="n">
        <v>0</v>
      </c>
      <c r="M369" t="n">
        <v>0</v>
      </c>
      <c r="N369" t="n">
        <v>0</v>
      </c>
      <c r="O369" t="n">
        <v>0</v>
      </c>
      <c r="P369" t="n">
        <v>0</v>
      </c>
      <c r="Q369" t="n">
        <v>1</v>
      </c>
      <c r="R369" s="2" t="inlineStr">
        <is>
          <t>Vanlig groda</t>
        </is>
      </c>
      <c r="S369">
        <f>HYPERLINK("https://klasma.github.io/Logging_080883/artfynd/A 13107-2025 artfynd.xlsx", "A 13107-2025")</f>
        <v/>
      </c>
      <c r="T369">
        <f>HYPERLINK("https://klasma.github.io/Logging_080883/kartor/A 13107-2025 karta.png", "A 13107-2025")</f>
        <v/>
      </c>
      <c r="V369">
        <f>HYPERLINK("https://klasma.github.io/Logging_080883/klagomål/A 13107-2025 FSC-klagomål.docx", "A 13107-2025")</f>
        <v/>
      </c>
      <c r="W369">
        <f>HYPERLINK("https://klasma.github.io/Logging_080883/klagomålsmail/A 13107-2025 FSC-klagomål mail.docx", "A 13107-2025")</f>
        <v/>
      </c>
      <c r="X369">
        <f>HYPERLINK("https://klasma.github.io/Logging_080883/tillsyn/A 13107-2025 tillsynsbegäran.docx", "A 13107-2025")</f>
        <v/>
      </c>
      <c r="Y369">
        <f>HYPERLINK("https://klasma.github.io/Logging_080883/tillsynsmail/A 13107-2025 tillsynsbegäran mail.docx", "A 13107-2025")</f>
        <v/>
      </c>
    </row>
    <row r="370" ht="15" customHeight="1">
      <c r="A370" t="inlineStr">
        <is>
          <t>A 13352-2025</t>
        </is>
      </c>
      <c r="B370" s="1" t="n">
        <v>45735</v>
      </c>
      <c r="C370" s="1" t="n">
        <v>45851</v>
      </c>
      <c r="D370" t="inlineStr">
        <is>
          <t>KALMAR LÄN</t>
        </is>
      </c>
      <c r="E370" t="inlineStr">
        <is>
          <t>VÄSTERVIK</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HYPERLINK("https://klasma.github.io/Logging_080883/artfynd/A 13352-2025 artfynd.xlsx", "A 13352-2025")</f>
        <v/>
      </c>
      <c r="T370">
        <f>HYPERLINK("https://klasma.github.io/Logging_080883/kartor/A 13352-2025 karta.png", "A 13352-2025")</f>
        <v/>
      </c>
      <c r="U370">
        <f>HYPERLINK("https://klasma.github.io/Logging_080883/knärot/A 13352-2025 karta knärot.png", "A 13352-2025")</f>
        <v/>
      </c>
      <c r="V370">
        <f>HYPERLINK("https://klasma.github.io/Logging_080883/klagomål/A 13352-2025 FSC-klagomål.docx", "A 13352-2025")</f>
        <v/>
      </c>
      <c r="W370">
        <f>HYPERLINK("https://klasma.github.io/Logging_080883/klagomålsmail/A 13352-2025 FSC-klagomål mail.docx", "A 13352-2025")</f>
        <v/>
      </c>
      <c r="X370">
        <f>HYPERLINK("https://klasma.github.io/Logging_080883/tillsyn/A 13352-2025 tillsynsbegäran.docx", "A 13352-2025")</f>
        <v/>
      </c>
      <c r="Y370">
        <f>HYPERLINK("https://klasma.github.io/Logging_080883/tillsynsmail/A 13352-2025 tillsynsbegäran mail.docx", "A 13352-2025")</f>
        <v/>
      </c>
    </row>
    <row r="371" ht="15" customHeight="1">
      <c r="A371" t="inlineStr">
        <is>
          <t>A 14082-2025</t>
        </is>
      </c>
      <c r="B371" s="1" t="n">
        <v>45740</v>
      </c>
      <c r="C371" s="1" t="n">
        <v>45851</v>
      </c>
      <c r="D371" t="inlineStr">
        <is>
          <t>KALMAR LÄN</t>
        </is>
      </c>
      <c r="E371" t="inlineStr">
        <is>
          <t>VÄSTERVIK</t>
        </is>
      </c>
      <c r="F371" t="inlineStr">
        <is>
          <t>Sveaskog</t>
        </is>
      </c>
      <c r="G371" t="n">
        <v>1.2</v>
      </c>
      <c r="H371" t="n">
        <v>0</v>
      </c>
      <c r="I371" t="n">
        <v>0</v>
      </c>
      <c r="J371" t="n">
        <v>1</v>
      </c>
      <c r="K371" t="n">
        <v>0</v>
      </c>
      <c r="L371" t="n">
        <v>0</v>
      </c>
      <c r="M371" t="n">
        <v>0</v>
      </c>
      <c r="N371" t="n">
        <v>0</v>
      </c>
      <c r="O371" t="n">
        <v>1</v>
      </c>
      <c r="P371" t="n">
        <v>0</v>
      </c>
      <c r="Q371" t="n">
        <v>1</v>
      </c>
      <c r="R371" s="2" t="inlineStr">
        <is>
          <t>Bredbrämad bastardsvärmare</t>
        </is>
      </c>
      <c r="S371">
        <f>HYPERLINK("https://klasma.github.io/Logging_080883/artfynd/A 14082-2025 artfynd.xlsx", "A 14082-2025")</f>
        <v/>
      </c>
      <c r="T371">
        <f>HYPERLINK("https://klasma.github.io/Logging_080883/kartor/A 14082-2025 karta.png", "A 14082-2025")</f>
        <v/>
      </c>
      <c r="V371">
        <f>HYPERLINK("https://klasma.github.io/Logging_080883/klagomål/A 14082-2025 FSC-klagomål.docx", "A 14082-2025")</f>
        <v/>
      </c>
      <c r="W371">
        <f>HYPERLINK("https://klasma.github.io/Logging_080883/klagomålsmail/A 14082-2025 FSC-klagomål mail.docx", "A 14082-2025")</f>
        <v/>
      </c>
      <c r="X371">
        <f>HYPERLINK("https://klasma.github.io/Logging_080883/tillsyn/A 14082-2025 tillsynsbegäran.docx", "A 14082-2025")</f>
        <v/>
      </c>
      <c r="Y371">
        <f>HYPERLINK("https://klasma.github.io/Logging_080883/tillsynsmail/A 14082-2025 tillsynsbegäran mail.docx", "A 14082-2025")</f>
        <v/>
      </c>
    </row>
    <row r="372" ht="15" customHeight="1">
      <c r="A372" t="inlineStr">
        <is>
          <t>A 14131-2025</t>
        </is>
      </c>
      <c r="B372" s="1" t="n">
        <v>45740</v>
      </c>
      <c r="C372" s="1" t="n">
        <v>45851</v>
      </c>
      <c r="D372" t="inlineStr">
        <is>
          <t>KALMAR LÄN</t>
        </is>
      </c>
      <c r="E372" t="inlineStr">
        <is>
          <t>VÄSTERVIK</t>
        </is>
      </c>
      <c r="F372" t="inlineStr">
        <is>
          <t>Sveaskog</t>
        </is>
      </c>
      <c r="G372" t="n">
        <v>0.7</v>
      </c>
      <c r="H372" t="n">
        <v>1</v>
      </c>
      <c r="I372" t="n">
        <v>0</v>
      </c>
      <c r="J372" t="n">
        <v>0</v>
      </c>
      <c r="K372" t="n">
        <v>0</v>
      </c>
      <c r="L372" t="n">
        <v>0</v>
      </c>
      <c r="M372" t="n">
        <v>0</v>
      </c>
      <c r="N372" t="n">
        <v>0</v>
      </c>
      <c r="O372" t="n">
        <v>0</v>
      </c>
      <c r="P372" t="n">
        <v>0</v>
      </c>
      <c r="Q372" t="n">
        <v>1</v>
      </c>
      <c r="R372" s="2" t="inlineStr">
        <is>
          <t>Blåsippa</t>
        </is>
      </c>
      <c r="S372">
        <f>HYPERLINK("https://klasma.github.io/Logging_080883/artfynd/A 14131-2025 artfynd.xlsx", "A 14131-2025")</f>
        <v/>
      </c>
      <c r="T372">
        <f>HYPERLINK("https://klasma.github.io/Logging_080883/kartor/A 14131-2025 karta.png", "A 14131-2025")</f>
        <v/>
      </c>
      <c r="V372">
        <f>HYPERLINK("https://klasma.github.io/Logging_080883/klagomål/A 14131-2025 FSC-klagomål.docx", "A 14131-2025")</f>
        <v/>
      </c>
      <c r="W372">
        <f>HYPERLINK("https://klasma.github.io/Logging_080883/klagomålsmail/A 14131-2025 FSC-klagomål mail.docx", "A 14131-2025")</f>
        <v/>
      </c>
      <c r="X372">
        <f>HYPERLINK("https://klasma.github.io/Logging_080883/tillsyn/A 14131-2025 tillsynsbegäran.docx", "A 14131-2025")</f>
        <v/>
      </c>
      <c r="Y372">
        <f>HYPERLINK("https://klasma.github.io/Logging_080883/tillsynsmail/A 14131-2025 tillsynsbegäran mail.docx", "A 14131-2025")</f>
        <v/>
      </c>
    </row>
    <row r="373" ht="15" customHeight="1">
      <c r="A373" t="inlineStr">
        <is>
          <t>A 14089-2025</t>
        </is>
      </c>
      <c r="B373" s="1" t="n">
        <v>45740</v>
      </c>
      <c r="C373" s="1" t="n">
        <v>45851</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14089-2025 artfynd.xlsx", "A 14089-2025")</f>
        <v/>
      </c>
      <c r="T373">
        <f>HYPERLINK("https://klasma.github.io/Logging_080883/kartor/A 14089-2025 karta.png", "A 14089-2025")</f>
        <v/>
      </c>
      <c r="V373">
        <f>HYPERLINK("https://klasma.github.io/Logging_080883/klagomål/A 14089-2025 FSC-klagomål.docx", "A 14089-2025")</f>
        <v/>
      </c>
      <c r="W373">
        <f>HYPERLINK("https://klasma.github.io/Logging_080883/klagomålsmail/A 14089-2025 FSC-klagomål mail.docx", "A 14089-2025")</f>
        <v/>
      </c>
      <c r="X373">
        <f>HYPERLINK("https://klasma.github.io/Logging_080883/tillsyn/A 14089-2025 tillsynsbegäran.docx", "A 14089-2025")</f>
        <v/>
      </c>
      <c r="Y373">
        <f>HYPERLINK("https://klasma.github.io/Logging_080883/tillsynsmail/A 14089-2025 tillsynsbegäran mail.docx", "A 14089-2025")</f>
        <v/>
      </c>
      <c r="Z373">
        <f>HYPERLINK("https://klasma.github.io/Logging_080883/fåglar/A 14089-2025 prioriterade fågelarter.docx", "A 14089-2025")</f>
        <v/>
      </c>
    </row>
    <row r="374" ht="15" customHeight="1">
      <c r="A374" t="inlineStr">
        <is>
          <t>A 14103-2025</t>
        </is>
      </c>
      <c r="B374" s="1" t="n">
        <v>45740</v>
      </c>
      <c r="C374" s="1" t="n">
        <v>45851</v>
      </c>
      <c r="D374" t="inlineStr">
        <is>
          <t>KALMAR LÄN</t>
        </is>
      </c>
      <c r="E374" t="inlineStr">
        <is>
          <t>VÄSTERVIK</t>
        </is>
      </c>
      <c r="F374" t="inlineStr">
        <is>
          <t>Sveaskog</t>
        </is>
      </c>
      <c r="G374" t="n">
        <v>0.8</v>
      </c>
      <c r="H374" t="n">
        <v>1</v>
      </c>
      <c r="I374" t="n">
        <v>0</v>
      </c>
      <c r="J374" t="n">
        <v>0</v>
      </c>
      <c r="K374" t="n">
        <v>0</v>
      </c>
      <c r="L374" t="n">
        <v>0</v>
      </c>
      <c r="M374" t="n">
        <v>0</v>
      </c>
      <c r="N374" t="n">
        <v>0</v>
      </c>
      <c r="O374" t="n">
        <v>0</v>
      </c>
      <c r="P374" t="n">
        <v>0</v>
      </c>
      <c r="Q374" t="n">
        <v>1</v>
      </c>
      <c r="R374" s="2" t="inlineStr">
        <is>
          <t>Grönvit nattviol</t>
        </is>
      </c>
      <c r="S374">
        <f>HYPERLINK("https://klasma.github.io/Logging_080883/artfynd/A 14103-2025 artfynd.xlsx", "A 14103-2025")</f>
        <v/>
      </c>
      <c r="T374">
        <f>HYPERLINK("https://klasma.github.io/Logging_080883/kartor/A 14103-2025 karta.png", "A 14103-2025")</f>
        <v/>
      </c>
      <c r="V374">
        <f>HYPERLINK("https://klasma.github.io/Logging_080883/klagomål/A 14103-2025 FSC-klagomål.docx", "A 14103-2025")</f>
        <v/>
      </c>
      <c r="W374">
        <f>HYPERLINK("https://klasma.github.io/Logging_080883/klagomålsmail/A 14103-2025 FSC-klagomål mail.docx", "A 14103-2025")</f>
        <v/>
      </c>
      <c r="X374">
        <f>HYPERLINK("https://klasma.github.io/Logging_080883/tillsyn/A 14103-2025 tillsynsbegäran.docx", "A 14103-2025")</f>
        <v/>
      </c>
      <c r="Y374">
        <f>HYPERLINK("https://klasma.github.io/Logging_080883/tillsynsmail/A 14103-2025 tillsynsbegäran mail.docx", "A 14103-2025")</f>
        <v/>
      </c>
    </row>
    <row r="375" ht="15" customHeight="1">
      <c r="A375" t="inlineStr">
        <is>
          <t>A 14592-2025</t>
        </is>
      </c>
      <c r="B375" s="1" t="n">
        <v>45742</v>
      </c>
      <c r="C375" s="1" t="n">
        <v>45851</v>
      </c>
      <c r="D375" t="inlineStr">
        <is>
          <t>KALMAR LÄN</t>
        </is>
      </c>
      <c r="E375" t="inlineStr">
        <is>
          <t>VÄSTERVIK</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HYPERLINK("https://klasma.github.io/Logging_080883/artfynd/A 14592-2025 artfynd.xlsx", "A 14592-2025")</f>
        <v/>
      </c>
      <c r="T375">
        <f>HYPERLINK("https://klasma.github.io/Logging_080883/kartor/A 14592-2025 karta.png", "A 14592-2025")</f>
        <v/>
      </c>
      <c r="U375">
        <f>HYPERLINK("https://klasma.github.io/Logging_080883/knärot/A 14592-2025 karta knärot.png", "A 14592-2025")</f>
        <v/>
      </c>
      <c r="V375">
        <f>HYPERLINK("https://klasma.github.io/Logging_080883/klagomål/A 14592-2025 FSC-klagomål.docx", "A 14592-2025")</f>
        <v/>
      </c>
      <c r="W375">
        <f>HYPERLINK("https://klasma.github.io/Logging_080883/klagomålsmail/A 14592-2025 FSC-klagomål mail.docx", "A 14592-2025")</f>
        <v/>
      </c>
      <c r="X375">
        <f>HYPERLINK("https://klasma.github.io/Logging_080883/tillsyn/A 14592-2025 tillsynsbegäran.docx", "A 14592-2025")</f>
        <v/>
      </c>
      <c r="Y375">
        <f>HYPERLINK("https://klasma.github.io/Logging_080883/tillsynsmail/A 14592-2025 tillsynsbegäran mail.docx", "A 14592-2025")</f>
        <v/>
      </c>
    </row>
    <row r="376" ht="15" customHeight="1">
      <c r="A376" t="inlineStr">
        <is>
          <t>A 16695-2025</t>
        </is>
      </c>
      <c r="B376" s="1" t="n">
        <v>45754</v>
      </c>
      <c r="C376" s="1" t="n">
        <v>45851</v>
      </c>
      <c r="D376" t="inlineStr">
        <is>
          <t>KALMAR LÄN</t>
        </is>
      </c>
      <c r="E376" t="inlineStr">
        <is>
          <t>VÄSTERVIK</t>
        </is>
      </c>
      <c r="F376" t="inlineStr">
        <is>
          <t>Sveaskog</t>
        </is>
      </c>
      <c r="G376" t="n">
        <v>1.8</v>
      </c>
      <c r="H376" t="n">
        <v>1</v>
      </c>
      <c r="I376" t="n">
        <v>0</v>
      </c>
      <c r="J376" t="n">
        <v>0</v>
      </c>
      <c r="K376" t="n">
        <v>0</v>
      </c>
      <c r="L376" t="n">
        <v>0</v>
      </c>
      <c r="M376" t="n">
        <v>0</v>
      </c>
      <c r="N376" t="n">
        <v>0</v>
      </c>
      <c r="O376" t="n">
        <v>0</v>
      </c>
      <c r="P376" t="n">
        <v>0</v>
      </c>
      <c r="Q376" t="n">
        <v>1</v>
      </c>
      <c r="R376" s="2" t="inlineStr">
        <is>
          <t>Kungsfågel</t>
        </is>
      </c>
      <c r="S376">
        <f>HYPERLINK("https://klasma.github.io/Logging_080883/artfynd/A 16695-2025 artfynd.xlsx", "A 16695-2025")</f>
        <v/>
      </c>
      <c r="T376">
        <f>HYPERLINK("https://klasma.github.io/Logging_080883/kartor/A 16695-2025 karta.png", "A 16695-2025")</f>
        <v/>
      </c>
      <c r="V376">
        <f>HYPERLINK("https://klasma.github.io/Logging_080883/klagomål/A 16695-2025 FSC-klagomål.docx", "A 16695-2025")</f>
        <v/>
      </c>
      <c r="W376">
        <f>HYPERLINK("https://klasma.github.io/Logging_080883/klagomålsmail/A 16695-2025 FSC-klagomål mail.docx", "A 16695-2025")</f>
        <v/>
      </c>
      <c r="X376">
        <f>HYPERLINK("https://klasma.github.io/Logging_080883/tillsyn/A 16695-2025 tillsynsbegäran.docx", "A 16695-2025")</f>
        <v/>
      </c>
      <c r="Y376">
        <f>HYPERLINK("https://klasma.github.io/Logging_080883/tillsynsmail/A 16695-2025 tillsynsbegäran mail.docx", "A 16695-2025")</f>
        <v/>
      </c>
      <c r="Z376">
        <f>HYPERLINK("https://klasma.github.io/Logging_080883/fåglar/A 16695-2025 prioriterade fågelarter.docx", "A 16695-2025")</f>
        <v/>
      </c>
    </row>
    <row r="377" ht="15" customHeight="1">
      <c r="A377" t="inlineStr">
        <is>
          <t>A 16697-2025</t>
        </is>
      </c>
      <c r="B377" s="1" t="n">
        <v>45754</v>
      </c>
      <c r="C377" s="1" t="n">
        <v>45851</v>
      </c>
      <c r="D377" t="inlineStr">
        <is>
          <t>KALMAR LÄN</t>
        </is>
      </c>
      <c r="E377" t="inlineStr">
        <is>
          <t>VÄSTERVIK</t>
        </is>
      </c>
      <c r="F377" t="inlineStr">
        <is>
          <t>Sveaskog</t>
        </is>
      </c>
      <c r="G377" t="n">
        <v>1.3</v>
      </c>
      <c r="H377" t="n">
        <v>1</v>
      </c>
      <c r="I377" t="n">
        <v>0</v>
      </c>
      <c r="J377" t="n">
        <v>1</v>
      </c>
      <c r="K377" t="n">
        <v>0</v>
      </c>
      <c r="L377" t="n">
        <v>0</v>
      </c>
      <c r="M377" t="n">
        <v>0</v>
      </c>
      <c r="N377" t="n">
        <v>0</v>
      </c>
      <c r="O377" t="n">
        <v>1</v>
      </c>
      <c r="P377" t="n">
        <v>0</v>
      </c>
      <c r="Q377" t="n">
        <v>1</v>
      </c>
      <c r="R377" s="2" t="inlineStr">
        <is>
          <t>Spillkråka</t>
        </is>
      </c>
      <c r="S377">
        <f>HYPERLINK("https://klasma.github.io/Logging_080883/artfynd/A 16697-2025 artfynd.xlsx", "A 16697-2025")</f>
        <v/>
      </c>
      <c r="T377">
        <f>HYPERLINK("https://klasma.github.io/Logging_080883/kartor/A 16697-2025 karta.png", "A 16697-2025")</f>
        <v/>
      </c>
      <c r="V377">
        <f>HYPERLINK("https://klasma.github.io/Logging_080883/klagomål/A 16697-2025 FSC-klagomål.docx", "A 16697-2025")</f>
        <v/>
      </c>
      <c r="W377">
        <f>HYPERLINK("https://klasma.github.io/Logging_080883/klagomålsmail/A 16697-2025 FSC-klagomål mail.docx", "A 16697-2025")</f>
        <v/>
      </c>
      <c r="X377">
        <f>HYPERLINK("https://klasma.github.io/Logging_080883/tillsyn/A 16697-2025 tillsynsbegäran.docx", "A 16697-2025")</f>
        <v/>
      </c>
      <c r="Y377">
        <f>HYPERLINK("https://klasma.github.io/Logging_080883/tillsynsmail/A 16697-2025 tillsynsbegäran mail.docx", "A 16697-2025")</f>
        <v/>
      </c>
      <c r="Z377">
        <f>HYPERLINK("https://klasma.github.io/Logging_080883/fåglar/A 16697-2025 prioriterade fågelarter.docx", "A 16697-2025")</f>
        <v/>
      </c>
    </row>
    <row r="378" ht="15" customHeight="1">
      <c r="A378" t="inlineStr">
        <is>
          <t>A 17953-2025</t>
        </is>
      </c>
      <c r="B378" s="1" t="n">
        <v>45760</v>
      </c>
      <c r="C378" s="1" t="n">
        <v>45851</v>
      </c>
      <c r="D378" t="inlineStr">
        <is>
          <t>KALMAR LÄN</t>
        </is>
      </c>
      <c r="E378" t="inlineStr">
        <is>
          <t>VÄSTERVIK</t>
        </is>
      </c>
      <c r="G378" t="n">
        <v>4.1</v>
      </c>
      <c r="H378" t="n">
        <v>1</v>
      </c>
      <c r="I378" t="n">
        <v>0</v>
      </c>
      <c r="J378" t="n">
        <v>1</v>
      </c>
      <c r="K378" t="n">
        <v>0</v>
      </c>
      <c r="L378" t="n">
        <v>0</v>
      </c>
      <c r="M378" t="n">
        <v>0</v>
      </c>
      <c r="N378" t="n">
        <v>0</v>
      </c>
      <c r="O378" t="n">
        <v>1</v>
      </c>
      <c r="P378" t="n">
        <v>0</v>
      </c>
      <c r="Q378" t="n">
        <v>1</v>
      </c>
      <c r="R378" s="2" t="inlineStr">
        <is>
          <t>Talltita</t>
        </is>
      </c>
      <c r="S378">
        <f>HYPERLINK("https://klasma.github.io/Logging_080883/artfynd/A 17953-2025 artfynd.xlsx", "A 17953-2025")</f>
        <v/>
      </c>
      <c r="T378">
        <f>HYPERLINK("https://klasma.github.io/Logging_080883/kartor/A 17953-2025 karta.png", "A 17953-2025")</f>
        <v/>
      </c>
      <c r="V378">
        <f>HYPERLINK("https://klasma.github.io/Logging_080883/klagomål/A 17953-2025 FSC-klagomål.docx", "A 17953-2025")</f>
        <v/>
      </c>
      <c r="W378">
        <f>HYPERLINK("https://klasma.github.io/Logging_080883/klagomålsmail/A 17953-2025 FSC-klagomål mail.docx", "A 17953-2025")</f>
        <v/>
      </c>
      <c r="X378">
        <f>HYPERLINK("https://klasma.github.io/Logging_080883/tillsyn/A 17953-2025 tillsynsbegäran.docx", "A 17953-2025")</f>
        <v/>
      </c>
      <c r="Y378">
        <f>HYPERLINK("https://klasma.github.io/Logging_080883/tillsynsmail/A 17953-2025 tillsynsbegäran mail.docx", "A 17953-2025")</f>
        <v/>
      </c>
      <c r="Z378">
        <f>HYPERLINK("https://klasma.github.io/Logging_080883/fåglar/A 17953-2025 prioriterade fågelarter.docx", "A 17953-2025")</f>
        <v/>
      </c>
    </row>
    <row r="379" ht="15" customHeight="1">
      <c r="A379" t="inlineStr">
        <is>
          <t>A 17952-2025</t>
        </is>
      </c>
      <c r="B379" s="1" t="n">
        <v>45760</v>
      </c>
      <c r="C379" s="1" t="n">
        <v>45851</v>
      </c>
      <c r="D379" t="inlineStr">
        <is>
          <t>KALMAR LÄN</t>
        </is>
      </c>
      <c r="E379" t="inlineStr">
        <is>
          <t>VÄSTERVIK</t>
        </is>
      </c>
      <c r="G379" t="n">
        <v>3.3</v>
      </c>
      <c r="H379" t="n">
        <v>1</v>
      </c>
      <c r="I379" t="n">
        <v>0</v>
      </c>
      <c r="J379" t="n">
        <v>0</v>
      </c>
      <c r="K379" t="n">
        <v>0</v>
      </c>
      <c r="L379" t="n">
        <v>0</v>
      </c>
      <c r="M379" t="n">
        <v>0</v>
      </c>
      <c r="N379" t="n">
        <v>0</v>
      </c>
      <c r="O379" t="n">
        <v>0</v>
      </c>
      <c r="P379" t="n">
        <v>0</v>
      </c>
      <c r="Q379" t="n">
        <v>1</v>
      </c>
      <c r="R379" s="2" t="inlineStr">
        <is>
          <t>Revlummer</t>
        </is>
      </c>
      <c r="S379">
        <f>HYPERLINK("https://klasma.github.io/Logging_080883/artfynd/A 17952-2025 artfynd.xlsx", "A 17952-2025")</f>
        <v/>
      </c>
      <c r="T379">
        <f>HYPERLINK("https://klasma.github.io/Logging_080883/kartor/A 17952-2025 karta.png", "A 17952-2025")</f>
        <v/>
      </c>
      <c r="V379">
        <f>HYPERLINK("https://klasma.github.io/Logging_080883/klagomål/A 17952-2025 FSC-klagomål.docx", "A 17952-2025")</f>
        <v/>
      </c>
      <c r="W379">
        <f>HYPERLINK("https://klasma.github.io/Logging_080883/klagomålsmail/A 17952-2025 FSC-klagomål mail.docx", "A 17952-2025")</f>
        <v/>
      </c>
      <c r="X379">
        <f>HYPERLINK("https://klasma.github.io/Logging_080883/tillsyn/A 17952-2025 tillsynsbegäran.docx", "A 17952-2025")</f>
        <v/>
      </c>
      <c r="Y379">
        <f>HYPERLINK("https://klasma.github.io/Logging_080883/tillsynsmail/A 17952-2025 tillsynsbegäran mail.docx", "A 17952-2025")</f>
        <v/>
      </c>
    </row>
    <row r="380" ht="15" customHeight="1">
      <c r="A380" t="inlineStr">
        <is>
          <t>A 21409-2025</t>
        </is>
      </c>
      <c r="B380" s="1" t="n">
        <v>45782</v>
      </c>
      <c r="C380" s="1" t="n">
        <v>45851</v>
      </c>
      <c r="D380" t="inlineStr">
        <is>
          <t>KALMAR LÄN</t>
        </is>
      </c>
      <c r="E380" t="inlineStr">
        <is>
          <t>VÄSTERVIK</t>
        </is>
      </c>
      <c r="G380" t="n">
        <v>2.5</v>
      </c>
      <c r="H380" t="n">
        <v>1</v>
      </c>
      <c r="I380" t="n">
        <v>0</v>
      </c>
      <c r="J380" t="n">
        <v>0</v>
      </c>
      <c r="K380" t="n">
        <v>0</v>
      </c>
      <c r="L380" t="n">
        <v>0</v>
      </c>
      <c r="M380" t="n">
        <v>0</v>
      </c>
      <c r="N380" t="n">
        <v>0</v>
      </c>
      <c r="O380" t="n">
        <v>0</v>
      </c>
      <c r="P380" t="n">
        <v>0</v>
      </c>
      <c r="Q380" t="n">
        <v>1</v>
      </c>
      <c r="R380" s="2" t="inlineStr">
        <is>
          <t>Grönvit nattviol</t>
        </is>
      </c>
      <c r="S380">
        <f>HYPERLINK("https://klasma.github.io/Logging_080883/artfynd/A 21409-2025 artfynd.xlsx", "A 21409-2025")</f>
        <v/>
      </c>
      <c r="T380">
        <f>HYPERLINK("https://klasma.github.io/Logging_080883/kartor/A 21409-2025 karta.png", "A 21409-2025")</f>
        <v/>
      </c>
      <c r="V380">
        <f>HYPERLINK("https://klasma.github.io/Logging_080883/klagomål/A 21409-2025 FSC-klagomål.docx", "A 21409-2025")</f>
        <v/>
      </c>
      <c r="W380">
        <f>HYPERLINK("https://klasma.github.io/Logging_080883/klagomålsmail/A 21409-2025 FSC-klagomål mail.docx", "A 21409-2025")</f>
        <v/>
      </c>
      <c r="X380">
        <f>HYPERLINK("https://klasma.github.io/Logging_080883/tillsyn/A 21409-2025 tillsynsbegäran.docx", "A 21409-2025")</f>
        <v/>
      </c>
      <c r="Y380">
        <f>HYPERLINK("https://klasma.github.io/Logging_080883/tillsynsmail/A 21409-2025 tillsynsbegäran mail.docx", "A 21409-2025")</f>
        <v/>
      </c>
    </row>
    <row r="381" ht="15" customHeight="1">
      <c r="A381" t="inlineStr">
        <is>
          <t>A 21653-2025</t>
        </is>
      </c>
      <c r="B381" s="1" t="n">
        <v>45783</v>
      </c>
      <c r="C381" s="1" t="n">
        <v>45851</v>
      </c>
      <c r="D381" t="inlineStr">
        <is>
          <t>KALMAR LÄN</t>
        </is>
      </c>
      <c r="E381" t="inlineStr">
        <is>
          <t>VÄSTERVIK</t>
        </is>
      </c>
      <c r="F381" t="inlineStr">
        <is>
          <t>Sveaskog</t>
        </is>
      </c>
      <c r="G381" t="n">
        <v>2.8</v>
      </c>
      <c r="H381" t="n">
        <v>1</v>
      </c>
      <c r="I381" t="n">
        <v>0</v>
      </c>
      <c r="J381" t="n">
        <v>1</v>
      </c>
      <c r="K381" t="n">
        <v>0</v>
      </c>
      <c r="L381" t="n">
        <v>0</v>
      </c>
      <c r="M381" t="n">
        <v>0</v>
      </c>
      <c r="N381" t="n">
        <v>0</v>
      </c>
      <c r="O381" t="n">
        <v>1</v>
      </c>
      <c r="P381" t="n">
        <v>0</v>
      </c>
      <c r="Q381" t="n">
        <v>1</v>
      </c>
      <c r="R381" s="2" t="inlineStr">
        <is>
          <t>Entita</t>
        </is>
      </c>
      <c r="S381">
        <f>HYPERLINK("https://klasma.github.io/Logging_080883/artfynd/A 21653-2025 artfynd.xlsx", "A 21653-2025")</f>
        <v/>
      </c>
      <c r="T381">
        <f>HYPERLINK("https://klasma.github.io/Logging_080883/kartor/A 21653-2025 karta.png", "A 21653-2025")</f>
        <v/>
      </c>
      <c r="V381">
        <f>HYPERLINK("https://klasma.github.io/Logging_080883/klagomål/A 21653-2025 FSC-klagomål.docx", "A 21653-2025")</f>
        <v/>
      </c>
      <c r="W381">
        <f>HYPERLINK("https://klasma.github.io/Logging_080883/klagomålsmail/A 21653-2025 FSC-klagomål mail.docx", "A 21653-2025")</f>
        <v/>
      </c>
      <c r="X381">
        <f>HYPERLINK("https://klasma.github.io/Logging_080883/tillsyn/A 21653-2025 tillsynsbegäran.docx", "A 21653-2025")</f>
        <v/>
      </c>
      <c r="Y381">
        <f>HYPERLINK("https://klasma.github.io/Logging_080883/tillsynsmail/A 21653-2025 tillsynsbegäran mail.docx", "A 21653-2025")</f>
        <v/>
      </c>
      <c r="Z381">
        <f>HYPERLINK("https://klasma.github.io/Logging_080883/fåglar/A 21653-2025 prioriterade fågelarter.docx", "A 21653-2025")</f>
        <v/>
      </c>
    </row>
    <row r="382" ht="15" customHeight="1">
      <c r="A382" t="inlineStr">
        <is>
          <t>A 23192-2025</t>
        </is>
      </c>
      <c r="B382" s="1" t="n">
        <v>45791</v>
      </c>
      <c r="C382" s="1" t="n">
        <v>45851</v>
      </c>
      <c r="D382" t="inlineStr">
        <is>
          <t>KALMAR LÄN</t>
        </is>
      </c>
      <c r="E382" t="inlineStr">
        <is>
          <t>VÄSTERVIK</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HYPERLINK("https://klasma.github.io/Logging_080883/artfynd/A 23192-2025 artfynd.xlsx", "A 23192-2025")</f>
        <v/>
      </c>
      <c r="T382">
        <f>HYPERLINK("https://klasma.github.io/Logging_080883/kartor/A 23192-2025 karta.png", "A 23192-2025")</f>
        <v/>
      </c>
      <c r="V382">
        <f>HYPERLINK("https://klasma.github.io/Logging_080883/klagomål/A 23192-2025 FSC-klagomål.docx", "A 23192-2025")</f>
        <v/>
      </c>
      <c r="W382">
        <f>HYPERLINK("https://klasma.github.io/Logging_080883/klagomålsmail/A 23192-2025 FSC-klagomål mail.docx", "A 23192-2025")</f>
        <v/>
      </c>
      <c r="X382">
        <f>HYPERLINK("https://klasma.github.io/Logging_080883/tillsyn/A 23192-2025 tillsynsbegäran.docx", "A 23192-2025")</f>
        <v/>
      </c>
      <c r="Y382">
        <f>HYPERLINK("https://klasma.github.io/Logging_080883/tillsynsmail/A 23192-2025 tillsynsbegäran mail.docx", "A 23192-2025")</f>
        <v/>
      </c>
      <c r="Z382">
        <f>HYPERLINK("https://klasma.github.io/Logging_080883/fåglar/A 23192-2025 prioriterade fågelarter.docx", "A 23192-2025")</f>
        <v/>
      </c>
    </row>
    <row r="383" ht="15" customHeight="1">
      <c r="A383" t="inlineStr">
        <is>
          <t>A 23199-2025</t>
        </is>
      </c>
      <c r="B383" s="1" t="n">
        <v>45791</v>
      </c>
      <c r="C383" s="1" t="n">
        <v>45851</v>
      </c>
      <c r="D383" t="inlineStr">
        <is>
          <t>KALMAR LÄN</t>
        </is>
      </c>
      <c r="E383" t="inlineStr">
        <is>
          <t>VÄSTERVIK</t>
        </is>
      </c>
      <c r="G383" t="n">
        <v>2.1</v>
      </c>
      <c r="H383" t="n">
        <v>0</v>
      </c>
      <c r="I383" t="n">
        <v>1</v>
      </c>
      <c r="J383" t="n">
        <v>0</v>
      </c>
      <c r="K383" t="n">
        <v>0</v>
      </c>
      <c r="L383" t="n">
        <v>0</v>
      </c>
      <c r="M383" t="n">
        <v>0</v>
      </c>
      <c r="N383" t="n">
        <v>0</v>
      </c>
      <c r="O383" t="n">
        <v>0</v>
      </c>
      <c r="P383" t="n">
        <v>0</v>
      </c>
      <c r="Q383" t="n">
        <v>1</v>
      </c>
      <c r="R383" s="2" t="inlineStr">
        <is>
          <t>Blåmossa</t>
        </is>
      </c>
      <c r="S383">
        <f>HYPERLINK("https://klasma.github.io/Logging_080883/artfynd/A 23199-2025 artfynd.xlsx", "A 23199-2025")</f>
        <v/>
      </c>
      <c r="T383">
        <f>HYPERLINK("https://klasma.github.io/Logging_080883/kartor/A 23199-2025 karta.png", "A 23199-2025")</f>
        <v/>
      </c>
      <c r="V383">
        <f>HYPERLINK("https://klasma.github.io/Logging_080883/klagomål/A 23199-2025 FSC-klagomål.docx", "A 23199-2025")</f>
        <v/>
      </c>
      <c r="W383">
        <f>HYPERLINK("https://klasma.github.io/Logging_080883/klagomålsmail/A 23199-2025 FSC-klagomål mail.docx", "A 23199-2025")</f>
        <v/>
      </c>
      <c r="X383">
        <f>HYPERLINK("https://klasma.github.io/Logging_080883/tillsyn/A 23199-2025 tillsynsbegäran.docx", "A 23199-2025")</f>
        <v/>
      </c>
      <c r="Y383">
        <f>HYPERLINK("https://klasma.github.io/Logging_080883/tillsynsmail/A 23199-2025 tillsynsbegäran mail.docx", "A 23199-2025")</f>
        <v/>
      </c>
    </row>
    <row r="384" ht="15" customHeight="1">
      <c r="A384" t="inlineStr">
        <is>
          <t>A 23186-2025</t>
        </is>
      </c>
      <c r="B384" s="1" t="n">
        <v>45791</v>
      </c>
      <c r="C384" s="1" t="n">
        <v>45851</v>
      </c>
      <c r="D384" t="inlineStr">
        <is>
          <t>KALMAR LÄN</t>
        </is>
      </c>
      <c r="E384" t="inlineStr">
        <is>
          <t>VÄSTERVIK</t>
        </is>
      </c>
      <c r="G384" t="n">
        <v>1.4</v>
      </c>
      <c r="H384" t="n">
        <v>0</v>
      </c>
      <c r="I384" t="n">
        <v>0</v>
      </c>
      <c r="J384" t="n">
        <v>1</v>
      </c>
      <c r="K384" t="n">
        <v>0</v>
      </c>
      <c r="L384" t="n">
        <v>0</v>
      </c>
      <c r="M384" t="n">
        <v>0</v>
      </c>
      <c r="N384" t="n">
        <v>0</v>
      </c>
      <c r="O384" t="n">
        <v>1</v>
      </c>
      <c r="P384" t="n">
        <v>0</v>
      </c>
      <c r="Q384" t="n">
        <v>1</v>
      </c>
      <c r="R384" s="2" t="inlineStr">
        <is>
          <t>Krusfrö</t>
        </is>
      </c>
      <c r="S384">
        <f>HYPERLINK("https://klasma.github.io/Logging_080883/artfynd/A 23186-2025 artfynd.xlsx", "A 23186-2025")</f>
        <v/>
      </c>
      <c r="T384">
        <f>HYPERLINK("https://klasma.github.io/Logging_080883/kartor/A 23186-2025 karta.png", "A 23186-2025")</f>
        <v/>
      </c>
      <c r="V384">
        <f>HYPERLINK("https://klasma.github.io/Logging_080883/klagomål/A 23186-2025 FSC-klagomål.docx", "A 23186-2025")</f>
        <v/>
      </c>
      <c r="W384">
        <f>HYPERLINK("https://klasma.github.io/Logging_080883/klagomålsmail/A 23186-2025 FSC-klagomål mail.docx", "A 23186-2025")</f>
        <v/>
      </c>
      <c r="X384">
        <f>HYPERLINK("https://klasma.github.io/Logging_080883/tillsyn/A 23186-2025 tillsynsbegäran.docx", "A 23186-2025")</f>
        <v/>
      </c>
      <c r="Y384">
        <f>HYPERLINK("https://klasma.github.io/Logging_080883/tillsynsmail/A 23186-2025 tillsynsbegäran mail.docx", "A 23186-2025")</f>
        <v/>
      </c>
    </row>
    <row r="385" ht="15" customHeight="1">
      <c r="A385" t="inlineStr">
        <is>
          <t>A 24808-2025</t>
        </is>
      </c>
      <c r="B385" s="1" t="n">
        <v>45799</v>
      </c>
      <c r="C385" s="1" t="n">
        <v>45851</v>
      </c>
      <c r="D385" t="inlineStr">
        <is>
          <t>KALMAR LÄN</t>
        </is>
      </c>
      <c r="E385" t="inlineStr">
        <is>
          <t>VÄSTERVIK</t>
        </is>
      </c>
      <c r="G385" t="n">
        <v>2.9</v>
      </c>
      <c r="H385" t="n">
        <v>1</v>
      </c>
      <c r="I385" t="n">
        <v>0</v>
      </c>
      <c r="J385" t="n">
        <v>0</v>
      </c>
      <c r="K385" t="n">
        <v>0</v>
      </c>
      <c r="L385" t="n">
        <v>0</v>
      </c>
      <c r="M385" t="n">
        <v>0</v>
      </c>
      <c r="N385" t="n">
        <v>0</v>
      </c>
      <c r="O385" t="n">
        <v>0</v>
      </c>
      <c r="P385" t="n">
        <v>0</v>
      </c>
      <c r="Q385" t="n">
        <v>1</v>
      </c>
      <c r="R385" s="2" t="inlineStr">
        <is>
          <t>Fläcknycklar</t>
        </is>
      </c>
      <c r="S385">
        <f>HYPERLINK("https://klasma.github.io/Logging_080883/artfynd/A 24808-2025 artfynd.xlsx", "A 24808-2025")</f>
        <v/>
      </c>
      <c r="T385">
        <f>HYPERLINK("https://klasma.github.io/Logging_080883/kartor/A 24808-2025 karta.png", "A 24808-2025")</f>
        <v/>
      </c>
      <c r="V385">
        <f>HYPERLINK("https://klasma.github.io/Logging_080883/klagomål/A 24808-2025 FSC-klagomål.docx", "A 24808-2025")</f>
        <v/>
      </c>
      <c r="W385">
        <f>HYPERLINK("https://klasma.github.io/Logging_080883/klagomålsmail/A 24808-2025 FSC-klagomål mail.docx", "A 24808-2025")</f>
        <v/>
      </c>
      <c r="X385">
        <f>HYPERLINK("https://klasma.github.io/Logging_080883/tillsyn/A 24808-2025 tillsynsbegäran.docx", "A 24808-2025")</f>
        <v/>
      </c>
      <c r="Y385">
        <f>HYPERLINK("https://klasma.github.io/Logging_080883/tillsynsmail/A 24808-2025 tillsynsbegäran mail.docx", "A 24808-2025")</f>
        <v/>
      </c>
    </row>
    <row r="386" ht="15" customHeight="1">
      <c r="A386" t="inlineStr">
        <is>
          <t>A 24884-2025</t>
        </is>
      </c>
      <c r="B386" s="1" t="n">
        <v>45799</v>
      </c>
      <c r="C386" s="1" t="n">
        <v>45851</v>
      </c>
      <c r="D386" t="inlineStr">
        <is>
          <t>KALMAR LÄN</t>
        </is>
      </c>
      <c r="E386" t="inlineStr">
        <is>
          <t>VÄSTERVIK</t>
        </is>
      </c>
      <c r="F386" t="inlineStr">
        <is>
          <t>Holmen skog AB</t>
        </is>
      </c>
      <c r="G386" t="n">
        <v>5.1</v>
      </c>
      <c r="H386" t="n">
        <v>0</v>
      </c>
      <c r="I386" t="n">
        <v>1</v>
      </c>
      <c r="J386" t="n">
        <v>0</v>
      </c>
      <c r="K386" t="n">
        <v>0</v>
      </c>
      <c r="L386" t="n">
        <v>0</v>
      </c>
      <c r="M386" t="n">
        <v>0</v>
      </c>
      <c r="N386" t="n">
        <v>0</v>
      </c>
      <c r="O386" t="n">
        <v>0</v>
      </c>
      <c r="P386" t="n">
        <v>0</v>
      </c>
      <c r="Q386" t="n">
        <v>1</v>
      </c>
      <c r="R386" s="2" t="inlineStr">
        <is>
          <t>Strävlosta</t>
        </is>
      </c>
      <c r="S386">
        <f>HYPERLINK("https://klasma.github.io/Logging_080883/artfynd/A 24884-2025 artfynd.xlsx", "A 24884-2025")</f>
        <v/>
      </c>
      <c r="T386">
        <f>HYPERLINK("https://klasma.github.io/Logging_080883/kartor/A 24884-2025 karta.png", "A 24884-2025")</f>
        <v/>
      </c>
      <c r="V386">
        <f>HYPERLINK("https://klasma.github.io/Logging_080883/klagomål/A 24884-2025 FSC-klagomål.docx", "A 24884-2025")</f>
        <v/>
      </c>
      <c r="W386">
        <f>HYPERLINK("https://klasma.github.io/Logging_080883/klagomålsmail/A 24884-2025 FSC-klagomål mail.docx", "A 24884-2025")</f>
        <v/>
      </c>
      <c r="X386">
        <f>HYPERLINK("https://klasma.github.io/Logging_080883/tillsyn/A 24884-2025 tillsynsbegäran.docx", "A 24884-2025")</f>
        <v/>
      </c>
      <c r="Y386">
        <f>HYPERLINK("https://klasma.github.io/Logging_080883/tillsynsmail/A 24884-2025 tillsynsbegäran mail.docx", "A 24884-2025")</f>
        <v/>
      </c>
    </row>
    <row r="387" ht="15" customHeight="1">
      <c r="A387" t="inlineStr">
        <is>
          <t>A 25501-2025</t>
        </is>
      </c>
      <c r="B387" s="1" t="n">
        <v>45803</v>
      </c>
      <c r="C387" s="1" t="n">
        <v>45851</v>
      </c>
      <c r="D387" t="inlineStr">
        <is>
          <t>KALMAR LÄN</t>
        </is>
      </c>
      <c r="E387" t="inlineStr">
        <is>
          <t>VÄSTERVIK</t>
        </is>
      </c>
      <c r="G387" t="n">
        <v>1.8</v>
      </c>
      <c r="H387" t="n">
        <v>1</v>
      </c>
      <c r="I387" t="n">
        <v>0</v>
      </c>
      <c r="J387" t="n">
        <v>0</v>
      </c>
      <c r="K387" t="n">
        <v>0</v>
      </c>
      <c r="L387" t="n">
        <v>0</v>
      </c>
      <c r="M387" t="n">
        <v>0</v>
      </c>
      <c r="N387" t="n">
        <v>0</v>
      </c>
      <c r="O387" t="n">
        <v>0</v>
      </c>
      <c r="P387" t="n">
        <v>0</v>
      </c>
      <c r="Q387" t="n">
        <v>1</v>
      </c>
      <c r="R387" s="2" t="inlineStr">
        <is>
          <t>Kungsfågel</t>
        </is>
      </c>
      <c r="S387">
        <f>HYPERLINK("https://klasma.github.io/Logging_080883/artfynd/A 25501-2025 artfynd.xlsx", "A 25501-2025")</f>
        <v/>
      </c>
      <c r="T387">
        <f>HYPERLINK("https://klasma.github.io/Logging_080883/kartor/A 25501-2025 karta.png", "A 25501-2025")</f>
        <v/>
      </c>
      <c r="U387">
        <f>HYPERLINK("https://klasma.github.io/Logging_080883/knärot/A 25501-2025 karta knärot.png", "A 25501-2025")</f>
        <v/>
      </c>
      <c r="V387">
        <f>HYPERLINK("https://klasma.github.io/Logging_080883/klagomål/A 25501-2025 FSC-klagomål.docx", "A 25501-2025")</f>
        <v/>
      </c>
      <c r="W387">
        <f>HYPERLINK("https://klasma.github.io/Logging_080883/klagomålsmail/A 25501-2025 FSC-klagomål mail.docx", "A 25501-2025")</f>
        <v/>
      </c>
      <c r="X387">
        <f>HYPERLINK("https://klasma.github.io/Logging_080883/tillsyn/A 25501-2025 tillsynsbegäran.docx", "A 25501-2025")</f>
        <v/>
      </c>
      <c r="Y387">
        <f>HYPERLINK("https://klasma.github.io/Logging_080883/tillsynsmail/A 25501-2025 tillsynsbegäran mail.docx", "A 25501-2025")</f>
        <v/>
      </c>
      <c r="Z387">
        <f>HYPERLINK("https://klasma.github.io/Logging_080883/fåglar/A 25501-2025 prioriterade fågelarter.docx", "A 25501-2025")</f>
        <v/>
      </c>
    </row>
    <row r="388" ht="15" customHeight="1">
      <c r="A388" t="inlineStr">
        <is>
          <t>A 26516-2025</t>
        </is>
      </c>
      <c r="B388" s="1" t="n">
        <v>45807</v>
      </c>
      <c r="C388" s="1" t="n">
        <v>45851</v>
      </c>
      <c r="D388" t="inlineStr">
        <is>
          <t>KALMAR LÄN</t>
        </is>
      </c>
      <c r="E388" t="inlineStr">
        <is>
          <t>VÄSTERVIK</t>
        </is>
      </c>
      <c r="G388" t="n">
        <v>1.3</v>
      </c>
      <c r="H388" t="n">
        <v>1</v>
      </c>
      <c r="I388" t="n">
        <v>0</v>
      </c>
      <c r="J388" t="n">
        <v>1</v>
      </c>
      <c r="K388" t="n">
        <v>0</v>
      </c>
      <c r="L388" t="n">
        <v>0</v>
      </c>
      <c r="M388" t="n">
        <v>0</v>
      </c>
      <c r="N388" t="n">
        <v>0</v>
      </c>
      <c r="O388" t="n">
        <v>1</v>
      </c>
      <c r="P388" t="n">
        <v>0</v>
      </c>
      <c r="Q388" t="n">
        <v>1</v>
      </c>
      <c r="R388" s="2" t="inlineStr">
        <is>
          <t>Grönsångare</t>
        </is>
      </c>
      <c r="S388">
        <f>HYPERLINK("https://klasma.github.io/Logging_080883/artfynd/A 26516-2025 artfynd.xlsx", "A 26516-2025")</f>
        <v/>
      </c>
      <c r="T388">
        <f>HYPERLINK("https://klasma.github.io/Logging_080883/kartor/A 26516-2025 karta.png", "A 26516-2025")</f>
        <v/>
      </c>
      <c r="V388">
        <f>HYPERLINK("https://klasma.github.io/Logging_080883/klagomål/A 26516-2025 FSC-klagomål.docx", "A 26516-2025")</f>
        <v/>
      </c>
      <c r="W388">
        <f>HYPERLINK("https://klasma.github.io/Logging_080883/klagomålsmail/A 26516-2025 FSC-klagomål mail.docx", "A 26516-2025")</f>
        <v/>
      </c>
      <c r="X388">
        <f>HYPERLINK("https://klasma.github.io/Logging_080883/tillsyn/A 26516-2025 tillsynsbegäran.docx", "A 26516-2025")</f>
        <v/>
      </c>
      <c r="Y388">
        <f>HYPERLINK("https://klasma.github.io/Logging_080883/tillsynsmail/A 26516-2025 tillsynsbegäran mail.docx", "A 26516-2025")</f>
        <v/>
      </c>
      <c r="Z388">
        <f>HYPERLINK("https://klasma.github.io/Logging_080883/fåglar/A 26516-2025 prioriterade fågelarter.docx", "A 26516-2025")</f>
        <v/>
      </c>
    </row>
    <row r="389" ht="15" customHeight="1">
      <c r="A389" t="inlineStr">
        <is>
          <t>A 27426-2025</t>
        </is>
      </c>
      <c r="B389" s="1" t="n">
        <v>45813</v>
      </c>
      <c r="C389" s="1" t="n">
        <v>45851</v>
      </c>
      <c r="D389" t="inlineStr">
        <is>
          <t>KALMAR LÄN</t>
        </is>
      </c>
      <c r="E389" t="inlineStr">
        <is>
          <t>VÄSTERVIK</t>
        </is>
      </c>
      <c r="G389" t="n">
        <v>2</v>
      </c>
      <c r="H389" t="n">
        <v>0</v>
      </c>
      <c r="I389" t="n">
        <v>1</v>
      </c>
      <c r="J389" t="n">
        <v>0</v>
      </c>
      <c r="K389" t="n">
        <v>0</v>
      </c>
      <c r="L389" t="n">
        <v>0</v>
      </c>
      <c r="M389" t="n">
        <v>0</v>
      </c>
      <c r="N389" t="n">
        <v>0</v>
      </c>
      <c r="O389" t="n">
        <v>0</v>
      </c>
      <c r="P389" t="n">
        <v>0</v>
      </c>
      <c r="Q389" t="n">
        <v>1</v>
      </c>
      <c r="R389" s="2" t="inlineStr">
        <is>
          <t>Vätteros</t>
        </is>
      </c>
      <c r="S389">
        <f>HYPERLINK("https://klasma.github.io/Logging_080883/artfynd/A 27426-2025 artfynd.xlsx", "A 27426-2025")</f>
        <v/>
      </c>
      <c r="T389">
        <f>HYPERLINK("https://klasma.github.io/Logging_080883/kartor/A 27426-2025 karta.png", "A 27426-2025")</f>
        <v/>
      </c>
      <c r="V389">
        <f>HYPERLINK("https://klasma.github.io/Logging_080883/klagomål/A 27426-2025 FSC-klagomål.docx", "A 27426-2025")</f>
        <v/>
      </c>
      <c r="W389">
        <f>HYPERLINK("https://klasma.github.io/Logging_080883/klagomålsmail/A 27426-2025 FSC-klagomål mail.docx", "A 27426-2025")</f>
        <v/>
      </c>
      <c r="X389">
        <f>HYPERLINK("https://klasma.github.io/Logging_080883/tillsyn/A 27426-2025 tillsynsbegäran.docx", "A 27426-2025")</f>
        <v/>
      </c>
      <c r="Y389">
        <f>HYPERLINK("https://klasma.github.io/Logging_080883/tillsynsmail/A 27426-2025 tillsynsbegäran mail.docx", "A 27426-2025")</f>
        <v/>
      </c>
    </row>
    <row r="390" ht="15" customHeight="1">
      <c r="A390" t="inlineStr">
        <is>
          <t>A 30794-2025</t>
        </is>
      </c>
      <c r="B390" s="1" t="n">
        <v>45831</v>
      </c>
      <c r="C390" s="1" t="n">
        <v>45851</v>
      </c>
      <c r="D390" t="inlineStr">
        <is>
          <t>KALMAR LÄN</t>
        </is>
      </c>
      <c r="E390" t="inlineStr">
        <is>
          <t>VÄSTERVIK</t>
        </is>
      </c>
      <c r="G390" t="n">
        <v>4.8</v>
      </c>
      <c r="H390" t="n">
        <v>0</v>
      </c>
      <c r="I390" t="n">
        <v>0</v>
      </c>
      <c r="J390" t="n">
        <v>1</v>
      </c>
      <c r="K390" t="n">
        <v>0</v>
      </c>
      <c r="L390" t="n">
        <v>0</v>
      </c>
      <c r="M390" t="n">
        <v>0</v>
      </c>
      <c r="N390" t="n">
        <v>0</v>
      </c>
      <c r="O390" t="n">
        <v>1</v>
      </c>
      <c r="P390" t="n">
        <v>0</v>
      </c>
      <c r="Q390" t="n">
        <v>1</v>
      </c>
      <c r="R390" s="2" t="inlineStr">
        <is>
          <t>Tallticka</t>
        </is>
      </c>
      <c r="S390">
        <f>HYPERLINK("https://klasma.github.io/Logging_080883/artfynd/A 30794-2025 artfynd.xlsx", "A 30794-2025")</f>
        <v/>
      </c>
      <c r="T390">
        <f>HYPERLINK("https://klasma.github.io/Logging_080883/kartor/A 30794-2025 karta.png", "A 30794-2025")</f>
        <v/>
      </c>
      <c r="V390">
        <f>HYPERLINK("https://klasma.github.io/Logging_080883/klagomål/A 30794-2025 FSC-klagomål.docx", "A 30794-2025")</f>
        <v/>
      </c>
      <c r="W390">
        <f>HYPERLINK("https://klasma.github.io/Logging_080883/klagomålsmail/A 30794-2025 FSC-klagomål mail.docx", "A 30794-2025")</f>
        <v/>
      </c>
      <c r="X390">
        <f>HYPERLINK("https://klasma.github.io/Logging_080883/tillsyn/A 30794-2025 tillsynsbegäran.docx", "A 30794-2025")</f>
        <v/>
      </c>
      <c r="Y390">
        <f>HYPERLINK("https://klasma.github.io/Logging_080883/tillsynsmail/A 30794-2025 tillsynsbegäran mail.docx", "A 30794-2025")</f>
        <v/>
      </c>
    </row>
    <row r="391" ht="15" customHeight="1">
      <c r="A391" t="inlineStr">
        <is>
          <t>A 34168-2025</t>
        </is>
      </c>
      <c r="B391" s="1" t="n">
        <v>45845</v>
      </c>
      <c r="C391" s="1" t="n">
        <v>45851</v>
      </c>
      <c r="D391" t="inlineStr">
        <is>
          <t>KALMAR LÄN</t>
        </is>
      </c>
      <c r="E391" t="inlineStr">
        <is>
          <t>VÄSTERVIK</t>
        </is>
      </c>
      <c r="G391" t="n">
        <v>2.7</v>
      </c>
      <c r="H391" t="n">
        <v>1</v>
      </c>
      <c r="I391" t="n">
        <v>0</v>
      </c>
      <c r="J391" t="n">
        <v>1</v>
      </c>
      <c r="K391" t="n">
        <v>0</v>
      </c>
      <c r="L391" t="n">
        <v>0</v>
      </c>
      <c r="M391" t="n">
        <v>0</v>
      </c>
      <c r="N391" t="n">
        <v>0</v>
      </c>
      <c r="O391" t="n">
        <v>1</v>
      </c>
      <c r="P391" t="n">
        <v>0</v>
      </c>
      <c r="Q391" t="n">
        <v>1</v>
      </c>
      <c r="R391" s="2" t="inlineStr">
        <is>
          <t>Grönsångare</t>
        </is>
      </c>
      <c r="S391">
        <f>HYPERLINK("https://klasma.github.io/Logging_080883/artfynd/A 34168-2025 artfynd.xlsx", "A 34168-2025")</f>
        <v/>
      </c>
      <c r="T391">
        <f>HYPERLINK("https://klasma.github.io/Logging_080883/kartor/A 34168-2025 karta.png", "A 34168-2025")</f>
        <v/>
      </c>
      <c r="V391">
        <f>HYPERLINK("https://klasma.github.io/Logging_080883/klagomål/A 34168-2025 FSC-klagomål.docx", "A 34168-2025")</f>
        <v/>
      </c>
      <c r="W391">
        <f>HYPERLINK("https://klasma.github.io/Logging_080883/klagomålsmail/A 34168-2025 FSC-klagomål mail.docx", "A 34168-2025")</f>
        <v/>
      </c>
      <c r="X391">
        <f>HYPERLINK("https://klasma.github.io/Logging_080883/tillsyn/A 34168-2025 tillsynsbegäran.docx", "A 34168-2025")</f>
        <v/>
      </c>
      <c r="Y391">
        <f>HYPERLINK("https://klasma.github.io/Logging_080883/tillsynsmail/A 34168-2025 tillsynsbegäran mail.docx", "A 34168-2025")</f>
        <v/>
      </c>
      <c r="Z391">
        <f>HYPERLINK("https://klasma.github.io/Logging_080883/fåglar/A 34168-2025 prioriterade fågelarter.docx", "A 34168-2025")</f>
        <v/>
      </c>
    </row>
    <row r="392" ht="15" customHeight="1">
      <c r="A392" t="inlineStr">
        <is>
          <t>A 34166-2025</t>
        </is>
      </c>
      <c r="B392" s="1" t="n">
        <v>45845</v>
      </c>
      <c r="C392" s="1" t="n">
        <v>45851</v>
      </c>
      <c r="D392" t="inlineStr">
        <is>
          <t>KALMAR LÄN</t>
        </is>
      </c>
      <c r="E392" t="inlineStr">
        <is>
          <t>VÄSTERVIK</t>
        </is>
      </c>
      <c r="G392" t="n">
        <v>3.5</v>
      </c>
      <c r="H392" t="n">
        <v>0</v>
      </c>
      <c r="I392" t="n">
        <v>0</v>
      </c>
      <c r="J392" t="n">
        <v>0</v>
      </c>
      <c r="K392" t="n">
        <v>0</v>
      </c>
      <c r="L392" t="n">
        <v>0</v>
      </c>
      <c r="M392" t="n">
        <v>1</v>
      </c>
      <c r="N392" t="n">
        <v>0</v>
      </c>
      <c r="O392" t="n">
        <v>1</v>
      </c>
      <c r="P392" t="n">
        <v>1</v>
      </c>
      <c r="Q392" t="n">
        <v>1</v>
      </c>
      <c r="R392" s="2" t="inlineStr">
        <is>
          <t>Skogsalm</t>
        </is>
      </c>
      <c r="S392">
        <f>HYPERLINK("https://klasma.github.io/Logging_080883/artfynd/A 34166-2025 artfynd.xlsx", "A 34166-2025")</f>
        <v/>
      </c>
      <c r="T392">
        <f>HYPERLINK("https://klasma.github.io/Logging_080883/kartor/A 34166-2025 karta.png", "A 34166-2025")</f>
        <v/>
      </c>
      <c r="V392">
        <f>HYPERLINK("https://klasma.github.io/Logging_080883/klagomål/A 34166-2025 FSC-klagomål.docx", "A 34166-2025")</f>
        <v/>
      </c>
      <c r="W392">
        <f>HYPERLINK("https://klasma.github.io/Logging_080883/klagomålsmail/A 34166-2025 FSC-klagomål mail.docx", "A 34166-2025")</f>
        <v/>
      </c>
      <c r="X392">
        <f>HYPERLINK("https://klasma.github.io/Logging_080883/tillsyn/A 34166-2025 tillsynsbegäran.docx", "A 34166-2025")</f>
        <v/>
      </c>
      <c r="Y392">
        <f>HYPERLINK("https://klasma.github.io/Logging_080883/tillsynsmail/A 34166-2025 tillsynsbegäran mail.docx", "A 34166-2025")</f>
        <v/>
      </c>
    </row>
    <row r="393" ht="15" customHeight="1">
      <c r="A393" t="inlineStr">
        <is>
          <t>A 34212-2025</t>
        </is>
      </c>
      <c r="B393" s="1" t="n">
        <v>45845</v>
      </c>
      <c r="C393" s="1" t="n">
        <v>45851</v>
      </c>
      <c r="D393" t="inlineStr">
        <is>
          <t>KALMAR LÄN</t>
        </is>
      </c>
      <c r="E393" t="inlineStr">
        <is>
          <t>VÄSTERVIK</t>
        </is>
      </c>
      <c r="G393" t="n">
        <v>6.4</v>
      </c>
      <c r="H393" t="n">
        <v>0</v>
      </c>
      <c r="I393" t="n">
        <v>1</v>
      </c>
      <c r="J393" t="n">
        <v>0</v>
      </c>
      <c r="K393" t="n">
        <v>0</v>
      </c>
      <c r="L393" t="n">
        <v>0</v>
      </c>
      <c r="M393" t="n">
        <v>0</v>
      </c>
      <c r="N393" t="n">
        <v>0</v>
      </c>
      <c r="O393" t="n">
        <v>0</v>
      </c>
      <c r="P393" t="n">
        <v>0</v>
      </c>
      <c r="Q393" t="n">
        <v>1</v>
      </c>
      <c r="R393" s="2" t="inlineStr">
        <is>
          <t>Blåmossa</t>
        </is>
      </c>
      <c r="S393">
        <f>HYPERLINK("https://klasma.github.io/Logging_080883/artfynd/A 34212-2025 artfynd.xlsx", "A 34212-2025")</f>
        <v/>
      </c>
      <c r="T393">
        <f>HYPERLINK("https://klasma.github.io/Logging_080883/kartor/A 34212-2025 karta.png", "A 34212-2025")</f>
        <v/>
      </c>
      <c r="V393">
        <f>HYPERLINK("https://klasma.github.io/Logging_080883/klagomål/A 34212-2025 FSC-klagomål.docx", "A 34212-2025")</f>
        <v/>
      </c>
      <c r="W393">
        <f>HYPERLINK("https://klasma.github.io/Logging_080883/klagomålsmail/A 34212-2025 FSC-klagomål mail.docx", "A 34212-2025")</f>
        <v/>
      </c>
      <c r="X393">
        <f>HYPERLINK("https://klasma.github.io/Logging_080883/tillsyn/A 34212-2025 tillsynsbegäran.docx", "A 34212-2025")</f>
        <v/>
      </c>
      <c r="Y393">
        <f>HYPERLINK("https://klasma.github.io/Logging_080883/tillsynsmail/A 34212-2025 tillsynsbegäran mail.docx", "A 34212-2025")</f>
        <v/>
      </c>
    </row>
    <row r="394" ht="15" customHeight="1">
      <c r="A394" t="inlineStr">
        <is>
          <t>A 17794-2019</t>
        </is>
      </c>
      <c r="B394" s="1" t="n">
        <v>43556</v>
      </c>
      <c r="C394" s="1" t="n">
        <v>45851</v>
      </c>
      <c r="D394" t="inlineStr">
        <is>
          <t>KALMAR LÄN</t>
        </is>
      </c>
      <c r="E394" t="inlineStr">
        <is>
          <t>VÄSTERVIK</t>
        </is>
      </c>
      <c r="G394" t="n">
        <v>3.3</v>
      </c>
      <c r="H394" t="n">
        <v>0</v>
      </c>
      <c r="I394" t="n">
        <v>0</v>
      </c>
      <c r="J394" t="n">
        <v>0</v>
      </c>
      <c r="K394" t="n">
        <v>0</v>
      </c>
      <c r="L394" t="n">
        <v>0</v>
      </c>
      <c r="M394" t="n">
        <v>0</v>
      </c>
      <c r="N394" t="n">
        <v>0</v>
      </c>
      <c r="O394" t="n">
        <v>0</v>
      </c>
      <c r="P394" t="n">
        <v>0</v>
      </c>
      <c r="Q394" t="n">
        <v>0</v>
      </c>
      <c r="R394" s="2" t="inlineStr"/>
    </row>
    <row r="395" ht="15" customHeight="1">
      <c r="A395" t="inlineStr">
        <is>
          <t>A 18417-2019</t>
        </is>
      </c>
      <c r="B395" s="1" t="n">
        <v>43559</v>
      </c>
      <c r="C395" s="1" t="n">
        <v>45851</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18552-2019</t>
        </is>
      </c>
      <c r="B396" s="1" t="n">
        <v>43559</v>
      </c>
      <c r="C396" s="1" t="n">
        <v>45851</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18419-2019</t>
        </is>
      </c>
      <c r="B397" s="1" t="n">
        <v>43559</v>
      </c>
      <c r="C397" s="1" t="n">
        <v>45851</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18768-2019</t>
        </is>
      </c>
      <c r="B398" s="1" t="n">
        <v>43560</v>
      </c>
      <c r="C398" s="1" t="n">
        <v>45851</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19141-2019</t>
        </is>
      </c>
      <c r="B399" s="1" t="n">
        <v>43564</v>
      </c>
      <c r="C399" s="1" t="n">
        <v>45851</v>
      </c>
      <c r="D399" t="inlineStr">
        <is>
          <t>KALMAR LÄN</t>
        </is>
      </c>
      <c r="E399" t="inlineStr">
        <is>
          <t>VÄSTERVIK</t>
        </is>
      </c>
      <c r="G399" t="n">
        <v>3.3</v>
      </c>
      <c r="H399" t="n">
        <v>0</v>
      </c>
      <c r="I399" t="n">
        <v>0</v>
      </c>
      <c r="J399" t="n">
        <v>0</v>
      </c>
      <c r="K399" t="n">
        <v>0</v>
      </c>
      <c r="L399" t="n">
        <v>0</v>
      </c>
      <c r="M399" t="n">
        <v>0</v>
      </c>
      <c r="N399" t="n">
        <v>0</v>
      </c>
      <c r="O399" t="n">
        <v>0</v>
      </c>
      <c r="P399" t="n">
        <v>0</v>
      </c>
      <c r="Q399" t="n">
        <v>0</v>
      </c>
      <c r="R399" s="2" t="inlineStr"/>
    </row>
    <row r="400" ht="15" customHeight="1">
      <c r="A400" t="inlineStr">
        <is>
          <t>A 19414-2019</t>
        </is>
      </c>
      <c r="B400" s="1" t="n">
        <v>43565</v>
      </c>
      <c r="C400" s="1" t="n">
        <v>45851</v>
      </c>
      <c r="D400" t="inlineStr">
        <is>
          <t>KALMAR LÄN</t>
        </is>
      </c>
      <c r="E400" t="inlineStr">
        <is>
          <t>VÄSTERVIK</t>
        </is>
      </c>
      <c r="F400" t="inlineStr">
        <is>
          <t>Sveaskog</t>
        </is>
      </c>
      <c r="G400" t="n">
        <v>5.4</v>
      </c>
      <c r="H400" t="n">
        <v>0</v>
      </c>
      <c r="I400" t="n">
        <v>0</v>
      </c>
      <c r="J400" t="n">
        <v>0</v>
      </c>
      <c r="K400" t="n">
        <v>0</v>
      </c>
      <c r="L400" t="n">
        <v>0</v>
      </c>
      <c r="M400" t="n">
        <v>0</v>
      </c>
      <c r="N400" t="n">
        <v>0</v>
      </c>
      <c r="O400" t="n">
        <v>0</v>
      </c>
      <c r="P400" t="n">
        <v>0</v>
      </c>
      <c r="Q400" t="n">
        <v>0</v>
      </c>
      <c r="R400" s="2" t="inlineStr"/>
    </row>
    <row r="401" ht="15" customHeight="1">
      <c r="A401" t="inlineStr">
        <is>
          <t>A 19653-2019</t>
        </is>
      </c>
      <c r="B401" s="1" t="n">
        <v>43566</v>
      </c>
      <c r="C401" s="1" t="n">
        <v>45851</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19819-2019</t>
        </is>
      </c>
      <c r="B402" s="1" t="n">
        <v>43567</v>
      </c>
      <c r="C402" s="1" t="n">
        <v>45851</v>
      </c>
      <c r="D402" t="inlineStr">
        <is>
          <t>KALMAR LÄN</t>
        </is>
      </c>
      <c r="E402" t="inlineStr">
        <is>
          <t>VÄSTERVIK</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19825-2019</t>
        </is>
      </c>
      <c r="B403" s="1" t="n">
        <v>43567</v>
      </c>
      <c r="C403" s="1" t="n">
        <v>45851</v>
      </c>
      <c r="D403" t="inlineStr">
        <is>
          <t>KALMAR LÄN</t>
        </is>
      </c>
      <c r="E403" t="inlineStr">
        <is>
          <t>VÄSTERVIK</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20371-2019</t>
        </is>
      </c>
      <c r="B404" s="1" t="n">
        <v>43571</v>
      </c>
      <c r="C404" s="1" t="n">
        <v>45851</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24133-2019</t>
        </is>
      </c>
      <c r="B405" s="1" t="n">
        <v>43598</v>
      </c>
      <c r="C405" s="1" t="n">
        <v>45851</v>
      </c>
      <c r="D405" t="inlineStr">
        <is>
          <t>KALMAR LÄN</t>
        </is>
      </c>
      <c r="E405" t="inlineStr">
        <is>
          <t>VÄSTERVIK</t>
        </is>
      </c>
      <c r="G405" t="n">
        <v>1.8</v>
      </c>
      <c r="H405" t="n">
        <v>0</v>
      </c>
      <c r="I405" t="n">
        <v>0</v>
      </c>
      <c r="J405" t="n">
        <v>0</v>
      </c>
      <c r="K405" t="n">
        <v>0</v>
      </c>
      <c r="L405" t="n">
        <v>0</v>
      </c>
      <c r="M405" t="n">
        <v>0</v>
      </c>
      <c r="N405" t="n">
        <v>0</v>
      </c>
      <c r="O405" t="n">
        <v>0</v>
      </c>
      <c r="P405" t="n">
        <v>0</v>
      </c>
      <c r="Q405" t="n">
        <v>0</v>
      </c>
      <c r="R405" s="2" t="inlineStr"/>
    </row>
    <row r="406" ht="15" customHeight="1">
      <c r="A406" t="inlineStr">
        <is>
          <t>A 24356-2019</t>
        </is>
      </c>
      <c r="B406" s="1" t="n">
        <v>43599</v>
      </c>
      <c r="C406" s="1" t="n">
        <v>45851</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24358-2019</t>
        </is>
      </c>
      <c r="B407" s="1" t="n">
        <v>43599</v>
      </c>
      <c r="C407" s="1" t="n">
        <v>45851</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24316-2019</t>
        </is>
      </c>
      <c r="B408" s="1" t="n">
        <v>43599</v>
      </c>
      <c r="C408" s="1" t="n">
        <v>45851</v>
      </c>
      <c r="D408" t="inlineStr">
        <is>
          <t>KALMAR LÄN</t>
        </is>
      </c>
      <c r="E408" t="inlineStr">
        <is>
          <t>VÄSTERVIK</t>
        </is>
      </c>
      <c r="G408" t="n">
        <v>14.9</v>
      </c>
      <c r="H408" t="n">
        <v>0</v>
      </c>
      <c r="I408" t="n">
        <v>0</v>
      </c>
      <c r="J408" t="n">
        <v>0</v>
      </c>
      <c r="K408" t="n">
        <v>0</v>
      </c>
      <c r="L408" t="n">
        <v>0</v>
      </c>
      <c r="M408" t="n">
        <v>0</v>
      </c>
      <c r="N408" t="n">
        <v>0</v>
      </c>
      <c r="O408" t="n">
        <v>0</v>
      </c>
      <c r="P408" t="n">
        <v>0</v>
      </c>
      <c r="Q408" t="n">
        <v>0</v>
      </c>
      <c r="R408" s="2" t="inlineStr"/>
    </row>
    <row r="409" ht="15" customHeight="1">
      <c r="A409" t="inlineStr">
        <is>
          <t>A 24318-2019</t>
        </is>
      </c>
      <c r="B409" s="1" t="n">
        <v>43599</v>
      </c>
      <c r="C409" s="1" t="n">
        <v>45851</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24354-2019</t>
        </is>
      </c>
      <c r="B410" s="1" t="n">
        <v>43599</v>
      </c>
      <c r="C410" s="1" t="n">
        <v>45851</v>
      </c>
      <c r="D410" t="inlineStr">
        <is>
          <t>KALMAR LÄN</t>
        </is>
      </c>
      <c r="E410" t="inlineStr">
        <is>
          <t>VÄSTERVIK</t>
        </is>
      </c>
      <c r="G410" t="n">
        <v>3.7</v>
      </c>
      <c r="H410" t="n">
        <v>0</v>
      </c>
      <c r="I410" t="n">
        <v>0</v>
      </c>
      <c r="J410" t="n">
        <v>0</v>
      </c>
      <c r="K410" t="n">
        <v>0</v>
      </c>
      <c r="L410" t="n">
        <v>0</v>
      </c>
      <c r="M410" t="n">
        <v>0</v>
      </c>
      <c r="N410" t="n">
        <v>0</v>
      </c>
      <c r="O410" t="n">
        <v>0</v>
      </c>
      <c r="P410" t="n">
        <v>0</v>
      </c>
      <c r="Q410" t="n">
        <v>0</v>
      </c>
      <c r="R410" s="2" t="inlineStr"/>
    </row>
    <row r="411" ht="15" customHeight="1">
      <c r="A411" t="inlineStr">
        <is>
          <t>A 24550-2019</t>
        </is>
      </c>
      <c r="B411" s="1" t="n">
        <v>43600</v>
      </c>
      <c r="C411" s="1" t="n">
        <v>45851</v>
      </c>
      <c r="D411" t="inlineStr">
        <is>
          <t>KALMAR LÄN</t>
        </is>
      </c>
      <c r="E411" t="inlineStr">
        <is>
          <t>VÄSTERVIK</t>
        </is>
      </c>
      <c r="G411" t="n">
        <v>3.6</v>
      </c>
      <c r="H411" t="n">
        <v>0</v>
      </c>
      <c r="I411" t="n">
        <v>0</v>
      </c>
      <c r="J411" t="n">
        <v>0</v>
      </c>
      <c r="K411" t="n">
        <v>0</v>
      </c>
      <c r="L411" t="n">
        <v>0</v>
      </c>
      <c r="M411" t="n">
        <v>0</v>
      </c>
      <c r="N411" t="n">
        <v>0</v>
      </c>
      <c r="O411" t="n">
        <v>0</v>
      </c>
      <c r="P411" t="n">
        <v>0</v>
      </c>
      <c r="Q411" t="n">
        <v>0</v>
      </c>
      <c r="R411" s="2" t="inlineStr"/>
    </row>
    <row r="412" ht="15" customHeight="1">
      <c r="A412" t="inlineStr">
        <is>
          <t>A 24683-2019</t>
        </is>
      </c>
      <c r="B412" s="1" t="n">
        <v>43601</v>
      </c>
      <c r="C412" s="1" t="n">
        <v>45851</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24944-2019</t>
        </is>
      </c>
      <c r="B413" s="1" t="n">
        <v>43602</v>
      </c>
      <c r="C413" s="1" t="n">
        <v>45851</v>
      </c>
      <c r="D413" t="inlineStr">
        <is>
          <t>KALMAR LÄN</t>
        </is>
      </c>
      <c r="E413" t="inlineStr">
        <is>
          <t>VÄSTERVIK</t>
        </is>
      </c>
      <c r="G413" t="n">
        <v>4.1</v>
      </c>
      <c r="H413" t="n">
        <v>0</v>
      </c>
      <c r="I413" t="n">
        <v>0</v>
      </c>
      <c r="J413" t="n">
        <v>0</v>
      </c>
      <c r="K413" t="n">
        <v>0</v>
      </c>
      <c r="L413" t="n">
        <v>0</v>
      </c>
      <c r="M413" t="n">
        <v>0</v>
      </c>
      <c r="N413" t="n">
        <v>0</v>
      </c>
      <c r="O413" t="n">
        <v>0</v>
      </c>
      <c r="P413" t="n">
        <v>0</v>
      </c>
      <c r="Q413" t="n">
        <v>0</v>
      </c>
      <c r="R413" s="2" t="inlineStr"/>
    </row>
    <row r="414" ht="15" customHeight="1">
      <c r="A414" t="inlineStr">
        <is>
          <t>A 26470-2019</t>
        </is>
      </c>
      <c r="B414" s="1" t="n">
        <v>43606</v>
      </c>
      <c r="C414" s="1" t="n">
        <v>45851</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26834-2019</t>
        </is>
      </c>
      <c r="B415" s="1" t="n">
        <v>43608</v>
      </c>
      <c r="C415" s="1" t="n">
        <v>45851</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26833-2019</t>
        </is>
      </c>
      <c r="B416" s="1" t="n">
        <v>43608</v>
      </c>
      <c r="C416" s="1" t="n">
        <v>45851</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26567-2019</t>
        </is>
      </c>
      <c r="B417" s="1" t="n">
        <v>43612</v>
      </c>
      <c r="C417" s="1" t="n">
        <v>45851</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26590-2019</t>
        </is>
      </c>
      <c r="B418" s="1" t="n">
        <v>43612</v>
      </c>
      <c r="C418" s="1" t="n">
        <v>45851</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26585-2019</t>
        </is>
      </c>
      <c r="B419" s="1" t="n">
        <v>43612</v>
      </c>
      <c r="C419" s="1" t="n">
        <v>45851</v>
      </c>
      <c r="D419" t="inlineStr">
        <is>
          <t>KALMAR LÄN</t>
        </is>
      </c>
      <c r="E419" t="inlineStr">
        <is>
          <t>VÄSTERVIK</t>
        </is>
      </c>
      <c r="G419" t="n">
        <v>3</v>
      </c>
      <c r="H419" t="n">
        <v>0</v>
      </c>
      <c r="I419" t="n">
        <v>0</v>
      </c>
      <c r="J419" t="n">
        <v>0</v>
      </c>
      <c r="K419" t="n">
        <v>0</v>
      </c>
      <c r="L419" t="n">
        <v>0</v>
      </c>
      <c r="M419" t="n">
        <v>0</v>
      </c>
      <c r="N419" t="n">
        <v>0</v>
      </c>
      <c r="O419" t="n">
        <v>0</v>
      </c>
      <c r="P419" t="n">
        <v>0</v>
      </c>
      <c r="Q419" t="n">
        <v>0</v>
      </c>
      <c r="R419" s="2" t="inlineStr"/>
    </row>
    <row r="420" ht="15" customHeight="1">
      <c r="A420" t="inlineStr">
        <is>
          <t>A 26578-2019</t>
        </is>
      </c>
      <c r="B420" s="1" t="n">
        <v>43612</v>
      </c>
      <c r="C420" s="1" t="n">
        <v>45851</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27206-2019</t>
        </is>
      </c>
      <c r="B421" s="1" t="n">
        <v>43614</v>
      </c>
      <c r="C421" s="1" t="n">
        <v>45851</v>
      </c>
      <c r="D421" t="inlineStr">
        <is>
          <t>KALMAR LÄN</t>
        </is>
      </c>
      <c r="E421" t="inlineStr">
        <is>
          <t>VÄSTERVIK</t>
        </is>
      </c>
      <c r="F421" t="inlineStr">
        <is>
          <t>Sveaskog</t>
        </is>
      </c>
      <c r="G421" t="n">
        <v>7.9</v>
      </c>
      <c r="H421" t="n">
        <v>0</v>
      </c>
      <c r="I421" t="n">
        <v>0</v>
      </c>
      <c r="J421" t="n">
        <v>0</v>
      </c>
      <c r="K421" t="n">
        <v>0</v>
      </c>
      <c r="L421" t="n">
        <v>0</v>
      </c>
      <c r="M421" t="n">
        <v>0</v>
      </c>
      <c r="N421" t="n">
        <v>0</v>
      </c>
      <c r="O421" t="n">
        <v>0</v>
      </c>
      <c r="P421" t="n">
        <v>0</v>
      </c>
      <c r="Q421" t="n">
        <v>0</v>
      </c>
      <c r="R421" s="2" t="inlineStr"/>
    </row>
    <row r="422" ht="15" customHeight="1">
      <c r="A422" t="inlineStr">
        <is>
          <t>A 28970-2019</t>
        </is>
      </c>
      <c r="B422" s="1" t="n">
        <v>43619</v>
      </c>
      <c r="C422" s="1" t="n">
        <v>45851</v>
      </c>
      <c r="D422" t="inlineStr">
        <is>
          <t>KALMAR LÄN</t>
        </is>
      </c>
      <c r="E422" t="inlineStr">
        <is>
          <t>VÄSTERVIK</t>
        </is>
      </c>
      <c r="G422" t="n">
        <v>1.1</v>
      </c>
      <c r="H422" t="n">
        <v>0</v>
      </c>
      <c r="I422" t="n">
        <v>0</v>
      </c>
      <c r="J422" t="n">
        <v>0</v>
      </c>
      <c r="K422" t="n">
        <v>0</v>
      </c>
      <c r="L422" t="n">
        <v>0</v>
      </c>
      <c r="M422" t="n">
        <v>0</v>
      </c>
      <c r="N422" t="n">
        <v>0</v>
      </c>
      <c r="O422" t="n">
        <v>0</v>
      </c>
      <c r="P422" t="n">
        <v>0</v>
      </c>
      <c r="Q422" t="n">
        <v>0</v>
      </c>
      <c r="R422" s="2" t="inlineStr"/>
    </row>
    <row r="423" ht="15" customHeight="1">
      <c r="A423" t="inlineStr">
        <is>
          <t>A 27654-2019</t>
        </is>
      </c>
      <c r="B423" s="1" t="n">
        <v>43619</v>
      </c>
      <c r="C423" s="1" t="n">
        <v>45851</v>
      </c>
      <c r="D423" t="inlineStr">
        <is>
          <t>KALMAR LÄN</t>
        </is>
      </c>
      <c r="E423" t="inlineStr">
        <is>
          <t>VÄSTERVIK</t>
        </is>
      </c>
      <c r="G423" t="n">
        <v>1.2</v>
      </c>
      <c r="H423" t="n">
        <v>0</v>
      </c>
      <c r="I423" t="n">
        <v>0</v>
      </c>
      <c r="J423" t="n">
        <v>0</v>
      </c>
      <c r="K423" t="n">
        <v>0</v>
      </c>
      <c r="L423" t="n">
        <v>0</v>
      </c>
      <c r="M423" t="n">
        <v>0</v>
      </c>
      <c r="N423" t="n">
        <v>0</v>
      </c>
      <c r="O423" t="n">
        <v>0</v>
      </c>
      <c r="P423" t="n">
        <v>0</v>
      </c>
      <c r="Q423" t="n">
        <v>0</v>
      </c>
      <c r="R423" s="2" t="inlineStr"/>
    </row>
    <row r="424" ht="15" customHeight="1">
      <c r="A424" t="inlineStr">
        <is>
          <t>A 28347-2019</t>
        </is>
      </c>
      <c r="B424" s="1" t="n">
        <v>43624</v>
      </c>
      <c r="C424" s="1" t="n">
        <v>45851</v>
      </c>
      <c r="D424" t="inlineStr">
        <is>
          <t>KALMAR LÄN</t>
        </is>
      </c>
      <c r="E424" t="inlineStr">
        <is>
          <t>VÄSTERVIK</t>
        </is>
      </c>
      <c r="G424" t="n">
        <v>5.1</v>
      </c>
      <c r="H424" t="n">
        <v>0</v>
      </c>
      <c r="I424" t="n">
        <v>0</v>
      </c>
      <c r="J424" t="n">
        <v>0</v>
      </c>
      <c r="K424" t="n">
        <v>0</v>
      </c>
      <c r="L424" t="n">
        <v>0</v>
      </c>
      <c r="M424" t="n">
        <v>0</v>
      </c>
      <c r="N424" t="n">
        <v>0</v>
      </c>
      <c r="O424" t="n">
        <v>0</v>
      </c>
      <c r="P424" t="n">
        <v>0</v>
      </c>
      <c r="Q424" t="n">
        <v>0</v>
      </c>
      <c r="R424" s="2" t="inlineStr"/>
    </row>
    <row r="425" ht="15" customHeight="1">
      <c r="A425" t="inlineStr">
        <is>
          <t>A 28594-2019</t>
        </is>
      </c>
      <c r="B425" s="1" t="n">
        <v>43626</v>
      </c>
      <c r="C425" s="1" t="n">
        <v>45851</v>
      </c>
      <c r="D425" t="inlineStr">
        <is>
          <t>KALMAR LÄN</t>
        </is>
      </c>
      <c r="E425" t="inlineStr">
        <is>
          <t>VÄSTERVIK</t>
        </is>
      </c>
      <c r="G425" t="n">
        <v>1.2</v>
      </c>
      <c r="H425" t="n">
        <v>0</v>
      </c>
      <c r="I425" t="n">
        <v>0</v>
      </c>
      <c r="J425" t="n">
        <v>0</v>
      </c>
      <c r="K425" t="n">
        <v>0</v>
      </c>
      <c r="L425" t="n">
        <v>0</v>
      </c>
      <c r="M425" t="n">
        <v>0</v>
      </c>
      <c r="N425" t="n">
        <v>0</v>
      </c>
      <c r="O425" t="n">
        <v>0</v>
      </c>
      <c r="P425" t="n">
        <v>0</v>
      </c>
      <c r="Q425" t="n">
        <v>0</v>
      </c>
      <c r="R425" s="2" t="inlineStr"/>
    </row>
    <row r="426" ht="15" customHeight="1">
      <c r="A426" t="inlineStr">
        <is>
          <t>A 28590-2019</t>
        </is>
      </c>
      <c r="B426" s="1" t="n">
        <v>43626</v>
      </c>
      <c r="C426" s="1" t="n">
        <v>45851</v>
      </c>
      <c r="D426" t="inlineStr">
        <is>
          <t>KALMAR LÄN</t>
        </is>
      </c>
      <c r="E426" t="inlineStr">
        <is>
          <t>VÄSTERVIK</t>
        </is>
      </c>
      <c r="G426" t="n">
        <v>2.9</v>
      </c>
      <c r="H426" t="n">
        <v>0</v>
      </c>
      <c r="I426" t="n">
        <v>0</v>
      </c>
      <c r="J426" t="n">
        <v>0</v>
      </c>
      <c r="K426" t="n">
        <v>0</v>
      </c>
      <c r="L426" t="n">
        <v>0</v>
      </c>
      <c r="M426" t="n">
        <v>0</v>
      </c>
      <c r="N426" t="n">
        <v>0</v>
      </c>
      <c r="O426" t="n">
        <v>0</v>
      </c>
      <c r="P426" t="n">
        <v>0</v>
      </c>
      <c r="Q426" t="n">
        <v>0</v>
      </c>
      <c r="R426" s="2" t="inlineStr"/>
    </row>
    <row r="427" ht="15" customHeight="1">
      <c r="A427" t="inlineStr">
        <is>
          <t>A 29519-2019</t>
        </is>
      </c>
      <c r="B427" s="1" t="n">
        <v>43627</v>
      </c>
      <c r="C427" s="1" t="n">
        <v>45851</v>
      </c>
      <c r="D427" t="inlineStr">
        <is>
          <t>KALMAR LÄN</t>
        </is>
      </c>
      <c r="E427" t="inlineStr">
        <is>
          <t>VÄSTERVIK</t>
        </is>
      </c>
      <c r="F427" t="inlineStr">
        <is>
          <t>Kommuner</t>
        </is>
      </c>
      <c r="G427" t="n">
        <v>1.9</v>
      </c>
      <c r="H427" t="n">
        <v>0</v>
      </c>
      <c r="I427" t="n">
        <v>0</v>
      </c>
      <c r="J427" t="n">
        <v>0</v>
      </c>
      <c r="K427" t="n">
        <v>0</v>
      </c>
      <c r="L427" t="n">
        <v>0</v>
      </c>
      <c r="M427" t="n">
        <v>0</v>
      </c>
      <c r="N427" t="n">
        <v>0</v>
      </c>
      <c r="O427" t="n">
        <v>0</v>
      </c>
      <c r="P427" t="n">
        <v>0</v>
      </c>
      <c r="Q427" t="n">
        <v>0</v>
      </c>
      <c r="R427" s="2" t="inlineStr"/>
    </row>
    <row r="428" ht="15" customHeight="1">
      <c r="A428" t="inlineStr">
        <is>
          <t>A 30058-2019</t>
        </is>
      </c>
      <c r="B428" s="1" t="n">
        <v>43633</v>
      </c>
      <c r="C428" s="1" t="n">
        <v>45851</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30057-2019</t>
        </is>
      </c>
      <c r="B429" s="1" t="n">
        <v>43633</v>
      </c>
      <c r="C429" s="1" t="n">
        <v>45851</v>
      </c>
      <c r="D429" t="inlineStr">
        <is>
          <t>KALMAR LÄN</t>
        </is>
      </c>
      <c r="E429" t="inlineStr">
        <is>
          <t>VÄSTERVIK</t>
        </is>
      </c>
      <c r="G429" t="n">
        <v>0.7</v>
      </c>
      <c r="H429" t="n">
        <v>0</v>
      </c>
      <c r="I429" t="n">
        <v>0</v>
      </c>
      <c r="J429" t="n">
        <v>0</v>
      </c>
      <c r="K429" t="n">
        <v>0</v>
      </c>
      <c r="L429" t="n">
        <v>0</v>
      </c>
      <c r="M429" t="n">
        <v>0</v>
      </c>
      <c r="N429" t="n">
        <v>0</v>
      </c>
      <c r="O429" t="n">
        <v>0</v>
      </c>
      <c r="P429" t="n">
        <v>0</v>
      </c>
      <c r="Q429" t="n">
        <v>0</v>
      </c>
      <c r="R429" s="2" t="inlineStr"/>
    </row>
    <row r="430" ht="15" customHeight="1">
      <c r="A430" t="inlineStr">
        <is>
          <t>A 29922-2019</t>
        </is>
      </c>
      <c r="B430" s="1" t="n">
        <v>43633</v>
      </c>
      <c r="C430" s="1" t="n">
        <v>45851</v>
      </c>
      <c r="D430" t="inlineStr">
        <is>
          <t>KALMAR LÄN</t>
        </is>
      </c>
      <c r="E430" t="inlineStr">
        <is>
          <t>VÄSTERVIK</t>
        </is>
      </c>
      <c r="G430" t="n">
        <v>3.8</v>
      </c>
      <c r="H430" t="n">
        <v>0</v>
      </c>
      <c r="I430" t="n">
        <v>0</v>
      </c>
      <c r="J430" t="n">
        <v>0</v>
      </c>
      <c r="K430" t="n">
        <v>0</v>
      </c>
      <c r="L430" t="n">
        <v>0</v>
      </c>
      <c r="M430" t="n">
        <v>0</v>
      </c>
      <c r="N430" t="n">
        <v>0</v>
      </c>
      <c r="O430" t="n">
        <v>0</v>
      </c>
      <c r="P430" t="n">
        <v>0</v>
      </c>
      <c r="Q430" t="n">
        <v>0</v>
      </c>
      <c r="R430" s="2" t="inlineStr"/>
    </row>
    <row r="431" ht="15" customHeight="1">
      <c r="A431" t="inlineStr">
        <is>
          <t>A 31072-2019</t>
        </is>
      </c>
      <c r="B431" s="1" t="n">
        <v>43640</v>
      </c>
      <c r="C431" s="1" t="n">
        <v>45851</v>
      </c>
      <c r="D431" t="inlineStr">
        <is>
          <t>KALMAR LÄN</t>
        </is>
      </c>
      <c r="E431" t="inlineStr">
        <is>
          <t>VÄSTERVIK</t>
        </is>
      </c>
      <c r="G431" t="n">
        <v>2.6</v>
      </c>
      <c r="H431" t="n">
        <v>0</v>
      </c>
      <c r="I431" t="n">
        <v>0</v>
      </c>
      <c r="J431" t="n">
        <v>0</v>
      </c>
      <c r="K431" t="n">
        <v>0</v>
      </c>
      <c r="L431" t="n">
        <v>0</v>
      </c>
      <c r="M431" t="n">
        <v>0</v>
      </c>
      <c r="N431" t="n">
        <v>0</v>
      </c>
      <c r="O431" t="n">
        <v>0</v>
      </c>
      <c r="P431" t="n">
        <v>0</v>
      </c>
      <c r="Q431" t="n">
        <v>0</v>
      </c>
      <c r="R431" s="2" t="inlineStr"/>
    </row>
    <row r="432" ht="15" customHeight="1">
      <c r="A432" t="inlineStr">
        <is>
          <t>A 32045-2019</t>
        </is>
      </c>
      <c r="B432" s="1" t="n">
        <v>43643</v>
      </c>
      <c r="C432" s="1" t="n">
        <v>45851</v>
      </c>
      <c r="D432" t="inlineStr">
        <is>
          <t>KALMAR LÄN</t>
        </is>
      </c>
      <c r="E432" t="inlineStr">
        <is>
          <t>VÄSTERVIK</t>
        </is>
      </c>
      <c r="G432" t="n">
        <v>6.5</v>
      </c>
      <c r="H432" t="n">
        <v>0</v>
      </c>
      <c r="I432" t="n">
        <v>0</v>
      </c>
      <c r="J432" t="n">
        <v>0</v>
      </c>
      <c r="K432" t="n">
        <v>0</v>
      </c>
      <c r="L432" t="n">
        <v>0</v>
      </c>
      <c r="M432" t="n">
        <v>0</v>
      </c>
      <c r="N432" t="n">
        <v>0</v>
      </c>
      <c r="O432" t="n">
        <v>0</v>
      </c>
      <c r="P432" t="n">
        <v>0</v>
      </c>
      <c r="Q432" t="n">
        <v>0</v>
      </c>
      <c r="R432" s="2" t="inlineStr"/>
    </row>
    <row r="433" ht="15" customHeight="1">
      <c r="A433" t="inlineStr">
        <is>
          <t>A 32052-2019</t>
        </is>
      </c>
      <c r="B433" s="1" t="n">
        <v>43643</v>
      </c>
      <c r="C433" s="1" t="n">
        <v>45851</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32048-2019</t>
        </is>
      </c>
      <c r="B434" s="1" t="n">
        <v>43643</v>
      </c>
      <c r="C434" s="1" t="n">
        <v>45851</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32522-2019</t>
        </is>
      </c>
      <c r="B435" s="1" t="n">
        <v>43646</v>
      </c>
      <c r="C435" s="1" t="n">
        <v>45851</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32521-2019</t>
        </is>
      </c>
      <c r="B436" s="1" t="n">
        <v>43646</v>
      </c>
      <c r="C436" s="1" t="n">
        <v>45851</v>
      </c>
      <c r="D436" t="inlineStr">
        <is>
          <t>KALMAR LÄN</t>
        </is>
      </c>
      <c r="E436" t="inlineStr">
        <is>
          <t>VÄSTERVIK</t>
        </is>
      </c>
      <c r="G436" t="n">
        <v>0.4</v>
      </c>
      <c r="H436" t="n">
        <v>0</v>
      </c>
      <c r="I436" t="n">
        <v>0</v>
      </c>
      <c r="J436" t="n">
        <v>0</v>
      </c>
      <c r="K436" t="n">
        <v>0</v>
      </c>
      <c r="L436" t="n">
        <v>0</v>
      </c>
      <c r="M436" t="n">
        <v>0</v>
      </c>
      <c r="N436" t="n">
        <v>0</v>
      </c>
      <c r="O436" t="n">
        <v>0</v>
      </c>
      <c r="P436" t="n">
        <v>0</v>
      </c>
      <c r="Q436" t="n">
        <v>0</v>
      </c>
      <c r="R436" s="2" t="inlineStr"/>
    </row>
    <row r="437" ht="15" customHeight="1">
      <c r="A437" t="inlineStr">
        <is>
          <t>A 32524-2019</t>
        </is>
      </c>
      <c r="B437" s="1" t="n">
        <v>43646</v>
      </c>
      <c r="C437" s="1" t="n">
        <v>45851</v>
      </c>
      <c r="D437" t="inlineStr">
        <is>
          <t>KALMAR LÄN</t>
        </is>
      </c>
      <c r="E437" t="inlineStr">
        <is>
          <t>VÄSTERVIK</t>
        </is>
      </c>
      <c r="G437" t="n">
        <v>1.4</v>
      </c>
      <c r="H437" t="n">
        <v>0</v>
      </c>
      <c r="I437" t="n">
        <v>0</v>
      </c>
      <c r="J437" t="n">
        <v>0</v>
      </c>
      <c r="K437" t="n">
        <v>0</v>
      </c>
      <c r="L437" t="n">
        <v>0</v>
      </c>
      <c r="M437" t="n">
        <v>0</v>
      </c>
      <c r="N437" t="n">
        <v>0</v>
      </c>
      <c r="O437" t="n">
        <v>0</v>
      </c>
      <c r="P437" t="n">
        <v>0</v>
      </c>
      <c r="Q437" t="n">
        <v>0</v>
      </c>
      <c r="R437" s="2" t="inlineStr"/>
    </row>
    <row r="438" ht="15" customHeight="1">
      <c r="A438" t="inlineStr">
        <is>
          <t>A 32523-2019</t>
        </is>
      </c>
      <c r="B438" s="1" t="n">
        <v>43646</v>
      </c>
      <c r="C438" s="1" t="n">
        <v>45851</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33752-2019</t>
        </is>
      </c>
      <c r="B439" s="1" t="n">
        <v>43651</v>
      </c>
      <c r="C439" s="1" t="n">
        <v>45851</v>
      </c>
      <c r="D439" t="inlineStr">
        <is>
          <t>KALMAR LÄN</t>
        </is>
      </c>
      <c r="E439" t="inlineStr">
        <is>
          <t>VÄSTERVIK</t>
        </is>
      </c>
      <c r="G439" t="n">
        <v>3.1</v>
      </c>
      <c r="H439" t="n">
        <v>0</v>
      </c>
      <c r="I439" t="n">
        <v>0</v>
      </c>
      <c r="J439" t="n">
        <v>0</v>
      </c>
      <c r="K439" t="n">
        <v>0</v>
      </c>
      <c r="L439" t="n">
        <v>0</v>
      </c>
      <c r="M439" t="n">
        <v>0</v>
      </c>
      <c r="N439" t="n">
        <v>0</v>
      </c>
      <c r="O439" t="n">
        <v>0</v>
      </c>
      <c r="P439" t="n">
        <v>0</v>
      </c>
      <c r="Q439" t="n">
        <v>0</v>
      </c>
      <c r="R439" s="2" t="inlineStr"/>
    </row>
    <row r="440" ht="15" customHeight="1">
      <c r="A440" t="inlineStr">
        <is>
          <t>A 33738-2019</t>
        </is>
      </c>
      <c r="B440" s="1" t="n">
        <v>43651</v>
      </c>
      <c r="C440" s="1" t="n">
        <v>45851</v>
      </c>
      <c r="D440" t="inlineStr">
        <is>
          <t>KALMAR LÄN</t>
        </is>
      </c>
      <c r="E440" t="inlineStr">
        <is>
          <t>VÄSTERVIK</t>
        </is>
      </c>
      <c r="G440" t="n">
        <v>2.5</v>
      </c>
      <c r="H440" t="n">
        <v>0</v>
      </c>
      <c r="I440" t="n">
        <v>0</v>
      </c>
      <c r="J440" t="n">
        <v>0</v>
      </c>
      <c r="K440" t="n">
        <v>0</v>
      </c>
      <c r="L440" t="n">
        <v>0</v>
      </c>
      <c r="M440" t="n">
        <v>0</v>
      </c>
      <c r="N440" t="n">
        <v>0</v>
      </c>
      <c r="O440" t="n">
        <v>0</v>
      </c>
      <c r="P440" t="n">
        <v>0</v>
      </c>
      <c r="Q440" t="n">
        <v>0</v>
      </c>
      <c r="R440" s="2" t="inlineStr"/>
    </row>
    <row r="441" ht="15" customHeight="1">
      <c r="A441" t="inlineStr">
        <is>
          <t>A 33741-2019</t>
        </is>
      </c>
      <c r="B441" s="1" t="n">
        <v>43651</v>
      </c>
      <c r="C441" s="1" t="n">
        <v>45851</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35283-2019</t>
        </is>
      </c>
      <c r="B442" s="1" t="n">
        <v>43656</v>
      </c>
      <c r="C442" s="1" t="n">
        <v>45851</v>
      </c>
      <c r="D442" t="inlineStr">
        <is>
          <t>KALMAR LÄN</t>
        </is>
      </c>
      <c r="E442" t="inlineStr">
        <is>
          <t>VÄSTERVIK</t>
        </is>
      </c>
      <c r="G442" t="n">
        <v>3.2</v>
      </c>
      <c r="H442" t="n">
        <v>0</v>
      </c>
      <c r="I442" t="n">
        <v>0</v>
      </c>
      <c r="J442" t="n">
        <v>0</v>
      </c>
      <c r="K442" t="n">
        <v>0</v>
      </c>
      <c r="L442" t="n">
        <v>0</v>
      </c>
      <c r="M442" t="n">
        <v>0</v>
      </c>
      <c r="N442" t="n">
        <v>0</v>
      </c>
      <c r="O442" t="n">
        <v>0</v>
      </c>
      <c r="P442" t="n">
        <v>0</v>
      </c>
      <c r="Q442" t="n">
        <v>0</v>
      </c>
      <c r="R442" s="2" t="inlineStr"/>
    </row>
    <row r="443" ht="15" customHeight="1">
      <c r="A443" t="inlineStr">
        <is>
          <t>A 35284-2019</t>
        </is>
      </c>
      <c r="B443" s="1" t="n">
        <v>43656</v>
      </c>
      <c r="C443" s="1" t="n">
        <v>45851</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35285-2019</t>
        </is>
      </c>
      <c r="B444" s="1" t="n">
        <v>43656</v>
      </c>
      <c r="C444" s="1" t="n">
        <v>45851</v>
      </c>
      <c r="D444" t="inlineStr">
        <is>
          <t>KALMAR LÄN</t>
        </is>
      </c>
      <c r="E444" t="inlineStr">
        <is>
          <t>VÄSTERVIK</t>
        </is>
      </c>
      <c r="G444" t="n">
        <v>5.7</v>
      </c>
      <c r="H444" t="n">
        <v>0</v>
      </c>
      <c r="I444" t="n">
        <v>0</v>
      </c>
      <c r="J444" t="n">
        <v>0</v>
      </c>
      <c r="K444" t="n">
        <v>0</v>
      </c>
      <c r="L444" t="n">
        <v>0</v>
      </c>
      <c r="M444" t="n">
        <v>0</v>
      </c>
      <c r="N444" t="n">
        <v>0</v>
      </c>
      <c r="O444" t="n">
        <v>0</v>
      </c>
      <c r="P444" t="n">
        <v>0</v>
      </c>
      <c r="Q444" t="n">
        <v>0</v>
      </c>
      <c r="R444" s="2" t="inlineStr"/>
    </row>
    <row r="445" ht="15" customHeight="1">
      <c r="A445" t="inlineStr">
        <is>
          <t>A 37615-2019</t>
        </is>
      </c>
      <c r="B445" s="1" t="n">
        <v>43681</v>
      </c>
      <c r="C445" s="1" t="n">
        <v>45851</v>
      </c>
      <c r="D445" t="inlineStr">
        <is>
          <t>KALMAR LÄN</t>
        </is>
      </c>
      <c r="E445" t="inlineStr">
        <is>
          <t>VÄSTERVIK</t>
        </is>
      </c>
      <c r="G445" t="n">
        <v>3.9</v>
      </c>
      <c r="H445" t="n">
        <v>0</v>
      </c>
      <c r="I445" t="n">
        <v>0</v>
      </c>
      <c r="J445" t="n">
        <v>0</v>
      </c>
      <c r="K445" t="n">
        <v>0</v>
      </c>
      <c r="L445" t="n">
        <v>0</v>
      </c>
      <c r="M445" t="n">
        <v>0</v>
      </c>
      <c r="N445" t="n">
        <v>0</v>
      </c>
      <c r="O445" t="n">
        <v>0</v>
      </c>
      <c r="P445" t="n">
        <v>0</v>
      </c>
      <c r="Q445" t="n">
        <v>0</v>
      </c>
      <c r="R445" s="2" t="inlineStr"/>
    </row>
    <row r="446" ht="15" customHeight="1">
      <c r="A446" t="inlineStr">
        <is>
          <t>A 37983-2019</t>
        </is>
      </c>
      <c r="B446" s="1" t="n">
        <v>43683</v>
      </c>
      <c r="C446" s="1" t="n">
        <v>45851</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37920-2019</t>
        </is>
      </c>
      <c r="B447" s="1" t="n">
        <v>43683</v>
      </c>
      <c r="C447" s="1" t="n">
        <v>45851</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38229-2019</t>
        </is>
      </c>
      <c r="B448" s="1" t="n">
        <v>43684</v>
      </c>
      <c r="C448" s="1" t="n">
        <v>45851</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38239-2019</t>
        </is>
      </c>
      <c r="B449" s="1" t="n">
        <v>43684</v>
      </c>
      <c r="C449" s="1" t="n">
        <v>45851</v>
      </c>
      <c r="D449" t="inlineStr">
        <is>
          <t>KALMAR LÄN</t>
        </is>
      </c>
      <c r="E449" t="inlineStr">
        <is>
          <t>VÄSTERVIK</t>
        </is>
      </c>
      <c r="G449" t="n">
        <v>1.4</v>
      </c>
      <c r="H449" t="n">
        <v>0</v>
      </c>
      <c r="I449" t="n">
        <v>0</v>
      </c>
      <c r="J449" t="n">
        <v>0</v>
      </c>
      <c r="K449" t="n">
        <v>0</v>
      </c>
      <c r="L449" t="n">
        <v>0</v>
      </c>
      <c r="M449" t="n">
        <v>0</v>
      </c>
      <c r="N449" t="n">
        <v>0</v>
      </c>
      <c r="O449" t="n">
        <v>0</v>
      </c>
      <c r="P449" t="n">
        <v>0</v>
      </c>
      <c r="Q449" t="n">
        <v>0</v>
      </c>
      <c r="R449" s="2" t="inlineStr"/>
    </row>
    <row r="450" ht="15" customHeight="1">
      <c r="A450" t="inlineStr">
        <is>
          <t>A 38904-2019</t>
        </is>
      </c>
      <c r="B450" s="1" t="n">
        <v>43689</v>
      </c>
      <c r="C450" s="1" t="n">
        <v>45851</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39696-2019</t>
        </is>
      </c>
      <c r="B451" s="1" t="n">
        <v>43691</v>
      </c>
      <c r="C451" s="1" t="n">
        <v>45851</v>
      </c>
      <c r="D451" t="inlineStr">
        <is>
          <t>KALMAR LÄN</t>
        </is>
      </c>
      <c r="E451" t="inlineStr">
        <is>
          <t>VÄSTERVIK</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39745-2019</t>
        </is>
      </c>
      <c r="B452" s="1" t="n">
        <v>43691</v>
      </c>
      <c r="C452" s="1" t="n">
        <v>45851</v>
      </c>
      <c r="D452" t="inlineStr">
        <is>
          <t>KALMAR LÄN</t>
        </is>
      </c>
      <c r="E452" t="inlineStr">
        <is>
          <t>VÄSTERVIK</t>
        </is>
      </c>
      <c r="G452" t="n">
        <v>2.1</v>
      </c>
      <c r="H452" t="n">
        <v>0</v>
      </c>
      <c r="I452" t="n">
        <v>0</v>
      </c>
      <c r="J452" t="n">
        <v>0</v>
      </c>
      <c r="K452" t="n">
        <v>0</v>
      </c>
      <c r="L452" t="n">
        <v>0</v>
      </c>
      <c r="M452" t="n">
        <v>0</v>
      </c>
      <c r="N452" t="n">
        <v>0</v>
      </c>
      <c r="O452" t="n">
        <v>0</v>
      </c>
      <c r="P452" t="n">
        <v>0</v>
      </c>
      <c r="Q452" t="n">
        <v>0</v>
      </c>
      <c r="R452" s="2" t="inlineStr"/>
    </row>
    <row r="453" ht="15" customHeight="1">
      <c r="A453" t="inlineStr">
        <is>
          <t>A 41961-2019</t>
        </is>
      </c>
      <c r="B453" s="1" t="n">
        <v>43698</v>
      </c>
      <c r="C453" s="1" t="n">
        <v>45851</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41728-2019</t>
        </is>
      </c>
      <c r="B454" s="1" t="n">
        <v>43699</v>
      </c>
      <c r="C454" s="1" t="n">
        <v>45851</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44467-2019</t>
        </is>
      </c>
      <c r="B455" s="1" t="n">
        <v>43711</v>
      </c>
      <c r="C455" s="1" t="n">
        <v>45851</v>
      </c>
      <c r="D455" t="inlineStr">
        <is>
          <t>KALMAR LÄN</t>
        </is>
      </c>
      <c r="E455" t="inlineStr">
        <is>
          <t>VÄSTERVIK</t>
        </is>
      </c>
      <c r="G455" t="n">
        <v>2.5</v>
      </c>
      <c r="H455" t="n">
        <v>0</v>
      </c>
      <c r="I455" t="n">
        <v>0</v>
      </c>
      <c r="J455" t="n">
        <v>0</v>
      </c>
      <c r="K455" t="n">
        <v>0</v>
      </c>
      <c r="L455" t="n">
        <v>0</v>
      </c>
      <c r="M455" t="n">
        <v>0</v>
      </c>
      <c r="N455" t="n">
        <v>0</v>
      </c>
      <c r="O455" t="n">
        <v>0</v>
      </c>
      <c r="P455" t="n">
        <v>0</v>
      </c>
      <c r="Q455" t="n">
        <v>0</v>
      </c>
      <c r="R455" s="2" t="inlineStr"/>
    </row>
    <row r="456" ht="15" customHeight="1">
      <c r="A456" t="inlineStr">
        <is>
          <t>A 44639-2019</t>
        </is>
      </c>
      <c r="B456" s="1" t="n">
        <v>43712</v>
      </c>
      <c r="C456" s="1" t="n">
        <v>45851</v>
      </c>
      <c r="D456" t="inlineStr">
        <is>
          <t>KALMAR LÄN</t>
        </is>
      </c>
      <c r="E456" t="inlineStr">
        <is>
          <t>VÄSTERVIK</t>
        </is>
      </c>
      <c r="F456" t="inlineStr">
        <is>
          <t>Övriga Aktiebolag</t>
        </is>
      </c>
      <c r="G456" t="n">
        <v>5.9</v>
      </c>
      <c r="H456" t="n">
        <v>0</v>
      </c>
      <c r="I456" t="n">
        <v>0</v>
      </c>
      <c r="J456" t="n">
        <v>0</v>
      </c>
      <c r="K456" t="n">
        <v>0</v>
      </c>
      <c r="L456" t="n">
        <v>0</v>
      </c>
      <c r="M456" t="n">
        <v>0</v>
      </c>
      <c r="N456" t="n">
        <v>0</v>
      </c>
      <c r="O456" t="n">
        <v>0</v>
      </c>
      <c r="P456" t="n">
        <v>0</v>
      </c>
      <c r="Q456" t="n">
        <v>0</v>
      </c>
      <c r="R456" s="2" t="inlineStr"/>
    </row>
    <row r="457" ht="15" customHeight="1">
      <c r="A457" t="inlineStr">
        <is>
          <t>A 46173-2019</t>
        </is>
      </c>
      <c r="B457" s="1" t="n">
        <v>43712</v>
      </c>
      <c r="C457" s="1" t="n">
        <v>45851</v>
      </c>
      <c r="D457" t="inlineStr">
        <is>
          <t>KALMAR LÄN</t>
        </is>
      </c>
      <c r="E457" t="inlineStr">
        <is>
          <t>VÄSTERVIK</t>
        </is>
      </c>
      <c r="G457" t="n">
        <v>4.2</v>
      </c>
      <c r="H457" t="n">
        <v>0</v>
      </c>
      <c r="I457" t="n">
        <v>0</v>
      </c>
      <c r="J457" t="n">
        <v>0</v>
      </c>
      <c r="K457" t="n">
        <v>0</v>
      </c>
      <c r="L457" t="n">
        <v>0</v>
      </c>
      <c r="M457" t="n">
        <v>0</v>
      </c>
      <c r="N457" t="n">
        <v>0</v>
      </c>
      <c r="O457" t="n">
        <v>0</v>
      </c>
      <c r="P457" t="n">
        <v>0</v>
      </c>
      <c r="Q457" t="n">
        <v>0</v>
      </c>
      <c r="R457" s="2" t="inlineStr"/>
    </row>
    <row r="458" ht="15" customHeight="1">
      <c r="A458" t="inlineStr">
        <is>
          <t>A 45162-2019</t>
        </is>
      </c>
      <c r="B458" s="1" t="n">
        <v>43713</v>
      </c>
      <c r="C458" s="1" t="n">
        <v>45851</v>
      </c>
      <c r="D458" t="inlineStr">
        <is>
          <t>KALMAR LÄN</t>
        </is>
      </c>
      <c r="E458" t="inlineStr">
        <is>
          <t>VÄSTERVIK</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45379-2019</t>
        </is>
      </c>
      <c r="B459" s="1" t="n">
        <v>43713</v>
      </c>
      <c r="C459" s="1" t="n">
        <v>45851</v>
      </c>
      <c r="D459" t="inlineStr">
        <is>
          <t>KALMAR LÄN</t>
        </is>
      </c>
      <c r="E459" t="inlineStr">
        <is>
          <t>VÄSTERVIK</t>
        </is>
      </c>
      <c r="G459" t="n">
        <v>6.3</v>
      </c>
      <c r="H459" t="n">
        <v>0</v>
      </c>
      <c r="I459" t="n">
        <v>0</v>
      </c>
      <c r="J459" t="n">
        <v>0</v>
      </c>
      <c r="K459" t="n">
        <v>0</v>
      </c>
      <c r="L459" t="n">
        <v>0</v>
      </c>
      <c r="M459" t="n">
        <v>0</v>
      </c>
      <c r="N459" t="n">
        <v>0</v>
      </c>
      <c r="O459" t="n">
        <v>0</v>
      </c>
      <c r="P459" t="n">
        <v>0</v>
      </c>
      <c r="Q459" t="n">
        <v>0</v>
      </c>
      <c r="R459" s="2" t="inlineStr"/>
    </row>
    <row r="460" ht="15" customHeight="1">
      <c r="A460" t="inlineStr">
        <is>
          <t>A 45386-2019</t>
        </is>
      </c>
      <c r="B460" s="1" t="n">
        <v>43713</v>
      </c>
      <c r="C460" s="1" t="n">
        <v>45851</v>
      </c>
      <c r="D460" t="inlineStr">
        <is>
          <t>KALMAR LÄN</t>
        </is>
      </c>
      <c r="E460" t="inlineStr">
        <is>
          <t>VÄSTERVIK</t>
        </is>
      </c>
      <c r="G460" t="n">
        <v>11</v>
      </c>
      <c r="H460" t="n">
        <v>0</v>
      </c>
      <c r="I460" t="n">
        <v>0</v>
      </c>
      <c r="J460" t="n">
        <v>0</v>
      </c>
      <c r="K460" t="n">
        <v>0</v>
      </c>
      <c r="L460" t="n">
        <v>0</v>
      </c>
      <c r="M460" t="n">
        <v>0</v>
      </c>
      <c r="N460" t="n">
        <v>0</v>
      </c>
      <c r="O460" t="n">
        <v>0</v>
      </c>
      <c r="P460" t="n">
        <v>0</v>
      </c>
      <c r="Q460" t="n">
        <v>0</v>
      </c>
      <c r="R460" s="2" t="inlineStr"/>
    </row>
    <row r="461" ht="15" customHeight="1">
      <c r="A461" t="inlineStr">
        <is>
          <t>A 45757-2019</t>
        </is>
      </c>
      <c r="B461" s="1" t="n">
        <v>43717</v>
      </c>
      <c r="C461" s="1" t="n">
        <v>45851</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45772-2019</t>
        </is>
      </c>
      <c r="B462" s="1" t="n">
        <v>43717</v>
      </c>
      <c r="C462" s="1" t="n">
        <v>45851</v>
      </c>
      <c r="D462" t="inlineStr">
        <is>
          <t>KALMAR LÄN</t>
        </is>
      </c>
      <c r="E462" t="inlineStr">
        <is>
          <t>VÄSTERVIK</t>
        </is>
      </c>
      <c r="G462" t="n">
        <v>2.2</v>
      </c>
      <c r="H462" t="n">
        <v>0</v>
      </c>
      <c r="I462" t="n">
        <v>0</v>
      </c>
      <c r="J462" t="n">
        <v>0</v>
      </c>
      <c r="K462" t="n">
        <v>0</v>
      </c>
      <c r="L462" t="n">
        <v>0</v>
      </c>
      <c r="M462" t="n">
        <v>0</v>
      </c>
      <c r="N462" t="n">
        <v>0</v>
      </c>
      <c r="O462" t="n">
        <v>0</v>
      </c>
      <c r="P462" t="n">
        <v>0</v>
      </c>
      <c r="Q462" t="n">
        <v>0</v>
      </c>
      <c r="R462" s="2" t="inlineStr"/>
    </row>
    <row r="463" ht="15" customHeight="1">
      <c r="A463" t="inlineStr">
        <is>
          <t>A 45897-2019</t>
        </is>
      </c>
      <c r="B463" s="1" t="n">
        <v>43717</v>
      </c>
      <c r="C463" s="1" t="n">
        <v>45851</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46333-2019</t>
        </is>
      </c>
      <c r="B464" s="1" t="n">
        <v>43718</v>
      </c>
      <c r="C464" s="1" t="n">
        <v>45851</v>
      </c>
      <c r="D464" t="inlineStr">
        <is>
          <t>KALMAR LÄN</t>
        </is>
      </c>
      <c r="E464" t="inlineStr">
        <is>
          <t>VÄSTERVIK</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46942-2019</t>
        </is>
      </c>
      <c r="B465" s="1" t="n">
        <v>43719</v>
      </c>
      <c r="C465" s="1" t="n">
        <v>45851</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47434-2019</t>
        </is>
      </c>
      <c r="B466" s="1" t="n">
        <v>43723</v>
      </c>
      <c r="C466" s="1" t="n">
        <v>45851</v>
      </c>
      <c r="D466" t="inlineStr">
        <is>
          <t>KALMAR LÄN</t>
        </is>
      </c>
      <c r="E466" t="inlineStr">
        <is>
          <t>VÄSTERVIK</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47435-2019</t>
        </is>
      </c>
      <c r="B467" s="1" t="n">
        <v>43723</v>
      </c>
      <c r="C467" s="1" t="n">
        <v>45851</v>
      </c>
      <c r="D467" t="inlineStr">
        <is>
          <t>KALMAR LÄN</t>
        </is>
      </c>
      <c r="E467" t="inlineStr">
        <is>
          <t>VÄSTERVIK</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47438-2019</t>
        </is>
      </c>
      <c r="B468" s="1" t="n">
        <v>43723</v>
      </c>
      <c r="C468" s="1" t="n">
        <v>45851</v>
      </c>
      <c r="D468" t="inlineStr">
        <is>
          <t>KALMAR LÄN</t>
        </is>
      </c>
      <c r="E468" t="inlineStr">
        <is>
          <t>VÄSTERVIK</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47956-2019</t>
        </is>
      </c>
      <c r="B469" s="1" t="n">
        <v>43725</v>
      </c>
      <c r="C469" s="1" t="n">
        <v>45851</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47954-2019</t>
        </is>
      </c>
      <c r="B470" s="1" t="n">
        <v>43725</v>
      </c>
      <c r="C470" s="1" t="n">
        <v>45851</v>
      </c>
      <c r="D470" t="inlineStr">
        <is>
          <t>KALMAR LÄN</t>
        </is>
      </c>
      <c r="E470" t="inlineStr">
        <is>
          <t>VÄSTERVIK</t>
        </is>
      </c>
      <c r="G470" t="n">
        <v>6.8</v>
      </c>
      <c r="H470" t="n">
        <v>0</v>
      </c>
      <c r="I470" t="n">
        <v>0</v>
      </c>
      <c r="J470" t="n">
        <v>0</v>
      </c>
      <c r="K470" t="n">
        <v>0</v>
      </c>
      <c r="L470" t="n">
        <v>0</v>
      </c>
      <c r="M470" t="n">
        <v>0</v>
      </c>
      <c r="N470" t="n">
        <v>0</v>
      </c>
      <c r="O470" t="n">
        <v>0</v>
      </c>
      <c r="P470" t="n">
        <v>0</v>
      </c>
      <c r="Q470" t="n">
        <v>0</v>
      </c>
      <c r="R470" s="2" t="inlineStr"/>
    </row>
    <row r="471" ht="15" customHeight="1">
      <c r="A471" t="inlineStr">
        <is>
          <t>A 48357-2019</t>
        </is>
      </c>
      <c r="B471" s="1" t="n">
        <v>43726</v>
      </c>
      <c r="C471" s="1" t="n">
        <v>45851</v>
      </c>
      <c r="D471" t="inlineStr">
        <is>
          <t>KALMAR LÄN</t>
        </is>
      </c>
      <c r="E471" t="inlineStr">
        <is>
          <t>VÄSTERVIK</t>
        </is>
      </c>
      <c r="G471" t="n">
        <v>0.6</v>
      </c>
      <c r="H471" t="n">
        <v>0</v>
      </c>
      <c r="I471" t="n">
        <v>0</v>
      </c>
      <c r="J471" t="n">
        <v>0</v>
      </c>
      <c r="K471" t="n">
        <v>0</v>
      </c>
      <c r="L471" t="n">
        <v>0</v>
      </c>
      <c r="M471" t="n">
        <v>0</v>
      </c>
      <c r="N471" t="n">
        <v>0</v>
      </c>
      <c r="O471" t="n">
        <v>0</v>
      </c>
      <c r="P471" t="n">
        <v>0</v>
      </c>
      <c r="Q471" t="n">
        <v>0</v>
      </c>
      <c r="R471" s="2" t="inlineStr"/>
    </row>
    <row r="472" ht="15" customHeight="1">
      <c r="A472" t="inlineStr">
        <is>
          <t>A 48982-2019</t>
        </is>
      </c>
      <c r="B472" s="1" t="n">
        <v>43729</v>
      </c>
      <c r="C472" s="1" t="n">
        <v>45851</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48981-2019</t>
        </is>
      </c>
      <c r="B473" s="1" t="n">
        <v>43729</v>
      </c>
      <c r="C473" s="1" t="n">
        <v>45851</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48983-2019</t>
        </is>
      </c>
      <c r="B474" s="1" t="n">
        <v>43729</v>
      </c>
      <c r="C474" s="1" t="n">
        <v>45851</v>
      </c>
      <c r="D474" t="inlineStr">
        <is>
          <t>KALMAR LÄN</t>
        </is>
      </c>
      <c r="E474" t="inlineStr">
        <is>
          <t>VÄSTERVIK</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50461-2019</t>
        </is>
      </c>
      <c r="B475" s="1" t="n">
        <v>43735</v>
      </c>
      <c r="C475" s="1" t="n">
        <v>45851</v>
      </c>
      <c r="D475" t="inlineStr">
        <is>
          <t>KALMAR LÄN</t>
        </is>
      </c>
      <c r="E475" t="inlineStr">
        <is>
          <t>VÄSTERVIK</t>
        </is>
      </c>
      <c r="G475" t="n">
        <v>5.1</v>
      </c>
      <c r="H475" t="n">
        <v>0</v>
      </c>
      <c r="I475" t="n">
        <v>0</v>
      </c>
      <c r="J475" t="n">
        <v>0</v>
      </c>
      <c r="K475" t="n">
        <v>0</v>
      </c>
      <c r="L475" t="n">
        <v>0</v>
      </c>
      <c r="M475" t="n">
        <v>0</v>
      </c>
      <c r="N475" t="n">
        <v>0</v>
      </c>
      <c r="O475" t="n">
        <v>0</v>
      </c>
      <c r="P475" t="n">
        <v>0</v>
      </c>
      <c r="Q475" t="n">
        <v>0</v>
      </c>
      <c r="R475" s="2" t="inlineStr"/>
    </row>
    <row r="476" ht="15" customHeight="1">
      <c r="A476" t="inlineStr">
        <is>
          <t>A 50627-2019</t>
        </is>
      </c>
      <c r="B476" s="1" t="n">
        <v>43736</v>
      </c>
      <c r="C476" s="1" t="n">
        <v>45851</v>
      </c>
      <c r="D476" t="inlineStr">
        <is>
          <t>KALMAR LÄN</t>
        </is>
      </c>
      <c r="E476" t="inlineStr">
        <is>
          <t>VÄSTERVIK</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50626-2019</t>
        </is>
      </c>
      <c r="B477" s="1" t="n">
        <v>43736</v>
      </c>
      <c r="C477" s="1" t="n">
        <v>45851</v>
      </c>
      <c r="D477" t="inlineStr">
        <is>
          <t>KALMAR LÄN</t>
        </is>
      </c>
      <c r="E477" t="inlineStr">
        <is>
          <t>VÄSTERVIK</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51408-2019</t>
        </is>
      </c>
      <c r="B478" s="1" t="n">
        <v>43740</v>
      </c>
      <c r="C478" s="1" t="n">
        <v>45851</v>
      </c>
      <c r="D478" t="inlineStr">
        <is>
          <t>KALMAR LÄN</t>
        </is>
      </c>
      <c r="E478" t="inlineStr">
        <is>
          <t>VÄSTERVIK</t>
        </is>
      </c>
      <c r="G478" t="n">
        <v>1.4</v>
      </c>
      <c r="H478" t="n">
        <v>0</v>
      </c>
      <c r="I478" t="n">
        <v>0</v>
      </c>
      <c r="J478" t="n">
        <v>0</v>
      </c>
      <c r="K478" t="n">
        <v>0</v>
      </c>
      <c r="L478" t="n">
        <v>0</v>
      </c>
      <c r="M478" t="n">
        <v>0</v>
      </c>
      <c r="N478" t="n">
        <v>0</v>
      </c>
      <c r="O478" t="n">
        <v>0</v>
      </c>
      <c r="P478" t="n">
        <v>0</v>
      </c>
      <c r="Q478" t="n">
        <v>0</v>
      </c>
      <c r="R478" s="2" t="inlineStr"/>
    </row>
    <row r="479" ht="15" customHeight="1">
      <c r="A479" t="inlineStr">
        <is>
          <t>A 52292-2019</t>
        </is>
      </c>
      <c r="B479" s="1" t="n">
        <v>43744</v>
      </c>
      <c r="C479" s="1" t="n">
        <v>45851</v>
      </c>
      <c r="D479" t="inlineStr">
        <is>
          <t>KALMAR LÄN</t>
        </is>
      </c>
      <c r="E479" t="inlineStr">
        <is>
          <t>VÄSTERVIK</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52527-2019</t>
        </is>
      </c>
      <c r="B480" s="1" t="n">
        <v>43745</v>
      </c>
      <c r="C480" s="1" t="n">
        <v>45851</v>
      </c>
      <c r="D480" t="inlineStr">
        <is>
          <t>KALMAR LÄN</t>
        </is>
      </c>
      <c r="E480" t="inlineStr">
        <is>
          <t>VÄSTERVIK</t>
        </is>
      </c>
      <c r="G480" t="n">
        <v>0.3</v>
      </c>
      <c r="H480" t="n">
        <v>0</v>
      </c>
      <c r="I480" t="n">
        <v>0</v>
      </c>
      <c r="J480" t="n">
        <v>0</v>
      </c>
      <c r="K480" t="n">
        <v>0</v>
      </c>
      <c r="L480" t="n">
        <v>0</v>
      </c>
      <c r="M480" t="n">
        <v>0</v>
      </c>
      <c r="N480" t="n">
        <v>0</v>
      </c>
      <c r="O480" t="n">
        <v>0</v>
      </c>
      <c r="P480" t="n">
        <v>0</v>
      </c>
      <c r="Q480" t="n">
        <v>0</v>
      </c>
      <c r="R480" s="2" t="inlineStr"/>
    </row>
    <row r="481" ht="15" customHeight="1">
      <c r="A481" t="inlineStr">
        <is>
          <t>A 53714-2019</t>
        </is>
      </c>
      <c r="B481" s="1" t="n">
        <v>43749</v>
      </c>
      <c r="C481" s="1" t="n">
        <v>45851</v>
      </c>
      <c r="D481" t="inlineStr">
        <is>
          <t>KALMAR LÄN</t>
        </is>
      </c>
      <c r="E481" t="inlineStr">
        <is>
          <t>VÄSTERVIK</t>
        </is>
      </c>
      <c r="F481" t="inlineStr">
        <is>
          <t>Holmen skog AB</t>
        </is>
      </c>
      <c r="G481" t="n">
        <v>0.6</v>
      </c>
      <c r="H481" t="n">
        <v>0</v>
      </c>
      <c r="I481" t="n">
        <v>0</v>
      </c>
      <c r="J481" t="n">
        <v>0</v>
      </c>
      <c r="K481" t="n">
        <v>0</v>
      </c>
      <c r="L481" t="n">
        <v>0</v>
      </c>
      <c r="M481" t="n">
        <v>0</v>
      </c>
      <c r="N481" t="n">
        <v>0</v>
      </c>
      <c r="O481" t="n">
        <v>0</v>
      </c>
      <c r="P481" t="n">
        <v>0</v>
      </c>
      <c r="Q481" t="n">
        <v>0</v>
      </c>
      <c r="R481" s="2" t="inlineStr"/>
    </row>
    <row r="482" ht="15" customHeight="1">
      <c r="A482" t="inlineStr">
        <is>
          <t>A 53546-2019</t>
        </is>
      </c>
      <c r="B482" s="1" t="n">
        <v>43749</v>
      </c>
      <c r="C482" s="1" t="n">
        <v>45851</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54591-2019</t>
        </is>
      </c>
      <c r="B483" s="1" t="n">
        <v>43754</v>
      </c>
      <c r="C483" s="1" t="n">
        <v>45851</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54597-2019</t>
        </is>
      </c>
      <c r="B484" s="1" t="n">
        <v>43754</v>
      </c>
      <c r="C484" s="1" t="n">
        <v>45851</v>
      </c>
      <c r="D484" t="inlineStr">
        <is>
          <t>KALMAR LÄN</t>
        </is>
      </c>
      <c r="E484" t="inlineStr">
        <is>
          <t>VÄSTERVIK</t>
        </is>
      </c>
      <c r="G484" t="n">
        <v>0.5</v>
      </c>
      <c r="H484" t="n">
        <v>0</v>
      </c>
      <c r="I484" t="n">
        <v>0</v>
      </c>
      <c r="J484" t="n">
        <v>0</v>
      </c>
      <c r="K484" t="n">
        <v>0</v>
      </c>
      <c r="L484" t="n">
        <v>0</v>
      </c>
      <c r="M484" t="n">
        <v>0</v>
      </c>
      <c r="N484" t="n">
        <v>0</v>
      </c>
      <c r="O484" t="n">
        <v>0</v>
      </c>
      <c r="P484" t="n">
        <v>0</v>
      </c>
      <c r="Q484" t="n">
        <v>0</v>
      </c>
      <c r="R484" s="2" t="inlineStr"/>
    </row>
    <row r="485" ht="15" customHeight="1">
      <c r="A485" t="inlineStr">
        <is>
          <t>A 57650-2019</t>
        </is>
      </c>
      <c r="B485" s="1" t="n">
        <v>43761</v>
      </c>
      <c r="C485" s="1" t="n">
        <v>45851</v>
      </c>
      <c r="D485" t="inlineStr">
        <is>
          <t>KALMAR LÄN</t>
        </is>
      </c>
      <c r="E485" t="inlineStr">
        <is>
          <t>VÄSTERVIK</t>
        </is>
      </c>
      <c r="G485" t="n">
        <v>1.3</v>
      </c>
      <c r="H485" t="n">
        <v>0</v>
      </c>
      <c r="I485" t="n">
        <v>0</v>
      </c>
      <c r="J485" t="n">
        <v>0</v>
      </c>
      <c r="K485" t="n">
        <v>0</v>
      </c>
      <c r="L485" t="n">
        <v>0</v>
      </c>
      <c r="M485" t="n">
        <v>0</v>
      </c>
      <c r="N485" t="n">
        <v>0</v>
      </c>
      <c r="O485" t="n">
        <v>0</v>
      </c>
      <c r="P485" t="n">
        <v>0</v>
      </c>
      <c r="Q485" t="n">
        <v>0</v>
      </c>
      <c r="R485" s="2" t="inlineStr"/>
    </row>
    <row r="486" ht="15" customHeight="1">
      <c r="A486" t="inlineStr">
        <is>
          <t>A 57654-2019</t>
        </is>
      </c>
      <c r="B486" s="1" t="n">
        <v>43761</v>
      </c>
      <c r="C486" s="1" t="n">
        <v>45851</v>
      </c>
      <c r="D486" t="inlineStr">
        <is>
          <t>KALMAR LÄN</t>
        </is>
      </c>
      <c r="E486" t="inlineStr">
        <is>
          <t>VÄSTERVIK</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56580-2019</t>
        </is>
      </c>
      <c r="B487" s="1" t="n">
        <v>43763</v>
      </c>
      <c r="C487" s="1" t="n">
        <v>45851</v>
      </c>
      <c r="D487" t="inlineStr">
        <is>
          <t>KALMAR LÄN</t>
        </is>
      </c>
      <c r="E487" t="inlineStr">
        <is>
          <t>VÄSTERVIK</t>
        </is>
      </c>
      <c r="F487" t="inlineStr">
        <is>
          <t>Övriga Aktiebolag</t>
        </is>
      </c>
      <c r="G487" t="n">
        <v>2.4</v>
      </c>
      <c r="H487" t="n">
        <v>0</v>
      </c>
      <c r="I487" t="n">
        <v>0</v>
      </c>
      <c r="J487" t="n">
        <v>0</v>
      </c>
      <c r="K487" t="n">
        <v>0</v>
      </c>
      <c r="L487" t="n">
        <v>0</v>
      </c>
      <c r="M487" t="n">
        <v>0</v>
      </c>
      <c r="N487" t="n">
        <v>0</v>
      </c>
      <c r="O487" t="n">
        <v>0</v>
      </c>
      <c r="P487" t="n">
        <v>0</v>
      </c>
      <c r="Q487" t="n">
        <v>0</v>
      </c>
      <c r="R487" s="2" t="inlineStr"/>
    </row>
    <row r="488" ht="15" customHeight="1">
      <c r="A488" t="inlineStr">
        <is>
          <t>A 57770-2019</t>
        </is>
      </c>
      <c r="B488" s="1" t="n">
        <v>43768</v>
      </c>
      <c r="C488" s="1" t="n">
        <v>45851</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58323-2019</t>
        </is>
      </c>
      <c r="B489" s="1" t="n">
        <v>43770</v>
      </c>
      <c r="C489" s="1" t="n">
        <v>45851</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58386-2019</t>
        </is>
      </c>
      <c r="B490" s="1" t="n">
        <v>43772</v>
      </c>
      <c r="C490" s="1" t="n">
        <v>45851</v>
      </c>
      <c r="D490" t="inlineStr">
        <is>
          <t>KALMAR LÄN</t>
        </is>
      </c>
      <c r="E490" t="inlineStr">
        <is>
          <t>VÄSTERVIK</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58658-2019</t>
        </is>
      </c>
      <c r="B491" s="1" t="n">
        <v>43773</v>
      </c>
      <c r="C491" s="1" t="n">
        <v>45851</v>
      </c>
      <c r="D491" t="inlineStr">
        <is>
          <t>KALMAR LÄN</t>
        </is>
      </c>
      <c r="E491" t="inlineStr">
        <is>
          <t>VÄSTERVIK</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59753-2019</t>
        </is>
      </c>
      <c r="B492" s="1" t="n">
        <v>43776</v>
      </c>
      <c r="C492" s="1" t="n">
        <v>45851</v>
      </c>
      <c r="D492" t="inlineStr">
        <is>
          <t>KALMAR LÄN</t>
        </is>
      </c>
      <c r="E492" t="inlineStr">
        <is>
          <t>VÄSTERVIK</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59898-2019</t>
        </is>
      </c>
      <c r="B493" s="1" t="n">
        <v>43777</v>
      </c>
      <c r="C493" s="1" t="n">
        <v>45851</v>
      </c>
      <c r="D493" t="inlineStr">
        <is>
          <t>KALMAR LÄN</t>
        </is>
      </c>
      <c r="E493" t="inlineStr">
        <is>
          <t>VÄSTERVIK</t>
        </is>
      </c>
      <c r="G493" t="n">
        <v>3.6</v>
      </c>
      <c r="H493" t="n">
        <v>0</v>
      </c>
      <c r="I493" t="n">
        <v>0</v>
      </c>
      <c r="J493" t="n">
        <v>0</v>
      </c>
      <c r="K493" t="n">
        <v>0</v>
      </c>
      <c r="L493" t="n">
        <v>0</v>
      </c>
      <c r="M493" t="n">
        <v>0</v>
      </c>
      <c r="N493" t="n">
        <v>0</v>
      </c>
      <c r="O493" t="n">
        <v>0</v>
      </c>
      <c r="P493" t="n">
        <v>0</v>
      </c>
      <c r="Q493" t="n">
        <v>0</v>
      </c>
      <c r="R493" s="2" t="inlineStr"/>
    </row>
    <row r="494" ht="15" customHeight="1">
      <c r="A494" t="inlineStr">
        <is>
          <t>A 59892-2019</t>
        </is>
      </c>
      <c r="B494" s="1" t="n">
        <v>43777</v>
      </c>
      <c r="C494" s="1" t="n">
        <v>45851</v>
      </c>
      <c r="D494" t="inlineStr">
        <is>
          <t>KALMAR LÄN</t>
        </is>
      </c>
      <c r="E494" t="inlineStr">
        <is>
          <t>VÄSTERVIK</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59937-2019</t>
        </is>
      </c>
      <c r="B495" s="1" t="n">
        <v>43777</v>
      </c>
      <c r="C495" s="1" t="n">
        <v>45851</v>
      </c>
      <c r="D495" t="inlineStr">
        <is>
          <t>KALMAR LÄN</t>
        </is>
      </c>
      <c r="E495" t="inlineStr">
        <is>
          <t>VÄSTERVIK</t>
        </is>
      </c>
      <c r="G495" t="n">
        <v>4.8</v>
      </c>
      <c r="H495" t="n">
        <v>0</v>
      </c>
      <c r="I495" t="n">
        <v>0</v>
      </c>
      <c r="J495" t="n">
        <v>0</v>
      </c>
      <c r="K495" t="n">
        <v>0</v>
      </c>
      <c r="L495" t="n">
        <v>0</v>
      </c>
      <c r="M495" t="n">
        <v>0</v>
      </c>
      <c r="N495" t="n">
        <v>0</v>
      </c>
      <c r="O495" t="n">
        <v>0</v>
      </c>
      <c r="P495" t="n">
        <v>0</v>
      </c>
      <c r="Q495" t="n">
        <v>0</v>
      </c>
      <c r="R495" s="2" t="inlineStr"/>
    </row>
    <row r="496" ht="15" customHeight="1">
      <c r="A496" t="inlineStr">
        <is>
          <t>A 60707-2019</t>
        </is>
      </c>
      <c r="B496" s="1" t="n">
        <v>43781</v>
      </c>
      <c r="C496" s="1" t="n">
        <v>45851</v>
      </c>
      <c r="D496" t="inlineStr">
        <is>
          <t>KALMAR LÄN</t>
        </is>
      </c>
      <c r="E496" t="inlineStr">
        <is>
          <t>VÄSTERVIK</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61055-2019</t>
        </is>
      </c>
      <c r="B497" s="1" t="n">
        <v>43782</v>
      </c>
      <c r="C497" s="1" t="n">
        <v>45851</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61708-2019</t>
        </is>
      </c>
      <c r="B498" s="1" t="n">
        <v>43784</v>
      </c>
      <c r="C498" s="1" t="n">
        <v>45851</v>
      </c>
      <c r="D498" t="inlineStr">
        <is>
          <t>KALMAR LÄN</t>
        </is>
      </c>
      <c r="E498" t="inlineStr">
        <is>
          <t>VÄSTERVIK</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62093-2019</t>
        </is>
      </c>
      <c r="B499" s="1" t="n">
        <v>43787</v>
      </c>
      <c r="C499" s="1" t="n">
        <v>45851</v>
      </c>
      <c r="D499" t="inlineStr">
        <is>
          <t>KALMAR LÄN</t>
        </is>
      </c>
      <c r="E499" t="inlineStr">
        <is>
          <t>VÄSTERVIK</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62046-2019</t>
        </is>
      </c>
      <c r="B500" s="1" t="n">
        <v>43787</v>
      </c>
      <c r="C500" s="1" t="n">
        <v>45851</v>
      </c>
      <c r="D500" t="inlineStr">
        <is>
          <t>KALMAR LÄN</t>
        </is>
      </c>
      <c r="E500" t="inlineStr">
        <is>
          <t>VÄSTERVIK</t>
        </is>
      </c>
      <c r="G500" t="n">
        <v>2.7</v>
      </c>
      <c r="H500" t="n">
        <v>0</v>
      </c>
      <c r="I500" t="n">
        <v>0</v>
      </c>
      <c r="J500" t="n">
        <v>0</v>
      </c>
      <c r="K500" t="n">
        <v>0</v>
      </c>
      <c r="L500" t="n">
        <v>0</v>
      </c>
      <c r="M500" t="n">
        <v>0</v>
      </c>
      <c r="N500" t="n">
        <v>0</v>
      </c>
      <c r="O500" t="n">
        <v>0</v>
      </c>
      <c r="P500" t="n">
        <v>0</v>
      </c>
      <c r="Q500" t="n">
        <v>0</v>
      </c>
      <c r="R500" s="2" t="inlineStr"/>
    </row>
    <row r="501" ht="15" customHeight="1">
      <c r="A501" t="inlineStr">
        <is>
          <t>A 62473-2019</t>
        </is>
      </c>
      <c r="B501" s="1" t="n">
        <v>43788</v>
      </c>
      <c r="C501" s="1" t="n">
        <v>45851</v>
      </c>
      <c r="D501" t="inlineStr">
        <is>
          <t>KALMAR LÄN</t>
        </is>
      </c>
      <c r="E501" t="inlineStr">
        <is>
          <t>VÄSTERVIK</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62660-2019</t>
        </is>
      </c>
      <c r="B502" s="1" t="n">
        <v>43789</v>
      </c>
      <c r="C502" s="1" t="n">
        <v>45851</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63090-2019</t>
        </is>
      </c>
      <c r="B503" s="1" t="n">
        <v>43791</v>
      </c>
      <c r="C503" s="1" t="n">
        <v>45851</v>
      </c>
      <c r="D503" t="inlineStr">
        <is>
          <t>KALMAR LÄN</t>
        </is>
      </c>
      <c r="E503" t="inlineStr">
        <is>
          <t>VÄSTERVIK</t>
        </is>
      </c>
      <c r="F503" t="inlineStr">
        <is>
          <t>Övriga Aktiebolag</t>
        </is>
      </c>
      <c r="G503" t="n">
        <v>5.8</v>
      </c>
      <c r="H503" t="n">
        <v>0</v>
      </c>
      <c r="I503" t="n">
        <v>0</v>
      </c>
      <c r="J503" t="n">
        <v>0</v>
      </c>
      <c r="K503" t="n">
        <v>0</v>
      </c>
      <c r="L503" t="n">
        <v>0</v>
      </c>
      <c r="M503" t="n">
        <v>0</v>
      </c>
      <c r="N503" t="n">
        <v>0</v>
      </c>
      <c r="O503" t="n">
        <v>0</v>
      </c>
      <c r="P503" t="n">
        <v>0</v>
      </c>
      <c r="Q503" t="n">
        <v>0</v>
      </c>
      <c r="R503" s="2" t="inlineStr"/>
    </row>
    <row r="504" ht="15" customHeight="1">
      <c r="A504" t="inlineStr">
        <is>
          <t>A 63385-2019</t>
        </is>
      </c>
      <c r="B504" s="1" t="n">
        <v>43794</v>
      </c>
      <c r="C504" s="1" t="n">
        <v>45851</v>
      </c>
      <c r="D504" t="inlineStr">
        <is>
          <t>KALMAR LÄN</t>
        </is>
      </c>
      <c r="E504" t="inlineStr">
        <is>
          <t>VÄSTERVIK</t>
        </is>
      </c>
      <c r="G504" t="n">
        <v>5.1</v>
      </c>
      <c r="H504" t="n">
        <v>0</v>
      </c>
      <c r="I504" t="n">
        <v>0</v>
      </c>
      <c r="J504" t="n">
        <v>0</v>
      </c>
      <c r="K504" t="n">
        <v>0</v>
      </c>
      <c r="L504" t="n">
        <v>0</v>
      </c>
      <c r="M504" t="n">
        <v>0</v>
      </c>
      <c r="N504" t="n">
        <v>0</v>
      </c>
      <c r="O504" t="n">
        <v>0</v>
      </c>
      <c r="P504" t="n">
        <v>0</v>
      </c>
      <c r="Q504" t="n">
        <v>0</v>
      </c>
      <c r="R504" s="2" t="inlineStr"/>
    </row>
    <row r="505" ht="15" customHeight="1">
      <c r="A505" t="inlineStr">
        <is>
          <t>A 64610-2019</t>
        </is>
      </c>
      <c r="B505" s="1" t="n">
        <v>43798</v>
      </c>
      <c r="C505" s="1" t="n">
        <v>45851</v>
      </c>
      <c r="D505" t="inlineStr">
        <is>
          <t>KALMAR LÄN</t>
        </is>
      </c>
      <c r="E505" t="inlineStr">
        <is>
          <t>VÄSTERVIK</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65604-2019</t>
        </is>
      </c>
      <c r="B506" s="1" t="n">
        <v>43804</v>
      </c>
      <c r="C506" s="1" t="n">
        <v>45851</v>
      </c>
      <c r="D506" t="inlineStr">
        <is>
          <t>KALMAR LÄN</t>
        </is>
      </c>
      <c r="E506" t="inlineStr">
        <is>
          <t>VÄSTERVIK</t>
        </is>
      </c>
      <c r="G506" t="n">
        <v>3.8</v>
      </c>
      <c r="H506" t="n">
        <v>0</v>
      </c>
      <c r="I506" t="n">
        <v>0</v>
      </c>
      <c r="J506" t="n">
        <v>0</v>
      </c>
      <c r="K506" t="n">
        <v>0</v>
      </c>
      <c r="L506" t="n">
        <v>0</v>
      </c>
      <c r="M506" t="n">
        <v>0</v>
      </c>
      <c r="N506" t="n">
        <v>0</v>
      </c>
      <c r="O506" t="n">
        <v>0</v>
      </c>
      <c r="P506" t="n">
        <v>0</v>
      </c>
      <c r="Q506" t="n">
        <v>0</v>
      </c>
      <c r="R506" s="2" t="inlineStr"/>
    </row>
    <row r="507" ht="15" customHeight="1">
      <c r="A507" t="inlineStr">
        <is>
          <t>A 66743-2019</t>
        </is>
      </c>
      <c r="B507" s="1" t="n">
        <v>43804</v>
      </c>
      <c r="C507" s="1" t="n">
        <v>45851</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c r="U507">
        <f>HYPERLINK("https://klasma.github.io/Logging_0883/knärot/A 66743-2019 karta knärot.png", "A 66743-2019")</f>
        <v/>
      </c>
      <c r="V507">
        <f>HYPERLINK("https://klasma.github.io/Logging_0883/klagomål/A 66743-2019 FSC-klagomål.docx", "A 66743-2019")</f>
        <v/>
      </c>
      <c r="W507">
        <f>HYPERLINK("https://klasma.github.io/Logging_0883/klagomålsmail/A 66743-2019 FSC-klagomål mail.docx", "A 66743-2019")</f>
        <v/>
      </c>
      <c r="X507">
        <f>HYPERLINK("https://klasma.github.io/Logging_0883/tillsyn/A 66743-2019 tillsynsbegäran.docx", "A 66743-2019")</f>
        <v/>
      </c>
      <c r="Y507">
        <f>HYPERLINK("https://klasma.github.io/Logging_0883/tillsynsmail/A 66743-2019 tillsynsbegäran mail.docx", "A 66743-2019")</f>
        <v/>
      </c>
    </row>
    <row r="508" ht="15" customHeight="1">
      <c r="A508" t="inlineStr">
        <is>
          <t>A 66279-2019</t>
        </is>
      </c>
      <c r="B508" s="1" t="n">
        <v>43808</v>
      </c>
      <c r="C508" s="1" t="n">
        <v>45851</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66232-2019</t>
        </is>
      </c>
      <c r="B509" s="1" t="n">
        <v>43808</v>
      </c>
      <c r="C509" s="1" t="n">
        <v>45851</v>
      </c>
      <c r="D509" t="inlineStr">
        <is>
          <t>KALMAR LÄN</t>
        </is>
      </c>
      <c r="E509" t="inlineStr">
        <is>
          <t>VÄSTERVIK</t>
        </is>
      </c>
      <c r="G509" t="n">
        <v>1.1</v>
      </c>
      <c r="H509" t="n">
        <v>0</v>
      </c>
      <c r="I509" t="n">
        <v>0</v>
      </c>
      <c r="J509" t="n">
        <v>0</v>
      </c>
      <c r="K509" t="n">
        <v>0</v>
      </c>
      <c r="L509" t="n">
        <v>0</v>
      </c>
      <c r="M509" t="n">
        <v>0</v>
      </c>
      <c r="N509" t="n">
        <v>0</v>
      </c>
      <c r="O509" t="n">
        <v>0</v>
      </c>
      <c r="P509" t="n">
        <v>0</v>
      </c>
      <c r="Q509" t="n">
        <v>0</v>
      </c>
      <c r="R509" s="2" t="inlineStr"/>
    </row>
    <row r="510" ht="15" customHeight="1">
      <c r="A510" t="inlineStr">
        <is>
          <t>A 67407-2019</t>
        </is>
      </c>
      <c r="B510" s="1" t="n">
        <v>43812</v>
      </c>
      <c r="C510" s="1" t="n">
        <v>45851</v>
      </c>
      <c r="D510" t="inlineStr">
        <is>
          <t>KALMAR LÄN</t>
        </is>
      </c>
      <c r="E510" t="inlineStr">
        <is>
          <t>VÄSTERVIK</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68494-2019</t>
        </is>
      </c>
      <c r="B511" s="1" t="n">
        <v>43818</v>
      </c>
      <c r="C511" s="1" t="n">
        <v>45851</v>
      </c>
      <c r="D511" t="inlineStr">
        <is>
          <t>KALMAR LÄN</t>
        </is>
      </c>
      <c r="E511" t="inlineStr">
        <is>
          <t>VÄSTERVIK</t>
        </is>
      </c>
      <c r="G511" t="n">
        <v>0.6</v>
      </c>
      <c r="H511" t="n">
        <v>0</v>
      </c>
      <c r="I511" t="n">
        <v>0</v>
      </c>
      <c r="J511" t="n">
        <v>0</v>
      </c>
      <c r="K511" t="n">
        <v>0</v>
      </c>
      <c r="L511" t="n">
        <v>0</v>
      </c>
      <c r="M511" t="n">
        <v>0</v>
      </c>
      <c r="N511" t="n">
        <v>0</v>
      </c>
      <c r="O511" t="n">
        <v>0</v>
      </c>
      <c r="P511" t="n">
        <v>0</v>
      </c>
      <c r="Q511" t="n">
        <v>0</v>
      </c>
      <c r="R511" s="2" t="inlineStr"/>
    </row>
    <row r="512" ht="15" customHeight="1">
      <c r="A512" t="inlineStr">
        <is>
          <t>A 68764-2019</t>
        </is>
      </c>
      <c r="B512" s="1" t="n">
        <v>43819</v>
      </c>
      <c r="C512" s="1" t="n">
        <v>45851</v>
      </c>
      <c r="D512" t="inlineStr">
        <is>
          <t>KALMAR LÄN</t>
        </is>
      </c>
      <c r="E512" t="inlineStr">
        <is>
          <t>VÄSTERVIK</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483-2020</t>
        </is>
      </c>
      <c r="B513" s="1" t="n">
        <v>43837</v>
      </c>
      <c r="C513" s="1" t="n">
        <v>45851</v>
      </c>
      <c r="D513" t="inlineStr">
        <is>
          <t>KALMAR LÄN</t>
        </is>
      </c>
      <c r="E513" t="inlineStr">
        <is>
          <t>VÄSTERVIK</t>
        </is>
      </c>
      <c r="G513" t="n">
        <v>0.5</v>
      </c>
      <c r="H513" t="n">
        <v>0</v>
      </c>
      <c r="I513" t="n">
        <v>0</v>
      </c>
      <c r="J513" t="n">
        <v>0</v>
      </c>
      <c r="K513" t="n">
        <v>0</v>
      </c>
      <c r="L513" t="n">
        <v>0</v>
      </c>
      <c r="M513" t="n">
        <v>0</v>
      </c>
      <c r="N513" t="n">
        <v>0</v>
      </c>
      <c r="O513" t="n">
        <v>0</v>
      </c>
      <c r="P513" t="n">
        <v>0</v>
      </c>
      <c r="Q513" t="n">
        <v>0</v>
      </c>
      <c r="R513" s="2" t="inlineStr"/>
    </row>
    <row r="514" ht="15" customHeight="1">
      <c r="A514" t="inlineStr">
        <is>
          <t>A 777-2020</t>
        </is>
      </c>
      <c r="B514" s="1" t="n">
        <v>43838</v>
      </c>
      <c r="C514" s="1" t="n">
        <v>45851</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776-2020</t>
        </is>
      </c>
      <c r="B515" s="1" t="n">
        <v>43838</v>
      </c>
      <c r="C515" s="1" t="n">
        <v>45851</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1989-2020</t>
        </is>
      </c>
      <c r="B516" s="1" t="n">
        <v>43838</v>
      </c>
      <c r="C516" s="1" t="n">
        <v>45851</v>
      </c>
      <c r="D516" t="inlineStr">
        <is>
          <t>KALMAR LÄN</t>
        </is>
      </c>
      <c r="E516" t="inlineStr">
        <is>
          <t>VÄSTERVIK</t>
        </is>
      </c>
      <c r="G516" t="n">
        <v>3.7</v>
      </c>
      <c r="H516" t="n">
        <v>0</v>
      </c>
      <c r="I516" t="n">
        <v>0</v>
      </c>
      <c r="J516" t="n">
        <v>0</v>
      </c>
      <c r="K516" t="n">
        <v>0</v>
      </c>
      <c r="L516" t="n">
        <v>0</v>
      </c>
      <c r="M516" t="n">
        <v>0</v>
      </c>
      <c r="N516" t="n">
        <v>0</v>
      </c>
      <c r="O516" t="n">
        <v>0</v>
      </c>
      <c r="P516" t="n">
        <v>0</v>
      </c>
      <c r="Q516" t="n">
        <v>0</v>
      </c>
      <c r="R516" s="2" t="inlineStr"/>
    </row>
    <row r="517" ht="15" customHeight="1">
      <c r="A517" t="inlineStr">
        <is>
          <t>A 2494-2020</t>
        </is>
      </c>
      <c r="B517" s="1" t="n">
        <v>43847</v>
      </c>
      <c r="C517" s="1" t="n">
        <v>45851</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3739-2020</t>
        </is>
      </c>
      <c r="B518" s="1" t="n">
        <v>43853</v>
      </c>
      <c r="C518" s="1" t="n">
        <v>45851</v>
      </c>
      <c r="D518" t="inlineStr">
        <is>
          <t>KALMAR LÄN</t>
        </is>
      </c>
      <c r="E518" t="inlineStr">
        <is>
          <t>VÄSTERVIK</t>
        </is>
      </c>
      <c r="G518" t="n">
        <v>0.5</v>
      </c>
      <c r="H518" t="n">
        <v>0</v>
      </c>
      <c r="I518" t="n">
        <v>0</v>
      </c>
      <c r="J518" t="n">
        <v>0</v>
      </c>
      <c r="K518" t="n">
        <v>0</v>
      </c>
      <c r="L518" t="n">
        <v>0</v>
      </c>
      <c r="M518" t="n">
        <v>0</v>
      </c>
      <c r="N518" t="n">
        <v>0</v>
      </c>
      <c r="O518" t="n">
        <v>0</v>
      </c>
      <c r="P518" t="n">
        <v>0</v>
      </c>
      <c r="Q518" t="n">
        <v>0</v>
      </c>
      <c r="R518" s="2" t="inlineStr"/>
    </row>
    <row r="519" ht="15" customHeight="1">
      <c r="A519" t="inlineStr">
        <is>
          <t>A 3934-2020</t>
        </is>
      </c>
      <c r="B519" s="1" t="n">
        <v>43854</v>
      </c>
      <c r="C519" s="1" t="n">
        <v>45851</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4786-2020</t>
        </is>
      </c>
      <c r="B520" s="1" t="n">
        <v>43859</v>
      </c>
      <c r="C520" s="1" t="n">
        <v>45851</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4954-2020</t>
        </is>
      </c>
      <c r="B521" s="1" t="n">
        <v>43859</v>
      </c>
      <c r="C521" s="1" t="n">
        <v>45851</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4992-2020</t>
        </is>
      </c>
      <c r="B522" s="1" t="n">
        <v>43859</v>
      </c>
      <c r="C522" s="1" t="n">
        <v>45851</v>
      </c>
      <c r="D522" t="inlineStr">
        <is>
          <t>KALMAR LÄN</t>
        </is>
      </c>
      <c r="E522" t="inlineStr">
        <is>
          <t>VÄSTERVIK</t>
        </is>
      </c>
      <c r="G522" t="n">
        <v>1.4</v>
      </c>
      <c r="H522" t="n">
        <v>0</v>
      </c>
      <c r="I522" t="n">
        <v>0</v>
      </c>
      <c r="J522" t="n">
        <v>0</v>
      </c>
      <c r="K522" t="n">
        <v>0</v>
      </c>
      <c r="L522" t="n">
        <v>0</v>
      </c>
      <c r="M522" t="n">
        <v>0</v>
      </c>
      <c r="N522" t="n">
        <v>0</v>
      </c>
      <c r="O522" t="n">
        <v>0</v>
      </c>
      <c r="P522" t="n">
        <v>0</v>
      </c>
      <c r="Q522" t="n">
        <v>0</v>
      </c>
      <c r="R522" s="2" t="inlineStr"/>
    </row>
    <row r="523" ht="15" customHeight="1">
      <c r="A523" t="inlineStr">
        <is>
          <t>A 4939-2020</t>
        </is>
      </c>
      <c r="B523" s="1" t="n">
        <v>43859</v>
      </c>
      <c r="C523" s="1" t="n">
        <v>45851</v>
      </c>
      <c r="D523" t="inlineStr">
        <is>
          <t>KALMAR LÄN</t>
        </is>
      </c>
      <c r="E523" t="inlineStr">
        <is>
          <t>VÄSTERVIK</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5622-2020</t>
        </is>
      </c>
      <c r="B524" s="1" t="n">
        <v>43860</v>
      </c>
      <c r="C524" s="1" t="n">
        <v>45851</v>
      </c>
      <c r="D524" t="inlineStr">
        <is>
          <t>KALMAR LÄN</t>
        </is>
      </c>
      <c r="E524" t="inlineStr">
        <is>
          <t>VÄSTERVIK</t>
        </is>
      </c>
      <c r="G524" t="n">
        <v>1.6</v>
      </c>
      <c r="H524" t="n">
        <v>0</v>
      </c>
      <c r="I524" t="n">
        <v>0</v>
      </c>
      <c r="J524" t="n">
        <v>0</v>
      </c>
      <c r="K524" t="n">
        <v>0</v>
      </c>
      <c r="L524" t="n">
        <v>0</v>
      </c>
      <c r="M524" t="n">
        <v>0</v>
      </c>
      <c r="N524" t="n">
        <v>0</v>
      </c>
      <c r="O524" t="n">
        <v>0</v>
      </c>
      <c r="P524" t="n">
        <v>0</v>
      </c>
      <c r="Q524" t="n">
        <v>0</v>
      </c>
      <c r="R524" s="2" t="inlineStr"/>
    </row>
    <row r="525" ht="15" customHeight="1">
      <c r="A525" t="inlineStr">
        <is>
          <t>A 5637-2020</t>
        </is>
      </c>
      <c r="B525" s="1" t="n">
        <v>43860</v>
      </c>
      <c r="C525" s="1" t="n">
        <v>45851</v>
      </c>
      <c r="D525" t="inlineStr">
        <is>
          <t>KALMAR LÄN</t>
        </is>
      </c>
      <c r="E525" t="inlineStr">
        <is>
          <t>VÄSTERVIK</t>
        </is>
      </c>
      <c r="G525" t="n">
        <v>3.2</v>
      </c>
      <c r="H525" t="n">
        <v>0</v>
      </c>
      <c r="I525" t="n">
        <v>0</v>
      </c>
      <c r="J525" t="n">
        <v>0</v>
      </c>
      <c r="K525" t="n">
        <v>0</v>
      </c>
      <c r="L525" t="n">
        <v>0</v>
      </c>
      <c r="M525" t="n">
        <v>0</v>
      </c>
      <c r="N525" t="n">
        <v>0</v>
      </c>
      <c r="O525" t="n">
        <v>0</v>
      </c>
      <c r="P525" t="n">
        <v>0</v>
      </c>
      <c r="Q525" t="n">
        <v>0</v>
      </c>
      <c r="R525" s="2" t="inlineStr"/>
    </row>
    <row r="526" ht="15" customHeight="1">
      <c r="A526" t="inlineStr">
        <is>
          <t>A 5629-2020</t>
        </is>
      </c>
      <c r="B526" s="1" t="n">
        <v>43860</v>
      </c>
      <c r="C526" s="1" t="n">
        <v>45851</v>
      </c>
      <c r="D526" t="inlineStr">
        <is>
          <t>KALMAR LÄN</t>
        </is>
      </c>
      <c r="E526" t="inlineStr">
        <is>
          <t>VÄSTERVIK</t>
        </is>
      </c>
      <c r="G526" t="n">
        <v>3.8</v>
      </c>
      <c r="H526" t="n">
        <v>0</v>
      </c>
      <c r="I526" t="n">
        <v>0</v>
      </c>
      <c r="J526" t="n">
        <v>0</v>
      </c>
      <c r="K526" t="n">
        <v>0</v>
      </c>
      <c r="L526" t="n">
        <v>0</v>
      </c>
      <c r="M526" t="n">
        <v>0</v>
      </c>
      <c r="N526" t="n">
        <v>0</v>
      </c>
      <c r="O526" t="n">
        <v>0</v>
      </c>
      <c r="P526" t="n">
        <v>0</v>
      </c>
      <c r="Q526" t="n">
        <v>0</v>
      </c>
      <c r="R526" s="2" t="inlineStr"/>
    </row>
    <row r="527" ht="15" customHeight="1">
      <c r="A527" t="inlineStr">
        <is>
          <t>A 5583-2020</t>
        </is>
      </c>
      <c r="B527" s="1" t="n">
        <v>43861</v>
      </c>
      <c r="C527" s="1" t="n">
        <v>45851</v>
      </c>
      <c r="D527" t="inlineStr">
        <is>
          <t>KALMAR LÄN</t>
        </is>
      </c>
      <c r="E527" t="inlineStr">
        <is>
          <t>VÄSTERVIK</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5594-2020</t>
        </is>
      </c>
      <c r="B528" s="1" t="n">
        <v>43861</v>
      </c>
      <c r="C528" s="1" t="n">
        <v>45851</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5697-2020</t>
        </is>
      </c>
      <c r="B529" s="1" t="n">
        <v>43861</v>
      </c>
      <c r="C529" s="1" t="n">
        <v>45851</v>
      </c>
      <c r="D529" t="inlineStr">
        <is>
          <t>KALMAR LÄN</t>
        </is>
      </c>
      <c r="E529" t="inlineStr">
        <is>
          <t>VÄSTERVIK</t>
        </is>
      </c>
      <c r="F529" t="inlineStr">
        <is>
          <t>Holmen skog AB</t>
        </is>
      </c>
      <c r="G529" t="n">
        <v>1.6</v>
      </c>
      <c r="H529" t="n">
        <v>0</v>
      </c>
      <c r="I529" t="n">
        <v>0</v>
      </c>
      <c r="J529" t="n">
        <v>0</v>
      </c>
      <c r="K529" t="n">
        <v>0</v>
      </c>
      <c r="L529" t="n">
        <v>0</v>
      </c>
      <c r="M529" t="n">
        <v>0</v>
      </c>
      <c r="N529" t="n">
        <v>0</v>
      </c>
      <c r="O529" t="n">
        <v>0</v>
      </c>
      <c r="P529" t="n">
        <v>0</v>
      </c>
      <c r="Q529" t="n">
        <v>0</v>
      </c>
      <c r="R529" s="2" t="inlineStr"/>
    </row>
    <row r="530" ht="15" customHeight="1">
      <c r="A530" t="inlineStr">
        <is>
          <t>A 5822-2020</t>
        </is>
      </c>
      <c r="B530" s="1" t="n">
        <v>43864</v>
      </c>
      <c r="C530" s="1" t="n">
        <v>45851</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6425-2020</t>
        </is>
      </c>
      <c r="B531" s="1" t="n">
        <v>43865</v>
      </c>
      <c r="C531" s="1" t="n">
        <v>45851</v>
      </c>
      <c r="D531" t="inlineStr">
        <is>
          <t>KALMAR LÄN</t>
        </is>
      </c>
      <c r="E531" t="inlineStr">
        <is>
          <t>VÄSTERVIK</t>
        </is>
      </c>
      <c r="G531" t="n">
        <v>2.1</v>
      </c>
      <c r="H531" t="n">
        <v>0</v>
      </c>
      <c r="I531" t="n">
        <v>0</v>
      </c>
      <c r="J531" t="n">
        <v>0</v>
      </c>
      <c r="K531" t="n">
        <v>0</v>
      </c>
      <c r="L531" t="n">
        <v>0</v>
      </c>
      <c r="M531" t="n">
        <v>0</v>
      </c>
      <c r="N531" t="n">
        <v>0</v>
      </c>
      <c r="O531" t="n">
        <v>0</v>
      </c>
      <c r="P531" t="n">
        <v>0</v>
      </c>
      <c r="Q531" t="n">
        <v>0</v>
      </c>
      <c r="R531" s="2" t="inlineStr"/>
    </row>
    <row r="532" ht="15" customHeight="1">
      <c r="A532" t="inlineStr">
        <is>
          <t>A 6391-2020</t>
        </is>
      </c>
      <c r="B532" s="1" t="n">
        <v>43866</v>
      </c>
      <c r="C532" s="1" t="n">
        <v>45851</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6387-2020</t>
        </is>
      </c>
      <c r="B533" s="1" t="n">
        <v>43866</v>
      </c>
      <c r="C533" s="1" t="n">
        <v>45851</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7290-2020</t>
        </is>
      </c>
      <c r="B534" s="1" t="n">
        <v>43871</v>
      </c>
      <c r="C534" s="1" t="n">
        <v>45851</v>
      </c>
      <c r="D534" t="inlineStr">
        <is>
          <t>KALMAR LÄN</t>
        </is>
      </c>
      <c r="E534" t="inlineStr">
        <is>
          <t>VÄSTERVIK</t>
        </is>
      </c>
      <c r="F534" t="inlineStr">
        <is>
          <t>Holmen skog AB</t>
        </is>
      </c>
      <c r="G534" t="n">
        <v>1.7</v>
      </c>
      <c r="H534" t="n">
        <v>0</v>
      </c>
      <c r="I534" t="n">
        <v>0</v>
      </c>
      <c r="J534" t="n">
        <v>0</v>
      </c>
      <c r="K534" t="n">
        <v>0</v>
      </c>
      <c r="L534" t="n">
        <v>0</v>
      </c>
      <c r="M534" t="n">
        <v>0</v>
      </c>
      <c r="N534" t="n">
        <v>0</v>
      </c>
      <c r="O534" t="n">
        <v>0</v>
      </c>
      <c r="P534" t="n">
        <v>0</v>
      </c>
      <c r="Q534" t="n">
        <v>0</v>
      </c>
      <c r="R534" s="2" t="inlineStr"/>
    </row>
    <row r="535" ht="15" customHeight="1">
      <c r="A535" t="inlineStr">
        <is>
          <t>A 7660-2020</t>
        </is>
      </c>
      <c r="B535" s="1" t="n">
        <v>43872</v>
      </c>
      <c r="C535" s="1" t="n">
        <v>45851</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7652-2020</t>
        </is>
      </c>
      <c r="B536" s="1" t="n">
        <v>43872</v>
      </c>
      <c r="C536" s="1" t="n">
        <v>45851</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7727-2020</t>
        </is>
      </c>
      <c r="B537" s="1" t="n">
        <v>43872</v>
      </c>
      <c r="C537" s="1" t="n">
        <v>45851</v>
      </c>
      <c r="D537" t="inlineStr">
        <is>
          <t>KALMAR LÄN</t>
        </is>
      </c>
      <c r="E537" t="inlineStr">
        <is>
          <t>VÄSTERVIK</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8075-2020</t>
        </is>
      </c>
      <c r="B538" s="1" t="n">
        <v>43874</v>
      </c>
      <c r="C538" s="1" t="n">
        <v>45851</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8072-2020</t>
        </is>
      </c>
      <c r="B539" s="1" t="n">
        <v>43874</v>
      </c>
      <c r="C539" s="1" t="n">
        <v>45851</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9168-2020</t>
        </is>
      </c>
      <c r="B540" s="1" t="n">
        <v>43879</v>
      </c>
      <c r="C540" s="1" t="n">
        <v>45851</v>
      </c>
      <c r="D540" t="inlineStr">
        <is>
          <t>KALMAR LÄN</t>
        </is>
      </c>
      <c r="E540" t="inlineStr">
        <is>
          <t>VÄSTERVIK</t>
        </is>
      </c>
      <c r="G540" t="n">
        <v>1.5</v>
      </c>
      <c r="H540" t="n">
        <v>0</v>
      </c>
      <c r="I540" t="n">
        <v>0</v>
      </c>
      <c r="J540" t="n">
        <v>0</v>
      </c>
      <c r="K540" t="n">
        <v>0</v>
      </c>
      <c r="L540" t="n">
        <v>0</v>
      </c>
      <c r="M540" t="n">
        <v>0</v>
      </c>
      <c r="N540" t="n">
        <v>0</v>
      </c>
      <c r="O540" t="n">
        <v>0</v>
      </c>
      <c r="P540" t="n">
        <v>0</v>
      </c>
      <c r="Q540" t="n">
        <v>0</v>
      </c>
      <c r="R540" s="2" t="inlineStr"/>
    </row>
    <row r="541" ht="15" customHeight="1">
      <c r="A541" t="inlineStr">
        <is>
          <t>A 9166-2020</t>
        </is>
      </c>
      <c r="B541" s="1" t="n">
        <v>43879</v>
      </c>
      <c r="C541" s="1" t="n">
        <v>45851</v>
      </c>
      <c r="D541" t="inlineStr">
        <is>
          <t>KALMAR LÄN</t>
        </is>
      </c>
      <c r="E541" t="inlineStr">
        <is>
          <t>VÄSTERVIK</t>
        </is>
      </c>
      <c r="G541" t="n">
        <v>6.9</v>
      </c>
      <c r="H541" t="n">
        <v>0</v>
      </c>
      <c r="I541" t="n">
        <v>0</v>
      </c>
      <c r="J541" t="n">
        <v>0</v>
      </c>
      <c r="K541" t="n">
        <v>0</v>
      </c>
      <c r="L541" t="n">
        <v>0</v>
      </c>
      <c r="M541" t="n">
        <v>0</v>
      </c>
      <c r="N541" t="n">
        <v>0</v>
      </c>
      <c r="O541" t="n">
        <v>0</v>
      </c>
      <c r="P541" t="n">
        <v>0</v>
      </c>
      <c r="Q541" t="n">
        <v>0</v>
      </c>
      <c r="R541" s="2" t="inlineStr"/>
    </row>
    <row r="542" ht="15" customHeight="1">
      <c r="A542" t="inlineStr">
        <is>
          <t>A 9332-2020</t>
        </is>
      </c>
      <c r="B542" s="1" t="n">
        <v>43880</v>
      </c>
      <c r="C542" s="1" t="n">
        <v>45851</v>
      </c>
      <c r="D542" t="inlineStr">
        <is>
          <t>KALMAR LÄN</t>
        </is>
      </c>
      <c r="E542" t="inlineStr">
        <is>
          <t>VÄSTERVIK</t>
        </is>
      </c>
      <c r="G542" t="n">
        <v>1.4</v>
      </c>
      <c r="H542" t="n">
        <v>0</v>
      </c>
      <c r="I542" t="n">
        <v>0</v>
      </c>
      <c r="J542" t="n">
        <v>0</v>
      </c>
      <c r="K542" t="n">
        <v>0</v>
      </c>
      <c r="L542" t="n">
        <v>0</v>
      </c>
      <c r="M542" t="n">
        <v>0</v>
      </c>
      <c r="N542" t="n">
        <v>0</v>
      </c>
      <c r="O542" t="n">
        <v>0</v>
      </c>
      <c r="P542" t="n">
        <v>0</v>
      </c>
      <c r="Q542" t="n">
        <v>0</v>
      </c>
      <c r="R542" s="2" t="inlineStr"/>
    </row>
    <row r="543" ht="15" customHeight="1">
      <c r="A543" t="inlineStr">
        <is>
          <t>A 10373-2020</t>
        </is>
      </c>
      <c r="B543" s="1" t="n">
        <v>43885</v>
      </c>
      <c r="C543" s="1" t="n">
        <v>45851</v>
      </c>
      <c r="D543" t="inlineStr">
        <is>
          <t>KALMAR LÄN</t>
        </is>
      </c>
      <c r="E543" t="inlineStr">
        <is>
          <t>VÄSTERVIK</t>
        </is>
      </c>
      <c r="F543" t="inlineStr">
        <is>
          <t>Kyrkan</t>
        </is>
      </c>
      <c r="G543" t="n">
        <v>2.5</v>
      </c>
      <c r="H543" t="n">
        <v>0</v>
      </c>
      <c r="I543" t="n">
        <v>0</v>
      </c>
      <c r="J543" t="n">
        <v>0</v>
      </c>
      <c r="K543" t="n">
        <v>0</v>
      </c>
      <c r="L543" t="n">
        <v>0</v>
      </c>
      <c r="M543" t="n">
        <v>0</v>
      </c>
      <c r="N543" t="n">
        <v>0</v>
      </c>
      <c r="O543" t="n">
        <v>0</v>
      </c>
      <c r="P543" t="n">
        <v>0</v>
      </c>
      <c r="Q543" t="n">
        <v>0</v>
      </c>
      <c r="R543" s="2" t="inlineStr"/>
    </row>
    <row r="544" ht="15" customHeight="1">
      <c r="A544" t="inlineStr">
        <is>
          <t>A 11067-2020</t>
        </is>
      </c>
      <c r="B544" s="1" t="n">
        <v>43885</v>
      </c>
      <c r="C544" s="1" t="n">
        <v>45851</v>
      </c>
      <c r="D544" t="inlineStr">
        <is>
          <t>KALMAR LÄN</t>
        </is>
      </c>
      <c r="E544" t="inlineStr">
        <is>
          <t>VÄSTERVIK</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10482-2020</t>
        </is>
      </c>
      <c r="B545" s="1" t="n">
        <v>43886</v>
      </c>
      <c r="C545" s="1" t="n">
        <v>45851</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10173-2020</t>
        </is>
      </c>
      <c r="B546" s="1" t="n">
        <v>43886</v>
      </c>
      <c r="C546" s="1" t="n">
        <v>45851</v>
      </c>
      <c r="D546" t="inlineStr">
        <is>
          <t>KALMAR LÄN</t>
        </is>
      </c>
      <c r="E546" t="inlineStr">
        <is>
          <t>VÄSTERVIK</t>
        </is>
      </c>
      <c r="G546" t="n">
        <v>1.7</v>
      </c>
      <c r="H546" t="n">
        <v>0</v>
      </c>
      <c r="I546" t="n">
        <v>0</v>
      </c>
      <c r="J546" t="n">
        <v>0</v>
      </c>
      <c r="K546" t="n">
        <v>0</v>
      </c>
      <c r="L546" t="n">
        <v>0</v>
      </c>
      <c r="M546" t="n">
        <v>0</v>
      </c>
      <c r="N546" t="n">
        <v>0</v>
      </c>
      <c r="O546" t="n">
        <v>0</v>
      </c>
      <c r="P546" t="n">
        <v>0</v>
      </c>
      <c r="Q546" t="n">
        <v>0</v>
      </c>
      <c r="R546" s="2" t="inlineStr"/>
    </row>
    <row r="547" ht="15" customHeight="1">
      <c r="A547" t="inlineStr">
        <is>
          <t>A 11253-2020</t>
        </is>
      </c>
      <c r="B547" s="1" t="n">
        <v>43892</v>
      </c>
      <c r="C547" s="1" t="n">
        <v>45851</v>
      </c>
      <c r="D547" t="inlineStr">
        <is>
          <t>KALMAR LÄN</t>
        </is>
      </c>
      <c r="E547" t="inlineStr">
        <is>
          <t>VÄSTERVIK</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11248-2020</t>
        </is>
      </c>
      <c r="B548" s="1" t="n">
        <v>43892</v>
      </c>
      <c r="C548" s="1" t="n">
        <v>45851</v>
      </c>
      <c r="D548" t="inlineStr">
        <is>
          <t>KALMAR LÄN</t>
        </is>
      </c>
      <c r="E548" t="inlineStr">
        <is>
          <t>VÄSTERVIK</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11246-2020</t>
        </is>
      </c>
      <c r="B549" s="1" t="n">
        <v>43892</v>
      </c>
      <c r="C549" s="1" t="n">
        <v>45851</v>
      </c>
      <c r="D549" t="inlineStr">
        <is>
          <t>KALMAR LÄN</t>
        </is>
      </c>
      <c r="E549" t="inlineStr">
        <is>
          <t>VÄSTERVIK</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12430-2020</t>
        </is>
      </c>
      <c r="B550" s="1" t="n">
        <v>43896</v>
      </c>
      <c r="C550" s="1" t="n">
        <v>45851</v>
      </c>
      <c r="D550" t="inlineStr">
        <is>
          <t>KALMAR LÄN</t>
        </is>
      </c>
      <c r="E550" t="inlineStr">
        <is>
          <t>VÄSTERVIK</t>
        </is>
      </c>
      <c r="G550" t="n">
        <v>2.1</v>
      </c>
      <c r="H550" t="n">
        <v>0</v>
      </c>
      <c r="I550" t="n">
        <v>0</v>
      </c>
      <c r="J550" t="n">
        <v>0</v>
      </c>
      <c r="K550" t="n">
        <v>0</v>
      </c>
      <c r="L550" t="n">
        <v>0</v>
      </c>
      <c r="M550" t="n">
        <v>0</v>
      </c>
      <c r="N550" t="n">
        <v>0</v>
      </c>
      <c r="O550" t="n">
        <v>0</v>
      </c>
      <c r="P550" t="n">
        <v>0</v>
      </c>
      <c r="Q550" t="n">
        <v>0</v>
      </c>
      <c r="R550" s="2" t="inlineStr"/>
    </row>
    <row r="551" ht="15" customHeight="1">
      <c r="A551" t="inlineStr">
        <is>
          <t>A 12965-2020</t>
        </is>
      </c>
      <c r="B551" s="1" t="n">
        <v>43900</v>
      </c>
      <c r="C551" s="1" t="n">
        <v>45851</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13514-2020</t>
        </is>
      </c>
      <c r="B552" s="1" t="n">
        <v>43902</v>
      </c>
      <c r="C552" s="1" t="n">
        <v>45851</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13526-2020</t>
        </is>
      </c>
      <c r="B553" s="1" t="n">
        <v>43902</v>
      </c>
      <c r="C553" s="1" t="n">
        <v>45851</v>
      </c>
      <c r="D553" t="inlineStr">
        <is>
          <t>KALMAR LÄN</t>
        </is>
      </c>
      <c r="E553" t="inlineStr">
        <is>
          <t>VÄSTERVIK</t>
        </is>
      </c>
      <c r="F553" t="inlineStr">
        <is>
          <t>Holmen skog AB</t>
        </is>
      </c>
      <c r="G553" t="n">
        <v>18.6</v>
      </c>
      <c r="H553" t="n">
        <v>0</v>
      </c>
      <c r="I553" t="n">
        <v>0</v>
      </c>
      <c r="J553" t="n">
        <v>0</v>
      </c>
      <c r="K553" t="n">
        <v>0</v>
      </c>
      <c r="L553" t="n">
        <v>0</v>
      </c>
      <c r="M553" t="n">
        <v>0</v>
      </c>
      <c r="N553" t="n">
        <v>0</v>
      </c>
      <c r="O553" t="n">
        <v>0</v>
      </c>
      <c r="P553" t="n">
        <v>0</v>
      </c>
      <c r="Q553" t="n">
        <v>0</v>
      </c>
      <c r="R553" s="2" t="inlineStr"/>
    </row>
    <row r="554" ht="15" customHeight="1">
      <c r="A554" t="inlineStr">
        <is>
          <t>A 13523-2020</t>
        </is>
      </c>
      <c r="B554" s="1" t="n">
        <v>43902</v>
      </c>
      <c r="C554" s="1" t="n">
        <v>45851</v>
      </c>
      <c r="D554" t="inlineStr">
        <is>
          <t>KALMAR LÄN</t>
        </is>
      </c>
      <c r="E554" t="inlineStr">
        <is>
          <t>VÄSTERVIK</t>
        </is>
      </c>
      <c r="F554" t="inlineStr">
        <is>
          <t>Holmen skog AB</t>
        </is>
      </c>
      <c r="G554" t="n">
        <v>3.8</v>
      </c>
      <c r="H554" t="n">
        <v>0</v>
      </c>
      <c r="I554" t="n">
        <v>0</v>
      </c>
      <c r="J554" t="n">
        <v>0</v>
      </c>
      <c r="K554" t="n">
        <v>0</v>
      </c>
      <c r="L554" t="n">
        <v>0</v>
      </c>
      <c r="M554" t="n">
        <v>0</v>
      </c>
      <c r="N554" t="n">
        <v>0</v>
      </c>
      <c r="O554" t="n">
        <v>0</v>
      </c>
      <c r="P554" t="n">
        <v>0</v>
      </c>
      <c r="Q554" t="n">
        <v>0</v>
      </c>
      <c r="R554" s="2" t="inlineStr"/>
    </row>
    <row r="555" ht="15" customHeight="1">
      <c r="A555" t="inlineStr">
        <is>
          <t>A 14889-2020</t>
        </is>
      </c>
      <c r="B555" s="1" t="n">
        <v>43906</v>
      </c>
      <c r="C555" s="1" t="n">
        <v>45851</v>
      </c>
      <c r="D555" t="inlineStr">
        <is>
          <t>KALMAR LÄN</t>
        </is>
      </c>
      <c r="E555" t="inlineStr">
        <is>
          <t>VÄSTERVIK</t>
        </is>
      </c>
      <c r="G555" t="n">
        <v>2.4</v>
      </c>
      <c r="H555" t="n">
        <v>0</v>
      </c>
      <c r="I555" t="n">
        <v>0</v>
      </c>
      <c r="J555" t="n">
        <v>0</v>
      </c>
      <c r="K555" t="n">
        <v>0</v>
      </c>
      <c r="L555" t="n">
        <v>0</v>
      </c>
      <c r="M555" t="n">
        <v>0</v>
      </c>
      <c r="N555" t="n">
        <v>0</v>
      </c>
      <c r="O555" t="n">
        <v>0</v>
      </c>
      <c r="P555" t="n">
        <v>0</v>
      </c>
      <c r="Q555" t="n">
        <v>0</v>
      </c>
      <c r="R555" s="2" t="inlineStr"/>
    </row>
    <row r="556" ht="15" customHeight="1">
      <c r="A556" t="inlineStr">
        <is>
          <t>A 14887-2020</t>
        </is>
      </c>
      <c r="B556" s="1" t="n">
        <v>43906</v>
      </c>
      <c r="C556" s="1" t="n">
        <v>45851</v>
      </c>
      <c r="D556" t="inlineStr">
        <is>
          <t>KALMAR LÄN</t>
        </is>
      </c>
      <c r="E556" t="inlineStr">
        <is>
          <t>VÄSTERVIK</t>
        </is>
      </c>
      <c r="G556" t="n">
        <v>3.3</v>
      </c>
      <c r="H556" t="n">
        <v>0</v>
      </c>
      <c r="I556" t="n">
        <v>0</v>
      </c>
      <c r="J556" t="n">
        <v>0</v>
      </c>
      <c r="K556" t="n">
        <v>0</v>
      </c>
      <c r="L556" t="n">
        <v>0</v>
      </c>
      <c r="M556" t="n">
        <v>0</v>
      </c>
      <c r="N556" t="n">
        <v>0</v>
      </c>
      <c r="O556" t="n">
        <v>0</v>
      </c>
      <c r="P556" t="n">
        <v>0</v>
      </c>
      <c r="Q556" t="n">
        <v>0</v>
      </c>
      <c r="R556" s="2" t="inlineStr"/>
    </row>
    <row r="557" ht="15" customHeight="1">
      <c r="A557" t="inlineStr">
        <is>
          <t>A 14891-2020</t>
        </is>
      </c>
      <c r="B557" s="1" t="n">
        <v>43906</v>
      </c>
      <c r="C557" s="1" t="n">
        <v>45851</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14456-2020</t>
        </is>
      </c>
      <c r="B558" s="1" t="n">
        <v>43908</v>
      </c>
      <c r="C558" s="1" t="n">
        <v>45851</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16580-2020</t>
        </is>
      </c>
      <c r="B559" s="1" t="n">
        <v>43908</v>
      </c>
      <c r="C559" s="1" t="n">
        <v>45851</v>
      </c>
      <c r="D559" t="inlineStr">
        <is>
          <t>KALMAR LÄN</t>
        </is>
      </c>
      <c r="E559" t="inlineStr">
        <is>
          <t>VÄSTERVIK</t>
        </is>
      </c>
      <c r="F559" t="inlineStr">
        <is>
          <t>Övriga Aktiebolag</t>
        </is>
      </c>
      <c r="G559" t="n">
        <v>2</v>
      </c>
      <c r="H559" t="n">
        <v>0</v>
      </c>
      <c r="I559" t="n">
        <v>0</v>
      </c>
      <c r="J559" t="n">
        <v>0</v>
      </c>
      <c r="K559" t="n">
        <v>0</v>
      </c>
      <c r="L559" t="n">
        <v>0</v>
      </c>
      <c r="M559" t="n">
        <v>0</v>
      </c>
      <c r="N559" t="n">
        <v>0</v>
      </c>
      <c r="O559" t="n">
        <v>0</v>
      </c>
      <c r="P559" t="n">
        <v>0</v>
      </c>
      <c r="Q559" t="n">
        <v>0</v>
      </c>
      <c r="R559" s="2" t="inlineStr"/>
    </row>
    <row r="560" ht="15" customHeight="1">
      <c r="A560" t="inlineStr">
        <is>
          <t>A 19422-2020</t>
        </is>
      </c>
      <c r="B560" s="1" t="n">
        <v>43938</v>
      </c>
      <c r="C560" s="1" t="n">
        <v>45851</v>
      </c>
      <c r="D560" t="inlineStr">
        <is>
          <t>KALMAR LÄN</t>
        </is>
      </c>
      <c r="E560" t="inlineStr">
        <is>
          <t>VÄSTERVIK</t>
        </is>
      </c>
      <c r="F560" t="inlineStr">
        <is>
          <t>Holmen skog AB</t>
        </is>
      </c>
      <c r="G560" t="n">
        <v>0.5</v>
      </c>
      <c r="H560" t="n">
        <v>0</v>
      </c>
      <c r="I560" t="n">
        <v>0</v>
      </c>
      <c r="J560" t="n">
        <v>0</v>
      </c>
      <c r="K560" t="n">
        <v>0</v>
      </c>
      <c r="L560" t="n">
        <v>0</v>
      </c>
      <c r="M560" t="n">
        <v>0</v>
      </c>
      <c r="N560" t="n">
        <v>0</v>
      </c>
      <c r="O560" t="n">
        <v>0</v>
      </c>
      <c r="P560" t="n">
        <v>0</v>
      </c>
      <c r="Q560" t="n">
        <v>0</v>
      </c>
      <c r="R560" s="2" t="inlineStr"/>
    </row>
    <row r="561" ht="15" customHeight="1">
      <c r="A561" t="inlineStr">
        <is>
          <t>A 19437-2020</t>
        </is>
      </c>
      <c r="B561" s="1" t="n">
        <v>43938</v>
      </c>
      <c r="C561" s="1" t="n">
        <v>45851</v>
      </c>
      <c r="D561" t="inlineStr">
        <is>
          <t>KALMAR LÄN</t>
        </is>
      </c>
      <c r="E561" t="inlineStr">
        <is>
          <t>VÄSTERVIK</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19829-2020</t>
        </is>
      </c>
      <c r="B562" s="1" t="n">
        <v>43942</v>
      </c>
      <c r="C562" s="1" t="n">
        <v>45851</v>
      </c>
      <c r="D562" t="inlineStr">
        <is>
          <t>KALMAR LÄN</t>
        </is>
      </c>
      <c r="E562" t="inlineStr">
        <is>
          <t>VÄSTERVIK</t>
        </is>
      </c>
      <c r="F562" t="inlineStr">
        <is>
          <t>Holmen skog AB</t>
        </is>
      </c>
      <c r="G562" t="n">
        <v>0.6</v>
      </c>
      <c r="H562" t="n">
        <v>0</v>
      </c>
      <c r="I562" t="n">
        <v>0</v>
      </c>
      <c r="J562" t="n">
        <v>0</v>
      </c>
      <c r="K562" t="n">
        <v>0</v>
      </c>
      <c r="L562" t="n">
        <v>0</v>
      </c>
      <c r="M562" t="n">
        <v>0</v>
      </c>
      <c r="N562" t="n">
        <v>0</v>
      </c>
      <c r="O562" t="n">
        <v>0</v>
      </c>
      <c r="P562" t="n">
        <v>0</v>
      </c>
      <c r="Q562" t="n">
        <v>0</v>
      </c>
      <c r="R562" s="2" t="inlineStr"/>
    </row>
    <row r="563" ht="15" customHeight="1">
      <c r="A563" t="inlineStr">
        <is>
          <t>A 20408-2020</t>
        </is>
      </c>
      <c r="B563" s="1" t="n">
        <v>43945</v>
      </c>
      <c r="C563" s="1" t="n">
        <v>45851</v>
      </c>
      <c r="D563" t="inlineStr">
        <is>
          <t>KALMAR LÄN</t>
        </is>
      </c>
      <c r="E563" t="inlineStr">
        <is>
          <t>VÄSTERVIK</t>
        </is>
      </c>
      <c r="G563" t="n">
        <v>1.6</v>
      </c>
      <c r="H563" t="n">
        <v>0</v>
      </c>
      <c r="I563" t="n">
        <v>0</v>
      </c>
      <c r="J563" t="n">
        <v>0</v>
      </c>
      <c r="K563" t="n">
        <v>0</v>
      </c>
      <c r="L563" t="n">
        <v>0</v>
      </c>
      <c r="M563" t="n">
        <v>0</v>
      </c>
      <c r="N563" t="n">
        <v>0</v>
      </c>
      <c r="O563" t="n">
        <v>0</v>
      </c>
      <c r="P563" t="n">
        <v>0</v>
      </c>
      <c r="Q563" t="n">
        <v>0</v>
      </c>
      <c r="R563" s="2" t="inlineStr"/>
    </row>
    <row r="564" ht="15" customHeight="1">
      <c r="A564" t="inlineStr">
        <is>
          <t>A 20411-2020</t>
        </is>
      </c>
      <c r="B564" s="1" t="n">
        <v>43945</v>
      </c>
      <c r="C564" s="1" t="n">
        <v>45851</v>
      </c>
      <c r="D564" t="inlineStr">
        <is>
          <t>KALMAR LÄN</t>
        </is>
      </c>
      <c r="E564" t="inlineStr">
        <is>
          <t>VÄSTERVIK</t>
        </is>
      </c>
      <c r="G564" t="n">
        <v>2</v>
      </c>
      <c r="H564" t="n">
        <v>0</v>
      </c>
      <c r="I564" t="n">
        <v>0</v>
      </c>
      <c r="J564" t="n">
        <v>0</v>
      </c>
      <c r="K564" t="n">
        <v>0</v>
      </c>
      <c r="L564" t="n">
        <v>0</v>
      </c>
      <c r="M564" t="n">
        <v>0</v>
      </c>
      <c r="N564" t="n">
        <v>0</v>
      </c>
      <c r="O564" t="n">
        <v>0</v>
      </c>
      <c r="P564" t="n">
        <v>0</v>
      </c>
      <c r="Q564" t="n">
        <v>0</v>
      </c>
      <c r="R564" s="2" t="inlineStr"/>
    </row>
    <row r="565" ht="15" customHeight="1">
      <c r="A565" t="inlineStr">
        <is>
          <t>A 20694-2020</t>
        </is>
      </c>
      <c r="B565" s="1" t="n">
        <v>43949</v>
      </c>
      <c r="C565" s="1" t="n">
        <v>45851</v>
      </c>
      <c r="D565" t="inlineStr">
        <is>
          <t>KALMAR LÄN</t>
        </is>
      </c>
      <c r="E565" t="inlineStr">
        <is>
          <t>VÄSTERVIK</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22643-2020</t>
        </is>
      </c>
      <c r="B566" s="1" t="n">
        <v>43963</v>
      </c>
      <c r="C566" s="1" t="n">
        <v>45851</v>
      </c>
      <c r="D566" t="inlineStr">
        <is>
          <t>KALMAR LÄN</t>
        </is>
      </c>
      <c r="E566" t="inlineStr">
        <is>
          <t>VÄSTERVIK</t>
        </is>
      </c>
      <c r="G566" t="n">
        <v>2</v>
      </c>
      <c r="H566" t="n">
        <v>0</v>
      </c>
      <c r="I566" t="n">
        <v>0</v>
      </c>
      <c r="J566" t="n">
        <v>0</v>
      </c>
      <c r="K566" t="n">
        <v>0</v>
      </c>
      <c r="L566" t="n">
        <v>0</v>
      </c>
      <c r="M566" t="n">
        <v>0</v>
      </c>
      <c r="N566" t="n">
        <v>0</v>
      </c>
      <c r="O566" t="n">
        <v>0</v>
      </c>
      <c r="P566" t="n">
        <v>0</v>
      </c>
      <c r="Q566" t="n">
        <v>0</v>
      </c>
      <c r="R566" s="2" t="inlineStr"/>
    </row>
    <row r="567" ht="15" customHeight="1">
      <c r="A567" t="inlineStr">
        <is>
          <t>A 22882-2020</t>
        </is>
      </c>
      <c r="B567" s="1" t="n">
        <v>43964</v>
      </c>
      <c r="C567" s="1" t="n">
        <v>45851</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22880-2020</t>
        </is>
      </c>
      <c r="B568" s="1" t="n">
        <v>43964</v>
      </c>
      <c r="C568" s="1" t="n">
        <v>45851</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22803-2020</t>
        </is>
      </c>
      <c r="B569" s="1" t="n">
        <v>43964</v>
      </c>
      <c r="C569" s="1" t="n">
        <v>45851</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24366-2020</t>
        </is>
      </c>
      <c r="B570" s="1" t="n">
        <v>43973</v>
      </c>
      <c r="C570" s="1" t="n">
        <v>45851</v>
      </c>
      <c r="D570" t="inlineStr">
        <is>
          <t>KALMAR LÄN</t>
        </is>
      </c>
      <c r="E570" t="inlineStr">
        <is>
          <t>VÄSTERVIK</t>
        </is>
      </c>
      <c r="G570" t="n">
        <v>6.9</v>
      </c>
      <c r="H570" t="n">
        <v>0</v>
      </c>
      <c r="I570" t="n">
        <v>0</v>
      </c>
      <c r="J570" t="n">
        <v>0</v>
      </c>
      <c r="K570" t="n">
        <v>0</v>
      </c>
      <c r="L570" t="n">
        <v>0</v>
      </c>
      <c r="M570" t="n">
        <v>0</v>
      </c>
      <c r="N570" t="n">
        <v>0</v>
      </c>
      <c r="O570" t="n">
        <v>0</v>
      </c>
      <c r="P570" t="n">
        <v>0</v>
      </c>
      <c r="Q570" t="n">
        <v>0</v>
      </c>
      <c r="R570" s="2" t="inlineStr"/>
    </row>
    <row r="571" ht="15" customHeight="1">
      <c r="A571" t="inlineStr">
        <is>
          <t>A 24575-2020</t>
        </is>
      </c>
      <c r="B571" s="1" t="n">
        <v>43977</v>
      </c>
      <c r="C571" s="1" t="n">
        <v>45851</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24570-2020</t>
        </is>
      </c>
      <c r="B572" s="1" t="n">
        <v>43977</v>
      </c>
      <c r="C572" s="1" t="n">
        <v>45851</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24677-2020</t>
        </is>
      </c>
      <c r="B573" s="1" t="n">
        <v>43978</v>
      </c>
      <c r="C573" s="1" t="n">
        <v>45851</v>
      </c>
      <c r="D573" t="inlineStr">
        <is>
          <t>KALMAR LÄN</t>
        </is>
      </c>
      <c r="E573" t="inlineStr">
        <is>
          <t>VÄSTERVIK</t>
        </is>
      </c>
      <c r="G573" t="n">
        <v>2.7</v>
      </c>
      <c r="H573" t="n">
        <v>0</v>
      </c>
      <c r="I573" t="n">
        <v>0</v>
      </c>
      <c r="J573" t="n">
        <v>0</v>
      </c>
      <c r="K573" t="n">
        <v>0</v>
      </c>
      <c r="L573" t="n">
        <v>0</v>
      </c>
      <c r="M573" t="n">
        <v>0</v>
      </c>
      <c r="N573" t="n">
        <v>0</v>
      </c>
      <c r="O573" t="n">
        <v>0</v>
      </c>
      <c r="P573" t="n">
        <v>0</v>
      </c>
      <c r="Q573" t="n">
        <v>0</v>
      </c>
      <c r="R573" s="2" t="inlineStr"/>
    </row>
    <row r="574" ht="15" customHeight="1">
      <c r="A574" t="inlineStr">
        <is>
          <t>A 25241-2020</t>
        </is>
      </c>
      <c r="B574" s="1" t="n">
        <v>43980</v>
      </c>
      <c r="C574" s="1" t="n">
        <v>45851</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26226-2020</t>
        </is>
      </c>
      <c r="B575" s="1" t="n">
        <v>43985</v>
      </c>
      <c r="C575" s="1" t="n">
        <v>45851</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26129-2020</t>
        </is>
      </c>
      <c r="B576" s="1" t="n">
        <v>43985</v>
      </c>
      <c r="C576" s="1" t="n">
        <v>45851</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26842-2020</t>
        </is>
      </c>
      <c r="B577" s="1" t="n">
        <v>43987</v>
      </c>
      <c r="C577" s="1" t="n">
        <v>45851</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29093-2020</t>
        </is>
      </c>
      <c r="B578" s="1" t="n">
        <v>44002</v>
      </c>
      <c r="C578" s="1" t="n">
        <v>45851</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29264-2020</t>
        </is>
      </c>
      <c r="B579" s="1" t="n">
        <v>44004</v>
      </c>
      <c r="C579" s="1" t="n">
        <v>45851</v>
      </c>
      <c r="D579" t="inlineStr">
        <is>
          <t>KALMAR LÄN</t>
        </is>
      </c>
      <c r="E579" t="inlineStr">
        <is>
          <t>VÄSTERVIK</t>
        </is>
      </c>
      <c r="G579" t="n">
        <v>5.5</v>
      </c>
      <c r="H579" t="n">
        <v>0</v>
      </c>
      <c r="I579" t="n">
        <v>0</v>
      </c>
      <c r="J579" t="n">
        <v>0</v>
      </c>
      <c r="K579" t="n">
        <v>0</v>
      </c>
      <c r="L579" t="n">
        <v>0</v>
      </c>
      <c r="M579" t="n">
        <v>0</v>
      </c>
      <c r="N579" t="n">
        <v>0</v>
      </c>
      <c r="O579" t="n">
        <v>0</v>
      </c>
      <c r="P579" t="n">
        <v>0</v>
      </c>
      <c r="Q579" t="n">
        <v>0</v>
      </c>
      <c r="R579" s="2" t="inlineStr"/>
    </row>
    <row r="580" ht="15" customHeight="1">
      <c r="A580" t="inlineStr">
        <is>
          <t>A 30581-2020</t>
        </is>
      </c>
      <c r="B580" s="1" t="n">
        <v>44008</v>
      </c>
      <c r="C580" s="1" t="n">
        <v>45851</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30578-2020</t>
        </is>
      </c>
      <c r="B581" s="1" t="n">
        <v>44008</v>
      </c>
      <c r="C581" s="1" t="n">
        <v>45851</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31587-2020</t>
        </is>
      </c>
      <c r="B582" s="1" t="n">
        <v>44012</v>
      </c>
      <c r="C582" s="1" t="n">
        <v>45851</v>
      </c>
      <c r="D582" t="inlineStr">
        <is>
          <t>KALMAR LÄN</t>
        </is>
      </c>
      <c r="E582" t="inlineStr">
        <is>
          <t>VÄSTERVIK</t>
        </is>
      </c>
      <c r="G582" t="n">
        <v>2.5</v>
      </c>
      <c r="H582" t="n">
        <v>0</v>
      </c>
      <c r="I582" t="n">
        <v>0</v>
      </c>
      <c r="J582" t="n">
        <v>0</v>
      </c>
      <c r="K582" t="n">
        <v>0</v>
      </c>
      <c r="L582" t="n">
        <v>0</v>
      </c>
      <c r="M582" t="n">
        <v>0</v>
      </c>
      <c r="N582" t="n">
        <v>0</v>
      </c>
      <c r="O582" t="n">
        <v>0</v>
      </c>
      <c r="P582" t="n">
        <v>0</v>
      </c>
      <c r="Q582" t="n">
        <v>0</v>
      </c>
      <c r="R582" s="2" t="inlineStr"/>
    </row>
    <row r="583" ht="15" customHeight="1">
      <c r="A583" t="inlineStr">
        <is>
          <t>A 32807-2020</t>
        </is>
      </c>
      <c r="B583" s="1" t="n">
        <v>44018</v>
      </c>
      <c r="C583" s="1" t="n">
        <v>45851</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33137-2020</t>
        </is>
      </c>
      <c r="B584" s="1" t="n">
        <v>44021</v>
      </c>
      <c r="C584" s="1" t="n">
        <v>45851</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34775-2020</t>
        </is>
      </c>
      <c r="B585" s="1" t="n">
        <v>44035</v>
      </c>
      <c r="C585" s="1" t="n">
        <v>45851</v>
      </c>
      <c r="D585" t="inlineStr">
        <is>
          <t>KALMAR LÄN</t>
        </is>
      </c>
      <c r="E585" t="inlineStr">
        <is>
          <t>VÄSTERVIK</t>
        </is>
      </c>
      <c r="G585" t="n">
        <v>3.5</v>
      </c>
      <c r="H585" t="n">
        <v>0</v>
      </c>
      <c r="I585" t="n">
        <v>0</v>
      </c>
      <c r="J585" t="n">
        <v>0</v>
      </c>
      <c r="K585" t="n">
        <v>0</v>
      </c>
      <c r="L585" t="n">
        <v>0</v>
      </c>
      <c r="M585" t="n">
        <v>0</v>
      </c>
      <c r="N585" t="n">
        <v>0</v>
      </c>
      <c r="O585" t="n">
        <v>0</v>
      </c>
      <c r="P585" t="n">
        <v>0</v>
      </c>
      <c r="Q585" t="n">
        <v>0</v>
      </c>
      <c r="R585" s="2" t="inlineStr"/>
    </row>
    <row r="586" ht="15" customHeight="1">
      <c r="A586" t="inlineStr">
        <is>
          <t>A 35150-2020</t>
        </is>
      </c>
      <c r="B586" s="1" t="n">
        <v>44040</v>
      </c>
      <c r="C586" s="1" t="n">
        <v>45851</v>
      </c>
      <c r="D586" t="inlineStr">
        <is>
          <t>KALMAR LÄN</t>
        </is>
      </c>
      <c r="E586" t="inlineStr">
        <is>
          <t>VÄSTERVIK</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35655-2020</t>
        </is>
      </c>
      <c r="B587" s="1" t="n">
        <v>44046</v>
      </c>
      <c r="C587" s="1" t="n">
        <v>45851</v>
      </c>
      <c r="D587" t="inlineStr">
        <is>
          <t>KALMAR LÄN</t>
        </is>
      </c>
      <c r="E587" t="inlineStr">
        <is>
          <t>VÄSTERVIK</t>
        </is>
      </c>
      <c r="F587" t="inlineStr">
        <is>
          <t>Övriga Aktiebolag</t>
        </is>
      </c>
      <c r="G587" t="n">
        <v>3.2</v>
      </c>
      <c r="H587" t="n">
        <v>0</v>
      </c>
      <c r="I587" t="n">
        <v>0</v>
      </c>
      <c r="J587" t="n">
        <v>0</v>
      </c>
      <c r="K587" t="n">
        <v>0</v>
      </c>
      <c r="L587" t="n">
        <v>0</v>
      </c>
      <c r="M587" t="n">
        <v>0</v>
      </c>
      <c r="N587" t="n">
        <v>0</v>
      </c>
      <c r="O587" t="n">
        <v>0</v>
      </c>
      <c r="P587" t="n">
        <v>0</v>
      </c>
      <c r="Q587" t="n">
        <v>0</v>
      </c>
      <c r="R587" s="2" t="inlineStr"/>
    </row>
    <row r="588" ht="15" customHeight="1">
      <c r="A588" t="inlineStr">
        <is>
          <t>A 35689-2020</t>
        </is>
      </c>
      <c r="B588" s="1" t="n">
        <v>44046</v>
      </c>
      <c r="C588" s="1" t="n">
        <v>45851</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35868-2020</t>
        </is>
      </c>
      <c r="B589" s="1" t="n">
        <v>44047</v>
      </c>
      <c r="C589" s="1" t="n">
        <v>45851</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37146-2020</t>
        </is>
      </c>
      <c r="B590" s="1" t="n">
        <v>44054</v>
      </c>
      <c r="C590" s="1" t="n">
        <v>45851</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37156-2020</t>
        </is>
      </c>
      <c r="B591" s="1" t="n">
        <v>44054</v>
      </c>
      <c r="C591" s="1" t="n">
        <v>45851</v>
      </c>
      <c r="D591" t="inlineStr">
        <is>
          <t>KALMAR LÄN</t>
        </is>
      </c>
      <c r="E591" t="inlineStr">
        <is>
          <t>VÄSTERVIK</t>
        </is>
      </c>
      <c r="G591" t="n">
        <v>2.2</v>
      </c>
      <c r="H591" t="n">
        <v>0</v>
      </c>
      <c r="I591" t="n">
        <v>0</v>
      </c>
      <c r="J591" t="n">
        <v>0</v>
      </c>
      <c r="K591" t="n">
        <v>0</v>
      </c>
      <c r="L591" t="n">
        <v>0</v>
      </c>
      <c r="M591" t="n">
        <v>0</v>
      </c>
      <c r="N591" t="n">
        <v>0</v>
      </c>
      <c r="O591" t="n">
        <v>0</v>
      </c>
      <c r="P591" t="n">
        <v>0</v>
      </c>
      <c r="Q591" t="n">
        <v>0</v>
      </c>
      <c r="R591" s="2" t="inlineStr"/>
    </row>
    <row r="592" ht="15" customHeight="1">
      <c r="A592" t="inlineStr">
        <is>
          <t>A 37163-2020</t>
        </is>
      </c>
      <c r="B592" s="1" t="n">
        <v>44054</v>
      </c>
      <c r="C592" s="1" t="n">
        <v>45851</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37162-2020</t>
        </is>
      </c>
      <c r="B593" s="1" t="n">
        <v>44054</v>
      </c>
      <c r="C593" s="1" t="n">
        <v>45851</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37113-2020</t>
        </is>
      </c>
      <c r="B594" s="1" t="n">
        <v>44054</v>
      </c>
      <c r="C594" s="1" t="n">
        <v>45851</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37122-2020</t>
        </is>
      </c>
      <c r="B595" s="1" t="n">
        <v>44054</v>
      </c>
      <c r="C595" s="1" t="n">
        <v>45851</v>
      </c>
      <c r="D595" t="inlineStr">
        <is>
          <t>KALMAR LÄN</t>
        </is>
      </c>
      <c r="E595" t="inlineStr">
        <is>
          <t>VÄSTERVIK</t>
        </is>
      </c>
      <c r="G595" t="n">
        <v>0.4</v>
      </c>
      <c r="H595" t="n">
        <v>0</v>
      </c>
      <c r="I595" t="n">
        <v>0</v>
      </c>
      <c r="J595" t="n">
        <v>0</v>
      </c>
      <c r="K595" t="n">
        <v>0</v>
      </c>
      <c r="L595" t="n">
        <v>0</v>
      </c>
      <c r="M595" t="n">
        <v>0</v>
      </c>
      <c r="N595" t="n">
        <v>0</v>
      </c>
      <c r="O595" t="n">
        <v>0</v>
      </c>
      <c r="P595" t="n">
        <v>0</v>
      </c>
      <c r="Q595" t="n">
        <v>0</v>
      </c>
      <c r="R595" s="2" t="inlineStr"/>
    </row>
    <row r="596" ht="15" customHeight="1">
      <c r="A596" t="inlineStr">
        <is>
          <t>A 37149-2020</t>
        </is>
      </c>
      <c r="B596" s="1" t="n">
        <v>44054</v>
      </c>
      <c r="C596" s="1" t="n">
        <v>45851</v>
      </c>
      <c r="D596" t="inlineStr">
        <is>
          <t>KALMAR LÄN</t>
        </is>
      </c>
      <c r="E596" t="inlineStr">
        <is>
          <t>VÄSTERVIK</t>
        </is>
      </c>
      <c r="G596" t="n">
        <v>4.6</v>
      </c>
      <c r="H596" t="n">
        <v>0</v>
      </c>
      <c r="I596" t="n">
        <v>0</v>
      </c>
      <c r="J596" t="n">
        <v>0</v>
      </c>
      <c r="K596" t="n">
        <v>0</v>
      </c>
      <c r="L596" t="n">
        <v>0</v>
      </c>
      <c r="M596" t="n">
        <v>0</v>
      </c>
      <c r="N596" t="n">
        <v>0</v>
      </c>
      <c r="O596" t="n">
        <v>0</v>
      </c>
      <c r="P596" t="n">
        <v>0</v>
      </c>
      <c r="Q596" t="n">
        <v>0</v>
      </c>
      <c r="R596" s="2" t="inlineStr"/>
    </row>
    <row r="597" ht="15" customHeight="1">
      <c r="A597" t="inlineStr">
        <is>
          <t>A 37166-2020</t>
        </is>
      </c>
      <c r="B597" s="1" t="n">
        <v>44054</v>
      </c>
      <c r="C597" s="1" t="n">
        <v>45851</v>
      </c>
      <c r="D597" t="inlineStr">
        <is>
          <t>KALMAR LÄN</t>
        </is>
      </c>
      <c r="E597" t="inlineStr">
        <is>
          <t>VÄSTERVIK</t>
        </is>
      </c>
      <c r="G597" t="n">
        <v>1.6</v>
      </c>
      <c r="H597" t="n">
        <v>0</v>
      </c>
      <c r="I597" t="n">
        <v>0</v>
      </c>
      <c r="J597" t="n">
        <v>0</v>
      </c>
      <c r="K597" t="n">
        <v>0</v>
      </c>
      <c r="L597" t="n">
        <v>0</v>
      </c>
      <c r="M597" t="n">
        <v>0</v>
      </c>
      <c r="N597" t="n">
        <v>0</v>
      </c>
      <c r="O597" t="n">
        <v>0</v>
      </c>
      <c r="P597" t="n">
        <v>0</v>
      </c>
      <c r="Q597" t="n">
        <v>0</v>
      </c>
      <c r="R597" s="2" t="inlineStr"/>
    </row>
    <row r="598" ht="15" customHeight="1">
      <c r="A598" t="inlineStr">
        <is>
          <t>A 37114-2020</t>
        </is>
      </c>
      <c r="B598" s="1" t="n">
        <v>44054</v>
      </c>
      <c r="C598" s="1" t="n">
        <v>45851</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39153-2020</t>
        </is>
      </c>
      <c r="B599" s="1" t="n">
        <v>44063</v>
      </c>
      <c r="C599" s="1" t="n">
        <v>45851</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39779-2020</t>
        </is>
      </c>
      <c r="B600" s="1" t="n">
        <v>44064</v>
      </c>
      <c r="C600" s="1" t="n">
        <v>45851</v>
      </c>
      <c r="D600" t="inlineStr">
        <is>
          <t>KALMAR LÄN</t>
        </is>
      </c>
      <c r="E600" t="inlineStr">
        <is>
          <t>VÄSTERVIK</t>
        </is>
      </c>
      <c r="G600" t="n">
        <v>2.1</v>
      </c>
      <c r="H600" t="n">
        <v>0</v>
      </c>
      <c r="I600" t="n">
        <v>0</v>
      </c>
      <c r="J600" t="n">
        <v>0</v>
      </c>
      <c r="K600" t="n">
        <v>0</v>
      </c>
      <c r="L600" t="n">
        <v>0</v>
      </c>
      <c r="M600" t="n">
        <v>0</v>
      </c>
      <c r="N600" t="n">
        <v>0</v>
      </c>
      <c r="O600" t="n">
        <v>0</v>
      </c>
      <c r="P600" t="n">
        <v>0</v>
      </c>
      <c r="Q600" t="n">
        <v>0</v>
      </c>
      <c r="R600" s="2" t="inlineStr"/>
    </row>
    <row r="601" ht="15" customHeight="1">
      <c r="A601" t="inlineStr">
        <is>
          <t>A 39859-2020</t>
        </is>
      </c>
      <c r="B601" s="1" t="n">
        <v>44064</v>
      </c>
      <c r="C601" s="1" t="n">
        <v>45851</v>
      </c>
      <c r="D601" t="inlineStr">
        <is>
          <t>KALMAR LÄN</t>
        </is>
      </c>
      <c r="E601" t="inlineStr">
        <is>
          <t>VÄSTERVIK</t>
        </is>
      </c>
      <c r="G601" t="n">
        <v>29.6</v>
      </c>
      <c r="H601" t="n">
        <v>0</v>
      </c>
      <c r="I601" t="n">
        <v>0</v>
      </c>
      <c r="J601" t="n">
        <v>0</v>
      </c>
      <c r="K601" t="n">
        <v>0</v>
      </c>
      <c r="L601" t="n">
        <v>0</v>
      </c>
      <c r="M601" t="n">
        <v>0</v>
      </c>
      <c r="N601" t="n">
        <v>0</v>
      </c>
      <c r="O601" t="n">
        <v>0</v>
      </c>
      <c r="P601" t="n">
        <v>0</v>
      </c>
      <c r="Q601" t="n">
        <v>0</v>
      </c>
      <c r="R601" s="2" t="inlineStr"/>
    </row>
    <row r="602" ht="15" customHeight="1">
      <c r="A602" t="inlineStr">
        <is>
          <t>A 42113-2020</t>
        </is>
      </c>
      <c r="B602" s="1" t="n">
        <v>44071</v>
      </c>
      <c r="C602" s="1" t="n">
        <v>45851</v>
      </c>
      <c r="D602" t="inlineStr">
        <is>
          <t>KALMAR LÄN</t>
        </is>
      </c>
      <c r="E602" t="inlineStr">
        <is>
          <t>VÄSTERVIK</t>
        </is>
      </c>
      <c r="G602" t="n">
        <v>2.6</v>
      </c>
      <c r="H602" t="n">
        <v>0</v>
      </c>
      <c r="I602" t="n">
        <v>0</v>
      </c>
      <c r="J602" t="n">
        <v>0</v>
      </c>
      <c r="K602" t="n">
        <v>0</v>
      </c>
      <c r="L602" t="n">
        <v>0</v>
      </c>
      <c r="M602" t="n">
        <v>0</v>
      </c>
      <c r="N602" t="n">
        <v>0</v>
      </c>
      <c r="O602" t="n">
        <v>0</v>
      </c>
      <c r="P602" t="n">
        <v>0</v>
      </c>
      <c r="Q602" t="n">
        <v>0</v>
      </c>
      <c r="R602" s="2" t="inlineStr"/>
    </row>
    <row r="603" ht="15" customHeight="1">
      <c r="A603" t="inlineStr">
        <is>
          <t>A 43730-2020</t>
        </is>
      </c>
      <c r="B603" s="1" t="n">
        <v>44082</v>
      </c>
      <c r="C603" s="1" t="n">
        <v>45851</v>
      </c>
      <c r="D603" t="inlineStr">
        <is>
          <t>KALMAR LÄN</t>
        </is>
      </c>
      <c r="E603" t="inlineStr">
        <is>
          <t>VÄSTERVIK</t>
        </is>
      </c>
      <c r="G603" t="n">
        <v>0.1</v>
      </c>
      <c r="H603" t="n">
        <v>0</v>
      </c>
      <c r="I603" t="n">
        <v>0</v>
      </c>
      <c r="J603" t="n">
        <v>0</v>
      </c>
      <c r="K603" t="n">
        <v>0</v>
      </c>
      <c r="L603" t="n">
        <v>0</v>
      </c>
      <c r="M603" t="n">
        <v>0</v>
      </c>
      <c r="N603" t="n">
        <v>0</v>
      </c>
      <c r="O603" t="n">
        <v>0</v>
      </c>
      <c r="P603" t="n">
        <v>0</v>
      </c>
      <c r="Q603" t="n">
        <v>0</v>
      </c>
      <c r="R603" s="2" t="inlineStr"/>
    </row>
    <row r="604" ht="15" customHeight="1">
      <c r="A604" t="inlineStr">
        <is>
          <t>A 44466-2020</t>
        </is>
      </c>
      <c r="B604" s="1" t="n">
        <v>44084</v>
      </c>
      <c r="C604" s="1" t="n">
        <v>45851</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c r="U604">
        <f>HYPERLINK("https://klasma.github.io/Logging_0883/knärot/A 44466-2020 karta knärot.png", "A 44466-2020")</f>
        <v/>
      </c>
      <c r="V604">
        <f>HYPERLINK("https://klasma.github.io/Logging_0883/klagomål/A 44466-2020 FSC-klagomål.docx", "A 44466-2020")</f>
        <v/>
      </c>
      <c r="W604">
        <f>HYPERLINK("https://klasma.github.io/Logging_0883/klagomålsmail/A 44466-2020 FSC-klagomål mail.docx", "A 44466-2020")</f>
        <v/>
      </c>
      <c r="X604">
        <f>HYPERLINK("https://klasma.github.io/Logging_0883/tillsyn/A 44466-2020 tillsynsbegäran.docx", "A 44466-2020")</f>
        <v/>
      </c>
      <c r="Y604">
        <f>HYPERLINK("https://klasma.github.io/Logging_0883/tillsynsmail/A 44466-2020 tillsynsbegäran mail.docx", "A 44466-2020")</f>
        <v/>
      </c>
    </row>
    <row r="605" ht="15" customHeight="1">
      <c r="A605" t="inlineStr">
        <is>
          <t>A 45537-2020</t>
        </is>
      </c>
      <c r="B605" s="1" t="n">
        <v>44089</v>
      </c>
      <c r="C605" s="1" t="n">
        <v>45851</v>
      </c>
      <c r="D605" t="inlineStr">
        <is>
          <t>KALMAR LÄN</t>
        </is>
      </c>
      <c r="E605" t="inlineStr">
        <is>
          <t>VÄSTERVIK</t>
        </is>
      </c>
      <c r="G605" t="n">
        <v>2.1</v>
      </c>
      <c r="H605" t="n">
        <v>0</v>
      </c>
      <c r="I605" t="n">
        <v>0</v>
      </c>
      <c r="J605" t="n">
        <v>0</v>
      </c>
      <c r="K605" t="n">
        <v>0</v>
      </c>
      <c r="L605" t="n">
        <v>0</v>
      </c>
      <c r="M605" t="n">
        <v>0</v>
      </c>
      <c r="N605" t="n">
        <v>0</v>
      </c>
      <c r="O605" t="n">
        <v>0</v>
      </c>
      <c r="P605" t="n">
        <v>0</v>
      </c>
      <c r="Q605" t="n">
        <v>0</v>
      </c>
      <c r="R605" s="2" t="inlineStr"/>
    </row>
    <row r="606" ht="15" customHeight="1">
      <c r="A606" t="inlineStr">
        <is>
          <t>A 45877-2020</t>
        </is>
      </c>
      <c r="B606" s="1" t="n">
        <v>44091</v>
      </c>
      <c r="C606" s="1" t="n">
        <v>45851</v>
      </c>
      <c r="D606" t="inlineStr">
        <is>
          <t>KALMAR LÄN</t>
        </is>
      </c>
      <c r="E606" t="inlineStr">
        <is>
          <t>VÄSTERVIK</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46214-2020</t>
        </is>
      </c>
      <c r="B607" s="1" t="n">
        <v>44092</v>
      </c>
      <c r="C607" s="1" t="n">
        <v>45851</v>
      </c>
      <c r="D607" t="inlineStr">
        <is>
          <t>KALMAR LÄN</t>
        </is>
      </c>
      <c r="E607" t="inlineStr">
        <is>
          <t>VÄSTERVIK</t>
        </is>
      </c>
      <c r="G607" t="n">
        <v>2.7</v>
      </c>
      <c r="H607" t="n">
        <v>0</v>
      </c>
      <c r="I607" t="n">
        <v>0</v>
      </c>
      <c r="J607" t="n">
        <v>0</v>
      </c>
      <c r="K607" t="n">
        <v>0</v>
      </c>
      <c r="L607" t="n">
        <v>0</v>
      </c>
      <c r="M607" t="n">
        <v>0</v>
      </c>
      <c r="N607" t="n">
        <v>0</v>
      </c>
      <c r="O607" t="n">
        <v>0</v>
      </c>
      <c r="P607" t="n">
        <v>0</v>
      </c>
      <c r="Q607" t="n">
        <v>0</v>
      </c>
      <c r="R607" s="2" t="inlineStr"/>
    </row>
    <row r="608" ht="15" customHeight="1">
      <c r="A608" t="inlineStr">
        <is>
          <t>A 46822-2020</t>
        </is>
      </c>
      <c r="B608" s="1" t="n">
        <v>44096</v>
      </c>
      <c r="C608" s="1" t="n">
        <v>45851</v>
      </c>
      <c r="D608" t="inlineStr">
        <is>
          <t>KALMAR LÄN</t>
        </is>
      </c>
      <c r="E608" t="inlineStr">
        <is>
          <t>VÄSTERVIK</t>
        </is>
      </c>
      <c r="G608" t="n">
        <v>0.2</v>
      </c>
      <c r="H608" t="n">
        <v>0</v>
      </c>
      <c r="I608" t="n">
        <v>0</v>
      </c>
      <c r="J608" t="n">
        <v>0</v>
      </c>
      <c r="K608" t="n">
        <v>0</v>
      </c>
      <c r="L608" t="n">
        <v>0</v>
      </c>
      <c r="M608" t="n">
        <v>0</v>
      </c>
      <c r="N608" t="n">
        <v>0</v>
      </c>
      <c r="O608" t="n">
        <v>0</v>
      </c>
      <c r="P608" t="n">
        <v>0</v>
      </c>
      <c r="Q608" t="n">
        <v>0</v>
      </c>
      <c r="R608" s="2" t="inlineStr"/>
    </row>
    <row r="609" ht="15" customHeight="1">
      <c r="A609" t="inlineStr">
        <is>
          <t>A 47907-2020</t>
        </is>
      </c>
      <c r="B609" s="1" t="n">
        <v>44099</v>
      </c>
      <c r="C609" s="1" t="n">
        <v>45851</v>
      </c>
      <c r="D609" t="inlineStr">
        <is>
          <t>KALMAR LÄN</t>
        </is>
      </c>
      <c r="E609" t="inlineStr">
        <is>
          <t>VÄSTERVIK</t>
        </is>
      </c>
      <c r="G609" t="n">
        <v>1.3</v>
      </c>
      <c r="H609" t="n">
        <v>0</v>
      </c>
      <c r="I609" t="n">
        <v>0</v>
      </c>
      <c r="J609" t="n">
        <v>0</v>
      </c>
      <c r="K609" t="n">
        <v>0</v>
      </c>
      <c r="L609" t="n">
        <v>0</v>
      </c>
      <c r="M609" t="n">
        <v>0</v>
      </c>
      <c r="N609" t="n">
        <v>0</v>
      </c>
      <c r="O609" t="n">
        <v>0</v>
      </c>
      <c r="P609" t="n">
        <v>0</v>
      </c>
      <c r="Q609" t="n">
        <v>0</v>
      </c>
      <c r="R609" s="2" t="inlineStr"/>
    </row>
    <row r="610" ht="15" customHeight="1">
      <c r="A610" t="inlineStr">
        <is>
          <t>A 48135-2020</t>
        </is>
      </c>
      <c r="B610" s="1" t="n">
        <v>44099</v>
      </c>
      <c r="C610" s="1" t="n">
        <v>45851</v>
      </c>
      <c r="D610" t="inlineStr">
        <is>
          <t>KALMAR LÄN</t>
        </is>
      </c>
      <c r="E610" t="inlineStr">
        <is>
          <t>VÄSTERVIK</t>
        </is>
      </c>
      <c r="G610" t="n">
        <v>3.2</v>
      </c>
      <c r="H610" t="n">
        <v>0</v>
      </c>
      <c r="I610" t="n">
        <v>0</v>
      </c>
      <c r="J610" t="n">
        <v>0</v>
      </c>
      <c r="K610" t="n">
        <v>0</v>
      </c>
      <c r="L610" t="n">
        <v>0</v>
      </c>
      <c r="M610" t="n">
        <v>0</v>
      </c>
      <c r="N610" t="n">
        <v>0</v>
      </c>
      <c r="O610" t="n">
        <v>0</v>
      </c>
      <c r="P610" t="n">
        <v>0</v>
      </c>
      <c r="Q610" t="n">
        <v>0</v>
      </c>
      <c r="R610" s="2" t="inlineStr"/>
    </row>
    <row r="611" ht="15" customHeight="1">
      <c r="A611" t="inlineStr">
        <is>
          <t>A 50821-2020</t>
        </is>
      </c>
      <c r="B611" s="1" t="n">
        <v>44111</v>
      </c>
      <c r="C611" s="1" t="n">
        <v>45851</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50800-2020</t>
        </is>
      </c>
      <c r="B612" s="1" t="n">
        <v>44111</v>
      </c>
      <c r="C612" s="1" t="n">
        <v>45851</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51264-2020</t>
        </is>
      </c>
      <c r="B613" s="1" t="n">
        <v>44112</v>
      </c>
      <c r="C613" s="1" t="n">
        <v>45851</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54164-2020</t>
        </is>
      </c>
      <c r="B614" s="1" t="n">
        <v>44125</v>
      </c>
      <c r="C614" s="1" t="n">
        <v>45851</v>
      </c>
      <c r="D614" t="inlineStr">
        <is>
          <t>KALMAR LÄN</t>
        </is>
      </c>
      <c r="E614" t="inlineStr">
        <is>
          <t>VÄSTERVIK</t>
        </is>
      </c>
      <c r="F614" t="inlineStr">
        <is>
          <t>Sveaskog</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55240-2020</t>
        </is>
      </c>
      <c r="B615" s="1" t="n">
        <v>44130</v>
      </c>
      <c r="C615" s="1" t="n">
        <v>45851</v>
      </c>
      <c r="D615" t="inlineStr">
        <is>
          <t>KALMAR LÄN</t>
        </is>
      </c>
      <c r="E615" t="inlineStr">
        <is>
          <t>VÄSTERVIK</t>
        </is>
      </c>
      <c r="G615" t="n">
        <v>1.2</v>
      </c>
      <c r="H615" t="n">
        <v>0</v>
      </c>
      <c r="I615" t="n">
        <v>0</v>
      </c>
      <c r="J615" t="n">
        <v>0</v>
      </c>
      <c r="K615" t="n">
        <v>0</v>
      </c>
      <c r="L615" t="n">
        <v>0</v>
      </c>
      <c r="M615" t="n">
        <v>0</v>
      </c>
      <c r="N615" t="n">
        <v>0</v>
      </c>
      <c r="O615" t="n">
        <v>0</v>
      </c>
      <c r="P615" t="n">
        <v>0</v>
      </c>
      <c r="Q615" t="n">
        <v>0</v>
      </c>
      <c r="R615" s="2" t="inlineStr"/>
    </row>
    <row r="616" ht="15" customHeight="1">
      <c r="A616" t="inlineStr">
        <is>
          <t>A 56127-2020</t>
        </is>
      </c>
      <c r="B616" s="1" t="n">
        <v>44132</v>
      </c>
      <c r="C616" s="1" t="n">
        <v>45851</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57009-2020</t>
        </is>
      </c>
      <c r="B617" s="1" t="n">
        <v>44138</v>
      </c>
      <c r="C617" s="1" t="n">
        <v>45851</v>
      </c>
      <c r="D617" t="inlineStr">
        <is>
          <t>KALMAR LÄN</t>
        </is>
      </c>
      <c r="E617" t="inlineStr">
        <is>
          <t>VÄSTERVIK</t>
        </is>
      </c>
      <c r="F617" t="inlineStr">
        <is>
          <t>Holmen skog AB</t>
        </is>
      </c>
      <c r="G617" t="n">
        <v>1.7</v>
      </c>
      <c r="H617" t="n">
        <v>0</v>
      </c>
      <c r="I617" t="n">
        <v>0</v>
      </c>
      <c r="J617" t="n">
        <v>0</v>
      </c>
      <c r="K617" t="n">
        <v>0</v>
      </c>
      <c r="L617" t="n">
        <v>0</v>
      </c>
      <c r="M617" t="n">
        <v>0</v>
      </c>
      <c r="N617" t="n">
        <v>0</v>
      </c>
      <c r="O617" t="n">
        <v>0</v>
      </c>
      <c r="P617" t="n">
        <v>0</v>
      </c>
      <c r="Q617" t="n">
        <v>0</v>
      </c>
      <c r="R617" s="2" t="inlineStr"/>
      <c r="U617">
        <f>HYPERLINK("https://klasma.github.io/Logging_0883/knärot/A 57009-2020 karta knärot.png", "A 57009-2020")</f>
        <v/>
      </c>
      <c r="V617">
        <f>HYPERLINK("https://klasma.github.io/Logging_0883/klagomål/A 57009-2020 FSC-klagomål.docx", "A 57009-2020")</f>
        <v/>
      </c>
      <c r="W617">
        <f>HYPERLINK("https://klasma.github.io/Logging_0883/klagomålsmail/A 57009-2020 FSC-klagomål mail.docx", "A 57009-2020")</f>
        <v/>
      </c>
      <c r="X617">
        <f>HYPERLINK("https://klasma.github.io/Logging_0883/tillsyn/A 57009-2020 tillsynsbegäran.docx", "A 57009-2020")</f>
        <v/>
      </c>
      <c r="Y617">
        <f>HYPERLINK("https://klasma.github.io/Logging_0883/tillsynsmail/A 57009-2020 tillsynsbegäran mail.docx", "A 57009-2020")</f>
        <v/>
      </c>
    </row>
    <row r="618" ht="15" customHeight="1">
      <c r="A618" t="inlineStr">
        <is>
          <t>A 57065-2020</t>
        </is>
      </c>
      <c r="B618" s="1" t="n">
        <v>44138</v>
      </c>
      <c r="C618" s="1" t="n">
        <v>45851</v>
      </c>
      <c r="D618" t="inlineStr">
        <is>
          <t>KALMAR LÄN</t>
        </is>
      </c>
      <c r="E618" t="inlineStr">
        <is>
          <t>VÄSTERVIK</t>
        </is>
      </c>
      <c r="G618" t="n">
        <v>3.7</v>
      </c>
      <c r="H618" t="n">
        <v>0</v>
      </c>
      <c r="I618" t="n">
        <v>0</v>
      </c>
      <c r="J618" t="n">
        <v>0</v>
      </c>
      <c r="K618" t="n">
        <v>0</v>
      </c>
      <c r="L618" t="n">
        <v>0</v>
      </c>
      <c r="M618" t="n">
        <v>0</v>
      </c>
      <c r="N618" t="n">
        <v>0</v>
      </c>
      <c r="O618" t="n">
        <v>0</v>
      </c>
      <c r="P618" t="n">
        <v>0</v>
      </c>
      <c r="Q618" t="n">
        <v>0</v>
      </c>
      <c r="R618" s="2" t="inlineStr"/>
    </row>
    <row r="619" ht="15" customHeight="1">
      <c r="A619" t="inlineStr">
        <is>
          <t>A 58041-2020</t>
        </is>
      </c>
      <c r="B619" s="1" t="n">
        <v>44140</v>
      </c>
      <c r="C619" s="1" t="n">
        <v>45851</v>
      </c>
      <c r="D619" t="inlineStr">
        <is>
          <t>KALMAR LÄN</t>
        </is>
      </c>
      <c r="E619" t="inlineStr">
        <is>
          <t>VÄSTERVIK</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57922-2020</t>
        </is>
      </c>
      <c r="B620" s="1" t="n">
        <v>44141</v>
      </c>
      <c r="C620" s="1" t="n">
        <v>45851</v>
      </c>
      <c r="D620" t="inlineStr">
        <is>
          <t>KALMAR LÄN</t>
        </is>
      </c>
      <c r="E620" t="inlineStr">
        <is>
          <t>VÄSTERVIK</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58800-2020</t>
        </is>
      </c>
      <c r="B621" s="1" t="n">
        <v>44146</v>
      </c>
      <c r="C621" s="1" t="n">
        <v>45851</v>
      </c>
      <c r="D621" t="inlineStr">
        <is>
          <t>KALMAR LÄN</t>
        </is>
      </c>
      <c r="E621" t="inlineStr">
        <is>
          <t>VÄSTERVIK</t>
        </is>
      </c>
      <c r="G621" t="n">
        <v>1.9</v>
      </c>
      <c r="H621" t="n">
        <v>0</v>
      </c>
      <c r="I621" t="n">
        <v>0</v>
      </c>
      <c r="J621" t="n">
        <v>0</v>
      </c>
      <c r="K621" t="n">
        <v>0</v>
      </c>
      <c r="L621" t="n">
        <v>0</v>
      </c>
      <c r="M621" t="n">
        <v>0</v>
      </c>
      <c r="N621" t="n">
        <v>0</v>
      </c>
      <c r="O621" t="n">
        <v>0</v>
      </c>
      <c r="P621" t="n">
        <v>0</v>
      </c>
      <c r="Q621" t="n">
        <v>0</v>
      </c>
      <c r="R621" s="2" t="inlineStr"/>
    </row>
    <row r="622" ht="15" customHeight="1">
      <c r="A622" t="inlineStr">
        <is>
          <t>A 59421-2020</t>
        </is>
      </c>
      <c r="B622" s="1" t="n">
        <v>44148</v>
      </c>
      <c r="C622" s="1" t="n">
        <v>45851</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59634-2020</t>
        </is>
      </c>
      <c r="B623" s="1" t="n">
        <v>44150</v>
      </c>
      <c r="C623" s="1" t="n">
        <v>45851</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61682-2020</t>
        </is>
      </c>
      <c r="B624" s="1" t="n">
        <v>44154</v>
      </c>
      <c r="C624" s="1" t="n">
        <v>45851</v>
      </c>
      <c r="D624" t="inlineStr">
        <is>
          <t>KALMAR LÄN</t>
        </is>
      </c>
      <c r="E624" t="inlineStr">
        <is>
          <t>VÄSTERVIK</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61696-2020</t>
        </is>
      </c>
      <c r="B625" s="1" t="n">
        <v>44158</v>
      </c>
      <c r="C625" s="1" t="n">
        <v>45851</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61799-2020</t>
        </is>
      </c>
      <c r="B626" s="1" t="n">
        <v>44158</v>
      </c>
      <c r="C626" s="1" t="n">
        <v>45851</v>
      </c>
      <c r="D626" t="inlineStr">
        <is>
          <t>KALMAR LÄN</t>
        </is>
      </c>
      <c r="E626" t="inlineStr">
        <is>
          <t>VÄSTERVIK</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63635-2020</t>
        </is>
      </c>
      <c r="B627" s="1" t="n">
        <v>44162</v>
      </c>
      <c r="C627" s="1" t="n">
        <v>45851</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63212-2020</t>
        </is>
      </c>
      <c r="B628" s="1" t="n">
        <v>44163</v>
      </c>
      <c r="C628" s="1" t="n">
        <v>45851</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64399-2020</t>
        </is>
      </c>
      <c r="B629" s="1" t="n">
        <v>44168</v>
      </c>
      <c r="C629" s="1" t="n">
        <v>45851</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66149-2020</t>
        </is>
      </c>
      <c r="B630" s="1" t="n">
        <v>44173</v>
      </c>
      <c r="C630" s="1" t="n">
        <v>45851</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65647-2020</t>
        </is>
      </c>
      <c r="B631" s="1" t="n">
        <v>44174</v>
      </c>
      <c r="C631" s="1" t="n">
        <v>45851</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66748-2020</t>
        </is>
      </c>
      <c r="B632" s="1" t="n">
        <v>44175</v>
      </c>
      <c r="C632" s="1" t="n">
        <v>45851</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66757-2020</t>
        </is>
      </c>
      <c r="B633" s="1" t="n">
        <v>44175</v>
      </c>
      <c r="C633" s="1" t="n">
        <v>45851</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66328-2020</t>
        </is>
      </c>
      <c r="B634" s="1" t="n">
        <v>44176</v>
      </c>
      <c r="C634" s="1" t="n">
        <v>45851</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66292-2020</t>
        </is>
      </c>
      <c r="B635" s="1" t="n">
        <v>44176</v>
      </c>
      <c r="C635" s="1" t="n">
        <v>45851</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66888-2020</t>
        </is>
      </c>
      <c r="B636" s="1" t="n">
        <v>44179</v>
      </c>
      <c r="C636" s="1" t="n">
        <v>45851</v>
      </c>
      <c r="D636" t="inlineStr">
        <is>
          <t>KALMAR LÄN</t>
        </is>
      </c>
      <c r="E636" t="inlineStr">
        <is>
          <t>VÄSTERVIK</t>
        </is>
      </c>
      <c r="G636" t="n">
        <v>0.3</v>
      </c>
      <c r="H636" t="n">
        <v>0</v>
      </c>
      <c r="I636" t="n">
        <v>0</v>
      </c>
      <c r="J636" t="n">
        <v>0</v>
      </c>
      <c r="K636" t="n">
        <v>0</v>
      </c>
      <c r="L636" t="n">
        <v>0</v>
      </c>
      <c r="M636" t="n">
        <v>0</v>
      </c>
      <c r="N636" t="n">
        <v>0</v>
      </c>
      <c r="O636" t="n">
        <v>0</v>
      </c>
      <c r="P636" t="n">
        <v>0</v>
      </c>
      <c r="Q636" t="n">
        <v>0</v>
      </c>
      <c r="R636" s="2" t="inlineStr"/>
    </row>
    <row r="637" ht="15" customHeight="1">
      <c r="A637" t="inlineStr">
        <is>
          <t>A 67133-2020</t>
        </is>
      </c>
      <c r="B637" s="1" t="n">
        <v>44180</v>
      </c>
      <c r="C637" s="1" t="n">
        <v>45851</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68811-2020</t>
        </is>
      </c>
      <c r="B638" s="1" t="n">
        <v>44187</v>
      </c>
      <c r="C638" s="1" t="n">
        <v>45851</v>
      </c>
      <c r="D638" t="inlineStr">
        <is>
          <t>KALMAR LÄN</t>
        </is>
      </c>
      <c r="E638" t="inlineStr">
        <is>
          <t>VÄSTERVIK</t>
        </is>
      </c>
      <c r="G638" t="n">
        <v>2.3</v>
      </c>
      <c r="H638" t="n">
        <v>0</v>
      </c>
      <c r="I638" t="n">
        <v>0</v>
      </c>
      <c r="J638" t="n">
        <v>0</v>
      </c>
      <c r="K638" t="n">
        <v>0</v>
      </c>
      <c r="L638" t="n">
        <v>0</v>
      </c>
      <c r="M638" t="n">
        <v>0</v>
      </c>
      <c r="N638" t="n">
        <v>0</v>
      </c>
      <c r="O638" t="n">
        <v>0</v>
      </c>
      <c r="P638" t="n">
        <v>0</v>
      </c>
      <c r="Q638" t="n">
        <v>0</v>
      </c>
      <c r="R638" s="2" t="inlineStr"/>
    </row>
    <row r="639" ht="15" customHeight="1">
      <c r="A639" t="inlineStr">
        <is>
          <t>A 69098-2020</t>
        </is>
      </c>
      <c r="B639" s="1" t="n">
        <v>44187</v>
      </c>
      <c r="C639" s="1" t="n">
        <v>45851</v>
      </c>
      <c r="D639" t="inlineStr">
        <is>
          <t>KALMAR LÄN</t>
        </is>
      </c>
      <c r="E639" t="inlineStr">
        <is>
          <t>VÄSTERVIK</t>
        </is>
      </c>
      <c r="G639" t="n">
        <v>1.9</v>
      </c>
      <c r="H639" t="n">
        <v>0</v>
      </c>
      <c r="I639" t="n">
        <v>0</v>
      </c>
      <c r="J639" t="n">
        <v>0</v>
      </c>
      <c r="K639" t="n">
        <v>0</v>
      </c>
      <c r="L639" t="n">
        <v>0</v>
      </c>
      <c r="M639" t="n">
        <v>0</v>
      </c>
      <c r="N639" t="n">
        <v>0</v>
      </c>
      <c r="O639" t="n">
        <v>0</v>
      </c>
      <c r="P639" t="n">
        <v>0</v>
      </c>
      <c r="Q639" t="n">
        <v>0</v>
      </c>
      <c r="R639" s="2" t="inlineStr"/>
    </row>
    <row r="640" ht="15" customHeight="1">
      <c r="A640" t="inlineStr">
        <is>
          <t>A 69064-2020</t>
        </is>
      </c>
      <c r="B640" s="1" t="n">
        <v>44188</v>
      </c>
      <c r="C640" s="1" t="n">
        <v>45851</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119-2021</t>
        </is>
      </c>
      <c r="B641" s="1" t="n">
        <v>44200</v>
      </c>
      <c r="C641" s="1" t="n">
        <v>45851</v>
      </c>
      <c r="D641" t="inlineStr">
        <is>
          <t>KALMAR LÄN</t>
        </is>
      </c>
      <c r="E641" t="inlineStr">
        <is>
          <t>VÄSTERVIK</t>
        </is>
      </c>
      <c r="G641" t="n">
        <v>1.6</v>
      </c>
      <c r="H641" t="n">
        <v>0</v>
      </c>
      <c r="I641" t="n">
        <v>0</v>
      </c>
      <c r="J641" t="n">
        <v>0</v>
      </c>
      <c r="K641" t="n">
        <v>0</v>
      </c>
      <c r="L641" t="n">
        <v>0</v>
      </c>
      <c r="M641" t="n">
        <v>0</v>
      </c>
      <c r="N641" t="n">
        <v>0</v>
      </c>
      <c r="O641" t="n">
        <v>0</v>
      </c>
      <c r="P641" t="n">
        <v>0</v>
      </c>
      <c r="Q641" t="n">
        <v>0</v>
      </c>
      <c r="R641" s="2" t="inlineStr"/>
    </row>
    <row r="642" ht="15" customHeight="1">
      <c r="A642" t="inlineStr">
        <is>
          <t>A 401-2021</t>
        </is>
      </c>
      <c r="B642" s="1" t="n">
        <v>44201</v>
      </c>
      <c r="C642" s="1" t="n">
        <v>45851</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410-2021</t>
        </is>
      </c>
      <c r="B643" s="1" t="n">
        <v>44201</v>
      </c>
      <c r="C643" s="1" t="n">
        <v>45851</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578-2021</t>
        </is>
      </c>
      <c r="B644" s="1" t="n">
        <v>44203</v>
      </c>
      <c r="C644" s="1" t="n">
        <v>45851</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809-2021</t>
        </is>
      </c>
      <c r="B645" s="1" t="n">
        <v>44204</v>
      </c>
      <c r="C645" s="1" t="n">
        <v>45851</v>
      </c>
      <c r="D645" t="inlineStr">
        <is>
          <t>KALMAR LÄN</t>
        </is>
      </c>
      <c r="E645" t="inlineStr">
        <is>
          <t>VÄSTERVIK</t>
        </is>
      </c>
      <c r="F645" t="inlineStr">
        <is>
          <t>Övriga Aktiebolag</t>
        </is>
      </c>
      <c r="G645" t="n">
        <v>2.8</v>
      </c>
      <c r="H645" t="n">
        <v>0</v>
      </c>
      <c r="I645" t="n">
        <v>0</v>
      </c>
      <c r="J645" t="n">
        <v>0</v>
      </c>
      <c r="K645" t="n">
        <v>0</v>
      </c>
      <c r="L645" t="n">
        <v>0</v>
      </c>
      <c r="M645" t="n">
        <v>0</v>
      </c>
      <c r="N645" t="n">
        <v>0</v>
      </c>
      <c r="O645" t="n">
        <v>0</v>
      </c>
      <c r="P645" t="n">
        <v>0</v>
      </c>
      <c r="Q645" t="n">
        <v>0</v>
      </c>
      <c r="R645" s="2" t="inlineStr"/>
    </row>
    <row r="646" ht="15" customHeight="1">
      <c r="A646" t="inlineStr">
        <is>
          <t>A 789-2021</t>
        </is>
      </c>
      <c r="B646" s="1" t="n">
        <v>44204</v>
      </c>
      <c r="C646" s="1" t="n">
        <v>45851</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1959-2021</t>
        </is>
      </c>
      <c r="B647" s="1" t="n">
        <v>44210</v>
      </c>
      <c r="C647" s="1" t="n">
        <v>45851</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2106-2021</t>
        </is>
      </c>
      <c r="B648" s="1" t="n">
        <v>44211</v>
      </c>
      <c r="C648" s="1" t="n">
        <v>45851</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3555-2021</t>
        </is>
      </c>
      <c r="B649" s="1" t="n">
        <v>44218</v>
      </c>
      <c r="C649" s="1" t="n">
        <v>45851</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3553-2021</t>
        </is>
      </c>
      <c r="B650" s="1" t="n">
        <v>44218</v>
      </c>
      <c r="C650" s="1" t="n">
        <v>45851</v>
      </c>
      <c r="D650" t="inlineStr">
        <is>
          <t>KALMAR LÄN</t>
        </is>
      </c>
      <c r="E650" t="inlineStr">
        <is>
          <t>VÄSTERVIK</t>
        </is>
      </c>
      <c r="G650" t="n">
        <v>1.6</v>
      </c>
      <c r="H650" t="n">
        <v>0</v>
      </c>
      <c r="I650" t="n">
        <v>0</v>
      </c>
      <c r="J650" t="n">
        <v>0</v>
      </c>
      <c r="K650" t="n">
        <v>0</v>
      </c>
      <c r="L650" t="n">
        <v>0</v>
      </c>
      <c r="M650" t="n">
        <v>0</v>
      </c>
      <c r="N650" t="n">
        <v>0</v>
      </c>
      <c r="O650" t="n">
        <v>0</v>
      </c>
      <c r="P650" t="n">
        <v>0</v>
      </c>
      <c r="Q650" t="n">
        <v>0</v>
      </c>
      <c r="R650" s="2" t="inlineStr"/>
    </row>
    <row r="651" ht="15" customHeight="1">
      <c r="A651" t="inlineStr">
        <is>
          <t>A 3492-2021</t>
        </is>
      </c>
      <c r="B651" s="1" t="n">
        <v>44218</v>
      </c>
      <c r="C651" s="1" t="n">
        <v>45851</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3669-2021</t>
        </is>
      </c>
      <c r="B652" s="1" t="n">
        <v>44221</v>
      </c>
      <c r="C652" s="1" t="n">
        <v>45851</v>
      </c>
      <c r="D652" t="inlineStr">
        <is>
          <t>KALMAR LÄN</t>
        </is>
      </c>
      <c r="E652" t="inlineStr">
        <is>
          <t>VÄSTERVIK</t>
        </is>
      </c>
      <c r="G652" t="n">
        <v>2.7</v>
      </c>
      <c r="H652" t="n">
        <v>0</v>
      </c>
      <c r="I652" t="n">
        <v>0</v>
      </c>
      <c r="J652" t="n">
        <v>0</v>
      </c>
      <c r="K652" t="n">
        <v>0</v>
      </c>
      <c r="L652" t="n">
        <v>0</v>
      </c>
      <c r="M652" t="n">
        <v>0</v>
      </c>
      <c r="N652" t="n">
        <v>0</v>
      </c>
      <c r="O652" t="n">
        <v>0</v>
      </c>
      <c r="P652" t="n">
        <v>0</v>
      </c>
      <c r="Q652" t="n">
        <v>0</v>
      </c>
      <c r="R652" s="2" t="inlineStr"/>
    </row>
    <row r="653" ht="15" customHeight="1">
      <c r="A653" t="inlineStr">
        <is>
          <t>A 5510-2021</t>
        </is>
      </c>
      <c r="B653" s="1" t="n">
        <v>44230</v>
      </c>
      <c r="C653" s="1" t="n">
        <v>45851</v>
      </c>
      <c r="D653" t="inlineStr">
        <is>
          <t>KALMAR LÄN</t>
        </is>
      </c>
      <c r="E653" t="inlineStr">
        <is>
          <t>VÄSTERVIK</t>
        </is>
      </c>
      <c r="G653" t="n">
        <v>3.2</v>
      </c>
      <c r="H653" t="n">
        <v>0</v>
      </c>
      <c r="I653" t="n">
        <v>0</v>
      </c>
      <c r="J653" t="n">
        <v>0</v>
      </c>
      <c r="K653" t="n">
        <v>0</v>
      </c>
      <c r="L653" t="n">
        <v>0</v>
      </c>
      <c r="M653" t="n">
        <v>0</v>
      </c>
      <c r="N653" t="n">
        <v>0</v>
      </c>
      <c r="O653" t="n">
        <v>0</v>
      </c>
      <c r="P653" t="n">
        <v>0</v>
      </c>
      <c r="Q653" t="n">
        <v>0</v>
      </c>
      <c r="R653" s="2" t="inlineStr"/>
    </row>
    <row r="654" ht="15" customHeight="1">
      <c r="A654" t="inlineStr">
        <is>
          <t>A 6627-2021</t>
        </is>
      </c>
      <c r="B654" s="1" t="n">
        <v>44236</v>
      </c>
      <c r="C654" s="1" t="n">
        <v>45851</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6616-2021</t>
        </is>
      </c>
      <c r="B655" s="1" t="n">
        <v>44236</v>
      </c>
      <c r="C655" s="1" t="n">
        <v>45851</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6974-2021</t>
        </is>
      </c>
      <c r="B656" s="1" t="n">
        <v>44237</v>
      </c>
      <c r="C656" s="1" t="n">
        <v>45851</v>
      </c>
      <c r="D656" t="inlineStr">
        <is>
          <t>KALMAR LÄN</t>
        </is>
      </c>
      <c r="E656" t="inlineStr">
        <is>
          <t>VÄSTERVIK</t>
        </is>
      </c>
      <c r="G656" t="n">
        <v>2.2</v>
      </c>
      <c r="H656" t="n">
        <v>0</v>
      </c>
      <c r="I656" t="n">
        <v>0</v>
      </c>
      <c r="J656" t="n">
        <v>0</v>
      </c>
      <c r="K656" t="n">
        <v>0</v>
      </c>
      <c r="L656" t="n">
        <v>0</v>
      </c>
      <c r="M656" t="n">
        <v>0</v>
      </c>
      <c r="N656" t="n">
        <v>0</v>
      </c>
      <c r="O656" t="n">
        <v>0</v>
      </c>
      <c r="P656" t="n">
        <v>0</v>
      </c>
      <c r="Q656" t="n">
        <v>0</v>
      </c>
      <c r="R656" s="2" t="inlineStr"/>
    </row>
    <row r="657" ht="15" customHeight="1">
      <c r="A657" t="inlineStr">
        <is>
          <t>A 7754-2021</t>
        </is>
      </c>
      <c r="B657" s="1" t="n">
        <v>44239</v>
      </c>
      <c r="C657" s="1" t="n">
        <v>45851</v>
      </c>
      <c r="D657" t="inlineStr">
        <is>
          <t>KALMAR LÄN</t>
        </is>
      </c>
      <c r="E657" t="inlineStr">
        <is>
          <t>VÄSTERVIK</t>
        </is>
      </c>
      <c r="G657" t="n">
        <v>3.6</v>
      </c>
      <c r="H657" t="n">
        <v>0</v>
      </c>
      <c r="I657" t="n">
        <v>0</v>
      </c>
      <c r="J657" t="n">
        <v>0</v>
      </c>
      <c r="K657" t="n">
        <v>0</v>
      </c>
      <c r="L657" t="n">
        <v>0</v>
      </c>
      <c r="M657" t="n">
        <v>0</v>
      </c>
      <c r="N657" t="n">
        <v>0</v>
      </c>
      <c r="O657" t="n">
        <v>0</v>
      </c>
      <c r="P657" t="n">
        <v>0</v>
      </c>
      <c r="Q657" t="n">
        <v>0</v>
      </c>
      <c r="R657" s="2" t="inlineStr"/>
    </row>
    <row r="658" ht="15" customHeight="1">
      <c r="A658" t="inlineStr">
        <is>
          <t>A 8074-2021</t>
        </is>
      </c>
      <c r="B658" s="1" t="n">
        <v>44243</v>
      </c>
      <c r="C658" s="1" t="n">
        <v>45851</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8196-2021</t>
        </is>
      </c>
      <c r="B659" s="1" t="n">
        <v>44244</v>
      </c>
      <c r="C659" s="1" t="n">
        <v>45851</v>
      </c>
      <c r="D659" t="inlineStr">
        <is>
          <t>KALMAR LÄN</t>
        </is>
      </c>
      <c r="E659" t="inlineStr">
        <is>
          <t>VÄSTERVIK</t>
        </is>
      </c>
      <c r="G659" t="n">
        <v>3.5</v>
      </c>
      <c r="H659" t="n">
        <v>0</v>
      </c>
      <c r="I659" t="n">
        <v>0</v>
      </c>
      <c r="J659" t="n">
        <v>0</v>
      </c>
      <c r="K659" t="n">
        <v>0</v>
      </c>
      <c r="L659" t="n">
        <v>0</v>
      </c>
      <c r="M659" t="n">
        <v>0</v>
      </c>
      <c r="N659" t="n">
        <v>0</v>
      </c>
      <c r="O659" t="n">
        <v>0</v>
      </c>
      <c r="P659" t="n">
        <v>0</v>
      </c>
      <c r="Q659" t="n">
        <v>0</v>
      </c>
      <c r="R659" s="2" t="inlineStr"/>
    </row>
    <row r="660" ht="15" customHeight="1">
      <c r="A660" t="inlineStr">
        <is>
          <t>A 8788-2021</t>
        </is>
      </c>
      <c r="B660" s="1" t="n">
        <v>44246</v>
      </c>
      <c r="C660" s="1" t="n">
        <v>45851</v>
      </c>
      <c r="D660" t="inlineStr">
        <is>
          <t>KALMAR LÄN</t>
        </is>
      </c>
      <c r="E660" t="inlineStr">
        <is>
          <t>VÄSTERVIK</t>
        </is>
      </c>
      <c r="G660" t="n">
        <v>1.2</v>
      </c>
      <c r="H660" t="n">
        <v>0</v>
      </c>
      <c r="I660" t="n">
        <v>0</v>
      </c>
      <c r="J660" t="n">
        <v>0</v>
      </c>
      <c r="K660" t="n">
        <v>0</v>
      </c>
      <c r="L660" t="n">
        <v>0</v>
      </c>
      <c r="M660" t="n">
        <v>0</v>
      </c>
      <c r="N660" t="n">
        <v>0</v>
      </c>
      <c r="O660" t="n">
        <v>0</v>
      </c>
      <c r="P660" t="n">
        <v>0</v>
      </c>
      <c r="Q660" t="n">
        <v>0</v>
      </c>
      <c r="R660" s="2" t="inlineStr"/>
    </row>
    <row r="661" ht="15" customHeight="1">
      <c r="A661" t="inlineStr">
        <is>
          <t>A 9091-2021</t>
        </is>
      </c>
      <c r="B661" s="1" t="n">
        <v>44249</v>
      </c>
      <c r="C661" s="1" t="n">
        <v>45851</v>
      </c>
      <c r="D661" t="inlineStr">
        <is>
          <t>KALMAR LÄN</t>
        </is>
      </c>
      <c r="E661" t="inlineStr">
        <is>
          <t>VÄSTERVIK</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9125-2021</t>
        </is>
      </c>
      <c r="B662" s="1" t="n">
        <v>44249</v>
      </c>
      <c r="C662" s="1" t="n">
        <v>45851</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10020-2021</t>
        </is>
      </c>
      <c r="B663" s="1" t="n">
        <v>44256</v>
      </c>
      <c r="C663" s="1" t="n">
        <v>45851</v>
      </c>
      <c r="D663" t="inlineStr">
        <is>
          <t>KALMAR LÄN</t>
        </is>
      </c>
      <c r="E663" t="inlineStr">
        <is>
          <t>VÄSTERVIK</t>
        </is>
      </c>
      <c r="G663" t="n">
        <v>0.5</v>
      </c>
      <c r="H663" t="n">
        <v>0</v>
      </c>
      <c r="I663" t="n">
        <v>0</v>
      </c>
      <c r="J663" t="n">
        <v>0</v>
      </c>
      <c r="K663" t="n">
        <v>0</v>
      </c>
      <c r="L663" t="n">
        <v>0</v>
      </c>
      <c r="M663" t="n">
        <v>0</v>
      </c>
      <c r="N663" t="n">
        <v>0</v>
      </c>
      <c r="O663" t="n">
        <v>0</v>
      </c>
      <c r="P663" t="n">
        <v>0</v>
      </c>
      <c r="Q663" t="n">
        <v>0</v>
      </c>
      <c r="R663" s="2" t="inlineStr"/>
    </row>
    <row r="664" ht="15" customHeight="1">
      <c r="A664" t="inlineStr">
        <is>
          <t>A 10517-2021</t>
        </is>
      </c>
      <c r="B664" s="1" t="n">
        <v>44258</v>
      </c>
      <c r="C664" s="1" t="n">
        <v>45851</v>
      </c>
      <c r="D664" t="inlineStr">
        <is>
          <t>KALMAR LÄN</t>
        </is>
      </c>
      <c r="E664" t="inlineStr">
        <is>
          <t>VÄSTERVIK</t>
        </is>
      </c>
      <c r="G664" t="n">
        <v>3.6</v>
      </c>
      <c r="H664" t="n">
        <v>0</v>
      </c>
      <c r="I664" t="n">
        <v>0</v>
      </c>
      <c r="J664" t="n">
        <v>0</v>
      </c>
      <c r="K664" t="n">
        <v>0</v>
      </c>
      <c r="L664" t="n">
        <v>0</v>
      </c>
      <c r="M664" t="n">
        <v>0</v>
      </c>
      <c r="N664" t="n">
        <v>0</v>
      </c>
      <c r="O664" t="n">
        <v>0</v>
      </c>
      <c r="P664" t="n">
        <v>0</v>
      </c>
      <c r="Q664" t="n">
        <v>0</v>
      </c>
      <c r="R664" s="2" t="inlineStr"/>
    </row>
    <row r="665" ht="15" customHeight="1">
      <c r="A665" t="inlineStr">
        <is>
          <t>A 12123-2021</t>
        </is>
      </c>
      <c r="B665" s="1" t="n">
        <v>44266</v>
      </c>
      <c r="C665" s="1" t="n">
        <v>45851</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12520-2021</t>
        </is>
      </c>
      <c r="B666" s="1" t="n">
        <v>44269</v>
      </c>
      <c r="C666" s="1" t="n">
        <v>45851</v>
      </c>
      <c r="D666" t="inlineStr">
        <is>
          <t>KALMAR LÄN</t>
        </is>
      </c>
      <c r="E666" t="inlineStr">
        <is>
          <t>VÄSTERVIK</t>
        </is>
      </c>
      <c r="G666" t="n">
        <v>1.6</v>
      </c>
      <c r="H666" t="n">
        <v>0</v>
      </c>
      <c r="I666" t="n">
        <v>0</v>
      </c>
      <c r="J666" t="n">
        <v>0</v>
      </c>
      <c r="K666" t="n">
        <v>0</v>
      </c>
      <c r="L666" t="n">
        <v>0</v>
      </c>
      <c r="M666" t="n">
        <v>0</v>
      </c>
      <c r="N666" t="n">
        <v>0</v>
      </c>
      <c r="O666" t="n">
        <v>0</v>
      </c>
      <c r="P666" t="n">
        <v>0</v>
      </c>
      <c r="Q666" t="n">
        <v>0</v>
      </c>
      <c r="R666" s="2" t="inlineStr"/>
    </row>
    <row r="667" ht="15" customHeight="1">
      <c r="A667" t="inlineStr">
        <is>
          <t>A 13036-2021</t>
        </is>
      </c>
      <c r="B667" s="1" t="n">
        <v>44271</v>
      </c>
      <c r="C667" s="1" t="n">
        <v>45851</v>
      </c>
      <c r="D667" t="inlineStr">
        <is>
          <t>KALMAR LÄN</t>
        </is>
      </c>
      <c r="E667" t="inlineStr">
        <is>
          <t>VÄSTERVIK</t>
        </is>
      </c>
      <c r="F667" t="inlineStr">
        <is>
          <t>Sveaskog</t>
        </is>
      </c>
      <c r="G667" t="n">
        <v>7</v>
      </c>
      <c r="H667" t="n">
        <v>0</v>
      </c>
      <c r="I667" t="n">
        <v>0</v>
      </c>
      <c r="J667" t="n">
        <v>0</v>
      </c>
      <c r="K667" t="n">
        <v>0</v>
      </c>
      <c r="L667" t="n">
        <v>0</v>
      </c>
      <c r="M667" t="n">
        <v>0</v>
      </c>
      <c r="N667" t="n">
        <v>0</v>
      </c>
      <c r="O667" t="n">
        <v>0</v>
      </c>
      <c r="P667" t="n">
        <v>0</v>
      </c>
      <c r="Q667" t="n">
        <v>0</v>
      </c>
      <c r="R667" s="2" t="inlineStr"/>
    </row>
    <row r="668" ht="15" customHeight="1">
      <c r="A668" t="inlineStr">
        <is>
          <t>A 13230-2021</t>
        </is>
      </c>
      <c r="B668" s="1" t="n">
        <v>44272</v>
      </c>
      <c r="C668" s="1" t="n">
        <v>45851</v>
      </c>
      <c r="D668" t="inlineStr">
        <is>
          <t>KALMAR LÄN</t>
        </is>
      </c>
      <c r="E668" t="inlineStr">
        <is>
          <t>VÄSTERVIK</t>
        </is>
      </c>
      <c r="G668" t="n">
        <v>7.2</v>
      </c>
      <c r="H668" t="n">
        <v>0</v>
      </c>
      <c r="I668" t="n">
        <v>0</v>
      </c>
      <c r="J668" t="n">
        <v>0</v>
      </c>
      <c r="K668" t="n">
        <v>0</v>
      </c>
      <c r="L668" t="n">
        <v>0</v>
      </c>
      <c r="M668" t="n">
        <v>0</v>
      </c>
      <c r="N668" t="n">
        <v>0</v>
      </c>
      <c r="O668" t="n">
        <v>0</v>
      </c>
      <c r="P668" t="n">
        <v>0</v>
      </c>
      <c r="Q668" t="n">
        <v>0</v>
      </c>
      <c r="R668" s="2" t="inlineStr"/>
    </row>
    <row r="669" ht="15" customHeight="1">
      <c r="A669" t="inlineStr">
        <is>
          <t>A 13761-2021</t>
        </is>
      </c>
      <c r="B669" s="1" t="n">
        <v>44274</v>
      </c>
      <c r="C669" s="1" t="n">
        <v>45851</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13626-2021</t>
        </is>
      </c>
      <c r="B670" s="1" t="n">
        <v>44274</v>
      </c>
      <c r="C670" s="1" t="n">
        <v>45851</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14151-2021</t>
        </is>
      </c>
      <c r="B671" s="1" t="n">
        <v>44278</v>
      </c>
      <c r="C671" s="1" t="n">
        <v>45851</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14149-2021</t>
        </is>
      </c>
      <c r="B672" s="1" t="n">
        <v>44278</v>
      </c>
      <c r="C672" s="1" t="n">
        <v>45851</v>
      </c>
      <c r="D672" t="inlineStr">
        <is>
          <t>KALMAR LÄN</t>
        </is>
      </c>
      <c r="E672" t="inlineStr">
        <is>
          <t>VÄSTERVIK</t>
        </is>
      </c>
      <c r="G672" t="n">
        <v>4.1</v>
      </c>
      <c r="H672" t="n">
        <v>0</v>
      </c>
      <c r="I672" t="n">
        <v>0</v>
      </c>
      <c r="J672" t="n">
        <v>0</v>
      </c>
      <c r="K672" t="n">
        <v>0</v>
      </c>
      <c r="L672" t="n">
        <v>0</v>
      </c>
      <c r="M672" t="n">
        <v>0</v>
      </c>
      <c r="N672" t="n">
        <v>0</v>
      </c>
      <c r="O672" t="n">
        <v>0</v>
      </c>
      <c r="P672" t="n">
        <v>0</v>
      </c>
      <c r="Q672" t="n">
        <v>0</v>
      </c>
      <c r="R672" s="2" t="inlineStr"/>
    </row>
    <row r="673" ht="15" customHeight="1">
      <c r="A673" t="inlineStr">
        <is>
          <t>A 14317-2021</t>
        </is>
      </c>
      <c r="B673" s="1" t="n">
        <v>44278</v>
      </c>
      <c r="C673" s="1" t="n">
        <v>45851</v>
      </c>
      <c r="D673" t="inlineStr">
        <is>
          <t>KALMAR LÄN</t>
        </is>
      </c>
      <c r="E673" t="inlineStr">
        <is>
          <t>VÄSTERVIK</t>
        </is>
      </c>
      <c r="G673" t="n">
        <v>2.1</v>
      </c>
      <c r="H673" t="n">
        <v>0</v>
      </c>
      <c r="I673" t="n">
        <v>0</v>
      </c>
      <c r="J673" t="n">
        <v>0</v>
      </c>
      <c r="K673" t="n">
        <v>0</v>
      </c>
      <c r="L673" t="n">
        <v>0</v>
      </c>
      <c r="M673" t="n">
        <v>0</v>
      </c>
      <c r="N673" t="n">
        <v>0</v>
      </c>
      <c r="O673" t="n">
        <v>0</v>
      </c>
      <c r="P673" t="n">
        <v>0</v>
      </c>
      <c r="Q673" t="n">
        <v>0</v>
      </c>
      <c r="R673" s="2" t="inlineStr"/>
    </row>
    <row r="674" ht="15" customHeight="1">
      <c r="A674" t="inlineStr">
        <is>
          <t>A 15595-2021</t>
        </is>
      </c>
      <c r="B674" s="1" t="n">
        <v>44285</v>
      </c>
      <c r="C674" s="1" t="n">
        <v>45851</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15598-2021</t>
        </is>
      </c>
      <c r="B675" s="1" t="n">
        <v>44285</v>
      </c>
      <c r="C675" s="1" t="n">
        <v>45851</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15591-2021</t>
        </is>
      </c>
      <c r="B676" s="1" t="n">
        <v>44285</v>
      </c>
      <c r="C676" s="1" t="n">
        <v>45851</v>
      </c>
      <c r="D676" t="inlineStr">
        <is>
          <t>KALMAR LÄN</t>
        </is>
      </c>
      <c r="E676" t="inlineStr">
        <is>
          <t>VÄSTERVIK</t>
        </is>
      </c>
      <c r="G676" t="n">
        <v>2.1</v>
      </c>
      <c r="H676" t="n">
        <v>0</v>
      </c>
      <c r="I676" t="n">
        <v>0</v>
      </c>
      <c r="J676" t="n">
        <v>0</v>
      </c>
      <c r="K676" t="n">
        <v>0</v>
      </c>
      <c r="L676" t="n">
        <v>0</v>
      </c>
      <c r="M676" t="n">
        <v>0</v>
      </c>
      <c r="N676" t="n">
        <v>0</v>
      </c>
      <c r="O676" t="n">
        <v>0</v>
      </c>
      <c r="P676" t="n">
        <v>0</v>
      </c>
      <c r="Q676" t="n">
        <v>0</v>
      </c>
      <c r="R676" s="2" t="inlineStr"/>
    </row>
    <row r="677" ht="15" customHeight="1">
      <c r="A677" t="inlineStr">
        <is>
          <t>A 15834-2021</t>
        </is>
      </c>
      <c r="B677" s="1" t="n">
        <v>44286</v>
      </c>
      <c r="C677" s="1" t="n">
        <v>45851</v>
      </c>
      <c r="D677" t="inlineStr">
        <is>
          <t>KALMAR LÄN</t>
        </is>
      </c>
      <c r="E677" t="inlineStr">
        <is>
          <t>VÄSTERVIK</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16729-2021</t>
        </is>
      </c>
      <c r="B678" s="1" t="n">
        <v>44294</v>
      </c>
      <c r="C678" s="1" t="n">
        <v>45851</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16697-2021</t>
        </is>
      </c>
      <c r="B679" s="1" t="n">
        <v>44294</v>
      </c>
      <c r="C679" s="1" t="n">
        <v>45851</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16728-2021</t>
        </is>
      </c>
      <c r="B680" s="1" t="n">
        <v>44294</v>
      </c>
      <c r="C680" s="1" t="n">
        <v>45851</v>
      </c>
      <c r="D680" t="inlineStr">
        <is>
          <t>KALMAR LÄN</t>
        </is>
      </c>
      <c r="E680" t="inlineStr">
        <is>
          <t>VÄSTERVIK</t>
        </is>
      </c>
      <c r="G680" t="n">
        <v>3.1</v>
      </c>
      <c r="H680" t="n">
        <v>0</v>
      </c>
      <c r="I680" t="n">
        <v>0</v>
      </c>
      <c r="J680" t="n">
        <v>0</v>
      </c>
      <c r="K680" t="n">
        <v>0</v>
      </c>
      <c r="L680" t="n">
        <v>0</v>
      </c>
      <c r="M680" t="n">
        <v>0</v>
      </c>
      <c r="N680" t="n">
        <v>0</v>
      </c>
      <c r="O680" t="n">
        <v>0</v>
      </c>
      <c r="P680" t="n">
        <v>0</v>
      </c>
      <c r="Q680" t="n">
        <v>0</v>
      </c>
      <c r="R680" s="2" t="inlineStr"/>
    </row>
    <row r="681" ht="15" customHeight="1">
      <c r="A681" t="inlineStr">
        <is>
          <t>A 16734-2021</t>
        </is>
      </c>
      <c r="B681" s="1" t="n">
        <v>44294</v>
      </c>
      <c r="C681" s="1" t="n">
        <v>45851</v>
      </c>
      <c r="D681" t="inlineStr">
        <is>
          <t>KALMAR LÄN</t>
        </is>
      </c>
      <c r="E681" t="inlineStr">
        <is>
          <t>VÄSTERVIK</t>
        </is>
      </c>
      <c r="G681" t="n">
        <v>3.7</v>
      </c>
      <c r="H681" t="n">
        <v>0</v>
      </c>
      <c r="I681" t="n">
        <v>0</v>
      </c>
      <c r="J681" t="n">
        <v>0</v>
      </c>
      <c r="K681" t="n">
        <v>0</v>
      </c>
      <c r="L681" t="n">
        <v>0</v>
      </c>
      <c r="M681" t="n">
        <v>0</v>
      </c>
      <c r="N681" t="n">
        <v>0</v>
      </c>
      <c r="O681" t="n">
        <v>0</v>
      </c>
      <c r="P681" t="n">
        <v>0</v>
      </c>
      <c r="Q681" t="n">
        <v>0</v>
      </c>
      <c r="R681" s="2" t="inlineStr"/>
    </row>
    <row r="682" ht="15" customHeight="1">
      <c r="A682" t="inlineStr">
        <is>
          <t>A 16726-2021</t>
        </is>
      </c>
      <c r="B682" s="1" t="n">
        <v>44294</v>
      </c>
      <c r="C682" s="1" t="n">
        <v>45851</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16992-2021</t>
        </is>
      </c>
      <c r="B683" s="1" t="n">
        <v>44295</v>
      </c>
      <c r="C683" s="1" t="n">
        <v>45851</v>
      </c>
      <c r="D683" t="inlineStr">
        <is>
          <t>KALMAR LÄN</t>
        </is>
      </c>
      <c r="E683" t="inlineStr">
        <is>
          <t>VÄSTERVIK</t>
        </is>
      </c>
      <c r="G683" t="n">
        <v>3.6</v>
      </c>
      <c r="H683" t="n">
        <v>0</v>
      </c>
      <c r="I683" t="n">
        <v>0</v>
      </c>
      <c r="J683" t="n">
        <v>0</v>
      </c>
      <c r="K683" t="n">
        <v>0</v>
      </c>
      <c r="L683" t="n">
        <v>0</v>
      </c>
      <c r="M683" t="n">
        <v>0</v>
      </c>
      <c r="N683" t="n">
        <v>0</v>
      </c>
      <c r="O683" t="n">
        <v>0</v>
      </c>
      <c r="P683" t="n">
        <v>0</v>
      </c>
      <c r="Q683" t="n">
        <v>0</v>
      </c>
      <c r="R683" s="2" t="inlineStr"/>
    </row>
    <row r="684" ht="15" customHeight="1">
      <c r="A684" t="inlineStr">
        <is>
          <t>A 17124-2021</t>
        </is>
      </c>
      <c r="B684" s="1" t="n">
        <v>44298</v>
      </c>
      <c r="C684" s="1" t="n">
        <v>45851</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17200-2021</t>
        </is>
      </c>
      <c r="B685" s="1" t="n">
        <v>44298</v>
      </c>
      <c r="C685" s="1" t="n">
        <v>45851</v>
      </c>
      <c r="D685" t="inlineStr">
        <is>
          <t>KALMAR LÄN</t>
        </is>
      </c>
      <c r="E685" t="inlineStr">
        <is>
          <t>VÄSTERVIK</t>
        </is>
      </c>
      <c r="G685" t="n">
        <v>3.4</v>
      </c>
      <c r="H685" t="n">
        <v>0</v>
      </c>
      <c r="I685" t="n">
        <v>0</v>
      </c>
      <c r="J685" t="n">
        <v>0</v>
      </c>
      <c r="K685" t="n">
        <v>0</v>
      </c>
      <c r="L685" t="n">
        <v>0</v>
      </c>
      <c r="M685" t="n">
        <v>0</v>
      </c>
      <c r="N685" t="n">
        <v>0</v>
      </c>
      <c r="O685" t="n">
        <v>0</v>
      </c>
      <c r="P685" t="n">
        <v>0</v>
      </c>
      <c r="Q685" t="n">
        <v>0</v>
      </c>
      <c r="R685" s="2" t="inlineStr"/>
    </row>
    <row r="686" ht="15" customHeight="1">
      <c r="A686" t="inlineStr">
        <is>
          <t>A 17277-2021</t>
        </is>
      </c>
      <c r="B686" s="1" t="n">
        <v>44298</v>
      </c>
      <c r="C686" s="1" t="n">
        <v>45851</v>
      </c>
      <c r="D686" t="inlineStr">
        <is>
          <t>KALMAR LÄN</t>
        </is>
      </c>
      <c r="E686" t="inlineStr">
        <is>
          <t>VÄSTERVIK</t>
        </is>
      </c>
      <c r="G686" t="n">
        <v>7</v>
      </c>
      <c r="H686" t="n">
        <v>0</v>
      </c>
      <c r="I686" t="n">
        <v>0</v>
      </c>
      <c r="J686" t="n">
        <v>0</v>
      </c>
      <c r="K686" t="n">
        <v>0</v>
      </c>
      <c r="L686" t="n">
        <v>0</v>
      </c>
      <c r="M686" t="n">
        <v>0</v>
      </c>
      <c r="N686" t="n">
        <v>0</v>
      </c>
      <c r="O686" t="n">
        <v>0</v>
      </c>
      <c r="P686" t="n">
        <v>0</v>
      </c>
      <c r="Q686" t="n">
        <v>0</v>
      </c>
      <c r="R686" s="2" t="inlineStr"/>
    </row>
    <row r="687" ht="15" customHeight="1">
      <c r="A687" t="inlineStr">
        <is>
          <t>A 17216-2021</t>
        </is>
      </c>
      <c r="B687" s="1" t="n">
        <v>44298</v>
      </c>
      <c r="C687" s="1" t="n">
        <v>45851</v>
      </c>
      <c r="D687" t="inlineStr">
        <is>
          <t>KALMAR LÄN</t>
        </is>
      </c>
      <c r="E687" t="inlineStr">
        <is>
          <t>VÄSTERVIK</t>
        </is>
      </c>
      <c r="G687" t="n">
        <v>1.4</v>
      </c>
      <c r="H687" t="n">
        <v>0</v>
      </c>
      <c r="I687" t="n">
        <v>0</v>
      </c>
      <c r="J687" t="n">
        <v>0</v>
      </c>
      <c r="K687" t="n">
        <v>0</v>
      </c>
      <c r="L687" t="n">
        <v>0</v>
      </c>
      <c r="M687" t="n">
        <v>0</v>
      </c>
      <c r="N687" t="n">
        <v>0</v>
      </c>
      <c r="O687" t="n">
        <v>0</v>
      </c>
      <c r="P687" t="n">
        <v>0</v>
      </c>
      <c r="Q687" t="n">
        <v>0</v>
      </c>
      <c r="R687" s="2" t="inlineStr"/>
    </row>
    <row r="688" ht="15" customHeight="1">
      <c r="A688" t="inlineStr">
        <is>
          <t>A 17253-2021</t>
        </is>
      </c>
      <c r="B688" s="1" t="n">
        <v>44298</v>
      </c>
      <c r="C688" s="1" t="n">
        <v>45851</v>
      </c>
      <c r="D688" t="inlineStr">
        <is>
          <t>KALMAR LÄN</t>
        </is>
      </c>
      <c r="E688" t="inlineStr">
        <is>
          <t>VÄSTERVIK</t>
        </is>
      </c>
      <c r="G688" t="n">
        <v>4.6</v>
      </c>
      <c r="H688" t="n">
        <v>0</v>
      </c>
      <c r="I688" t="n">
        <v>0</v>
      </c>
      <c r="J688" t="n">
        <v>0</v>
      </c>
      <c r="K688" t="n">
        <v>0</v>
      </c>
      <c r="L688" t="n">
        <v>0</v>
      </c>
      <c r="M688" t="n">
        <v>0</v>
      </c>
      <c r="N688" t="n">
        <v>0</v>
      </c>
      <c r="O688" t="n">
        <v>0</v>
      </c>
      <c r="P688" t="n">
        <v>0</v>
      </c>
      <c r="Q688" t="n">
        <v>0</v>
      </c>
      <c r="R688" s="2" t="inlineStr"/>
    </row>
    <row r="689" ht="15" customHeight="1">
      <c r="A689" t="inlineStr">
        <is>
          <t>A 18013-2021</t>
        </is>
      </c>
      <c r="B689" s="1" t="n">
        <v>44302</v>
      </c>
      <c r="C689" s="1" t="n">
        <v>45851</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18470-2021</t>
        </is>
      </c>
      <c r="B690" s="1" t="n">
        <v>44306</v>
      </c>
      <c r="C690" s="1" t="n">
        <v>45851</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18837-2021</t>
        </is>
      </c>
      <c r="B691" s="1" t="n">
        <v>44307</v>
      </c>
      <c r="C691" s="1" t="n">
        <v>45851</v>
      </c>
      <c r="D691" t="inlineStr">
        <is>
          <t>KALMAR LÄN</t>
        </is>
      </c>
      <c r="E691" t="inlineStr">
        <is>
          <t>VÄSTERVIK</t>
        </is>
      </c>
      <c r="G691" t="n">
        <v>1.6</v>
      </c>
      <c r="H691" t="n">
        <v>0</v>
      </c>
      <c r="I691" t="n">
        <v>0</v>
      </c>
      <c r="J691" t="n">
        <v>0</v>
      </c>
      <c r="K691" t="n">
        <v>0</v>
      </c>
      <c r="L691" t="n">
        <v>0</v>
      </c>
      <c r="M691" t="n">
        <v>0</v>
      </c>
      <c r="N691" t="n">
        <v>0</v>
      </c>
      <c r="O691" t="n">
        <v>0</v>
      </c>
      <c r="P691" t="n">
        <v>0</v>
      </c>
      <c r="Q691" t="n">
        <v>0</v>
      </c>
      <c r="R691" s="2" t="inlineStr"/>
    </row>
    <row r="692" ht="15" customHeight="1">
      <c r="A692" t="inlineStr">
        <is>
          <t>A 18900-2021</t>
        </is>
      </c>
      <c r="B692" s="1" t="n">
        <v>44308</v>
      </c>
      <c r="C692" s="1" t="n">
        <v>45851</v>
      </c>
      <c r="D692" t="inlineStr">
        <is>
          <t>KALMAR LÄN</t>
        </is>
      </c>
      <c r="E692" t="inlineStr">
        <is>
          <t>VÄSTERVIK</t>
        </is>
      </c>
      <c r="F692" t="inlineStr">
        <is>
          <t>Holmen skog AB</t>
        </is>
      </c>
      <c r="G692" t="n">
        <v>7.5</v>
      </c>
      <c r="H692" t="n">
        <v>0</v>
      </c>
      <c r="I692" t="n">
        <v>0</v>
      </c>
      <c r="J692" t="n">
        <v>0</v>
      </c>
      <c r="K692" t="n">
        <v>0</v>
      </c>
      <c r="L692" t="n">
        <v>0</v>
      </c>
      <c r="M692" t="n">
        <v>0</v>
      </c>
      <c r="N692" t="n">
        <v>0</v>
      </c>
      <c r="O692" t="n">
        <v>0</v>
      </c>
      <c r="P692" t="n">
        <v>0</v>
      </c>
      <c r="Q692" t="n">
        <v>0</v>
      </c>
      <c r="R692" s="2" t="inlineStr"/>
    </row>
    <row r="693" ht="15" customHeight="1">
      <c r="A693" t="inlineStr">
        <is>
          <t>A 18915-2021</t>
        </is>
      </c>
      <c r="B693" s="1" t="n">
        <v>44308</v>
      </c>
      <c r="C693" s="1" t="n">
        <v>45851</v>
      </c>
      <c r="D693" t="inlineStr">
        <is>
          <t>KALMAR LÄN</t>
        </is>
      </c>
      <c r="E693" t="inlineStr">
        <is>
          <t>VÄSTERVIK</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19219-2021</t>
        </is>
      </c>
      <c r="B694" s="1" t="n">
        <v>44309</v>
      </c>
      <c r="C694" s="1" t="n">
        <v>45851</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19644-2021</t>
        </is>
      </c>
      <c r="B695" s="1" t="n">
        <v>44312</v>
      </c>
      <c r="C695" s="1" t="n">
        <v>45851</v>
      </c>
      <c r="D695" t="inlineStr">
        <is>
          <t>KALMAR LÄN</t>
        </is>
      </c>
      <c r="E695" t="inlineStr">
        <is>
          <t>VÄSTERVIK</t>
        </is>
      </c>
      <c r="G695" t="n">
        <v>0.9</v>
      </c>
      <c r="H695" t="n">
        <v>0</v>
      </c>
      <c r="I695" t="n">
        <v>0</v>
      </c>
      <c r="J695" t="n">
        <v>0</v>
      </c>
      <c r="K695" t="n">
        <v>0</v>
      </c>
      <c r="L695" t="n">
        <v>0</v>
      </c>
      <c r="M695" t="n">
        <v>0</v>
      </c>
      <c r="N695" t="n">
        <v>0</v>
      </c>
      <c r="O695" t="n">
        <v>0</v>
      </c>
      <c r="P695" t="n">
        <v>0</v>
      </c>
      <c r="Q695" t="n">
        <v>0</v>
      </c>
      <c r="R695" s="2" t="inlineStr"/>
    </row>
    <row r="696" ht="15" customHeight="1">
      <c r="A696" t="inlineStr">
        <is>
          <t>A 19660-2021</t>
        </is>
      </c>
      <c r="B696" s="1" t="n">
        <v>44312</v>
      </c>
      <c r="C696" s="1" t="n">
        <v>45851</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20204-2021</t>
        </is>
      </c>
      <c r="B697" s="1" t="n">
        <v>44314</v>
      </c>
      <c r="C697" s="1" t="n">
        <v>45851</v>
      </c>
      <c r="D697" t="inlineStr">
        <is>
          <t>KALMAR LÄN</t>
        </is>
      </c>
      <c r="E697" t="inlineStr">
        <is>
          <t>VÄSTERVIK</t>
        </is>
      </c>
      <c r="F697" t="inlineStr">
        <is>
          <t>Holmen skog AB</t>
        </is>
      </c>
      <c r="G697" t="n">
        <v>12.1</v>
      </c>
      <c r="H697" t="n">
        <v>0</v>
      </c>
      <c r="I697" t="n">
        <v>0</v>
      </c>
      <c r="J697" t="n">
        <v>0</v>
      </c>
      <c r="K697" t="n">
        <v>0</v>
      </c>
      <c r="L697" t="n">
        <v>0</v>
      </c>
      <c r="M697" t="n">
        <v>0</v>
      </c>
      <c r="N697" t="n">
        <v>0</v>
      </c>
      <c r="O697" t="n">
        <v>0</v>
      </c>
      <c r="P697" t="n">
        <v>0</v>
      </c>
      <c r="Q697" t="n">
        <v>0</v>
      </c>
      <c r="R697" s="2" t="inlineStr"/>
    </row>
    <row r="698" ht="15" customHeight="1">
      <c r="A698" t="inlineStr">
        <is>
          <t>A 20772-2021</t>
        </is>
      </c>
      <c r="B698" s="1" t="n">
        <v>44316</v>
      </c>
      <c r="C698" s="1" t="n">
        <v>45851</v>
      </c>
      <c r="D698" t="inlineStr">
        <is>
          <t>KALMAR LÄN</t>
        </is>
      </c>
      <c r="E698" t="inlineStr">
        <is>
          <t>VÄSTERVIK</t>
        </is>
      </c>
      <c r="G698" t="n">
        <v>1.9</v>
      </c>
      <c r="H698" t="n">
        <v>0</v>
      </c>
      <c r="I698" t="n">
        <v>0</v>
      </c>
      <c r="J698" t="n">
        <v>0</v>
      </c>
      <c r="K698" t="n">
        <v>0</v>
      </c>
      <c r="L698" t="n">
        <v>0</v>
      </c>
      <c r="M698" t="n">
        <v>0</v>
      </c>
      <c r="N698" t="n">
        <v>0</v>
      </c>
      <c r="O698" t="n">
        <v>0</v>
      </c>
      <c r="P698" t="n">
        <v>0</v>
      </c>
      <c r="Q698" t="n">
        <v>0</v>
      </c>
      <c r="R698" s="2" t="inlineStr"/>
    </row>
    <row r="699" ht="15" customHeight="1">
      <c r="A699" t="inlineStr">
        <is>
          <t>A 20945-2021</t>
        </is>
      </c>
      <c r="B699" s="1" t="n">
        <v>44319</v>
      </c>
      <c r="C699" s="1" t="n">
        <v>45851</v>
      </c>
      <c r="D699" t="inlineStr">
        <is>
          <t>KALMAR LÄN</t>
        </is>
      </c>
      <c r="E699" t="inlineStr">
        <is>
          <t>VÄSTERVIK</t>
        </is>
      </c>
      <c r="G699" t="n">
        <v>3.7</v>
      </c>
      <c r="H699" t="n">
        <v>0</v>
      </c>
      <c r="I699" t="n">
        <v>0</v>
      </c>
      <c r="J699" t="n">
        <v>0</v>
      </c>
      <c r="K699" t="n">
        <v>0</v>
      </c>
      <c r="L699" t="n">
        <v>0</v>
      </c>
      <c r="M699" t="n">
        <v>0</v>
      </c>
      <c r="N699" t="n">
        <v>0</v>
      </c>
      <c r="O699" t="n">
        <v>0</v>
      </c>
      <c r="P699" t="n">
        <v>0</v>
      </c>
      <c r="Q699" t="n">
        <v>0</v>
      </c>
      <c r="R699" s="2" t="inlineStr"/>
    </row>
    <row r="700" ht="15" customHeight="1">
      <c r="A700" t="inlineStr">
        <is>
          <t>A 21036-2021</t>
        </is>
      </c>
      <c r="B700" s="1" t="n">
        <v>44319</v>
      </c>
      <c r="C700" s="1" t="n">
        <v>45851</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21057-2021</t>
        </is>
      </c>
      <c r="B701" s="1" t="n">
        <v>44319</v>
      </c>
      <c r="C701" s="1" t="n">
        <v>45851</v>
      </c>
      <c r="D701" t="inlineStr">
        <is>
          <t>KALMAR LÄN</t>
        </is>
      </c>
      <c r="E701" t="inlineStr">
        <is>
          <t>VÄSTERVIK</t>
        </is>
      </c>
      <c r="G701" t="n">
        <v>5.7</v>
      </c>
      <c r="H701" t="n">
        <v>0</v>
      </c>
      <c r="I701" t="n">
        <v>0</v>
      </c>
      <c r="J701" t="n">
        <v>0</v>
      </c>
      <c r="K701" t="n">
        <v>0</v>
      </c>
      <c r="L701" t="n">
        <v>0</v>
      </c>
      <c r="M701" t="n">
        <v>0</v>
      </c>
      <c r="N701" t="n">
        <v>0</v>
      </c>
      <c r="O701" t="n">
        <v>0</v>
      </c>
      <c r="P701" t="n">
        <v>0</v>
      </c>
      <c r="Q701" t="n">
        <v>0</v>
      </c>
      <c r="R701" s="2" t="inlineStr"/>
    </row>
    <row r="702" ht="15" customHeight="1">
      <c r="A702" t="inlineStr">
        <is>
          <t>A 21255-2021</t>
        </is>
      </c>
      <c r="B702" s="1" t="n">
        <v>44320</v>
      </c>
      <c r="C702" s="1" t="n">
        <v>45851</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23090-2021</t>
        </is>
      </c>
      <c r="B703" s="1" t="n">
        <v>44330</v>
      </c>
      <c r="C703" s="1" t="n">
        <v>45851</v>
      </c>
      <c r="D703" t="inlineStr">
        <is>
          <t>KALMAR LÄN</t>
        </is>
      </c>
      <c r="E703" t="inlineStr">
        <is>
          <t>VÄSTERVIK</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23097-2021</t>
        </is>
      </c>
      <c r="B704" s="1" t="n">
        <v>44330</v>
      </c>
      <c r="C704" s="1" t="n">
        <v>45851</v>
      </c>
      <c r="D704" t="inlineStr">
        <is>
          <t>KALMAR LÄN</t>
        </is>
      </c>
      <c r="E704" t="inlineStr">
        <is>
          <t>VÄSTERVIK</t>
        </is>
      </c>
      <c r="F704" t="inlineStr">
        <is>
          <t>Holmen skog AB</t>
        </is>
      </c>
      <c r="G704" t="n">
        <v>0.4</v>
      </c>
      <c r="H704" t="n">
        <v>0</v>
      </c>
      <c r="I704" t="n">
        <v>0</v>
      </c>
      <c r="J704" t="n">
        <v>0</v>
      </c>
      <c r="K704" t="n">
        <v>0</v>
      </c>
      <c r="L704" t="n">
        <v>0</v>
      </c>
      <c r="M704" t="n">
        <v>0</v>
      </c>
      <c r="N704" t="n">
        <v>0</v>
      </c>
      <c r="O704" t="n">
        <v>0</v>
      </c>
      <c r="P704" t="n">
        <v>0</v>
      </c>
      <c r="Q704" t="n">
        <v>0</v>
      </c>
      <c r="R704" s="2" t="inlineStr"/>
    </row>
    <row r="705" ht="15" customHeight="1">
      <c r="A705" t="inlineStr">
        <is>
          <t>A 23150-2021</t>
        </is>
      </c>
      <c r="B705" s="1" t="n">
        <v>44331</v>
      </c>
      <c r="C705" s="1" t="n">
        <v>45851</v>
      </c>
      <c r="D705" t="inlineStr">
        <is>
          <t>KALMAR LÄN</t>
        </is>
      </c>
      <c r="E705" t="inlineStr">
        <is>
          <t>VÄSTERVIK</t>
        </is>
      </c>
      <c r="G705" t="n">
        <v>1.2</v>
      </c>
      <c r="H705" t="n">
        <v>0</v>
      </c>
      <c r="I705" t="n">
        <v>0</v>
      </c>
      <c r="J705" t="n">
        <v>0</v>
      </c>
      <c r="K705" t="n">
        <v>0</v>
      </c>
      <c r="L705" t="n">
        <v>0</v>
      </c>
      <c r="M705" t="n">
        <v>0</v>
      </c>
      <c r="N705" t="n">
        <v>0</v>
      </c>
      <c r="O705" t="n">
        <v>0</v>
      </c>
      <c r="P705" t="n">
        <v>0</v>
      </c>
      <c r="Q705" t="n">
        <v>0</v>
      </c>
      <c r="R705" s="2" t="inlineStr"/>
    </row>
    <row r="706" ht="15" customHeight="1">
      <c r="A706" t="inlineStr">
        <is>
          <t>A 23504-2021</t>
        </is>
      </c>
      <c r="B706" s="1" t="n">
        <v>44334</v>
      </c>
      <c r="C706" s="1" t="n">
        <v>45851</v>
      </c>
      <c r="D706" t="inlineStr">
        <is>
          <t>KALMAR LÄN</t>
        </is>
      </c>
      <c r="E706" t="inlineStr">
        <is>
          <t>VÄSTERVIK</t>
        </is>
      </c>
      <c r="G706" t="n">
        <v>1.3</v>
      </c>
      <c r="H706" t="n">
        <v>0</v>
      </c>
      <c r="I706" t="n">
        <v>0</v>
      </c>
      <c r="J706" t="n">
        <v>0</v>
      </c>
      <c r="K706" t="n">
        <v>0</v>
      </c>
      <c r="L706" t="n">
        <v>0</v>
      </c>
      <c r="M706" t="n">
        <v>0</v>
      </c>
      <c r="N706" t="n">
        <v>0</v>
      </c>
      <c r="O706" t="n">
        <v>0</v>
      </c>
      <c r="P706" t="n">
        <v>0</v>
      </c>
      <c r="Q706" t="n">
        <v>0</v>
      </c>
      <c r="R706" s="2" t="inlineStr"/>
    </row>
    <row r="707" ht="15" customHeight="1">
      <c r="A707" t="inlineStr">
        <is>
          <t>A 23628-2021</t>
        </is>
      </c>
      <c r="B707" s="1" t="n">
        <v>44334</v>
      </c>
      <c r="C707" s="1" t="n">
        <v>45851</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23626-2021</t>
        </is>
      </c>
      <c r="B708" s="1" t="n">
        <v>44334</v>
      </c>
      <c r="C708" s="1" t="n">
        <v>45851</v>
      </c>
      <c r="D708" t="inlineStr">
        <is>
          <t>KALMAR LÄN</t>
        </is>
      </c>
      <c r="E708" t="inlineStr">
        <is>
          <t>VÄSTERVIK</t>
        </is>
      </c>
      <c r="G708" t="n">
        <v>9</v>
      </c>
      <c r="H708" t="n">
        <v>0</v>
      </c>
      <c r="I708" t="n">
        <v>0</v>
      </c>
      <c r="J708" t="n">
        <v>0</v>
      </c>
      <c r="K708" t="n">
        <v>0</v>
      </c>
      <c r="L708" t="n">
        <v>0</v>
      </c>
      <c r="M708" t="n">
        <v>0</v>
      </c>
      <c r="N708" t="n">
        <v>0</v>
      </c>
      <c r="O708" t="n">
        <v>0</v>
      </c>
      <c r="P708" t="n">
        <v>0</v>
      </c>
      <c r="Q708" t="n">
        <v>0</v>
      </c>
      <c r="R708" s="2" t="inlineStr"/>
    </row>
    <row r="709" ht="15" customHeight="1">
      <c r="A709" t="inlineStr">
        <is>
          <t>A 23995-2021</t>
        </is>
      </c>
      <c r="B709" s="1" t="n">
        <v>44335</v>
      </c>
      <c r="C709" s="1" t="n">
        <v>45851</v>
      </c>
      <c r="D709" t="inlineStr">
        <is>
          <t>KALMAR LÄN</t>
        </is>
      </c>
      <c r="E709" t="inlineStr">
        <is>
          <t>VÄSTERVIK</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23993-2021</t>
        </is>
      </c>
      <c r="B710" s="1" t="n">
        <v>44335</v>
      </c>
      <c r="C710" s="1" t="n">
        <v>45851</v>
      </c>
      <c r="D710" t="inlineStr">
        <is>
          <t>KALMAR LÄN</t>
        </is>
      </c>
      <c r="E710" t="inlineStr">
        <is>
          <t>VÄSTERVIK</t>
        </is>
      </c>
      <c r="G710" t="n">
        <v>3.1</v>
      </c>
      <c r="H710" t="n">
        <v>0</v>
      </c>
      <c r="I710" t="n">
        <v>0</v>
      </c>
      <c r="J710" t="n">
        <v>0</v>
      </c>
      <c r="K710" t="n">
        <v>0</v>
      </c>
      <c r="L710" t="n">
        <v>0</v>
      </c>
      <c r="M710" t="n">
        <v>0</v>
      </c>
      <c r="N710" t="n">
        <v>0</v>
      </c>
      <c r="O710" t="n">
        <v>0</v>
      </c>
      <c r="P710" t="n">
        <v>0</v>
      </c>
      <c r="Q710" t="n">
        <v>0</v>
      </c>
      <c r="R710" s="2" t="inlineStr"/>
    </row>
    <row r="711" ht="15" customHeight="1">
      <c r="A711" t="inlineStr">
        <is>
          <t>A 23998-2021</t>
        </is>
      </c>
      <c r="B711" s="1" t="n">
        <v>44335</v>
      </c>
      <c r="C711" s="1" t="n">
        <v>45851</v>
      </c>
      <c r="D711" t="inlineStr">
        <is>
          <t>KALMAR LÄN</t>
        </is>
      </c>
      <c r="E711" t="inlineStr">
        <is>
          <t>VÄSTERVIK</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23992-2021</t>
        </is>
      </c>
      <c r="B712" s="1" t="n">
        <v>44335</v>
      </c>
      <c r="C712" s="1" t="n">
        <v>45851</v>
      </c>
      <c r="D712" t="inlineStr">
        <is>
          <t>KALMAR LÄN</t>
        </is>
      </c>
      <c r="E712" t="inlineStr">
        <is>
          <t>VÄSTERVIK</t>
        </is>
      </c>
      <c r="G712" t="n">
        <v>3.1</v>
      </c>
      <c r="H712" t="n">
        <v>0</v>
      </c>
      <c r="I712" t="n">
        <v>0</v>
      </c>
      <c r="J712" t="n">
        <v>0</v>
      </c>
      <c r="K712" t="n">
        <v>0</v>
      </c>
      <c r="L712" t="n">
        <v>0</v>
      </c>
      <c r="M712" t="n">
        <v>0</v>
      </c>
      <c r="N712" t="n">
        <v>0</v>
      </c>
      <c r="O712" t="n">
        <v>0</v>
      </c>
      <c r="P712" t="n">
        <v>0</v>
      </c>
      <c r="Q712" t="n">
        <v>0</v>
      </c>
      <c r="R712" s="2" t="inlineStr"/>
    </row>
    <row r="713" ht="15" customHeight="1">
      <c r="A713" t="inlineStr">
        <is>
          <t>A 23997-2021</t>
        </is>
      </c>
      <c r="B713" s="1" t="n">
        <v>44335</v>
      </c>
      <c r="C713" s="1" t="n">
        <v>45851</v>
      </c>
      <c r="D713" t="inlineStr">
        <is>
          <t>KALMAR LÄN</t>
        </is>
      </c>
      <c r="E713" t="inlineStr">
        <is>
          <t>VÄSTERVIK</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24000-2021</t>
        </is>
      </c>
      <c r="B714" s="1" t="n">
        <v>44335</v>
      </c>
      <c r="C714" s="1" t="n">
        <v>45851</v>
      </c>
      <c r="D714" t="inlineStr">
        <is>
          <t>KALMAR LÄN</t>
        </is>
      </c>
      <c r="E714" t="inlineStr">
        <is>
          <t>VÄSTERVIK</t>
        </is>
      </c>
      <c r="F714" t="inlineStr">
        <is>
          <t>Sveaskog</t>
        </is>
      </c>
      <c r="G714" t="n">
        <v>6.9</v>
      </c>
      <c r="H714" t="n">
        <v>0</v>
      </c>
      <c r="I714" t="n">
        <v>0</v>
      </c>
      <c r="J714" t="n">
        <v>0</v>
      </c>
      <c r="K714" t="n">
        <v>0</v>
      </c>
      <c r="L714" t="n">
        <v>0</v>
      </c>
      <c r="M714" t="n">
        <v>0</v>
      </c>
      <c r="N714" t="n">
        <v>0</v>
      </c>
      <c r="O714" t="n">
        <v>0</v>
      </c>
      <c r="P714" t="n">
        <v>0</v>
      </c>
      <c r="Q714" t="n">
        <v>0</v>
      </c>
      <c r="R714" s="2" t="inlineStr"/>
    </row>
    <row r="715" ht="15" customHeight="1">
      <c r="A715" t="inlineStr">
        <is>
          <t>A 23996-2021</t>
        </is>
      </c>
      <c r="B715" s="1" t="n">
        <v>44335</v>
      </c>
      <c r="C715" s="1" t="n">
        <v>45851</v>
      </c>
      <c r="D715" t="inlineStr">
        <is>
          <t>KALMAR LÄN</t>
        </is>
      </c>
      <c r="E715" t="inlineStr">
        <is>
          <t>VÄSTERVIK</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24570-2021</t>
        </is>
      </c>
      <c r="B716" s="1" t="n">
        <v>44339</v>
      </c>
      <c r="C716" s="1" t="n">
        <v>45851</v>
      </c>
      <c r="D716" t="inlineStr">
        <is>
          <t>KALMAR LÄN</t>
        </is>
      </c>
      <c r="E716" t="inlineStr">
        <is>
          <t>VÄSTERVIK</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25238-2021</t>
        </is>
      </c>
      <c r="B717" s="1" t="n">
        <v>44342</v>
      </c>
      <c r="C717" s="1" t="n">
        <v>45851</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25418-2021</t>
        </is>
      </c>
      <c r="B718" s="1" t="n">
        <v>44342</v>
      </c>
      <c r="C718" s="1" t="n">
        <v>45851</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25408-2021</t>
        </is>
      </c>
      <c r="B719" s="1" t="n">
        <v>44342</v>
      </c>
      <c r="C719" s="1" t="n">
        <v>45851</v>
      </c>
      <c r="D719" t="inlineStr">
        <is>
          <t>KALMAR LÄN</t>
        </is>
      </c>
      <c r="E719" t="inlineStr">
        <is>
          <t>VÄSTERVIK</t>
        </is>
      </c>
      <c r="F719" t="inlineStr">
        <is>
          <t>Holmen skog AB</t>
        </is>
      </c>
      <c r="G719" t="n">
        <v>1.1</v>
      </c>
      <c r="H719" t="n">
        <v>0</v>
      </c>
      <c r="I719" t="n">
        <v>0</v>
      </c>
      <c r="J719" t="n">
        <v>0</v>
      </c>
      <c r="K719" t="n">
        <v>0</v>
      </c>
      <c r="L719" t="n">
        <v>0</v>
      </c>
      <c r="M719" t="n">
        <v>0</v>
      </c>
      <c r="N719" t="n">
        <v>0</v>
      </c>
      <c r="O719" t="n">
        <v>0</v>
      </c>
      <c r="P719" t="n">
        <v>0</v>
      </c>
      <c r="Q719" t="n">
        <v>0</v>
      </c>
      <c r="R719" s="2" t="inlineStr"/>
      <c r="U719">
        <f>HYPERLINK("https://klasma.github.io/Logging_0883/knärot/A 25408-2021 karta knärot.png", "A 25408-2021")</f>
        <v/>
      </c>
      <c r="V719">
        <f>HYPERLINK("https://klasma.github.io/Logging_0883/klagomål/A 25408-2021 FSC-klagomål.docx", "A 25408-2021")</f>
        <v/>
      </c>
      <c r="W719">
        <f>HYPERLINK("https://klasma.github.io/Logging_0883/klagomålsmail/A 25408-2021 FSC-klagomål mail.docx", "A 25408-2021")</f>
        <v/>
      </c>
      <c r="X719">
        <f>HYPERLINK("https://klasma.github.io/Logging_0883/tillsyn/A 25408-2021 tillsynsbegäran.docx", "A 25408-2021")</f>
        <v/>
      </c>
      <c r="Y719">
        <f>HYPERLINK("https://klasma.github.io/Logging_0883/tillsynsmail/A 25408-2021 tillsynsbegäran mail.docx", "A 25408-2021")</f>
        <v/>
      </c>
    </row>
    <row r="720" ht="15" customHeight="1">
      <c r="A720" t="inlineStr">
        <is>
          <t>A 27183-2021</t>
        </is>
      </c>
      <c r="B720" s="1" t="n">
        <v>44350</v>
      </c>
      <c r="C720" s="1" t="n">
        <v>45851</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29460-2021</t>
        </is>
      </c>
      <c r="B721" s="1" t="n">
        <v>44361</v>
      </c>
      <c r="C721" s="1" t="n">
        <v>45851</v>
      </c>
      <c r="D721" t="inlineStr">
        <is>
          <t>KALMAR LÄN</t>
        </is>
      </c>
      <c r="E721" t="inlineStr">
        <is>
          <t>VÄSTERVIK</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31061-2021</t>
        </is>
      </c>
      <c r="B722" s="1" t="n">
        <v>44368</v>
      </c>
      <c r="C722" s="1" t="n">
        <v>45851</v>
      </c>
      <c r="D722" t="inlineStr">
        <is>
          <t>KALMAR LÄN</t>
        </is>
      </c>
      <c r="E722" t="inlineStr">
        <is>
          <t>VÄSTERVIK</t>
        </is>
      </c>
      <c r="G722" t="n">
        <v>8.1</v>
      </c>
      <c r="H722" t="n">
        <v>0</v>
      </c>
      <c r="I722" t="n">
        <v>0</v>
      </c>
      <c r="J722" t="n">
        <v>0</v>
      </c>
      <c r="K722" t="n">
        <v>0</v>
      </c>
      <c r="L722" t="n">
        <v>0</v>
      </c>
      <c r="M722" t="n">
        <v>0</v>
      </c>
      <c r="N722" t="n">
        <v>0</v>
      </c>
      <c r="O722" t="n">
        <v>0</v>
      </c>
      <c r="P722" t="n">
        <v>0</v>
      </c>
      <c r="Q722" t="n">
        <v>0</v>
      </c>
      <c r="R722" s="2" t="inlineStr"/>
    </row>
    <row r="723" ht="15" customHeight="1">
      <c r="A723" t="inlineStr">
        <is>
          <t>A 31318-2021</t>
        </is>
      </c>
      <c r="B723" s="1" t="n">
        <v>44368</v>
      </c>
      <c r="C723" s="1" t="n">
        <v>45851</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31319-2021</t>
        </is>
      </c>
      <c r="B724" s="1" t="n">
        <v>44368</v>
      </c>
      <c r="C724" s="1" t="n">
        <v>45851</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31317-2021</t>
        </is>
      </c>
      <c r="B725" s="1" t="n">
        <v>44368</v>
      </c>
      <c r="C725" s="1" t="n">
        <v>45851</v>
      </c>
      <c r="D725" t="inlineStr">
        <is>
          <t>KALMAR LÄN</t>
        </is>
      </c>
      <c r="E725" t="inlineStr">
        <is>
          <t>VÄSTERVIK</t>
        </is>
      </c>
      <c r="G725" t="n">
        <v>2.3</v>
      </c>
      <c r="H725" t="n">
        <v>0</v>
      </c>
      <c r="I725" t="n">
        <v>0</v>
      </c>
      <c r="J725" t="n">
        <v>0</v>
      </c>
      <c r="K725" t="n">
        <v>0</v>
      </c>
      <c r="L725" t="n">
        <v>0</v>
      </c>
      <c r="M725" t="n">
        <v>0</v>
      </c>
      <c r="N725" t="n">
        <v>0</v>
      </c>
      <c r="O725" t="n">
        <v>0</v>
      </c>
      <c r="P725" t="n">
        <v>0</v>
      </c>
      <c r="Q725" t="n">
        <v>0</v>
      </c>
      <c r="R725" s="2" t="inlineStr"/>
    </row>
    <row r="726" ht="15" customHeight="1">
      <c r="A726" t="inlineStr">
        <is>
          <t>A 31479-2021</t>
        </is>
      </c>
      <c r="B726" s="1" t="n">
        <v>44369</v>
      </c>
      <c r="C726" s="1" t="n">
        <v>45851</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31558-2021</t>
        </is>
      </c>
      <c r="B727" s="1" t="n">
        <v>44369</v>
      </c>
      <c r="C727" s="1" t="n">
        <v>45851</v>
      </c>
      <c r="D727" t="inlineStr">
        <is>
          <t>KALMAR LÄN</t>
        </is>
      </c>
      <c r="E727" t="inlineStr">
        <is>
          <t>VÄSTERVIK</t>
        </is>
      </c>
      <c r="G727" t="n">
        <v>22.9</v>
      </c>
      <c r="H727" t="n">
        <v>0</v>
      </c>
      <c r="I727" t="n">
        <v>0</v>
      </c>
      <c r="J727" t="n">
        <v>0</v>
      </c>
      <c r="K727" t="n">
        <v>0</v>
      </c>
      <c r="L727" t="n">
        <v>0</v>
      </c>
      <c r="M727" t="n">
        <v>0</v>
      </c>
      <c r="N727" t="n">
        <v>0</v>
      </c>
      <c r="O727" t="n">
        <v>0</v>
      </c>
      <c r="P727" t="n">
        <v>0</v>
      </c>
      <c r="Q727" t="n">
        <v>0</v>
      </c>
      <c r="R727" s="2" t="inlineStr"/>
    </row>
    <row r="728" ht="15" customHeight="1">
      <c r="A728" t="inlineStr">
        <is>
          <t>A 31545-2021</t>
        </is>
      </c>
      <c r="B728" s="1" t="n">
        <v>44369</v>
      </c>
      <c r="C728" s="1" t="n">
        <v>45851</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31633-2021</t>
        </is>
      </c>
      <c r="B729" s="1" t="n">
        <v>44369</v>
      </c>
      <c r="C729" s="1" t="n">
        <v>45851</v>
      </c>
      <c r="D729" t="inlineStr">
        <is>
          <t>KALMAR LÄN</t>
        </is>
      </c>
      <c r="E729" t="inlineStr">
        <is>
          <t>VÄSTERVIK</t>
        </is>
      </c>
      <c r="G729" t="n">
        <v>2.1</v>
      </c>
      <c r="H729" t="n">
        <v>0</v>
      </c>
      <c r="I729" t="n">
        <v>0</v>
      </c>
      <c r="J729" t="n">
        <v>0</v>
      </c>
      <c r="K729" t="n">
        <v>0</v>
      </c>
      <c r="L729" t="n">
        <v>0</v>
      </c>
      <c r="M729" t="n">
        <v>0</v>
      </c>
      <c r="N729" t="n">
        <v>0</v>
      </c>
      <c r="O729" t="n">
        <v>0</v>
      </c>
      <c r="P729" t="n">
        <v>0</v>
      </c>
      <c r="Q729" t="n">
        <v>0</v>
      </c>
      <c r="R729" s="2" t="inlineStr"/>
    </row>
    <row r="730" ht="15" customHeight="1">
      <c r="A730" t="inlineStr">
        <is>
          <t>A 31592-2021</t>
        </is>
      </c>
      <c r="B730" s="1" t="n">
        <v>44369</v>
      </c>
      <c r="C730" s="1" t="n">
        <v>45851</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31952-2021</t>
        </is>
      </c>
      <c r="B731" s="1" t="n">
        <v>44370</v>
      </c>
      <c r="C731" s="1" t="n">
        <v>45851</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32394-2021</t>
        </is>
      </c>
      <c r="B732" s="1" t="n">
        <v>44371</v>
      </c>
      <c r="C732" s="1" t="n">
        <v>45851</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32583-2021</t>
        </is>
      </c>
      <c r="B733" s="1" t="n">
        <v>44375</v>
      </c>
      <c r="C733" s="1" t="n">
        <v>45851</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32822-2021</t>
        </is>
      </c>
      <c r="B734" s="1" t="n">
        <v>44375</v>
      </c>
      <c r="C734" s="1" t="n">
        <v>45851</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34125-2021</t>
        </is>
      </c>
      <c r="B735" s="1" t="n">
        <v>44379</v>
      </c>
      <c r="C735" s="1" t="n">
        <v>45851</v>
      </c>
      <c r="D735" t="inlineStr">
        <is>
          <t>KALMAR LÄN</t>
        </is>
      </c>
      <c r="E735" t="inlineStr">
        <is>
          <t>VÄSTERVIK</t>
        </is>
      </c>
      <c r="G735" t="n">
        <v>0.5</v>
      </c>
      <c r="H735" t="n">
        <v>0</v>
      </c>
      <c r="I735" t="n">
        <v>0</v>
      </c>
      <c r="J735" t="n">
        <v>0</v>
      </c>
      <c r="K735" t="n">
        <v>0</v>
      </c>
      <c r="L735" t="n">
        <v>0</v>
      </c>
      <c r="M735" t="n">
        <v>0</v>
      </c>
      <c r="N735" t="n">
        <v>0</v>
      </c>
      <c r="O735" t="n">
        <v>0</v>
      </c>
      <c r="P735" t="n">
        <v>0</v>
      </c>
      <c r="Q735" t="n">
        <v>0</v>
      </c>
      <c r="R735" s="2" t="inlineStr"/>
    </row>
    <row r="736" ht="15" customHeight="1">
      <c r="A736" t="inlineStr">
        <is>
          <t>A 34118-2021</t>
        </is>
      </c>
      <c r="B736" s="1" t="n">
        <v>44379</v>
      </c>
      <c r="C736" s="1" t="n">
        <v>45851</v>
      </c>
      <c r="D736" t="inlineStr">
        <is>
          <t>KALMAR LÄN</t>
        </is>
      </c>
      <c r="E736" t="inlineStr">
        <is>
          <t>VÄSTERVIK</t>
        </is>
      </c>
      <c r="G736" t="n">
        <v>0.4</v>
      </c>
      <c r="H736" t="n">
        <v>0</v>
      </c>
      <c r="I736" t="n">
        <v>0</v>
      </c>
      <c r="J736" t="n">
        <v>0</v>
      </c>
      <c r="K736" t="n">
        <v>0</v>
      </c>
      <c r="L736" t="n">
        <v>0</v>
      </c>
      <c r="M736" t="n">
        <v>0</v>
      </c>
      <c r="N736" t="n">
        <v>0</v>
      </c>
      <c r="O736" t="n">
        <v>0</v>
      </c>
      <c r="P736" t="n">
        <v>0</v>
      </c>
      <c r="Q736" t="n">
        <v>0</v>
      </c>
      <c r="R736" s="2" t="inlineStr"/>
    </row>
    <row r="737" ht="15" customHeight="1">
      <c r="A737" t="inlineStr">
        <is>
          <t>A 34493-2021</t>
        </is>
      </c>
      <c r="B737" s="1" t="n">
        <v>44382</v>
      </c>
      <c r="C737" s="1" t="n">
        <v>45851</v>
      </c>
      <c r="D737" t="inlineStr">
        <is>
          <t>KALMAR LÄN</t>
        </is>
      </c>
      <c r="E737" t="inlineStr">
        <is>
          <t>VÄSTERVIK</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34953-2021</t>
        </is>
      </c>
      <c r="B738" s="1" t="n">
        <v>44383</v>
      </c>
      <c r="C738" s="1" t="n">
        <v>45851</v>
      </c>
      <c r="D738" t="inlineStr">
        <is>
          <t>KALMAR LÄN</t>
        </is>
      </c>
      <c r="E738" t="inlineStr">
        <is>
          <t>VÄSTERVIK</t>
        </is>
      </c>
      <c r="G738" t="n">
        <v>4.4</v>
      </c>
      <c r="H738" t="n">
        <v>0</v>
      </c>
      <c r="I738" t="n">
        <v>0</v>
      </c>
      <c r="J738" t="n">
        <v>0</v>
      </c>
      <c r="K738" t="n">
        <v>0</v>
      </c>
      <c r="L738" t="n">
        <v>0</v>
      </c>
      <c r="M738" t="n">
        <v>0</v>
      </c>
      <c r="N738" t="n">
        <v>0</v>
      </c>
      <c r="O738" t="n">
        <v>0</v>
      </c>
      <c r="P738" t="n">
        <v>0</v>
      </c>
      <c r="Q738" t="n">
        <v>0</v>
      </c>
      <c r="R738" s="2" t="inlineStr"/>
    </row>
    <row r="739" ht="15" customHeight="1">
      <c r="A739" t="inlineStr">
        <is>
          <t>A 34958-2021</t>
        </is>
      </c>
      <c r="B739" s="1" t="n">
        <v>44383</v>
      </c>
      <c r="C739" s="1" t="n">
        <v>45851</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36125-2021</t>
        </is>
      </c>
      <c r="B740" s="1" t="n">
        <v>44386</v>
      </c>
      <c r="C740" s="1" t="n">
        <v>45851</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35906-2021</t>
        </is>
      </c>
      <c r="B741" s="1" t="n">
        <v>44387</v>
      </c>
      <c r="C741" s="1" t="n">
        <v>45851</v>
      </c>
      <c r="D741" t="inlineStr">
        <is>
          <t>KALMAR LÄN</t>
        </is>
      </c>
      <c r="E741" t="inlineStr">
        <is>
          <t>VÄSTERVIK</t>
        </is>
      </c>
      <c r="G741" t="n">
        <v>2.5</v>
      </c>
      <c r="H741" t="n">
        <v>0</v>
      </c>
      <c r="I741" t="n">
        <v>0</v>
      </c>
      <c r="J741" t="n">
        <v>0</v>
      </c>
      <c r="K741" t="n">
        <v>0</v>
      </c>
      <c r="L741" t="n">
        <v>0</v>
      </c>
      <c r="M741" t="n">
        <v>0</v>
      </c>
      <c r="N741" t="n">
        <v>0</v>
      </c>
      <c r="O741" t="n">
        <v>0</v>
      </c>
      <c r="P741" t="n">
        <v>0</v>
      </c>
      <c r="Q741" t="n">
        <v>0</v>
      </c>
      <c r="R741" s="2" t="inlineStr"/>
    </row>
    <row r="742" ht="15" customHeight="1">
      <c r="A742" t="inlineStr">
        <is>
          <t>A 37036-2021</t>
        </is>
      </c>
      <c r="B742" s="1" t="n">
        <v>44393</v>
      </c>
      <c r="C742" s="1" t="n">
        <v>45851</v>
      </c>
      <c r="D742" t="inlineStr">
        <is>
          <t>KALMAR LÄN</t>
        </is>
      </c>
      <c r="E742" t="inlineStr">
        <is>
          <t>VÄSTERVIK</t>
        </is>
      </c>
      <c r="G742" t="n">
        <v>16.1</v>
      </c>
      <c r="H742" t="n">
        <v>0</v>
      </c>
      <c r="I742" t="n">
        <v>0</v>
      </c>
      <c r="J742" t="n">
        <v>0</v>
      </c>
      <c r="K742" t="n">
        <v>0</v>
      </c>
      <c r="L742" t="n">
        <v>0</v>
      </c>
      <c r="M742" t="n">
        <v>0</v>
      </c>
      <c r="N742" t="n">
        <v>0</v>
      </c>
      <c r="O742" t="n">
        <v>0</v>
      </c>
      <c r="P742" t="n">
        <v>0</v>
      </c>
      <c r="Q742" t="n">
        <v>0</v>
      </c>
      <c r="R742" s="2" t="inlineStr"/>
    </row>
    <row r="743" ht="15" customHeight="1">
      <c r="A743" t="inlineStr">
        <is>
          <t>A 37033-2021</t>
        </is>
      </c>
      <c r="B743" s="1" t="n">
        <v>44393</v>
      </c>
      <c r="C743" s="1" t="n">
        <v>45851</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37441-2021</t>
        </is>
      </c>
      <c r="B744" s="1" t="n">
        <v>44398</v>
      </c>
      <c r="C744" s="1" t="n">
        <v>45851</v>
      </c>
      <c r="D744" t="inlineStr">
        <is>
          <t>KALMAR LÄN</t>
        </is>
      </c>
      <c r="E744" t="inlineStr">
        <is>
          <t>VÄSTERVIK</t>
        </is>
      </c>
      <c r="G744" t="n">
        <v>1.6</v>
      </c>
      <c r="H744" t="n">
        <v>0</v>
      </c>
      <c r="I744" t="n">
        <v>0</v>
      </c>
      <c r="J744" t="n">
        <v>0</v>
      </c>
      <c r="K744" t="n">
        <v>0</v>
      </c>
      <c r="L744" t="n">
        <v>0</v>
      </c>
      <c r="M744" t="n">
        <v>0</v>
      </c>
      <c r="N744" t="n">
        <v>0</v>
      </c>
      <c r="O744" t="n">
        <v>0</v>
      </c>
      <c r="P744" t="n">
        <v>0</v>
      </c>
      <c r="Q744" t="n">
        <v>0</v>
      </c>
      <c r="R744" s="2" t="inlineStr"/>
    </row>
    <row r="745" ht="15" customHeight="1">
      <c r="A745" t="inlineStr">
        <is>
          <t>A 37545-2021</t>
        </is>
      </c>
      <c r="B745" s="1" t="n">
        <v>44399</v>
      </c>
      <c r="C745" s="1" t="n">
        <v>45851</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37550-2021</t>
        </is>
      </c>
      <c r="B746" s="1" t="n">
        <v>44399</v>
      </c>
      <c r="C746" s="1" t="n">
        <v>45851</v>
      </c>
      <c r="D746" t="inlineStr">
        <is>
          <t>KALMAR LÄN</t>
        </is>
      </c>
      <c r="E746" t="inlineStr">
        <is>
          <t>VÄSTERVIK</t>
        </is>
      </c>
      <c r="G746" t="n">
        <v>1.7</v>
      </c>
      <c r="H746" t="n">
        <v>0</v>
      </c>
      <c r="I746" t="n">
        <v>0</v>
      </c>
      <c r="J746" t="n">
        <v>0</v>
      </c>
      <c r="K746" t="n">
        <v>0</v>
      </c>
      <c r="L746" t="n">
        <v>0</v>
      </c>
      <c r="M746" t="n">
        <v>0</v>
      </c>
      <c r="N746" t="n">
        <v>0</v>
      </c>
      <c r="O746" t="n">
        <v>0</v>
      </c>
      <c r="P746" t="n">
        <v>0</v>
      </c>
      <c r="Q746" t="n">
        <v>0</v>
      </c>
      <c r="R746" s="2" t="inlineStr"/>
    </row>
    <row r="747" ht="15" customHeight="1">
      <c r="A747" t="inlineStr">
        <is>
          <t>A 37717-2021</t>
        </is>
      </c>
      <c r="B747" s="1" t="n">
        <v>44400</v>
      </c>
      <c r="C747" s="1" t="n">
        <v>45851</v>
      </c>
      <c r="D747" t="inlineStr">
        <is>
          <t>KALMAR LÄN</t>
        </is>
      </c>
      <c r="E747" t="inlineStr">
        <is>
          <t>VÄSTERVIK</t>
        </is>
      </c>
      <c r="G747" t="n">
        <v>3.7</v>
      </c>
      <c r="H747" t="n">
        <v>0</v>
      </c>
      <c r="I747" t="n">
        <v>0</v>
      </c>
      <c r="J747" t="n">
        <v>0</v>
      </c>
      <c r="K747" t="n">
        <v>0</v>
      </c>
      <c r="L747" t="n">
        <v>0</v>
      </c>
      <c r="M747" t="n">
        <v>0</v>
      </c>
      <c r="N747" t="n">
        <v>0</v>
      </c>
      <c r="O747" t="n">
        <v>0</v>
      </c>
      <c r="P747" t="n">
        <v>0</v>
      </c>
      <c r="Q747" t="n">
        <v>0</v>
      </c>
      <c r="R747" s="2" t="inlineStr"/>
    </row>
    <row r="748" ht="15" customHeight="1">
      <c r="A748" t="inlineStr">
        <is>
          <t>A 37748-2021</t>
        </is>
      </c>
      <c r="B748" s="1" t="n">
        <v>44400</v>
      </c>
      <c r="C748" s="1" t="n">
        <v>45851</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37753-2021</t>
        </is>
      </c>
      <c r="B749" s="1" t="n">
        <v>44400</v>
      </c>
      <c r="C749" s="1" t="n">
        <v>45851</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38613-2021</t>
        </is>
      </c>
      <c r="B750" s="1" t="n">
        <v>44409</v>
      </c>
      <c r="C750" s="1" t="n">
        <v>45851</v>
      </c>
      <c r="D750" t="inlineStr">
        <is>
          <t>KALMAR LÄN</t>
        </is>
      </c>
      <c r="E750" t="inlineStr">
        <is>
          <t>VÄSTERVIK</t>
        </is>
      </c>
      <c r="G750" t="n">
        <v>7</v>
      </c>
      <c r="H750" t="n">
        <v>0</v>
      </c>
      <c r="I750" t="n">
        <v>0</v>
      </c>
      <c r="J750" t="n">
        <v>0</v>
      </c>
      <c r="K750" t="n">
        <v>0</v>
      </c>
      <c r="L750" t="n">
        <v>0</v>
      </c>
      <c r="M750" t="n">
        <v>0</v>
      </c>
      <c r="N750" t="n">
        <v>0</v>
      </c>
      <c r="O750" t="n">
        <v>0</v>
      </c>
      <c r="P750" t="n">
        <v>0</v>
      </c>
      <c r="Q750" t="n">
        <v>0</v>
      </c>
      <c r="R750" s="2" t="inlineStr"/>
    </row>
    <row r="751" ht="15" customHeight="1">
      <c r="A751" t="inlineStr">
        <is>
          <t>A 42052-2021</t>
        </is>
      </c>
      <c r="B751" s="1" t="n">
        <v>44426</v>
      </c>
      <c r="C751" s="1" t="n">
        <v>45851</v>
      </c>
      <c r="D751" t="inlineStr">
        <is>
          <t>KALMAR LÄN</t>
        </is>
      </c>
      <c r="E751" t="inlineStr">
        <is>
          <t>VÄSTERVIK</t>
        </is>
      </c>
      <c r="G751" t="n">
        <v>0.6</v>
      </c>
      <c r="H751" t="n">
        <v>0</v>
      </c>
      <c r="I751" t="n">
        <v>0</v>
      </c>
      <c r="J751" t="n">
        <v>0</v>
      </c>
      <c r="K751" t="n">
        <v>0</v>
      </c>
      <c r="L751" t="n">
        <v>0</v>
      </c>
      <c r="M751" t="n">
        <v>0</v>
      </c>
      <c r="N751" t="n">
        <v>0</v>
      </c>
      <c r="O751" t="n">
        <v>0</v>
      </c>
      <c r="P751" t="n">
        <v>0</v>
      </c>
      <c r="Q751" t="n">
        <v>0</v>
      </c>
      <c r="R751" s="2" t="inlineStr"/>
    </row>
    <row r="752" ht="15" customHeight="1">
      <c r="A752" t="inlineStr">
        <is>
          <t>A 42112-2021</t>
        </is>
      </c>
      <c r="B752" s="1" t="n">
        <v>44426</v>
      </c>
      <c r="C752" s="1" t="n">
        <v>45851</v>
      </c>
      <c r="D752" t="inlineStr">
        <is>
          <t>KALMAR LÄN</t>
        </is>
      </c>
      <c r="E752" t="inlineStr">
        <is>
          <t>VÄSTERVIK</t>
        </is>
      </c>
      <c r="G752" t="n">
        <v>2.6</v>
      </c>
      <c r="H752" t="n">
        <v>0</v>
      </c>
      <c r="I752" t="n">
        <v>0</v>
      </c>
      <c r="J752" t="n">
        <v>0</v>
      </c>
      <c r="K752" t="n">
        <v>0</v>
      </c>
      <c r="L752" t="n">
        <v>0</v>
      </c>
      <c r="M752" t="n">
        <v>0</v>
      </c>
      <c r="N752" t="n">
        <v>0</v>
      </c>
      <c r="O752" t="n">
        <v>0</v>
      </c>
      <c r="P752" t="n">
        <v>0</v>
      </c>
      <c r="Q752" t="n">
        <v>0</v>
      </c>
      <c r="R752" s="2" t="inlineStr"/>
    </row>
    <row r="753" ht="15" customHeight="1">
      <c r="A753" t="inlineStr">
        <is>
          <t>A 42131-2021</t>
        </is>
      </c>
      <c r="B753" s="1" t="n">
        <v>44426</v>
      </c>
      <c r="C753" s="1" t="n">
        <v>45851</v>
      </c>
      <c r="D753" t="inlineStr">
        <is>
          <t>KALMAR LÄN</t>
        </is>
      </c>
      <c r="E753" t="inlineStr">
        <is>
          <t>VÄSTERVIK</t>
        </is>
      </c>
      <c r="G753" t="n">
        <v>2.3</v>
      </c>
      <c r="H753" t="n">
        <v>0</v>
      </c>
      <c r="I753" t="n">
        <v>0</v>
      </c>
      <c r="J753" t="n">
        <v>0</v>
      </c>
      <c r="K753" t="n">
        <v>0</v>
      </c>
      <c r="L753" t="n">
        <v>0</v>
      </c>
      <c r="M753" t="n">
        <v>0</v>
      </c>
      <c r="N753" t="n">
        <v>0</v>
      </c>
      <c r="O753" t="n">
        <v>0</v>
      </c>
      <c r="P753" t="n">
        <v>0</v>
      </c>
      <c r="Q753" t="n">
        <v>0</v>
      </c>
      <c r="R753" s="2" t="inlineStr"/>
    </row>
    <row r="754" ht="15" customHeight="1">
      <c r="A754" t="inlineStr">
        <is>
          <t>A 42150-2021</t>
        </is>
      </c>
      <c r="B754" s="1" t="n">
        <v>44426</v>
      </c>
      <c r="C754" s="1" t="n">
        <v>45851</v>
      </c>
      <c r="D754" t="inlineStr">
        <is>
          <t>KALMAR LÄN</t>
        </is>
      </c>
      <c r="E754" t="inlineStr">
        <is>
          <t>VÄSTERVIK</t>
        </is>
      </c>
      <c r="G754" t="n">
        <v>0.3</v>
      </c>
      <c r="H754" t="n">
        <v>0</v>
      </c>
      <c r="I754" t="n">
        <v>0</v>
      </c>
      <c r="J754" t="n">
        <v>0</v>
      </c>
      <c r="K754" t="n">
        <v>0</v>
      </c>
      <c r="L754" t="n">
        <v>0</v>
      </c>
      <c r="M754" t="n">
        <v>0</v>
      </c>
      <c r="N754" t="n">
        <v>0</v>
      </c>
      <c r="O754" t="n">
        <v>0</v>
      </c>
      <c r="P754" t="n">
        <v>0</v>
      </c>
      <c r="Q754" t="n">
        <v>0</v>
      </c>
      <c r="R754" s="2" t="inlineStr"/>
    </row>
    <row r="755" ht="15" customHeight="1">
      <c r="A755" t="inlineStr">
        <is>
          <t>A 42137-2021</t>
        </is>
      </c>
      <c r="B755" s="1" t="n">
        <v>44426</v>
      </c>
      <c r="C755" s="1" t="n">
        <v>45851</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42164-2021</t>
        </is>
      </c>
      <c r="B756" s="1" t="n">
        <v>44426</v>
      </c>
      <c r="C756" s="1" t="n">
        <v>45851</v>
      </c>
      <c r="D756" t="inlineStr">
        <is>
          <t>KALMAR LÄN</t>
        </is>
      </c>
      <c r="E756" t="inlineStr">
        <is>
          <t>VÄSTERVIK</t>
        </is>
      </c>
      <c r="G756" t="n">
        <v>5.5</v>
      </c>
      <c r="H756" t="n">
        <v>0</v>
      </c>
      <c r="I756" t="n">
        <v>0</v>
      </c>
      <c r="J756" t="n">
        <v>0</v>
      </c>
      <c r="K756" t="n">
        <v>0</v>
      </c>
      <c r="L756" t="n">
        <v>0</v>
      </c>
      <c r="M756" t="n">
        <v>0</v>
      </c>
      <c r="N756" t="n">
        <v>0</v>
      </c>
      <c r="O756" t="n">
        <v>0</v>
      </c>
      <c r="P756" t="n">
        <v>0</v>
      </c>
      <c r="Q756" t="n">
        <v>0</v>
      </c>
      <c r="R756" s="2" t="inlineStr"/>
      <c r="U756">
        <f>HYPERLINK("https://klasma.github.io/Logging_0883/knärot/A 42164-2021 karta knärot.png", "A 42164-2021")</f>
        <v/>
      </c>
      <c r="V756">
        <f>HYPERLINK("https://klasma.github.io/Logging_0883/klagomål/A 42164-2021 FSC-klagomål.docx", "A 42164-2021")</f>
        <v/>
      </c>
      <c r="W756">
        <f>HYPERLINK("https://klasma.github.io/Logging_0883/klagomålsmail/A 42164-2021 FSC-klagomål mail.docx", "A 42164-2021")</f>
        <v/>
      </c>
      <c r="X756">
        <f>HYPERLINK("https://klasma.github.io/Logging_0883/tillsyn/A 42164-2021 tillsynsbegäran.docx", "A 42164-2021")</f>
        <v/>
      </c>
      <c r="Y756">
        <f>HYPERLINK("https://klasma.github.io/Logging_0883/tillsynsmail/A 42164-2021 tillsynsbegäran mail.docx", "A 42164-2021")</f>
        <v/>
      </c>
    </row>
    <row r="757" ht="15" customHeight="1">
      <c r="A757" t="inlineStr">
        <is>
          <t>A 42353-2021</t>
        </is>
      </c>
      <c r="B757" s="1" t="n">
        <v>44427</v>
      </c>
      <c r="C757" s="1" t="n">
        <v>45851</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43759-2021</t>
        </is>
      </c>
      <c r="B758" s="1" t="n">
        <v>44433</v>
      </c>
      <c r="C758" s="1" t="n">
        <v>45851</v>
      </c>
      <c r="D758" t="inlineStr">
        <is>
          <t>KALMAR LÄN</t>
        </is>
      </c>
      <c r="E758" t="inlineStr">
        <is>
          <t>VÄSTERVIK</t>
        </is>
      </c>
      <c r="G758" t="n">
        <v>0.4</v>
      </c>
      <c r="H758" t="n">
        <v>0</v>
      </c>
      <c r="I758" t="n">
        <v>0</v>
      </c>
      <c r="J758" t="n">
        <v>0</v>
      </c>
      <c r="K758" t="n">
        <v>0</v>
      </c>
      <c r="L758" t="n">
        <v>0</v>
      </c>
      <c r="M758" t="n">
        <v>0</v>
      </c>
      <c r="N758" t="n">
        <v>0</v>
      </c>
      <c r="O758" t="n">
        <v>0</v>
      </c>
      <c r="P758" t="n">
        <v>0</v>
      </c>
      <c r="Q758" t="n">
        <v>0</v>
      </c>
      <c r="R758" s="2" t="inlineStr"/>
    </row>
    <row r="759" ht="15" customHeight="1">
      <c r="A759" t="inlineStr">
        <is>
          <t>A 43828-2021</t>
        </is>
      </c>
      <c r="B759" s="1" t="n">
        <v>44433</v>
      </c>
      <c r="C759" s="1" t="n">
        <v>45851</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43805-2021</t>
        </is>
      </c>
      <c r="B760" s="1" t="n">
        <v>44433</v>
      </c>
      <c r="C760" s="1" t="n">
        <v>45851</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43810-2021</t>
        </is>
      </c>
      <c r="B761" s="1" t="n">
        <v>44433</v>
      </c>
      <c r="C761" s="1" t="n">
        <v>45851</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43826-2021</t>
        </is>
      </c>
      <c r="B762" s="1" t="n">
        <v>44433</v>
      </c>
      <c r="C762" s="1" t="n">
        <v>45851</v>
      </c>
      <c r="D762" t="inlineStr">
        <is>
          <t>KALMAR LÄN</t>
        </is>
      </c>
      <c r="E762" t="inlineStr">
        <is>
          <t>VÄSTERVIK</t>
        </is>
      </c>
      <c r="G762" t="n">
        <v>4.2</v>
      </c>
      <c r="H762" t="n">
        <v>0</v>
      </c>
      <c r="I762" t="n">
        <v>0</v>
      </c>
      <c r="J762" t="n">
        <v>0</v>
      </c>
      <c r="K762" t="n">
        <v>0</v>
      </c>
      <c r="L762" t="n">
        <v>0</v>
      </c>
      <c r="M762" t="n">
        <v>0</v>
      </c>
      <c r="N762" t="n">
        <v>0</v>
      </c>
      <c r="O762" t="n">
        <v>0</v>
      </c>
      <c r="P762" t="n">
        <v>0</v>
      </c>
      <c r="Q762" t="n">
        <v>0</v>
      </c>
      <c r="R762" s="2" t="inlineStr"/>
    </row>
    <row r="763" ht="15" customHeight="1">
      <c r="A763" t="inlineStr">
        <is>
          <t>A 43803-2021</t>
        </is>
      </c>
      <c r="B763" s="1" t="n">
        <v>44433</v>
      </c>
      <c r="C763" s="1" t="n">
        <v>45851</v>
      </c>
      <c r="D763" t="inlineStr">
        <is>
          <t>KALMAR LÄN</t>
        </is>
      </c>
      <c r="E763" t="inlineStr">
        <is>
          <t>VÄSTERVIK</t>
        </is>
      </c>
      <c r="G763" t="n">
        <v>4.2</v>
      </c>
      <c r="H763" t="n">
        <v>0</v>
      </c>
      <c r="I763" t="n">
        <v>0</v>
      </c>
      <c r="J763" t="n">
        <v>0</v>
      </c>
      <c r="K763" t="n">
        <v>0</v>
      </c>
      <c r="L763" t="n">
        <v>0</v>
      </c>
      <c r="M763" t="n">
        <v>0</v>
      </c>
      <c r="N763" t="n">
        <v>0</v>
      </c>
      <c r="O763" t="n">
        <v>0</v>
      </c>
      <c r="P763" t="n">
        <v>0</v>
      </c>
      <c r="Q763" t="n">
        <v>0</v>
      </c>
      <c r="R763" s="2" t="inlineStr"/>
    </row>
    <row r="764" ht="15" customHeight="1">
      <c r="A764" t="inlineStr">
        <is>
          <t>A 43802-2021</t>
        </is>
      </c>
      <c r="B764" s="1" t="n">
        <v>44433</v>
      </c>
      <c r="C764" s="1" t="n">
        <v>45851</v>
      </c>
      <c r="D764" t="inlineStr">
        <is>
          <t>KALMAR LÄN</t>
        </is>
      </c>
      <c r="E764" t="inlineStr">
        <is>
          <t>VÄSTERVIK</t>
        </is>
      </c>
      <c r="G764" t="n">
        <v>6</v>
      </c>
      <c r="H764" t="n">
        <v>0</v>
      </c>
      <c r="I764" t="n">
        <v>0</v>
      </c>
      <c r="J764" t="n">
        <v>0</v>
      </c>
      <c r="K764" t="n">
        <v>0</v>
      </c>
      <c r="L764" t="n">
        <v>0</v>
      </c>
      <c r="M764" t="n">
        <v>0</v>
      </c>
      <c r="N764" t="n">
        <v>0</v>
      </c>
      <c r="O764" t="n">
        <v>0</v>
      </c>
      <c r="P764" t="n">
        <v>0</v>
      </c>
      <c r="Q764" t="n">
        <v>0</v>
      </c>
      <c r="R764" s="2" t="inlineStr"/>
    </row>
    <row r="765" ht="15" customHeight="1">
      <c r="A765" t="inlineStr">
        <is>
          <t>A 43808-2021</t>
        </is>
      </c>
      <c r="B765" s="1" t="n">
        <v>44433</v>
      </c>
      <c r="C765" s="1" t="n">
        <v>45851</v>
      </c>
      <c r="D765" t="inlineStr">
        <is>
          <t>KALMAR LÄN</t>
        </is>
      </c>
      <c r="E765" t="inlineStr">
        <is>
          <t>VÄSTERVIK</t>
        </is>
      </c>
      <c r="G765" t="n">
        <v>3.1</v>
      </c>
      <c r="H765" t="n">
        <v>0</v>
      </c>
      <c r="I765" t="n">
        <v>0</v>
      </c>
      <c r="J765" t="n">
        <v>0</v>
      </c>
      <c r="K765" t="n">
        <v>0</v>
      </c>
      <c r="L765" t="n">
        <v>0</v>
      </c>
      <c r="M765" t="n">
        <v>0</v>
      </c>
      <c r="N765" t="n">
        <v>0</v>
      </c>
      <c r="O765" t="n">
        <v>0</v>
      </c>
      <c r="P765" t="n">
        <v>0</v>
      </c>
      <c r="Q765" t="n">
        <v>0</v>
      </c>
      <c r="R765" s="2" t="inlineStr"/>
    </row>
    <row r="766" ht="15" customHeight="1">
      <c r="A766" t="inlineStr">
        <is>
          <t>A 43807-2021</t>
        </is>
      </c>
      <c r="B766" s="1" t="n">
        <v>44433</v>
      </c>
      <c r="C766" s="1" t="n">
        <v>45851</v>
      </c>
      <c r="D766" t="inlineStr">
        <is>
          <t>KALMAR LÄN</t>
        </is>
      </c>
      <c r="E766" t="inlineStr">
        <is>
          <t>VÄSTERVIK</t>
        </is>
      </c>
      <c r="G766" t="n">
        <v>3.2</v>
      </c>
      <c r="H766" t="n">
        <v>0</v>
      </c>
      <c r="I766" t="n">
        <v>0</v>
      </c>
      <c r="J766" t="n">
        <v>0</v>
      </c>
      <c r="K766" t="n">
        <v>0</v>
      </c>
      <c r="L766" t="n">
        <v>0</v>
      </c>
      <c r="M766" t="n">
        <v>0</v>
      </c>
      <c r="N766" t="n">
        <v>0</v>
      </c>
      <c r="O766" t="n">
        <v>0</v>
      </c>
      <c r="P766" t="n">
        <v>0</v>
      </c>
      <c r="Q766" t="n">
        <v>0</v>
      </c>
      <c r="R766" s="2" t="inlineStr"/>
    </row>
    <row r="767" ht="15" customHeight="1">
      <c r="A767" t="inlineStr">
        <is>
          <t>A 43953-2021</t>
        </is>
      </c>
      <c r="B767" s="1" t="n">
        <v>44434</v>
      </c>
      <c r="C767" s="1" t="n">
        <v>45851</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44454-2021</t>
        </is>
      </c>
      <c r="B768" s="1" t="n">
        <v>44435</v>
      </c>
      <c r="C768" s="1" t="n">
        <v>45851</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c r="U768">
        <f>HYPERLINK("https://klasma.github.io/Logging_0883/knärot/A 44454-2021 karta knärot.png", "A 44454-2021")</f>
        <v/>
      </c>
      <c r="V768">
        <f>HYPERLINK("https://klasma.github.io/Logging_0883/klagomål/A 44454-2021 FSC-klagomål.docx", "A 44454-2021")</f>
        <v/>
      </c>
      <c r="W768">
        <f>HYPERLINK("https://klasma.github.io/Logging_0883/klagomålsmail/A 44454-2021 FSC-klagomål mail.docx", "A 44454-2021")</f>
        <v/>
      </c>
      <c r="X768">
        <f>HYPERLINK("https://klasma.github.io/Logging_0883/tillsyn/A 44454-2021 tillsynsbegäran.docx", "A 44454-2021")</f>
        <v/>
      </c>
      <c r="Y768">
        <f>HYPERLINK("https://klasma.github.io/Logging_0883/tillsynsmail/A 44454-2021 tillsynsbegäran mail.docx", "A 44454-2021")</f>
        <v/>
      </c>
    </row>
    <row r="769" ht="15" customHeight="1">
      <c r="A769" t="inlineStr">
        <is>
          <t>A 44668-2021</t>
        </is>
      </c>
      <c r="B769" s="1" t="n">
        <v>44438</v>
      </c>
      <c r="C769" s="1" t="n">
        <v>45851</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47404-2021</t>
        </is>
      </c>
      <c r="B770" s="1" t="n">
        <v>44447</v>
      </c>
      <c r="C770" s="1" t="n">
        <v>45851</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47527-2021</t>
        </is>
      </c>
      <c r="B771" s="1" t="n">
        <v>44447</v>
      </c>
      <c r="C771" s="1" t="n">
        <v>45851</v>
      </c>
      <c r="D771" t="inlineStr">
        <is>
          <t>KALMAR LÄN</t>
        </is>
      </c>
      <c r="E771" t="inlineStr">
        <is>
          <t>VÄSTERVIK</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47525-2021</t>
        </is>
      </c>
      <c r="B772" s="1" t="n">
        <v>44447</v>
      </c>
      <c r="C772" s="1" t="n">
        <v>45851</v>
      </c>
      <c r="D772" t="inlineStr">
        <is>
          <t>KALMAR LÄN</t>
        </is>
      </c>
      <c r="E772" t="inlineStr">
        <is>
          <t>VÄSTERVIK</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47530-2021</t>
        </is>
      </c>
      <c r="B773" s="1" t="n">
        <v>44447</v>
      </c>
      <c r="C773" s="1" t="n">
        <v>45851</v>
      </c>
      <c r="D773" t="inlineStr">
        <is>
          <t>KALMAR LÄN</t>
        </is>
      </c>
      <c r="E773" t="inlineStr">
        <is>
          <t>VÄSTERVIK</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48021-2021</t>
        </is>
      </c>
      <c r="B774" s="1" t="n">
        <v>44449</v>
      </c>
      <c r="C774" s="1" t="n">
        <v>45851</v>
      </c>
      <c r="D774" t="inlineStr">
        <is>
          <t>KALMAR LÄN</t>
        </is>
      </c>
      <c r="E774" t="inlineStr">
        <is>
          <t>VÄSTERVIK</t>
        </is>
      </c>
      <c r="G774" t="n">
        <v>1.5</v>
      </c>
      <c r="H774" t="n">
        <v>0</v>
      </c>
      <c r="I774" t="n">
        <v>0</v>
      </c>
      <c r="J774" t="n">
        <v>0</v>
      </c>
      <c r="K774" t="n">
        <v>0</v>
      </c>
      <c r="L774" t="n">
        <v>0</v>
      </c>
      <c r="M774" t="n">
        <v>0</v>
      </c>
      <c r="N774" t="n">
        <v>0</v>
      </c>
      <c r="O774" t="n">
        <v>0</v>
      </c>
      <c r="P774" t="n">
        <v>0</v>
      </c>
      <c r="Q774" t="n">
        <v>0</v>
      </c>
      <c r="R774" s="2" t="inlineStr"/>
    </row>
    <row r="775" ht="15" customHeight="1">
      <c r="A775" t="inlineStr">
        <is>
          <t>A 48018-2021</t>
        </is>
      </c>
      <c r="B775" s="1" t="n">
        <v>44449</v>
      </c>
      <c r="C775" s="1" t="n">
        <v>45851</v>
      </c>
      <c r="D775" t="inlineStr">
        <is>
          <t>KALMAR LÄN</t>
        </is>
      </c>
      <c r="E775" t="inlineStr">
        <is>
          <t>VÄSTERVIK</t>
        </is>
      </c>
      <c r="G775" t="n">
        <v>1.3</v>
      </c>
      <c r="H775" t="n">
        <v>0</v>
      </c>
      <c r="I775" t="n">
        <v>0</v>
      </c>
      <c r="J775" t="n">
        <v>0</v>
      </c>
      <c r="K775" t="n">
        <v>0</v>
      </c>
      <c r="L775" t="n">
        <v>0</v>
      </c>
      <c r="M775" t="n">
        <v>0</v>
      </c>
      <c r="N775" t="n">
        <v>0</v>
      </c>
      <c r="O775" t="n">
        <v>0</v>
      </c>
      <c r="P775" t="n">
        <v>0</v>
      </c>
      <c r="Q775" t="n">
        <v>0</v>
      </c>
      <c r="R775" s="2" t="inlineStr"/>
    </row>
    <row r="776" ht="15" customHeight="1">
      <c r="A776" t="inlineStr">
        <is>
          <t>A 48041-2021</t>
        </is>
      </c>
      <c r="B776" s="1" t="n">
        <v>44449</v>
      </c>
      <c r="C776" s="1" t="n">
        <v>45851</v>
      </c>
      <c r="D776" t="inlineStr">
        <is>
          <t>KALMAR LÄN</t>
        </is>
      </c>
      <c r="E776" t="inlineStr">
        <is>
          <t>VÄSTERVIK</t>
        </is>
      </c>
      <c r="G776" t="n">
        <v>2.6</v>
      </c>
      <c r="H776" t="n">
        <v>0</v>
      </c>
      <c r="I776" t="n">
        <v>0</v>
      </c>
      <c r="J776" t="n">
        <v>0</v>
      </c>
      <c r="K776" t="n">
        <v>0</v>
      </c>
      <c r="L776" t="n">
        <v>0</v>
      </c>
      <c r="M776" t="n">
        <v>0</v>
      </c>
      <c r="N776" t="n">
        <v>0</v>
      </c>
      <c r="O776" t="n">
        <v>0</v>
      </c>
      <c r="P776" t="n">
        <v>0</v>
      </c>
      <c r="Q776" t="n">
        <v>0</v>
      </c>
      <c r="R776" s="2" t="inlineStr"/>
    </row>
    <row r="777" ht="15" customHeight="1">
      <c r="A777" t="inlineStr">
        <is>
          <t>A 48254-2021</t>
        </is>
      </c>
      <c r="B777" s="1" t="n">
        <v>44449</v>
      </c>
      <c r="C777" s="1" t="n">
        <v>45851</v>
      </c>
      <c r="D777" t="inlineStr">
        <is>
          <t>KALMAR LÄN</t>
        </is>
      </c>
      <c r="E777" t="inlineStr">
        <is>
          <t>VÄSTERVIK</t>
        </is>
      </c>
      <c r="F777" t="inlineStr">
        <is>
          <t>Kyrkan</t>
        </is>
      </c>
      <c r="G777" t="n">
        <v>2.7</v>
      </c>
      <c r="H777" t="n">
        <v>0</v>
      </c>
      <c r="I777" t="n">
        <v>0</v>
      </c>
      <c r="J777" t="n">
        <v>0</v>
      </c>
      <c r="K777" t="n">
        <v>0</v>
      </c>
      <c r="L777" t="n">
        <v>0</v>
      </c>
      <c r="M777" t="n">
        <v>0</v>
      </c>
      <c r="N777" t="n">
        <v>0</v>
      </c>
      <c r="O777" t="n">
        <v>0</v>
      </c>
      <c r="P777" t="n">
        <v>0</v>
      </c>
      <c r="Q777" t="n">
        <v>0</v>
      </c>
      <c r="R777" s="2" t="inlineStr"/>
    </row>
    <row r="778" ht="15" customHeight="1">
      <c r="A778" t="inlineStr">
        <is>
          <t>A 49402-2021</t>
        </is>
      </c>
      <c r="B778" s="1" t="n">
        <v>44454</v>
      </c>
      <c r="C778" s="1" t="n">
        <v>45851</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49407-2021</t>
        </is>
      </c>
      <c r="B779" s="1" t="n">
        <v>44454</v>
      </c>
      <c r="C779" s="1" t="n">
        <v>45851</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49398-2021</t>
        </is>
      </c>
      <c r="B780" s="1" t="n">
        <v>44454</v>
      </c>
      <c r="C780" s="1" t="n">
        <v>45851</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49404-2021</t>
        </is>
      </c>
      <c r="B781" s="1" t="n">
        <v>44454</v>
      </c>
      <c r="C781" s="1" t="n">
        <v>45851</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50977-2021</t>
        </is>
      </c>
      <c r="B782" s="1" t="n">
        <v>44460</v>
      </c>
      <c r="C782" s="1" t="n">
        <v>45851</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51504-2021</t>
        </is>
      </c>
      <c r="B783" s="1" t="n">
        <v>44461</v>
      </c>
      <c r="C783" s="1" t="n">
        <v>45851</v>
      </c>
      <c r="D783" t="inlineStr">
        <is>
          <t>KALMAR LÄN</t>
        </is>
      </c>
      <c r="E783" t="inlineStr">
        <is>
          <t>VÄSTERVIK</t>
        </is>
      </c>
      <c r="G783" t="n">
        <v>6.4</v>
      </c>
      <c r="H783" t="n">
        <v>0</v>
      </c>
      <c r="I783" t="n">
        <v>0</v>
      </c>
      <c r="J783" t="n">
        <v>0</v>
      </c>
      <c r="K783" t="n">
        <v>0</v>
      </c>
      <c r="L783" t="n">
        <v>0</v>
      </c>
      <c r="M783" t="n">
        <v>0</v>
      </c>
      <c r="N783" t="n">
        <v>0</v>
      </c>
      <c r="O783" t="n">
        <v>0</v>
      </c>
      <c r="P783" t="n">
        <v>0</v>
      </c>
      <c r="Q783" t="n">
        <v>0</v>
      </c>
      <c r="R783" s="2" t="inlineStr"/>
    </row>
    <row r="784" ht="15" customHeight="1">
      <c r="A784" t="inlineStr">
        <is>
          <t>A 51883-2021</t>
        </is>
      </c>
      <c r="B784" s="1" t="n">
        <v>44462</v>
      </c>
      <c r="C784" s="1" t="n">
        <v>45851</v>
      </c>
      <c r="D784" t="inlineStr">
        <is>
          <t>KALMAR LÄN</t>
        </is>
      </c>
      <c r="E784" t="inlineStr">
        <is>
          <t>VÄSTERVIK</t>
        </is>
      </c>
      <c r="G784" t="n">
        <v>1.7</v>
      </c>
      <c r="H784" t="n">
        <v>0</v>
      </c>
      <c r="I784" t="n">
        <v>0</v>
      </c>
      <c r="J784" t="n">
        <v>0</v>
      </c>
      <c r="K784" t="n">
        <v>0</v>
      </c>
      <c r="L784" t="n">
        <v>0</v>
      </c>
      <c r="M784" t="n">
        <v>0</v>
      </c>
      <c r="N784" t="n">
        <v>0</v>
      </c>
      <c r="O784" t="n">
        <v>0</v>
      </c>
      <c r="P784" t="n">
        <v>0</v>
      </c>
      <c r="Q784" t="n">
        <v>0</v>
      </c>
      <c r="R784" s="2" t="inlineStr"/>
    </row>
    <row r="785" ht="15" customHeight="1">
      <c r="A785" t="inlineStr">
        <is>
          <t>A 51884-2021</t>
        </is>
      </c>
      <c r="B785" s="1" t="n">
        <v>44462</v>
      </c>
      <c r="C785" s="1" t="n">
        <v>45851</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52155-2021</t>
        </is>
      </c>
      <c r="B786" s="1" t="n">
        <v>44463</v>
      </c>
      <c r="C786" s="1" t="n">
        <v>45851</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52645-2021</t>
        </is>
      </c>
      <c r="B787" s="1" t="n">
        <v>44466</v>
      </c>
      <c r="C787" s="1" t="n">
        <v>45851</v>
      </c>
      <c r="D787" t="inlineStr">
        <is>
          <t>KALMAR LÄN</t>
        </is>
      </c>
      <c r="E787" t="inlineStr">
        <is>
          <t>VÄSTERVIK</t>
        </is>
      </c>
      <c r="G787" t="n">
        <v>5</v>
      </c>
      <c r="H787" t="n">
        <v>0</v>
      </c>
      <c r="I787" t="n">
        <v>0</v>
      </c>
      <c r="J787" t="n">
        <v>0</v>
      </c>
      <c r="K787" t="n">
        <v>0</v>
      </c>
      <c r="L787" t="n">
        <v>0</v>
      </c>
      <c r="M787" t="n">
        <v>0</v>
      </c>
      <c r="N787" t="n">
        <v>0</v>
      </c>
      <c r="O787" t="n">
        <v>0</v>
      </c>
      <c r="P787" t="n">
        <v>0</v>
      </c>
      <c r="Q787" t="n">
        <v>0</v>
      </c>
      <c r="R787" s="2" t="inlineStr"/>
    </row>
    <row r="788" ht="15" customHeight="1">
      <c r="A788" t="inlineStr">
        <is>
          <t>A 53259-2021</t>
        </is>
      </c>
      <c r="B788" s="1" t="n">
        <v>44468</v>
      </c>
      <c r="C788" s="1" t="n">
        <v>45851</v>
      </c>
      <c r="D788" t="inlineStr">
        <is>
          <t>KALMAR LÄN</t>
        </is>
      </c>
      <c r="E788" t="inlineStr">
        <is>
          <t>VÄSTERVIK</t>
        </is>
      </c>
      <c r="G788" t="n">
        <v>2.8</v>
      </c>
      <c r="H788" t="n">
        <v>0</v>
      </c>
      <c r="I788" t="n">
        <v>0</v>
      </c>
      <c r="J788" t="n">
        <v>0</v>
      </c>
      <c r="K788" t="n">
        <v>0</v>
      </c>
      <c r="L788" t="n">
        <v>0</v>
      </c>
      <c r="M788" t="n">
        <v>0</v>
      </c>
      <c r="N788" t="n">
        <v>0</v>
      </c>
      <c r="O788" t="n">
        <v>0</v>
      </c>
      <c r="P788" t="n">
        <v>0</v>
      </c>
      <c r="Q788" t="n">
        <v>0</v>
      </c>
      <c r="R788" s="2" t="inlineStr"/>
    </row>
    <row r="789" ht="15" customHeight="1">
      <c r="A789" t="inlineStr">
        <is>
          <t>A 53254-2021</t>
        </is>
      </c>
      <c r="B789" s="1" t="n">
        <v>44468</v>
      </c>
      <c r="C789" s="1" t="n">
        <v>45851</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53913-2021</t>
        </is>
      </c>
      <c r="B790" s="1" t="n">
        <v>44469</v>
      </c>
      <c r="C790" s="1" t="n">
        <v>45851</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55008-2021</t>
        </is>
      </c>
      <c r="B791" s="1" t="n">
        <v>44474</v>
      </c>
      <c r="C791" s="1" t="n">
        <v>45851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55023-2021</t>
        </is>
      </c>
      <c r="B792" s="1" t="n">
        <v>44474</v>
      </c>
      <c r="C792" s="1" t="n">
        <v>45851</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56617-2021</t>
        </is>
      </c>
      <c r="B793" s="1" t="n">
        <v>44480</v>
      </c>
      <c r="C793" s="1" t="n">
        <v>45851</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row>
    <row r="794" ht="15" customHeight="1">
      <c r="A794" t="inlineStr">
        <is>
          <t>A 56620-2021</t>
        </is>
      </c>
      <c r="B794" s="1" t="n">
        <v>44480</v>
      </c>
      <c r="C794" s="1" t="n">
        <v>45851</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56619-2021</t>
        </is>
      </c>
      <c r="B795" s="1" t="n">
        <v>44480</v>
      </c>
      <c r="C795" s="1" t="n">
        <v>45851</v>
      </c>
      <c r="D795" t="inlineStr">
        <is>
          <t>KALMAR LÄN</t>
        </is>
      </c>
      <c r="E795" t="inlineStr">
        <is>
          <t>VÄSTERVIK</t>
        </is>
      </c>
      <c r="G795" t="n">
        <v>1.8</v>
      </c>
      <c r="H795" t="n">
        <v>0</v>
      </c>
      <c r="I795" t="n">
        <v>0</v>
      </c>
      <c r="J795" t="n">
        <v>0</v>
      </c>
      <c r="K795" t="n">
        <v>0</v>
      </c>
      <c r="L795" t="n">
        <v>0</v>
      </c>
      <c r="M795" t="n">
        <v>0</v>
      </c>
      <c r="N795" t="n">
        <v>0</v>
      </c>
      <c r="O795" t="n">
        <v>0</v>
      </c>
      <c r="P795" t="n">
        <v>0</v>
      </c>
      <c r="Q795" t="n">
        <v>0</v>
      </c>
      <c r="R795" s="2" t="inlineStr"/>
    </row>
    <row r="796" ht="15" customHeight="1">
      <c r="A796" t="inlineStr">
        <is>
          <t>A 57804-2021</t>
        </is>
      </c>
      <c r="B796" s="1" t="n">
        <v>44484</v>
      </c>
      <c r="C796" s="1" t="n">
        <v>45851</v>
      </c>
      <c r="D796" t="inlineStr">
        <is>
          <t>KALMAR LÄN</t>
        </is>
      </c>
      <c r="E796" t="inlineStr">
        <is>
          <t>VÄSTERVIK</t>
        </is>
      </c>
      <c r="G796" t="n">
        <v>1.6</v>
      </c>
      <c r="H796" t="n">
        <v>0</v>
      </c>
      <c r="I796" t="n">
        <v>0</v>
      </c>
      <c r="J796" t="n">
        <v>0</v>
      </c>
      <c r="K796" t="n">
        <v>0</v>
      </c>
      <c r="L796" t="n">
        <v>0</v>
      </c>
      <c r="M796" t="n">
        <v>0</v>
      </c>
      <c r="N796" t="n">
        <v>0</v>
      </c>
      <c r="O796" t="n">
        <v>0</v>
      </c>
      <c r="P796" t="n">
        <v>0</v>
      </c>
      <c r="Q796" t="n">
        <v>0</v>
      </c>
      <c r="R796" s="2" t="inlineStr"/>
    </row>
    <row r="797" ht="15" customHeight="1">
      <c r="A797" t="inlineStr">
        <is>
          <t>A 57808-2021</t>
        </is>
      </c>
      <c r="B797" s="1" t="n">
        <v>44484</v>
      </c>
      <c r="C797" s="1" t="n">
        <v>45851</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57983-2021</t>
        </is>
      </c>
      <c r="B798" s="1" t="n">
        <v>44487</v>
      </c>
      <c r="C798" s="1" t="n">
        <v>45851</v>
      </c>
      <c r="D798" t="inlineStr">
        <is>
          <t>KALMAR LÄN</t>
        </is>
      </c>
      <c r="E798" t="inlineStr">
        <is>
          <t>VÄSTERVIK</t>
        </is>
      </c>
      <c r="G798" t="n">
        <v>4.4</v>
      </c>
      <c r="H798" t="n">
        <v>0</v>
      </c>
      <c r="I798" t="n">
        <v>0</v>
      </c>
      <c r="J798" t="n">
        <v>0</v>
      </c>
      <c r="K798" t="n">
        <v>0</v>
      </c>
      <c r="L798" t="n">
        <v>0</v>
      </c>
      <c r="M798" t="n">
        <v>0</v>
      </c>
      <c r="N798" t="n">
        <v>0</v>
      </c>
      <c r="O798" t="n">
        <v>0</v>
      </c>
      <c r="P798" t="n">
        <v>0</v>
      </c>
      <c r="Q798" t="n">
        <v>0</v>
      </c>
      <c r="R798" s="2" t="inlineStr"/>
    </row>
    <row r="799" ht="15" customHeight="1">
      <c r="A799" t="inlineStr">
        <is>
          <t>A 57928-2021</t>
        </is>
      </c>
      <c r="B799" s="1" t="n">
        <v>44487</v>
      </c>
      <c r="C799" s="1" t="n">
        <v>45851</v>
      </c>
      <c r="D799" t="inlineStr">
        <is>
          <t>KALMAR LÄN</t>
        </is>
      </c>
      <c r="E799" t="inlineStr">
        <is>
          <t>VÄSTERVIK</t>
        </is>
      </c>
      <c r="G799" t="n">
        <v>0.7</v>
      </c>
      <c r="H799" t="n">
        <v>0</v>
      </c>
      <c r="I799" t="n">
        <v>0</v>
      </c>
      <c r="J799" t="n">
        <v>0</v>
      </c>
      <c r="K799" t="n">
        <v>0</v>
      </c>
      <c r="L799" t="n">
        <v>0</v>
      </c>
      <c r="M799" t="n">
        <v>0</v>
      </c>
      <c r="N799" t="n">
        <v>0</v>
      </c>
      <c r="O799" t="n">
        <v>0</v>
      </c>
      <c r="P799" t="n">
        <v>0</v>
      </c>
      <c r="Q799" t="n">
        <v>0</v>
      </c>
      <c r="R799" s="2" t="inlineStr"/>
    </row>
    <row r="800" ht="15" customHeight="1">
      <c r="A800" t="inlineStr">
        <is>
          <t>A 57937-2021</t>
        </is>
      </c>
      <c r="B800" s="1" t="n">
        <v>44487</v>
      </c>
      <c r="C800" s="1" t="n">
        <v>45851</v>
      </c>
      <c r="D800" t="inlineStr">
        <is>
          <t>KALMAR LÄN</t>
        </is>
      </c>
      <c r="E800" t="inlineStr">
        <is>
          <t>VÄSTERVIK</t>
        </is>
      </c>
      <c r="G800" t="n">
        <v>1.8</v>
      </c>
      <c r="H800" t="n">
        <v>0</v>
      </c>
      <c r="I800" t="n">
        <v>0</v>
      </c>
      <c r="J800" t="n">
        <v>0</v>
      </c>
      <c r="K800" t="n">
        <v>0</v>
      </c>
      <c r="L800" t="n">
        <v>0</v>
      </c>
      <c r="M800" t="n">
        <v>0</v>
      </c>
      <c r="N800" t="n">
        <v>0</v>
      </c>
      <c r="O800" t="n">
        <v>0</v>
      </c>
      <c r="P800" t="n">
        <v>0</v>
      </c>
      <c r="Q800" t="n">
        <v>0</v>
      </c>
      <c r="R800" s="2" t="inlineStr"/>
    </row>
    <row r="801" ht="15" customHeight="1">
      <c r="A801" t="inlineStr">
        <is>
          <t>A 58090-2021</t>
        </is>
      </c>
      <c r="B801" s="1" t="n">
        <v>44487</v>
      </c>
      <c r="C801" s="1" t="n">
        <v>45851</v>
      </c>
      <c r="D801" t="inlineStr">
        <is>
          <t>KALMAR LÄN</t>
        </is>
      </c>
      <c r="E801" t="inlineStr">
        <is>
          <t>VÄSTERVIK</t>
        </is>
      </c>
      <c r="G801" t="n">
        <v>2.9</v>
      </c>
      <c r="H801" t="n">
        <v>0</v>
      </c>
      <c r="I801" t="n">
        <v>0</v>
      </c>
      <c r="J801" t="n">
        <v>0</v>
      </c>
      <c r="K801" t="n">
        <v>0</v>
      </c>
      <c r="L801" t="n">
        <v>0</v>
      </c>
      <c r="M801" t="n">
        <v>0</v>
      </c>
      <c r="N801" t="n">
        <v>0</v>
      </c>
      <c r="O801" t="n">
        <v>0</v>
      </c>
      <c r="P801" t="n">
        <v>0</v>
      </c>
      <c r="Q801" t="n">
        <v>0</v>
      </c>
      <c r="R801" s="2" t="inlineStr"/>
    </row>
    <row r="802" ht="15" customHeight="1">
      <c r="A802" t="inlineStr">
        <is>
          <t>A 58555-2021</t>
        </is>
      </c>
      <c r="B802" s="1" t="n">
        <v>44488</v>
      </c>
      <c r="C802" s="1" t="n">
        <v>45851</v>
      </c>
      <c r="D802" t="inlineStr">
        <is>
          <t>KALMAR LÄN</t>
        </is>
      </c>
      <c r="E802" t="inlineStr">
        <is>
          <t>VÄSTERVIK</t>
        </is>
      </c>
      <c r="G802" t="n">
        <v>2.2</v>
      </c>
      <c r="H802" t="n">
        <v>0</v>
      </c>
      <c r="I802" t="n">
        <v>0</v>
      </c>
      <c r="J802" t="n">
        <v>0</v>
      </c>
      <c r="K802" t="n">
        <v>0</v>
      </c>
      <c r="L802" t="n">
        <v>0</v>
      </c>
      <c r="M802" t="n">
        <v>0</v>
      </c>
      <c r="N802" t="n">
        <v>0</v>
      </c>
      <c r="O802" t="n">
        <v>0</v>
      </c>
      <c r="P802" t="n">
        <v>0</v>
      </c>
      <c r="Q802" t="n">
        <v>0</v>
      </c>
      <c r="R802" s="2" t="inlineStr"/>
    </row>
    <row r="803" ht="15" customHeight="1">
      <c r="A803" t="inlineStr">
        <is>
          <t>A 61317-2021</t>
        </is>
      </c>
      <c r="B803" s="1" t="n">
        <v>44498</v>
      </c>
      <c r="C803" s="1" t="n">
        <v>45851</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61584-2021</t>
        </is>
      </c>
      <c r="B804" s="1" t="n">
        <v>44501</v>
      </c>
      <c r="C804" s="1" t="n">
        <v>45851</v>
      </c>
      <c r="D804" t="inlineStr">
        <is>
          <t>KALMAR LÄN</t>
        </is>
      </c>
      <c r="E804" t="inlineStr">
        <is>
          <t>VÄSTERVIK</t>
        </is>
      </c>
      <c r="G804" t="n">
        <v>3.3</v>
      </c>
      <c r="H804" t="n">
        <v>0</v>
      </c>
      <c r="I804" t="n">
        <v>0</v>
      </c>
      <c r="J804" t="n">
        <v>0</v>
      </c>
      <c r="K804" t="n">
        <v>0</v>
      </c>
      <c r="L804" t="n">
        <v>0</v>
      </c>
      <c r="M804" t="n">
        <v>0</v>
      </c>
      <c r="N804" t="n">
        <v>0</v>
      </c>
      <c r="O804" t="n">
        <v>0</v>
      </c>
      <c r="P804" t="n">
        <v>0</v>
      </c>
      <c r="Q804" t="n">
        <v>0</v>
      </c>
      <c r="R804" s="2" t="inlineStr"/>
    </row>
    <row r="805" ht="15" customHeight="1">
      <c r="A805" t="inlineStr">
        <is>
          <t>A 62930-2021</t>
        </is>
      </c>
      <c r="B805" s="1" t="n">
        <v>44504</v>
      </c>
      <c r="C805" s="1" t="n">
        <v>45851</v>
      </c>
      <c r="D805" t="inlineStr">
        <is>
          <t>KALMAR LÄN</t>
        </is>
      </c>
      <c r="E805" t="inlineStr">
        <is>
          <t>VÄSTERVIK</t>
        </is>
      </c>
      <c r="G805" t="n">
        <v>1.3</v>
      </c>
      <c r="H805" t="n">
        <v>0</v>
      </c>
      <c r="I805" t="n">
        <v>0</v>
      </c>
      <c r="J805" t="n">
        <v>0</v>
      </c>
      <c r="K805" t="n">
        <v>0</v>
      </c>
      <c r="L805" t="n">
        <v>0</v>
      </c>
      <c r="M805" t="n">
        <v>0</v>
      </c>
      <c r="N805" t="n">
        <v>0</v>
      </c>
      <c r="O805" t="n">
        <v>0</v>
      </c>
      <c r="P805" t="n">
        <v>0</v>
      </c>
      <c r="Q805" t="n">
        <v>0</v>
      </c>
      <c r="R805" s="2" t="inlineStr"/>
    </row>
    <row r="806" ht="15" customHeight="1">
      <c r="A806" t="inlineStr">
        <is>
          <t>A 63812-2021</t>
        </is>
      </c>
      <c r="B806" s="1" t="n">
        <v>44509</v>
      </c>
      <c r="C806" s="1" t="n">
        <v>45851</v>
      </c>
      <c r="D806" t="inlineStr">
        <is>
          <t>KALMAR LÄN</t>
        </is>
      </c>
      <c r="E806" t="inlineStr">
        <is>
          <t>VÄSTERVIK</t>
        </is>
      </c>
      <c r="G806" t="n">
        <v>2.1</v>
      </c>
      <c r="H806" t="n">
        <v>0</v>
      </c>
      <c r="I806" t="n">
        <v>0</v>
      </c>
      <c r="J806" t="n">
        <v>0</v>
      </c>
      <c r="K806" t="n">
        <v>0</v>
      </c>
      <c r="L806" t="n">
        <v>0</v>
      </c>
      <c r="M806" t="n">
        <v>0</v>
      </c>
      <c r="N806" t="n">
        <v>0</v>
      </c>
      <c r="O806" t="n">
        <v>0</v>
      </c>
      <c r="P806" t="n">
        <v>0</v>
      </c>
      <c r="Q806" t="n">
        <v>0</v>
      </c>
      <c r="R806" s="2" t="inlineStr"/>
    </row>
    <row r="807" ht="15" customHeight="1">
      <c r="A807" t="inlineStr">
        <is>
          <t>A 64497-2021</t>
        </is>
      </c>
      <c r="B807" s="1" t="n">
        <v>44511</v>
      </c>
      <c r="C807" s="1" t="n">
        <v>45851</v>
      </c>
      <c r="D807" t="inlineStr">
        <is>
          <t>KALMAR LÄN</t>
        </is>
      </c>
      <c r="E807" t="inlineStr">
        <is>
          <t>VÄSTERVIK</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64558-2021</t>
        </is>
      </c>
      <c r="B808" s="1" t="n">
        <v>44511</v>
      </c>
      <c r="C808" s="1" t="n">
        <v>45851</v>
      </c>
      <c r="D808" t="inlineStr">
        <is>
          <t>KALMAR LÄN</t>
        </is>
      </c>
      <c r="E808" t="inlineStr">
        <is>
          <t>VÄSTERVIK</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64822-2021</t>
        </is>
      </c>
      <c r="B809" s="1" t="n">
        <v>44512</v>
      </c>
      <c r="C809" s="1" t="n">
        <v>45851</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64920-2021</t>
        </is>
      </c>
      <c r="B810" s="1" t="n">
        <v>44512</v>
      </c>
      <c r="C810" s="1" t="n">
        <v>45851</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c r="U810">
        <f>HYPERLINK("https://klasma.github.io/Logging_0883/knärot/A 64920-2021 karta knärot.png", "A 64920-2021")</f>
        <v/>
      </c>
      <c r="V810">
        <f>HYPERLINK("https://klasma.github.io/Logging_0883/klagomål/A 64920-2021 FSC-klagomål.docx", "A 64920-2021")</f>
        <v/>
      </c>
      <c r="W810">
        <f>HYPERLINK("https://klasma.github.io/Logging_0883/klagomålsmail/A 64920-2021 FSC-klagomål mail.docx", "A 64920-2021")</f>
        <v/>
      </c>
      <c r="X810">
        <f>HYPERLINK("https://klasma.github.io/Logging_0883/tillsyn/A 64920-2021 tillsynsbegäran.docx", "A 64920-2021")</f>
        <v/>
      </c>
      <c r="Y810">
        <f>HYPERLINK("https://klasma.github.io/Logging_0883/tillsynsmail/A 64920-2021 tillsynsbegäran mail.docx", "A 64920-2021")</f>
        <v/>
      </c>
    </row>
    <row r="811" ht="15" customHeight="1">
      <c r="A811" t="inlineStr">
        <is>
          <t>A 65408-2021</t>
        </is>
      </c>
      <c r="B811" s="1" t="n">
        <v>44515</v>
      </c>
      <c r="C811" s="1" t="n">
        <v>45851</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68920-2021</t>
        </is>
      </c>
      <c r="B812" s="1" t="n">
        <v>44530</v>
      </c>
      <c r="C812" s="1" t="n">
        <v>45851</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69328-2021</t>
        </is>
      </c>
      <c r="B813" s="1" t="n">
        <v>44531</v>
      </c>
      <c r="C813" s="1" t="n">
        <v>45851</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69702-2021</t>
        </is>
      </c>
      <c r="B814" s="1" t="n">
        <v>44532</v>
      </c>
      <c r="C814" s="1" t="n">
        <v>45851</v>
      </c>
      <c r="D814" t="inlineStr">
        <is>
          <t>KALMAR LÄN</t>
        </is>
      </c>
      <c r="E814" t="inlineStr">
        <is>
          <t>VÄSTERVIK</t>
        </is>
      </c>
      <c r="G814" t="n">
        <v>4.4</v>
      </c>
      <c r="H814" t="n">
        <v>0</v>
      </c>
      <c r="I814" t="n">
        <v>0</v>
      </c>
      <c r="J814" t="n">
        <v>0</v>
      </c>
      <c r="K814" t="n">
        <v>0</v>
      </c>
      <c r="L814" t="n">
        <v>0</v>
      </c>
      <c r="M814" t="n">
        <v>0</v>
      </c>
      <c r="N814" t="n">
        <v>0</v>
      </c>
      <c r="O814" t="n">
        <v>0</v>
      </c>
      <c r="P814" t="n">
        <v>0</v>
      </c>
      <c r="Q814" t="n">
        <v>0</v>
      </c>
      <c r="R814" s="2" t="inlineStr"/>
    </row>
    <row r="815" ht="15" customHeight="1">
      <c r="A815" t="inlineStr">
        <is>
          <t>A 69750-2021</t>
        </is>
      </c>
      <c r="B815" s="1" t="n">
        <v>44532</v>
      </c>
      <c r="C815" s="1" t="n">
        <v>45851</v>
      </c>
      <c r="D815" t="inlineStr">
        <is>
          <t>KALMAR LÄN</t>
        </is>
      </c>
      <c r="E815" t="inlineStr">
        <is>
          <t>VÄSTERVIK</t>
        </is>
      </c>
      <c r="G815" t="n">
        <v>3.1</v>
      </c>
      <c r="H815" t="n">
        <v>0</v>
      </c>
      <c r="I815" t="n">
        <v>0</v>
      </c>
      <c r="J815" t="n">
        <v>0</v>
      </c>
      <c r="K815" t="n">
        <v>0</v>
      </c>
      <c r="L815" t="n">
        <v>0</v>
      </c>
      <c r="M815" t="n">
        <v>0</v>
      </c>
      <c r="N815" t="n">
        <v>0</v>
      </c>
      <c r="O815" t="n">
        <v>0</v>
      </c>
      <c r="P815" t="n">
        <v>0</v>
      </c>
      <c r="Q815" t="n">
        <v>0</v>
      </c>
      <c r="R815" s="2" t="inlineStr"/>
    </row>
    <row r="816" ht="15" customHeight="1">
      <c r="A816" t="inlineStr">
        <is>
          <t>A 69753-2021</t>
        </is>
      </c>
      <c r="B816" s="1" t="n">
        <v>44532</v>
      </c>
      <c r="C816" s="1" t="n">
        <v>45851</v>
      </c>
      <c r="D816" t="inlineStr">
        <is>
          <t>KALMAR LÄN</t>
        </is>
      </c>
      <c r="E816" t="inlineStr">
        <is>
          <t>VÄSTERVIK</t>
        </is>
      </c>
      <c r="G816" t="n">
        <v>3.2</v>
      </c>
      <c r="H816" t="n">
        <v>0</v>
      </c>
      <c r="I816" t="n">
        <v>0</v>
      </c>
      <c r="J816" t="n">
        <v>0</v>
      </c>
      <c r="K816" t="n">
        <v>0</v>
      </c>
      <c r="L816" t="n">
        <v>0</v>
      </c>
      <c r="M816" t="n">
        <v>0</v>
      </c>
      <c r="N816" t="n">
        <v>0</v>
      </c>
      <c r="O816" t="n">
        <v>0</v>
      </c>
      <c r="P816" t="n">
        <v>0</v>
      </c>
      <c r="Q816" t="n">
        <v>0</v>
      </c>
      <c r="R816" s="2" t="inlineStr"/>
    </row>
    <row r="817" ht="15" customHeight="1">
      <c r="A817" t="inlineStr">
        <is>
          <t>A 71114-2021</t>
        </is>
      </c>
      <c r="B817" s="1" t="n">
        <v>44539</v>
      </c>
      <c r="C817" s="1" t="n">
        <v>45851</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72378-2021</t>
        </is>
      </c>
      <c r="B818" s="1" t="n">
        <v>44545</v>
      </c>
      <c r="C818" s="1" t="n">
        <v>45851</v>
      </c>
      <c r="D818" t="inlineStr">
        <is>
          <t>KALMAR LÄN</t>
        </is>
      </c>
      <c r="E818" t="inlineStr">
        <is>
          <t>VÄSTERVIK</t>
        </is>
      </c>
      <c r="G818" t="n">
        <v>4.4</v>
      </c>
      <c r="H818" t="n">
        <v>0</v>
      </c>
      <c r="I818" t="n">
        <v>0</v>
      </c>
      <c r="J818" t="n">
        <v>0</v>
      </c>
      <c r="K818" t="n">
        <v>0</v>
      </c>
      <c r="L818" t="n">
        <v>0</v>
      </c>
      <c r="M818" t="n">
        <v>0</v>
      </c>
      <c r="N818" t="n">
        <v>0</v>
      </c>
      <c r="O818" t="n">
        <v>0</v>
      </c>
      <c r="P818" t="n">
        <v>0</v>
      </c>
      <c r="Q818" t="n">
        <v>0</v>
      </c>
      <c r="R818" s="2" t="inlineStr"/>
    </row>
    <row r="819" ht="15" customHeight="1">
      <c r="A819" t="inlineStr">
        <is>
          <t>A 72733-2021</t>
        </is>
      </c>
      <c r="B819" s="1" t="n">
        <v>44546</v>
      </c>
      <c r="C819" s="1" t="n">
        <v>45851</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73640-2021</t>
        </is>
      </c>
      <c r="B820" s="1" t="n">
        <v>44552</v>
      </c>
      <c r="C820" s="1" t="n">
        <v>45851</v>
      </c>
      <c r="D820" t="inlineStr">
        <is>
          <t>KALMAR LÄN</t>
        </is>
      </c>
      <c r="E820" t="inlineStr">
        <is>
          <t>VÄSTERVIK</t>
        </is>
      </c>
      <c r="G820" t="n">
        <v>1.9</v>
      </c>
      <c r="H820" t="n">
        <v>0</v>
      </c>
      <c r="I820" t="n">
        <v>0</v>
      </c>
      <c r="J820" t="n">
        <v>0</v>
      </c>
      <c r="K820" t="n">
        <v>0</v>
      </c>
      <c r="L820" t="n">
        <v>0</v>
      </c>
      <c r="M820" t="n">
        <v>0</v>
      </c>
      <c r="N820" t="n">
        <v>0</v>
      </c>
      <c r="O820" t="n">
        <v>0</v>
      </c>
      <c r="P820" t="n">
        <v>0</v>
      </c>
      <c r="Q820" t="n">
        <v>0</v>
      </c>
      <c r="R820" s="2" t="inlineStr"/>
    </row>
    <row r="821" ht="15" customHeight="1">
      <c r="A821" t="inlineStr">
        <is>
          <t>A 73638-2021</t>
        </is>
      </c>
      <c r="B821" s="1" t="n">
        <v>44552</v>
      </c>
      <c r="C821" s="1" t="n">
        <v>45851</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166-2022</t>
        </is>
      </c>
      <c r="B822" s="1" t="n">
        <v>44564</v>
      </c>
      <c r="C822" s="1" t="n">
        <v>45851</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174-2022</t>
        </is>
      </c>
      <c r="B823" s="1" t="n">
        <v>44564</v>
      </c>
      <c r="C823" s="1" t="n">
        <v>45851</v>
      </c>
      <c r="D823" t="inlineStr">
        <is>
          <t>KALMAR LÄN</t>
        </is>
      </c>
      <c r="E823" t="inlineStr">
        <is>
          <t>VÄSTERVIK</t>
        </is>
      </c>
      <c r="G823" t="n">
        <v>1.9</v>
      </c>
      <c r="H823" t="n">
        <v>0</v>
      </c>
      <c r="I823" t="n">
        <v>0</v>
      </c>
      <c r="J823" t="n">
        <v>0</v>
      </c>
      <c r="K823" t="n">
        <v>0</v>
      </c>
      <c r="L823" t="n">
        <v>0</v>
      </c>
      <c r="M823" t="n">
        <v>0</v>
      </c>
      <c r="N823" t="n">
        <v>0</v>
      </c>
      <c r="O823" t="n">
        <v>0</v>
      </c>
      <c r="P823" t="n">
        <v>0</v>
      </c>
      <c r="Q823" t="n">
        <v>0</v>
      </c>
      <c r="R823" s="2" t="inlineStr"/>
    </row>
    <row r="824" ht="15" customHeight="1">
      <c r="A824" t="inlineStr">
        <is>
          <t>A 170-2022</t>
        </is>
      </c>
      <c r="B824" s="1" t="n">
        <v>44564</v>
      </c>
      <c r="C824" s="1" t="n">
        <v>45851</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358-2022</t>
        </is>
      </c>
      <c r="B825" s="1" t="n">
        <v>44565</v>
      </c>
      <c r="C825" s="1" t="n">
        <v>45851</v>
      </c>
      <c r="D825" t="inlineStr">
        <is>
          <t>KALMAR LÄN</t>
        </is>
      </c>
      <c r="E825" t="inlineStr">
        <is>
          <t>VÄSTERVIK</t>
        </is>
      </c>
      <c r="G825" t="n">
        <v>1</v>
      </c>
      <c r="H825" t="n">
        <v>0</v>
      </c>
      <c r="I825" t="n">
        <v>0</v>
      </c>
      <c r="J825" t="n">
        <v>0</v>
      </c>
      <c r="K825" t="n">
        <v>0</v>
      </c>
      <c r="L825" t="n">
        <v>0</v>
      </c>
      <c r="M825" t="n">
        <v>0</v>
      </c>
      <c r="N825" t="n">
        <v>0</v>
      </c>
      <c r="O825" t="n">
        <v>0</v>
      </c>
      <c r="P825" t="n">
        <v>0</v>
      </c>
      <c r="Q825" t="n">
        <v>0</v>
      </c>
      <c r="R825" s="2" t="inlineStr"/>
    </row>
    <row r="826" ht="15" customHeight="1">
      <c r="A826" t="inlineStr">
        <is>
          <t>A 320-2022</t>
        </is>
      </c>
      <c r="B826" s="1" t="n">
        <v>44565</v>
      </c>
      <c r="C826" s="1" t="n">
        <v>45851</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360-2022</t>
        </is>
      </c>
      <c r="B827" s="1" t="n">
        <v>44565</v>
      </c>
      <c r="C827" s="1" t="n">
        <v>45851</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959-2022</t>
        </is>
      </c>
      <c r="B828" s="1" t="n">
        <v>44571</v>
      </c>
      <c r="C828" s="1" t="n">
        <v>45851</v>
      </c>
      <c r="D828" t="inlineStr">
        <is>
          <t>KALMAR LÄN</t>
        </is>
      </c>
      <c r="E828" t="inlineStr">
        <is>
          <t>VÄSTERVIK</t>
        </is>
      </c>
      <c r="G828" t="n">
        <v>2.5</v>
      </c>
      <c r="H828" t="n">
        <v>0</v>
      </c>
      <c r="I828" t="n">
        <v>0</v>
      </c>
      <c r="J828" t="n">
        <v>0</v>
      </c>
      <c r="K828" t="n">
        <v>0</v>
      </c>
      <c r="L828" t="n">
        <v>0</v>
      </c>
      <c r="M828" t="n">
        <v>0</v>
      </c>
      <c r="N828" t="n">
        <v>0</v>
      </c>
      <c r="O828" t="n">
        <v>0</v>
      </c>
      <c r="P828" t="n">
        <v>0</v>
      </c>
      <c r="Q828" t="n">
        <v>0</v>
      </c>
      <c r="R828" s="2" t="inlineStr"/>
    </row>
    <row r="829" ht="15" customHeight="1">
      <c r="A829" t="inlineStr">
        <is>
          <t>A 1585-2022</t>
        </is>
      </c>
      <c r="B829" s="1" t="n">
        <v>44573</v>
      </c>
      <c r="C829" s="1" t="n">
        <v>45851</v>
      </c>
      <c r="D829" t="inlineStr">
        <is>
          <t>KALMAR LÄN</t>
        </is>
      </c>
      <c r="E829" t="inlineStr">
        <is>
          <t>VÄSTERVIK</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1843-2022</t>
        </is>
      </c>
      <c r="B830" s="1" t="n">
        <v>44574</v>
      </c>
      <c r="C830" s="1" t="n">
        <v>45851</v>
      </c>
      <c r="D830" t="inlineStr">
        <is>
          <t>KALMAR LÄN</t>
        </is>
      </c>
      <c r="E830" t="inlineStr">
        <is>
          <t>VÄSTERVIK</t>
        </is>
      </c>
      <c r="G830" t="n">
        <v>1.2</v>
      </c>
      <c r="H830" t="n">
        <v>0</v>
      </c>
      <c r="I830" t="n">
        <v>0</v>
      </c>
      <c r="J830" t="n">
        <v>0</v>
      </c>
      <c r="K830" t="n">
        <v>0</v>
      </c>
      <c r="L830" t="n">
        <v>0</v>
      </c>
      <c r="M830" t="n">
        <v>0</v>
      </c>
      <c r="N830" t="n">
        <v>0</v>
      </c>
      <c r="O830" t="n">
        <v>0</v>
      </c>
      <c r="P830" t="n">
        <v>0</v>
      </c>
      <c r="Q830" t="n">
        <v>0</v>
      </c>
      <c r="R830" s="2" t="inlineStr"/>
    </row>
    <row r="831" ht="15" customHeight="1">
      <c r="A831" t="inlineStr">
        <is>
          <t>A 3145-2022</t>
        </is>
      </c>
      <c r="B831" s="1" t="n">
        <v>44582</v>
      </c>
      <c r="C831" s="1" t="n">
        <v>45851</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3718-2022</t>
        </is>
      </c>
      <c r="B832" s="1" t="n">
        <v>44586</v>
      </c>
      <c r="C832" s="1" t="n">
        <v>45851</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4463-2022</t>
        </is>
      </c>
      <c r="B833" s="1" t="n">
        <v>44589</v>
      </c>
      <c r="C833" s="1" t="n">
        <v>45851</v>
      </c>
      <c r="D833" t="inlineStr">
        <is>
          <t>KALMAR LÄN</t>
        </is>
      </c>
      <c r="E833" t="inlineStr">
        <is>
          <t>VÄSTERVIK</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4490-2022</t>
        </is>
      </c>
      <c r="B834" s="1" t="n">
        <v>44589</v>
      </c>
      <c r="C834" s="1" t="n">
        <v>45851</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4812-2022</t>
        </is>
      </c>
      <c r="B835" s="1" t="n">
        <v>44592</v>
      </c>
      <c r="C835" s="1" t="n">
        <v>45851</v>
      </c>
      <c r="D835" t="inlineStr">
        <is>
          <t>KALMAR LÄN</t>
        </is>
      </c>
      <c r="E835" t="inlineStr">
        <is>
          <t>VÄSTERVIK</t>
        </is>
      </c>
      <c r="G835" t="n">
        <v>3.2</v>
      </c>
      <c r="H835" t="n">
        <v>0</v>
      </c>
      <c r="I835" t="n">
        <v>0</v>
      </c>
      <c r="J835" t="n">
        <v>0</v>
      </c>
      <c r="K835" t="n">
        <v>0</v>
      </c>
      <c r="L835" t="n">
        <v>0</v>
      </c>
      <c r="M835" t="n">
        <v>0</v>
      </c>
      <c r="N835" t="n">
        <v>0</v>
      </c>
      <c r="O835" t="n">
        <v>0</v>
      </c>
      <c r="P835" t="n">
        <v>0</v>
      </c>
      <c r="Q835" t="n">
        <v>0</v>
      </c>
      <c r="R835" s="2" t="inlineStr"/>
    </row>
    <row r="836" ht="15" customHeight="1">
      <c r="A836" t="inlineStr">
        <is>
          <t>A 5450-2022</t>
        </is>
      </c>
      <c r="B836" s="1" t="n">
        <v>44595</v>
      </c>
      <c r="C836" s="1" t="n">
        <v>45851</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5551-2022</t>
        </is>
      </c>
      <c r="B837" s="1" t="n">
        <v>44595</v>
      </c>
      <c r="C837" s="1" t="n">
        <v>45851</v>
      </c>
      <c r="D837" t="inlineStr">
        <is>
          <t>KALMAR LÄN</t>
        </is>
      </c>
      <c r="E837" t="inlineStr">
        <is>
          <t>VÄSTERVIK</t>
        </is>
      </c>
      <c r="G837" t="n">
        <v>2.1</v>
      </c>
      <c r="H837" t="n">
        <v>0</v>
      </c>
      <c r="I837" t="n">
        <v>0</v>
      </c>
      <c r="J837" t="n">
        <v>0</v>
      </c>
      <c r="K837" t="n">
        <v>0</v>
      </c>
      <c r="L837" t="n">
        <v>0</v>
      </c>
      <c r="M837" t="n">
        <v>0</v>
      </c>
      <c r="N837" t="n">
        <v>0</v>
      </c>
      <c r="O837" t="n">
        <v>0</v>
      </c>
      <c r="P837" t="n">
        <v>0</v>
      </c>
      <c r="Q837" t="n">
        <v>0</v>
      </c>
      <c r="R837" s="2" t="inlineStr"/>
    </row>
    <row r="838" ht="15" customHeight="1">
      <c r="A838" t="inlineStr">
        <is>
          <t>A 5761-2022</t>
        </is>
      </c>
      <c r="B838" s="1" t="n">
        <v>44596</v>
      </c>
      <c r="C838" s="1" t="n">
        <v>45851</v>
      </c>
      <c r="D838" t="inlineStr">
        <is>
          <t>KALMAR LÄN</t>
        </is>
      </c>
      <c r="E838" t="inlineStr">
        <is>
          <t>VÄSTERVIK</t>
        </is>
      </c>
      <c r="G838" t="n">
        <v>4.5</v>
      </c>
      <c r="H838" t="n">
        <v>0</v>
      </c>
      <c r="I838" t="n">
        <v>0</v>
      </c>
      <c r="J838" t="n">
        <v>0</v>
      </c>
      <c r="K838" t="n">
        <v>0</v>
      </c>
      <c r="L838" t="n">
        <v>0</v>
      </c>
      <c r="M838" t="n">
        <v>0</v>
      </c>
      <c r="N838" t="n">
        <v>0</v>
      </c>
      <c r="O838" t="n">
        <v>0</v>
      </c>
      <c r="P838" t="n">
        <v>0</v>
      </c>
      <c r="Q838" t="n">
        <v>0</v>
      </c>
      <c r="R838" s="2" t="inlineStr"/>
    </row>
    <row r="839" ht="15" customHeight="1">
      <c r="A839" t="inlineStr">
        <is>
          <t>A 7580-2022</t>
        </is>
      </c>
      <c r="B839" s="1" t="n">
        <v>44607</v>
      </c>
      <c r="C839" s="1" t="n">
        <v>45851</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7826-2022</t>
        </is>
      </c>
      <c r="B840" s="1" t="n">
        <v>44608</v>
      </c>
      <c r="C840" s="1" t="n">
        <v>45851</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8355-2022</t>
        </is>
      </c>
      <c r="B841" s="1" t="n">
        <v>44610</v>
      </c>
      <c r="C841" s="1" t="n">
        <v>45851</v>
      </c>
      <c r="D841" t="inlineStr">
        <is>
          <t>KALMAR LÄN</t>
        </is>
      </c>
      <c r="E841" t="inlineStr">
        <is>
          <t>VÄSTERVIK</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9025-2022</t>
        </is>
      </c>
      <c r="B842" s="1" t="n">
        <v>44615</v>
      </c>
      <c r="C842" s="1" t="n">
        <v>45851</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9605-2022</t>
        </is>
      </c>
      <c r="B843" s="1" t="n">
        <v>44617</v>
      </c>
      <c r="C843" s="1" t="n">
        <v>45851</v>
      </c>
      <c r="D843" t="inlineStr">
        <is>
          <t>KALMAR LÄN</t>
        </is>
      </c>
      <c r="E843" t="inlineStr">
        <is>
          <t>VÄSTERVIK</t>
        </is>
      </c>
      <c r="F843" t="inlineStr">
        <is>
          <t>Holmen skog AB</t>
        </is>
      </c>
      <c r="G843" t="n">
        <v>4.5</v>
      </c>
      <c r="H843" t="n">
        <v>0</v>
      </c>
      <c r="I843" t="n">
        <v>0</v>
      </c>
      <c r="J843" t="n">
        <v>0</v>
      </c>
      <c r="K843" t="n">
        <v>0</v>
      </c>
      <c r="L843" t="n">
        <v>0</v>
      </c>
      <c r="M843" t="n">
        <v>0</v>
      </c>
      <c r="N843" t="n">
        <v>0</v>
      </c>
      <c r="O843" t="n">
        <v>0</v>
      </c>
      <c r="P843" t="n">
        <v>0</v>
      </c>
      <c r="Q843" t="n">
        <v>0</v>
      </c>
      <c r="R843" s="2" t="inlineStr"/>
      <c r="U843">
        <f>HYPERLINK("https://klasma.github.io/Logging_0883/knärot/A 9605-2022 karta knärot.png", "A 9605-2022")</f>
        <v/>
      </c>
      <c r="V843">
        <f>HYPERLINK("https://klasma.github.io/Logging_0883/klagomål/A 9605-2022 FSC-klagomål.docx", "A 9605-2022")</f>
        <v/>
      </c>
      <c r="W843">
        <f>HYPERLINK("https://klasma.github.io/Logging_0883/klagomålsmail/A 9605-2022 FSC-klagomål mail.docx", "A 9605-2022")</f>
        <v/>
      </c>
      <c r="X843">
        <f>HYPERLINK("https://klasma.github.io/Logging_0883/tillsyn/A 9605-2022 tillsynsbegäran.docx", "A 9605-2022")</f>
        <v/>
      </c>
      <c r="Y843">
        <f>HYPERLINK("https://klasma.github.io/Logging_0883/tillsynsmail/A 9605-2022 tillsynsbegäran mail.docx", "A 9605-2022")</f>
        <v/>
      </c>
    </row>
    <row r="844" ht="15" customHeight="1">
      <c r="A844" t="inlineStr">
        <is>
          <t>A 10071-2022</t>
        </is>
      </c>
      <c r="B844" s="1" t="n">
        <v>44621</v>
      </c>
      <c r="C844" s="1" t="n">
        <v>45851</v>
      </c>
      <c r="D844" t="inlineStr">
        <is>
          <t>KALMAR LÄN</t>
        </is>
      </c>
      <c r="E844" t="inlineStr">
        <is>
          <t>VÄSTERVIK</t>
        </is>
      </c>
      <c r="G844" t="n">
        <v>2</v>
      </c>
      <c r="H844" t="n">
        <v>0</v>
      </c>
      <c r="I844" t="n">
        <v>0</v>
      </c>
      <c r="J844" t="n">
        <v>0</v>
      </c>
      <c r="K844" t="n">
        <v>0</v>
      </c>
      <c r="L844" t="n">
        <v>0</v>
      </c>
      <c r="M844" t="n">
        <v>0</v>
      </c>
      <c r="N844" t="n">
        <v>0</v>
      </c>
      <c r="O844" t="n">
        <v>0</v>
      </c>
      <c r="P844" t="n">
        <v>0</v>
      </c>
      <c r="Q844" t="n">
        <v>0</v>
      </c>
      <c r="R844" s="2" t="inlineStr"/>
    </row>
    <row r="845" ht="15" customHeight="1">
      <c r="A845" t="inlineStr">
        <is>
          <t>A 10119-2022</t>
        </is>
      </c>
      <c r="B845" s="1" t="n">
        <v>44621</v>
      </c>
      <c r="C845" s="1" t="n">
        <v>45851</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10117-2022</t>
        </is>
      </c>
      <c r="B846" s="1" t="n">
        <v>44621</v>
      </c>
      <c r="C846" s="1" t="n">
        <v>45851</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10116-2022</t>
        </is>
      </c>
      <c r="B847" s="1" t="n">
        <v>44621</v>
      </c>
      <c r="C847" s="1" t="n">
        <v>45851</v>
      </c>
      <c r="D847" t="inlineStr">
        <is>
          <t>KALMAR LÄN</t>
        </is>
      </c>
      <c r="E847" t="inlineStr">
        <is>
          <t>VÄSTERVIK</t>
        </is>
      </c>
      <c r="G847" t="n">
        <v>1.6</v>
      </c>
      <c r="H847" t="n">
        <v>0</v>
      </c>
      <c r="I847" t="n">
        <v>0</v>
      </c>
      <c r="J847" t="n">
        <v>0</v>
      </c>
      <c r="K847" t="n">
        <v>0</v>
      </c>
      <c r="L847" t="n">
        <v>0</v>
      </c>
      <c r="M847" t="n">
        <v>0</v>
      </c>
      <c r="N847" t="n">
        <v>0</v>
      </c>
      <c r="O847" t="n">
        <v>0</v>
      </c>
      <c r="P847" t="n">
        <v>0</v>
      </c>
      <c r="Q847" t="n">
        <v>0</v>
      </c>
      <c r="R847" s="2" t="inlineStr"/>
    </row>
    <row r="848" ht="15" customHeight="1">
      <c r="A848" t="inlineStr">
        <is>
          <t>A 10406-2022</t>
        </is>
      </c>
      <c r="B848" s="1" t="n">
        <v>44623</v>
      </c>
      <c r="C848" s="1" t="n">
        <v>45851</v>
      </c>
      <c r="D848" t="inlineStr">
        <is>
          <t>KALMAR LÄN</t>
        </is>
      </c>
      <c r="E848" t="inlineStr">
        <is>
          <t>VÄSTERVIK</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10441-2022</t>
        </is>
      </c>
      <c r="B849" s="1" t="n">
        <v>44623</v>
      </c>
      <c r="C849" s="1" t="n">
        <v>45851</v>
      </c>
      <c r="D849" t="inlineStr">
        <is>
          <t>KALMAR LÄN</t>
        </is>
      </c>
      <c r="E849" t="inlineStr">
        <is>
          <t>VÄSTERVIK</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10452-2022</t>
        </is>
      </c>
      <c r="B850" s="1" t="n">
        <v>44623</v>
      </c>
      <c r="C850" s="1" t="n">
        <v>45851</v>
      </c>
      <c r="D850" t="inlineStr">
        <is>
          <t>KALMAR LÄN</t>
        </is>
      </c>
      <c r="E850" t="inlineStr">
        <is>
          <t>VÄSTERVIK</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11988-2022</t>
        </is>
      </c>
      <c r="B851" s="1" t="n">
        <v>44635</v>
      </c>
      <c r="C851" s="1" t="n">
        <v>45851</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12652-2022</t>
        </is>
      </c>
      <c r="B852" s="1" t="n">
        <v>44641</v>
      </c>
      <c r="C852" s="1" t="n">
        <v>45851</v>
      </c>
      <c r="D852" t="inlineStr">
        <is>
          <t>KALMAR LÄN</t>
        </is>
      </c>
      <c r="E852" t="inlineStr">
        <is>
          <t>VÄSTERVIK</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13023-2022</t>
        </is>
      </c>
      <c r="B853" s="1" t="n">
        <v>44643</v>
      </c>
      <c r="C853" s="1" t="n">
        <v>45851</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13375-2022</t>
        </is>
      </c>
      <c r="B854" s="1" t="n">
        <v>44645</v>
      </c>
      <c r="C854" s="1" t="n">
        <v>45851</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13491-2022</t>
        </is>
      </c>
      <c r="B855" s="1" t="n">
        <v>44646</v>
      </c>
      <c r="C855" s="1" t="n">
        <v>45851</v>
      </c>
      <c r="D855" t="inlineStr">
        <is>
          <t>KALMAR LÄN</t>
        </is>
      </c>
      <c r="E855" t="inlineStr">
        <is>
          <t>VÄSTERVIK</t>
        </is>
      </c>
      <c r="G855" t="n">
        <v>2.3</v>
      </c>
      <c r="H855" t="n">
        <v>0</v>
      </c>
      <c r="I855" t="n">
        <v>0</v>
      </c>
      <c r="J855" t="n">
        <v>0</v>
      </c>
      <c r="K855" t="n">
        <v>0</v>
      </c>
      <c r="L855" t="n">
        <v>0</v>
      </c>
      <c r="M855" t="n">
        <v>0</v>
      </c>
      <c r="N855" t="n">
        <v>0</v>
      </c>
      <c r="O855" t="n">
        <v>0</v>
      </c>
      <c r="P855" t="n">
        <v>0</v>
      </c>
      <c r="Q855" t="n">
        <v>0</v>
      </c>
      <c r="R855" s="2" t="inlineStr"/>
    </row>
    <row r="856" ht="15" customHeight="1">
      <c r="A856" t="inlineStr">
        <is>
          <t>A 13489-2022</t>
        </is>
      </c>
      <c r="B856" s="1" t="n">
        <v>44646</v>
      </c>
      <c r="C856" s="1" t="n">
        <v>45851</v>
      </c>
      <c r="D856" t="inlineStr">
        <is>
          <t>KALMAR LÄN</t>
        </is>
      </c>
      <c r="E856" t="inlineStr">
        <is>
          <t>VÄSTERVIK</t>
        </is>
      </c>
      <c r="G856" t="n">
        <v>2.5</v>
      </c>
      <c r="H856" t="n">
        <v>0</v>
      </c>
      <c r="I856" t="n">
        <v>0</v>
      </c>
      <c r="J856" t="n">
        <v>0</v>
      </c>
      <c r="K856" t="n">
        <v>0</v>
      </c>
      <c r="L856" t="n">
        <v>0</v>
      </c>
      <c r="M856" t="n">
        <v>0</v>
      </c>
      <c r="N856" t="n">
        <v>0</v>
      </c>
      <c r="O856" t="n">
        <v>0</v>
      </c>
      <c r="P856" t="n">
        <v>0</v>
      </c>
      <c r="Q856" t="n">
        <v>0</v>
      </c>
      <c r="R856" s="2" t="inlineStr"/>
    </row>
    <row r="857" ht="15" customHeight="1">
      <c r="A857" t="inlineStr">
        <is>
          <t>A 13490-2022</t>
        </is>
      </c>
      <c r="B857" s="1" t="n">
        <v>44646</v>
      </c>
      <c r="C857" s="1" t="n">
        <v>45851</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13765-2022</t>
        </is>
      </c>
      <c r="B858" s="1" t="n">
        <v>44649</v>
      </c>
      <c r="C858" s="1" t="n">
        <v>45851</v>
      </c>
      <c r="D858" t="inlineStr">
        <is>
          <t>KALMAR LÄN</t>
        </is>
      </c>
      <c r="E858" t="inlineStr">
        <is>
          <t>VÄSTERVIK</t>
        </is>
      </c>
      <c r="G858" t="n">
        <v>2.3</v>
      </c>
      <c r="H858" t="n">
        <v>0</v>
      </c>
      <c r="I858" t="n">
        <v>0</v>
      </c>
      <c r="J858" t="n">
        <v>0</v>
      </c>
      <c r="K858" t="n">
        <v>0</v>
      </c>
      <c r="L858" t="n">
        <v>0</v>
      </c>
      <c r="M858" t="n">
        <v>0</v>
      </c>
      <c r="N858" t="n">
        <v>0</v>
      </c>
      <c r="O858" t="n">
        <v>0</v>
      </c>
      <c r="P858" t="n">
        <v>0</v>
      </c>
      <c r="Q858" t="n">
        <v>0</v>
      </c>
      <c r="R858" s="2" t="inlineStr"/>
    </row>
    <row r="859" ht="15" customHeight="1">
      <c r="A859" t="inlineStr">
        <is>
          <t>A 14038-2022</t>
        </is>
      </c>
      <c r="B859" s="1" t="n">
        <v>44650</v>
      </c>
      <c r="C859" s="1" t="n">
        <v>45851</v>
      </c>
      <c r="D859" t="inlineStr">
        <is>
          <t>KALMAR LÄN</t>
        </is>
      </c>
      <c r="E859" t="inlineStr">
        <is>
          <t>VÄSTERVIK</t>
        </is>
      </c>
      <c r="G859" t="n">
        <v>0.6</v>
      </c>
      <c r="H859" t="n">
        <v>0</v>
      </c>
      <c r="I859" t="n">
        <v>0</v>
      </c>
      <c r="J859" t="n">
        <v>0</v>
      </c>
      <c r="K859" t="n">
        <v>0</v>
      </c>
      <c r="L859" t="n">
        <v>0</v>
      </c>
      <c r="M859" t="n">
        <v>0</v>
      </c>
      <c r="N859" t="n">
        <v>0</v>
      </c>
      <c r="O859" t="n">
        <v>0</v>
      </c>
      <c r="P859" t="n">
        <v>0</v>
      </c>
      <c r="Q859" t="n">
        <v>0</v>
      </c>
      <c r="R859" s="2" t="inlineStr"/>
    </row>
    <row r="860" ht="15" customHeight="1">
      <c r="A860" t="inlineStr">
        <is>
          <t>A 14212-2022</t>
        </is>
      </c>
      <c r="B860" s="1" t="n">
        <v>44651</v>
      </c>
      <c r="C860" s="1" t="n">
        <v>45851</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14529-2022</t>
        </is>
      </c>
      <c r="B861" s="1" t="n">
        <v>44655</v>
      </c>
      <c r="C861" s="1" t="n">
        <v>45851</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15379-2022</t>
        </is>
      </c>
      <c r="B862" s="1" t="n">
        <v>44659</v>
      </c>
      <c r="C862" s="1" t="n">
        <v>45851</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16207-2022</t>
        </is>
      </c>
      <c r="B863" s="1" t="n">
        <v>44669</v>
      </c>
      <c r="C863" s="1" t="n">
        <v>45851</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16587-2022</t>
        </is>
      </c>
      <c r="B864" s="1" t="n">
        <v>44672</v>
      </c>
      <c r="C864" s="1" t="n">
        <v>45851</v>
      </c>
      <c r="D864" t="inlineStr">
        <is>
          <t>KALMAR LÄN</t>
        </is>
      </c>
      <c r="E864" t="inlineStr">
        <is>
          <t>VÄSTERVIK</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16586-2022</t>
        </is>
      </c>
      <c r="B865" s="1" t="n">
        <v>44672</v>
      </c>
      <c r="C865" s="1" t="n">
        <v>45851</v>
      </c>
      <c r="D865" t="inlineStr">
        <is>
          <t>KALMAR LÄN</t>
        </is>
      </c>
      <c r="E865" t="inlineStr">
        <is>
          <t>VÄSTERVIK</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16765-2022</t>
        </is>
      </c>
      <c r="B866" s="1" t="n">
        <v>44673</v>
      </c>
      <c r="C866" s="1" t="n">
        <v>45851</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17953-2022</t>
        </is>
      </c>
      <c r="B867" s="1" t="n">
        <v>44683</v>
      </c>
      <c r="C867" s="1" t="n">
        <v>45851</v>
      </c>
      <c r="D867" t="inlineStr">
        <is>
          <t>KALMAR LÄN</t>
        </is>
      </c>
      <c r="E867" t="inlineStr">
        <is>
          <t>VÄSTERVIK</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17954-2022</t>
        </is>
      </c>
      <c r="B868" s="1" t="n">
        <v>44683</v>
      </c>
      <c r="C868" s="1" t="n">
        <v>45851</v>
      </c>
      <c r="D868" t="inlineStr">
        <is>
          <t>KALMAR LÄN</t>
        </is>
      </c>
      <c r="E868" t="inlineStr">
        <is>
          <t>VÄSTERVIK</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19648-2022</t>
        </is>
      </c>
      <c r="B869" s="1" t="n">
        <v>44694</v>
      </c>
      <c r="C869" s="1" t="n">
        <v>45851</v>
      </c>
      <c r="D869" t="inlineStr">
        <is>
          <t>KALMAR LÄN</t>
        </is>
      </c>
      <c r="E869" t="inlineStr">
        <is>
          <t>VÄSTERVIK</t>
        </is>
      </c>
      <c r="F869" t="inlineStr">
        <is>
          <t>Sveaskog</t>
        </is>
      </c>
      <c r="G869" t="n">
        <v>2.7</v>
      </c>
      <c r="H869" t="n">
        <v>0</v>
      </c>
      <c r="I869" t="n">
        <v>0</v>
      </c>
      <c r="J869" t="n">
        <v>0</v>
      </c>
      <c r="K869" t="n">
        <v>0</v>
      </c>
      <c r="L869" t="n">
        <v>0</v>
      </c>
      <c r="M869" t="n">
        <v>0</v>
      </c>
      <c r="N869" t="n">
        <v>0</v>
      </c>
      <c r="O869" t="n">
        <v>0</v>
      </c>
      <c r="P869" t="n">
        <v>0</v>
      </c>
      <c r="Q869" t="n">
        <v>0</v>
      </c>
      <c r="R869" s="2" t="inlineStr"/>
    </row>
    <row r="870" ht="15" customHeight="1">
      <c r="A870" t="inlineStr">
        <is>
          <t>A 19656-2022</t>
        </is>
      </c>
      <c r="B870" s="1" t="n">
        <v>44694</v>
      </c>
      <c r="C870" s="1" t="n">
        <v>45851</v>
      </c>
      <c r="D870" t="inlineStr">
        <is>
          <t>KALMAR LÄN</t>
        </is>
      </c>
      <c r="E870" t="inlineStr">
        <is>
          <t>VÄSTERVIK</t>
        </is>
      </c>
      <c r="F870" t="inlineStr">
        <is>
          <t>Sveaskog</t>
        </is>
      </c>
      <c r="G870" t="n">
        <v>4.4</v>
      </c>
      <c r="H870" t="n">
        <v>0</v>
      </c>
      <c r="I870" t="n">
        <v>0</v>
      </c>
      <c r="J870" t="n">
        <v>0</v>
      </c>
      <c r="K870" t="n">
        <v>0</v>
      </c>
      <c r="L870" t="n">
        <v>0</v>
      </c>
      <c r="M870" t="n">
        <v>0</v>
      </c>
      <c r="N870" t="n">
        <v>0</v>
      </c>
      <c r="O870" t="n">
        <v>0</v>
      </c>
      <c r="P870" t="n">
        <v>0</v>
      </c>
      <c r="Q870" t="n">
        <v>0</v>
      </c>
      <c r="R870" s="2" t="inlineStr"/>
    </row>
    <row r="871" ht="15" customHeight="1">
      <c r="A871" t="inlineStr">
        <is>
          <t>A 19653-2022</t>
        </is>
      </c>
      <c r="B871" s="1" t="n">
        <v>44694</v>
      </c>
      <c r="C871" s="1" t="n">
        <v>45851</v>
      </c>
      <c r="D871" t="inlineStr">
        <is>
          <t>KALMAR LÄN</t>
        </is>
      </c>
      <c r="E871" t="inlineStr">
        <is>
          <t>VÄSTERVIK</t>
        </is>
      </c>
      <c r="F871" t="inlineStr">
        <is>
          <t>Sveaskog</t>
        </is>
      </c>
      <c r="G871" t="n">
        <v>0.5</v>
      </c>
      <c r="H871" t="n">
        <v>0</v>
      </c>
      <c r="I871" t="n">
        <v>0</v>
      </c>
      <c r="J871" t="n">
        <v>0</v>
      </c>
      <c r="K871" t="n">
        <v>0</v>
      </c>
      <c r="L871" t="n">
        <v>0</v>
      </c>
      <c r="M871" t="n">
        <v>0</v>
      </c>
      <c r="N871" t="n">
        <v>0</v>
      </c>
      <c r="O871" t="n">
        <v>0</v>
      </c>
      <c r="P871" t="n">
        <v>0</v>
      </c>
      <c r="Q871" t="n">
        <v>0</v>
      </c>
      <c r="R871" s="2" t="inlineStr"/>
    </row>
    <row r="872" ht="15" customHeight="1">
      <c r="A872" t="inlineStr">
        <is>
          <t>A 23167-2022</t>
        </is>
      </c>
      <c r="B872" s="1" t="n">
        <v>44719</v>
      </c>
      <c r="C872" s="1" t="n">
        <v>45851</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23411-2022</t>
        </is>
      </c>
      <c r="B873" s="1" t="n">
        <v>44720</v>
      </c>
      <c r="C873" s="1" t="n">
        <v>45851</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23589-2022</t>
        </is>
      </c>
      <c r="B874" s="1" t="n">
        <v>44721</v>
      </c>
      <c r="C874" s="1" t="n">
        <v>45851</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23743-2022</t>
        </is>
      </c>
      <c r="B875" s="1" t="n">
        <v>44722</v>
      </c>
      <c r="C875" s="1" t="n">
        <v>45851</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24040-2022</t>
        </is>
      </c>
      <c r="B876" s="1" t="n">
        <v>44724</v>
      </c>
      <c r="C876" s="1" t="n">
        <v>45851</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24830-2022</t>
        </is>
      </c>
      <c r="B877" s="1" t="n">
        <v>44728</v>
      </c>
      <c r="C877" s="1" t="n">
        <v>45851</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24829-2022</t>
        </is>
      </c>
      <c r="B878" s="1" t="n">
        <v>44728</v>
      </c>
      <c r="C878" s="1" t="n">
        <v>45851</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26059-2022</t>
        </is>
      </c>
      <c r="B879" s="1" t="n">
        <v>44734</v>
      </c>
      <c r="C879" s="1" t="n">
        <v>45851</v>
      </c>
      <c r="D879" t="inlineStr">
        <is>
          <t>KALMAR LÄN</t>
        </is>
      </c>
      <c r="E879" t="inlineStr">
        <is>
          <t>VÄSTERVIK</t>
        </is>
      </c>
      <c r="G879" t="n">
        <v>1.6</v>
      </c>
      <c r="H879" t="n">
        <v>0</v>
      </c>
      <c r="I879" t="n">
        <v>0</v>
      </c>
      <c r="J879" t="n">
        <v>0</v>
      </c>
      <c r="K879" t="n">
        <v>0</v>
      </c>
      <c r="L879" t="n">
        <v>0</v>
      </c>
      <c r="M879" t="n">
        <v>0</v>
      </c>
      <c r="N879" t="n">
        <v>0</v>
      </c>
      <c r="O879" t="n">
        <v>0</v>
      </c>
      <c r="P879" t="n">
        <v>0</v>
      </c>
      <c r="Q879" t="n">
        <v>0</v>
      </c>
      <c r="R879" s="2" t="inlineStr"/>
    </row>
    <row r="880" ht="15" customHeight="1">
      <c r="A880" t="inlineStr">
        <is>
          <t>A 27552-2022</t>
        </is>
      </c>
      <c r="B880" s="1" t="n">
        <v>44742</v>
      </c>
      <c r="C880" s="1" t="n">
        <v>45851</v>
      </c>
      <c r="D880" t="inlineStr">
        <is>
          <t>KALMAR LÄN</t>
        </is>
      </c>
      <c r="E880" t="inlineStr">
        <is>
          <t>VÄSTERVIK</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28426-2022</t>
        </is>
      </c>
      <c r="B881" s="1" t="n">
        <v>44747</v>
      </c>
      <c r="C881" s="1" t="n">
        <v>45851</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28588-2022</t>
        </is>
      </c>
      <c r="B882" s="1" t="n">
        <v>44748</v>
      </c>
      <c r="C882" s="1" t="n">
        <v>45851</v>
      </c>
      <c r="D882" t="inlineStr">
        <is>
          <t>KALMAR LÄN</t>
        </is>
      </c>
      <c r="E882" t="inlineStr">
        <is>
          <t>VÄSTERVIK</t>
        </is>
      </c>
      <c r="F882" t="inlineStr">
        <is>
          <t>Övriga Aktiebolag</t>
        </is>
      </c>
      <c r="G882" t="n">
        <v>1.7</v>
      </c>
      <c r="H882" t="n">
        <v>0</v>
      </c>
      <c r="I882" t="n">
        <v>0</v>
      </c>
      <c r="J882" t="n">
        <v>0</v>
      </c>
      <c r="K882" t="n">
        <v>0</v>
      </c>
      <c r="L882" t="n">
        <v>0</v>
      </c>
      <c r="M882" t="n">
        <v>0</v>
      </c>
      <c r="N882" t="n">
        <v>0</v>
      </c>
      <c r="O882" t="n">
        <v>0</v>
      </c>
      <c r="P882" t="n">
        <v>0</v>
      </c>
      <c r="Q882" t="n">
        <v>0</v>
      </c>
      <c r="R882" s="2" t="inlineStr"/>
    </row>
    <row r="883" ht="15" customHeight="1">
      <c r="A883" t="inlineStr">
        <is>
          <t>A 28679-2022</t>
        </is>
      </c>
      <c r="B883" s="1" t="n">
        <v>44748</v>
      </c>
      <c r="C883" s="1" t="n">
        <v>45851</v>
      </c>
      <c r="D883" t="inlineStr">
        <is>
          <t>KALMAR LÄN</t>
        </is>
      </c>
      <c r="E883" t="inlineStr">
        <is>
          <t>VÄSTERVIK</t>
        </is>
      </c>
      <c r="G883" t="n">
        <v>1.4</v>
      </c>
      <c r="H883" t="n">
        <v>0</v>
      </c>
      <c r="I883" t="n">
        <v>0</v>
      </c>
      <c r="J883" t="n">
        <v>0</v>
      </c>
      <c r="K883" t="n">
        <v>0</v>
      </c>
      <c r="L883" t="n">
        <v>0</v>
      </c>
      <c r="M883" t="n">
        <v>0</v>
      </c>
      <c r="N883" t="n">
        <v>0</v>
      </c>
      <c r="O883" t="n">
        <v>0</v>
      </c>
      <c r="P883" t="n">
        <v>0</v>
      </c>
      <c r="Q883" t="n">
        <v>0</v>
      </c>
      <c r="R883" s="2" t="inlineStr"/>
    </row>
    <row r="884" ht="15" customHeight="1">
      <c r="A884" t="inlineStr">
        <is>
          <t>A 28798-2022</t>
        </is>
      </c>
      <c r="B884" s="1" t="n">
        <v>44749</v>
      </c>
      <c r="C884" s="1" t="n">
        <v>45851</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29816-2022</t>
        </is>
      </c>
      <c r="B885" s="1" t="n">
        <v>44755</v>
      </c>
      <c r="C885" s="1" t="n">
        <v>45851</v>
      </c>
      <c r="D885" t="inlineStr">
        <is>
          <t>KALMAR LÄN</t>
        </is>
      </c>
      <c r="E885" t="inlineStr">
        <is>
          <t>VÄSTERVIK</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29909-2022</t>
        </is>
      </c>
      <c r="B886" s="1" t="n">
        <v>44756</v>
      </c>
      <c r="C886" s="1" t="n">
        <v>45851</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29952-2022</t>
        </is>
      </c>
      <c r="B887" s="1" t="n">
        <v>44756</v>
      </c>
      <c r="C887" s="1" t="n">
        <v>45851</v>
      </c>
      <c r="D887" t="inlineStr">
        <is>
          <t>KALMAR LÄN</t>
        </is>
      </c>
      <c r="E887" t="inlineStr">
        <is>
          <t>VÄSTERVIK</t>
        </is>
      </c>
      <c r="G887" t="n">
        <v>1.9</v>
      </c>
      <c r="H887" t="n">
        <v>0</v>
      </c>
      <c r="I887" t="n">
        <v>0</v>
      </c>
      <c r="J887" t="n">
        <v>0</v>
      </c>
      <c r="K887" t="n">
        <v>0</v>
      </c>
      <c r="L887" t="n">
        <v>0</v>
      </c>
      <c r="M887" t="n">
        <v>0</v>
      </c>
      <c r="N887" t="n">
        <v>0</v>
      </c>
      <c r="O887" t="n">
        <v>0</v>
      </c>
      <c r="P887" t="n">
        <v>0</v>
      </c>
      <c r="Q887" t="n">
        <v>0</v>
      </c>
      <c r="R887" s="2" t="inlineStr"/>
    </row>
    <row r="888" ht="15" customHeight="1">
      <c r="A888" t="inlineStr">
        <is>
          <t>A 30186-2022</t>
        </is>
      </c>
      <c r="B888" s="1" t="n">
        <v>44757</v>
      </c>
      <c r="C888" s="1" t="n">
        <v>45851</v>
      </c>
      <c r="D888" t="inlineStr">
        <is>
          <t>KALMAR LÄN</t>
        </is>
      </c>
      <c r="E888" t="inlineStr">
        <is>
          <t>VÄSTERVIK</t>
        </is>
      </c>
      <c r="F888" t="inlineStr">
        <is>
          <t>Övriga Aktiebolag</t>
        </is>
      </c>
      <c r="G888" t="n">
        <v>1.5</v>
      </c>
      <c r="H888" t="n">
        <v>0</v>
      </c>
      <c r="I888" t="n">
        <v>0</v>
      </c>
      <c r="J888" t="n">
        <v>0</v>
      </c>
      <c r="K888" t="n">
        <v>0</v>
      </c>
      <c r="L888" t="n">
        <v>0</v>
      </c>
      <c r="M888" t="n">
        <v>0</v>
      </c>
      <c r="N888" t="n">
        <v>0</v>
      </c>
      <c r="O888" t="n">
        <v>0</v>
      </c>
      <c r="P888" t="n">
        <v>0</v>
      </c>
      <c r="Q888" t="n">
        <v>0</v>
      </c>
      <c r="R888" s="2" t="inlineStr"/>
    </row>
    <row r="889" ht="15" customHeight="1">
      <c r="A889" t="inlineStr">
        <is>
          <t>A 31825-2022</t>
        </is>
      </c>
      <c r="B889" s="1" t="n">
        <v>44776</v>
      </c>
      <c r="C889" s="1" t="n">
        <v>45851</v>
      </c>
      <c r="D889" t="inlineStr">
        <is>
          <t>KALMAR LÄN</t>
        </is>
      </c>
      <c r="E889" t="inlineStr">
        <is>
          <t>VÄSTERVIK</t>
        </is>
      </c>
      <c r="G889" t="n">
        <v>0.9</v>
      </c>
      <c r="H889" t="n">
        <v>0</v>
      </c>
      <c r="I889" t="n">
        <v>0</v>
      </c>
      <c r="J889" t="n">
        <v>0</v>
      </c>
      <c r="K889" t="n">
        <v>0</v>
      </c>
      <c r="L889" t="n">
        <v>0</v>
      </c>
      <c r="M889" t="n">
        <v>0</v>
      </c>
      <c r="N889" t="n">
        <v>0</v>
      </c>
      <c r="O889" t="n">
        <v>0</v>
      </c>
      <c r="P889" t="n">
        <v>0</v>
      </c>
      <c r="Q889" t="n">
        <v>0</v>
      </c>
      <c r="R889" s="2" t="inlineStr"/>
    </row>
    <row r="890" ht="15" customHeight="1">
      <c r="A890" t="inlineStr">
        <is>
          <t>A 32104-2022</t>
        </is>
      </c>
      <c r="B890" s="1" t="n">
        <v>44778</v>
      </c>
      <c r="C890" s="1" t="n">
        <v>45851</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32702-2022</t>
        </is>
      </c>
      <c r="B891" s="1" t="n">
        <v>44783</v>
      </c>
      <c r="C891" s="1" t="n">
        <v>45851</v>
      </c>
      <c r="D891" t="inlineStr">
        <is>
          <t>KALMAR LÄN</t>
        </is>
      </c>
      <c r="E891" t="inlineStr">
        <is>
          <t>VÄSTERVIK</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32763-2022</t>
        </is>
      </c>
      <c r="B892" s="1" t="n">
        <v>44783</v>
      </c>
      <c r="C892" s="1" t="n">
        <v>45851</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32764-2022</t>
        </is>
      </c>
      <c r="B893" s="1" t="n">
        <v>44783</v>
      </c>
      <c r="C893" s="1" t="n">
        <v>45851</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32934-2022</t>
        </is>
      </c>
      <c r="B894" s="1" t="n">
        <v>44784</v>
      </c>
      <c r="C894" s="1" t="n">
        <v>45851</v>
      </c>
      <c r="D894" t="inlineStr">
        <is>
          <t>KALMAR LÄN</t>
        </is>
      </c>
      <c r="E894" t="inlineStr">
        <is>
          <t>VÄSTERVIK</t>
        </is>
      </c>
      <c r="G894" t="n">
        <v>2.6</v>
      </c>
      <c r="H894" t="n">
        <v>0</v>
      </c>
      <c r="I894" t="n">
        <v>0</v>
      </c>
      <c r="J894" t="n">
        <v>0</v>
      </c>
      <c r="K894" t="n">
        <v>0</v>
      </c>
      <c r="L894" t="n">
        <v>0</v>
      </c>
      <c r="M894" t="n">
        <v>0</v>
      </c>
      <c r="N894" t="n">
        <v>0</v>
      </c>
      <c r="O894" t="n">
        <v>0</v>
      </c>
      <c r="P894" t="n">
        <v>0</v>
      </c>
      <c r="Q894" t="n">
        <v>0</v>
      </c>
      <c r="R894" s="2" t="inlineStr"/>
    </row>
    <row r="895" ht="15" customHeight="1">
      <c r="A895" t="inlineStr">
        <is>
          <t>A 33206-2022</t>
        </is>
      </c>
      <c r="B895" s="1" t="n">
        <v>44785</v>
      </c>
      <c r="C895" s="1" t="n">
        <v>45851</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33204-2022</t>
        </is>
      </c>
      <c r="B896" s="1" t="n">
        <v>44785</v>
      </c>
      <c r="C896" s="1" t="n">
        <v>45851</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33208-2022</t>
        </is>
      </c>
      <c r="B897" s="1" t="n">
        <v>44785</v>
      </c>
      <c r="C897" s="1" t="n">
        <v>45851</v>
      </c>
      <c r="D897" t="inlineStr">
        <is>
          <t>KALMAR LÄN</t>
        </is>
      </c>
      <c r="E897" t="inlineStr">
        <is>
          <t>VÄSTERVIK</t>
        </is>
      </c>
      <c r="G897" t="n">
        <v>2.6</v>
      </c>
      <c r="H897" t="n">
        <v>0</v>
      </c>
      <c r="I897" t="n">
        <v>0</v>
      </c>
      <c r="J897" t="n">
        <v>0</v>
      </c>
      <c r="K897" t="n">
        <v>0</v>
      </c>
      <c r="L897" t="n">
        <v>0</v>
      </c>
      <c r="M897" t="n">
        <v>0</v>
      </c>
      <c r="N897" t="n">
        <v>0</v>
      </c>
      <c r="O897" t="n">
        <v>0</v>
      </c>
      <c r="P897" t="n">
        <v>0</v>
      </c>
      <c r="Q897" t="n">
        <v>0</v>
      </c>
      <c r="R897" s="2" t="inlineStr"/>
    </row>
    <row r="898" ht="15" customHeight="1">
      <c r="A898" t="inlineStr">
        <is>
          <t>A 33210-2022</t>
        </is>
      </c>
      <c r="B898" s="1" t="n">
        <v>44785</v>
      </c>
      <c r="C898" s="1" t="n">
        <v>45851</v>
      </c>
      <c r="D898" t="inlineStr">
        <is>
          <t>KALMAR LÄN</t>
        </is>
      </c>
      <c r="E898" t="inlineStr">
        <is>
          <t>VÄSTERVIK</t>
        </is>
      </c>
      <c r="G898" t="n">
        <v>3.2</v>
      </c>
      <c r="H898" t="n">
        <v>0</v>
      </c>
      <c r="I898" t="n">
        <v>0</v>
      </c>
      <c r="J898" t="n">
        <v>0</v>
      </c>
      <c r="K898" t="n">
        <v>0</v>
      </c>
      <c r="L898" t="n">
        <v>0</v>
      </c>
      <c r="M898" t="n">
        <v>0</v>
      </c>
      <c r="N898" t="n">
        <v>0</v>
      </c>
      <c r="O898" t="n">
        <v>0</v>
      </c>
      <c r="P898" t="n">
        <v>0</v>
      </c>
      <c r="Q898" t="n">
        <v>0</v>
      </c>
      <c r="R898" s="2" t="inlineStr"/>
    </row>
    <row r="899" ht="15" customHeight="1">
      <c r="A899" t="inlineStr">
        <is>
          <t>A 33207-2022</t>
        </is>
      </c>
      <c r="B899" s="1" t="n">
        <v>44785</v>
      </c>
      <c r="C899" s="1" t="n">
        <v>45851</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33211-2022</t>
        </is>
      </c>
      <c r="B900" s="1" t="n">
        <v>44785</v>
      </c>
      <c r="C900" s="1" t="n">
        <v>45851</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34241-2022</t>
        </is>
      </c>
      <c r="B901" s="1" t="n">
        <v>44791</v>
      </c>
      <c r="C901" s="1" t="n">
        <v>45851</v>
      </c>
      <c r="D901" t="inlineStr">
        <is>
          <t>KALMAR LÄN</t>
        </is>
      </c>
      <c r="E901" t="inlineStr">
        <is>
          <t>VÄSTERVIK</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34644-2022</t>
        </is>
      </c>
      <c r="B902" s="1" t="n">
        <v>44795</v>
      </c>
      <c r="C902" s="1" t="n">
        <v>45851</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34675-2022</t>
        </is>
      </c>
      <c r="B903" s="1" t="n">
        <v>44795</v>
      </c>
      <c r="C903" s="1" t="n">
        <v>45851</v>
      </c>
      <c r="D903" t="inlineStr">
        <is>
          <t>KALMAR LÄN</t>
        </is>
      </c>
      <c r="E903" t="inlineStr">
        <is>
          <t>VÄSTERVIK</t>
        </is>
      </c>
      <c r="G903" t="n">
        <v>0.8</v>
      </c>
      <c r="H903" t="n">
        <v>0</v>
      </c>
      <c r="I903" t="n">
        <v>0</v>
      </c>
      <c r="J903" t="n">
        <v>0</v>
      </c>
      <c r="K903" t="n">
        <v>0</v>
      </c>
      <c r="L903" t="n">
        <v>0</v>
      </c>
      <c r="M903" t="n">
        <v>0</v>
      </c>
      <c r="N903" t="n">
        <v>0</v>
      </c>
      <c r="O903" t="n">
        <v>0</v>
      </c>
      <c r="P903" t="n">
        <v>0</v>
      </c>
      <c r="Q903" t="n">
        <v>0</v>
      </c>
      <c r="R903" s="2" t="inlineStr"/>
    </row>
    <row r="904" ht="15" customHeight="1">
      <c r="A904" t="inlineStr">
        <is>
          <t>A 34672-2022</t>
        </is>
      </c>
      <c r="B904" s="1" t="n">
        <v>44795</v>
      </c>
      <c r="C904" s="1" t="n">
        <v>45851</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34836-2022</t>
        </is>
      </c>
      <c r="B905" s="1" t="n">
        <v>44796</v>
      </c>
      <c r="C905" s="1" t="n">
        <v>45851</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35417-2022</t>
        </is>
      </c>
      <c r="B906" s="1" t="n">
        <v>44798</v>
      </c>
      <c r="C906" s="1" t="n">
        <v>45851</v>
      </c>
      <c r="D906" t="inlineStr">
        <is>
          <t>KALMAR LÄN</t>
        </is>
      </c>
      <c r="E906" t="inlineStr">
        <is>
          <t>VÄSTERVIK</t>
        </is>
      </c>
      <c r="G906" t="n">
        <v>5.2</v>
      </c>
      <c r="H906" t="n">
        <v>0</v>
      </c>
      <c r="I906" t="n">
        <v>0</v>
      </c>
      <c r="J906" t="n">
        <v>0</v>
      </c>
      <c r="K906" t="n">
        <v>0</v>
      </c>
      <c r="L906" t="n">
        <v>0</v>
      </c>
      <c r="M906" t="n">
        <v>0</v>
      </c>
      <c r="N906" t="n">
        <v>0</v>
      </c>
      <c r="O906" t="n">
        <v>0</v>
      </c>
      <c r="P906" t="n">
        <v>0</v>
      </c>
      <c r="Q906" t="n">
        <v>0</v>
      </c>
      <c r="R906" s="2" t="inlineStr"/>
    </row>
    <row r="907" ht="15" customHeight="1">
      <c r="A907" t="inlineStr">
        <is>
          <t>A 37936-2022</t>
        </is>
      </c>
      <c r="B907" s="1" t="n">
        <v>44811</v>
      </c>
      <c r="C907" s="1" t="n">
        <v>45851</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row>
    <row r="908" ht="15" customHeight="1">
      <c r="A908" t="inlineStr">
        <is>
          <t>A 38069-2022</t>
        </is>
      </c>
      <c r="B908" s="1" t="n">
        <v>44811</v>
      </c>
      <c r="C908" s="1" t="n">
        <v>45851</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38399-2022</t>
        </is>
      </c>
      <c r="B909" s="1" t="n">
        <v>44812</v>
      </c>
      <c r="C909" s="1" t="n">
        <v>45851</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45851</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40050-2022</t>
        </is>
      </c>
      <c r="B911" s="1" t="n">
        <v>44820</v>
      </c>
      <c r="C911" s="1" t="n">
        <v>45851</v>
      </c>
      <c r="D911" t="inlineStr">
        <is>
          <t>KALMAR LÄN</t>
        </is>
      </c>
      <c r="E911" t="inlineStr">
        <is>
          <t>VÄSTERVIK</t>
        </is>
      </c>
      <c r="G911" t="n">
        <v>1.8</v>
      </c>
      <c r="H911" t="n">
        <v>0</v>
      </c>
      <c r="I911" t="n">
        <v>0</v>
      </c>
      <c r="J911" t="n">
        <v>0</v>
      </c>
      <c r="K911" t="n">
        <v>0</v>
      </c>
      <c r="L911" t="n">
        <v>0</v>
      </c>
      <c r="M911" t="n">
        <v>0</v>
      </c>
      <c r="N911" t="n">
        <v>0</v>
      </c>
      <c r="O911" t="n">
        <v>0</v>
      </c>
      <c r="P911" t="n">
        <v>0</v>
      </c>
      <c r="Q911" t="n">
        <v>0</v>
      </c>
      <c r="R911" s="2" t="inlineStr"/>
    </row>
    <row r="912" ht="15" customHeight="1">
      <c r="A912" t="inlineStr">
        <is>
          <t>A 40925-2022</t>
        </is>
      </c>
      <c r="B912" s="1" t="n">
        <v>44825</v>
      </c>
      <c r="C912" s="1" t="n">
        <v>45851</v>
      </c>
      <c r="D912" t="inlineStr">
        <is>
          <t>KALMAR LÄN</t>
        </is>
      </c>
      <c r="E912" t="inlineStr">
        <is>
          <t>VÄSTERVIK</t>
        </is>
      </c>
      <c r="F912" t="inlineStr">
        <is>
          <t>Sveaskog</t>
        </is>
      </c>
      <c r="G912" t="n">
        <v>2.4</v>
      </c>
      <c r="H912" t="n">
        <v>0</v>
      </c>
      <c r="I912" t="n">
        <v>0</v>
      </c>
      <c r="J912" t="n">
        <v>0</v>
      </c>
      <c r="K912" t="n">
        <v>0</v>
      </c>
      <c r="L912" t="n">
        <v>0</v>
      </c>
      <c r="M912" t="n">
        <v>0</v>
      </c>
      <c r="N912" t="n">
        <v>0</v>
      </c>
      <c r="O912" t="n">
        <v>0</v>
      </c>
      <c r="P912" t="n">
        <v>0</v>
      </c>
      <c r="Q912" t="n">
        <v>0</v>
      </c>
      <c r="R912" s="2" t="inlineStr"/>
    </row>
    <row r="913" ht="15" customHeight="1">
      <c r="A913" t="inlineStr">
        <is>
          <t>A 40920-2022</t>
        </is>
      </c>
      <c r="B913" s="1" t="n">
        <v>44825</v>
      </c>
      <c r="C913" s="1" t="n">
        <v>45851</v>
      </c>
      <c r="D913" t="inlineStr">
        <is>
          <t>KALMAR LÄN</t>
        </is>
      </c>
      <c r="E913" t="inlineStr">
        <is>
          <t>VÄSTERVIK</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42122-2022</t>
        </is>
      </c>
      <c r="B914" s="1" t="n">
        <v>44830</v>
      </c>
      <c r="C914" s="1" t="n">
        <v>45851</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42130-2022</t>
        </is>
      </c>
      <c r="B915" s="1" t="n">
        <v>44830</v>
      </c>
      <c r="C915" s="1" t="n">
        <v>45851</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42119-2022</t>
        </is>
      </c>
      <c r="B916" s="1" t="n">
        <v>44830</v>
      </c>
      <c r="C916" s="1" t="n">
        <v>45851</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43965-2022</t>
        </is>
      </c>
      <c r="B917" s="1" t="n">
        <v>44838</v>
      </c>
      <c r="C917" s="1" t="n">
        <v>45851</v>
      </c>
      <c r="D917" t="inlineStr">
        <is>
          <t>KALMAR LÄN</t>
        </is>
      </c>
      <c r="E917" t="inlineStr">
        <is>
          <t>VÄSTERVIK</t>
        </is>
      </c>
      <c r="G917" t="n">
        <v>2.3</v>
      </c>
      <c r="H917" t="n">
        <v>0</v>
      </c>
      <c r="I917" t="n">
        <v>0</v>
      </c>
      <c r="J917" t="n">
        <v>0</v>
      </c>
      <c r="K917" t="n">
        <v>0</v>
      </c>
      <c r="L917" t="n">
        <v>0</v>
      </c>
      <c r="M917" t="n">
        <v>0</v>
      </c>
      <c r="N917" t="n">
        <v>0</v>
      </c>
      <c r="O917" t="n">
        <v>0</v>
      </c>
      <c r="P917" t="n">
        <v>0</v>
      </c>
      <c r="Q917" t="n">
        <v>0</v>
      </c>
      <c r="R917" s="2" t="inlineStr"/>
    </row>
    <row r="918" ht="15" customHeight="1">
      <c r="A918" t="inlineStr">
        <is>
          <t>A 45721-2022</t>
        </is>
      </c>
      <c r="B918" s="1" t="n">
        <v>44845</v>
      </c>
      <c r="C918" s="1" t="n">
        <v>45851</v>
      </c>
      <c r="D918" t="inlineStr">
        <is>
          <t>KALMAR LÄN</t>
        </is>
      </c>
      <c r="E918" t="inlineStr">
        <is>
          <t>VÄSTERVIK</t>
        </is>
      </c>
      <c r="F918" t="inlineStr">
        <is>
          <t>Holmen skog AB</t>
        </is>
      </c>
      <c r="G918" t="n">
        <v>3.3</v>
      </c>
      <c r="H918" t="n">
        <v>0</v>
      </c>
      <c r="I918" t="n">
        <v>0</v>
      </c>
      <c r="J918" t="n">
        <v>0</v>
      </c>
      <c r="K918" t="n">
        <v>0</v>
      </c>
      <c r="L918" t="n">
        <v>0</v>
      </c>
      <c r="M918" t="n">
        <v>0</v>
      </c>
      <c r="N918" t="n">
        <v>0</v>
      </c>
      <c r="O918" t="n">
        <v>0</v>
      </c>
      <c r="P918" t="n">
        <v>0</v>
      </c>
      <c r="Q918" t="n">
        <v>0</v>
      </c>
      <c r="R918" s="2" t="inlineStr"/>
      <c r="U918">
        <f>HYPERLINK("https://klasma.github.io/Logging_0883/knärot/A 45721-2022 karta knärot.png", "A 45721-2022")</f>
        <v/>
      </c>
      <c r="V918">
        <f>HYPERLINK("https://klasma.github.io/Logging_0883/klagomål/A 45721-2022 FSC-klagomål.docx", "A 45721-2022")</f>
        <v/>
      </c>
      <c r="W918">
        <f>HYPERLINK("https://klasma.github.io/Logging_0883/klagomålsmail/A 45721-2022 FSC-klagomål mail.docx", "A 45721-2022")</f>
        <v/>
      </c>
      <c r="X918">
        <f>HYPERLINK("https://klasma.github.io/Logging_0883/tillsyn/A 45721-2022 tillsynsbegäran.docx", "A 45721-2022")</f>
        <v/>
      </c>
      <c r="Y918">
        <f>HYPERLINK("https://klasma.github.io/Logging_0883/tillsynsmail/A 45721-2022 tillsynsbegäran mail.docx", "A 45721-2022")</f>
        <v/>
      </c>
    </row>
    <row r="919" ht="15" customHeight="1">
      <c r="A919" t="inlineStr">
        <is>
          <t>A 45806-2022</t>
        </is>
      </c>
      <c r="B919" s="1" t="n">
        <v>44846</v>
      </c>
      <c r="C919" s="1" t="n">
        <v>45851</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46018-2022</t>
        </is>
      </c>
      <c r="B920" s="1" t="n">
        <v>44846</v>
      </c>
      <c r="C920" s="1" t="n">
        <v>45851</v>
      </c>
      <c r="D920" t="inlineStr">
        <is>
          <t>KALMAR LÄN</t>
        </is>
      </c>
      <c r="E920" t="inlineStr">
        <is>
          <t>VÄSTERVIK</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46267-2022</t>
        </is>
      </c>
      <c r="B921" s="1" t="n">
        <v>44847</v>
      </c>
      <c r="C921" s="1" t="n">
        <v>45851</v>
      </c>
      <c r="D921" t="inlineStr">
        <is>
          <t>KALMAR LÄN</t>
        </is>
      </c>
      <c r="E921" t="inlineStr">
        <is>
          <t>VÄSTERVIK</t>
        </is>
      </c>
      <c r="G921" t="n">
        <v>1.7</v>
      </c>
      <c r="H921" t="n">
        <v>0</v>
      </c>
      <c r="I921" t="n">
        <v>0</v>
      </c>
      <c r="J921" t="n">
        <v>0</v>
      </c>
      <c r="K921" t="n">
        <v>0</v>
      </c>
      <c r="L921" t="n">
        <v>0</v>
      </c>
      <c r="M921" t="n">
        <v>0</v>
      </c>
      <c r="N921" t="n">
        <v>0</v>
      </c>
      <c r="O921" t="n">
        <v>0</v>
      </c>
      <c r="P921" t="n">
        <v>0</v>
      </c>
      <c r="Q921" t="n">
        <v>0</v>
      </c>
      <c r="R921" s="2" t="inlineStr"/>
    </row>
    <row r="922" ht="15" customHeight="1">
      <c r="A922" t="inlineStr">
        <is>
          <t>A 46135-2022</t>
        </is>
      </c>
      <c r="B922" s="1" t="n">
        <v>44847</v>
      </c>
      <c r="C922" s="1" t="n">
        <v>45851</v>
      </c>
      <c r="D922" t="inlineStr">
        <is>
          <t>KALMAR LÄN</t>
        </is>
      </c>
      <c r="E922" t="inlineStr">
        <is>
          <t>VÄSTERVIK</t>
        </is>
      </c>
      <c r="F922" t="inlineStr">
        <is>
          <t>Sveaskog</t>
        </is>
      </c>
      <c r="G922" t="n">
        <v>4.1</v>
      </c>
      <c r="H922" t="n">
        <v>0</v>
      </c>
      <c r="I922" t="n">
        <v>0</v>
      </c>
      <c r="J922" t="n">
        <v>0</v>
      </c>
      <c r="K922" t="n">
        <v>0</v>
      </c>
      <c r="L922" t="n">
        <v>0</v>
      </c>
      <c r="M922" t="n">
        <v>0</v>
      </c>
      <c r="N922" t="n">
        <v>0</v>
      </c>
      <c r="O922" t="n">
        <v>0</v>
      </c>
      <c r="P922" t="n">
        <v>0</v>
      </c>
      <c r="Q922" t="n">
        <v>0</v>
      </c>
      <c r="R922" s="2" t="inlineStr"/>
    </row>
    <row r="923" ht="15" customHeight="1">
      <c r="A923" t="inlineStr">
        <is>
          <t>A 46354-2022</t>
        </is>
      </c>
      <c r="B923" s="1" t="n">
        <v>44848</v>
      </c>
      <c r="C923" s="1" t="n">
        <v>45851</v>
      </c>
      <c r="D923" t="inlineStr">
        <is>
          <t>KALMAR LÄN</t>
        </is>
      </c>
      <c r="E923" t="inlineStr">
        <is>
          <t>VÄSTERVIK</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46527-2022</t>
        </is>
      </c>
      <c r="B924" s="1" t="n">
        <v>44848</v>
      </c>
      <c r="C924" s="1" t="n">
        <v>45851</v>
      </c>
      <c r="D924" t="inlineStr">
        <is>
          <t>KALMAR LÄN</t>
        </is>
      </c>
      <c r="E924" t="inlineStr">
        <is>
          <t>VÄSTERVIK</t>
        </is>
      </c>
      <c r="G924" t="n">
        <v>1.7</v>
      </c>
      <c r="H924" t="n">
        <v>0</v>
      </c>
      <c r="I924" t="n">
        <v>0</v>
      </c>
      <c r="J924" t="n">
        <v>0</v>
      </c>
      <c r="K924" t="n">
        <v>0</v>
      </c>
      <c r="L924" t="n">
        <v>0</v>
      </c>
      <c r="M924" t="n">
        <v>0</v>
      </c>
      <c r="N924" t="n">
        <v>0</v>
      </c>
      <c r="O924" t="n">
        <v>0</v>
      </c>
      <c r="P924" t="n">
        <v>0</v>
      </c>
      <c r="Q924" t="n">
        <v>0</v>
      </c>
      <c r="R924" s="2" t="inlineStr"/>
    </row>
    <row r="925" ht="15" customHeight="1">
      <c r="A925" t="inlineStr">
        <is>
          <t>A 46560-2022</t>
        </is>
      </c>
      <c r="B925" s="1" t="n">
        <v>44848</v>
      </c>
      <c r="C925" s="1" t="n">
        <v>45851</v>
      </c>
      <c r="D925" t="inlineStr">
        <is>
          <t>KALMAR LÄN</t>
        </is>
      </c>
      <c r="E925" t="inlineStr">
        <is>
          <t>VÄSTERVIK</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46561-2022</t>
        </is>
      </c>
      <c r="B926" s="1" t="n">
        <v>44848</v>
      </c>
      <c r="C926" s="1" t="n">
        <v>45851</v>
      </c>
      <c r="D926" t="inlineStr">
        <is>
          <t>KALMAR LÄN</t>
        </is>
      </c>
      <c r="E926" t="inlineStr">
        <is>
          <t>VÄSTERVIK</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46596-2022</t>
        </is>
      </c>
      <c r="B927" s="1" t="n">
        <v>44848</v>
      </c>
      <c r="C927" s="1" t="n">
        <v>45851</v>
      </c>
      <c r="D927" t="inlineStr">
        <is>
          <t>KALMAR LÄN</t>
        </is>
      </c>
      <c r="E927" t="inlineStr">
        <is>
          <t>VÄSTERVIK</t>
        </is>
      </c>
      <c r="G927" t="n">
        <v>3.9</v>
      </c>
      <c r="H927" t="n">
        <v>0</v>
      </c>
      <c r="I927" t="n">
        <v>0</v>
      </c>
      <c r="J927" t="n">
        <v>0</v>
      </c>
      <c r="K927" t="n">
        <v>0</v>
      </c>
      <c r="L927" t="n">
        <v>0</v>
      </c>
      <c r="M927" t="n">
        <v>0</v>
      </c>
      <c r="N927" t="n">
        <v>0</v>
      </c>
      <c r="O927" t="n">
        <v>0</v>
      </c>
      <c r="P927" t="n">
        <v>0</v>
      </c>
      <c r="Q927" t="n">
        <v>0</v>
      </c>
      <c r="R927" s="2" t="inlineStr"/>
    </row>
    <row r="928" ht="15" customHeight="1">
      <c r="A928" t="inlineStr">
        <is>
          <t>A 46562-2022</t>
        </is>
      </c>
      <c r="B928" s="1" t="n">
        <v>44848</v>
      </c>
      <c r="C928" s="1" t="n">
        <v>45851</v>
      </c>
      <c r="D928" t="inlineStr">
        <is>
          <t>KALMAR LÄN</t>
        </is>
      </c>
      <c r="E928" t="inlineStr">
        <is>
          <t>VÄSTERVIK</t>
        </is>
      </c>
      <c r="F928" t="inlineStr">
        <is>
          <t>Sveaskog</t>
        </is>
      </c>
      <c r="G928" t="n">
        <v>1</v>
      </c>
      <c r="H928" t="n">
        <v>0</v>
      </c>
      <c r="I928" t="n">
        <v>0</v>
      </c>
      <c r="J928" t="n">
        <v>0</v>
      </c>
      <c r="K928" t="n">
        <v>0</v>
      </c>
      <c r="L928" t="n">
        <v>0</v>
      </c>
      <c r="M928" t="n">
        <v>0</v>
      </c>
      <c r="N928" t="n">
        <v>0</v>
      </c>
      <c r="O928" t="n">
        <v>0</v>
      </c>
      <c r="P928" t="n">
        <v>0</v>
      </c>
      <c r="Q928" t="n">
        <v>0</v>
      </c>
      <c r="R928" s="2" t="inlineStr"/>
    </row>
    <row r="929" ht="15" customHeight="1">
      <c r="A929" t="inlineStr">
        <is>
          <t>A 46781-2022</t>
        </is>
      </c>
      <c r="B929" s="1" t="n">
        <v>44851</v>
      </c>
      <c r="C929" s="1" t="n">
        <v>45851</v>
      </c>
      <c r="D929" t="inlineStr">
        <is>
          <t>KALMAR LÄN</t>
        </is>
      </c>
      <c r="E929" t="inlineStr">
        <is>
          <t>VÄSTERVIK</t>
        </is>
      </c>
      <c r="G929" t="n">
        <v>13.2</v>
      </c>
      <c r="H929" t="n">
        <v>0</v>
      </c>
      <c r="I929" t="n">
        <v>0</v>
      </c>
      <c r="J929" t="n">
        <v>0</v>
      </c>
      <c r="K929" t="n">
        <v>0</v>
      </c>
      <c r="L929" t="n">
        <v>0</v>
      </c>
      <c r="M929" t="n">
        <v>0</v>
      </c>
      <c r="N929" t="n">
        <v>0</v>
      </c>
      <c r="O929" t="n">
        <v>0</v>
      </c>
      <c r="P929" t="n">
        <v>0</v>
      </c>
      <c r="Q929" t="n">
        <v>0</v>
      </c>
      <c r="R929" s="2" t="inlineStr"/>
    </row>
    <row r="930" ht="15" customHeight="1">
      <c r="A930" t="inlineStr">
        <is>
          <t>A 46783-2022</t>
        </is>
      </c>
      <c r="B930" s="1" t="n">
        <v>44851</v>
      </c>
      <c r="C930" s="1" t="n">
        <v>45851</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46790-2022</t>
        </is>
      </c>
      <c r="B931" s="1" t="n">
        <v>44851</v>
      </c>
      <c r="C931" s="1" t="n">
        <v>45851</v>
      </c>
      <c r="D931" t="inlineStr">
        <is>
          <t>KALMAR LÄN</t>
        </is>
      </c>
      <c r="E931" t="inlineStr">
        <is>
          <t>VÄSTERVIK</t>
        </is>
      </c>
      <c r="G931" t="n">
        <v>9.9</v>
      </c>
      <c r="H931" t="n">
        <v>0</v>
      </c>
      <c r="I931" t="n">
        <v>0</v>
      </c>
      <c r="J931" t="n">
        <v>0</v>
      </c>
      <c r="K931" t="n">
        <v>0</v>
      </c>
      <c r="L931" t="n">
        <v>0</v>
      </c>
      <c r="M931" t="n">
        <v>0</v>
      </c>
      <c r="N931" t="n">
        <v>0</v>
      </c>
      <c r="O931" t="n">
        <v>0</v>
      </c>
      <c r="P931" t="n">
        <v>0</v>
      </c>
      <c r="Q931" t="n">
        <v>0</v>
      </c>
      <c r="R931" s="2" t="inlineStr"/>
    </row>
    <row r="932" ht="15" customHeight="1">
      <c r="A932" t="inlineStr">
        <is>
          <t>A 47323-2022</t>
        </is>
      </c>
      <c r="B932" s="1" t="n">
        <v>44853</v>
      </c>
      <c r="C932" s="1" t="n">
        <v>45851</v>
      </c>
      <c r="D932" t="inlineStr">
        <is>
          <t>KALMAR LÄN</t>
        </is>
      </c>
      <c r="E932" t="inlineStr">
        <is>
          <t>VÄSTERVIK</t>
        </is>
      </c>
      <c r="G932" t="n">
        <v>1.4</v>
      </c>
      <c r="H932" t="n">
        <v>0</v>
      </c>
      <c r="I932" t="n">
        <v>0</v>
      </c>
      <c r="J932" t="n">
        <v>0</v>
      </c>
      <c r="K932" t="n">
        <v>0</v>
      </c>
      <c r="L932" t="n">
        <v>0</v>
      </c>
      <c r="M932" t="n">
        <v>0</v>
      </c>
      <c r="N932" t="n">
        <v>0</v>
      </c>
      <c r="O932" t="n">
        <v>0</v>
      </c>
      <c r="P932" t="n">
        <v>0</v>
      </c>
      <c r="Q932" t="n">
        <v>0</v>
      </c>
      <c r="R932" s="2" t="inlineStr"/>
    </row>
    <row r="933" ht="15" customHeight="1">
      <c r="A933" t="inlineStr">
        <is>
          <t>A 47325-2022</t>
        </is>
      </c>
      <c r="B933" s="1" t="n">
        <v>44853</v>
      </c>
      <c r="C933" s="1" t="n">
        <v>45851</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47705-2022</t>
        </is>
      </c>
      <c r="B934" s="1" t="n">
        <v>44854</v>
      </c>
      <c r="C934" s="1" t="n">
        <v>45851</v>
      </c>
      <c r="D934" t="inlineStr">
        <is>
          <t>KALMAR LÄN</t>
        </is>
      </c>
      <c r="E934" t="inlineStr">
        <is>
          <t>VÄSTERVIK</t>
        </is>
      </c>
      <c r="G934" t="n">
        <v>2.3</v>
      </c>
      <c r="H934" t="n">
        <v>0</v>
      </c>
      <c r="I934" t="n">
        <v>0</v>
      </c>
      <c r="J934" t="n">
        <v>0</v>
      </c>
      <c r="K934" t="n">
        <v>0</v>
      </c>
      <c r="L934" t="n">
        <v>0</v>
      </c>
      <c r="M934" t="n">
        <v>0</v>
      </c>
      <c r="N934" t="n">
        <v>0</v>
      </c>
      <c r="O934" t="n">
        <v>0</v>
      </c>
      <c r="P934" t="n">
        <v>0</v>
      </c>
      <c r="Q934" t="n">
        <v>0</v>
      </c>
      <c r="R934" s="2" t="inlineStr"/>
    </row>
    <row r="935" ht="15" customHeight="1">
      <c r="A935" t="inlineStr">
        <is>
          <t>A 49276-2022</t>
        </is>
      </c>
      <c r="B935" s="1" t="n">
        <v>44858</v>
      </c>
      <c r="C935" s="1" t="n">
        <v>45851</v>
      </c>
      <c r="D935" t="inlineStr">
        <is>
          <t>KALMAR LÄN</t>
        </is>
      </c>
      <c r="E935" t="inlineStr">
        <is>
          <t>VÄSTERVIK</t>
        </is>
      </c>
      <c r="F935" t="inlineStr">
        <is>
          <t>Övriga Aktiebolag</t>
        </is>
      </c>
      <c r="G935" t="n">
        <v>2.4</v>
      </c>
      <c r="H935" t="n">
        <v>0</v>
      </c>
      <c r="I935" t="n">
        <v>0</v>
      </c>
      <c r="J935" t="n">
        <v>0</v>
      </c>
      <c r="K935" t="n">
        <v>0</v>
      </c>
      <c r="L935" t="n">
        <v>0</v>
      </c>
      <c r="M935" t="n">
        <v>0</v>
      </c>
      <c r="N935" t="n">
        <v>0</v>
      </c>
      <c r="O935" t="n">
        <v>0</v>
      </c>
      <c r="P935" t="n">
        <v>0</v>
      </c>
      <c r="Q935" t="n">
        <v>0</v>
      </c>
      <c r="R935" s="2" t="inlineStr"/>
    </row>
    <row r="936" ht="15" customHeight="1">
      <c r="A936" t="inlineStr">
        <is>
          <t>A 48553-2022</t>
        </is>
      </c>
      <c r="B936" s="1" t="n">
        <v>44859</v>
      </c>
      <c r="C936" s="1" t="n">
        <v>45851</v>
      </c>
      <c r="D936" t="inlineStr">
        <is>
          <t>KALMAR LÄN</t>
        </is>
      </c>
      <c r="E936" t="inlineStr">
        <is>
          <t>VÄSTERVIK</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48888-2022</t>
        </is>
      </c>
      <c r="B937" s="1" t="n">
        <v>44859</v>
      </c>
      <c r="C937" s="1" t="n">
        <v>45851</v>
      </c>
      <c r="D937" t="inlineStr">
        <is>
          <t>KALMAR LÄN</t>
        </is>
      </c>
      <c r="E937" t="inlineStr">
        <is>
          <t>VÄSTERVIK</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49205-2022</t>
        </is>
      </c>
      <c r="B938" s="1" t="n">
        <v>44860</v>
      </c>
      <c r="C938" s="1" t="n">
        <v>45851</v>
      </c>
      <c r="D938" t="inlineStr">
        <is>
          <t>KALMAR LÄN</t>
        </is>
      </c>
      <c r="E938" t="inlineStr">
        <is>
          <t>VÄSTERVIK</t>
        </is>
      </c>
      <c r="F938" t="inlineStr">
        <is>
          <t>Holmen skog AB</t>
        </is>
      </c>
      <c r="G938" t="n">
        <v>3.1</v>
      </c>
      <c r="H938" t="n">
        <v>0</v>
      </c>
      <c r="I938" t="n">
        <v>0</v>
      </c>
      <c r="J938" t="n">
        <v>0</v>
      </c>
      <c r="K938" t="n">
        <v>0</v>
      </c>
      <c r="L938" t="n">
        <v>0</v>
      </c>
      <c r="M938" t="n">
        <v>0</v>
      </c>
      <c r="N938" t="n">
        <v>0</v>
      </c>
      <c r="O938" t="n">
        <v>0</v>
      </c>
      <c r="P938" t="n">
        <v>0</v>
      </c>
      <c r="Q938" t="n">
        <v>0</v>
      </c>
      <c r="R938" s="2" t="inlineStr"/>
    </row>
    <row r="939" ht="15" customHeight="1">
      <c r="A939" t="inlineStr">
        <is>
          <t>A 50253-2022</t>
        </is>
      </c>
      <c r="B939" s="1" t="n">
        <v>44860</v>
      </c>
      <c r="C939" s="1" t="n">
        <v>45851</v>
      </c>
      <c r="D939" t="inlineStr">
        <is>
          <t>KALMAR LÄN</t>
        </is>
      </c>
      <c r="E939" t="inlineStr">
        <is>
          <t>VÄSTERVIK</t>
        </is>
      </c>
      <c r="G939" t="n">
        <v>2.7</v>
      </c>
      <c r="H939" t="n">
        <v>0</v>
      </c>
      <c r="I939" t="n">
        <v>0</v>
      </c>
      <c r="J939" t="n">
        <v>0</v>
      </c>
      <c r="K939" t="n">
        <v>0</v>
      </c>
      <c r="L939" t="n">
        <v>0</v>
      </c>
      <c r="M939" t="n">
        <v>0</v>
      </c>
      <c r="N939" t="n">
        <v>0</v>
      </c>
      <c r="O939" t="n">
        <v>0</v>
      </c>
      <c r="P939" t="n">
        <v>0</v>
      </c>
      <c r="Q939" t="n">
        <v>0</v>
      </c>
      <c r="R939" s="2" t="inlineStr"/>
    </row>
    <row r="940" ht="15" customHeight="1">
      <c r="A940" t="inlineStr">
        <is>
          <t>A 49286-2022</t>
        </is>
      </c>
      <c r="B940" s="1" t="n">
        <v>44861</v>
      </c>
      <c r="C940" s="1" t="n">
        <v>45851</v>
      </c>
      <c r="D940" t="inlineStr">
        <is>
          <t>KALMAR LÄN</t>
        </is>
      </c>
      <c r="E940" t="inlineStr">
        <is>
          <t>VÄSTERVIK</t>
        </is>
      </c>
      <c r="G940" t="n">
        <v>2.6</v>
      </c>
      <c r="H940" t="n">
        <v>0</v>
      </c>
      <c r="I940" t="n">
        <v>0</v>
      </c>
      <c r="J940" t="n">
        <v>0</v>
      </c>
      <c r="K940" t="n">
        <v>0</v>
      </c>
      <c r="L940" t="n">
        <v>0</v>
      </c>
      <c r="M940" t="n">
        <v>0</v>
      </c>
      <c r="N940" t="n">
        <v>0</v>
      </c>
      <c r="O940" t="n">
        <v>0</v>
      </c>
      <c r="P940" t="n">
        <v>0</v>
      </c>
      <c r="Q940" t="n">
        <v>0</v>
      </c>
      <c r="R940" s="2" t="inlineStr"/>
    </row>
    <row r="941" ht="15" customHeight="1">
      <c r="A941" t="inlineStr">
        <is>
          <t>A 49377-2022</t>
        </is>
      </c>
      <c r="B941" s="1" t="n">
        <v>44861</v>
      </c>
      <c r="C941" s="1" t="n">
        <v>45851</v>
      </c>
      <c r="D941" t="inlineStr">
        <is>
          <t>KALMAR LÄN</t>
        </is>
      </c>
      <c r="E941" t="inlineStr">
        <is>
          <t>VÄSTERVIK</t>
        </is>
      </c>
      <c r="G941" t="n">
        <v>1.1</v>
      </c>
      <c r="H941" t="n">
        <v>0</v>
      </c>
      <c r="I941" t="n">
        <v>0</v>
      </c>
      <c r="J941" t="n">
        <v>0</v>
      </c>
      <c r="K941" t="n">
        <v>0</v>
      </c>
      <c r="L941" t="n">
        <v>0</v>
      </c>
      <c r="M941" t="n">
        <v>0</v>
      </c>
      <c r="N941" t="n">
        <v>0</v>
      </c>
      <c r="O941" t="n">
        <v>0</v>
      </c>
      <c r="P941" t="n">
        <v>0</v>
      </c>
      <c r="Q941" t="n">
        <v>0</v>
      </c>
      <c r="R941" s="2" t="inlineStr"/>
    </row>
    <row r="942" ht="15" customHeight="1">
      <c r="A942" t="inlineStr">
        <is>
          <t>A 49916-2022</t>
        </is>
      </c>
      <c r="B942" s="1" t="n">
        <v>44865</v>
      </c>
      <c r="C942" s="1" t="n">
        <v>45851</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50691-2022</t>
        </is>
      </c>
      <c r="B943" s="1" t="n">
        <v>44867</v>
      </c>
      <c r="C943" s="1" t="n">
        <v>45851</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50911-2022</t>
        </is>
      </c>
      <c r="B944" s="1" t="n">
        <v>44867</v>
      </c>
      <c r="C944" s="1" t="n">
        <v>45851</v>
      </c>
      <c r="D944" t="inlineStr">
        <is>
          <t>KALMAR LÄN</t>
        </is>
      </c>
      <c r="E944" t="inlineStr">
        <is>
          <t>VÄSTERVIK</t>
        </is>
      </c>
      <c r="F944" t="inlineStr">
        <is>
          <t>Sveaskog</t>
        </is>
      </c>
      <c r="G944" t="n">
        <v>3</v>
      </c>
      <c r="H944" t="n">
        <v>0</v>
      </c>
      <c r="I944" t="n">
        <v>0</v>
      </c>
      <c r="J944" t="n">
        <v>0</v>
      </c>
      <c r="K944" t="n">
        <v>0</v>
      </c>
      <c r="L944" t="n">
        <v>0</v>
      </c>
      <c r="M944" t="n">
        <v>0</v>
      </c>
      <c r="N944" t="n">
        <v>0</v>
      </c>
      <c r="O944" t="n">
        <v>0</v>
      </c>
      <c r="P944" t="n">
        <v>0</v>
      </c>
      <c r="Q944" t="n">
        <v>0</v>
      </c>
      <c r="R944" s="2" t="inlineStr"/>
    </row>
    <row r="945" ht="15" customHeight="1">
      <c r="A945" t="inlineStr">
        <is>
          <t>A 50990-2022</t>
        </is>
      </c>
      <c r="B945" s="1" t="n">
        <v>44867</v>
      </c>
      <c r="C945" s="1" t="n">
        <v>45851</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52289-2022</t>
        </is>
      </c>
      <c r="B946" s="1" t="n">
        <v>44873</v>
      </c>
      <c r="C946" s="1" t="n">
        <v>45851</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53108-2022</t>
        </is>
      </c>
      <c r="B947" s="1" t="n">
        <v>44876</v>
      </c>
      <c r="C947" s="1" t="n">
        <v>45851</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53333-2022</t>
        </is>
      </c>
      <c r="B948" s="1" t="n">
        <v>44879</v>
      </c>
      <c r="C948" s="1" t="n">
        <v>45851</v>
      </c>
      <c r="D948" t="inlineStr">
        <is>
          <t>KALMAR LÄN</t>
        </is>
      </c>
      <c r="E948" t="inlineStr">
        <is>
          <t>VÄSTERVIK</t>
        </is>
      </c>
      <c r="G948" t="n">
        <v>0.8</v>
      </c>
      <c r="H948" t="n">
        <v>0</v>
      </c>
      <c r="I948" t="n">
        <v>0</v>
      </c>
      <c r="J948" t="n">
        <v>0</v>
      </c>
      <c r="K948" t="n">
        <v>0</v>
      </c>
      <c r="L948" t="n">
        <v>0</v>
      </c>
      <c r="M948" t="n">
        <v>0</v>
      </c>
      <c r="N948" t="n">
        <v>0</v>
      </c>
      <c r="O948" t="n">
        <v>0</v>
      </c>
      <c r="P948" t="n">
        <v>0</v>
      </c>
      <c r="Q948" t="n">
        <v>0</v>
      </c>
      <c r="R948" s="2" t="inlineStr"/>
    </row>
    <row r="949" ht="15" customHeight="1">
      <c r="A949" t="inlineStr">
        <is>
          <t>A 54190-2022</t>
        </is>
      </c>
      <c r="B949" s="1" t="n">
        <v>44881</v>
      </c>
      <c r="C949" s="1" t="n">
        <v>45851</v>
      </c>
      <c r="D949" t="inlineStr">
        <is>
          <t>KALMAR LÄN</t>
        </is>
      </c>
      <c r="E949" t="inlineStr">
        <is>
          <t>VÄSTERVIK</t>
        </is>
      </c>
      <c r="G949" t="n">
        <v>7.4</v>
      </c>
      <c r="H949" t="n">
        <v>0</v>
      </c>
      <c r="I949" t="n">
        <v>0</v>
      </c>
      <c r="J949" t="n">
        <v>0</v>
      </c>
      <c r="K949" t="n">
        <v>0</v>
      </c>
      <c r="L949" t="n">
        <v>0</v>
      </c>
      <c r="M949" t="n">
        <v>0</v>
      </c>
      <c r="N949" t="n">
        <v>0</v>
      </c>
      <c r="O949" t="n">
        <v>0</v>
      </c>
      <c r="P949" t="n">
        <v>0</v>
      </c>
      <c r="Q949" t="n">
        <v>0</v>
      </c>
      <c r="R949" s="2" t="inlineStr"/>
    </row>
    <row r="950" ht="15" customHeight="1">
      <c r="A950" t="inlineStr">
        <is>
          <t>A 55382-2022</t>
        </is>
      </c>
      <c r="B950" s="1" t="n">
        <v>44887</v>
      </c>
      <c r="C950" s="1" t="n">
        <v>45851</v>
      </c>
      <c r="D950" t="inlineStr">
        <is>
          <t>KALMAR LÄN</t>
        </is>
      </c>
      <c r="E950" t="inlineStr">
        <is>
          <t>VÄSTERVIK</t>
        </is>
      </c>
      <c r="G950" t="n">
        <v>3.2</v>
      </c>
      <c r="H950" t="n">
        <v>0</v>
      </c>
      <c r="I950" t="n">
        <v>0</v>
      </c>
      <c r="J950" t="n">
        <v>0</v>
      </c>
      <c r="K950" t="n">
        <v>0</v>
      </c>
      <c r="L950" t="n">
        <v>0</v>
      </c>
      <c r="M950" t="n">
        <v>0</v>
      </c>
      <c r="N950" t="n">
        <v>0</v>
      </c>
      <c r="O950" t="n">
        <v>0</v>
      </c>
      <c r="P950" t="n">
        <v>0</v>
      </c>
      <c r="Q950" t="n">
        <v>0</v>
      </c>
      <c r="R950" s="2" t="inlineStr"/>
    </row>
    <row r="951" ht="15" customHeight="1">
      <c r="A951" t="inlineStr">
        <is>
          <t>A 55828-2022</t>
        </is>
      </c>
      <c r="B951" s="1" t="n">
        <v>44888</v>
      </c>
      <c r="C951" s="1" t="n">
        <v>45851</v>
      </c>
      <c r="D951" t="inlineStr">
        <is>
          <t>KALMAR LÄN</t>
        </is>
      </c>
      <c r="E951" t="inlineStr">
        <is>
          <t>VÄSTERVIK</t>
        </is>
      </c>
      <c r="G951" t="n">
        <v>1</v>
      </c>
      <c r="H951" t="n">
        <v>0</v>
      </c>
      <c r="I951" t="n">
        <v>0</v>
      </c>
      <c r="J951" t="n">
        <v>0</v>
      </c>
      <c r="K951" t="n">
        <v>0</v>
      </c>
      <c r="L951" t="n">
        <v>0</v>
      </c>
      <c r="M951" t="n">
        <v>0</v>
      </c>
      <c r="N951" t="n">
        <v>0</v>
      </c>
      <c r="O951" t="n">
        <v>0</v>
      </c>
      <c r="P951" t="n">
        <v>0</v>
      </c>
      <c r="Q951" t="n">
        <v>0</v>
      </c>
      <c r="R951" s="2" t="inlineStr"/>
    </row>
    <row r="952" ht="15" customHeight="1">
      <c r="A952" t="inlineStr">
        <is>
          <t>A 55922-2022</t>
        </is>
      </c>
      <c r="B952" s="1" t="n">
        <v>44889</v>
      </c>
      <c r="C952" s="1" t="n">
        <v>45851</v>
      </c>
      <c r="D952" t="inlineStr">
        <is>
          <t>KALMAR LÄN</t>
        </is>
      </c>
      <c r="E952" t="inlineStr">
        <is>
          <t>VÄSTERVIK</t>
        </is>
      </c>
      <c r="G952" t="n">
        <v>3.5</v>
      </c>
      <c r="H952" t="n">
        <v>0</v>
      </c>
      <c r="I952" t="n">
        <v>0</v>
      </c>
      <c r="J952" t="n">
        <v>0</v>
      </c>
      <c r="K952" t="n">
        <v>0</v>
      </c>
      <c r="L952" t="n">
        <v>0</v>
      </c>
      <c r="M952" t="n">
        <v>0</v>
      </c>
      <c r="N952" t="n">
        <v>0</v>
      </c>
      <c r="O952" t="n">
        <v>0</v>
      </c>
      <c r="P952" t="n">
        <v>0</v>
      </c>
      <c r="Q952" t="n">
        <v>0</v>
      </c>
      <c r="R952" s="2" t="inlineStr"/>
    </row>
    <row r="953" ht="15" customHeight="1">
      <c r="A953" t="inlineStr">
        <is>
          <t>A 56610-2022</t>
        </is>
      </c>
      <c r="B953" s="1" t="n">
        <v>44893</v>
      </c>
      <c r="C953" s="1" t="n">
        <v>45851</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57023-2022</t>
        </is>
      </c>
      <c r="B954" s="1" t="n">
        <v>44895</v>
      </c>
      <c r="C954" s="1" t="n">
        <v>45851</v>
      </c>
      <c r="D954" t="inlineStr">
        <is>
          <t>KALMAR LÄN</t>
        </is>
      </c>
      <c r="E954" t="inlineStr">
        <is>
          <t>VÄSTERVIK</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58927-2022</t>
        </is>
      </c>
      <c r="B955" s="1" t="n">
        <v>44896</v>
      </c>
      <c r="C955" s="1" t="n">
        <v>45851</v>
      </c>
      <c r="D955" t="inlineStr">
        <is>
          <t>KALMAR LÄN</t>
        </is>
      </c>
      <c r="E955" t="inlineStr">
        <is>
          <t>VÄSTERVIK</t>
        </is>
      </c>
      <c r="G955" t="n">
        <v>2.5</v>
      </c>
      <c r="H955" t="n">
        <v>0</v>
      </c>
      <c r="I955" t="n">
        <v>0</v>
      </c>
      <c r="J955" t="n">
        <v>0</v>
      </c>
      <c r="K955" t="n">
        <v>0</v>
      </c>
      <c r="L955" t="n">
        <v>0</v>
      </c>
      <c r="M955" t="n">
        <v>0</v>
      </c>
      <c r="N955" t="n">
        <v>0</v>
      </c>
      <c r="O955" t="n">
        <v>0</v>
      </c>
      <c r="P955" t="n">
        <v>0</v>
      </c>
      <c r="Q955" t="n">
        <v>0</v>
      </c>
      <c r="R955" s="2" t="inlineStr"/>
    </row>
    <row r="956" ht="15" customHeight="1">
      <c r="A956" t="inlineStr">
        <is>
          <t>A 57997-2022</t>
        </is>
      </c>
      <c r="B956" s="1" t="n">
        <v>44900</v>
      </c>
      <c r="C956" s="1" t="n">
        <v>45851</v>
      </c>
      <c r="D956" t="inlineStr">
        <is>
          <t>KALMAR LÄN</t>
        </is>
      </c>
      <c r="E956" t="inlineStr">
        <is>
          <t>VÄSTERVIK</t>
        </is>
      </c>
      <c r="F956" t="inlineStr">
        <is>
          <t>Holmen skog AB</t>
        </is>
      </c>
      <c r="G956" t="n">
        <v>2.9</v>
      </c>
      <c r="H956" t="n">
        <v>0</v>
      </c>
      <c r="I956" t="n">
        <v>0</v>
      </c>
      <c r="J956" t="n">
        <v>0</v>
      </c>
      <c r="K956" t="n">
        <v>0</v>
      </c>
      <c r="L956" t="n">
        <v>0</v>
      </c>
      <c r="M956" t="n">
        <v>0</v>
      </c>
      <c r="N956" t="n">
        <v>0</v>
      </c>
      <c r="O956" t="n">
        <v>0</v>
      </c>
      <c r="P956" t="n">
        <v>0</v>
      </c>
      <c r="Q956" t="n">
        <v>0</v>
      </c>
      <c r="R956" s="2" t="inlineStr"/>
    </row>
    <row r="957" ht="15" customHeight="1">
      <c r="A957" t="inlineStr">
        <is>
          <t>A 58217-2022</t>
        </is>
      </c>
      <c r="B957" s="1" t="n">
        <v>44901</v>
      </c>
      <c r="C957" s="1" t="n">
        <v>45851</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58216-2022</t>
        </is>
      </c>
      <c r="B958" s="1" t="n">
        <v>44901</v>
      </c>
      <c r="C958" s="1" t="n">
        <v>45851</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58209-2022</t>
        </is>
      </c>
      <c r="B959" s="1" t="n">
        <v>44901</v>
      </c>
      <c r="C959" s="1" t="n">
        <v>45851</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58214-2022</t>
        </is>
      </c>
      <c r="B960" s="1" t="n">
        <v>44901</v>
      </c>
      <c r="C960" s="1" t="n">
        <v>45851</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58707-2022</t>
        </is>
      </c>
      <c r="B961" s="1" t="n">
        <v>44902</v>
      </c>
      <c r="C961" s="1" t="n">
        <v>45851</v>
      </c>
      <c r="D961" t="inlineStr">
        <is>
          <t>KALMAR LÄN</t>
        </is>
      </c>
      <c r="E961" t="inlineStr">
        <is>
          <t>VÄSTERVIK</t>
        </is>
      </c>
      <c r="G961" t="n">
        <v>2.3</v>
      </c>
      <c r="H961" t="n">
        <v>0</v>
      </c>
      <c r="I961" t="n">
        <v>0</v>
      </c>
      <c r="J961" t="n">
        <v>0</v>
      </c>
      <c r="K961" t="n">
        <v>0</v>
      </c>
      <c r="L961" t="n">
        <v>0</v>
      </c>
      <c r="M961" t="n">
        <v>0</v>
      </c>
      <c r="N961" t="n">
        <v>0</v>
      </c>
      <c r="O961" t="n">
        <v>0</v>
      </c>
      <c r="P961" t="n">
        <v>0</v>
      </c>
      <c r="Q961" t="n">
        <v>0</v>
      </c>
      <c r="R961" s="2" t="inlineStr"/>
    </row>
    <row r="962" ht="15" customHeight="1">
      <c r="A962" t="inlineStr">
        <is>
          <t>A 58826-2022</t>
        </is>
      </c>
      <c r="B962" s="1" t="n">
        <v>44903</v>
      </c>
      <c r="C962" s="1" t="n">
        <v>45851</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59212-2022</t>
        </is>
      </c>
      <c r="B963" s="1" t="n">
        <v>44904</v>
      </c>
      <c r="C963" s="1" t="n">
        <v>45851</v>
      </c>
      <c r="D963" t="inlineStr">
        <is>
          <t>KALMAR LÄN</t>
        </is>
      </c>
      <c r="E963" t="inlineStr">
        <is>
          <t>VÄSTERVIK</t>
        </is>
      </c>
      <c r="G963" t="n">
        <v>2.3</v>
      </c>
      <c r="H963" t="n">
        <v>0</v>
      </c>
      <c r="I963" t="n">
        <v>0</v>
      </c>
      <c r="J963" t="n">
        <v>0</v>
      </c>
      <c r="K963" t="n">
        <v>0</v>
      </c>
      <c r="L963" t="n">
        <v>0</v>
      </c>
      <c r="M963" t="n">
        <v>0</v>
      </c>
      <c r="N963" t="n">
        <v>0</v>
      </c>
      <c r="O963" t="n">
        <v>0</v>
      </c>
      <c r="P963" t="n">
        <v>0</v>
      </c>
      <c r="Q963" t="n">
        <v>0</v>
      </c>
      <c r="R963" s="2" t="inlineStr"/>
    </row>
    <row r="964" ht="15" customHeight="1">
      <c r="A964" t="inlineStr">
        <is>
          <t>A 59227-2022</t>
        </is>
      </c>
      <c r="B964" s="1" t="n">
        <v>44904</v>
      </c>
      <c r="C964" s="1" t="n">
        <v>45851</v>
      </c>
      <c r="D964" t="inlineStr">
        <is>
          <t>KALMAR LÄN</t>
        </is>
      </c>
      <c r="E964" t="inlineStr">
        <is>
          <t>VÄSTERVIK</t>
        </is>
      </c>
      <c r="G964" t="n">
        <v>6</v>
      </c>
      <c r="H964" t="n">
        <v>0</v>
      </c>
      <c r="I964" t="n">
        <v>0</v>
      </c>
      <c r="J964" t="n">
        <v>0</v>
      </c>
      <c r="K964" t="n">
        <v>0</v>
      </c>
      <c r="L964" t="n">
        <v>0</v>
      </c>
      <c r="M964" t="n">
        <v>0</v>
      </c>
      <c r="N964" t="n">
        <v>0</v>
      </c>
      <c r="O964" t="n">
        <v>0</v>
      </c>
      <c r="P964" t="n">
        <v>0</v>
      </c>
      <c r="Q964" t="n">
        <v>0</v>
      </c>
      <c r="R964" s="2" t="inlineStr"/>
    </row>
    <row r="965" ht="15" customHeight="1">
      <c r="A965" t="inlineStr">
        <is>
          <t>A 59210-2022</t>
        </is>
      </c>
      <c r="B965" s="1" t="n">
        <v>44904</v>
      </c>
      <c r="C965" s="1" t="n">
        <v>45851</v>
      </c>
      <c r="D965" t="inlineStr">
        <is>
          <t>KALMAR LÄN</t>
        </is>
      </c>
      <c r="E965" t="inlineStr">
        <is>
          <t>VÄSTERVIK</t>
        </is>
      </c>
      <c r="G965" t="n">
        <v>21.2</v>
      </c>
      <c r="H965" t="n">
        <v>0</v>
      </c>
      <c r="I965" t="n">
        <v>0</v>
      </c>
      <c r="J965" t="n">
        <v>0</v>
      </c>
      <c r="K965" t="n">
        <v>0</v>
      </c>
      <c r="L965" t="n">
        <v>0</v>
      </c>
      <c r="M965" t="n">
        <v>0</v>
      </c>
      <c r="N965" t="n">
        <v>0</v>
      </c>
      <c r="O965" t="n">
        <v>0</v>
      </c>
      <c r="P965" t="n">
        <v>0</v>
      </c>
      <c r="Q965" t="n">
        <v>0</v>
      </c>
      <c r="R965" s="2" t="inlineStr"/>
    </row>
    <row r="966" ht="15" customHeight="1">
      <c r="A966" t="inlineStr">
        <is>
          <t>A 59221-2022</t>
        </is>
      </c>
      <c r="B966" s="1" t="n">
        <v>44904</v>
      </c>
      <c r="C966" s="1" t="n">
        <v>45851</v>
      </c>
      <c r="D966" t="inlineStr">
        <is>
          <t>KALMAR LÄN</t>
        </is>
      </c>
      <c r="E966" t="inlineStr">
        <is>
          <t>VÄSTERVIK</t>
        </is>
      </c>
      <c r="G966" t="n">
        <v>6.1</v>
      </c>
      <c r="H966" t="n">
        <v>0</v>
      </c>
      <c r="I966" t="n">
        <v>0</v>
      </c>
      <c r="J966" t="n">
        <v>0</v>
      </c>
      <c r="K966" t="n">
        <v>0</v>
      </c>
      <c r="L966" t="n">
        <v>0</v>
      </c>
      <c r="M966" t="n">
        <v>0</v>
      </c>
      <c r="N966" t="n">
        <v>0</v>
      </c>
      <c r="O966" t="n">
        <v>0</v>
      </c>
      <c r="P966" t="n">
        <v>0</v>
      </c>
      <c r="Q966" t="n">
        <v>0</v>
      </c>
      <c r="R966" s="2" t="inlineStr"/>
    </row>
    <row r="967" ht="15" customHeight="1">
      <c r="A967" t="inlineStr">
        <is>
          <t>A 59156-2022</t>
        </is>
      </c>
      <c r="B967" s="1" t="n">
        <v>44904</v>
      </c>
      <c r="C967" s="1" t="n">
        <v>45851</v>
      </c>
      <c r="D967" t="inlineStr">
        <is>
          <t>KALMAR LÄN</t>
        </is>
      </c>
      <c r="E967" t="inlineStr">
        <is>
          <t>VÄSTERVIK</t>
        </is>
      </c>
      <c r="G967" t="n">
        <v>9.4</v>
      </c>
      <c r="H967" t="n">
        <v>0</v>
      </c>
      <c r="I967" t="n">
        <v>0</v>
      </c>
      <c r="J967" t="n">
        <v>0</v>
      </c>
      <c r="K967" t="n">
        <v>0</v>
      </c>
      <c r="L967" t="n">
        <v>0</v>
      </c>
      <c r="M967" t="n">
        <v>0</v>
      </c>
      <c r="N967" t="n">
        <v>0</v>
      </c>
      <c r="O967" t="n">
        <v>0</v>
      </c>
      <c r="P967" t="n">
        <v>0</v>
      </c>
      <c r="Q967" t="n">
        <v>0</v>
      </c>
      <c r="R967" s="2" t="inlineStr"/>
    </row>
    <row r="968" ht="15" customHeight="1">
      <c r="A968" t="inlineStr">
        <is>
          <t>A 59170-2022</t>
        </is>
      </c>
      <c r="B968" s="1" t="n">
        <v>44904</v>
      </c>
      <c r="C968" s="1" t="n">
        <v>45851</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59202-2022</t>
        </is>
      </c>
      <c r="B969" s="1" t="n">
        <v>44904</v>
      </c>
      <c r="C969" s="1" t="n">
        <v>45851</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59220-2022</t>
        </is>
      </c>
      <c r="B970" s="1" t="n">
        <v>44904</v>
      </c>
      <c r="C970" s="1" t="n">
        <v>45851</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59498-2022</t>
        </is>
      </c>
      <c r="B971" s="1" t="n">
        <v>44907</v>
      </c>
      <c r="C971" s="1" t="n">
        <v>45851</v>
      </c>
      <c r="D971" t="inlineStr">
        <is>
          <t>KALMAR LÄN</t>
        </is>
      </c>
      <c r="E971" t="inlineStr">
        <is>
          <t>VÄSTERVIK</t>
        </is>
      </c>
      <c r="G971" t="n">
        <v>4.2</v>
      </c>
      <c r="H971" t="n">
        <v>0</v>
      </c>
      <c r="I971" t="n">
        <v>0</v>
      </c>
      <c r="J971" t="n">
        <v>0</v>
      </c>
      <c r="K971" t="n">
        <v>0</v>
      </c>
      <c r="L971" t="n">
        <v>0</v>
      </c>
      <c r="M971" t="n">
        <v>0</v>
      </c>
      <c r="N971" t="n">
        <v>0</v>
      </c>
      <c r="O971" t="n">
        <v>0</v>
      </c>
      <c r="P971" t="n">
        <v>0</v>
      </c>
      <c r="Q971" t="n">
        <v>0</v>
      </c>
      <c r="R971" s="2" t="inlineStr"/>
    </row>
    <row r="972" ht="15" customHeight="1">
      <c r="A972" t="inlineStr">
        <is>
          <t>A 59675-2022</t>
        </is>
      </c>
      <c r="B972" s="1" t="n">
        <v>44908</v>
      </c>
      <c r="C972" s="1" t="n">
        <v>45851</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59871-2022</t>
        </is>
      </c>
      <c r="B973" s="1" t="n">
        <v>44908</v>
      </c>
      <c r="C973" s="1" t="n">
        <v>45851</v>
      </c>
      <c r="D973" t="inlineStr">
        <is>
          <t>KALMAR LÄN</t>
        </is>
      </c>
      <c r="E973" t="inlineStr">
        <is>
          <t>VÄSTERVIK</t>
        </is>
      </c>
      <c r="F973" t="inlineStr">
        <is>
          <t>Övriga Aktiebolag</t>
        </is>
      </c>
      <c r="G973" t="n">
        <v>0.4</v>
      </c>
      <c r="H973" t="n">
        <v>0</v>
      </c>
      <c r="I973" t="n">
        <v>0</v>
      </c>
      <c r="J973" t="n">
        <v>0</v>
      </c>
      <c r="K973" t="n">
        <v>0</v>
      </c>
      <c r="L973" t="n">
        <v>0</v>
      </c>
      <c r="M973" t="n">
        <v>0</v>
      </c>
      <c r="N973" t="n">
        <v>0</v>
      </c>
      <c r="O973" t="n">
        <v>0</v>
      </c>
      <c r="P973" t="n">
        <v>0</v>
      </c>
      <c r="Q973" t="n">
        <v>0</v>
      </c>
      <c r="R973" s="2" t="inlineStr"/>
    </row>
    <row r="974" ht="15" customHeight="1">
      <c r="A974" t="inlineStr">
        <is>
          <t>A 60263-2022</t>
        </is>
      </c>
      <c r="B974" s="1" t="n">
        <v>44910</v>
      </c>
      <c r="C974" s="1" t="n">
        <v>45851</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60402-2022</t>
        </is>
      </c>
      <c r="B975" s="1" t="n">
        <v>44910</v>
      </c>
      <c r="C975" s="1" t="n">
        <v>45851</v>
      </c>
      <c r="D975" t="inlineStr">
        <is>
          <t>KALMAR LÄN</t>
        </is>
      </c>
      <c r="E975" t="inlineStr">
        <is>
          <t>VÄSTERVIK</t>
        </is>
      </c>
      <c r="F975" t="inlineStr">
        <is>
          <t>Holmen skog AB</t>
        </is>
      </c>
      <c r="G975" t="n">
        <v>3.4</v>
      </c>
      <c r="H975" t="n">
        <v>0</v>
      </c>
      <c r="I975" t="n">
        <v>0</v>
      </c>
      <c r="J975" t="n">
        <v>0</v>
      </c>
      <c r="K975" t="n">
        <v>0</v>
      </c>
      <c r="L975" t="n">
        <v>0</v>
      </c>
      <c r="M975" t="n">
        <v>0</v>
      </c>
      <c r="N975" t="n">
        <v>0</v>
      </c>
      <c r="O975" t="n">
        <v>0</v>
      </c>
      <c r="P975" t="n">
        <v>0</v>
      </c>
      <c r="Q975" t="n">
        <v>0</v>
      </c>
      <c r="R975" s="2" t="inlineStr"/>
    </row>
    <row r="976" ht="15" customHeight="1">
      <c r="A976" t="inlineStr">
        <is>
          <t>A 60409-2022</t>
        </is>
      </c>
      <c r="B976" s="1" t="n">
        <v>44910</v>
      </c>
      <c r="C976" s="1" t="n">
        <v>45851</v>
      </c>
      <c r="D976" t="inlineStr">
        <is>
          <t>KALMAR LÄN</t>
        </is>
      </c>
      <c r="E976" t="inlineStr">
        <is>
          <t>VÄSTERVIK</t>
        </is>
      </c>
      <c r="F976" t="inlineStr">
        <is>
          <t>Holmen skog AB</t>
        </is>
      </c>
      <c r="G976" t="n">
        <v>3.1</v>
      </c>
      <c r="H976" t="n">
        <v>0</v>
      </c>
      <c r="I976" t="n">
        <v>0</v>
      </c>
      <c r="J976" t="n">
        <v>0</v>
      </c>
      <c r="K976" t="n">
        <v>0</v>
      </c>
      <c r="L976" t="n">
        <v>0</v>
      </c>
      <c r="M976" t="n">
        <v>0</v>
      </c>
      <c r="N976" t="n">
        <v>0</v>
      </c>
      <c r="O976" t="n">
        <v>0</v>
      </c>
      <c r="P976" t="n">
        <v>0</v>
      </c>
      <c r="Q976" t="n">
        <v>0</v>
      </c>
      <c r="R976" s="2" t="inlineStr"/>
    </row>
    <row r="977" ht="15" customHeight="1">
      <c r="A977" t="inlineStr">
        <is>
          <t>A 61529-2022</t>
        </is>
      </c>
      <c r="B977" s="1" t="n">
        <v>44910</v>
      </c>
      <c r="C977" s="1" t="n">
        <v>45851</v>
      </c>
      <c r="D977" t="inlineStr">
        <is>
          <t>KALMAR LÄN</t>
        </is>
      </c>
      <c r="E977" t="inlineStr">
        <is>
          <t>VÄSTERVIK</t>
        </is>
      </c>
      <c r="G977" t="n">
        <v>6.5</v>
      </c>
      <c r="H977" t="n">
        <v>0</v>
      </c>
      <c r="I977" t="n">
        <v>0</v>
      </c>
      <c r="J977" t="n">
        <v>0</v>
      </c>
      <c r="K977" t="n">
        <v>0</v>
      </c>
      <c r="L977" t="n">
        <v>0</v>
      </c>
      <c r="M977" t="n">
        <v>0</v>
      </c>
      <c r="N977" t="n">
        <v>0</v>
      </c>
      <c r="O977" t="n">
        <v>0</v>
      </c>
      <c r="P977" t="n">
        <v>0</v>
      </c>
      <c r="Q977" t="n">
        <v>0</v>
      </c>
      <c r="R977" s="2" t="inlineStr"/>
    </row>
    <row r="978" ht="15" customHeight="1">
      <c r="A978" t="inlineStr">
        <is>
          <t>A 60710-2022</t>
        </is>
      </c>
      <c r="B978" s="1" t="n">
        <v>44912</v>
      </c>
      <c r="C978" s="1" t="n">
        <v>45851</v>
      </c>
      <c r="D978" t="inlineStr">
        <is>
          <t>KALMAR LÄN</t>
        </is>
      </c>
      <c r="E978" t="inlineStr">
        <is>
          <t>VÄSTERVIK</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60713-2022</t>
        </is>
      </c>
      <c r="B979" s="1" t="n">
        <v>44912</v>
      </c>
      <c r="C979" s="1" t="n">
        <v>45851</v>
      </c>
      <c r="D979" t="inlineStr">
        <is>
          <t>KALMAR LÄN</t>
        </is>
      </c>
      <c r="E979" t="inlineStr">
        <is>
          <t>VÄSTERVIK</t>
        </is>
      </c>
      <c r="F979" t="inlineStr">
        <is>
          <t>Övriga Aktiebolag</t>
        </is>
      </c>
      <c r="G979" t="n">
        <v>2.6</v>
      </c>
      <c r="H979" t="n">
        <v>0</v>
      </c>
      <c r="I979" t="n">
        <v>0</v>
      </c>
      <c r="J979" t="n">
        <v>0</v>
      </c>
      <c r="K979" t="n">
        <v>0</v>
      </c>
      <c r="L979" t="n">
        <v>0</v>
      </c>
      <c r="M979" t="n">
        <v>0</v>
      </c>
      <c r="N979" t="n">
        <v>0</v>
      </c>
      <c r="O979" t="n">
        <v>0</v>
      </c>
      <c r="P979" t="n">
        <v>0</v>
      </c>
      <c r="Q979" t="n">
        <v>0</v>
      </c>
      <c r="R979" s="2" t="inlineStr"/>
    </row>
    <row r="980" ht="15" customHeight="1">
      <c r="A980" t="inlineStr">
        <is>
          <t>A 60711-2022</t>
        </is>
      </c>
      <c r="B980" s="1" t="n">
        <v>44912</v>
      </c>
      <c r="C980" s="1" t="n">
        <v>45851</v>
      </c>
      <c r="D980" t="inlineStr">
        <is>
          <t>KALMAR LÄN</t>
        </is>
      </c>
      <c r="E980" t="inlineStr">
        <is>
          <t>VÄSTERVIK</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61580-2022</t>
        </is>
      </c>
      <c r="B981" s="1" t="n">
        <v>44916</v>
      </c>
      <c r="C981" s="1" t="n">
        <v>45851</v>
      </c>
      <c r="D981" t="inlineStr">
        <is>
          <t>KALMAR LÄN</t>
        </is>
      </c>
      <c r="E981" t="inlineStr">
        <is>
          <t>VÄSTERVIK</t>
        </is>
      </c>
      <c r="G981" t="n">
        <v>3.5</v>
      </c>
      <c r="H981" t="n">
        <v>0</v>
      </c>
      <c r="I981" t="n">
        <v>0</v>
      </c>
      <c r="J981" t="n">
        <v>0</v>
      </c>
      <c r="K981" t="n">
        <v>0</v>
      </c>
      <c r="L981" t="n">
        <v>0</v>
      </c>
      <c r="M981" t="n">
        <v>0</v>
      </c>
      <c r="N981" t="n">
        <v>0</v>
      </c>
      <c r="O981" t="n">
        <v>0</v>
      </c>
      <c r="P981" t="n">
        <v>0</v>
      </c>
      <c r="Q981" t="n">
        <v>0</v>
      </c>
      <c r="R981" s="2" t="inlineStr"/>
    </row>
    <row r="982" ht="15" customHeight="1">
      <c r="A982" t="inlineStr">
        <is>
          <t>A 61649-2022</t>
        </is>
      </c>
      <c r="B982" s="1" t="n">
        <v>44916</v>
      </c>
      <c r="C982" s="1" t="n">
        <v>45851</v>
      </c>
      <c r="D982" t="inlineStr">
        <is>
          <t>KALMAR LÄN</t>
        </is>
      </c>
      <c r="E982" t="inlineStr">
        <is>
          <t>VÄSTERVIK</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62005-2022</t>
        </is>
      </c>
      <c r="B983" s="1" t="n">
        <v>44918</v>
      </c>
      <c r="C983" s="1" t="n">
        <v>45851</v>
      </c>
      <c r="D983" t="inlineStr">
        <is>
          <t>KALMAR LÄN</t>
        </is>
      </c>
      <c r="E983" t="inlineStr">
        <is>
          <t>VÄSTERVIK</t>
        </is>
      </c>
      <c r="G983" t="n">
        <v>1.4</v>
      </c>
      <c r="H983" t="n">
        <v>0</v>
      </c>
      <c r="I983" t="n">
        <v>0</v>
      </c>
      <c r="J983" t="n">
        <v>0</v>
      </c>
      <c r="K983" t="n">
        <v>0</v>
      </c>
      <c r="L983" t="n">
        <v>0</v>
      </c>
      <c r="M983" t="n">
        <v>0</v>
      </c>
      <c r="N983" t="n">
        <v>0</v>
      </c>
      <c r="O983" t="n">
        <v>0</v>
      </c>
      <c r="P983" t="n">
        <v>0</v>
      </c>
      <c r="Q983" t="n">
        <v>0</v>
      </c>
      <c r="R983" s="2" t="inlineStr"/>
    </row>
    <row r="984" ht="15" customHeight="1">
      <c r="A984" t="inlineStr">
        <is>
          <t>A 62306-2022</t>
        </is>
      </c>
      <c r="B984" s="1" t="n">
        <v>44923</v>
      </c>
      <c r="C984" s="1" t="n">
        <v>45851</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62422-2022</t>
        </is>
      </c>
      <c r="B985" s="1" t="n">
        <v>44924</v>
      </c>
      <c r="C985" s="1" t="n">
        <v>45851</v>
      </c>
      <c r="D985" t="inlineStr">
        <is>
          <t>KALMAR LÄN</t>
        </is>
      </c>
      <c r="E985" t="inlineStr">
        <is>
          <t>VÄSTERVIK</t>
        </is>
      </c>
      <c r="G985" t="n">
        <v>4.9</v>
      </c>
      <c r="H985" t="n">
        <v>0</v>
      </c>
      <c r="I985" t="n">
        <v>0</v>
      </c>
      <c r="J985" t="n">
        <v>0</v>
      </c>
      <c r="K985" t="n">
        <v>0</v>
      </c>
      <c r="L985" t="n">
        <v>0</v>
      </c>
      <c r="M985" t="n">
        <v>0</v>
      </c>
      <c r="N985" t="n">
        <v>0</v>
      </c>
      <c r="O985" t="n">
        <v>0</v>
      </c>
      <c r="P985" t="n">
        <v>0</v>
      </c>
      <c r="Q985" t="n">
        <v>0</v>
      </c>
      <c r="R985" s="2" t="inlineStr"/>
    </row>
    <row r="986" ht="15" customHeight="1">
      <c r="A986" t="inlineStr">
        <is>
          <t>A 65-2023</t>
        </is>
      </c>
      <c r="B986" s="1" t="n">
        <v>44928</v>
      </c>
      <c r="C986" s="1" t="n">
        <v>45851</v>
      </c>
      <c r="D986" t="inlineStr">
        <is>
          <t>KALMAR LÄN</t>
        </is>
      </c>
      <c r="E986" t="inlineStr">
        <is>
          <t>VÄSTERVIK</t>
        </is>
      </c>
      <c r="G986" t="n">
        <v>1.8</v>
      </c>
      <c r="H986" t="n">
        <v>0</v>
      </c>
      <c r="I986" t="n">
        <v>0</v>
      </c>
      <c r="J986" t="n">
        <v>0</v>
      </c>
      <c r="K986" t="n">
        <v>0</v>
      </c>
      <c r="L986" t="n">
        <v>0</v>
      </c>
      <c r="M986" t="n">
        <v>0</v>
      </c>
      <c r="N986" t="n">
        <v>0</v>
      </c>
      <c r="O986" t="n">
        <v>0</v>
      </c>
      <c r="P986" t="n">
        <v>0</v>
      </c>
      <c r="Q986" t="n">
        <v>0</v>
      </c>
      <c r="R986" s="2" t="inlineStr"/>
    </row>
    <row r="987" ht="15" customHeight="1">
      <c r="A987" t="inlineStr">
        <is>
          <t>A 352-2023</t>
        </is>
      </c>
      <c r="B987" s="1" t="n">
        <v>44929</v>
      </c>
      <c r="C987" s="1" t="n">
        <v>45851</v>
      </c>
      <c r="D987" t="inlineStr">
        <is>
          <t>KALMAR LÄN</t>
        </is>
      </c>
      <c r="E987" t="inlineStr">
        <is>
          <t>VÄSTERVIK</t>
        </is>
      </c>
      <c r="G987" t="n">
        <v>1</v>
      </c>
      <c r="H987" t="n">
        <v>0</v>
      </c>
      <c r="I987" t="n">
        <v>0</v>
      </c>
      <c r="J987" t="n">
        <v>0</v>
      </c>
      <c r="K987" t="n">
        <v>0</v>
      </c>
      <c r="L987" t="n">
        <v>0</v>
      </c>
      <c r="M987" t="n">
        <v>0</v>
      </c>
      <c r="N987" t="n">
        <v>0</v>
      </c>
      <c r="O987" t="n">
        <v>0</v>
      </c>
      <c r="P987" t="n">
        <v>0</v>
      </c>
      <c r="Q987" t="n">
        <v>0</v>
      </c>
      <c r="R987" s="2" t="inlineStr"/>
    </row>
    <row r="988" ht="15" customHeight="1">
      <c r="A988" t="inlineStr">
        <is>
          <t>A 351-2023</t>
        </is>
      </c>
      <c r="B988" s="1" t="n">
        <v>44929</v>
      </c>
      <c r="C988" s="1" t="n">
        <v>45851</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562-2023</t>
        </is>
      </c>
      <c r="B989" s="1" t="n">
        <v>44930</v>
      </c>
      <c r="C989" s="1" t="n">
        <v>45851</v>
      </c>
      <c r="D989" t="inlineStr">
        <is>
          <t>KALMAR LÄN</t>
        </is>
      </c>
      <c r="E989" t="inlineStr">
        <is>
          <t>VÄSTERVIK</t>
        </is>
      </c>
      <c r="G989" t="n">
        <v>0.4</v>
      </c>
      <c r="H989" t="n">
        <v>0</v>
      </c>
      <c r="I989" t="n">
        <v>0</v>
      </c>
      <c r="J989" t="n">
        <v>0</v>
      </c>
      <c r="K989" t="n">
        <v>0</v>
      </c>
      <c r="L989" t="n">
        <v>0</v>
      </c>
      <c r="M989" t="n">
        <v>0</v>
      </c>
      <c r="N989" t="n">
        <v>0</v>
      </c>
      <c r="O989" t="n">
        <v>0</v>
      </c>
      <c r="P989" t="n">
        <v>0</v>
      </c>
      <c r="Q989" t="n">
        <v>0</v>
      </c>
      <c r="R989" s="2" t="inlineStr"/>
    </row>
    <row r="990" ht="15" customHeight="1">
      <c r="A990" t="inlineStr">
        <is>
          <t>A 740-2023</t>
        </is>
      </c>
      <c r="B990" s="1" t="n">
        <v>44931</v>
      </c>
      <c r="C990" s="1" t="n">
        <v>45851</v>
      </c>
      <c r="D990" t="inlineStr">
        <is>
          <t>KALMAR LÄN</t>
        </is>
      </c>
      <c r="E990" t="inlineStr">
        <is>
          <t>VÄSTERVIK</t>
        </is>
      </c>
      <c r="G990" t="n">
        <v>9.6</v>
      </c>
      <c r="H990" t="n">
        <v>0</v>
      </c>
      <c r="I990" t="n">
        <v>0</v>
      </c>
      <c r="J990" t="n">
        <v>0</v>
      </c>
      <c r="K990" t="n">
        <v>0</v>
      </c>
      <c r="L990" t="n">
        <v>0</v>
      </c>
      <c r="M990" t="n">
        <v>0</v>
      </c>
      <c r="N990" t="n">
        <v>0</v>
      </c>
      <c r="O990" t="n">
        <v>0</v>
      </c>
      <c r="P990" t="n">
        <v>0</v>
      </c>
      <c r="Q990" t="n">
        <v>0</v>
      </c>
      <c r="R990" s="2" t="inlineStr"/>
    </row>
    <row r="991" ht="15" customHeight="1">
      <c r="A991" t="inlineStr">
        <is>
          <t>A 792-2023</t>
        </is>
      </c>
      <c r="B991" s="1" t="n">
        <v>44931</v>
      </c>
      <c r="C991" s="1" t="n">
        <v>45851</v>
      </c>
      <c r="D991" t="inlineStr">
        <is>
          <t>KALMAR LÄN</t>
        </is>
      </c>
      <c r="E991" t="inlineStr">
        <is>
          <t>VÄSTERVIK</t>
        </is>
      </c>
      <c r="F991" t="inlineStr">
        <is>
          <t>Holmen skog AB</t>
        </is>
      </c>
      <c r="G991" t="n">
        <v>0.8</v>
      </c>
      <c r="H991" t="n">
        <v>0</v>
      </c>
      <c r="I991" t="n">
        <v>0</v>
      </c>
      <c r="J991" t="n">
        <v>0</v>
      </c>
      <c r="K991" t="n">
        <v>0</v>
      </c>
      <c r="L991" t="n">
        <v>0</v>
      </c>
      <c r="M991" t="n">
        <v>0</v>
      </c>
      <c r="N991" t="n">
        <v>0</v>
      </c>
      <c r="O991" t="n">
        <v>0</v>
      </c>
      <c r="P991" t="n">
        <v>0</v>
      </c>
      <c r="Q991" t="n">
        <v>0</v>
      </c>
      <c r="R991" s="2" t="inlineStr"/>
    </row>
    <row r="992" ht="15" customHeight="1">
      <c r="A992" t="inlineStr">
        <is>
          <t>A 808-2023</t>
        </is>
      </c>
      <c r="B992" s="1" t="n">
        <v>44931</v>
      </c>
      <c r="C992" s="1" t="n">
        <v>45851</v>
      </c>
      <c r="D992" t="inlineStr">
        <is>
          <t>KALMAR LÄN</t>
        </is>
      </c>
      <c r="E992" t="inlineStr">
        <is>
          <t>VÄSTERVIK</t>
        </is>
      </c>
      <c r="F992" t="inlineStr">
        <is>
          <t>Holmen skog AB</t>
        </is>
      </c>
      <c r="G992" t="n">
        <v>0.3</v>
      </c>
      <c r="H992" t="n">
        <v>0</v>
      </c>
      <c r="I992" t="n">
        <v>0</v>
      </c>
      <c r="J992" t="n">
        <v>0</v>
      </c>
      <c r="K992" t="n">
        <v>0</v>
      </c>
      <c r="L992" t="n">
        <v>0</v>
      </c>
      <c r="M992" t="n">
        <v>0</v>
      </c>
      <c r="N992" t="n">
        <v>0</v>
      </c>
      <c r="O992" t="n">
        <v>0</v>
      </c>
      <c r="P992" t="n">
        <v>0</v>
      </c>
      <c r="Q992" t="n">
        <v>0</v>
      </c>
      <c r="R992" s="2" t="inlineStr"/>
    </row>
    <row r="993" ht="15" customHeight="1">
      <c r="A993" t="inlineStr">
        <is>
          <t>A 843-2023</t>
        </is>
      </c>
      <c r="B993" s="1" t="n">
        <v>44931</v>
      </c>
      <c r="C993" s="1" t="n">
        <v>45851</v>
      </c>
      <c r="D993" t="inlineStr">
        <is>
          <t>KALMAR LÄN</t>
        </is>
      </c>
      <c r="E993" t="inlineStr">
        <is>
          <t>VÄSTERVIK</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1079-2023</t>
        </is>
      </c>
      <c r="B994" s="1" t="n">
        <v>44935</v>
      </c>
      <c r="C994" s="1" t="n">
        <v>45851</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1699-2023</t>
        </is>
      </c>
      <c r="B995" s="1" t="n">
        <v>44935</v>
      </c>
      <c r="C995" s="1" t="n">
        <v>45851</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1568-2023</t>
        </is>
      </c>
      <c r="B996" s="1" t="n">
        <v>44937</v>
      </c>
      <c r="C996" s="1" t="n">
        <v>45851</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1798-2023</t>
        </is>
      </c>
      <c r="B997" s="1" t="n">
        <v>44938</v>
      </c>
      <c r="C997" s="1" t="n">
        <v>45851</v>
      </c>
      <c r="D997" t="inlineStr">
        <is>
          <t>KALMAR LÄN</t>
        </is>
      </c>
      <c r="E997" t="inlineStr">
        <is>
          <t>VÄSTERVIK</t>
        </is>
      </c>
      <c r="G997" t="n">
        <v>3.9</v>
      </c>
      <c r="H997" t="n">
        <v>0</v>
      </c>
      <c r="I997" t="n">
        <v>0</v>
      </c>
      <c r="J997" t="n">
        <v>0</v>
      </c>
      <c r="K997" t="n">
        <v>0</v>
      </c>
      <c r="L997" t="n">
        <v>0</v>
      </c>
      <c r="M997" t="n">
        <v>0</v>
      </c>
      <c r="N997" t="n">
        <v>0</v>
      </c>
      <c r="O997" t="n">
        <v>0</v>
      </c>
      <c r="P997" t="n">
        <v>0</v>
      </c>
      <c r="Q997" t="n">
        <v>0</v>
      </c>
      <c r="R997" s="2" t="inlineStr"/>
    </row>
    <row r="998" ht="15" customHeight="1">
      <c r="A998" t="inlineStr">
        <is>
          <t>A 1961-2023</t>
        </is>
      </c>
      <c r="B998" s="1" t="n">
        <v>44939</v>
      </c>
      <c r="C998" s="1" t="n">
        <v>45851</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2098-2023</t>
        </is>
      </c>
      <c r="B999" s="1" t="n">
        <v>44939</v>
      </c>
      <c r="C999" s="1" t="n">
        <v>45851</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2314-2023</t>
        </is>
      </c>
      <c r="B1000" s="1" t="n">
        <v>44942</v>
      </c>
      <c r="C1000" s="1" t="n">
        <v>45851</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2738-2023</t>
        </is>
      </c>
      <c r="B1001" s="1" t="n">
        <v>44944</v>
      </c>
      <c r="C1001" s="1" t="n">
        <v>45851</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2741-2023</t>
        </is>
      </c>
      <c r="B1002" s="1" t="n">
        <v>44944</v>
      </c>
      <c r="C1002" s="1" t="n">
        <v>45851</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2746-2023</t>
        </is>
      </c>
      <c r="B1003" s="1" t="n">
        <v>44944</v>
      </c>
      <c r="C1003" s="1" t="n">
        <v>45851</v>
      </c>
      <c r="D1003" t="inlineStr">
        <is>
          <t>KALMAR LÄN</t>
        </is>
      </c>
      <c r="E1003" t="inlineStr">
        <is>
          <t>VÄSTERVIK</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3075-2023</t>
        </is>
      </c>
      <c r="B1004" s="1" t="n">
        <v>44946</v>
      </c>
      <c r="C1004" s="1" t="n">
        <v>45851</v>
      </c>
      <c r="D1004" t="inlineStr">
        <is>
          <t>KALMAR LÄN</t>
        </is>
      </c>
      <c r="E1004" t="inlineStr">
        <is>
          <t>VÄSTERVIK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3187-2023</t>
        </is>
      </c>
      <c r="B1005" s="1" t="n">
        <v>44946</v>
      </c>
      <c r="C1005" s="1" t="n">
        <v>45851</v>
      </c>
      <c r="D1005" t="inlineStr">
        <is>
          <t>KALMAR LÄN</t>
        </is>
      </c>
      <c r="E1005" t="inlineStr">
        <is>
          <t>VÄSTERVIK</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3185-2023</t>
        </is>
      </c>
      <c r="B1006" s="1" t="n">
        <v>44946</v>
      </c>
      <c r="C1006" s="1" t="n">
        <v>45851</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3190-2023</t>
        </is>
      </c>
      <c r="B1007" s="1" t="n">
        <v>44946</v>
      </c>
      <c r="C1007" s="1" t="n">
        <v>45851</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3867-2023</t>
        </is>
      </c>
      <c r="B1008" s="1" t="n">
        <v>44951</v>
      </c>
      <c r="C1008" s="1" t="n">
        <v>45851</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4508-2023</t>
        </is>
      </c>
      <c r="B1009" s="1" t="n">
        <v>44956</v>
      </c>
      <c r="C1009" s="1" t="n">
        <v>45851</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4624-2023</t>
        </is>
      </c>
      <c r="B1010" s="1" t="n">
        <v>44956</v>
      </c>
      <c r="C1010" s="1" t="n">
        <v>45851</v>
      </c>
      <c r="D1010" t="inlineStr">
        <is>
          <t>KALMAR LÄN</t>
        </is>
      </c>
      <c r="E1010" t="inlineStr">
        <is>
          <t>VÄSTERVIK</t>
        </is>
      </c>
      <c r="F1010" t="inlineStr">
        <is>
          <t>Holmen skog AB</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4579-2023</t>
        </is>
      </c>
      <c r="B1011" s="1" t="n">
        <v>44956</v>
      </c>
      <c r="C1011" s="1" t="n">
        <v>45851</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4583-2023</t>
        </is>
      </c>
      <c r="B1012" s="1" t="n">
        <v>44956</v>
      </c>
      <c r="C1012" s="1" t="n">
        <v>45851</v>
      </c>
      <c r="D1012" t="inlineStr">
        <is>
          <t>KALMAR LÄN</t>
        </is>
      </c>
      <c r="E1012" t="inlineStr">
        <is>
          <t>VÄSTERVIK</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4951-2023</t>
        </is>
      </c>
      <c r="B1013" s="1" t="n">
        <v>44958</v>
      </c>
      <c r="C1013" s="1" t="n">
        <v>45851</v>
      </c>
      <c r="D1013" t="inlineStr">
        <is>
          <t>KALMAR LÄN</t>
        </is>
      </c>
      <c r="E1013" t="inlineStr">
        <is>
          <t>VÄSTERVIK</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5684-2023</t>
        </is>
      </c>
      <c r="B1014" s="1" t="n">
        <v>44960</v>
      </c>
      <c r="C1014" s="1" t="n">
        <v>45851</v>
      </c>
      <c r="D1014" t="inlineStr">
        <is>
          <t>KALMAR LÄN</t>
        </is>
      </c>
      <c r="E1014" t="inlineStr">
        <is>
          <t>VÄSTERVIK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6346-2023</t>
        </is>
      </c>
      <c r="B1015" s="1" t="n">
        <v>44960</v>
      </c>
      <c r="C1015" s="1" t="n">
        <v>45851</v>
      </c>
      <c r="D1015" t="inlineStr">
        <is>
          <t>KALMAR LÄN</t>
        </is>
      </c>
      <c r="E1015" t="inlineStr">
        <is>
          <t>VÄSTERVIK</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5775-2023</t>
        </is>
      </c>
      <c r="B1016" s="1" t="n">
        <v>44963</v>
      </c>
      <c r="C1016" s="1" t="n">
        <v>45851</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5769-2023</t>
        </is>
      </c>
      <c r="B1017" s="1" t="n">
        <v>44963</v>
      </c>
      <c r="C1017" s="1" t="n">
        <v>45851</v>
      </c>
      <c r="D1017" t="inlineStr">
        <is>
          <t>KALMAR LÄN</t>
        </is>
      </c>
      <c r="E1017" t="inlineStr">
        <is>
          <t>VÄSTERVIK</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5774-2023</t>
        </is>
      </c>
      <c r="B1018" s="1" t="n">
        <v>44963</v>
      </c>
      <c r="C1018" s="1" t="n">
        <v>45851</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6042-2023</t>
        </is>
      </c>
      <c r="B1019" s="1" t="n">
        <v>44964</v>
      </c>
      <c r="C1019" s="1" t="n">
        <v>45851</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5982-2023</t>
        </is>
      </c>
      <c r="B1020" s="1" t="n">
        <v>44964</v>
      </c>
      <c r="C1020" s="1" t="n">
        <v>45851</v>
      </c>
      <c r="D1020" t="inlineStr">
        <is>
          <t>KALMAR LÄN</t>
        </is>
      </c>
      <c r="E1020" t="inlineStr">
        <is>
          <t>VÄSTERVIK</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6126-2023</t>
        </is>
      </c>
      <c r="B1021" s="1" t="n">
        <v>44964</v>
      </c>
      <c r="C1021" s="1" t="n">
        <v>45851</v>
      </c>
      <c r="D1021" t="inlineStr">
        <is>
          <t>KALMAR LÄN</t>
        </is>
      </c>
      <c r="E1021" t="inlineStr">
        <is>
          <t>VÄSTERVIK</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6319-2023</t>
        </is>
      </c>
      <c r="B1022" s="1" t="n">
        <v>44965</v>
      </c>
      <c r="C1022" s="1" t="n">
        <v>45851</v>
      </c>
      <c r="D1022" t="inlineStr">
        <is>
          <t>KALMAR LÄN</t>
        </is>
      </c>
      <c r="E1022" t="inlineStr">
        <is>
          <t>VÄSTERVIK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7126-2023</t>
        </is>
      </c>
      <c r="B1023" s="1" t="n">
        <v>44970</v>
      </c>
      <c r="C1023" s="1" t="n">
        <v>45851</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7080-2023</t>
        </is>
      </c>
      <c r="B1024" s="1" t="n">
        <v>44970</v>
      </c>
      <c r="C1024" s="1" t="n">
        <v>45851</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7098-2023</t>
        </is>
      </c>
      <c r="B1025" s="1" t="n">
        <v>44970</v>
      </c>
      <c r="C1025" s="1" t="n">
        <v>45851</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7255-2023</t>
        </is>
      </c>
      <c r="B1026" s="1" t="n">
        <v>44970</v>
      </c>
      <c r="C1026" s="1" t="n">
        <v>45851</v>
      </c>
      <c r="D1026" t="inlineStr">
        <is>
          <t>KALMAR LÄN</t>
        </is>
      </c>
      <c r="E1026" t="inlineStr">
        <is>
          <t>VÄSTERVIK</t>
        </is>
      </c>
      <c r="F1026" t="inlineStr">
        <is>
          <t>Naturvårdsverket</t>
        </is>
      </c>
      <c r="G1026" t="n">
        <v>0.6</v>
      </c>
      <c r="H1026" t="n">
        <v>0</v>
      </c>
      <c r="I1026" t="n">
        <v>0</v>
      </c>
      <c r="J1026" t="n">
        <v>0</v>
      </c>
      <c r="K1026" t="n">
        <v>0</v>
      </c>
      <c r="L1026" t="n">
        <v>0</v>
      </c>
      <c r="M1026" t="n">
        <v>0</v>
      </c>
      <c r="N1026" t="n">
        <v>0</v>
      </c>
      <c r="O1026" t="n">
        <v>0</v>
      </c>
      <c r="P1026" t="n">
        <v>0</v>
      </c>
      <c r="Q1026" t="n">
        <v>0</v>
      </c>
      <c r="R1026" s="2" t="inlineStr"/>
      <c r="U1026">
        <f>HYPERLINK("https://klasma.github.io/Logging_0883/knärot/A 7255-2023 karta knärot.png", "A 7255-2023")</f>
        <v/>
      </c>
      <c r="V1026">
        <f>HYPERLINK("https://klasma.github.io/Logging_0883/klagomål/A 7255-2023 FSC-klagomål.docx", "A 7255-2023")</f>
        <v/>
      </c>
      <c r="W1026">
        <f>HYPERLINK("https://klasma.github.io/Logging_0883/klagomålsmail/A 7255-2023 FSC-klagomål mail.docx", "A 7255-2023")</f>
        <v/>
      </c>
      <c r="X1026">
        <f>HYPERLINK("https://klasma.github.io/Logging_0883/tillsyn/A 7255-2023 tillsynsbegäran.docx", "A 7255-2023")</f>
        <v/>
      </c>
      <c r="Y1026">
        <f>HYPERLINK("https://klasma.github.io/Logging_0883/tillsynsmail/A 7255-2023 tillsynsbegäran mail.docx", "A 7255-2023")</f>
        <v/>
      </c>
    </row>
    <row r="1027" ht="15" customHeight="1">
      <c r="A1027" t="inlineStr">
        <is>
          <t>A 7100-2023</t>
        </is>
      </c>
      <c r="B1027" s="1" t="n">
        <v>44970</v>
      </c>
      <c r="C1027" s="1" t="n">
        <v>45851</v>
      </c>
      <c r="D1027" t="inlineStr">
        <is>
          <t>KALMAR LÄN</t>
        </is>
      </c>
      <c r="E1027" t="inlineStr">
        <is>
          <t>VÄSTERVIK</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7360-2023</t>
        </is>
      </c>
      <c r="B1028" s="1" t="n">
        <v>44971</v>
      </c>
      <c r="C1028" s="1" t="n">
        <v>45851</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7779-2023</t>
        </is>
      </c>
      <c r="B1029" s="1" t="n">
        <v>44973</v>
      </c>
      <c r="C1029" s="1" t="n">
        <v>45851</v>
      </c>
      <c r="D1029" t="inlineStr">
        <is>
          <t>KALMAR LÄN</t>
        </is>
      </c>
      <c r="E1029" t="inlineStr">
        <is>
          <t>VÄSTERVIK</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8005-2023</t>
        </is>
      </c>
      <c r="B1030" s="1" t="n">
        <v>44973</v>
      </c>
      <c r="C1030" s="1" t="n">
        <v>45851</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7925-2023</t>
        </is>
      </c>
      <c r="B1031" s="1" t="n">
        <v>44973</v>
      </c>
      <c r="C1031" s="1" t="n">
        <v>45851</v>
      </c>
      <c r="D1031" t="inlineStr">
        <is>
          <t>KALMAR LÄN</t>
        </is>
      </c>
      <c r="E1031" t="inlineStr">
        <is>
          <t>VÄSTERVIK</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7934-2023</t>
        </is>
      </c>
      <c r="B1032" s="1" t="n">
        <v>44973</v>
      </c>
      <c r="C1032" s="1" t="n">
        <v>45851</v>
      </c>
      <c r="D1032" t="inlineStr">
        <is>
          <t>KALMAR LÄN</t>
        </is>
      </c>
      <c r="E1032" t="inlineStr">
        <is>
          <t>VÄSTERVIK</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7938-2023</t>
        </is>
      </c>
      <c r="B1033" s="1" t="n">
        <v>44973</v>
      </c>
      <c r="C1033" s="1" t="n">
        <v>45851</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8014-2023</t>
        </is>
      </c>
      <c r="B1034" s="1" t="n">
        <v>44973</v>
      </c>
      <c r="C1034" s="1" t="n">
        <v>45851</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8007-2023</t>
        </is>
      </c>
      <c r="B1035" s="1" t="n">
        <v>44973</v>
      </c>
      <c r="C1035" s="1" t="n">
        <v>45851</v>
      </c>
      <c r="D1035" t="inlineStr">
        <is>
          <t>KALMAR LÄN</t>
        </is>
      </c>
      <c r="E1035" t="inlineStr">
        <is>
          <t>VÄSTERVIK</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8283-2023</t>
        </is>
      </c>
      <c r="B1036" s="1" t="n">
        <v>44974</v>
      </c>
      <c r="C1036" s="1" t="n">
        <v>45851</v>
      </c>
      <c r="D1036" t="inlineStr">
        <is>
          <t>KALMAR LÄN</t>
        </is>
      </c>
      <c r="E1036" t="inlineStr">
        <is>
          <t>VÄSTERVIK</t>
        </is>
      </c>
      <c r="F1036" t="inlineStr">
        <is>
          <t>Kyrkan</t>
        </is>
      </c>
      <c r="G1036" t="n">
        <v>14.5</v>
      </c>
      <c r="H1036" t="n">
        <v>0</v>
      </c>
      <c r="I1036" t="n">
        <v>0</v>
      </c>
      <c r="J1036" t="n">
        <v>0</v>
      </c>
      <c r="K1036" t="n">
        <v>0</v>
      </c>
      <c r="L1036" t="n">
        <v>0</v>
      </c>
      <c r="M1036" t="n">
        <v>0</v>
      </c>
      <c r="N1036" t="n">
        <v>0</v>
      </c>
      <c r="O1036" t="n">
        <v>0</v>
      </c>
      <c r="P1036" t="n">
        <v>0</v>
      </c>
      <c r="Q1036" t="n">
        <v>0</v>
      </c>
      <c r="R1036" s="2" t="inlineStr"/>
    </row>
    <row r="1037" ht="15" customHeight="1">
      <c r="A1037" t="inlineStr">
        <is>
          <t>A 8289-2023</t>
        </is>
      </c>
      <c r="B1037" s="1" t="n">
        <v>44974</v>
      </c>
      <c r="C1037" s="1" t="n">
        <v>45851</v>
      </c>
      <c r="D1037" t="inlineStr">
        <is>
          <t>KALMAR LÄN</t>
        </is>
      </c>
      <c r="E1037" t="inlineStr">
        <is>
          <t>VÄSTERVIK</t>
        </is>
      </c>
      <c r="F1037" t="inlineStr">
        <is>
          <t>Kyrkan</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8456-2023</t>
        </is>
      </c>
      <c r="B1038" s="1" t="n">
        <v>44977</v>
      </c>
      <c r="C1038" s="1" t="n">
        <v>45851</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8382-2023</t>
        </is>
      </c>
      <c r="B1039" s="1" t="n">
        <v>44977</v>
      </c>
      <c r="C1039" s="1" t="n">
        <v>45851</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8440-2023</t>
        </is>
      </c>
      <c r="B1040" s="1" t="n">
        <v>44977</v>
      </c>
      <c r="C1040" s="1" t="n">
        <v>45851</v>
      </c>
      <c r="D1040" t="inlineStr">
        <is>
          <t>KALMAR LÄN</t>
        </is>
      </c>
      <c r="E1040" t="inlineStr">
        <is>
          <t>VÄSTERVIK</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8593-2023</t>
        </is>
      </c>
      <c r="B1041" s="1" t="n">
        <v>44977</v>
      </c>
      <c r="C1041" s="1" t="n">
        <v>45851</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8597-2023</t>
        </is>
      </c>
      <c r="B1042" s="1" t="n">
        <v>44977</v>
      </c>
      <c r="C1042" s="1" t="n">
        <v>45851</v>
      </c>
      <c r="D1042" t="inlineStr">
        <is>
          <t>KALMAR LÄN</t>
        </is>
      </c>
      <c r="E1042" t="inlineStr">
        <is>
          <t>VÄSTERVIK</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45851</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8513-2023</t>
        </is>
      </c>
      <c r="B1044" s="1" t="n">
        <v>44977</v>
      </c>
      <c r="C1044" s="1" t="n">
        <v>45851</v>
      </c>
      <c r="D1044" t="inlineStr">
        <is>
          <t>KALMAR LÄN</t>
        </is>
      </c>
      <c r="E1044" t="inlineStr">
        <is>
          <t>VÄSTERVIK</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8561-2023</t>
        </is>
      </c>
      <c r="B1045" s="1" t="n">
        <v>44977</v>
      </c>
      <c r="C1045" s="1" t="n">
        <v>45851</v>
      </c>
      <c r="D1045" t="inlineStr">
        <is>
          <t>KALMAR LÄN</t>
        </is>
      </c>
      <c r="E1045" t="inlineStr">
        <is>
          <t>VÄSTERVIK</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8896-2023</t>
        </is>
      </c>
      <c r="B1046" s="1" t="n">
        <v>44979</v>
      </c>
      <c r="C1046" s="1" t="n">
        <v>45851</v>
      </c>
      <c r="D1046" t="inlineStr">
        <is>
          <t>KALMAR LÄN</t>
        </is>
      </c>
      <c r="E1046" t="inlineStr">
        <is>
          <t>VÄSTERVIK</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9037-2023</t>
        </is>
      </c>
      <c r="B1047" s="1" t="n">
        <v>44979</v>
      </c>
      <c r="C1047" s="1" t="n">
        <v>45851</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9111-2023</t>
        </is>
      </c>
      <c r="B1048" s="1" t="n">
        <v>44980</v>
      </c>
      <c r="C1048" s="1" t="n">
        <v>45851</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9042-2023</t>
        </is>
      </c>
      <c r="B1049" s="1" t="n">
        <v>44979</v>
      </c>
      <c r="C1049" s="1" t="n">
        <v>45851</v>
      </c>
      <c r="D1049" t="inlineStr">
        <is>
          <t>KALMAR LÄN</t>
        </is>
      </c>
      <c r="E1049" t="inlineStr">
        <is>
          <t>VÄSTERVIK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9112-2023</t>
        </is>
      </c>
      <c r="B1050" s="1" t="n">
        <v>44979</v>
      </c>
      <c r="C1050" s="1" t="n">
        <v>45851</v>
      </c>
      <c r="D1050" t="inlineStr">
        <is>
          <t>KALMAR LÄN</t>
        </is>
      </c>
      <c r="E1050" t="inlineStr">
        <is>
          <t>VÄSTERVIK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9110-2023</t>
        </is>
      </c>
      <c r="B1051" s="1" t="n">
        <v>44979</v>
      </c>
      <c r="C1051" s="1" t="n">
        <v>45851</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9223-2023</t>
        </is>
      </c>
      <c r="B1052" s="1" t="n">
        <v>44980</v>
      </c>
      <c r="C1052" s="1" t="n">
        <v>45851</v>
      </c>
      <c r="D1052" t="inlineStr">
        <is>
          <t>KALMAR LÄN</t>
        </is>
      </c>
      <c r="E1052" t="inlineStr">
        <is>
          <t>VÄSTERVIK</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9222-2023</t>
        </is>
      </c>
      <c r="B1053" s="1" t="n">
        <v>44980</v>
      </c>
      <c r="C1053" s="1" t="n">
        <v>45851</v>
      </c>
      <c r="D1053" t="inlineStr">
        <is>
          <t>KALMAR LÄN</t>
        </is>
      </c>
      <c r="E1053" t="inlineStr">
        <is>
          <t>VÄSTERVIK</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9220-2023</t>
        </is>
      </c>
      <c r="B1054" s="1" t="n">
        <v>44980</v>
      </c>
      <c r="C1054" s="1" t="n">
        <v>45851</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9631-2023</t>
        </is>
      </c>
      <c r="B1055" s="1" t="n">
        <v>44984</v>
      </c>
      <c r="C1055" s="1" t="n">
        <v>45851</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9771-2023</t>
        </is>
      </c>
      <c r="B1056" s="1" t="n">
        <v>44984</v>
      </c>
      <c r="C1056" s="1" t="n">
        <v>45851</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9770-2023</t>
        </is>
      </c>
      <c r="B1057" s="1" t="n">
        <v>44984</v>
      </c>
      <c r="C1057" s="1" t="n">
        <v>45851</v>
      </c>
      <c r="D1057" t="inlineStr">
        <is>
          <t>KALMAR LÄN</t>
        </is>
      </c>
      <c r="E1057" t="inlineStr">
        <is>
          <t>VÄSTERVIK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9792-2023</t>
        </is>
      </c>
      <c r="B1058" s="1" t="n">
        <v>44984</v>
      </c>
      <c r="C1058" s="1" t="n">
        <v>45851</v>
      </c>
      <c r="D1058" t="inlineStr">
        <is>
          <t>KALMAR LÄN</t>
        </is>
      </c>
      <c r="E1058" t="inlineStr">
        <is>
          <t>VÄSTERVIK</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10419-2023</t>
        </is>
      </c>
      <c r="B1059" s="1" t="n">
        <v>44987</v>
      </c>
      <c r="C1059" s="1" t="n">
        <v>45851</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10421-2023</t>
        </is>
      </c>
      <c r="B1060" s="1" t="n">
        <v>44987</v>
      </c>
      <c r="C1060" s="1" t="n">
        <v>45851</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10665-2023</t>
        </is>
      </c>
      <c r="B1061" s="1" t="n">
        <v>44988</v>
      </c>
      <c r="C1061" s="1" t="n">
        <v>45851</v>
      </c>
      <c r="D1061" t="inlineStr">
        <is>
          <t>KALMAR LÄN</t>
        </is>
      </c>
      <c r="E1061" t="inlineStr">
        <is>
          <t>VÄSTERVIK</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10725-2023</t>
        </is>
      </c>
      <c r="B1062" s="1" t="n">
        <v>44988</v>
      </c>
      <c r="C1062" s="1" t="n">
        <v>45851</v>
      </c>
      <c r="D1062" t="inlineStr">
        <is>
          <t>KALMAR LÄN</t>
        </is>
      </c>
      <c r="E1062" t="inlineStr">
        <is>
          <t>VÄSTERVIK</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10807-2023</t>
        </is>
      </c>
      <c r="B1063" s="1" t="n">
        <v>44989</v>
      </c>
      <c r="C1063" s="1" t="n">
        <v>45851</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10801-2023</t>
        </is>
      </c>
      <c r="B1064" s="1" t="n">
        <v>44989</v>
      </c>
      <c r="C1064" s="1" t="n">
        <v>45851</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11210-2023</t>
        </is>
      </c>
      <c r="B1065" s="1" t="n">
        <v>44992</v>
      </c>
      <c r="C1065" s="1" t="n">
        <v>45851</v>
      </c>
      <c r="D1065" t="inlineStr">
        <is>
          <t>KALMAR LÄN</t>
        </is>
      </c>
      <c r="E1065" t="inlineStr">
        <is>
          <t>VÄSTERVIK</t>
        </is>
      </c>
      <c r="F1065" t="inlineStr">
        <is>
          <t>Holmen skog AB</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11276-2023</t>
        </is>
      </c>
      <c r="B1066" s="1" t="n">
        <v>44992</v>
      </c>
      <c r="C1066" s="1" t="n">
        <v>45851</v>
      </c>
      <c r="D1066" t="inlineStr">
        <is>
          <t>KALMAR LÄN</t>
        </is>
      </c>
      <c r="E1066" t="inlineStr">
        <is>
          <t>VÄSTERVIK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11577-2023</t>
        </is>
      </c>
      <c r="B1067" s="1" t="n">
        <v>44994</v>
      </c>
      <c r="C1067" s="1" t="n">
        <v>45851</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11583-2023</t>
        </is>
      </c>
      <c r="B1068" s="1" t="n">
        <v>44994</v>
      </c>
      <c r="C1068" s="1" t="n">
        <v>45851</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11579-2023</t>
        </is>
      </c>
      <c r="B1069" s="1" t="n">
        <v>44994</v>
      </c>
      <c r="C1069" s="1" t="n">
        <v>45851</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11584-2023</t>
        </is>
      </c>
      <c r="B1070" s="1" t="n">
        <v>44994</v>
      </c>
      <c r="C1070" s="1" t="n">
        <v>45851</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11586-2023</t>
        </is>
      </c>
      <c r="B1071" s="1" t="n">
        <v>44994</v>
      </c>
      <c r="C1071" s="1" t="n">
        <v>45851</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11804-2023</t>
        </is>
      </c>
      <c r="B1072" s="1" t="n">
        <v>44994</v>
      </c>
      <c r="C1072" s="1" t="n">
        <v>45851</v>
      </c>
      <c r="D1072" t="inlineStr">
        <is>
          <t>KALMAR LÄN</t>
        </is>
      </c>
      <c r="E1072" t="inlineStr">
        <is>
          <t>VÄSTERVIK</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11727-2023</t>
        </is>
      </c>
      <c r="B1073" s="1" t="n">
        <v>44994</v>
      </c>
      <c r="C1073" s="1" t="n">
        <v>45851</v>
      </c>
      <c r="D1073" t="inlineStr">
        <is>
          <t>KALMAR LÄN</t>
        </is>
      </c>
      <c r="E1073" t="inlineStr">
        <is>
          <t>VÄSTERVIK</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11741-2023</t>
        </is>
      </c>
      <c r="B1074" s="1" t="n">
        <v>44994</v>
      </c>
      <c r="C1074" s="1" t="n">
        <v>45851</v>
      </c>
      <c r="D1074" t="inlineStr">
        <is>
          <t>KALMAR LÄN</t>
        </is>
      </c>
      <c r="E1074" t="inlineStr">
        <is>
          <t>VÄSTERVIK</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11730-2023</t>
        </is>
      </c>
      <c r="B1075" s="1" t="n">
        <v>44994</v>
      </c>
      <c r="C1075" s="1" t="n">
        <v>45851</v>
      </c>
      <c r="D1075" t="inlineStr">
        <is>
          <t>KALMAR LÄN</t>
        </is>
      </c>
      <c r="E1075" t="inlineStr">
        <is>
          <t>VÄSTERVIK</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12504-2023</t>
        </is>
      </c>
      <c r="B1076" s="1" t="n">
        <v>44999</v>
      </c>
      <c r="C1076" s="1" t="n">
        <v>45851</v>
      </c>
      <c r="D1076" t="inlineStr">
        <is>
          <t>KALMAR LÄN</t>
        </is>
      </c>
      <c r="E1076" t="inlineStr">
        <is>
          <t>VÄSTERVIK</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12595-2023</t>
        </is>
      </c>
      <c r="B1077" s="1" t="n">
        <v>45000</v>
      </c>
      <c r="C1077" s="1" t="n">
        <v>45851</v>
      </c>
      <c r="D1077" t="inlineStr">
        <is>
          <t>KALMAR LÄN</t>
        </is>
      </c>
      <c r="E1077" t="inlineStr">
        <is>
          <t>VÄSTERVIK</t>
        </is>
      </c>
      <c r="F1077" t="inlineStr">
        <is>
          <t>Holmen skog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13275-2023</t>
        </is>
      </c>
      <c r="B1078" s="1" t="n">
        <v>45003</v>
      </c>
      <c r="C1078" s="1" t="n">
        <v>45851</v>
      </c>
      <c r="D1078" t="inlineStr">
        <is>
          <t>KALMAR LÄN</t>
        </is>
      </c>
      <c r="E1078" t="inlineStr">
        <is>
          <t>VÄSTERVIK</t>
        </is>
      </c>
      <c r="G1078" t="n">
        <v>1.6</v>
      </c>
      <c r="H1078" t="n">
        <v>0</v>
      </c>
      <c r="I1078" t="n">
        <v>0</v>
      </c>
      <c r="J1078" t="n">
        <v>0</v>
      </c>
      <c r="K1078" t="n">
        <v>0</v>
      </c>
      <c r="L1078" t="n">
        <v>0</v>
      </c>
      <c r="M1078" t="n">
        <v>0</v>
      </c>
      <c r="N1078" t="n">
        <v>0</v>
      </c>
      <c r="O1078" t="n">
        <v>0</v>
      </c>
      <c r="P1078" t="n">
        <v>0</v>
      </c>
      <c r="Q1078" t="n">
        <v>0</v>
      </c>
      <c r="R1078" s="2" t="inlineStr"/>
      <c r="U1078">
        <f>HYPERLINK("https://klasma.github.io/Logging_0883/knärot/A 13275-2023 karta knärot.png", "A 13275-2023")</f>
        <v/>
      </c>
      <c r="V1078">
        <f>HYPERLINK("https://klasma.github.io/Logging_0883/klagomål/A 13275-2023 FSC-klagomål.docx", "A 13275-2023")</f>
        <v/>
      </c>
      <c r="W1078">
        <f>HYPERLINK("https://klasma.github.io/Logging_0883/klagomålsmail/A 13275-2023 FSC-klagomål mail.docx", "A 13275-2023")</f>
        <v/>
      </c>
      <c r="X1078">
        <f>HYPERLINK("https://klasma.github.io/Logging_0883/tillsyn/A 13275-2023 tillsynsbegäran.docx", "A 13275-2023")</f>
        <v/>
      </c>
      <c r="Y1078">
        <f>HYPERLINK("https://klasma.github.io/Logging_0883/tillsynsmail/A 13275-2023 tillsynsbegäran mail.docx", "A 13275-2023")</f>
        <v/>
      </c>
    </row>
    <row r="1079" ht="15" customHeight="1">
      <c r="A1079" t="inlineStr">
        <is>
          <t>A 13761-2023</t>
        </is>
      </c>
      <c r="B1079" s="1" t="n">
        <v>45007</v>
      </c>
      <c r="C1079" s="1" t="n">
        <v>45851</v>
      </c>
      <c r="D1079" t="inlineStr">
        <is>
          <t>KALMAR LÄN</t>
        </is>
      </c>
      <c r="E1079" t="inlineStr">
        <is>
          <t>VÄSTERVIK</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13770-2023</t>
        </is>
      </c>
      <c r="B1080" s="1" t="n">
        <v>45007</v>
      </c>
      <c r="C1080" s="1" t="n">
        <v>45851</v>
      </c>
      <c r="D1080" t="inlineStr">
        <is>
          <t>KALMAR LÄN</t>
        </is>
      </c>
      <c r="E1080" t="inlineStr">
        <is>
          <t>VÄSTERVIK</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13841-2023</t>
        </is>
      </c>
      <c r="B1081" s="1" t="n">
        <v>45007</v>
      </c>
      <c r="C1081" s="1" t="n">
        <v>45851</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13838-2023</t>
        </is>
      </c>
      <c r="B1082" s="1" t="n">
        <v>45007</v>
      </c>
      <c r="C1082" s="1" t="n">
        <v>45851</v>
      </c>
      <c r="D1082" t="inlineStr">
        <is>
          <t>KALMAR LÄN</t>
        </is>
      </c>
      <c r="E1082" t="inlineStr">
        <is>
          <t>VÄSTERVIK</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13995-2023</t>
        </is>
      </c>
      <c r="B1083" s="1" t="n">
        <v>45008</v>
      </c>
      <c r="C1083" s="1" t="n">
        <v>45851</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14388-2023</t>
        </is>
      </c>
      <c r="B1084" s="1" t="n">
        <v>45012</v>
      </c>
      <c r="C1084" s="1" t="n">
        <v>45851</v>
      </c>
      <c r="D1084" t="inlineStr">
        <is>
          <t>KALMAR LÄN</t>
        </is>
      </c>
      <c r="E1084" t="inlineStr">
        <is>
          <t>VÄSTERVIK</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14387-2023</t>
        </is>
      </c>
      <c r="B1085" s="1" t="n">
        <v>45012</v>
      </c>
      <c r="C1085" s="1" t="n">
        <v>45851</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14385-2023</t>
        </is>
      </c>
      <c r="B1086" s="1" t="n">
        <v>45012</v>
      </c>
      <c r="C1086" s="1" t="n">
        <v>45851</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15099-2023</t>
        </is>
      </c>
      <c r="B1087" s="1" t="n">
        <v>45016</v>
      </c>
      <c r="C1087" s="1" t="n">
        <v>45851</v>
      </c>
      <c r="D1087" t="inlineStr">
        <is>
          <t>KALMAR LÄN</t>
        </is>
      </c>
      <c r="E1087" t="inlineStr">
        <is>
          <t>VÄSTERVIK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15106-2023</t>
        </is>
      </c>
      <c r="B1088" s="1" t="n">
        <v>45016</v>
      </c>
      <c r="C1088" s="1" t="n">
        <v>45851</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15097-2023</t>
        </is>
      </c>
      <c r="B1089" s="1" t="n">
        <v>45016</v>
      </c>
      <c r="C1089" s="1" t="n">
        <v>45851</v>
      </c>
      <c r="D1089" t="inlineStr">
        <is>
          <t>KALMAR LÄN</t>
        </is>
      </c>
      <c r="E1089" t="inlineStr">
        <is>
          <t>VÄSTERVIK</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15103-2023</t>
        </is>
      </c>
      <c r="B1090" s="1" t="n">
        <v>45016</v>
      </c>
      <c r="C1090" s="1" t="n">
        <v>45851</v>
      </c>
      <c r="D1090" t="inlineStr">
        <is>
          <t>KALMAR LÄN</t>
        </is>
      </c>
      <c r="E1090" t="inlineStr">
        <is>
          <t>VÄSTERVIK</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15270-2023</t>
        </is>
      </c>
      <c r="B1091" s="1" t="n">
        <v>45019</v>
      </c>
      <c r="C1091" s="1" t="n">
        <v>45851</v>
      </c>
      <c r="D1091" t="inlineStr">
        <is>
          <t>KALMAR LÄN</t>
        </is>
      </c>
      <c r="E1091" t="inlineStr">
        <is>
          <t>VÄSTERVIK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15438-2023</t>
        </is>
      </c>
      <c r="B1092" s="1" t="n">
        <v>45020</v>
      </c>
      <c r="C1092" s="1" t="n">
        <v>45851</v>
      </c>
      <c r="D1092" t="inlineStr">
        <is>
          <t>KALMAR LÄN</t>
        </is>
      </c>
      <c r="E1092" t="inlineStr">
        <is>
          <t>VÄSTERVIK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15761-2023</t>
        </is>
      </c>
      <c r="B1093" s="1" t="n">
        <v>45021</v>
      </c>
      <c r="C1093" s="1" t="n">
        <v>45851</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15765-2023</t>
        </is>
      </c>
      <c r="B1094" s="1" t="n">
        <v>45021</v>
      </c>
      <c r="C1094" s="1" t="n">
        <v>45851</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15875-2023</t>
        </is>
      </c>
      <c r="B1095" s="1" t="n">
        <v>45022</v>
      </c>
      <c r="C1095" s="1" t="n">
        <v>45851</v>
      </c>
      <c r="D1095" t="inlineStr">
        <is>
          <t>KALMAR LÄN</t>
        </is>
      </c>
      <c r="E1095" t="inlineStr">
        <is>
          <t>VÄSTERVIK</t>
        </is>
      </c>
      <c r="F1095" t="inlineStr">
        <is>
          <t>Kyrkan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16485-2023</t>
        </is>
      </c>
      <c r="B1096" s="1" t="n">
        <v>45029</v>
      </c>
      <c r="C1096" s="1" t="n">
        <v>45851</v>
      </c>
      <c r="D1096" t="inlineStr">
        <is>
          <t>KALMAR LÄN</t>
        </is>
      </c>
      <c r="E1096" t="inlineStr">
        <is>
          <t>VÄSTERVIK</t>
        </is>
      </c>
      <c r="F1096" t="inlineStr">
        <is>
          <t>Sveaskog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16506-2023</t>
        </is>
      </c>
      <c r="B1097" s="1" t="n">
        <v>45029</v>
      </c>
      <c r="C1097" s="1" t="n">
        <v>45851</v>
      </c>
      <c r="D1097" t="inlineStr">
        <is>
          <t>KALMAR LÄN</t>
        </is>
      </c>
      <c r="E1097" t="inlineStr">
        <is>
          <t>VÄSTERVIK</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16507-2023</t>
        </is>
      </c>
      <c r="B1098" s="1" t="n">
        <v>45029</v>
      </c>
      <c r="C1098" s="1" t="n">
        <v>45851</v>
      </c>
      <c r="D1098" t="inlineStr">
        <is>
          <t>KALMAR LÄN</t>
        </is>
      </c>
      <c r="E1098" t="inlineStr">
        <is>
          <t>VÄSTERVIK</t>
        </is>
      </c>
      <c r="F1098" t="inlineStr">
        <is>
          <t>Sveaskog</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16617-2023</t>
        </is>
      </c>
      <c r="B1099" s="1" t="n">
        <v>45030</v>
      </c>
      <c r="C1099" s="1" t="n">
        <v>45851</v>
      </c>
      <c r="D1099" t="inlineStr">
        <is>
          <t>KALMAR LÄN</t>
        </is>
      </c>
      <c r="E1099" t="inlineStr">
        <is>
          <t>VÄSTERVIK</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16834-2023</t>
        </is>
      </c>
      <c r="B1100" s="1" t="n">
        <v>45033</v>
      </c>
      <c r="C1100" s="1" t="n">
        <v>45851</v>
      </c>
      <c r="D1100" t="inlineStr">
        <is>
          <t>KALMAR LÄN</t>
        </is>
      </c>
      <c r="E1100" t="inlineStr">
        <is>
          <t>VÄSTERVIK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16819-2023</t>
        </is>
      </c>
      <c r="B1101" s="1" t="n">
        <v>45033</v>
      </c>
      <c r="C1101" s="1" t="n">
        <v>45851</v>
      </c>
      <c r="D1101" t="inlineStr">
        <is>
          <t>KALMAR LÄN</t>
        </is>
      </c>
      <c r="E1101" t="inlineStr">
        <is>
          <t>VÄSTERVIK</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17307-2023</t>
        </is>
      </c>
      <c r="B1102" s="1" t="n">
        <v>45035</v>
      </c>
      <c r="C1102" s="1" t="n">
        <v>45851</v>
      </c>
      <c r="D1102" t="inlineStr">
        <is>
          <t>KALMAR LÄN</t>
        </is>
      </c>
      <c r="E1102" t="inlineStr">
        <is>
          <t>VÄSTERVIK</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17314-2023</t>
        </is>
      </c>
      <c r="B1103" s="1" t="n">
        <v>45035</v>
      </c>
      <c r="C1103" s="1" t="n">
        <v>45851</v>
      </c>
      <c r="D1103" t="inlineStr">
        <is>
          <t>KALMAR LÄN</t>
        </is>
      </c>
      <c r="E1103" t="inlineStr">
        <is>
          <t>VÄSTERVIK</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17315-2023</t>
        </is>
      </c>
      <c r="B1104" s="1" t="n">
        <v>45035</v>
      </c>
      <c r="C1104" s="1" t="n">
        <v>45851</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17306-2023</t>
        </is>
      </c>
      <c r="B1105" s="1" t="n">
        <v>45035</v>
      </c>
      <c r="C1105" s="1" t="n">
        <v>45851</v>
      </c>
      <c r="D1105" t="inlineStr">
        <is>
          <t>KALMAR LÄN</t>
        </is>
      </c>
      <c r="E1105" t="inlineStr">
        <is>
          <t>VÄSTERVIK</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17313-2023</t>
        </is>
      </c>
      <c r="B1106" s="1" t="n">
        <v>45035</v>
      </c>
      <c r="C1106" s="1" t="n">
        <v>45851</v>
      </c>
      <c r="D1106" t="inlineStr">
        <is>
          <t>KALMAR LÄN</t>
        </is>
      </c>
      <c r="E1106" t="inlineStr">
        <is>
          <t>VÄSTERVIK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17317-2023</t>
        </is>
      </c>
      <c r="B1107" s="1" t="n">
        <v>45035</v>
      </c>
      <c r="C1107" s="1" t="n">
        <v>45851</v>
      </c>
      <c r="D1107" t="inlineStr">
        <is>
          <t>KALMAR LÄN</t>
        </is>
      </c>
      <c r="E1107" t="inlineStr">
        <is>
          <t>VÄSTERVIK</t>
        </is>
      </c>
      <c r="G1107" t="n">
        <v>2.5</v>
      </c>
      <c r="H1107" t="n">
        <v>0</v>
      </c>
      <c r="I1107" t="n">
        <v>0</v>
      </c>
      <c r="J1107" t="n">
        <v>0</v>
      </c>
      <c r="K1107" t="n">
        <v>0</v>
      </c>
      <c r="L1107" t="n">
        <v>0</v>
      </c>
      <c r="M1107" t="n">
        <v>0</v>
      </c>
      <c r="N1107" t="n">
        <v>0</v>
      </c>
      <c r="O1107" t="n">
        <v>0</v>
      </c>
      <c r="P1107" t="n">
        <v>0</v>
      </c>
      <c r="Q1107" t="n">
        <v>0</v>
      </c>
      <c r="R1107" s="2" t="inlineStr"/>
      <c r="U1107">
        <f>HYPERLINK("https://klasma.github.io/Logging_0883/knärot/A 17317-2023 karta knärot.png", "A 17317-2023")</f>
        <v/>
      </c>
      <c r="V1107">
        <f>HYPERLINK("https://klasma.github.io/Logging_0883/klagomål/A 17317-2023 FSC-klagomål.docx", "A 17317-2023")</f>
        <v/>
      </c>
      <c r="W1107">
        <f>HYPERLINK("https://klasma.github.io/Logging_0883/klagomålsmail/A 17317-2023 FSC-klagomål mail.docx", "A 17317-2023")</f>
        <v/>
      </c>
      <c r="X1107">
        <f>HYPERLINK("https://klasma.github.io/Logging_0883/tillsyn/A 17317-2023 tillsynsbegäran.docx", "A 17317-2023")</f>
        <v/>
      </c>
      <c r="Y1107">
        <f>HYPERLINK("https://klasma.github.io/Logging_0883/tillsynsmail/A 17317-2023 tillsynsbegäran mail.docx", "A 17317-2023")</f>
        <v/>
      </c>
    </row>
    <row r="1108" ht="15" customHeight="1">
      <c r="A1108" t="inlineStr">
        <is>
          <t>A 17467-2023</t>
        </is>
      </c>
      <c r="B1108" s="1" t="n">
        <v>45036</v>
      </c>
      <c r="C1108" s="1" t="n">
        <v>45851</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17642-2023</t>
        </is>
      </c>
      <c r="B1109" s="1" t="n">
        <v>45036</v>
      </c>
      <c r="C1109" s="1" t="n">
        <v>45851</v>
      </c>
      <c r="D1109" t="inlineStr">
        <is>
          <t>KALMAR LÄN</t>
        </is>
      </c>
      <c r="E1109" t="inlineStr">
        <is>
          <t>VÄSTERVIK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17644-2023</t>
        </is>
      </c>
      <c r="B1110" s="1" t="n">
        <v>45036</v>
      </c>
      <c r="C1110" s="1" t="n">
        <v>45851</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17650-2023</t>
        </is>
      </c>
      <c r="B1111" s="1" t="n">
        <v>45036</v>
      </c>
      <c r="C1111" s="1" t="n">
        <v>45851</v>
      </c>
      <c r="D1111" t="inlineStr">
        <is>
          <t>KALMAR LÄN</t>
        </is>
      </c>
      <c r="E1111" t="inlineStr">
        <is>
          <t>VÄSTERVIK</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17645-2023</t>
        </is>
      </c>
      <c r="B1112" s="1" t="n">
        <v>45036</v>
      </c>
      <c r="C1112" s="1" t="n">
        <v>45851</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17652-2023</t>
        </is>
      </c>
      <c r="B1113" s="1" t="n">
        <v>45036</v>
      </c>
      <c r="C1113" s="1" t="n">
        <v>45851</v>
      </c>
      <c r="D1113" t="inlineStr">
        <is>
          <t>KALMAR LÄN</t>
        </is>
      </c>
      <c r="E1113" t="inlineStr">
        <is>
          <t>VÄSTERVIK</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17643-2023</t>
        </is>
      </c>
      <c r="B1114" s="1" t="n">
        <v>45036</v>
      </c>
      <c r="C1114" s="1" t="n">
        <v>45851</v>
      </c>
      <c r="D1114" t="inlineStr">
        <is>
          <t>KALMAR LÄN</t>
        </is>
      </c>
      <c r="E1114" t="inlineStr">
        <is>
          <t>VÄSTERVIK</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17648-2023</t>
        </is>
      </c>
      <c r="B1115" s="1" t="n">
        <v>45036</v>
      </c>
      <c r="C1115" s="1" t="n">
        <v>45851</v>
      </c>
      <c r="D1115" t="inlineStr">
        <is>
          <t>KALMAR LÄN</t>
        </is>
      </c>
      <c r="E1115" t="inlineStr">
        <is>
          <t>VÄSTERVIK</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18051-2023</t>
        </is>
      </c>
      <c r="B1116" s="1" t="n">
        <v>45040</v>
      </c>
      <c r="C1116" s="1" t="n">
        <v>45851</v>
      </c>
      <c r="D1116" t="inlineStr">
        <is>
          <t>KALMAR LÄN</t>
        </is>
      </c>
      <c r="E1116" t="inlineStr">
        <is>
          <t>VÄSTERVIK</t>
        </is>
      </c>
      <c r="F1116" t="inlineStr">
        <is>
          <t>Sveaskog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18071-2023</t>
        </is>
      </c>
      <c r="B1117" s="1" t="n">
        <v>45040</v>
      </c>
      <c r="C1117" s="1" t="n">
        <v>45851</v>
      </c>
      <c r="D1117" t="inlineStr">
        <is>
          <t>KALMAR LÄN</t>
        </is>
      </c>
      <c r="E1117" t="inlineStr">
        <is>
          <t>VÄSTERVIK</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18068-2023</t>
        </is>
      </c>
      <c r="B1118" s="1" t="n">
        <v>45040</v>
      </c>
      <c r="C1118" s="1" t="n">
        <v>45851</v>
      </c>
      <c r="D1118" t="inlineStr">
        <is>
          <t>KALMAR LÄN</t>
        </is>
      </c>
      <c r="E1118" t="inlineStr">
        <is>
          <t>VÄSTERVIK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18079-2023</t>
        </is>
      </c>
      <c r="B1119" s="1" t="n">
        <v>45040</v>
      </c>
      <c r="C1119" s="1" t="n">
        <v>45851</v>
      </c>
      <c r="D1119" t="inlineStr">
        <is>
          <t>KALMAR LÄN</t>
        </is>
      </c>
      <c r="E1119" t="inlineStr">
        <is>
          <t>VÄSTERVIK</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18048-2023</t>
        </is>
      </c>
      <c r="B1120" s="1" t="n">
        <v>45040</v>
      </c>
      <c r="C1120" s="1" t="n">
        <v>45851</v>
      </c>
      <c r="D1120" t="inlineStr">
        <is>
          <t>KALMAR LÄN</t>
        </is>
      </c>
      <c r="E1120" t="inlineStr">
        <is>
          <t>VÄSTERVIK</t>
        </is>
      </c>
      <c r="F1120" t="inlineStr">
        <is>
          <t>Sveaskog</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18081-2023</t>
        </is>
      </c>
      <c r="B1121" s="1" t="n">
        <v>45040</v>
      </c>
      <c r="C1121" s="1" t="n">
        <v>45851</v>
      </c>
      <c r="D1121" t="inlineStr">
        <is>
          <t>KALMAR LÄN</t>
        </is>
      </c>
      <c r="E1121" t="inlineStr">
        <is>
          <t>VÄSTERVIK</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18858-2023</t>
        </is>
      </c>
      <c r="B1122" s="1" t="n">
        <v>45044</v>
      </c>
      <c r="C1122" s="1" t="n">
        <v>45851</v>
      </c>
      <c r="D1122" t="inlineStr">
        <is>
          <t>KALMAR LÄN</t>
        </is>
      </c>
      <c r="E1122" t="inlineStr">
        <is>
          <t>VÄSTERVIK</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18859-2023</t>
        </is>
      </c>
      <c r="B1123" s="1" t="n">
        <v>45044</v>
      </c>
      <c r="C1123" s="1" t="n">
        <v>45851</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18960-2023</t>
        </is>
      </c>
      <c r="B1124" s="1" t="n">
        <v>45044</v>
      </c>
      <c r="C1124" s="1" t="n">
        <v>45851</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19110-2023</t>
        </is>
      </c>
      <c r="B1125" s="1" t="n">
        <v>45048</v>
      </c>
      <c r="C1125" s="1" t="n">
        <v>45851</v>
      </c>
      <c r="D1125" t="inlineStr">
        <is>
          <t>KALMAR LÄN</t>
        </is>
      </c>
      <c r="E1125" t="inlineStr">
        <is>
          <t>VÄSTERVIK</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19212-2023</t>
        </is>
      </c>
      <c r="B1126" s="1" t="n">
        <v>45048</v>
      </c>
      <c r="C1126" s="1" t="n">
        <v>45851</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19365-2023</t>
        </is>
      </c>
      <c r="B1127" s="1" t="n">
        <v>45049</v>
      </c>
      <c r="C1127" s="1" t="n">
        <v>45851</v>
      </c>
      <c r="D1127" t="inlineStr">
        <is>
          <t>KALMAR LÄN</t>
        </is>
      </c>
      <c r="E1127" t="inlineStr">
        <is>
          <t>VÄSTERVIK</t>
        </is>
      </c>
      <c r="G1127" t="n">
        <v>5.8</v>
      </c>
      <c r="H1127" t="n">
        <v>0</v>
      </c>
      <c r="I1127" t="n">
        <v>0</v>
      </c>
      <c r="J1127" t="n">
        <v>0</v>
      </c>
      <c r="K1127" t="n">
        <v>0</v>
      </c>
      <c r="L1127" t="n">
        <v>0</v>
      </c>
      <c r="M1127" t="n">
        <v>0</v>
      </c>
      <c r="N1127" t="n">
        <v>0</v>
      </c>
      <c r="O1127" t="n">
        <v>0</v>
      </c>
      <c r="P1127" t="n">
        <v>0</v>
      </c>
      <c r="Q1127" t="n">
        <v>0</v>
      </c>
      <c r="R1127" s="2" t="inlineStr"/>
      <c r="U1127">
        <f>HYPERLINK("https://klasma.github.io/Logging_0883/knärot/A 19365-2023 karta knärot.png", "A 19365-2023")</f>
        <v/>
      </c>
      <c r="V1127">
        <f>HYPERLINK("https://klasma.github.io/Logging_0883/klagomål/A 19365-2023 FSC-klagomål.docx", "A 19365-2023")</f>
        <v/>
      </c>
      <c r="W1127">
        <f>HYPERLINK("https://klasma.github.io/Logging_0883/klagomålsmail/A 19365-2023 FSC-klagomål mail.docx", "A 19365-2023")</f>
        <v/>
      </c>
      <c r="X1127">
        <f>HYPERLINK("https://klasma.github.io/Logging_0883/tillsyn/A 19365-2023 tillsynsbegäran.docx", "A 19365-2023")</f>
        <v/>
      </c>
      <c r="Y1127">
        <f>HYPERLINK("https://klasma.github.io/Logging_0883/tillsynsmail/A 19365-2023 tillsynsbegäran mail.docx", "A 19365-2023")</f>
        <v/>
      </c>
    </row>
    <row r="1128" ht="15" customHeight="1">
      <c r="A1128" t="inlineStr">
        <is>
          <t>A 19333-2023</t>
        </is>
      </c>
      <c r="B1128" s="1" t="n">
        <v>45049</v>
      </c>
      <c r="C1128" s="1" t="n">
        <v>45851</v>
      </c>
      <c r="D1128" t="inlineStr">
        <is>
          <t>KALMAR LÄN</t>
        </is>
      </c>
      <c r="E1128" t="inlineStr">
        <is>
          <t>VÄSTERVIK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19551-2023</t>
        </is>
      </c>
      <c r="B1129" s="1" t="n">
        <v>45049</v>
      </c>
      <c r="C1129" s="1" t="n">
        <v>45851</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19638-2023</t>
        </is>
      </c>
      <c r="B1130" s="1" t="n">
        <v>45051</v>
      </c>
      <c r="C1130" s="1" t="n">
        <v>45851</v>
      </c>
      <c r="D1130" t="inlineStr">
        <is>
          <t>KALMAR LÄN</t>
        </is>
      </c>
      <c r="E1130" t="inlineStr">
        <is>
          <t>VÄSTERVIK</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19660-2023</t>
        </is>
      </c>
      <c r="B1131" s="1" t="n">
        <v>45051</v>
      </c>
      <c r="C1131" s="1" t="n">
        <v>45851</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19639-2023</t>
        </is>
      </c>
      <c r="B1132" s="1" t="n">
        <v>45051</v>
      </c>
      <c r="C1132" s="1" t="n">
        <v>45851</v>
      </c>
      <c r="D1132" t="inlineStr">
        <is>
          <t>KALMAR LÄN</t>
        </is>
      </c>
      <c r="E1132" t="inlineStr">
        <is>
          <t>VÄSTERVIK</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19640-2023</t>
        </is>
      </c>
      <c r="B1133" s="1" t="n">
        <v>45051</v>
      </c>
      <c r="C1133" s="1" t="n">
        <v>45851</v>
      </c>
      <c r="D1133" t="inlineStr">
        <is>
          <t>KALMAR LÄN</t>
        </is>
      </c>
      <c r="E1133" t="inlineStr">
        <is>
          <t>VÄSTERVIK</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19864-2023</t>
        </is>
      </c>
      <c r="B1134" s="1" t="n">
        <v>45053</v>
      </c>
      <c r="C1134" s="1" t="n">
        <v>45851</v>
      </c>
      <c r="D1134" t="inlineStr">
        <is>
          <t>KALMAR LÄN</t>
        </is>
      </c>
      <c r="E1134" t="inlineStr">
        <is>
          <t>VÄSTERVIK</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20637-2023</t>
        </is>
      </c>
      <c r="B1135" s="1" t="n">
        <v>45057</v>
      </c>
      <c r="C1135" s="1" t="n">
        <v>45851</v>
      </c>
      <c r="D1135" t="inlineStr">
        <is>
          <t>KALMAR LÄN</t>
        </is>
      </c>
      <c r="E1135" t="inlineStr">
        <is>
          <t>VÄSTERVIK</t>
        </is>
      </c>
      <c r="F1135" t="inlineStr">
        <is>
          <t>Holmen skog AB</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20774-2023</t>
        </is>
      </c>
      <c r="B1136" s="1" t="n">
        <v>45058</v>
      </c>
      <c r="C1136" s="1" t="n">
        <v>45851</v>
      </c>
      <c r="D1136" t="inlineStr">
        <is>
          <t>KALMAR LÄN</t>
        </is>
      </c>
      <c r="E1136" t="inlineStr">
        <is>
          <t>VÄSTERVIK</t>
        </is>
      </c>
      <c r="F1136" t="inlineStr">
        <is>
          <t>Sveaskog</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21122-2023</t>
        </is>
      </c>
      <c r="B1137" s="1" t="n">
        <v>45062</v>
      </c>
      <c r="C1137" s="1" t="n">
        <v>45851</v>
      </c>
      <c r="D1137" t="inlineStr">
        <is>
          <t>KALMAR LÄN</t>
        </is>
      </c>
      <c r="E1137" t="inlineStr">
        <is>
          <t>VÄSTERVIK</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21286-2023</t>
        </is>
      </c>
      <c r="B1138" s="1" t="n">
        <v>45062</v>
      </c>
      <c r="C1138" s="1" t="n">
        <v>45851</v>
      </c>
      <c r="D1138" t="inlineStr">
        <is>
          <t>KALMAR LÄN</t>
        </is>
      </c>
      <c r="E1138" t="inlineStr">
        <is>
          <t>VÄSTERVIK</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21447-2023</t>
        </is>
      </c>
      <c r="B1139" s="1" t="n">
        <v>45063</v>
      </c>
      <c r="C1139" s="1" t="n">
        <v>45851</v>
      </c>
      <c r="D1139" t="inlineStr">
        <is>
          <t>KALMAR LÄN</t>
        </is>
      </c>
      <c r="E1139" t="inlineStr">
        <is>
          <t>VÄSTERVIK</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21826-2023</t>
        </is>
      </c>
      <c r="B1140" s="1" t="n">
        <v>45068</v>
      </c>
      <c r="C1140" s="1" t="n">
        <v>45851</v>
      </c>
      <c r="D1140" t="inlineStr">
        <is>
          <t>KALMAR LÄN</t>
        </is>
      </c>
      <c r="E1140" t="inlineStr">
        <is>
          <t>VÄSTERVIK</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21831-2023</t>
        </is>
      </c>
      <c r="B1141" s="1" t="n">
        <v>45068</v>
      </c>
      <c r="C1141" s="1" t="n">
        <v>45851</v>
      </c>
      <c r="D1141" t="inlineStr">
        <is>
          <t>KALMAR LÄN</t>
        </is>
      </c>
      <c r="E1141" t="inlineStr">
        <is>
          <t>VÄSTERVIK</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21939-2023</t>
        </is>
      </c>
      <c r="B1142" s="1" t="n">
        <v>45068</v>
      </c>
      <c r="C1142" s="1" t="n">
        <v>45851</v>
      </c>
      <c r="D1142" t="inlineStr">
        <is>
          <t>KALMAR LÄN</t>
        </is>
      </c>
      <c r="E1142" t="inlineStr">
        <is>
          <t>VÄSTERVIK</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21823-2023</t>
        </is>
      </c>
      <c r="B1143" s="1" t="n">
        <v>45068</v>
      </c>
      <c r="C1143" s="1" t="n">
        <v>45851</v>
      </c>
      <c r="D1143" t="inlineStr">
        <is>
          <t>KALMAR LÄN</t>
        </is>
      </c>
      <c r="E1143" t="inlineStr">
        <is>
          <t>VÄSTERVIK</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21830-2023</t>
        </is>
      </c>
      <c r="B1144" s="1" t="n">
        <v>45068</v>
      </c>
      <c r="C1144" s="1" t="n">
        <v>45851</v>
      </c>
      <c r="D1144" t="inlineStr">
        <is>
          <t>KALMAR LÄN</t>
        </is>
      </c>
      <c r="E1144" t="inlineStr">
        <is>
          <t>VÄSTERVIK</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21824-2023</t>
        </is>
      </c>
      <c r="B1145" s="1" t="n">
        <v>45068</v>
      </c>
      <c r="C1145" s="1" t="n">
        <v>45851</v>
      </c>
      <c r="D1145" t="inlineStr">
        <is>
          <t>KALMAR LÄN</t>
        </is>
      </c>
      <c r="E1145" t="inlineStr">
        <is>
          <t>VÄSTERVIK</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21829-2023</t>
        </is>
      </c>
      <c r="B1146" s="1" t="n">
        <v>45068</v>
      </c>
      <c r="C1146" s="1" t="n">
        <v>45851</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21942-2023</t>
        </is>
      </c>
      <c r="B1147" s="1" t="n">
        <v>45068</v>
      </c>
      <c r="C1147" s="1" t="n">
        <v>45851</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21940-2023</t>
        </is>
      </c>
      <c r="B1148" s="1" t="n">
        <v>45068</v>
      </c>
      <c r="C1148" s="1" t="n">
        <v>45851</v>
      </c>
      <c r="D1148" t="inlineStr">
        <is>
          <t>KALMAR LÄN</t>
        </is>
      </c>
      <c r="E1148" t="inlineStr">
        <is>
          <t>VÄSTERVIK</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23439-2023</t>
        </is>
      </c>
      <c r="B1149" s="1" t="n">
        <v>45072</v>
      </c>
      <c r="C1149" s="1" t="n">
        <v>45851</v>
      </c>
      <c r="D1149" t="inlineStr">
        <is>
          <t>KALMAR LÄN</t>
        </is>
      </c>
      <c r="E1149" t="inlineStr">
        <is>
          <t>VÄSTERVIK</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23080-2023</t>
        </is>
      </c>
      <c r="B1150" s="1" t="n">
        <v>45075</v>
      </c>
      <c r="C1150" s="1" t="n">
        <v>45851</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23317-2023</t>
        </is>
      </c>
      <c r="B1151" s="1" t="n">
        <v>45076</v>
      </c>
      <c r="C1151" s="1" t="n">
        <v>45851</v>
      </c>
      <c r="D1151" t="inlineStr">
        <is>
          <t>KALMAR LÄN</t>
        </is>
      </c>
      <c r="E1151" t="inlineStr">
        <is>
          <t>VÄSTERVIK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23316-2023</t>
        </is>
      </c>
      <c r="B1152" s="1" t="n">
        <v>45076</v>
      </c>
      <c r="C1152" s="1" t="n">
        <v>45851</v>
      </c>
      <c r="D1152" t="inlineStr">
        <is>
          <t>KALMAR LÄN</t>
        </is>
      </c>
      <c r="E1152" t="inlineStr">
        <is>
          <t>VÄSTERVIK</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23580-2023</t>
        </is>
      </c>
      <c r="B1153" s="1" t="n">
        <v>45077</v>
      </c>
      <c r="C1153" s="1" t="n">
        <v>45851</v>
      </c>
      <c r="D1153" t="inlineStr">
        <is>
          <t>KALMAR LÄN</t>
        </is>
      </c>
      <c r="E1153" t="inlineStr">
        <is>
          <t>VÄSTERVIK</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25403-2023</t>
        </is>
      </c>
      <c r="B1154" s="1" t="n">
        <v>45079</v>
      </c>
      <c r="C1154" s="1" t="n">
        <v>45851</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24877-2023</t>
        </is>
      </c>
      <c r="B1155" s="1" t="n">
        <v>45085</v>
      </c>
      <c r="C1155" s="1" t="n">
        <v>45851</v>
      </c>
      <c r="D1155" t="inlineStr">
        <is>
          <t>KALMAR LÄN</t>
        </is>
      </c>
      <c r="E1155" t="inlineStr">
        <is>
          <t>VÄSTERVIK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24881-2023</t>
        </is>
      </c>
      <c r="B1156" s="1" t="n">
        <v>45085</v>
      </c>
      <c r="C1156" s="1" t="n">
        <v>45851</v>
      </c>
      <c r="D1156" t="inlineStr">
        <is>
          <t>KALMAR LÄN</t>
        </is>
      </c>
      <c r="E1156" t="inlineStr">
        <is>
          <t>VÄSTERVIK</t>
        </is>
      </c>
      <c r="F1156" t="inlineStr">
        <is>
          <t>Holmen skog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24893-2023</t>
        </is>
      </c>
      <c r="B1157" s="1" t="n">
        <v>45085</v>
      </c>
      <c r="C1157" s="1" t="n">
        <v>45851</v>
      </c>
      <c r="D1157" t="inlineStr">
        <is>
          <t>KALMAR LÄN</t>
        </is>
      </c>
      <c r="E1157" t="inlineStr">
        <is>
          <t>VÄSTERVIK</t>
        </is>
      </c>
      <c r="F1157" t="inlineStr">
        <is>
          <t>Holmen skog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25180-2023</t>
        </is>
      </c>
      <c r="B1158" s="1" t="n">
        <v>45086</v>
      </c>
      <c r="C1158" s="1" t="n">
        <v>45851</v>
      </c>
      <c r="D1158" t="inlineStr">
        <is>
          <t>KALMAR LÄN</t>
        </is>
      </c>
      <c r="E1158" t="inlineStr">
        <is>
          <t>VÄSTERVIK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25434-2023</t>
        </is>
      </c>
      <c r="B1159" s="1" t="n">
        <v>45089</v>
      </c>
      <c r="C1159" s="1" t="n">
        <v>45851</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25440-2023</t>
        </is>
      </c>
      <c r="B1160" s="1" t="n">
        <v>45089</v>
      </c>
      <c r="C1160" s="1" t="n">
        <v>45851</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25568-2023</t>
        </is>
      </c>
      <c r="B1161" s="1" t="n">
        <v>45089</v>
      </c>
      <c r="C1161" s="1" t="n">
        <v>45851</v>
      </c>
      <c r="D1161" t="inlineStr">
        <is>
          <t>KALMAR LÄN</t>
        </is>
      </c>
      <c r="E1161" t="inlineStr">
        <is>
          <t>VÄSTERVIK</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25488-2023</t>
        </is>
      </c>
      <c r="B1162" s="1" t="n">
        <v>45089</v>
      </c>
      <c r="C1162" s="1" t="n">
        <v>45851</v>
      </c>
      <c r="D1162" t="inlineStr">
        <is>
          <t>KALMAR LÄN</t>
        </is>
      </c>
      <c r="E1162" t="inlineStr">
        <is>
          <t>VÄSTERVIK</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25518-2023</t>
        </is>
      </c>
      <c r="B1163" s="1" t="n">
        <v>45089</v>
      </c>
      <c r="C1163" s="1" t="n">
        <v>45851</v>
      </c>
      <c r="D1163" t="inlineStr">
        <is>
          <t>KALMAR LÄN</t>
        </is>
      </c>
      <c r="E1163" t="inlineStr">
        <is>
          <t>VÄSTERVIK</t>
        </is>
      </c>
      <c r="F1163" t="inlineStr">
        <is>
          <t>Holmen skog AB</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25714-2023</t>
        </is>
      </c>
      <c r="B1164" s="1" t="n">
        <v>45089</v>
      </c>
      <c r="C1164" s="1" t="n">
        <v>45851</v>
      </c>
      <c r="D1164" t="inlineStr">
        <is>
          <t>KALMAR LÄN</t>
        </is>
      </c>
      <c r="E1164" t="inlineStr">
        <is>
          <t>VÄSTERVIK</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25801-2023</t>
        </is>
      </c>
      <c r="B1165" s="1" t="n">
        <v>45090</v>
      </c>
      <c r="C1165" s="1" t="n">
        <v>45851</v>
      </c>
      <c r="D1165" t="inlineStr">
        <is>
          <t>KALMAR LÄN</t>
        </is>
      </c>
      <c r="E1165" t="inlineStr">
        <is>
          <t>VÄSTERVIK</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26244-2023</t>
        </is>
      </c>
      <c r="B1166" s="1" t="n">
        <v>45091</v>
      </c>
      <c r="C1166" s="1" t="n">
        <v>45851</v>
      </c>
      <c r="D1166" t="inlineStr">
        <is>
          <t>KALMAR LÄN</t>
        </is>
      </c>
      <c r="E1166" t="inlineStr">
        <is>
          <t>VÄSTERVIK</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26073-2023</t>
        </is>
      </c>
      <c r="B1167" s="1" t="n">
        <v>45091</v>
      </c>
      <c r="C1167" s="1" t="n">
        <v>45851</v>
      </c>
      <c r="D1167" t="inlineStr">
        <is>
          <t>KALMAR LÄN</t>
        </is>
      </c>
      <c r="E1167" t="inlineStr">
        <is>
          <t>VÄSTERVIK</t>
        </is>
      </c>
      <c r="F1167" t="inlineStr">
        <is>
          <t>Sveaskog</t>
        </is>
      </c>
      <c r="G1167" t="n">
        <v>21.2</v>
      </c>
      <c r="H1167" t="n">
        <v>0</v>
      </c>
      <c r="I1167" t="n">
        <v>0</v>
      </c>
      <c r="J1167" t="n">
        <v>0</v>
      </c>
      <c r="K1167" t="n">
        <v>0</v>
      </c>
      <c r="L1167" t="n">
        <v>0</v>
      </c>
      <c r="M1167" t="n">
        <v>0</v>
      </c>
      <c r="N1167" t="n">
        <v>0</v>
      </c>
      <c r="O1167" t="n">
        <v>0</v>
      </c>
      <c r="P1167" t="n">
        <v>0</v>
      </c>
      <c r="Q1167" t="n">
        <v>0</v>
      </c>
      <c r="R1167" s="2" t="inlineStr"/>
    </row>
    <row r="1168" ht="15" customHeight="1">
      <c r="A1168" t="inlineStr">
        <is>
          <t>A 26773-2023</t>
        </is>
      </c>
      <c r="B1168" s="1" t="n">
        <v>45093</v>
      </c>
      <c r="C1168" s="1" t="n">
        <v>45851</v>
      </c>
      <c r="D1168" t="inlineStr">
        <is>
          <t>KALMAR LÄN</t>
        </is>
      </c>
      <c r="E1168" t="inlineStr">
        <is>
          <t>VÄSTERVIK</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26772-2023</t>
        </is>
      </c>
      <c r="B1169" s="1" t="n">
        <v>45093</v>
      </c>
      <c r="C1169" s="1" t="n">
        <v>45851</v>
      </c>
      <c r="D1169" t="inlineStr">
        <is>
          <t>KALMAR LÄN</t>
        </is>
      </c>
      <c r="E1169" t="inlineStr">
        <is>
          <t>VÄSTERVIK</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26776-2023</t>
        </is>
      </c>
      <c r="B1170" s="1" t="n">
        <v>45093</v>
      </c>
      <c r="C1170" s="1" t="n">
        <v>45851</v>
      </c>
      <c r="D1170" t="inlineStr">
        <is>
          <t>KALMAR LÄN</t>
        </is>
      </c>
      <c r="E1170" t="inlineStr">
        <is>
          <t>VÄSTERVIK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26770-2023</t>
        </is>
      </c>
      <c r="B1171" s="1" t="n">
        <v>45093</v>
      </c>
      <c r="C1171" s="1" t="n">
        <v>45851</v>
      </c>
      <c r="D1171" t="inlineStr">
        <is>
          <t>KALMAR LÄN</t>
        </is>
      </c>
      <c r="E1171" t="inlineStr">
        <is>
          <t>VÄSTERVIK</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26775-2023</t>
        </is>
      </c>
      <c r="B1172" s="1" t="n">
        <v>45093</v>
      </c>
      <c r="C1172" s="1" t="n">
        <v>45851</v>
      </c>
      <c r="D1172" t="inlineStr">
        <is>
          <t>KALMAR LÄN</t>
        </is>
      </c>
      <c r="E1172" t="inlineStr">
        <is>
          <t>VÄSTERVIK</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27485-2023</t>
        </is>
      </c>
      <c r="B1173" s="1" t="n">
        <v>45097</v>
      </c>
      <c r="C1173" s="1" t="n">
        <v>45851</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27491-2023</t>
        </is>
      </c>
      <c r="B1174" s="1" t="n">
        <v>45097</v>
      </c>
      <c r="C1174" s="1" t="n">
        <v>45851</v>
      </c>
      <c r="D1174" t="inlineStr">
        <is>
          <t>KALMAR LÄN</t>
        </is>
      </c>
      <c r="E1174" t="inlineStr">
        <is>
          <t>VÄSTERVIK</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27482-2023</t>
        </is>
      </c>
      <c r="B1175" s="1" t="n">
        <v>45097</v>
      </c>
      <c r="C1175" s="1" t="n">
        <v>45851</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27662-2023</t>
        </is>
      </c>
      <c r="B1176" s="1" t="n">
        <v>45097</v>
      </c>
      <c r="C1176" s="1" t="n">
        <v>45851</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28895-2023</t>
        </is>
      </c>
      <c r="B1177" s="1" t="n">
        <v>45104</v>
      </c>
      <c r="C1177" s="1" t="n">
        <v>45851</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28894-2023</t>
        </is>
      </c>
      <c r="B1178" s="1" t="n">
        <v>45104</v>
      </c>
      <c r="C1178" s="1" t="n">
        <v>45851</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28939-2023</t>
        </is>
      </c>
      <c r="B1179" s="1" t="n">
        <v>45104</v>
      </c>
      <c r="C1179" s="1" t="n">
        <v>45851</v>
      </c>
      <c r="D1179" t="inlineStr">
        <is>
          <t>KALMAR LÄN</t>
        </is>
      </c>
      <c r="E1179" t="inlineStr">
        <is>
          <t>VÄSTERVIK</t>
        </is>
      </c>
      <c r="F1179" t="inlineStr">
        <is>
          <t>Holmen skog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28952-2023</t>
        </is>
      </c>
      <c r="B1180" s="1" t="n">
        <v>45104</v>
      </c>
      <c r="C1180" s="1" t="n">
        <v>45851</v>
      </c>
      <c r="D1180" t="inlineStr">
        <is>
          <t>KALMAR LÄN</t>
        </is>
      </c>
      <c r="E1180" t="inlineStr">
        <is>
          <t>VÄSTERVIK</t>
        </is>
      </c>
      <c r="F1180" t="inlineStr">
        <is>
          <t>Holmen skog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29907-2023</t>
        </is>
      </c>
      <c r="B1181" s="1" t="n">
        <v>45107</v>
      </c>
      <c r="C1181" s="1" t="n">
        <v>45851</v>
      </c>
      <c r="D1181" t="inlineStr">
        <is>
          <t>KALMAR LÄN</t>
        </is>
      </c>
      <c r="E1181" t="inlineStr">
        <is>
          <t>VÄSTERVIK</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29905-2023</t>
        </is>
      </c>
      <c r="B1182" s="1" t="n">
        <v>45107</v>
      </c>
      <c r="C1182" s="1" t="n">
        <v>45851</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29904-2023</t>
        </is>
      </c>
      <c r="B1183" s="1" t="n">
        <v>45107</v>
      </c>
      <c r="C1183" s="1" t="n">
        <v>45851</v>
      </c>
      <c r="D1183" t="inlineStr">
        <is>
          <t>KALMAR LÄN</t>
        </is>
      </c>
      <c r="E1183" t="inlineStr">
        <is>
          <t>VÄSTERVIK</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30029-2023</t>
        </is>
      </c>
      <c r="B1184" s="1" t="n">
        <v>45110</v>
      </c>
      <c r="C1184" s="1" t="n">
        <v>45851</v>
      </c>
      <c r="D1184" t="inlineStr">
        <is>
          <t>KALMAR LÄN</t>
        </is>
      </c>
      <c r="E1184" t="inlineStr">
        <is>
          <t>VÄSTERVIK</t>
        </is>
      </c>
      <c r="F1184" t="inlineStr">
        <is>
          <t>Holmen skog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30035-2023</t>
        </is>
      </c>
      <c r="B1185" s="1" t="n">
        <v>45110</v>
      </c>
      <c r="C1185" s="1" t="n">
        <v>45851</v>
      </c>
      <c r="D1185" t="inlineStr">
        <is>
          <t>KALMAR LÄN</t>
        </is>
      </c>
      <c r="E1185" t="inlineStr">
        <is>
          <t>VÄSTERVIK</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32418-2023</t>
        </is>
      </c>
      <c r="B1186" s="1" t="n">
        <v>45110</v>
      </c>
      <c r="C1186" s="1" t="n">
        <v>45851</v>
      </c>
      <c r="D1186" t="inlineStr">
        <is>
          <t>KALMAR LÄN</t>
        </is>
      </c>
      <c r="E1186" t="inlineStr">
        <is>
          <t>VÄSTERVIK</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30431-2023</t>
        </is>
      </c>
      <c r="B1187" s="1" t="n">
        <v>45111</v>
      </c>
      <c r="C1187" s="1" t="n">
        <v>45851</v>
      </c>
      <c r="D1187" t="inlineStr">
        <is>
          <t>KALMAR LÄN</t>
        </is>
      </c>
      <c r="E1187" t="inlineStr">
        <is>
          <t>VÄSTERVIK</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30692-2023</t>
        </is>
      </c>
      <c r="B1188" s="1" t="n">
        <v>45112</v>
      </c>
      <c r="C1188" s="1" t="n">
        <v>45851</v>
      </c>
      <c r="D1188" t="inlineStr">
        <is>
          <t>KALMAR LÄN</t>
        </is>
      </c>
      <c r="E1188" t="inlineStr">
        <is>
          <t>VÄSTERVIK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31437-2023</t>
        </is>
      </c>
      <c r="B1189" s="1" t="n">
        <v>45114</v>
      </c>
      <c r="C1189" s="1" t="n">
        <v>45851</v>
      </c>
      <c r="D1189" t="inlineStr">
        <is>
          <t>KALMAR LÄN</t>
        </is>
      </c>
      <c r="E1189" t="inlineStr">
        <is>
          <t>VÄSTERVIK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33277-2023</t>
        </is>
      </c>
      <c r="B1190" s="1" t="n">
        <v>45114</v>
      </c>
      <c r="C1190" s="1" t="n">
        <v>45851</v>
      </c>
      <c r="D1190" t="inlineStr">
        <is>
          <t>KALMAR LÄN</t>
        </is>
      </c>
      <c r="E1190" t="inlineStr">
        <is>
          <t>VÄSTERVIK</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31686-2023</t>
        </is>
      </c>
      <c r="B1191" s="1" t="n">
        <v>45117</v>
      </c>
      <c r="C1191" s="1" t="n">
        <v>45851</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31691-2023</t>
        </is>
      </c>
      <c r="B1192" s="1" t="n">
        <v>45117</v>
      </c>
      <c r="C1192" s="1" t="n">
        <v>45851</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32647-2023</t>
        </is>
      </c>
      <c r="B1193" s="1" t="n">
        <v>45121</v>
      </c>
      <c r="C1193" s="1" t="n">
        <v>45851</v>
      </c>
      <c r="D1193" t="inlineStr">
        <is>
          <t>KALMAR LÄN</t>
        </is>
      </c>
      <c r="E1193" t="inlineStr">
        <is>
          <t>VÄSTERVIK</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32813-2023</t>
        </is>
      </c>
      <c r="B1194" s="1" t="n">
        <v>45124</v>
      </c>
      <c r="C1194" s="1" t="n">
        <v>45851</v>
      </c>
      <c r="D1194" t="inlineStr">
        <is>
          <t>KALMAR LÄN</t>
        </is>
      </c>
      <c r="E1194" t="inlineStr">
        <is>
          <t>VÄSTERVIK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32812-2023</t>
        </is>
      </c>
      <c r="B1195" s="1" t="n">
        <v>45124</v>
      </c>
      <c r="C1195" s="1" t="n">
        <v>45851</v>
      </c>
      <c r="D1195" t="inlineStr">
        <is>
          <t>KALMAR LÄN</t>
        </is>
      </c>
      <c r="E1195" t="inlineStr">
        <is>
          <t>VÄSTERVIK</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32811-2023</t>
        </is>
      </c>
      <c r="B1196" s="1" t="n">
        <v>45124</v>
      </c>
      <c r="C1196" s="1" t="n">
        <v>45851</v>
      </c>
      <c r="D1196" t="inlineStr">
        <is>
          <t>KALMAR LÄN</t>
        </is>
      </c>
      <c r="E1196" t="inlineStr">
        <is>
          <t>VÄSTERVIK</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33271-2023</t>
        </is>
      </c>
      <c r="B1197" s="1" t="n">
        <v>45127</v>
      </c>
      <c r="C1197" s="1" t="n">
        <v>45851</v>
      </c>
      <c r="D1197" t="inlineStr">
        <is>
          <t>KALMAR LÄN</t>
        </is>
      </c>
      <c r="E1197" t="inlineStr">
        <is>
          <t>VÄSTERVIK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33272-2023</t>
        </is>
      </c>
      <c r="B1198" s="1" t="n">
        <v>45127</v>
      </c>
      <c r="C1198" s="1" t="n">
        <v>45851</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33489-2023</t>
        </is>
      </c>
      <c r="B1199" s="1" t="n">
        <v>45131</v>
      </c>
      <c r="C1199" s="1" t="n">
        <v>45851</v>
      </c>
      <c r="D1199" t="inlineStr">
        <is>
          <t>KALMAR LÄN</t>
        </is>
      </c>
      <c r="E1199" t="inlineStr">
        <is>
          <t>VÄSTERVIK</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33648-2023</t>
        </is>
      </c>
      <c r="B1200" s="1" t="n">
        <v>45132</v>
      </c>
      <c r="C1200" s="1" t="n">
        <v>45851</v>
      </c>
      <c r="D1200" t="inlineStr">
        <is>
          <t>KALMAR LÄN</t>
        </is>
      </c>
      <c r="E1200" t="inlineStr">
        <is>
          <t>VÄSTERVIK</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33647-2023</t>
        </is>
      </c>
      <c r="B1201" s="1" t="n">
        <v>45132</v>
      </c>
      <c r="C1201" s="1" t="n">
        <v>45851</v>
      </c>
      <c r="D1201" t="inlineStr">
        <is>
          <t>KALMAR LÄN</t>
        </is>
      </c>
      <c r="E1201" t="inlineStr">
        <is>
          <t>VÄSTERVIK</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33722-2023</t>
        </is>
      </c>
      <c r="B1202" s="1" t="n">
        <v>45133</v>
      </c>
      <c r="C1202" s="1" t="n">
        <v>45851</v>
      </c>
      <c r="D1202" t="inlineStr">
        <is>
          <t>KALMAR LÄN</t>
        </is>
      </c>
      <c r="E1202" t="inlineStr">
        <is>
          <t>VÄSTERVIK</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33828-2023</t>
        </is>
      </c>
      <c r="B1203" s="1" t="n">
        <v>45133</v>
      </c>
      <c r="C1203" s="1" t="n">
        <v>45851</v>
      </c>
      <c r="D1203" t="inlineStr">
        <is>
          <t>KALMAR LÄN</t>
        </is>
      </c>
      <c r="E1203" t="inlineStr">
        <is>
          <t>VÄSTERVIK</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33814-2023</t>
        </is>
      </c>
      <c r="B1204" s="1" t="n">
        <v>45133</v>
      </c>
      <c r="C1204" s="1" t="n">
        <v>45851</v>
      </c>
      <c r="D1204" t="inlineStr">
        <is>
          <t>KALMAR LÄN</t>
        </is>
      </c>
      <c r="E1204" t="inlineStr">
        <is>
          <t>VÄSTERVIK</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33990-2023</t>
        </is>
      </c>
      <c r="B1205" s="1" t="n">
        <v>45134</v>
      </c>
      <c r="C1205" s="1" t="n">
        <v>45851</v>
      </c>
      <c r="D1205" t="inlineStr">
        <is>
          <t>KALMAR LÄN</t>
        </is>
      </c>
      <c r="E1205" t="inlineStr">
        <is>
          <t>VÄSTERVIK</t>
        </is>
      </c>
      <c r="F1205" t="inlineStr">
        <is>
          <t>Holmen skog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34121-2023</t>
        </is>
      </c>
      <c r="B1206" s="1" t="n">
        <v>45135</v>
      </c>
      <c r="C1206" s="1" t="n">
        <v>45851</v>
      </c>
      <c r="D1206" t="inlineStr">
        <is>
          <t>KALMAR LÄN</t>
        </is>
      </c>
      <c r="E1206" t="inlineStr">
        <is>
          <t>VÄSTERVIK</t>
        </is>
      </c>
      <c r="G1206" t="n">
        <v>4</v>
      </c>
      <c r="H1206" t="n">
        <v>0</v>
      </c>
      <c r="I1206" t="n">
        <v>0</v>
      </c>
      <c r="J1206" t="n">
        <v>0</v>
      </c>
      <c r="K1206" t="n">
        <v>0</v>
      </c>
      <c r="L1206" t="n">
        <v>0</v>
      </c>
      <c r="M1206" t="n">
        <v>0</v>
      </c>
      <c r="N1206" t="n">
        <v>0</v>
      </c>
      <c r="O1206" t="n">
        <v>0</v>
      </c>
      <c r="P1206" t="n">
        <v>0</v>
      </c>
      <c r="Q1206" t="n">
        <v>0</v>
      </c>
      <c r="R1206" s="2" t="inlineStr"/>
      <c r="U1206">
        <f>HYPERLINK("https://klasma.github.io/Logging_0883/knärot/A 34121-2023 karta knärot.png", "A 34121-2023")</f>
        <v/>
      </c>
      <c r="V1206">
        <f>HYPERLINK("https://klasma.github.io/Logging_0883/klagomål/A 34121-2023 FSC-klagomål.docx", "A 34121-2023")</f>
        <v/>
      </c>
      <c r="W1206">
        <f>HYPERLINK("https://klasma.github.io/Logging_0883/klagomålsmail/A 34121-2023 FSC-klagomål mail.docx", "A 34121-2023")</f>
        <v/>
      </c>
      <c r="X1206">
        <f>HYPERLINK("https://klasma.github.io/Logging_0883/tillsyn/A 34121-2023 tillsynsbegäran.docx", "A 34121-2023")</f>
        <v/>
      </c>
      <c r="Y1206">
        <f>HYPERLINK("https://klasma.github.io/Logging_0883/tillsynsmail/A 34121-2023 tillsynsbegäran mail.docx", "A 34121-2023")</f>
        <v/>
      </c>
    </row>
    <row r="1207" ht="15" customHeight="1">
      <c r="A1207" t="inlineStr">
        <is>
          <t>A 34643-2023</t>
        </is>
      </c>
      <c r="B1207" s="1" t="n">
        <v>45140</v>
      </c>
      <c r="C1207" s="1" t="n">
        <v>45851</v>
      </c>
      <c r="D1207" t="inlineStr">
        <is>
          <t>KALMAR LÄN</t>
        </is>
      </c>
      <c r="E1207" t="inlineStr">
        <is>
          <t>VÄSTERVIK</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34648-2023</t>
        </is>
      </c>
      <c r="B1208" s="1" t="n">
        <v>45140</v>
      </c>
      <c r="C1208" s="1" t="n">
        <v>45851</v>
      </c>
      <c r="D1208" t="inlineStr">
        <is>
          <t>KALMAR LÄN</t>
        </is>
      </c>
      <c r="E1208" t="inlineStr">
        <is>
          <t>VÄSTERVIK</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34641-2023</t>
        </is>
      </c>
      <c r="B1209" s="1" t="n">
        <v>45140</v>
      </c>
      <c r="C1209" s="1" t="n">
        <v>45851</v>
      </c>
      <c r="D1209" t="inlineStr">
        <is>
          <t>KALMAR LÄN</t>
        </is>
      </c>
      <c r="E1209" t="inlineStr">
        <is>
          <t>VÄSTERVIK</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34646-2023</t>
        </is>
      </c>
      <c r="B1210" s="1" t="n">
        <v>45140</v>
      </c>
      <c r="C1210" s="1" t="n">
        <v>45851</v>
      </c>
      <c r="D1210" t="inlineStr">
        <is>
          <t>KALMAR LÄN</t>
        </is>
      </c>
      <c r="E1210" t="inlineStr">
        <is>
          <t>VÄSTERVIK</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34655-2023</t>
        </is>
      </c>
      <c r="B1211" s="1" t="n">
        <v>45140</v>
      </c>
      <c r="C1211" s="1" t="n">
        <v>45851</v>
      </c>
      <c r="D1211" t="inlineStr">
        <is>
          <t>KALMAR LÄN</t>
        </is>
      </c>
      <c r="E1211" t="inlineStr">
        <is>
          <t>VÄSTERVIK</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34650-2023</t>
        </is>
      </c>
      <c r="B1212" s="1" t="n">
        <v>45140</v>
      </c>
      <c r="C1212" s="1" t="n">
        <v>45851</v>
      </c>
      <c r="D1212" t="inlineStr">
        <is>
          <t>KALMAR LÄN</t>
        </is>
      </c>
      <c r="E1212" t="inlineStr">
        <is>
          <t>VÄSTERVIK</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34953-2023</t>
        </is>
      </c>
      <c r="B1213" s="1" t="n">
        <v>45142</v>
      </c>
      <c r="C1213" s="1" t="n">
        <v>45851</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35171-2023</t>
        </is>
      </c>
      <c r="B1214" s="1" t="n">
        <v>45145</v>
      </c>
      <c r="C1214" s="1" t="n">
        <v>45851</v>
      </c>
      <c r="D1214" t="inlineStr">
        <is>
          <t>KALMAR LÄN</t>
        </is>
      </c>
      <c r="E1214" t="inlineStr">
        <is>
          <t>VÄSTERVIK</t>
        </is>
      </c>
      <c r="F1214" t="inlineStr">
        <is>
          <t>Holmen skog AB</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35160-2023</t>
        </is>
      </c>
      <c r="B1215" s="1" t="n">
        <v>45145</v>
      </c>
      <c r="C1215" s="1" t="n">
        <v>45851</v>
      </c>
      <c r="D1215" t="inlineStr">
        <is>
          <t>KALMAR LÄN</t>
        </is>
      </c>
      <c r="E1215" t="inlineStr">
        <is>
          <t>VÄSTERVIK</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35180-2023</t>
        </is>
      </c>
      <c r="B1216" s="1" t="n">
        <v>45145</v>
      </c>
      <c r="C1216" s="1" t="n">
        <v>45851</v>
      </c>
      <c r="D1216" t="inlineStr">
        <is>
          <t>KALMAR LÄN</t>
        </is>
      </c>
      <c r="E1216" t="inlineStr">
        <is>
          <t>VÄSTERVIK</t>
        </is>
      </c>
      <c r="F1216" t="inlineStr">
        <is>
          <t>Holmen skog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35502-2023</t>
        </is>
      </c>
      <c r="B1217" s="1" t="n">
        <v>45146</v>
      </c>
      <c r="C1217" s="1" t="n">
        <v>45851</v>
      </c>
      <c r="D1217" t="inlineStr">
        <is>
          <t>KALMAR LÄN</t>
        </is>
      </c>
      <c r="E1217" t="inlineStr">
        <is>
          <t>VÄSTERVIK</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35484-2023</t>
        </is>
      </c>
      <c r="B1218" s="1" t="n">
        <v>45146</v>
      </c>
      <c r="C1218" s="1" t="n">
        <v>45851</v>
      </c>
      <c r="D1218" t="inlineStr">
        <is>
          <t>KALMAR LÄN</t>
        </is>
      </c>
      <c r="E1218" t="inlineStr">
        <is>
          <t>VÄSTERVIK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35485-2023</t>
        </is>
      </c>
      <c r="B1219" s="1" t="n">
        <v>45146</v>
      </c>
      <c r="C1219" s="1" t="n">
        <v>45851</v>
      </c>
      <c r="D1219" t="inlineStr">
        <is>
          <t>KALMAR LÄN</t>
        </is>
      </c>
      <c r="E1219" t="inlineStr">
        <is>
          <t>VÄSTERVIK</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35658-2023</t>
        </is>
      </c>
      <c r="B1220" s="1" t="n">
        <v>45147</v>
      </c>
      <c r="C1220" s="1" t="n">
        <v>45851</v>
      </c>
      <c r="D1220" t="inlineStr">
        <is>
          <t>KALMAR LÄN</t>
        </is>
      </c>
      <c r="E1220" t="inlineStr">
        <is>
          <t>VÄSTERVIK</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35662-2023</t>
        </is>
      </c>
      <c r="B1221" s="1" t="n">
        <v>45147</v>
      </c>
      <c r="C1221" s="1" t="n">
        <v>45851</v>
      </c>
      <c r="D1221" t="inlineStr">
        <is>
          <t>KALMAR LÄN</t>
        </is>
      </c>
      <c r="E1221" t="inlineStr">
        <is>
          <t>VÄSTERVIK</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35666-2023</t>
        </is>
      </c>
      <c r="B1222" s="1" t="n">
        <v>45147</v>
      </c>
      <c r="C1222" s="1" t="n">
        <v>45851</v>
      </c>
      <c r="D1222" t="inlineStr">
        <is>
          <t>KALMAR LÄN</t>
        </is>
      </c>
      <c r="E1222" t="inlineStr">
        <is>
          <t>VÄSTERVIK</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35606-2023</t>
        </is>
      </c>
      <c r="B1223" s="1" t="n">
        <v>45147</v>
      </c>
      <c r="C1223" s="1" t="n">
        <v>45851</v>
      </c>
      <c r="D1223" t="inlineStr">
        <is>
          <t>KALMAR LÄN</t>
        </is>
      </c>
      <c r="E1223" t="inlineStr">
        <is>
          <t>VÄSTERVIK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35770-2023</t>
        </is>
      </c>
      <c r="B1224" s="1" t="n">
        <v>45147</v>
      </c>
      <c r="C1224" s="1" t="n">
        <v>45851</v>
      </c>
      <c r="D1224" t="inlineStr">
        <is>
          <t>KALMAR LÄN</t>
        </is>
      </c>
      <c r="E1224" t="inlineStr">
        <is>
          <t>VÄSTERVIK</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35655-2023</t>
        </is>
      </c>
      <c r="B1225" s="1" t="n">
        <v>45147</v>
      </c>
      <c r="C1225" s="1" t="n">
        <v>45851</v>
      </c>
      <c r="D1225" t="inlineStr">
        <is>
          <t>KALMAR LÄN</t>
        </is>
      </c>
      <c r="E1225" t="inlineStr">
        <is>
          <t>VÄSTERVIK</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35667-2023</t>
        </is>
      </c>
      <c r="B1226" s="1" t="n">
        <v>45147</v>
      </c>
      <c r="C1226" s="1" t="n">
        <v>45851</v>
      </c>
      <c r="D1226" t="inlineStr">
        <is>
          <t>KALMAR LÄN</t>
        </is>
      </c>
      <c r="E1226" t="inlineStr">
        <is>
          <t>VÄSTERVIK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35652-2023</t>
        </is>
      </c>
      <c r="B1227" s="1" t="n">
        <v>45147</v>
      </c>
      <c r="C1227" s="1" t="n">
        <v>45851</v>
      </c>
      <c r="D1227" t="inlineStr">
        <is>
          <t>KALMAR LÄN</t>
        </is>
      </c>
      <c r="E1227" t="inlineStr">
        <is>
          <t>VÄSTERVIK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35660-2023</t>
        </is>
      </c>
      <c r="B1228" s="1" t="n">
        <v>45147</v>
      </c>
      <c r="C1228" s="1" t="n">
        <v>45851</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35619-2023</t>
        </is>
      </c>
      <c r="B1229" s="1" t="n">
        <v>45147</v>
      </c>
      <c r="C1229" s="1" t="n">
        <v>45851</v>
      </c>
      <c r="D1229" t="inlineStr">
        <is>
          <t>KALMAR LÄN</t>
        </is>
      </c>
      <c r="E1229" t="inlineStr">
        <is>
          <t>VÄSTERVIK</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35653-2023</t>
        </is>
      </c>
      <c r="B1230" s="1" t="n">
        <v>45147</v>
      </c>
      <c r="C1230" s="1" t="n">
        <v>45851</v>
      </c>
      <c r="D1230" t="inlineStr">
        <is>
          <t>KALMAR LÄN</t>
        </is>
      </c>
      <c r="E1230" t="inlineStr">
        <is>
          <t>VÄSTERVIK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35665-2023</t>
        </is>
      </c>
      <c r="B1231" s="1" t="n">
        <v>45147</v>
      </c>
      <c r="C1231" s="1" t="n">
        <v>45851</v>
      </c>
      <c r="D1231" t="inlineStr">
        <is>
          <t>KALMAR LÄN</t>
        </is>
      </c>
      <c r="E1231" t="inlineStr">
        <is>
          <t>VÄSTERVIK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35960-2023</t>
        </is>
      </c>
      <c r="B1232" s="1" t="n">
        <v>45148</v>
      </c>
      <c r="C1232" s="1" t="n">
        <v>45851</v>
      </c>
      <c r="D1232" t="inlineStr">
        <is>
          <t>KALMAR LÄN</t>
        </is>
      </c>
      <c r="E1232" t="inlineStr">
        <is>
          <t>VÄSTERVIK</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35959-2023</t>
        </is>
      </c>
      <c r="B1233" s="1" t="n">
        <v>45148</v>
      </c>
      <c r="C1233" s="1" t="n">
        <v>45851</v>
      </c>
      <c r="D1233" t="inlineStr">
        <is>
          <t>KALMAR LÄN</t>
        </is>
      </c>
      <c r="E1233" t="inlineStr">
        <is>
          <t>VÄSTERVIK</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35962-2023</t>
        </is>
      </c>
      <c r="B1234" s="1" t="n">
        <v>45148</v>
      </c>
      <c r="C1234" s="1" t="n">
        <v>45851</v>
      </c>
      <c r="D1234" t="inlineStr">
        <is>
          <t>KALMAR LÄN</t>
        </is>
      </c>
      <c r="E1234" t="inlineStr">
        <is>
          <t>VÄSTERVIK</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35961-2023</t>
        </is>
      </c>
      <c r="B1235" s="1" t="n">
        <v>45148</v>
      </c>
      <c r="C1235" s="1" t="n">
        <v>45851</v>
      </c>
      <c r="D1235" t="inlineStr">
        <is>
          <t>KALMAR LÄN</t>
        </is>
      </c>
      <c r="E1235" t="inlineStr">
        <is>
          <t>VÄSTERVIK</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36418-2023</t>
        </is>
      </c>
      <c r="B1236" s="1" t="n">
        <v>45152</v>
      </c>
      <c r="C1236" s="1" t="n">
        <v>45851</v>
      </c>
      <c r="D1236" t="inlineStr">
        <is>
          <t>KALMAR LÄN</t>
        </is>
      </c>
      <c r="E1236" t="inlineStr">
        <is>
          <t>VÄSTERVIK</t>
        </is>
      </c>
      <c r="G1236" t="n">
        <v>1.1</v>
      </c>
      <c r="H1236" t="n">
        <v>0</v>
      </c>
      <c r="I1236" t="n">
        <v>0</v>
      </c>
      <c r="J1236" t="n">
        <v>0</v>
      </c>
      <c r="K1236" t="n">
        <v>0</v>
      </c>
      <c r="L1236" t="n">
        <v>0</v>
      </c>
      <c r="M1236" t="n">
        <v>0</v>
      </c>
      <c r="N1236" t="n">
        <v>0</v>
      </c>
      <c r="O1236" t="n">
        <v>0</v>
      </c>
      <c r="P1236" t="n">
        <v>0</v>
      </c>
      <c r="Q1236" t="n">
        <v>0</v>
      </c>
      <c r="R1236" s="2" t="inlineStr"/>
      <c r="U1236">
        <f>HYPERLINK("https://klasma.github.io/Logging_0883/knärot/A 36418-2023 karta knärot.png", "A 36418-2023")</f>
        <v/>
      </c>
      <c r="V1236">
        <f>HYPERLINK("https://klasma.github.io/Logging_0883/klagomål/A 36418-2023 FSC-klagomål.docx", "A 36418-2023")</f>
        <v/>
      </c>
      <c r="W1236">
        <f>HYPERLINK("https://klasma.github.io/Logging_0883/klagomålsmail/A 36418-2023 FSC-klagomål mail.docx", "A 36418-2023")</f>
        <v/>
      </c>
      <c r="X1236">
        <f>HYPERLINK("https://klasma.github.io/Logging_0883/tillsyn/A 36418-2023 tillsynsbegäran.docx", "A 36418-2023")</f>
        <v/>
      </c>
      <c r="Y1236">
        <f>HYPERLINK("https://klasma.github.io/Logging_0883/tillsynsmail/A 36418-2023 tillsynsbegäran mail.docx", "A 36418-2023")</f>
        <v/>
      </c>
    </row>
    <row r="1237" ht="15" customHeight="1">
      <c r="A1237" t="inlineStr">
        <is>
          <t>A 36572-2023</t>
        </is>
      </c>
      <c r="B1237" s="1" t="n">
        <v>45153</v>
      </c>
      <c r="C1237" s="1" t="n">
        <v>45851</v>
      </c>
      <c r="D1237" t="inlineStr">
        <is>
          <t>KALMAR LÄN</t>
        </is>
      </c>
      <c r="E1237" t="inlineStr">
        <is>
          <t>VÄSTERVIK</t>
        </is>
      </c>
      <c r="F1237" t="inlineStr">
        <is>
          <t>Holmen skog AB</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36643-2023</t>
        </is>
      </c>
      <c r="B1238" s="1" t="n">
        <v>45153</v>
      </c>
      <c r="C1238" s="1" t="n">
        <v>45851</v>
      </c>
      <c r="D1238" t="inlineStr">
        <is>
          <t>KALMAR LÄN</t>
        </is>
      </c>
      <c r="E1238" t="inlineStr">
        <is>
          <t>VÄSTERVIK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37349-2023</t>
        </is>
      </c>
      <c r="B1239" s="1" t="n">
        <v>45156</v>
      </c>
      <c r="C1239" s="1" t="n">
        <v>45851</v>
      </c>
      <c r="D1239" t="inlineStr">
        <is>
          <t>KALMAR LÄN</t>
        </is>
      </c>
      <c r="E1239" t="inlineStr">
        <is>
          <t>VÄSTERVIK</t>
        </is>
      </c>
      <c r="F1239" t="inlineStr">
        <is>
          <t>Sveaskog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37352-2023</t>
        </is>
      </c>
      <c r="B1240" s="1" t="n">
        <v>45156</v>
      </c>
      <c r="C1240" s="1" t="n">
        <v>45851</v>
      </c>
      <c r="D1240" t="inlineStr">
        <is>
          <t>KALMAR LÄN</t>
        </is>
      </c>
      <c r="E1240" t="inlineStr">
        <is>
          <t>VÄSTERVIK</t>
        </is>
      </c>
      <c r="F1240" t="inlineStr">
        <is>
          <t>Sveaskog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37354-2023</t>
        </is>
      </c>
      <c r="B1241" s="1" t="n">
        <v>45156</v>
      </c>
      <c r="C1241" s="1" t="n">
        <v>45851</v>
      </c>
      <c r="D1241" t="inlineStr">
        <is>
          <t>KALMAR LÄN</t>
        </is>
      </c>
      <c r="E1241" t="inlineStr">
        <is>
          <t>VÄSTERVIK</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37351-2023</t>
        </is>
      </c>
      <c r="B1242" s="1" t="n">
        <v>45156</v>
      </c>
      <c r="C1242" s="1" t="n">
        <v>45851</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37642-2023</t>
        </is>
      </c>
      <c r="B1243" s="1" t="n">
        <v>45159</v>
      </c>
      <c r="C1243" s="1" t="n">
        <v>45851</v>
      </c>
      <c r="D1243" t="inlineStr">
        <is>
          <t>KALMAR LÄN</t>
        </is>
      </c>
      <c r="E1243" t="inlineStr">
        <is>
          <t>VÄSTERVIK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37643-2023</t>
        </is>
      </c>
      <c r="B1244" s="1" t="n">
        <v>45159</v>
      </c>
      <c r="C1244" s="1" t="n">
        <v>45851</v>
      </c>
      <c r="D1244" t="inlineStr">
        <is>
          <t>KALMAR LÄN</t>
        </is>
      </c>
      <c r="E1244" t="inlineStr">
        <is>
          <t>VÄSTERVIK</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37644-2023</t>
        </is>
      </c>
      <c r="B1245" s="1" t="n">
        <v>45159</v>
      </c>
      <c r="C1245" s="1" t="n">
        <v>45851</v>
      </c>
      <c r="D1245" t="inlineStr">
        <is>
          <t>KALMAR LÄN</t>
        </is>
      </c>
      <c r="E1245" t="inlineStr">
        <is>
          <t>VÄSTERVIK</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37661-2023</t>
        </is>
      </c>
      <c r="B1246" s="1" t="n">
        <v>45159</v>
      </c>
      <c r="C1246" s="1" t="n">
        <v>45851</v>
      </c>
      <c r="D1246" t="inlineStr">
        <is>
          <t>KALMAR LÄN</t>
        </is>
      </c>
      <c r="E1246" t="inlineStr">
        <is>
          <t>VÄSTERVIK</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37716-2023</t>
        </is>
      </c>
      <c r="B1247" s="1" t="n">
        <v>45159</v>
      </c>
      <c r="C1247" s="1" t="n">
        <v>45851</v>
      </c>
      <c r="D1247" t="inlineStr">
        <is>
          <t>KALMAR LÄN</t>
        </is>
      </c>
      <c r="E1247" t="inlineStr">
        <is>
          <t>VÄSTERVIK</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37858-2023</t>
        </is>
      </c>
      <c r="B1248" s="1" t="n">
        <v>45160</v>
      </c>
      <c r="C1248" s="1" t="n">
        <v>45851</v>
      </c>
      <c r="D1248" t="inlineStr">
        <is>
          <t>KALMAR LÄN</t>
        </is>
      </c>
      <c r="E1248" t="inlineStr">
        <is>
          <t>VÄSTERVIK</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37956-2023</t>
        </is>
      </c>
      <c r="B1249" s="1" t="n">
        <v>45160</v>
      </c>
      <c r="C1249" s="1" t="n">
        <v>45851</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38040-2023</t>
        </is>
      </c>
      <c r="B1250" s="1" t="n">
        <v>45160</v>
      </c>
      <c r="C1250" s="1" t="n">
        <v>45851</v>
      </c>
      <c r="D1250" t="inlineStr">
        <is>
          <t>KALMAR LÄN</t>
        </is>
      </c>
      <c r="E1250" t="inlineStr">
        <is>
          <t>VÄSTERVIK</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38045-2023</t>
        </is>
      </c>
      <c r="B1251" s="1" t="n">
        <v>45160</v>
      </c>
      <c r="C1251" s="1" t="n">
        <v>45851</v>
      </c>
      <c r="D1251" t="inlineStr">
        <is>
          <t>KALMAR LÄN</t>
        </is>
      </c>
      <c r="E1251" t="inlineStr">
        <is>
          <t>VÄSTERVIK</t>
        </is>
      </c>
      <c r="F1251" t="inlineStr">
        <is>
          <t>Sveaskog</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37952-2023</t>
        </is>
      </c>
      <c r="B1252" s="1" t="n">
        <v>45160</v>
      </c>
      <c r="C1252" s="1" t="n">
        <v>45851</v>
      </c>
      <c r="D1252" t="inlineStr">
        <is>
          <t>KALMAR LÄN</t>
        </is>
      </c>
      <c r="E1252" t="inlineStr">
        <is>
          <t>VÄSTERVIK</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37986-2023</t>
        </is>
      </c>
      <c r="B1253" s="1" t="n">
        <v>45160</v>
      </c>
      <c r="C1253" s="1" t="n">
        <v>45851</v>
      </c>
      <c r="D1253" t="inlineStr">
        <is>
          <t>KALMAR LÄN</t>
        </is>
      </c>
      <c r="E1253" t="inlineStr">
        <is>
          <t>VÄSTERVIK</t>
        </is>
      </c>
      <c r="F1253" t="inlineStr">
        <is>
          <t>Sveaskog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37991-2023</t>
        </is>
      </c>
      <c r="B1254" s="1" t="n">
        <v>45160</v>
      </c>
      <c r="C1254" s="1" t="n">
        <v>45851</v>
      </c>
      <c r="D1254" t="inlineStr">
        <is>
          <t>KALMAR LÄN</t>
        </is>
      </c>
      <c r="E1254" t="inlineStr">
        <is>
          <t>VÄSTERVIK</t>
        </is>
      </c>
      <c r="F1254" t="inlineStr">
        <is>
          <t>Sveaskog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38047-2023</t>
        </is>
      </c>
      <c r="B1255" s="1" t="n">
        <v>45160</v>
      </c>
      <c r="C1255" s="1" t="n">
        <v>45851</v>
      </c>
      <c r="D1255" t="inlineStr">
        <is>
          <t>KALMAR LÄN</t>
        </is>
      </c>
      <c r="E1255" t="inlineStr">
        <is>
          <t>VÄSTERVIK</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37987-2023</t>
        </is>
      </c>
      <c r="B1256" s="1" t="n">
        <v>45160</v>
      </c>
      <c r="C1256" s="1" t="n">
        <v>45851</v>
      </c>
      <c r="D1256" t="inlineStr">
        <is>
          <t>KALMAR LÄN</t>
        </is>
      </c>
      <c r="E1256" t="inlineStr">
        <is>
          <t>VÄSTERVIK</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37997-2023</t>
        </is>
      </c>
      <c r="B1257" s="1" t="n">
        <v>45160</v>
      </c>
      <c r="C1257" s="1" t="n">
        <v>45851</v>
      </c>
      <c r="D1257" t="inlineStr">
        <is>
          <t>KALMAR LÄN</t>
        </is>
      </c>
      <c r="E1257" t="inlineStr">
        <is>
          <t>VÄSTERVIK</t>
        </is>
      </c>
      <c r="F1257" t="inlineStr">
        <is>
          <t>Sveaskog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37957-2023</t>
        </is>
      </c>
      <c r="B1258" s="1" t="n">
        <v>45160</v>
      </c>
      <c r="C1258" s="1" t="n">
        <v>45851</v>
      </c>
      <c r="D1258" t="inlineStr">
        <is>
          <t>KALMAR LÄN</t>
        </is>
      </c>
      <c r="E1258" t="inlineStr">
        <is>
          <t>VÄSTERVIK</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37963-2023</t>
        </is>
      </c>
      <c r="B1259" s="1" t="n">
        <v>45160</v>
      </c>
      <c r="C1259" s="1" t="n">
        <v>45851</v>
      </c>
      <c r="D1259" t="inlineStr">
        <is>
          <t>KALMAR LÄN</t>
        </is>
      </c>
      <c r="E1259" t="inlineStr">
        <is>
          <t>VÄSTERVIK</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37989-2023</t>
        </is>
      </c>
      <c r="B1260" s="1" t="n">
        <v>45160</v>
      </c>
      <c r="C1260" s="1" t="n">
        <v>45851</v>
      </c>
      <c r="D1260" t="inlineStr">
        <is>
          <t>KALMAR LÄN</t>
        </is>
      </c>
      <c r="E1260" t="inlineStr">
        <is>
          <t>VÄSTERVIK</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37995-2023</t>
        </is>
      </c>
      <c r="B1261" s="1" t="n">
        <v>45160</v>
      </c>
      <c r="C1261" s="1" t="n">
        <v>45851</v>
      </c>
      <c r="D1261" t="inlineStr">
        <is>
          <t>KALMAR LÄN</t>
        </is>
      </c>
      <c r="E1261" t="inlineStr">
        <is>
          <t>VÄSTERVIK</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38037-2023</t>
        </is>
      </c>
      <c r="B1262" s="1" t="n">
        <v>45160</v>
      </c>
      <c r="C1262" s="1" t="n">
        <v>45851</v>
      </c>
      <c r="D1262" t="inlineStr">
        <is>
          <t>KALMAR LÄN</t>
        </is>
      </c>
      <c r="E1262" t="inlineStr">
        <is>
          <t>VÄSTERVIK</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38041-2023</t>
        </is>
      </c>
      <c r="B1263" s="1" t="n">
        <v>45160</v>
      </c>
      <c r="C1263" s="1" t="n">
        <v>45851</v>
      </c>
      <c r="D1263" t="inlineStr">
        <is>
          <t>KALMAR LÄN</t>
        </is>
      </c>
      <c r="E1263" t="inlineStr">
        <is>
          <t>VÄSTERVIK</t>
        </is>
      </c>
      <c r="F1263" t="inlineStr">
        <is>
          <t>Sveaskog</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38046-2023</t>
        </is>
      </c>
      <c r="B1264" s="1" t="n">
        <v>45160</v>
      </c>
      <c r="C1264" s="1" t="n">
        <v>45851</v>
      </c>
      <c r="D1264" t="inlineStr">
        <is>
          <t>KALMAR LÄN</t>
        </is>
      </c>
      <c r="E1264" t="inlineStr">
        <is>
          <t>VÄSTERVIK</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38048-2023</t>
        </is>
      </c>
      <c r="B1265" s="1" t="n">
        <v>45160</v>
      </c>
      <c r="C1265" s="1" t="n">
        <v>45851</v>
      </c>
      <c r="D1265" t="inlineStr">
        <is>
          <t>KALMAR LÄN</t>
        </is>
      </c>
      <c r="E1265" t="inlineStr">
        <is>
          <t>VÄSTERVIK</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38174-2023</t>
        </is>
      </c>
      <c r="B1266" s="1" t="n">
        <v>45161</v>
      </c>
      <c r="C1266" s="1" t="n">
        <v>45851</v>
      </c>
      <c r="D1266" t="inlineStr">
        <is>
          <t>KALMAR LÄN</t>
        </is>
      </c>
      <c r="E1266" t="inlineStr">
        <is>
          <t>VÄSTERVIK</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39299-2023</t>
        </is>
      </c>
      <c r="B1267" s="1" t="n">
        <v>45166</v>
      </c>
      <c r="C1267" s="1" t="n">
        <v>45851</v>
      </c>
      <c r="D1267" t="inlineStr">
        <is>
          <t>KALMAR LÄN</t>
        </is>
      </c>
      <c r="E1267" t="inlineStr">
        <is>
          <t>VÄSTERVIK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39630-2023</t>
        </is>
      </c>
      <c r="B1268" s="1" t="n">
        <v>45167</v>
      </c>
      <c r="C1268" s="1" t="n">
        <v>45851</v>
      </c>
      <c r="D1268" t="inlineStr">
        <is>
          <t>KALMAR LÄN</t>
        </is>
      </c>
      <c r="E1268" t="inlineStr">
        <is>
          <t>VÄSTERVIK</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39892-2023</t>
        </is>
      </c>
      <c r="B1269" s="1" t="n">
        <v>45168</v>
      </c>
      <c r="C1269" s="1" t="n">
        <v>45851</v>
      </c>
      <c r="D1269" t="inlineStr">
        <is>
          <t>KALMAR LÄN</t>
        </is>
      </c>
      <c r="E1269" t="inlineStr">
        <is>
          <t>VÄSTERVIK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40677-2023</t>
        </is>
      </c>
      <c r="B1270" s="1" t="n">
        <v>45170</v>
      </c>
      <c r="C1270" s="1" t="n">
        <v>45851</v>
      </c>
      <c r="D1270" t="inlineStr">
        <is>
          <t>KALMAR LÄN</t>
        </is>
      </c>
      <c r="E1270" t="inlineStr">
        <is>
          <t>VÄSTERVIK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40451-2023</t>
        </is>
      </c>
      <c r="B1271" s="1" t="n">
        <v>45170</v>
      </c>
      <c r="C1271" s="1" t="n">
        <v>45851</v>
      </c>
      <c r="D1271" t="inlineStr">
        <is>
          <t>KALMAR LÄN</t>
        </is>
      </c>
      <c r="E1271" t="inlineStr">
        <is>
          <t>VÄSTERVIK</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40674-2023</t>
        </is>
      </c>
      <c r="B1272" s="1" t="n">
        <v>45170</v>
      </c>
      <c r="C1272" s="1" t="n">
        <v>45851</v>
      </c>
      <c r="D1272" t="inlineStr">
        <is>
          <t>KALMAR LÄN</t>
        </is>
      </c>
      <c r="E1272" t="inlineStr">
        <is>
          <t>VÄSTERVIK</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40973-2023</t>
        </is>
      </c>
      <c r="B1273" s="1" t="n">
        <v>45173</v>
      </c>
      <c r="C1273" s="1" t="n">
        <v>45851</v>
      </c>
      <c r="D1273" t="inlineStr">
        <is>
          <t>KALMAR LÄN</t>
        </is>
      </c>
      <c r="E1273" t="inlineStr">
        <is>
          <t>VÄSTERVIK</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40935-2023</t>
        </is>
      </c>
      <c r="B1274" s="1" t="n">
        <v>45173</v>
      </c>
      <c r="C1274" s="1" t="n">
        <v>45851</v>
      </c>
      <c r="D1274" t="inlineStr">
        <is>
          <t>KALMAR LÄN</t>
        </is>
      </c>
      <c r="E1274" t="inlineStr">
        <is>
          <t>VÄSTERVIK</t>
        </is>
      </c>
      <c r="F1274" t="inlineStr">
        <is>
          <t>Holmen skog AB</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40977-2023</t>
        </is>
      </c>
      <c r="B1275" s="1" t="n">
        <v>45173</v>
      </c>
      <c r="C1275" s="1" t="n">
        <v>45851</v>
      </c>
      <c r="D1275" t="inlineStr">
        <is>
          <t>KALMAR LÄN</t>
        </is>
      </c>
      <c r="E1275" t="inlineStr">
        <is>
          <t>VÄSTERVIK</t>
        </is>
      </c>
      <c r="F1275" t="inlineStr">
        <is>
          <t>Holmen skog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41342-2023</t>
        </is>
      </c>
      <c r="B1276" s="1" t="n">
        <v>45174</v>
      </c>
      <c r="C1276" s="1" t="n">
        <v>45851</v>
      </c>
      <c r="D1276" t="inlineStr">
        <is>
          <t>KALMAR LÄN</t>
        </is>
      </c>
      <c r="E1276" t="inlineStr">
        <is>
          <t>VÄSTERVIK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41994-2023</t>
        </is>
      </c>
      <c r="B1277" s="1" t="n">
        <v>45177</v>
      </c>
      <c r="C1277" s="1" t="n">
        <v>45851</v>
      </c>
      <c r="D1277" t="inlineStr">
        <is>
          <t>KALMAR LÄN</t>
        </is>
      </c>
      <c r="E1277" t="inlineStr">
        <is>
          <t>VÄSTERVIK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42415-2023</t>
        </is>
      </c>
      <c r="B1278" s="1" t="n">
        <v>45180</v>
      </c>
      <c r="C1278" s="1" t="n">
        <v>45851</v>
      </c>
      <c r="D1278" t="inlineStr">
        <is>
          <t>KALMAR LÄN</t>
        </is>
      </c>
      <c r="E1278" t="inlineStr">
        <is>
          <t>VÄSTERVIK</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42331-2023</t>
        </is>
      </c>
      <c r="B1279" s="1" t="n">
        <v>45180</v>
      </c>
      <c r="C1279" s="1" t="n">
        <v>45851</v>
      </c>
      <c r="D1279" t="inlineStr">
        <is>
          <t>KALMAR LÄN</t>
        </is>
      </c>
      <c r="E1279" t="inlineStr">
        <is>
          <t>VÄSTERVIK</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42348-2023</t>
        </is>
      </c>
      <c r="B1280" s="1" t="n">
        <v>45180</v>
      </c>
      <c r="C1280" s="1" t="n">
        <v>45851</v>
      </c>
      <c r="D1280" t="inlineStr">
        <is>
          <t>KALMAR LÄN</t>
        </is>
      </c>
      <c r="E1280" t="inlineStr">
        <is>
          <t>VÄSTERVIK</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43660-2023</t>
        </is>
      </c>
      <c r="B1281" s="1" t="n">
        <v>45187</v>
      </c>
      <c r="C1281" s="1" t="n">
        <v>45851</v>
      </c>
      <c r="D1281" t="inlineStr">
        <is>
          <t>KALMAR LÄN</t>
        </is>
      </c>
      <c r="E1281" t="inlineStr">
        <is>
          <t>VÄSTERVIK</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43759-2023</t>
        </is>
      </c>
      <c r="B1282" s="1" t="n">
        <v>45187</v>
      </c>
      <c r="C1282" s="1" t="n">
        <v>45851</v>
      </c>
      <c r="D1282" t="inlineStr">
        <is>
          <t>KALMAR LÄN</t>
        </is>
      </c>
      <c r="E1282" t="inlineStr">
        <is>
          <t>VÄSTERVIK</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43900-2023</t>
        </is>
      </c>
      <c r="B1283" s="1" t="n">
        <v>45187</v>
      </c>
      <c r="C1283" s="1" t="n">
        <v>45851</v>
      </c>
      <c r="D1283" t="inlineStr">
        <is>
          <t>KALMAR LÄN</t>
        </is>
      </c>
      <c r="E1283" t="inlineStr">
        <is>
          <t>VÄSTERVIK</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44705-2023</t>
        </is>
      </c>
      <c r="B1284" s="1" t="n">
        <v>45190</v>
      </c>
      <c r="C1284" s="1" t="n">
        <v>45851</v>
      </c>
      <c r="D1284" t="inlineStr">
        <is>
          <t>KALMAR LÄN</t>
        </is>
      </c>
      <c r="E1284" t="inlineStr">
        <is>
          <t>VÄSTERVIK</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44714-2023</t>
        </is>
      </c>
      <c r="B1285" s="1" t="n">
        <v>45190</v>
      </c>
      <c r="C1285" s="1" t="n">
        <v>45851</v>
      </c>
      <c r="D1285" t="inlineStr">
        <is>
          <t>KALMAR LÄN</t>
        </is>
      </c>
      <c r="E1285" t="inlineStr">
        <is>
          <t>VÄSTERVIK</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44749-2023</t>
        </is>
      </c>
      <c r="B1286" s="1" t="n">
        <v>45190</v>
      </c>
      <c r="C1286" s="1" t="n">
        <v>45851</v>
      </c>
      <c r="D1286" t="inlineStr">
        <is>
          <t>KALMAR LÄN</t>
        </is>
      </c>
      <c r="E1286" t="inlineStr">
        <is>
          <t>VÄSTERVIK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44721-2023</t>
        </is>
      </c>
      <c r="B1287" s="1" t="n">
        <v>45190</v>
      </c>
      <c r="C1287" s="1" t="n">
        <v>45851</v>
      </c>
      <c r="D1287" t="inlineStr">
        <is>
          <t>KALMAR LÄN</t>
        </is>
      </c>
      <c r="E1287" t="inlineStr">
        <is>
          <t>VÄSTERVIK</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45192-2023</t>
        </is>
      </c>
      <c r="B1288" s="1" t="n">
        <v>45191</v>
      </c>
      <c r="C1288" s="1" t="n">
        <v>45851</v>
      </c>
      <c r="D1288" t="inlineStr">
        <is>
          <t>KALMAR LÄN</t>
        </is>
      </c>
      <c r="E1288" t="inlineStr">
        <is>
          <t>VÄSTERVIK</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45202-2023</t>
        </is>
      </c>
      <c r="B1289" s="1" t="n">
        <v>45191</v>
      </c>
      <c r="C1289" s="1" t="n">
        <v>45851</v>
      </c>
      <c r="D1289" t="inlineStr">
        <is>
          <t>KALMAR LÄN</t>
        </is>
      </c>
      <c r="E1289" t="inlineStr">
        <is>
          <t>VÄSTERVIK</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45190-2023</t>
        </is>
      </c>
      <c r="B1290" s="1" t="n">
        <v>45191</v>
      </c>
      <c r="C1290" s="1" t="n">
        <v>45851</v>
      </c>
      <c r="D1290" t="inlineStr">
        <is>
          <t>KALMAR LÄN</t>
        </is>
      </c>
      <c r="E1290" t="inlineStr">
        <is>
          <t>VÄSTERVIK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45396-2023</t>
        </is>
      </c>
      <c r="B1291" s="1" t="n">
        <v>45194</v>
      </c>
      <c r="C1291" s="1" t="n">
        <v>45851</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45474-2023</t>
        </is>
      </c>
      <c r="B1292" s="1" t="n">
        <v>45194</v>
      </c>
      <c r="C1292" s="1" t="n">
        <v>45851</v>
      </c>
      <c r="D1292" t="inlineStr">
        <is>
          <t>KALMAR LÄN</t>
        </is>
      </c>
      <c r="E1292" t="inlineStr">
        <is>
          <t>VÄSTERVIK</t>
        </is>
      </c>
      <c r="F1292" t="inlineStr">
        <is>
          <t>Holmen skog AB</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45450-2023</t>
        </is>
      </c>
      <c r="B1293" s="1" t="n">
        <v>45194</v>
      </c>
      <c r="C1293" s="1" t="n">
        <v>45851</v>
      </c>
      <c r="D1293" t="inlineStr">
        <is>
          <t>KALMAR LÄN</t>
        </is>
      </c>
      <c r="E1293" t="inlineStr">
        <is>
          <t>VÄSTERVIK</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45460-2023</t>
        </is>
      </c>
      <c r="B1294" s="1" t="n">
        <v>45194</v>
      </c>
      <c r="C1294" s="1" t="n">
        <v>45851</v>
      </c>
      <c r="D1294" t="inlineStr">
        <is>
          <t>KALMAR LÄN</t>
        </is>
      </c>
      <c r="E1294" t="inlineStr">
        <is>
          <t>VÄSTERVIK</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45921-2023</t>
        </is>
      </c>
      <c r="B1295" s="1" t="n">
        <v>45195</v>
      </c>
      <c r="C1295" s="1" t="n">
        <v>45851</v>
      </c>
      <c r="D1295" t="inlineStr">
        <is>
          <t>KALMAR LÄN</t>
        </is>
      </c>
      <c r="E1295" t="inlineStr">
        <is>
          <t>VÄSTERVIK</t>
        </is>
      </c>
      <c r="F1295" t="inlineStr">
        <is>
          <t>Holmen skog AB</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46088-2023</t>
        </is>
      </c>
      <c r="B1296" s="1" t="n">
        <v>45196</v>
      </c>
      <c r="C1296" s="1" t="n">
        <v>45851</v>
      </c>
      <c r="D1296" t="inlineStr">
        <is>
          <t>KALMAR LÄN</t>
        </is>
      </c>
      <c r="E1296" t="inlineStr">
        <is>
          <t>VÄSTERVIK</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46124-2023</t>
        </is>
      </c>
      <c r="B1297" s="1" t="n">
        <v>45196</v>
      </c>
      <c r="C1297" s="1" t="n">
        <v>45851</v>
      </c>
      <c r="D1297" t="inlineStr">
        <is>
          <t>KALMAR LÄN</t>
        </is>
      </c>
      <c r="E1297" t="inlineStr">
        <is>
          <t>VÄSTERVIK</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46129-2023</t>
        </is>
      </c>
      <c r="B1298" s="1" t="n">
        <v>45196</v>
      </c>
      <c r="C1298" s="1" t="n">
        <v>45851</v>
      </c>
      <c r="D1298" t="inlineStr">
        <is>
          <t>KALMAR LÄN</t>
        </is>
      </c>
      <c r="E1298" t="inlineStr">
        <is>
          <t>VÄSTERVIK</t>
        </is>
      </c>
      <c r="F1298" t="inlineStr">
        <is>
          <t>Sveaskog</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46067-2023</t>
        </is>
      </c>
      <c r="B1299" s="1" t="n">
        <v>45196</v>
      </c>
      <c r="C1299" s="1" t="n">
        <v>45851</v>
      </c>
      <c r="D1299" t="inlineStr">
        <is>
          <t>KALMAR LÄN</t>
        </is>
      </c>
      <c r="E1299" t="inlineStr">
        <is>
          <t>VÄSTERVIK</t>
        </is>
      </c>
      <c r="F1299" t="inlineStr">
        <is>
          <t>Sveaskog</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46064-2023</t>
        </is>
      </c>
      <c r="B1300" s="1" t="n">
        <v>45196</v>
      </c>
      <c r="C1300" s="1" t="n">
        <v>45851</v>
      </c>
      <c r="D1300" t="inlineStr">
        <is>
          <t>KALMAR LÄN</t>
        </is>
      </c>
      <c r="E1300" t="inlineStr">
        <is>
          <t>VÄSTERVIK</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46069-2023</t>
        </is>
      </c>
      <c r="B1301" s="1" t="n">
        <v>45196</v>
      </c>
      <c r="C1301" s="1" t="n">
        <v>45851</v>
      </c>
      <c r="D1301" t="inlineStr">
        <is>
          <t>KALMAR LÄN</t>
        </is>
      </c>
      <c r="E1301" t="inlineStr">
        <is>
          <t>VÄSTERVIK</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46130-2023</t>
        </is>
      </c>
      <c r="B1302" s="1" t="n">
        <v>45196</v>
      </c>
      <c r="C1302" s="1" t="n">
        <v>45851</v>
      </c>
      <c r="D1302" t="inlineStr">
        <is>
          <t>KALMAR LÄN</t>
        </is>
      </c>
      <c r="E1302" t="inlineStr">
        <is>
          <t>VÄSTERVIK</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46066-2023</t>
        </is>
      </c>
      <c r="B1303" s="1" t="n">
        <v>45196</v>
      </c>
      <c r="C1303" s="1" t="n">
        <v>45851</v>
      </c>
      <c r="D1303" t="inlineStr">
        <is>
          <t>KALMAR LÄN</t>
        </is>
      </c>
      <c r="E1303" t="inlineStr">
        <is>
          <t>VÄSTERVIK</t>
        </is>
      </c>
      <c r="F1303" t="inlineStr">
        <is>
          <t>Sveaskog</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46070-2023</t>
        </is>
      </c>
      <c r="B1304" s="1" t="n">
        <v>45196</v>
      </c>
      <c r="C1304" s="1" t="n">
        <v>45851</v>
      </c>
      <c r="D1304" t="inlineStr">
        <is>
          <t>KALMAR LÄN</t>
        </is>
      </c>
      <c r="E1304" t="inlineStr">
        <is>
          <t>VÄSTERVIK</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46121-2023</t>
        </is>
      </c>
      <c r="B1305" s="1" t="n">
        <v>45196</v>
      </c>
      <c r="C1305" s="1" t="n">
        <v>45851</v>
      </c>
      <c r="D1305" t="inlineStr">
        <is>
          <t>KALMAR LÄN</t>
        </is>
      </c>
      <c r="E1305" t="inlineStr">
        <is>
          <t>VÄSTERVIK</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46126-2023</t>
        </is>
      </c>
      <c r="B1306" s="1" t="n">
        <v>45196</v>
      </c>
      <c r="C1306" s="1" t="n">
        <v>45851</v>
      </c>
      <c r="D1306" t="inlineStr">
        <is>
          <t>KALMAR LÄN</t>
        </is>
      </c>
      <c r="E1306" t="inlineStr">
        <is>
          <t>VÄSTERVIK</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46131-2023</t>
        </is>
      </c>
      <c r="B1307" s="1" t="n">
        <v>45196</v>
      </c>
      <c r="C1307" s="1" t="n">
        <v>45851</v>
      </c>
      <c r="D1307" t="inlineStr">
        <is>
          <t>KALMAR LÄN</t>
        </is>
      </c>
      <c r="E1307" t="inlineStr">
        <is>
          <t>VÄSTERVIK</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46598-2023</t>
        </is>
      </c>
      <c r="B1308" s="1" t="n">
        <v>45198</v>
      </c>
      <c r="C1308" s="1" t="n">
        <v>45851</v>
      </c>
      <c r="D1308" t="inlineStr">
        <is>
          <t>KALMAR LÄN</t>
        </is>
      </c>
      <c r="E1308" t="inlineStr">
        <is>
          <t>VÄSTERVIK</t>
        </is>
      </c>
      <c r="F1308" t="inlineStr">
        <is>
          <t>Holmen skog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46717-2023</t>
        </is>
      </c>
      <c r="B1309" s="1" t="n">
        <v>45198</v>
      </c>
      <c r="C1309" s="1" t="n">
        <v>45851</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46718-2023</t>
        </is>
      </c>
      <c r="B1310" s="1" t="n">
        <v>45198</v>
      </c>
      <c r="C1310" s="1" t="n">
        <v>45851</v>
      </c>
      <c r="D1310" t="inlineStr">
        <is>
          <t>KALMAR LÄN</t>
        </is>
      </c>
      <c r="E1310" t="inlineStr">
        <is>
          <t>VÄSTERVIK</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47123-2023</t>
        </is>
      </c>
      <c r="B1311" s="1" t="n">
        <v>45201</v>
      </c>
      <c r="C1311" s="1" t="n">
        <v>45851</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46920-2023</t>
        </is>
      </c>
      <c r="B1312" s="1" t="n">
        <v>45201</v>
      </c>
      <c r="C1312" s="1" t="n">
        <v>45851</v>
      </c>
      <c r="D1312" t="inlineStr">
        <is>
          <t>KALMAR LÄN</t>
        </is>
      </c>
      <c r="E1312" t="inlineStr">
        <is>
          <t>VÄSTERVIK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47111-2023</t>
        </is>
      </c>
      <c r="B1313" s="1" t="n">
        <v>45201</v>
      </c>
      <c r="C1313" s="1" t="n">
        <v>45851</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47120-2023</t>
        </is>
      </c>
      <c r="B1314" s="1" t="n">
        <v>45201</v>
      </c>
      <c r="C1314" s="1" t="n">
        <v>45851</v>
      </c>
      <c r="D1314" t="inlineStr">
        <is>
          <t>KALMAR LÄN</t>
        </is>
      </c>
      <c r="E1314" t="inlineStr">
        <is>
          <t>VÄSTERVIK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47124-2023</t>
        </is>
      </c>
      <c r="B1315" s="1" t="n">
        <v>45201</v>
      </c>
      <c r="C1315" s="1" t="n">
        <v>45851</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46970-2023</t>
        </is>
      </c>
      <c r="B1316" s="1" t="n">
        <v>45201</v>
      </c>
      <c r="C1316" s="1" t="n">
        <v>45851</v>
      </c>
      <c r="D1316" t="inlineStr">
        <is>
          <t>KALMAR LÄN</t>
        </is>
      </c>
      <c r="E1316" t="inlineStr">
        <is>
          <t>VÄSTERVIK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46968-2023</t>
        </is>
      </c>
      <c r="B1317" s="1" t="n">
        <v>45201</v>
      </c>
      <c r="C1317" s="1" t="n">
        <v>45851</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47414-2023</t>
        </is>
      </c>
      <c r="B1318" s="1" t="n">
        <v>45202</v>
      </c>
      <c r="C1318" s="1" t="n">
        <v>45851</v>
      </c>
      <c r="D1318" t="inlineStr">
        <is>
          <t>KALMAR LÄN</t>
        </is>
      </c>
      <c r="E1318" t="inlineStr">
        <is>
          <t>VÄSTERVIK</t>
        </is>
      </c>
      <c r="F1318" t="inlineStr">
        <is>
          <t>Holmen skog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47267-2023</t>
        </is>
      </c>
      <c r="B1319" s="1" t="n">
        <v>45202</v>
      </c>
      <c r="C1319" s="1" t="n">
        <v>45851</v>
      </c>
      <c r="D1319" t="inlineStr">
        <is>
          <t>KALMAR LÄN</t>
        </is>
      </c>
      <c r="E1319" t="inlineStr">
        <is>
          <t>VÄSTERVIK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47363-2023</t>
        </is>
      </c>
      <c r="B1320" s="1" t="n">
        <v>45202</v>
      </c>
      <c r="C1320" s="1" t="n">
        <v>45851</v>
      </c>
      <c r="D1320" t="inlineStr">
        <is>
          <t>KALMAR LÄN</t>
        </is>
      </c>
      <c r="E1320" t="inlineStr">
        <is>
          <t>VÄSTERVIK</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47964-2023</t>
        </is>
      </c>
      <c r="B1321" s="1" t="n">
        <v>45204</v>
      </c>
      <c r="C1321" s="1" t="n">
        <v>45851</v>
      </c>
      <c r="D1321" t="inlineStr">
        <is>
          <t>KALMAR LÄN</t>
        </is>
      </c>
      <c r="E1321" t="inlineStr">
        <is>
          <t>VÄSTERVIK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47945-2023</t>
        </is>
      </c>
      <c r="B1322" s="1" t="n">
        <v>45204</v>
      </c>
      <c r="C1322" s="1" t="n">
        <v>45851</v>
      </c>
      <c r="D1322" t="inlineStr">
        <is>
          <t>KALMAR LÄN</t>
        </is>
      </c>
      <c r="E1322" t="inlineStr">
        <is>
          <t>VÄSTERVIK</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47939-2023</t>
        </is>
      </c>
      <c r="B1323" s="1" t="n">
        <v>45204</v>
      </c>
      <c r="C1323" s="1" t="n">
        <v>45851</v>
      </c>
      <c r="D1323" t="inlineStr">
        <is>
          <t>KALMAR LÄN</t>
        </is>
      </c>
      <c r="E1323" t="inlineStr">
        <is>
          <t>VÄSTERVIK</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48039-2023</t>
        </is>
      </c>
      <c r="B1324" s="1" t="n">
        <v>45204</v>
      </c>
      <c r="C1324" s="1" t="n">
        <v>45851</v>
      </c>
      <c r="D1324" t="inlineStr">
        <is>
          <t>KALMAR LÄN</t>
        </is>
      </c>
      <c r="E1324" t="inlineStr">
        <is>
          <t>VÄSTERVIK</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48043-2023</t>
        </is>
      </c>
      <c r="B1325" s="1" t="n">
        <v>45204</v>
      </c>
      <c r="C1325" s="1" t="n">
        <v>45851</v>
      </c>
      <c r="D1325" t="inlineStr">
        <is>
          <t>KALMAR LÄN</t>
        </is>
      </c>
      <c r="E1325" t="inlineStr">
        <is>
          <t>VÄSTERVIK</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48041-2023</t>
        </is>
      </c>
      <c r="B1326" s="1" t="n">
        <v>45204</v>
      </c>
      <c r="C1326" s="1" t="n">
        <v>45851</v>
      </c>
      <c r="D1326" t="inlineStr">
        <is>
          <t>KALMAR LÄN</t>
        </is>
      </c>
      <c r="E1326" t="inlineStr">
        <is>
          <t>VÄSTERVIK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47967-2023</t>
        </is>
      </c>
      <c r="B1327" s="1" t="n">
        <v>45204</v>
      </c>
      <c r="C1327" s="1" t="n">
        <v>45851</v>
      </c>
      <c r="D1327" t="inlineStr">
        <is>
          <t>KALMAR LÄN</t>
        </is>
      </c>
      <c r="E1327" t="inlineStr">
        <is>
          <t>VÄSTERVIK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48511-2023</t>
        </is>
      </c>
      <c r="B1328" s="1" t="n">
        <v>45208</v>
      </c>
      <c r="C1328" s="1" t="n">
        <v>45851</v>
      </c>
      <c r="D1328" t="inlineStr">
        <is>
          <t>KALMAR LÄN</t>
        </is>
      </c>
      <c r="E1328" t="inlineStr">
        <is>
          <t>VÄSTERVIK</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49177-2023</t>
        </is>
      </c>
      <c r="B1329" s="1" t="n">
        <v>45210</v>
      </c>
      <c r="C1329" s="1" t="n">
        <v>45851</v>
      </c>
      <c r="D1329" t="inlineStr">
        <is>
          <t>KALMAR LÄN</t>
        </is>
      </c>
      <c r="E1329" t="inlineStr">
        <is>
          <t>VÄSTERVIK</t>
        </is>
      </c>
      <c r="G1329" t="n">
        <v>16.7</v>
      </c>
      <c r="H1329" t="n">
        <v>0</v>
      </c>
      <c r="I1329" t="n">
        <v>0</v>
      </c>
      <c r="J1329" t="n">
        <v>0</v>
      </c>
      <c r="K1329" t="n">
        <v>0</v>
      </c>
      <c r="L1329" t="n">
        <v>0</v>
      </c>
      <c r="M1329" t="n">
        <v>0</v>
      </c>
      <c r="N1329" t="n">
        <v>0</v>
      </c>
      <c r="O1329" t="n">
        <v>0</v>
      </c>
      <c r="P1329" t="n">
        <v>0</v>
      </c>
      <c r="Q1329" t="n">
        <v>0</v>
      </c>
      <c r="R1329" s="2" t="inlineStr"/>
    </row>
    <row r="1330" ht="15" customHeight="1">
      <c r="A1330" t="inlineStr">
        <is>
          <t>A 49351-2023</t>
        </is>
      </c>
      <c r="B1330" s="1" t="n">
        <v>45211</v>
      </c>
      <c r="C1330" s="1" t="n">
        <v>45851</v>
      </c>
      <c r="D1330" t="inlineStr">
        <is>
          <t>KALMAR LÄN</t>
        </is>
      </c>
      <c r="E1330" t="inlineStr">
        <is>
          <t>VÄSTERVIK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49355-2023</t>
        </is>
      </c>
      <c r="B1331" s="1" t="n">
        <v>45211</v>
      </c>
      <c r="C1331" s="1" t="n">
        <v>45851</v>
      </c>
      <c r="D1331" t="inlineStr">
        <is>
          <t>KALMAR LÄN</t>
        </is>
      </c>
      <c r="E1331" t="inlineStr">
        <is>
          <t>VÄSTERVIK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49369-2023</t>
        </is>
      </c>
      <c r="B1332" s="1" t="n">
        <v>45211</v>
      </c>
      <c r="C1332" s="1" t="n">
        <v>45851</v>
      </c>
      <c r="D1332" t="inlineStr">
        <is>
          <t>KALMAR LÄN</t>
        </is>
      </c>
      <c r="E1332" t="inlineStr">
        <is>
          <t>VÄSTERVIK</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49452-2023</t>
        </is>
      </c>
      <c r="B1333" s="1" t="n">
        <v>45211</v>
      </c>
      <c r="C1333" s="1" t="n">
        <v>45851</v>
      </c>
      <c r="D1333" t="inlineStr">
        <is>
          <t>KALMAR LÄN</t>
        </is>
      </c>
      <c r="E1333" t="inlineStr">
        <is>
          <t>VÄSTERVIK</t>
        </is>
      </c>
      <c r="F1333" t="inlineStr">
        <is>
          <t>Övriga Aktiebolag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49479-2023</t>
        </is>
      </c>
      <c r="B1334" s="1" t="n">
        <v>45211</v>
      </c>
      <c r="C1334" s="1" t="n">
        <v>45851</v>
      </c>
      <c r="D1334" t="inlineStr">
        <is>
          <t>KALMAR LÄN</t>
        </is>
      </c>
      <c r="E1334" t="inlineStr">
        <is>
          <t>VÄSTERVIK</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49507-2023</t>
        </is>
      </c>
      <c r="B1335" s="1" t="n">
        <v>45211</v>
      </c>
      <c r="C1335" s="1" t="n">
        <v>45851</v>
      </c>
      <c r="D1335" t="inlineStr">
        <is>
          <t>KALMAR LÄN</t>
        </is>
      </c>
      <c r="E1335" t="inlineStr">
        <is>
          <t>VÄSTERVIK</t>
        </is>
      </c>
      <c r="F1335" t="inlineStr">
        <is>
          <t>Övriga Aktiebolag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49516-2023</t>
        </is>
      </c>
      <c r="B1336" s="1" t="n">
        <v>45211</v>
      </c>
      <c r="C1336" s="1" t="n">
        <v>45851</v>
      </c>
      <c r="D1336" t="inlineStr">
        <is>
          <t>KALMAR LÄN</t>
        </is>
      </c>
      <c r="E1336" t="inlineStr">
        <is>
          <t>VÄSTERVIK</t>
        </is>
      </c>
      <c r="F1336" t="inlineStr">
        <is>
          <t>Övriga Aktiebolag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49442-2023</t>
        </is>
      </c>
      <c r="B1337" s="1" t="n">
        <v>45211</v>
      </c>
      <c r="C1337" s="1" t="n">
        <v>45851</v>
      </c>
      <c r="D1337" t="inlineStr">
        <is>
          <t>KALMAR LÄN</t>
        </is>
      </c>
      <c r="E1337" t="inlineStr">
        <is>
          <t>VÄSTERVIK</t>
        </is>
      </c>
      <c r="F1337" t="inlineStr">
        <is>
          <t>Övriga Aktiebolag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49468-2023</t>
        </is>
      </c>
      <c r="B1338" s="1" t="n">
        <v>45211</v>
      </c>
      <c r="C1338" s="1" t="n">
        <v>45851</v>
      </c>
      <c r="D1338" t="inlineStr">
        <is>
          <t>KALMAR LÄN</t>
        </is>
      </c>
      <c r="E1338" t="inlineStr">
        <is>
          <t>VÄSTERVIK</t>
        </is>
      </c>
      <c r="F1338" t="inlineStr">
        <is>
          <t>Övriga Aktiebolag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49580-2023</t>
        </is>
      </c>
      <c r="B1339" s="1" t="n">
        <v>45211</v>
      </c>
      <c r="C1339" s="1" t="n">
        <v>45851</v>
      </c>
      <c r="D1339" t="inlineStr">
        <is>
          <t>KALMAR LÄN</t>
        </is>
      </c>
      <c r="E1339" t="inlineStr">
        <is>
          <t>VÄSTERVIK</t>
        </is>
      </c>
      <c r="F1339" t="inlineStr">
        <is>
          <t>Övriga Aktiebolag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50042-2023</t>
        </is>
      </c>
      <c r="B1340" s="1" t="n">
        <v>45215</v>
      </c>
      <c r="C1340" s="1" t="n">
        <v>45851</v>
      </c>
      <c r="D1340" t="inlineStr">
        <is>
          <t>KALMAR LÄN</t>
        </is>
      </c>
      <c r="E1340" t="inlineStr">
        <is>
          <t>VÄSTERVIK</t>
        </is>
      </c>
      <c r="F1340" t="inlineStr">
        <is>
          <t>Holmen skog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50127-2023</t>
        </is>
      </c>
      <c r="B1341" s="1" t="n">
        <v>45215</v>
      </c>
      <c r="C1341" s="1" t="n">
        <v>45851</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50001-2023</t>
        </is>
      </c>
      <c r="B1342" s="1" t="n">
        <v>45215</v>
      </c>
      <c r="C1342" s="1" t="n">
        <v>45851</v>
      </c>
      <c r="D1342" t="inlineStr">
        <is>
          <t>KALMAR LÄN</t>
        </is>
      </c>
      <c r="E1342" t="inlineStr">
        <is>
          <t>VÄSTERVIK</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50045-2023</t>
        </is>
      </c>
      <c r="B1343" s="1" t="n">
        <v>45215</v>
      </c>
      <c r="C1343" s="1" t="n">
        <v>45851</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50086-2023</t>
        </is>
      </c>
      <c r="B1344" s="1" t="n">
        <v>45215</v>
      </c>
      <c r="C1344" s="1" t="n">
        <v>45851</v>
      </c>
      <c r="D1344" t="inlineStr">
        <is>
          <t>KALMAR LÄN</t>
        </is>
      </c>
      <c r="E1344" t="inlineStr">
        <is>
          <t>VÄSTERVIK</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52043-2023</t>
        </is>
      </c>
      <c r="B1345" s="1" t="n">
        <v>45216</v>
      </c>
      <c r="C1345" s="1" t="n">
        <v>45851</v>
      </c>
      <c r="D1345" t="inlineStr">
        <is>
          <t>KALMAR LÄN</t>
        </is>
      </c>
      <c r="E1345" t="inlineStr">
        <is>
          <t>VÄSTERVIK</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52049-2023</t>
        </is>
      </c>
      <c r="B1346" s="1" t="n">
        <v>45216</v>
      </c>
      <c r="C1346" s="1" t="n">
        <v>45851</v>
      </c>
      <c r="D1346" t="inlineStr">
        <is>
          <t>KALMAR LÄN</t>
        </is>
      </c>
      <c r="E1346" t="inlineStr">
        <is>
          <t>VÄSTERVIK</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52035-2023</t>
        </is>
      </c>
      <c r="B1347" s="1" t="n">
        <v>45216</v>
      </c>
      <c r="C1347" s="1" t="n">
        <v>45851</v>
      </c>
      <c r="D1347" t="inlineStr">
        <is>
          <t>KALMAR LÄN</t>
        </is>
      </c>
      <c r="E1347" t="inlineStr">
        <is>
          <t>VÄSTERVIK</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51524-2023</t>
        </is>
      </c>
      <c r="B1348" s="1" t="n">
        <v>45222</v>
      </c>
      <c r="C1348" s="1" t="n">
        <v>45851</v>
      </c>
      <c r="D1348" t="inlineStr">
        <is>
          <t>KALMAR LÄN</t>
        </is>
      </c>
      <c r="E1348" t="inlineStr">
        <is>
          <t>VÄSTERVIK</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51640-2023</t>
        </is>
      </c>
      <c r="B1349" s="1" t="n">
        <v>45222</v>
      </c>
      <c r="C1349" s="1" t="n">
        <v>45851</v>
      </c>
      <c r="D1349" t="inlineStr">
        <is>
          <t>KALMAR LÄN</t>
        </is>
      </c>
      <c r="E1349" t="inlineStr">
        <is>
          <t>VÄSTERVIK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51645-2023</t>
        </is>
      </c>
      <c r="B1350" s="1" t="n">
        <v>45222</v>
      </c>
      <c r="C1350" s="1" t="n">
        <v>45851</v>
      </c>
      <c r="D1350" t="inlineStr">
        <is>
          <t>KALMAR LÄN</t>
        </is>
      </c>
      <c r="E1350" t="inlineStr">
        <is>
          <t>VÄSTERVIK</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51581-2023</t>
        </is>
      </c>
      <c r="B1351" s="1" t="n">
        <v>45222</v>
      </c>
      <c r="C1351" s="1" t="n">
        <v>45851</v>
      </c>
      <c r="D1351" t="inlineStr">
        <is>
          <t>KALMAR LÄN</t>
        </is>
      </c>
      <c r="E1351" t="inlineStr">
        <is>
          <t>VÄSTERVIK</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52189-2023</t>
        </is>
      </c>
      <c r="B1352" s="1" t="n">
        <v>45224</v>
      </c>
      <c r="C1352" s="1" t="n">
        <v>45851</v>
      </c>
      <c r="D1352" t="inlineStr">
        <is>
          <t>KALMAR LÄN</t>
        </is>
      </c>
      <c r="E1352" t="inlineStr">
        <is>
          <t>VÄSTERVIK</t>
        </is>
      </c>
      <c r="F1352" t="inlineStr">
        <is>
          <t>Sveaskog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52325-2023</t>
        </is>
      </c>
      <c r="B1353" s="1" t="n">
        <v>45224</v>
      </c>
      <c r="C1353" s="1" t="n">
        <v>45851</v>
      </c>
      <c r="D1353" t="inlineStr">
        <is>
          <t>KALMAR LÄN</t>
        </is>
      </c>
      <c r="E1353" t="inlineStr">
        <is>
          <t>VÄSTERVIK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52468-2023</t>
        </is>
      </c>
      <c r="B1354" s="1" t="n">
        <v>45225</v>
      </c>
      <c r="C1354" s="1" t="n">
        <v>45851</v>
      </c>
      <c r="D1354" t="inlineStr">
        <is>
          <t>KALMAR LÄN</t>
        </is>
      </c>
      <c r="E1354" t="inlineStr">
        <is>
          <t>VÄSTERVIK</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52845-2023</t>
        </is>
      </c>
      <c r="B1355" s="1" t="n">
        <v>45226</v>
      </c>
      <c r="C1355" s="1" t="n">
        <v>45851</v>
      </c>
      <c r="D1355" t="inlineStr">
        <is>
          <t>KALMAR LÄN</t>
        </is>
      </c>
      <c r="E1355" t="inlineStr">
        <is>
          <t>VÄSTERVIK</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52844-2023</t>
        </is>
      </c>
      <c r="B1356" s="1" t="n">
        <v>45226</v>
      </c>
      <c r="C1356" s="1" t="n">
        <v>45851</v>
      </c>
      <c r="D1356" t="inlineStr">
        <is>
          <t>KALMAR LÄN</t>
        </is>
      </c>
      <c r="E1356" t="inlineStr">
        <is>
          <t>VÄSTERVIK</t>
        </is>
      </c>
      <c r="F1356" t="inlineStr">
        <is>
          <t>Holmen skog AB</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54124-2023</t>
        </is>
      </c>
      <c r="B1357" s="1" t="n">
        <v>45232</v>
      </c>
      <c r="C1357" s="1" t="n">
        <v>45851</v>
      </c>
      <c r="D1357" t="inlineStr">
        <is>
          <t>KALMAR LÄN</t>
        </is>
      </c>
      <c r="E1357" t="inlineStr">
        <is>
          <t>VÄSTERVIK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54135-2023</t>
        </is>
      </c>
      <c r="B1358" s="1" t="n">
        <v>45232</v>
      </c>
      <c r="C1358" s="1" t="n">
        <v>45851</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54232-2023</t>
        </is>
      </c>
      <c r="B1359" s="1" t="n">
        <v>45232</v>
      </c>
      <c r="C1359" s="1" t="n">
        <v>45851</v>
      </c>
      <c r="D1359" t="inlineStr">
        <is>
          <t>KALMAR LÄN</t>
        </is>
      </c>
      <c r="E1359" t="inlineStr">
        <is>
          <t>VÄSTERVIK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54569-2023</t>
        </is>
      </c>
      <c r="B1360" s="1" t="n">
        <v>45233</v>
      </c>
      <c r="C1360" s="1" t="n">
        <v>45851</v>
      </c>
      <c r="D1360" t="inlineStr">
        <is>
          <t>KALMAR LÄN</t>
        </is>
      </c>
      <c r="E1360" t="inlineStr">
        <is>
          <t>VÄSTERVIK</t>
        </is>
      </c>
      <c r="F1360" t="inlineStr">
        <is>
          <t>Holmen skog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54358-2023</t>
        </is>
      </c>
      <c r="B1361" s="1" t="n">
        <v>45233</v>
      </c>
      <c r="C1361" s="1" t="n">
        <v>45851</v>
      </c>
      <c r="D1361" t="inlineStr">
        <is>
          <t>KALMAR LÄN</t>
        </is>
      </c>
      <c r="E1361" t="inlineStr">
        <is>
          <t>VÄSTERVIK</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54778-2023</t>
        </is>
      </c>
      <c r="B1362" s="1" t="n">
        <v>45236</v>
      </c>
      <c r="C1362" s="1" t="n">
        <v>45851</v>
      </c>
      <c r="D1362" t="inlineStr">
        <is>
          <t>KALMAR LÄN</t>
        </is>
      </c>
      <c r="E1362" t="inlineStr">
        <is>
          <t>VÄSTERVIK</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54951-2023</t>
        </is>
      </c>
      <c r="B1363" s="1" t="n">
        <v>45236</v>
      </c>
      <c r="C1363" s="1" t="n">
        <v>45851</v>
      </c>
      <c r="D1363" t="inlineStr">
        <is>
          <t>KALMAR LÄN</t>
        </is>
      </c>
      <c r="E1363" t="inlineStr">
        <is>
          <t>VÄSTERVIK</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55007-2023</t>
        </is>
      </c>
      <c r="B1364" s="1" t="n">
        <v>45237</v>
      </c>
      <c r="C1364" s="1" t="n">
        <v>45851</v>
      </c>
      <c r="D1364" t="inlineStr">
        <is>
          <t>KALMAR LÄN</t>
        </is>
      </c>
      <c r="E1364" t="inlineStr">
        <is>
          <t>VÄSTERVIK</t>
        </is>
      </c>
      <c r="F1364" t="inlineStr">
        <is>
          <t>Holmen skog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54950-2023</t>
        </is>
      </c>
      <c r="B1365" s="1" t="n">
        <v>45236</v>
      </c>
      <c r="C1365" s="1" t="n">
        <v>45851</v>
      </c>
      <c r="D1365" t="inlineStr">
        <is>
          <t>KALMAR LÄN</t>
        </is>
      </c>
      <c r="E1365" t="inlineStr">
        <is>
          <t>VÄSTERVIK</t>
        </is>
      </c>
      <c r="F1365" t="inlineStr">
        <is>
          <t>Övriga Aktiebolag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54784-2023</t>
        </is>
      </c>
      <c r="B1366" s="1" t="n">
        <v>45236</v>
      </c>
      <c r="C1366" s="1" t="n">
        <v>45851</v>
      </c>
      <c r="D1366" t="inlineStr">
        <is>
          <t>KALMAR LÄN</t>
        </is>
      </c>
      <c r="E1366" t="inlineStr">
        <is>
          <t>VÄSTERVIK</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54953-2023</t>
        </is>
      </c>
      <c r="B1367" s="1" t="n">
        <v>45236</v>
      </c>
      <c r="C1367" s="1" t="n">
        <v>45851</v>
      </c>
      <c r="D1367" t="inlineStr">
        <is>
          <t>KALMAR LÄN</t>
        </is>
      </c>
      <c r="E1367" t="inlineStr">
        <is>
          <t>VÄSTERVIK</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55287-2023</t>
        </is>
      </c>
      <c r="B1368" s="1" t="n">
        <v>45237</v>
      </c>
      <c r="C1368" s="1" t="n">
        <v>45851</v>
      </c>
      <c r="D1368" t="inlineStr">
        <is>
          <t>KALMAR LÄN</t>
        </is>
      </c>
      <c r="E1368" t="inlineStr">
        <is>
          <t>VÄSTERVIK</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55289-2023</t>
        </is>
      </c>
      <c r="B1369" s="1" t="n">
        <v>45237</v>
      </c>
      <c r="C1369" s="1" t="n">
        <v>45851</v>
      </c>
      <c r="D1369" t="inlineStr">
        <is>
          <t>KALMAR LÄN</t>
        </is>
      </c>
      <c r="E1369" t="inlineStr">
        <is>
          <t>VÄSTERVIK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55403-2023</t>
        </is>
      </c>
      <c r="B1370" s="1" t="n">
        <v>45238</v>
      </c>
      <c r="C1370" s="1" t="n">
        <v>45851</v>
      </c>
      <c r="D1370" t="inlineStr">
        <is>
          <t>KALMAR LÄN</t>
        </is>
      </c>
      <c r="E1370" t="inlineStr">
        <is>
          <t>VÄSTERVIK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55578-2023</t>
        </is>
      </c>
      <c r="B1371" s="1" t="n">
        <v>45238</v>
      </c>
      <c r="C1371" s="1" t="n">
        <v>45851</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56719-2023</t>
        </is>
      </c>
      <c r="B1372" s="1" t="n">
        <v>45238</v>
      </c>
      <c r="C1372" s="1" t="n">
        <v>45851</v>
      </c>
      <c r="D1372" t="inlineStr">
        <is>
          <t>KALMAR LÄN</t>
        </is>
      </c>
      <c r="E1372" t="inlineStr">
        <is>
          <t>VÄSTERVIK</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55866-2023</t>
        </is>
      </c>
      <c r="B1373" s="1" t="n">
        <v>45239</v>
      </c>
      <c r="C1373" s="1" t="n">
        <v>45851</v>
      </c>
      <c r="D1373" t="inlineStr">
        <is>
          <t>KALMAR LÄN</t>
        </is>
      </c>
      <c r="E1373" t="inlineStr">
        <is>
          <t>VÄSTERVIK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55958-2023</t>
        </is>
      </c>
      <c r="B1374" s="1" t="n">
        <v>45240</v>
      </c>
      <c r="C1374" s="1" t="n">
        <v>45851</v>
      </c>
      <c r="D1374" t="inlineStr">
        <is>
          <t>KALMAR LÄN</t>
        </is>
      </c>
      <c r="E1374" t="inlineStr">
        <is>
          <t>VÄSTERVIK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56188-2023</t>
        </is>
      </c>
      <c r="B1375" s="1" t="n">
        <v>45240</v>
      </c>
      <c r="C1375" s="1" t="n">
        <v>45851</v>
      </c>
      <c r="D1375" t="inlineStr">
        <is>
          <t>KALMAR LÄN</t>
        </is>
      </c>
      <c r="E1375" t="inlineStr">
        <is>
          <t>VÄSTERVIK</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56033-2023</t>
        </is>
      </c>
      <c r="B1376" s="1" t="n">
        <v>45240</v>
      </c>
      <c r="C1376" s="1" t="n">
        <v>45851</v>
      </c>
      <c r="D1376" t="inlineStr">
        <is>
          <t>KALMAR LÄN</t>
        </is>
      </c>
      <c r="E1376" t="inlineStr">
        <is>
          <t>VÄSTERVIK</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56187-2023</t>
        </is>
      </c>
      <c r="B1377" s="1" t="n">
        <v>45240</v>
      </c>
      <c r="C1377" s="1" t="n">
        <v>45851</v>
      </c>
      <c r="D1377" t="inlineStr">
        <is>
          <t>KALMAR LÄN</t>
        </is>
      </c>
      <c r="E1377" t="inlineStr">
        <is>
          <t>VÄSTERVIK</t>
        </is>
      </c>
      <c r="G1377" t="n">
        <v>1.3</v>
      </c>
      <c r="H1377" t="n">
        <v>0</v>
      </c>
      <c r="I1377" t="n">
        <v>0</v>
      </c>
      <c r="J1377" t="n">
        <v>0</v>
      </c>
      <c r="K1377" t="n">
        <v>0</v>
      </c>
      <c r="L1377" t="n">
        <v>0</v>
      </c>
      <c r="M1377" t="n">
        <v>0</v>
      </c>
      <c r="N1377" t="n">
        <v>0</v>
      </c>
      <c r="O1377" t="n">
        <v>0</v>
      </c>
      <c r="P1377" t="n">
        <v>0</v>
      </c>
      <c r="Q1377" t="n">
        <v>0</v>
      </c>
      <c r="R1377" s="2" t="inlineStr"/>
      <c r="U1377">
        <f>HYPERLINK("https://klasma.github.io/Logging_0883/knärot/A 56187-2023 karta knärot.png", "A 56187-2023")</f>
        <v/>
      </c>
      <c r="V1377">
        <f>HYPERLINK("https://klasma.github.io/Logging_0883/klagomål/A 56187-2023 FSC-klagomål.docx", "A 56187-2023")</f>
        <v/>
      </c>
      <c r="W1377">
        <f>HYPERLINK("https://klasma.github.io/Logging_0883/klagomålsmail/A 56187-2023 FSC-klagomål mail.docx", "A 56187-2023")</f>
        <v/>
      </c>
      <c r="X1377">
        <f>HYPERLINK("https://klasma.github.io/Logging_0883/tillsyn/A 56187-2023 tillsynsbegäran.docx", "A 56187-2023")</f>
        <v/>
      </c>
      <c r="Y1377">
        <f>HYPERLINK("https://klasma.github.io/Logging_0883/tillsynsmail/A 56187-2023 tillsynsbegäran mail.docx", "A 56187-2023")</f>
        <v/>
      </c>
    </row>
    <row r="1378" ht="15" customHeight="1">
      <c r="A1378" t="inlineStr">
        <is>
          <t>A 56042-2023</t>
        </is>
      </c>
      <c r="B1378" s="1" t="n">
        <v>45240</v>
      </c>
      <c r="C1378" s="1" t="n">
        <v>45851</v>
      </c>
      <c r="D1378" t="inlineStr">
        <is>
          <t>KALMAR LÄN</t>
        </is>
      </c>
      <c r="E1378" t="inlineStr">
        <is>
          <t>VÄSTERVIK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56046-2023</t>
        </is>
      </c>
      <c r="B1379" s="1" t="n">
        <v>45240</v>
      </c>
      <c r="C1379" s="1" t="n">
        <v>45851</v>
      </c>
      <c r="D1379" t="inlineStr">
        <is>
          <t>KALMAR LÄN</t>
        </is>
      </c>
      <c r="E1379" t="inlineStr">
        <is>
          <t>VÄSTERVIK</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57019-2023</t>
        </is>
      </c>
      <c r="B1380" s="1" t="n">
        <v>45244</v>
      </c>
      <c r="C1380" s="1" t="n">
        <v>45851</v>
      </c>
      <c r="D1380" t="inlineStr">
        <is>
          <t>KALMAR LÄN</t>
        </is>
      </c>
      <c r="E1380" t="inlineStr">
        <is>
          <t>VÄSTERVIK</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57025-2023</t>
        </is>
      </c>
      <c r="B1381" s="1" t="n">
        <v>45244</v>
      </c>
      <c r="C1381" s="1" t="n">
        <v>45851</v>
      </c>
      <c r="D1381" t="inlineStr">
        <is>
          <t>KALMAR LÄN</t>
        </is>
      </c>
      <c r="E1381" t="inlineStr">
        <is>
          <t>VÄSTERVIK</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57367-2023</t>
        </is>
      </c>
      <c r="B1382" s="1" t="n">
        <v>45245</v>
      </c>
      <c r="C1382" s="1" t="n">
        <v>45851</v>
      </c>
      <c r="D1382" t="inlineStr">
        <is>
          <t>KALMAR LÄN</t>
        </is>
      </c>
      <c r="E1382" t="inlineStr">
        <is>
          <t>VÄSTERVIK</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57162-2023</t>
        </is>
      </c>
      <c r="B1383" s="1" t="n">
        <v>45245</v>
      </c>
      <c r="C1383" s="1" t="n">
        <v>45851</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57369-2023</t>
        </is>
      </c>
      <c r="B1384" s="1" t="n">
        <v>45245</v>
      </c>
      <c r="C1384" s="1" t="n">
        <v>45851</v>
      </c>
      <c r="D1384" t="inlineStr">
        <is>
          <t>KALMAR LÄN</t>
        </is>
      </c>
      <c r="E1384" t="inlineStr">
        <is>
          <t>VÄSTERVIK</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57368-2023</t>
        </is>
      </c>
      <c r="B1385" s="1" t="n">
        <v>45245</v>
      </c>
      <c r="C1385" s="1" t="n">
        <v>45851</v>
      </c>
      <c r="D1385" t="inlineStr">
        <is>
          <t>KALMAR LÄN</t>
        </is>
      </c>
      <c r="E1385" t="inlineStr">
        <is>
          <t>VÄSTERVIK</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57366-2023</t>
        </is>
      </c>
      <c r="B1386" s="1" t="n">
        <v>45245</v>
      </c>
      <c r="C1386" s="1" t="n">
        <v>45851</v>
      </c>
      <c r="D1386" t="inlineStr">
        <is>
          <t>KALMAR LÄN</t>
        </is>
      </c>
      <c r="E1386" t="inlineStr">
        <is>
          <t>VÄSTERVIK</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57757-2023</t>
        </is>
      </c>
      <c r="B1387" s="1" t="n">
        <v>45246</v>
      </c>
      <c r="C1387" s="1" t="n">
        <v>45851</v>
      </c>
      <c r="D1387" t="inlineStr">
        <is>
          <t>KALMAR LÄN</t>
        </is>
      </c>
      <c r="E1387" t="inlineStr">
        <is>
          <t>VÄSTERVIK</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58454-2023</t>
        </is>
      </c>
      <c r="B1388" s="1" t="n">
        <v>45250</v>
      </c>
      <c r="C1388" s="1" t="n">
        <v>45851</v>
      </c>
      <c r="D1388" t="inlineStr">
        <is>
          <t>KALMAR LÄN</t>
        </is>
      </c>
      <c r="E1388" t="inlineStr">
        <is>
          <t>VÄSTERVIK</t>
        </is>
      </c>
      <c r="F1388" t="inlineStr">
        <is>
          <t>Holmen skog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58703-2023</t>
        </is>
      </c>
      <c r="B1389" s="1" t="n">
        <v>45251</v>
      </c>
      <c r="C1389" s="1" t="n">
        <v>45851</v>
      </c>
      <c r="D1389" t="inlineStr">
        <is>
          <t>KALMAR LÄN</t>
        </is>
      </c>
      <c r="E1389" t="inlineStr">
        <is>
          <t>VÄSTERVIK</t>
        </is>
      </c>
      <c r="F1389" t="inlineStr">
        <is>
          <t>Övriga Aktiebolag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59331-2023</t>
        </is>
      </c>
      <c r="B1390" s="1" t="n">
        <v>45253</v>
      </c>
      <c r="C1390" s="1" t="n">
        <v>45851</v>
      </c>
      <c r="D1390" t="inlineStr">
        <is>
          <t>KALMAR LÄN</t>
        </is>
      </c>
      <c r="E1390" t="inlineStr">
        <is>
          <t>VÄSTERVIK</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59539-2023</t>
        </is>
      </c>
      <c r="B1391" s="1" t="n">
        <v>45254</v>
      </c>
      <c r="C1391" s="1" t="n">
        <v>45851</v>
      </c>
      <c r="D1391" t="inlineStr">
        <is>
          <t>KALMAR LÄN</t>
        </is>
      </c>
      <c r="E1391" t="inlineStr">
        <is>
          <t>VÄSTERVIK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59696-2023</t>
        </is>
      </c>
      <c r="B1392" s="1" t="n">
        <v>45256</v>
      </c>
      <c r="C1392" s="1" t="n">
        <v>45851</v>
      </c>
      <c r="D1392" t="inlineStr">
        <is>
          <t>KALMAR LÄN</t>
        </is>
      </c>
      <c r="E1392" t="inlineStr">
        <is>
          <t>VÄSTERVIK</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59695-2023</t>
        </is>
      </c>
      <c r="B1393" s="1" t="n">
        <v>45256</v>
      </c>
      <c r="C1393" s="1" t="n">
        <v>45851</v>
      </c>
      <c r="D1393" t="inlineStr">
        <is>
          <t>KALMAR LÄN</t>
        </is>
      </c>
      <c r="E1393" t="inlineStr">
        <is>
          <t>VÄSTERVIK</t>
        </is>
      </c>
      <c r="F1393" t="inlineStr">
        <is>
          <t>Sveaskog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59732-2023</t>
        </is>
      </c>
      <c r="B1394" s="1" t="n">
        <v>45257</v>
      </c>
      <c r="C1394" s="1" t="n">
        <v>45851</v>
      </c>
      <c r="D1394" t="inlineStr">
        <is>
          <t>KALMAR LÄN</t>
        </is>
      </c>
      <c r="E1394" t="inlineStr">
        <is>
          <t>VÄSTERVIK</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59844-2023</t>
        </is>
      </c>
      <c r="B1395" s="1" t="n">
        <v>45257</v>
      </c>
      <c r="C1395" s="1" t="n">
        <v>45851</v>
      </c>
      <c r="D1395" t="inlineStr">
        <is>
          <t>KALMAR LÄN</t>
        </is>
      </c>
      <c r="E1395" t="inlineStr">
        <is>
          <t>VÄSTERVIK</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59847-2023</t>
        </is>
      </c>
      <c r="B1396" s="1" t="n">
        <v>45257</v>
      </c>
      <c r="C1396" s="1" t="n">
        <v>45851</v>
      </c>
      <c r="D1396" t="inlineStr">
        <is>
          <t>KALMAR LÄN</t>
        </is>
      </c>
      <c r="E1396" t="inlineStr">
        <is>
          <t>VÄSTERVIK</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60056-2023</t>
        </is>
      </c>
      <c r="B1397" s="1" t="n">
        <v>45258</v>
      </c>
      <c r="C1397" s="1" t="n">
        <v>45851</v>
      </c>
      <c r="D1397" t="inlineStr">
        <is>
          <t>KALMAR LÄN</t>
        </is>
      </c>
      <c r="E1397" t="inlineStr">
        <is>
          <t>VÄSTERVIK</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60196-2023</t>
        </is>
      </c>
      <c r="B1398" s="1" t="n">
        <v>45258</v>
      </c>
      <c r="C1398" s="1" t="n">
        <v>45851</v>
      </c>
      <c r="D1398" t="inlineStr">
        <is>
          <t>KALMAR LÄN</t>
        </is>
      </c>
      <c r="E1398" t="inlineStr">
        <is>
          <t>VÄSTERVIK</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60179-2023</t>
        </is>
      </c>
      <c r="B1399" s="1" t="n">
        <v>45258</v>
      </c>
      <c r="C1399" s="1" t="n">
        <v>45851</v>
      </c>
      <c r="D1399" t="inlineStr">
        <is>
          <t>KALMAR LÄN</t>
        </is>
      </c>
      <c r="E1399" t="inlineStr">
        <is>
          <t>VÄSTERVIK</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60187-2023</t>
        </is>
      </c>
      <c r="B1400" s="1" t="n">
        <v>45258</v>
      </c>
      <c r="C1400" s="1" t="n">
        <v>45851</v>
      </c>
      <c r="D1400" t="inlineStr">
        <is>
          <t>KALMAR LÄN</t>
        </is>
      </c>
      <c r="E1400" t="inlineStr">
        <is>
          <t>VÄSTERVIK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60300-2023</t>
        </is>
      </c>
      <c r="B1401" s="1" t="n">
        <v>45258</v>
      </c>
      <c r="C1401" s="1" t="n">
        <v>45851</v>
      </c>
      <c r="D1401" t="inlineStr">
        <is>
          <t>KALMAR LÄN</t>
        </is>
      </c>
      <c r="E1401" t="inlineStr">
        <is>
          <t>VÄSTERVIK</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60634-2023</t>
        </is>
      </c>
      <c r="B1402" s="1" t="n">
        <v>45260</v>
      </c>
      <c r="C1402" s="1" t="n">
        <v>45851</v>
      </c>
      <c r="D1402" t="inlineStr">
        <is>
          <t>KALMAR LÄN</t>
        </is>
      </c>
      <c r="E1402" t="inlineStr">
        <is>
          <t>VÄSTERVIK</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60921-2023</t>
        </is>
      </c>
      <c r="B1403" s="1" t="n">
        <v>45261</v>
      </c>
      <c r="C1403" s="1" t="n">
        <v>45851</v>
      </c>
      <c r="D1403" t="inlineStr">
        <is>
          <t>KALMAR LÄN</t>
        </is>
      </c>
      <c r="E1403" t="inlineStr">
        <is>
          <t>VÄSTERVIK</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61556-2023</t>
        </is>
      </c>
      <c r="B1404" s="1" t="n">
        <v>45261</v>
      </c>
      <c r="C1404" s="1" t="n">
        <v>45851</v>
      </c>
      <c r="D1404" t="inlineStr">
        <is>
          <t>KALMAR LÄN</t>
        </is>
      </c>
      <c r="E1404" t="inlineStr">
        <is>
          <t>VÄSTERVIK</t>
        </is>
      </c>
      <c r="F1404" t="inlineStr">
        <is>
          <t>Övriga Aktiebolag</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61450-2023</t>
        </is>
      </c>
      <c r="B1405" s="1" t="n">
        <v>45264</v>
      </c>
      <c r="C1405" s="1" t="n">
        <v>45851</v>
      </c>
      <c r="D1405" t="inlineStr">
        <is>
          <t>KALMAR LÄN</t>
        </is>
      </c>
      <c r="E1405" t="inlineStr">
        <is>
          <t>VÄSTERVIK</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61449-2023</t>
        </is>
      </c>
      <c r="B1406" s="1" t="n">
        <v>45264</v>
      </c>
      <c r="C1406" s="1" t="n">
        <v>45851</v>
      </c>
      <c r="D1406" t="inlineStr">
        <is>
          <t>KALMAR LÄN</t>
        </is>
      </c>
      <c r="E1406" t="inlineStr">
        <is>
          <t>VÄSTERVIK</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61448-2023</t>
        </is>
      </c>
      <c r="B1407" s="1" t="n">
        <v>45264</v>
      </c>
      <c r="C1407" s="1" t="n">
        <v>45851</v>
      </c>
      <c r="D1407" t="inlineStr">
        <is>
          <t>KALMAR LÄN</t>
        </is>
      </c>
      <c r="E1407" t="inlineStr">
        <is>
          <t>VÄSTERVIK</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61728-2023</t>
        </is>
      </c>
      <c r="B1408" s="1" t="n">
        <v>45265</v>
      </c>
      <c r="C1408" s="1" t="n">
        <v>45851</v>
      </c>
      <c r="D1408" t="inlineStr">
        <is>
          <t>KALMAR LÄN</t>
        </is>
      </c>
      <c r="E1408" t="inlineStr">
        <is>
          <t>VÄSTERVIK</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61746-2023</t>
        </is>
      </c>
      <c r="B1409" s="1" t="n">
        <v>45265</v>
      </c>
      <c r="C1409" s="1" t="n">
        <v>45851</v>
      </c>
      <c r="D1409" t="inlineStr">
        <is>
          <t>KALMAR LÄN</t>
        </is>
      </c>
      <c r="E1409" t="inlineStr">
        <is>
          <t>VÄSTERVIK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61807-2023</t>
        </is>
      </c>
      <c r="B1410" s="1" t="n">
        <v>45266</v>
      </c>
      <c r="C1410" s="1" t="n">
        <v>45851</v>
      </c>
      <c r="D1410" t="inlineStr">
        <is>
          <t>KALMAR LÄN</t>
        </is>
      </c>
      <c r="E1410" t="inlineStr">
        <is>
          <t>VÄSTERVIK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61999-2023</t>
        </is>
      </c>
      <c r="B1411" s="1" t="n">
        <v>45266</v>
      </c>
      <c r="C1411" s="1" t="n">
        <v>45851</v>
      </c>
      <c r="D1411" t="inlineStr">
        <is>
          <t>KALMAR LÄN</t>
        </is>
      </c>
      <c r="E1411" t="inlineStr">
        <is>
          <t>VÄSTERVIK</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62003-2023</t>
        </is>
      </c>
      <c r="B1412" s="1" t="n">
        <v>45266</v>
      </c>
      <c r="C1412" s="1" t="n">
        <v>45851</v>
      </c>
      <c r="D1412" t="inlineStr">
        <is>
          <t>KALMAR LÄN</t>
        </is>
      </c>
      <c r="E1412" t="inlineStr">
        <is>
          <t>VÄSTERVIK</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62017-2023</t>
        </is>
      </c>
      <c r="B1413" s="1" t="n">
        <v>45266</v>
      </c>
      <c r="C1413" s="1" t="n">
        <v>45851</v>
      </c>
      <c r="D1413" t="inlineStr">
        <is>
          <t>KALMAR LÄN</t>
        </is>
      </c>
      <c r="E1413" t="inlineStr">
        <is>
          <t>VÄSTERVIK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62027-2023</t>
        </is>
      </c>
      <c r="B1414" s="1" t="n">
        <v>45266</v>
      </c>
      <c r="C1414" s="1" t="n">
        <v>45851</v>
      </c>
      <c r="D1414" t="inlineStr">
        <is>
          <t>KALMAR LÄN</t>
        </is>
      </c>
      <c r="E1414" t="inlineStr">
        <is>
          <t>VÄSTERVIK</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62034-2023</t>
        </is>
      </c>
      <c r="B1415" s="1" t="n">
        <v>45266</v>
      </c>
      <c r="C1415" s="1" t="n">
        <v>45851</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62340-2023</t>
        </is>
      </c>
      <c r="B1416" s="1" t="n">
        <v>45267</v>
      </c>
      <c r="C1416" s="1" t="n">
        <v>45851</v>
      </c>
      <c r="D1416" t="inlineStr">
        <is>
          <t>KALMAR LÄN</t>
        </is>
      </c>
      <c r="E1416" t="inlineStr">
        <is>
          <t>VÄSTERVIK</t>
        </is>
      </c>
      <c r="F1416" t="inlineStr">
        <is>
          <t>Holmen skog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62589-2023</t>
        </is>
      </c>
      <c r="B1417" s="1" t="n">
        <v>45270</v>
      </c>
      <c r="C1417" s="1" t="n">
        <v>45851</v>
      </c>
      <c r="D1417" t="inlineStr">
        <is>
          <t>KALMAR LÄN</t>
        </is>
      </c>
      <c r="E1417" t="inlineStr">
        <is>
          <t>VÄSTERVIK</t>
        </is>
      </c>
      <c r="F1417" t="inlineStr">
        <is>
          <t>Holmen skog AB</t>
        </is>
      </c>
      <c r="G1417" t="n">
        <v>1.1</v>
      </c>
      <c r="H1417" t="n">
        <v>0</v>
      </c>
      <c r="I1417" t="n">
        <v>0</v>
      </c>
      <c r="J1417" t="n">
        <v>0</v>
      </c>
      <c r="K1417" t="n">
        <v>0</v>
      </c>
      <c r="L1417" t="n">
        <v>0</v>
      </c>
      <c r="M1417" t="n">
        <v>0</v>
      </c>
      <c r="N1417" t="n">
        <v>0</v>
      </c>
      <c r="O1417" t="n">
        <v>0</v>
      </c>
      <c r="P1417" t="n">
        <v>0</v>
      </c>
      <c r="Q1417" t="n">
        <v>0</v>
      </c>
      <c r="R1417" s="2" t="inlineStr"/>
      <c r="U1417">
        <f>HYPERLINK("https://klasma.github.io/Logging_0883/knärot/A 62589-2023 karta knärot.png", "A 62589-2023")</f>
        <v/>
      </c>
      <c r="V1417">
        <f>HYPERLINK("https://klasma.github.io/Logging_0883/klagomål/A 62589-2023 FSC-klagomål.docx", "A 62589-2023")</f>
        <v/>
      </c>
      <c r="W1417">
        <f>HYPERLINK("https://klasma.github.io/Logging_0883/klagomålsmail/A 62589-2023 FSC-klagomål mail.docx", "A 62589-2023")</f>
        <v/>
      </c>
      <c r="X1417">
        <f>HYPERLINK("https://klasma.github.io/Logging_0883/tillsyn/A 62589-2023 tillsynsbegäran.docx", "A 62589-2023")</f>
        <v/>
      </c>
      <c r="Y1417">
        <f>HYPERLINK("https://klasma.github.io/Logging_0883/tillsynsmail/A 62589-2023 tillsynsbegäran mail.docx", "A 62589-2023")</f>
        <v/>
      </c>
    </row>
    <row r="1418" ht="15" customHeight="1">
      <c r="A1418" t="inlineStr">
        <is>
          <t>A 62898-2023</t>
        </is>
      </c>
      <c r="B1418" s="1" t="n">
        <v>45271</v>
      </c>
      <c r="C1418" s="1" t="n">
        <v>45851</v>
      </c>
      <c r="D1418" t="inlineStr">
        <is>
          <t>KALMAR LÄN</t>
        </is>
      </c>
      <c r="E1418" t="inlineStr">
        <is>
          <t>VÄSTERVIK</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62888-2023</t>
        </is>
      </c>
      <c r="B1419" s="1" t="n">
        <v>45272</v>
      </c>
      <c r="C1419" s="1" t="n">
        <v>45851</v>
      </c>
      <c r="D1419" t="inlineStr">
        <is>
          <t>KALMAR LÄN</t>
        </is>
      </c>
      <c r="E1419" t="inlineStr">
        <is>
          <t>VÄSTERVIK</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63018-2023</t>
        </is>
      </c>
      <c r="B1420" s="1" t="n">
        <v>45272</v>
      </c>
      <c r="C1420" s="1" t="n">
        <v>45851</v>
      </c>
      <c r="D1420" t="inlineStr">
        <is>
          <t>KALMAR LÄN</t>
        </is>
      </c>
      <c r="E1420" t="inlineStr">
        <is>
          <t>VÄSTERVIK</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62873-2023</t>
        </is>
      </c>
      <c r="B1421" s="1" t="n">
        <v>45272</v>
      </c>
      <c r="C1421" s="1" t="n">
        <v>45851</v>
      </c>
      <c r="D1421" t="inlineStr">
        <is>
          <t>KALMAR LÄN</t>
        </is>
      </c>
      <c r="E1421" t="inlineStr">
        <is>
          <t>VÄSTERVIK</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62887-2023</t>
        </is>
      </c>
      <c r="B1422" s="1" t="n">
        <v>45272</v>
      </c>
      <c r="C1422" s="1" t="n">
        <v>45851</v>
      </c>
      <c r="D1422" t="inlineStr">
        <is>
          <t>KALMAR LÄN</t>
        </is>
      </c>
      <c r="E1422" t="inlineStr">
        <is>
          <t>VÄSTERVIK</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62850-2023</t>
        </is>
      </c>
      <c r="B1423" s="1" t="n">
        <v>45272</v>
      </c>
      <c r="C1423" s="1" t="n">
        <v>45851</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62876-2023</t>
        </is>
      </c>
      <c r="B1424" s="1" t="n">
        <v>45272</v>
      </c>
      <c r="C1424" s="1" t="n">
        <v>45851</v>
      </c>
      <c r="D1424" t="inlineStr">
        <is>
          <t>KALMAR LÄN</t>
        </is>
      </c>
      <c r="E1424" t="inlineStr">
        <is>
          <t>VÄSTERVIK</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63023-2023</t>
        </is>
      </c>
      <c r="B1425" s="1" t="n">
        <v>45272</v>
      </c>
      <c r="C1425" s="1" t="n">
        <v>45851</v>
      </c>
      <c r="D1425" t="inlineStr">
        <is>
          <t>KALMAR LÄN</t>
        </is>
      </c>
      <c r="E1425" t="inlineStr">
        <is>
          <t>VÄSTERVIK</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63043-2023</t>
        </is>
      </c>
      <c r="B1426" s="1" t="n">
        <v>45272</v>
      </c>
      <c r="C1426" s="1" t="n">
        <v>45851</v>
      </c>
      <c r="D1426" t="inlineStr">
        <is>
          <t>KALMAR LÄN</t>
        </is>
      </c>
      <c r="E1426" t="inlineStr">
        <is>
          <t>VÄSTERVIK</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62921-2023</t>
        </is>
      </c>
      <c r="B1427" s="1" t="n">
        <v>45272</v>
      </c>
      <c r="C1427" s="1" t="n">
        <v>45851</v>
      </c>
      <c r="D1427" t="inlineStr">
        <is>
          <t>KALMAR LÄN</t>
        </is>
      </c>
      <c r="E1427" t="inlineStr">
        <is>
          <t>VÄSTERVIK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63017-2023</t>
        </is>
      </c>
      <c r="B1428" s="1" t="n">
        <v>45272</v>
      </c>
      <c r="C1428" s="1" t="n">
        <v>45851</v>
      </c>
      <c r="D1428" t="inlineStr">
        <is>
          <t>KALMAR LÄN</t>
        </is>
      </c>
      <c r="E1428" t="inlineStr">
        <is>
          <t>VÄSTERVIK</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63021-2023</t>
        </is>
      </c>
      <c r="B1429" s="1" t="n">
        <v>45272</v>
      </c>
      <c r="C1429" s="1" t="n">
        <v>45851</v>
      </c>
      <c r="D1429" t="inlineStr">
        <is>
          <t>KALMAR LÄN</t>
        </is>
      </c>
      <c r="E1429" t="inlineStr">
        <is>
          <t>VÄSTERVIK</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63041-2023</t>
        </is>
      </c>
      <c r="B1430" s="1" t="n">
        <v>45272</v>
      </c>
      <c r="C1430" s="1" t="n">
        <v>45851</v>
      </c>
      <c r="D1430" t="inlineStr">
        <is>
          <t>KALMAR LÄN</t>
        </is>
      </c>
      <c r="E1430" t="inlineStr">
        <is>
          <t>VÄSTERVIK</t>
        </is>
      </c>
      <c r="F1430" t="inlineStr">
        <is>
          <t>Sveaskog</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63361-2023</t>
        </is>
      </c>
      <c r="B1431" s="1" t="n">
        <v>45274</v>
      </c>
      <c r="C1431" s="1" t="n">
        <v>45851</v>
      </c>
      <c r="D1431" t="inlineStr">
        <is>
          <t>KALMAR LÄN</t>
        </is>
      </c>
      <c r="E1431" t="inlineStr">
        <is>
          <t>VÄSTERVIK</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63606-2023</t>
        </is>
      </c>
      <c r="B1432" s="1" t="n">
        <v>45275</v>
      </c>
      <c r="C1432" s="1" t="n">
        <v>45851</v>
      </c>
      <c r="D1432" t="inlineStr">
        <is>
          <t>KALMAR LÄN</t>
        </is>
      </c>
      <c r="E1432" t="inlineStr">
        <is>
          <t>VÄSTERVIK</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63890-2023</t>
        </is>
      </c>
      <c r="B1433" s="1" t="n">
        <v>45278</v>
      </c>
      <c r="C1433" s="1" t="n">
        <v>45851</v>
      </c>
      <c r="D1433" t="inlineStr">
        <is>
          <t>KALMAR LÄN</t>
        </is>
      </c>
      <c r="E1433" t="inlineStr">
        <is>
          <t>VÄSTERVIK</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63859-2023</t>
        </is>
      </c>
      <c r="B1434" s="1" t="n">
        <v>45278</v>
      </c>
      <c r="C1434" s="1" t="n">
        <v>45851</v>
      </c>
      <c r="D1434" t="inlineStr">
        <is>
          <t>KALMAR LÄN</t>
        </is>
      </c>
      <c r="E1434" t="inlineStr">
        <is>
          <t>VÄSTERVIK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64040-2023</t>
        </is>
      </c>
      <c r="B1435" s="1" t="n">
        <v>45279</v>
      </c>
      <c r="C1435" s="1" t="n">
        <v>45851</v>
      </c>
      <c r="D1435" t="inlineStr">
        <is>
          <t>KALMAR LÄN</t>
        </is>
      </c>
      <c r="E1435" t="inlineStr">
        <is>
          <t>VÄSTERVIK</t>
        </is>
      </c>
      <c r="F1435" t="inlineStr">
        <is>
          <t>Holmen skog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64580-2023</t>
        </is>
      </c>
      <c r="B1436" s="1" t="n">
        <v>45281</v>
      </c>
      <c r="C1436" s="1" t="n">
        <v>45851</v>
      </c>
      <c r="D1436" t="inlineStr">
        <is>
          <t>KALMAR LÄN</t>
        </is>
      </c>
      <c r="E1436" t="inlineStr">
        <is>
          <t>VÄSTERVIK</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64762-2023</t>
        </is>
      </c>
      <c r="B1437" s="1" t="n">
        <v>45282</v>
      </c>
      <c r="C1437" s="1" t="n">
        <v>45851</v>
      </c>
      <c r="D1437" t="inlineStr">
        <is>
          <t>KALMAR LÄN</t>
        </is>
      </c>
      <c r="E1437" t="inlineStr">
        <is>
          <t>VÄSTERVIK</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64763-2023</t>
        </is>
      </c>
      <c r="B1438" s="1" t="n">
        <v>45282</v>
      </c>
      <c r="C1438" s="1" t="n">
        <v>45851</v>
      </c>
      <c r="D1438" t="inlineStr">
        <is>
          <t>KALMAR LÄN</t>
        </is>
      </c>
      <c r="E1438" t="inlineStr">
        <is>
          <t>VÄSTERVIK</t>
        </is>
      </c>
      <c r="F1438" t="inlineStr">
        <is>
          <t>Övriga Aktiebolag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64760-2023</t>
        </is>
      </c>
      <c r="B1439" s="1" t="n">
        <v>45282</v>
      </c>
      <c r="C1439" s="1" t="n">
        <v>45851</v>
      </c>
      <c r="D1439" t="inlineStr">
        <is>
          <t>KALMAR LÄN</t>
        </is>
      </c>
      <c r="E1439" t="inlineStr">
        <is>
          <t>VÄSTERVIK</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64886-2023</t>
        </is>
      </c>
      <c r="B1440" s="1" t="n">
        <v>45282</v>
      </c>
      <c r="C1440" s="1" t="n">
        <v>45851</v>
      </c>
      <c r="D1440" t="inlineStr">
        <is>
          <t>KALMAR LÄN</t>
        </is>
      </c>
      <c r="E1440" t="inlineStr">
        <is>
          <t>VÄSTERVIK</t>
        </is>
      </c>
      <c r="F1440" t="inlineStr">
        <is>
          <t>Sveaskog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65046-2023</t>
        </is>
      </c>
      <c r="B1441" s="1" t="n">
        <v>45287</v>
      </c>
      <c r="C1441" s="1" t="n">
        <v>45851</v>
      </c>
      <c r="D1441" t="inlineStr">
        <is>
          <t>KALMAR LÄN</t>
        </is>
      </c>
      <c r="E1441" t="inlineStr">
        <is>
          <t>VÄSTERVIK</t>
        </is>
      </c>
      <c r="F1441" t="inlineStr">
        <is>
          <t>Holmen skog AB</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65028-2023</t>
        </is>
      </c>
      <c r="B1442" s="1" t="n">
        <v>45287</v>
      </c>
      <c r="C1442" s="1" t="n">
        <v>45851</v>
      </c>
      <c r="D1442" t="inlineStr">
        <is>
          <t>KALMAR LÄN</t>
        </is>
      </c>
      <c r="E1442" t="inlineStr">
        <is>
          <t>VÄSTERVIK</t>
        </is>
      </c>
      <c r="F1442" t="inlineStr">
        <is>
          <t>Holmen skog AB</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65059-2023</t>
        </is>
      </c>
      <c r="B1443" s="1" t="n">
        <v>45287</v>
      </c>
      <c r="C1443" s="1" t="n">
        <v>45851</v>
      </c>
      <c r="D1443" t="inlineStr">
        <is>
          <t>KALMAR LÄN</t>
        </is>
      </c>
      <c r="E1443" t="inlineStr">
        <is>
          <t>VÄSTERVIK</t>
        </is>
      </c>
      <c r="F1443" t="inlineStr">
        <is>
          <t>Holmen skog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338-2024</t>
        </is>
      </c>
      <c r="B1444" s="1" t="n">
        <v>45295</v>
      </c>
      <c r="C1444" s="1" t="n">
        <v>45851</v>
      </c>
      <c r="D1444" t="inlineStr">
        <is>
          <t>KALMAR LÄN</t>
        </is>
      </c>
      <c r="E1444" t="inlineStr">
        <is>
          <t>VÄSTERVIK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340-2024</t>
        </is>
      </c>
      <c r="B1445" s="1" t="n">
        <v>45295</v>
      </c>
      <c r="C1445" s="1" t="n">
        <v>45851</v>
      </c>
      <c r="D1445" t="inlineStr">
        <is>
          <t>KALMAR LÄN</t>
        </is>
      </c>
      <c r="E1445" t="inlineStr">
        <is>
          <t>VÄSTERVIK</t>
        </is>
      </c>
      <c r="F1445" t="inlineStr">
        <is>
          <t>Holmen skog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492-2024</t>
        </is>
      </c>
      <c r="B1446" s="1" t="n">
        <v>45299</v>
      </c>
      <c r="C1446" s="1" t="n">
        <v>45851</v>
      </c>
      <c r="D1446" t="inlineStr">
        <is>
          <t>KALMAR LÄN</t>
        </is>
      </c>
      <c r="E1446" t="inlineStr">
        <is>
          <t>VÄSTERVIK</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782-2024</t>
        </is>
      </c>
      <c r="B1447" s="1" t="n">
        <v>45300</v>
      </c>
      <c r="C1447" s="1" t="n">
        <v>45851</v>
      </c>
      <c r="D1447" t="inlineStr">
        <is>
          <t>KALMAR LÄN</t>
        </is>
      </c>
      <c r="E1447" t="inlineStr">
        <is>
          <t>VÄSTERVIK</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928-2024</t>
        </is>
      </c>
      <c r="B1448" s="1" t="n">
        <v>45301</v>
      </c>
      <c r="C1448" s="1" t="n">
        <v>45851</v>
      </c>
      <c r="D1448" t="inlineStr">
        <is>
          <t>KALMAR LÄN</t>
        </is>
      </c>
      <c r="E1448" t="inlineStr">
        <is>
          <t>VÄSTERVIK</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936-2024</t>
        </is>
      </c>
      <c r="B1449" s="1" t="n">
        <v>45301</v>
      </c>
      <c r="C1449" s="1" t="n">
        <v>45851</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944-2024</t>
        </is>
      </c>
      <c r="B1450" s="1" t="n">
        <v>45301</v>
      </c>
      <c r="C1450" s="1" t="n">
        <v>45851</v>
      </c>
      <c r="D1450" t="inlineStr">
        <is>
          <t>KALMAR LÄN</t>
        </is>
      </c>
      <c r="E1450" t="inlineStr">
        <is>
          <t>VÄSTERVIK</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901-2024</t>
        </is>
      </c>
      <c r="B1451" s="1" t="n">
        <v>45301</v>
      </c>
      <c r="C1451" s="1" t="n">
        <v>45851</v>
      </c>
      <c r="D1451" t="inlineStr">
        <is>
          <t>KALMAR LÄN</t>
        </is>
      </c>
      <c r="E1451" t="inlineStr">
        <is>
          <t>VÄSTERVIK</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925-2024</t>
        </is>
      </c>
      <c r="B1452" s="1" t="n">
        <v>45301</v>
      </c>
      <c r="C1452" s="1" t="n">
        <v>45851</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949-2024</t>
        </is>
      </c>
      <c r="B1453" s="1" t="n">
        <v>45301</v>
      </c>
      <c r="C1453" s="1" t="n">
        <v>45851</v>
      </c>
      <c r="D1453" t="inlineStr">
        <is>
          <t>KALMAR LÄN</t>
        </is>
      </c>
      <c r="E1453" t="inlineStr">
        <is>
          <t>VÄSTERVIK</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934-2024</t>
        </is>
      </c>
      <c r="B1454" s="1" t="n">
        <v>45301</v>
      </c>
      <c r="C1454" s="1" t="n">
        <v>45851</v>
      </c>
      <c r="D1454" t="inlineStr">
        <is>
          <t>KALMAR LÄN</t>
        </is>
      </c>
      <c r="E1454" t="inlineStr">
        <is>
          <t>VÄSTERVIK</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942-2024</t>
        </is>
      </c>
      <c r="B1455" s="1" t="n">
        <v>45301</v>
      </c>
      <c r="C1455" s="1" t="n">
        <v>45851</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946-2024</t>
        </is>
      </c>
      <c r="B1456" s="1" t="n">
        <v>45301</v>
      </c>
      <c r="C1456" s="1" t="n">
        <v>45851</v>
      </c>
      <c r="D1456" t="inlineStr">
        <is>
          <t>KALMAR LÄN</t>
        </is>
      </c>
      <c r="E1456" t="inlineStr">
        <is>
          <t>VÄSTERVIK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1098-2024</t>
        </is>
      </c>
      <c r="B1457" s="1" t="n">
        <v>45302</v>
      </c>
      <c r="C1457" s="1" t="n">
        <v>45851</v>
      </c>
      <c r="D1457" t="inlineStr">
        <is>
          <t>KALMAR LÄN</t>
        </is>
      </c>
      <c r="E1457" t="inlineStr">
        <is>
          <t>VÄSTERVIK</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1096-2024</t>
        </is>
      </c>
      <c r="B1458" s="1" t="n">
        <v>45302</v>
      </c>
      <c r="C1458" s="1" t="n">
        <v>45851</v>
      </c>
      <c r="D1458" t="inlineStr">
        <is>
          <t>KALMAR LÄN</t>
        </is>
      </c>
      <c r="E1458" t="inlineStr">
        <is>
          <t>VÄSTERVIK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1665-2024</t>
        </is>
      </c>
      <c r="B1459" s="1" t="n">
        <v>45306</v>
      </c>
      <c r="C1459" s="1" t="n">
        <v>45851</v>
      </c>
      <c r="D1459" t="inlineStr">
        <is>
          <t>KALMAR LÄN</t>
        </is>
      </c>
      <c r="E1459" t="inlineStr">
        <is>
          <t>VÄSTERVIK</t>
        </is>
      </c>
      <c r="F1459" t="inlineStr">
        <is>
          <t>Sveaskog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1568-2024</t>
        </is>
      </c>
      <c r="B1460" s="1" t="n">
        <v>45306</v>
      </c>
      <c r="C1460" s="1" t="n">
        <v>45851</v>
      </c>
      <c r="D1460" t="inlineStr">
        <is>
          <t>KALMAR LÄN</t>
        </is>
      </c>
      <c r="E1460" t="inlineStr">
        <is>
          <t>VÄSTERVIK</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1572-2024</t>
        </is>
      </c>
      <c r="B1461" s="1" t="n">
        <v>45306</v>
      </c>
      <c r="C1461" s="1" t="n">
        <v>45851</v>
      </c>
      <c r="D1461" t="inlineStr">
        <is>
          <t>KALMAR LÄN</t>
        </is>
      </c>
      <c r="E1461" t="inlineStr">
        <is>
          <t>VÄSTERVIK</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1664-2024</t>
        </is>
      </c>
      <c r="B1462" s="1" t="n">
        <v>45306</v>
      </c>
      <c r="C1462" s="1" t="n">
        <v>45851</v>
      </c>
      <c r="D1462" t="inlineStr">
        <is>
          <t>KALMAR LÄN</t>
        </is>
      </c>
      <c r="E1462" t="inlineStr">
        <is>
          <t>VÄSTERVIK</t>
        </is>
      </c>
      <c r="F1462" t="inlineStr">
        <is>
          <t>Sveaskog</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2153-2024</t>
        </is>
      </c>
      <c r="B1463" s="1" t="n">
        <v>45309</v>
      </c>
      <c r="C1463" s="1" t="n">
        <v>45851</v>
      </c>
      <c r="D1463" t="inlineStr">
        <is>
          <t>KALMAR LÄN</t>
        </is>
      </c>
      <c r="E1463" t="inlineStr">
        <is>
          <t>VÄSTERVIK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2082-2024</t>
        </is>
      </c>
      <c r="B1464" s="1" t="n">
        <v>45309</v>
      </c>
      <c r="C1464" s="1" t="n">
        <v>45851</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2144-2024</t>
        </is>
      </c>
      <c r="B1465" s="1" t="n">
        <v>45309</v>
      </c>
      <c r="C1465" s="1" t="n">
        <v>45851</v>
      </c>
      <c r="D1465" t="inlineStr">
        <is>
          <t>KALMAR LÄN</t>
        </is>
      </c>
      <c r="E1465" t="inlineStr">
        <is>
          <t>VÄSTERVIK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2168-2024</t>
        </is>
      </c>
      <c r="B1466" s="1" t="n">
        <v>45309</v>
      </c>
      <c r="C1466" s="1" t="n">
        <v>45851</v>
      </c>
      <c r="D1466" t="inlineStr">
        <is>
          <t>KALMAR LÄN</t>
        </is>
      </c>
      <c r="E1466" t="inlineStr">
        <is>
          <t>VÄSTERVIK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2520-2024</t>
        </is>
      </c>
      <c r="B1467" s="1" t="n">
        <v>45313</v>
      </c>
      <c r="C1467" s="1" t="n">
        <v>45851</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2507-2024</t>
        </is>
      </c>
      <c r="B1468" s="1" t="n">
        <v>45313</v>
      </c>
      <c r="C1468" s="1" t="n">
        <v>45851</v>
      </c>
      <c r="D1468" t="inlineStr">
        <is>
          <t>KALMAR LÄN</t>
        </is>
      </c>
      <c r="E1468" t="inlineStr">
        <is>
          <t>VÄSTERVIK</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2543-2024</t>
        </is>
      </c>
      <c r="B1469" s="1" t="n">
        <v>45313</v>
      </c>
      <c r="C1469" s="1" t="n">
        <v>45851</v>
      </c>
      <c r="D1469" t="inlineStr">
        <is>
          <t>KALMAR LÄN</t>
        </is>
      </c>
      <c r="E1469" t="inlineStr">
        <is>
          <t>VÄSTERVIK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2634-2024</t>
        </is>
      </c>
      <c r="B1470" s="1" t="n">
        <v>45314</v>
      </c>
      <c r="C1470" s="1" t="n">
        <v>45851</v>
      </c>
      <c r="D1470" t="inlineStr">
        <is>
          <t>KALMAR LÄN</t>
        </is>
      </c>
      <c r="E1470" t="inlineStr">
        <is>
          <t>VÄSTERVIK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2726-2024</t>
        </is>
      </c>
      <c r="B1471" s="1" t="n">
        <v>45314</v>
      </c>
      <c r="C1471" s="1" t="n">
        <v>45851</v>
      </c>
      <c r="D1471" t="inlineStr">
        <is>
          <t>KALMAR LÄN</t>
        </is>
      </c>
      <c r="E1471" t="inlineStr">
        <is>
          <t>VÄSTERVIK</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3157-2024</t>
        </is>
      </c>
      <c r="B1472" s="1" t="n">
        <v>45316</v>
      </c>
      <c r="C1472" s="1" t="n">
        <v>45851</v>
      </c>
      <c r="D1472" t="inlineStr">
        <is>
          <t>KALMAR LÄN</t>
        </is>
      </c>
      <c r="E1472" t="inlineStr">
        <is>
          <t>VÄSTERVIK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3557-2024</t>
        </is>
      </c>
      <c r="B1473" s="1" t="n">
        <v>45320</v>
      </c>
      <c r="C1473" s="1" t="n">
        <v>45851</v>
      </c>
      <c r="D1473" t="inlineStr">
        <is>
          <t>KALMAR LÄN</t>
        </is>
      </c>
      <c r="E1473" t="inlineStr">
        <is>
          <t>VÄSTERVIK</t>
        </is>
      </c>
      <c r="F1473" t="inlineStr">
        <is>
          <t>Holmen skog AB</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3818-2024</t>
        </is>
      </c>
      <c r="B1474" s="1" t="n">
        <v>45321</v>
      </c>
      <c r="C1474" s="1" t="n">
        <v>45851</v>
      </c>
      <c r="D1474" t="inlineStr">
        <is>
          <t>KALMAR LÄN</t>
        </is>
      </c>
      <c r="E1474" t="inlineStr">
        <is>
          <t>VÄSTERVIK</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3826-2024</t>
        </is>
      </c>
      <c r="B1475" s="1" t="n">
        <v>45321</v>
      </c>
      <c r="C1475" s="1" t="n">
        <v>45851</v>
      </c>
      <c r="D1475" t="inlineStr">
        <is>
          <t>KALMAR LÄN</t>
        </is>
      </c>
      <c r="E1475" t="inlineStr">
        <is>
          <t>VÄSTERVIK</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3830-2024</t>
        </is>
      </c>
      <c r="B1476" s="1" t="n">
        <v>45321</v>
      </c>
      <c r="C1476" s="1" t="n">
        <v>45851</v>
      </c>
      <c r="D1476" t="inlineStr">
        <is>
          <t>KALMAR LÄN</t>
        </is>
      </c>
      <c r="E1476" t="inlineStr">
        <is>
          <t>VÄSTERVIK</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3776-2024</t>
        </is>
      </c>
      <c r="B1477" s="1" t="n">
        <v>45321</v>
      </c>
      <c r="C1477" s="1" t="n">
        <v>45851</v>
      </c>
      <c r="D1477" t="inlineStr">
        <is>
          <t>KALMAR LÄN</t>
        </is>
      </c>
      <c r="E1477" t="inlineStr">
        <is>
          <t>VÄSTERVIK</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3817-2024</t>
        </is>
      </c>
      <c r="B1478" s="1" t="n">
        <v>45321</v>
      </c>
      <c r="C1478" s="1" t="n">
        <v>45851</v>
      </c>
      <c r="D1478" t="inlineStr">
        <is>
          <t>KALMAR LÄN</t>
        </is>
      </c>
      <c r="E1478" t="inlineStr">
        <is>
          <t>VÄSTERVIK</t>
        </is>
      </c>
      <c r="F1478" t="inlineStr">
        <is>
          <t>Holmen skog AB</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3829-2024</t>
        </is>
      </c>
      <c r="B1479" s="1" t="n">
        <v>45321</v>
      </c>
      <c r="C1479" s="1" t="n">
        <v>45851</v>
      </c>
      <c r="D1479" t="inlineStr">
        <is>
          <t>KALMAR LÄN</t>
        </is>
      </c>
      <c r="E1479" t="inlineStr">
        <is>
          <t>VÄSTERVIK</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3828-2024</t>
        </is>
      </c>
      <c r="B1480" s="1" t="n">
        <v>45321</v>
      </c>
      <c r="C1480" s="1" t="n">
        <v>45851</v>
      </c>
      <c r="D1480" t="inlineStr">
        <is>
          <t>KALMAR LÄN</t>
        </is>
      </c>
      <c r="E1480" t="inlineStr">
        <is>
          <t>VÄSTERVIK</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4520-2024</t>
        </is>
      </c>
      <c r="B1481" s="1" t="n">
        <v>45327</v>
      </c>
      <c r="C1481" s="1" t="n">
        <v>45851</v>
      </c>
      <c r="D1481" t="inlineStr">
        <is>
          <t>KALMAR LÄN</t>
        </is>
      </c>
      <c r="E1481" t="inlineStr">
        <is>
          <t>VÄSTERVIK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4540-2024</t>
        </is>
      </c>
      <c r="B1482" s="1" t="n">
        <v>45327</v>
      </c>
      <c r="C1482" s="1" t="n">
        <v>45851</v>
      </c>
      <c r="D1482" t="inlineStr">
        <is>
          <t>KALMAR LÄN</t>
        </is>
      </c>
      <c r="E1482" t="inlineStr">
        <is>
          <t>VÄSTERVIK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4858-2024</t>
        </is>
      </c>
      <c r="B1483" s="1" t="n">
        <v>45329</v>
      </c>
      <c r="C1483" s="1" t="n">
        <v>45851</v>
      </c>
      <c r="D1483" t="inlineStr">
        <is>
          <t>KALMAR LÄN</t>
        </is>
      </c>
      <c r="E1483" t="inlineStr">
        <is>
          <t>VÄSTERVIK</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4950-2024</t>
        </is>
      </c>
      <c r="B1484" s="1" t="n">
        <v>45329</v>
      </c>
      <c r="C1484" s="1" t="n">
        <v>45851</v>
      </c>
      <c r="D1484" t="inlineStr">
        <is>
          <t>KALMAR LÄN</t>
        </is>
      </c>
      <c r="E1484" t="inlineStr">
        <is>
          <t>VÄSTERVIK</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5004-2024</t>
        </is>
      </c>
      <c r="B1485" s="1" t="n">
        <v>45329</v>
      </c>
      <c r="C1485" s="1" t="n">
        <v>45851</v>
      </c>
      <c r="D1485" t="inlineStr">
        <is>
          <t>KALMAR LÄN</t>
        </is>
      </c>
      <c r="E1485" t="inlineStr">
        <is>
          <t>VÄSTERVIK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4945-2024</t>
        </is>
      </c>
      <c r="B1486" s="1" t="n">
        <v>45329</v>
      </c>
      <c r="C1486" s="1" t="n">
        <v>45851</v>
      </c>
      <c r="D1486" t="inlineStr">
        <is>
          <t>KALMAR LÄN</t>
        </is>
      </c>
      <c r="E1486" t="inlineStr">
        <is>
          <t>VÄSTERVIK</t>
        </is>
      </c>
      <c r="F1486" t="inlineStr">
        <is>
          <t>Holmen skog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4965-2024</t>
        </is>
      </c>
      <c r="B1487" s="1" t="n">
        <v>45329</v>
      </c>
      <c r="C1487" s="1" t="n">
        <v>45851</v>
      </c>
      <c r="D1487" t="inlineStr">
        <is>
          <t>KALMAR LÄN</t>
        </is>
      </c>
      <c r="E1487" t="inlineStr">
        <is>
          <t>VÄSTERVIK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5234-2024</t>
        </is>
      </c>
      <c r="B1488" s="1" t="n">
        <v>45330</v>
      </c>
      <c r="C1488" s="1" t="n">
        <v>45851</v>
      </c>
      <c r="D1488" t="inlineStr">
        <is>
          <t>KALMAR LÄN</t>
        </is>
      </c>
      <c r="E1488" t="inlineStr">
        <is>
          <t>VÄSTERVIK</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5300-2024</t>
        </is>
      </c>
      <c r="B1489" s="1" t="n">
        <v>45331</v>
      </c>
      <c r="C1489" s="1" t="n">
        <v>45851</v>
      </c>
      <c r="D1489" t="inlineStr">
        <is>
          <t>KALMAR LÄN</t>
        </is>
      </c>
      <c r="E1489" t="inlineStr">
        <is>
          <t>VÄSTERVIK</t>
        </is>
      </c>
      <c r="F1489" t="inlineStr">
        <is>
          <t>Övriga Aktiebolag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5348-2024</t>
        </is>
      </c>
      <c r="B1490" s="1" t="n">
        <v>45331</v>
      </c>
      <c r="C1490" s="1" t="n">
        <v>45851</v>
      </c>
      <c r="D1490" t="inlineStr">
        <is>
          <t>KALMAR LÄN</t>
        </is>
      </c>
      <c r="E1490" t="inlineStr">
        <is>
          <t>VÄSTERVIK</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5355-2024</t>
        </is>
      </c>
      <c r="B1491" s="1" t="n">
        <v>45331</v>
      </c>
      <c r="C1491" s="1" t="n">
        <v>45851</v>
      </c>
      <c r="D1491" t="inlineStr">
        <is>
          <t>KALMAR LÄN</t>
        </is>
      </c>
      <c r="E1491" t="inlineStr">
        <is>
          <t>VÄSTERVIK</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5923-2024</t>
        </is>
      </c>
      <c r="B1492" s="1" t="n">
        <v>45335</v>
      </c>
      <c r="C1492" s="1" t="n">
        <v>45851</v>
      </c>
      <c r="D1492" t="inlineStr">
        <is>
          <t>KALMAR LÄN</t>
        </is>
      </c>
      <c r="E1492" t="inlineStr">
        <is>
          <t>VÄSTERVIK</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5924-2024</t>
        </is>
      </c>
      <c r="B1493" s="1" t="n">
        <v>45335</v>
      </c>
      <c r="C1493" s="1" t="n">
        <v>45851</v>
      </c>
      <c r="D1493" t="inlineStr">
        <is>
          <t>KALMAR LÄN</t>
        </is>
      </c>
      <c r="E1493" t="inlineStr">
        <is>
          <t>VÄSTERVIK</t>
        </is>
      </c>
      <c r="F1493" t="inlineStr">
        <is>
          <t>Holmen skog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5925-2024</t>
        </is>
      </c>
      <c r="B1494" s="1" t="n">
        <v>45336</v>
      </c>
      <c r="C1494" s="1" t="n">
        <v>45851</v>
      </c>
      <c r="D1494" t="inlineStr">
        <is>
          <t>KALMAR LÄN</t>
        </is>
      </c>
      <c r="E1494" t="inlineStr">
        <is>
          <t>VÄSTERVIK</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6019-2024</t>
        </is>
      </c>
      <c r="B1495" s="1" t="n">
        <v>45336</v>
      </c>
      <c r="C1495" s="1" t="n">
        <v>45851</v>
      </c>
      <c r="D1495" t="inlineStr">
        <is>
          <t>KALMAR LÄN</t>
        </is>
      </c>
      <c r="E1495" t="inlineStr">
        <is>
          <t>VÄSTERVIK</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6017-2024</t>
        </is>
      </c>
      <c r="B1496" s="1" t="n">
        <v>45336</v>
      </c>
      <c r="C1496" s="1" t="n">
        <v>45851</v>
      </c>
      <c r="D1496" t="inlineStr">
        <is>
          <t>KALMAR LÄN</t>
        </is>
      </c>
      <c r="E1496" t="inlineStr">
        <is>
          <t>VÄSTERVIK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6021-2024</t>
        </is>
      </c>
      <c r="B1497" s="1" t="n">
        <v>45336</v>
      </c>
      <c r="C1497" s="1" t="n">
        <v>45851</v>
      </c>
      <c r="D1497" t="inlineStr">
        <is>
          <t>KALMAR LÄN</t>
        </is>
      </c>
      <c r="E1497" t="inlineStr">
        <is>
          <t>VÄSTERVIK</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6148-2024</t>
        </is>
      </c>
      <c r="B1498" s="1" t="n">
        <v>45337</v>
      </c>
      <c r="C1498" s="1" t="n">
        <v>45851</v>
      </c>
      <c r="D1498" t="inlineStr">
        <is>
          <t>KALMAR LÄN</t>
        </is>
      </c>
      <c r="E1498" t="inlineStr">
        <is>
          <t>VÄSTERVIK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6289-2024</t>
        </is>
      </c>
      <c r="B1499" s="1" t="n">
        <v>45338</v>
      </c>
      <c r="C1499" s="1" t="n">
        <v>45851</v>
      </c>
      <c r="D1499" t="inlineStr">
        <is>
          <t>KALMAR LÄN</t>
        </is>
      </c>
      <c r="E1499" t="inlineStr">
        <is>
          <t>VÄSTERVIK</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6426-2024</t>
        </is>
      </c>
      <c r="B1500" s="1" t="n">
        <v>45338</v>
      </c>
      <c r="C1500" s="1" t="n">
        <v>45851</v>
      </c>
      <c r="D1500" t="inlineStr">
        <is>
          <t>KALMAR LÄN</t>
        </is>
      </c>
      <c r="E1500" t="inlineStr">
        <is>
          <t>VÄSTERVIK</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6312-2024</t>
        </is>
      </c>
      <c r="B1501" s="1" t="n">
        <v>45338</v>
      </c>
      <c r="C1501" s="1" t="n">
        <v>45851</v>
      </c>
      <c r="D1501" t="inlineStr">
        <is>
          <t>KALMAR LÄN</t>
        </is>
      </c>
      <c r="E1501" t="inlineStr">
        <is>
          <t>VÄSTERVIK</t>
        </is>
      </c>
      <c r="F1501" t="inlineStr">
        <is>
          <t>Holmen skog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6406-2024</t>
        </is>
      </c>
      <c r="B1502" s="1" t="n">
        <v>45338</v>
      </c>
      <c r="C1502" s="1" t="n">
        <v>45851</v>
      </c>
      <c r="D1502" t="inlineStr">
        <is>
          <t>KALMAR LÄN</t>
        </is>
      </c>
      <c r="E1502" t="inlineStr">
        <is>
          <t>VÄSTERVIK</t>
        </is>
      </c>
      <c r="G1502" t="n">
        <v>5.5</v>
      </c>
      <c r="H1502" t="n">
        <v>0</v>
      </c>
      <c r="I1502" t="n">
        <v>0</v>
      </c>
      <c r="J1502" t="n">
        <v>0</v>
      </c>
      <c r="K1502" t="n">
        <v>0</v>
      </c>
      <c r="L1502" t="n">
        <v>0</v>
      </c>
      <c r="M1502" t="n">
        <v>0</v>
      </c>
      <c r="N1502" t="n">
        <v>0</v>
      </c>
      <c r="O1502" t="n">
        <v>0</v>
      </c>
      <c r="P1502" t="n">
        <v>0</v>
      </c>
      <c r="Q1502" t="n">
        <v>0</v>
      </c>
      <c r="R1502" s="2" t="inlineStr"/>
      <c r="U1502">
        <f>HYPERLINK("https://klasma.github.io/Logging_0883/knärot/A 6406-2024 karta knärot.png", "A 6406-2024")</f>
        <v/>
      </c>
      <c r="V1502">
        <f>HYPERLINK("https://klasma.github.io/Logging_0883/klagomål/A 6406-2024 FSC-klagomål.docx", "A 6406-2024")</f>
        <v/>
      </c>
      <c r="W1502">
        <f>HYPERLINK("https://klasma.github.io/Logging_0883/klagomålsmail/A 6406-2024 FSC-klagomål mail.docx", "A 6406-2024")</f>
        <v/>
      </c>
      <c r="X1502">
        <f>HYPERLINK("https://klasma.github.io/Logging_0883/tillsyn/A 6406-2024 tillsynsbegäran.docx", "A 6406-2024")</f>
        <v/>
      </c>
      <c r="Y1502">
        <f>HYPERLINK("https://klasma.github.io/Logging_0883/tillsynsmail/A 6406-2024 tillsynsbegäran mail.docx", "A 6406-2024")</f>
        <v/>
      </c>
    </row>
    <row r="1503" ht="15" customHeight="1">
      <c r="A1503" t="inlineStr">
        <is>
          <t>A 6731-2024</t>
        </is>
      </c>
      <c r="B1503" s="1" t="n">
        <v>45342</v>
      </c>
      <c r="C1503" s="1" t="n">
        <v>45851</v>
      </c>
      <c r="D1503" t="inlineStr">
        <is>
          <t>KALMAR LÄN</t>
        </is>
      </c>
      <c r="E1503" t="inlineStr">
        <is>
          <t>VÄSTERVIK</t>
        </is>
      </c>
      <c r="F1503" t="inlineStr">
        <is>
          <t>Holmen skog AB</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6746-2024</t>
        </is>
      </c>
      <c r="B1504" s="1" t="n">
        <v>45342</v>
      </c>
      <c r="C1504" s="1" t="n">
        <v>45851</v>
      </c>
      <c r="D1504" t="inlineStr">
        <is>
          <t>KALMAR LÄN</t>
        </is>
      </c>
      <c r="E1504" t="inlineStr">
        <is>
          <t>VÄSTERVIK</t>
        </is>
      </c>
      <c r="F1504" t="inlineStr">
        <is>
          <t>Holmen skog AB</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7089-2024</t>
        </is>
      </c>
      <c r="B1505" s="1" t="n">
        <v>45343</v>
      </c>
      <c r="C1505" s="1" t="n">
        <v>45851</v>
      </c>
      <c r="D1505" t="inlineStr">
        <is>
          <t>KALMAR LÄN</t>
        </is>
      </c>
      <c r="E1505" t="inlineStr">
        <is>
          <t>VÄSTERVIK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7090-2024</t>
        </is>
      </c>
      <c r="B1506" s="1" t="n">
        <v>45343</v>
      </c>
      <c r="C1506" s="1" t="n">
        <v>45851</v>
      </c>
      <c r="D1506" t="inlineStr">
        <is>
          <t>KALMAR LÄN</t>
        </is>
      </c>
      <c r="E1506" t="inlineStr">
        <is>
          <t>VÄSTERVIK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7512-2024</t>
        </is>
      </c>
      <c r="B1507" s="1" t="n">
        <v>45348</v>
      </c>
      <c r="C1507" s="1" t="n">
        <v>45851</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7536-2024</t>
        </is>
      </c>
      <c r="B1508" s="1" t="n">
        <v>45348</v>
      </c>
      <c r="C1508" s="1" t="n">
        <v>45851</v>
      </c>
      <c r="D1508" t="inlineStr">
        <is>
          <t>KALMAR LÄN</t>
        </is>
      </c>
      <c r="E1508" t="inlineStr">
        <is>
          <t>VÄSTERVIK</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7548-2024</t>
        </is>
      </c>
      <c r="B1509" s="1" t="n">
        <v>45348</v>
      </c>
      <c r="C1509" s="1" t="n">
        <v>45851</v>
      </c>
      <c r="D1509" t="inlineStr">
        <is>
          <t>KALMAR LÄN</t>
        </is>
      </c>
      <c r="E1509" t="inlineStr">
        <is>
          <t>VÄSTERVIK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7688-2024</t>
        </is>
      </c>
      <c r="B1510" s="1" t="n">
        <v>45349</v>
      </c>
      <c r="C1510" s="1" t="n">
        <v>45851</v>
      </c>
      <c r="D1510" t="inlineStr">
        <is>
          <t>KALMAR LÄN</t>
        </is>
      </c>
      <c r="E1510" t="inlineStr">
        <is>
          <t>VÄSTERVIK</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7687-2024</t>
        </is>
      </c>
      <c r="B1511" s="1" t="n">
        <v>45349</v>
      </c>
      <c r="C1511" s="1" t="n">
        <v>45851</v>
      </c>
      <c r="D1511" t="inlineStr">
        <is>
          <t>KALMAR LÄN</t>
        </is>
      </c>
      <c r="E1511" t="inlineStr">
        <is>
          <t>VÄSTERVIK</t>
        </is>
      </c>
      <c r="F1511" t="inlineStr">
        <is>
          <t>Holmen skog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8089-2024</t>
        </is>
      </c>
      <c r="B1512" s="1" t="n">
        <v>45351</v>
      </c>
      <c r="C1512" s="1" t="n">
        <v>45851</v>
      </c>
      <c r="D1512" t="inlineStr">
        <is>
          <t>KALMAR LÄN</t>
        </is>
      </c>
      <c r="E1512" t="inlineStr">
        <is>
          <t>VÄSTERVIK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8619-2024</t>
        </is>
      </c>
      <c r="B1513" s="1" t="n">
        <v>45355</v>
      </c>
      <c r="C1513" s="1" t="n">
        <v>45851</v>
      </c>
      <c r="D1513" t="inlineStr">
        <is>
          <t>KALMAR LÄN</t>
        </is>
      </c>
      <c r="E1513" t="inlineStr">
        <is>
          <t>VÄSTERVIK</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8731-2024</t>
        </is>
      </c>
      <c r="B1514" s="1" t="n">
        <v>45356</v>
      </c>
      <c r="C1514" s="1" t="n">
        <v>45851</v>
      </c>
      <c r="D1514" t="inlineStr">
        <is>
          <t>KALMAR LÄN</t>
        </is>
      </c>
      <c r="E1514" t="inlineStr">
        <is>
          <t>VÄSTERVIK</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8732-2024</t>
        </is>
      </c>
      <c r="B1515" s="1" t="n">
        <v>45356</v>
      </c>
      <c r="C1515" s="1" t="n">
        <v>45851</v>
      </c>
      <c r="D1515" t="inlineStr">
        <is>
          <t>KALMAR LÄN</t>
        </is>
      </c>
      <c r="E1515" t="inlineStr">
        <is>
          <t>VÄSTERVIK</t>
        </is>
      </c>
      <c r="F1515" t="inlineStr">
        <is>
          <t>Sveaskog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9107-2024</t>
        </is>
      </c>
      <c r="B1516" s="1" t="n">
        <v>45357</v>
      </c>
      <c r="C1516" s="1" t="n">
        <v>45851</v>
      </c>
      <c r="D1516" t="inlineStr">
        <is>
          <t>KALMAR LÄN</t>
        </is>
      </c>
      <c r="E1516" t="inlineStr">
        <is>
          <t>VÄSTERVIK</t>
        </is>
      </c>
      <c r="F1516" t="inlineStr">
        <is>
          <t>Holmen skog AB</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9124-2024</t>
        </is>
      </c>
      <c r="B1517" s="1" t="n">
        <v>45358</v>
      </c>
      <c r="C1517" s="1" t="n">
        <v>45851</v>
      </c>
      <c r="D1517" t="inlineStr">
        <is>
          <t>KALMAR LÄN</t>
        </is>
      </c>
      <c r="E1517" t="inlineStr">
        <is>
          <t>VÄSTERVIK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9249-2024</t>
        </is>
      </c>
      <c r="B1518" s="1" t="n">
        <v>45358</v>
      </c>
      <c r="C1518" s="1" t="n">
        <v>45851</v>
      </c>
      <c r="D1518" t="inlineStr">
        <is>
          <t>KALMAR LÄN</t>
        </is>
      </c>
      <c r="E1518" t="inlineStr">
        <is>
          <t>VÄSTERVIK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9140-2024</t>
        </is>
      </c>
      <c r="B1519" s="1" t="n">
        <v>45358</v>
      </c>
      <c r="C1519" s="1" t="n">
        <v>45851</v>
      </c>
      <c r="D1519" t="inlineStr">
        <is>
          <t>KALMAR LÄN</t>
        </is>
      </c>
      <c r="E1519" t="inlineStr">
        <is>
          <t>VÄSTERVIK</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9549-2024</t>
        </is>
      </c>
      <c r="B1520" s="1" t="n">
        <v>45359</v>
      </c>
      <c r="C1520" s="1" t="n">
        <v>45851</v>
      </c>
      <c r="D1520" t="inlineStr">
        <is>
          <t>KALMAR LÄN</t>
        </is>
      </c>
      <c r="E1520" t="inlineStr">
        <is>
          <t>VÄSTERVIK</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9760-2024</t>
        </is>
      </c>
      <c r="B1521" s="1" t="n">
        <v>45362</v>
      </c>
      <c r="C1521" s="1" t="n">
        <v>45851</v>
      </c>
      <c r="D1521" t="inlineStr">
        <is>
          <t>KALMAR LÄN</t>
        </is>
      </c>
      <c r="E1521" t="inlineStr">
        <is>
          <t>VÄSTERVIK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9753-2024</t>
        </is>
      </c>
      <c r="B1522" s="1" t="n">
        <v>45362</v>
      </c>
      <c r="C1522" s="1" t="n">
        <v>45851</v>
      </c>
      <c r="D1522" t="inlineStr">
        <is>
          <t>KALMAR LÄN</t>
        </is>
      </c>
      <c r="E1522" t="inlineStr">
        <is>
          <t>VÄSTERVIK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9985-2024</t>
        </is>
      </c>
      <c r="B1523" s="1" t="n">
        <v>45363</v>
      </c>
      <c r="C1523" s="1" t="n">
        <v>45851</v>
      </c>
      <c r="D1523" t="inlineStr">
        <is>
          <t>KALMAR LÄN</t>
        </is>
      </c>
      <c r="E1523" t="inlineStr">
        <is>
          <t>VÄSTERVIK</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10515-2024</t>
        </is>
      </c>
      <c r="B1524" s="1" t="n">
        <v>45366</v>
      </c>
      <c r="C1524" s="1" t="n">
        <v>45851</v>
      </c>
      <c r="D1524" t="inlineStr">
        <is>
          <t>KALMAR LÄN</t>
        </is>
      </c>
      <c r="E1524" t="inlineStr">
        <is>
          <t>VÄSTERVIK</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10521-2024</t>
        </is>
      </c>
      <c r="B1525" s="1" t="n">
        <v>45366</v>
      </c>
      <c r="C1525" s="1" t="n">
        <v>45851</v>
      </c>
      <c r="D1525" t="inlineStr">
        <is>
          <t>KALMAR LÄN</t>
        </is>
      </c>
      <c r="E1525" t="inlineStr">
        <is>
          <t>VÄSTERVIK</t>
        </is>
      </c>
      <c r="F1525" t="inlineStr">
        <is>
          <t>Kyrkan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10727-2024</t>
        </is>
      </c>
      <c r="B1526" s="1" t="n">
        <v>45369</v>
      </c>
      <c r="C1526" s="1" t="n">
        <v>45851</v>
      </c>
      <c r="D1526" t="inlineStr">
        <is>
          <t>KALMAR LÄN</t>
        </is>
      </c>
      <c r="E1526" t="inlineStr">
        <is>
          <t>VÄSTERVIK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10688-2024</t>
        </is>
      </c>
      <c r="B1527" s="1" t="n">
        <v>45369</v>
      </c>
      <c r="C1527" s="1" t="n">
        <v>45851</v>
      </c>
      <c r="D1527" t="inlineStr">
        <is>
          <t>KALMAR LÄN</t>
        </is>
      </c>
      <c r="E1527" t="inlineStr">
        <is>
          <t>VÄSTERVIK</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10942-2024</t>
        </is>
      </c>
      <c r="B1528" s="1" t="n">
        <v>45370</v>
      </c>
      <c r="C1528" s="1" t="n">
        <v>45851</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11189-2024</t>
        </is>
      </c>
      <c r="B1529" s="1" t="n">
        <v>45371</v>
      </c>
      <c r="C1529" s="1" t="n">
        <v>45851</v>
      </c>
      <c r="D1529" t="inlineStr">
        <is>
          <t>KALMAR LÄN</t>
        </is>
      </c>
      <c r="E1529" t="inlineStr">
        <is>
          <t>VÄSTERVIK</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11167-2024</t>
        </is>
      </c>
      <c r="B1530" s="1" t="n">
        <v>45371</v>
      </c>
      <c r="C1530" s="1" t="n">
        <v>45851</v>
      </c>
      <c r="D1530" t="inlineStr">
        <is>
          <t>KALMAR LÄN</t>
        </is>
      </c>
      <c r="E1530" t="inlineStr">
        <is>
          <t>VÄSTERVIK</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11183-2024</t>
        </is>
      </c>
      <c r="B1531" s="1" t="n">
        <v>45371</v>
      </c>
      <c r="C1531" s="1" t="n">
        <v>45851</v>
      </c>
      <c r="D1531" t="inlineStr">
        <is>
          <t>KALMAR LÄN</t>
        </is>
      </c>
      <c r="E1531" t="inlineStr">
        <is>
          <t>VÄSTERVIK</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11198-2024</t>
        </is>
      </c>
      <c r="B1532" s="1" t="n">
        <v>45371</v>
      </c>
      <c r="C1532" s="1" t="n">
        <v>45851</v>
      </c>
      <c r="D1532" t="inlineStr">
        <is>
          <t>KALMAR LÄN</t>
        </is>
      </c>
      <c r="E1532" t="inlineStr">
        <is>
          <t>VÄSTERVIK</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11750-2024</t>
        </is>
      </c>
      <c r="B1533" s="1" t="n">
        <v>45373</v>
      </c>
      <c r="C1533" s="1" t="n">
        <v>45851</v>
      </c>
      <c r="D1533" t="inlineStr">
        <is>
          <t>KALMAR LÄN</t>
        </is>
      </c>
      <c r="E1533" t="inlineStr">
        <is>
          <t>VÄSTERVIK</t>
        </is>
      </c>
      <c r="F1533" t="inlineStr">
        <is>
          <t>Holmen skog AB</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11746-2024</t>
        </is>
      </c>
      <c r="B1534" s="1" t="n">
        <v>45373</v>
      </c>
      <c r="C1534" s="1" t="n">
        <v>45851</v>
      </c>
      <c r="D1534" t="inlineStr">
        <is>
          <t>KALMAR LÄN</t>
        </is>
      </c>
      <c r="E1534" t="inlineStr">
        <is>
          <t>VÄSTERVIK</t>
        </is>
      </c>
      <c r="F1534" t="inlineStr">
        <is>
          <t>Holmen skog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11611-2024</t>
        </is>
      </c>
      <c r="B1535" s="1" t="n">
        <v>45373</v>
      </c>
      <c r="C1535" s="1" t="n">
        <v>45851</v>
      </c>
      <c r="D1535" t="inlineStr">
        <is>
          <t>KALMAR LÄN</t>
        </is>
      </c>
      <c r="E1535" t="inlineStr">
        <is>
          <t>VÄSTERVIK</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11791-2024</t>
        </is>
      </c>
      <c r="B1536" s="1" t="n">
        <v>45375</v>
      </c>
      <c r="C1536" s="1" t="n">
        <v>45851</v>
      </c>
      <c r="D1536" t="inlineStr">
        <is>
          <t>KALMAR LÄN</t>
        </is>
      </c>
      <c r="E1536" t="inlineStr">
        <is>
          <t>VÄSTERVIK</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11848-2024</t>
        </is>
      </c>
      <c r="B1537" s="1" t="n">
        <v>45376</v>
      </c>
      <c r="C1537" s="1" t="n">
        <v>45851</v>
      </c>
      <c r="D1537" t="inlineStr">
        <is>
          <t>KALMAR LÄN</t>
        </is>
      </c>
      <c r="E1537" t="inlineStr">
        <is>
          <t>VÄSTERVIK</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11856-2024</t>
        </is>
      </c>
      <c r="B1538" s="1" t="n">
        <v>45376</v>
      </c>
      <c r="C1538" s="1" t="n">
        <v>45851</v>
      </c>
      <c r="D1538" t="inlineStr">
        <is>
          <t>KALMAR LÄN</t>
        </is>
      </c>
      <c r="E1538" t="inlineStr">
        <is>
          <t>VÄSTERVIK</t>
        </is>
      </c>
      <c r="F1538" t="inlineStr">
        <is>
          <t>Sveaskog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11864-2024</t>
        </is>
      </c>
      <c r="B1539" s="1" t="n">
        <v>45376</v>
      </c>
      <c r="C1539" s="1" t="n">
        <v>45851</v>
      </c>
      <c r="D1539" t="inlineStr">
        <is>
          <t>KALMAR LÄN</t>
        </is>
      </c>
      <c r="E1539" t="inlineStr">
        <is>
          <t>VÄSTERVIK</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11854-2024</t>
        </is>
      </c>
      <c r="B1540" s="1" t="n">
        <v>45376</v>
      </c>
      <c r="C1540" s="1" t="n">
        <v>45851</v>
      </c>
      <c r="D1540" t="inlineStr">
        <is>
          <t>KALMAR LÄN</t>
        </is>
      </c>
      <c r="E1540" t="inlineStr">
        <is>
          <t>VÄSTERVIK</t>
        </is>
      </c>
      <c r="F1540" t="inlineStr">
        <is>
          <t>Sveaskog</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12009-2024</t>
        </is>
      </c>
      <c r="B1541" s="1" t="n">
        <v>45377</v>
      </c>
      <c r="C1541" s="1" t="n">
        <v>45851</v>
      </c>
      <c r="D1541" t="inlineStr">
        <is>
          <t>KALMAR LÄN</t>
        </is>
      </c>
      <c r="E1541" t="inlineStr">
        <is>
          <t>VÄSTERVIK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12433-2024</t>
        </is>
      </c>
      <c r="B1542" s="1" t="n">
        <v>45379</v>
      </c>
      <c r="C1542" s="1" t="n">
        <v>45851</v>
      </c>
      <c r="D1542" t="inlineStr">
        <is>
          <t>KALMAR LÄN</t>
        </is>
      </c>
      <c r="E1542" t="inlineStr">
        <is>
          <t>VÄSTERVIK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12643-2024</t>
        </is>
      </c>
      <c r="B1543" s="1" t="n">
        <v>45379</v>
      </c>
      <c r="C1543" s="1" t="n">
        <v>45851</v>
      </c>
      <c r="D1543" t="inlineStr">
        <is>
          <t>KALMAR LÄN</t>
        </is>
      </c>
      <c r="E1543" t="inlineStr">
        <is>
          <t>VÄSTERVIK</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12431-2024</t>
        </is>
      </c>
      <c r="B1544" s="1" t="n">
        <v>45379</v>
      </c>
      <c r="C1544" s="1" t="n">
        <v>45851</v>
      </c>
      <c r="D1544" t="inlineStr">
        <is>
          <t>KALMAR LÄN</t>
        </is>
      </c>
      <c r="E1544" t="inlineStr">
        <is>
          <t>VÄSTERVIK</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12435-2024</t>
        </is>
      </c>
      <c r="B1545" s="1" t="n">
        <v>45379</v>
      </c>
      <c r="C1545" s="1" t="n">
        <v>45851</v>
      </c>
      <c r="D1545" t="inlineStr">
        <is>
          <t>KALMAR LÄN</t>
        </is>
      </c>
      <c r="E1545" t="inlineStr">
        <is>
          <t>VÄSTERVIK</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12446-2024</t>
        </is>
      </c>
      <c r="B1546" s="1" t="n">
        <v>45379</v>
      </c>
      <c r="C1546" s="1" t="n">
        <v>45851</v>
      </c>
      <c r="D1546" t="inlineStr">
        <is>
          <t>KALMAR LÄN</t>
        </is>
      </c>
      <c r="E1546" t="inlineStr">
        <is>
          <t>VÄSTERVIK</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12852-2024</t>
        </is>
      </c>
      <c r="B1547" s="1" t="n">
        <v>45384</v>
      </c>
      <c r="C1547" s="1" t="n">
        <v>45851</v>
      </c>
      <c r="D1547" t="inlineStr">
        <is>
          <t>KALMAR LÄN</t>
        </is>
      </c>
      <c r="E1547" t="inlineStr">
        <is>
          <t>VÄSTERVIK</t>
        </is>
      </c>
      <c r="F1547" t="inlineStr">
        <is>
          <t>Holmen skog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13400-2024</t>
        </is>
      </c>
      <c r="B1548" s="1" t="n">
        <v>45387</v>
      </c>
      <c r="C1548" s="1" t="n">
        <v>45851</v>
      </c>
      <c r="D1548" t="inlineStr">
        <is>
          <t>KALMAR LÄN</t>
        </is>
      </c>
      <c r="E1548" t="inlineStr">
        <is>
          <t>VÄSTERVIK</t>
        </is>
      </c>
      <c r="F1548" t="inlineStr">
        <is>
          <t>Holmen skog AB</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13753-2024</t>
        </is>
      </c>
      <c r="B1549" s="1" t="n">
        <v>45390</v>
      </c>
      <c r="C1549" s="1" t="n">
        <v>45851</v>
      </c>
      <c r="D1549" t="inlineStr">
        <is>
          <t>KALMAR LÄN</t>
        </is>
      </c>
      <c r="E1549" t="inlineStr">
        <is>
          <t>VÄSTERVIK</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13743-2024</t>
        </is>
      </c>
      <c r="B1550" s="1" t="n">
        <v>45390</v>
      </c>
      <c r="C1550" s="1" t="n">
        <v>45851</v>
      </c>
      <c r="D1550" t="inlineStr">
        <is>
          <t>KALMAR LÄN</t>
        </is>
      </c>
      <c r="E1550" t="inlineStr">
        <is>
          <t>VÄSTERVIK</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13748-2024</t>
        </is>
      </c>
      <c r="B1551" s="1" t="n">
        <v>45390</v>
      </c>
      <c r="C1551" s="1" t="n">
        <v>45851</v>
      </c>
      <c r="D1551" t="inlineStr">
        <is>
          <t>KALMAR LÄN</t>
        </is>
      </c>
      <c r="E1551" t="inlineStr">
        <is>
          <t>VÄSTERVIK</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13747-2024</t>
        </is>
      </c>
      <c r="B1552" s="1" t="n">
        <v>45390</v>
      </c>
      <c r="C1552" s="1" t="n">
        <v>45851</v>
      </c>
      <c r="D1552" t="inlineStr">
        <is>
          <t>KALMAR LÄN</t>
        </is>
      </c>
      <c r="E1552" t="inlineStr">
        <is>
          <t>VÄSTERVIK</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13751-2024</t>
        </is>
      </c>
      <c r="B1553" s="1" t="n">
        <v>45390</v>
      </c>
      <c r="C1553" s="1" t="n">
        <v>45851</v>
      </c>
      <c r="D1553" t="inlineStr">
        <is>
          <t>KALMAR LÄN</t>
        </is>
      </c>
      <c r="E1553" t="inlineStr">
        <is>
          <t>VÄSTERVIK</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13742-2024</t>
        </is>
      </c>
      <c r="B1554" s="1" t="n">
        <v>45390</v>
      </c>
      <c r="C1554" s="1" t="n">
        <v>45851</v>
      </c>
      <c r="D1554" t="inlineStr">
        <is>
          <t>KALMAR LÄN</t>
        </is>
      </c>
      <c r="E1554" t="inlineStr">
        <is>
          <t>VÄSTERVIK</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13746-2024</t>
        </is>
      </c>
      <c r="B1555" s="1" t="n">
        <v>45390</v>
      </c>
      <c r="C1555" s="1" t="n">
        <v>45851</v>
      </c>
      <c r="D1555" t="inlineStr">
        <is>
          <t>KALMAR LÄN</t>
        </is>
      </c>
      <c r="E1555" t="inlineStr">
        <is>
          <t>VÄSTERVIK</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13750-2024</t>
        </is>
      </c>
      <c r="B1556" s="1" t="n">
        <v>45390</v>
      </c>
      <c r="C1556" s="1" t="n">
        <v>45851</v>
      </c>
      <c r="D1556" t="inlineStr">
        <is>
          <t>KALMAR LÄN</t>
        </is>
      </c>
      <c r="E1556" t="inlineStr">
        <is>
          <t>VÄSTERVIK</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13825-2024</t>
        </is>
      </c>
      <c r="B1557" s="1" t="n">
        <v>45391</v>
      </c>
      <c r="C1557" s="1" t="n">
        <v>45851</v>
      </c>
      <c r="D1557" t="inlineStr">
        <is>
          <t>KALMAR LÄN</t>
        </is>
      </c>
      <c r="E1557" t="inlineStr">
        <is>
          <t>VÄSTERVIK</t>
        </is>
      </c>
      <c r="F1557" t="inlineStr">
        <is>
          <t>Sveaskog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13836-2024</t>
        </is>
      </c>
      <c r="B1558" s="1" t="n">
        <v>45391</v>
      </c>
      <c r="C1558" s="1" t="n">
        <v>45851</v>
      </c>
      <c r="D1558" t="inlineStr">
        <is>
          <t>KALMAR LÄN</t>
        </is>
      </c>
      <c r="E1558" t="inlineStr">
        <is>
          <t>VÄSTERVIK</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13840-2024</t>
        </is>
      </c>
      <c r="B1559" s="1" t="n">
        <v>45391</v>
      </c>
      <c r="C1559" s="1" t="n">
        <v>45851</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13823-2024</t>
        </is>
      </c>
      <c r="B1560" s="1" t="n">
        <v>45391</v>
      </c>
      <c r="C1560" s="1" t="n">
        <v>45851</v>
      </c>
      <c r="D1560" t="inlineStr">
        <is>
          <t>KALMAR LÄN</t>
        </is>
      </c>
      <c r="E1560" t="inlineStr">
        <is>
          <t>VÄSTERVIK</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13827-2024</t>
        </is>
      </c>
      <c r="B1561" s="1" t="n">
        <v>45391</v>
      </c>
      <c r="C1561" s="1" t="n">
        <v>45851</v>
      </c>
      <c r="D1561" t="inlineStr">
        <is>
          <t>KALMAR LÄN</t>
        </is>
      </c>
      <c r="E1561" t="inlineStr">
        <is>
          <t>VÄSTERVIK</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13838-2024</t>
        </is>
      </c>
      <c r="B1562" s="1" t="n">
        <v>45391</v>
      </c>
      <c r="C1562" s="1" t="n">
        <v>45851</v>
      </c>
      <c r="D1562" t="inlineStr">
        <is>
          <t>KALMAR LÄN</t>
        </is>
      </c>
      <c r="E1562" t="inlineStr">
        <is>
          <t>VÄSTERVIK</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13837-2024</t>
        </is>
      </c>
      <c r="B1563" s="1" t="n">
        <v>45391</v>
      </c>
      <c r="C1563" s="1" t="n">
        <v>45851</v>
      </c>
      <c r="D1563" t="inlineStr">
        <is>
          <t>KALMAR LÄN</t>
        </is>
      </c>
      <c r="E1563" t="inlineStr">
        <is>
          <t>VÄSTERVIK</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13843-2024</t>
        </is>
      </c>
      <c r="B1564" s="1" t="n">
        <v>45391</v>
      </c>
      <c r="C1564" s="1" t="n">
        <v>45851</v>
      </c>
      <c r="D1564" t="inlineStr">
        <is>
          <t>KALMAR LÄN</t>
        </is>
      </c>
      <c r="E1564" t="inlineStr">
        <is>
          <t>VÄSTERVIK</t>
        </is>
      </c>
      <c r="F1564" t="inlineStr">
        <is>
          <t>Sveaskog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13839-2024</t>
        </is>
      </c>
      <c r="B1565" s="1" t="n">
        <v>45391</v>
      </c>
      <c r="C1565" s="1" t="n">
        <v>45851</v>
      </c>
      <c r="D1565" t="inlineStr">
        <is>
          <t>KALMAR LÄN</t>
        </is>
      </c>
      <c r="E1565" t="inlineStr">
        <is>
          <t>VÄSTERVIK</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14024-2024</t>
        </is>
      </c>
      <c r="B1566" s="1" t="n">
        <v>45392</v>
      </c>
      <c r="C1566" s="1" t="n">
        <v>45851</v>
      </c>
      <c r="D1566" t="inlineStr">
        <is>
          <t>KALMAR LÄN</t>
        </is>
      </c>
      <c r="E1566" t="inlineStr">
        <is>
          <t>VÄSTERVIK</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14147-2024</t>
        </is>
      </c>
      <c r="B1567" s="1" t="n">
        <v>45392</v>
      </c>
      <c r="C1567" s="1" t="n">
        <v>45851</v>
      </c>
      <c r="D1567" t="inlineStr">
        <is>
          <t>KALMAR LÄN</t>
        </is>
      </c>
      <c r="E1567" t="inlineStr">
        <is>
          <t>VÄSTERVIK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14146-2024</t>
        </is>
      </c>
      <c r="B1568" s="1" t="n">
        <v>45392</v>
      </c>
      <c r="C1568" s="1" t="n">
        <v>45851</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14145-2024</t>
        </is>
      </c>
      <c r="B1569" s="1" t="n">
        <v>45392</v>
      </c>
      <c r="C1569" s="1" t="n">
        <v>45851</v>
      </c>
      <c r="D1569" t="inlineStr">
        <is>
          <t>KALMAR LÄN</t>
        </is>
      </c>
      <c r="E1569" t="inlineStr">
        <is>
          <t>VÄSTERVIK</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14281-2024</t>
        </is>
      </c>
      <c r="B1570" s="1" t="n">
        <v>45393</v>
      </c>
      <c r="C1570" s="1" t="n">
        <v>45851</v>
      </c>
      <c r="D1570" t="inlineStr">
        <is>
          <t>KALMAR LÄN</t>
        </is>
      </c>
      <c r="E1570" t="inlineStr">
        <is>
          <t>VÄSTERVIK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14282-2024</t>
        </is>
      </c>
      <c r="B1571" s="1" t="n">
        <v>45393</v>
      </c>
      <c r="C1571" s="1" t="n">
        <v>45851</v>
      </c>
      <c r="D1571" t="inlineStr">
        <is>
          <t>KALMAR LÄN</t>
        </is>
      </c>
      <c r="E1571" t="inlineStr">
        <is>
          <t>VÄSTERVIK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14237-2024</t>
        </is>
      </c>
      <c r="B1572" s="1" t="n">
        <v>45393</v>
      </c>
      <c r="C1572" s="1" t="n">
        <v>45851</v>
      </c>
      <c r="D1572" t="inlineStr">
        <is>
          <t>KALMAR LÄN</t>
        </is>
      </c>
      <c r="E1572" t="inlineStr">
        <is>
          <t>VÄSTERVIK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14452-2024</t>
        </is>
      </c>
      <c r="B1573" s="1" t="n">
        <v>45394</v>
      </c>
      <c r="C1573" s="1" t="n">
        <v>45851</v>
      </c>
      <c r="D1573" t="inlineStr">
        <is>
          <t>KALMAR LÄN</t>
        </is>
      </c>
      <c r="E1573" t="inlineStr">
        <is>
          <t>VÄSTERVIK</t>
        </is>
      </c>
      <c r="F1573" t="inlineStr">
        <is>
          <t>Holmen skog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15356-2024</t>
        </is>
      </c>
      <c r="B1574" s="1" t="n">
        <v>45400</v>
      </c>
      <c r="C1574" s="1" t="n">
        <v>45851</v>
      </c>
      <c r="D1574" t="inlineStr">
        <is>
          <t>KALMAR LÄN</t>
        </is>
      </c>
      <c r="E1574" t="inlineStr">
        <is>
          <t>VÄSTERVIK</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15357-2024</t>
        </is>
      </c>
      <c r="B1575" s="1" t="n">
        <v>45400</v>
      </c>
      <c r="C1575" s="1" t="n">
        <v>45851</v>
      </c>
      <c r="D1575" t="inlineStr">
        <is>
          <t>KALMAR LÄN</t>
        </is>
      </c>
      <c r="E1575" t="inlineStr">
        <is>
          <t>VÄSTERVIK</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15553-2024</t>
        </is>
      </c>
      <c r="B1576" s="1" t="n">
        <v>45401</v>
      </c>
      <c r="C1576" s="1" t="n">
        <v>45851</v>
      </c>
      <c r="D1576" t="inlineStr">
        <is>
          <t>KALMAR LÄN</t>
        </is>
      </c>
      <c r="E1576" t="inlineStr">
        <is>
          <t>VÄSTERVIK</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16040-2024</t>
        </is>
      </c>
      <c r="B1577" s="1" t="n">
        <v>45405</v>
      </c>
      <c r="C1577" s="1" t="n">
        <v>45851</v>
      </c>
      <c r="D1577" t="inlineStr">
        <is>
          <t>KALMAR LÄN</t>
        </is>
      </c>
      <c r="E1577" t="inlineStr">
        <is>
          <t>VÄSTERVIK</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16011-2024</t>
        </is>
      </c>
      <c r="B1578" s="1" t="n">
        <v>45405</v>
      </c>
      <c r="C1578" s="1" t="n">
        <v>45851</v>
      </c>
      <c r="D1578" t="inlineStr">
        <is>
          <t>KALMAR LÄN</t>
        </is>
      </c>
      <c r="E1578" t="inlineStr">
        <is>
          <t>VÄSTERVIK</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15926-2024</t>
        </is>
      </c>
      <c r="B1579" s="1" t="n">
        <v>45405</v>
      </c>
      <c r="C1579" s="1" t="n">
        <v>45851</v>
      </c>
      <c r="D1579" t="inlineStr">
        <is>
          <t>KALMAR LÄN</t>
        </is>
      </c>
      <c r="E1579" t="inlineStr">
        <is>
          <t>VÄSTERVIK</t>
        </is>
      </c>
      <c r="F1579" t="inlineStr">
        <is>
          <t>Övriga Aktiebolag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16395-2024</t>
        </is>
      </c>
      <c r="B1580" s="1" t="n">
        <v>45407</v>
      </c>
      <c r="C1580" s="1" t="n">
        <v>45851</v>
      </c>
      <c r="D1580" t="inlineStr">
        <is>
          <t>KALMAR LÄN</t>
        </is>
      </c>
      <c r="E1580" t="inlineStr">
        <is>
          <t>VÄSTERVIK</t>
        </is>
      </c>
      <c r="G1580" t="n">
        <v>1.3</v>
      </c>
      <c r="H1580" t="n">
        <v>0</v>
      </c>
      <c r="I1580" t="n">
        <v>0</v>
      </c>
      <c r="J1580" t="n">
        <v>0</v>
      </c>
      <c r="K1580" t="n">
        <v>0</v>
      </c>
      <c r="L1580" t="n">
        <v>0</v>
      </c>
      <c r="M1580" t="n">
        <v>0</v>
      </c>
      <c r="N1580" t="n">
        <v>0</v>
      </c>
      <c r="O1580" t="n">
        <v>0</v>
      </c>
      <c r="P1580" t="n">
        <v>0</v>
      </c>
      <c r="Q1580" t="n">
        <v>0</v>
      </c>
      <c r="R1580" s="2" t="inlineStr"/>
      <c r="U1580">
        <f>HYPERLINK("https://klasma.github.io/Logging_0883/knärot/A 16395-2024 karta knärot.png", "A 16395-2024")</f>
        <v/>
      </c>
      <c r="V1580">
        <f>HYPERLINK("https://klasma.github.io/Logging_0883/klagomål/A 16395-2024 FSC-klagomål.docx", "A 16395-2024")</f>
        <v/>
      </c>
      <c r="W1580">
        <f>HYPERLINK("https://klasma.github.io/Logging_0883/klagomålsmail/A 16395-2024 FSC-klagomål mail.docx", "A 16395-2024")</f>
        <v/>
      </c>
      <c r="X1580">
        <f>HYPERLINK("https://klasma.github.io/Logging_0883/tillsyn/A 16395-2024 tillsynsbegäran.docx", "A 16395-2024")</f>
        <v/>
      </c>
      <c r="Y1580">
        <f>HYPERLINK("https://klasma.github.io/Logging_0883/tillsynsmail/A 16395-2024 tillsynsbegäran mail.docx", "A 16395-2024")</f>
        <v/>
      </c>
    </row>
    <row r="1581" ht="15" customHeight="1">
      <c r="A1581" t="inlineStr">
        <is>
          <t>A 16381-2024</t>
        </is>
      </c>
      <c r="B1581" s="1" t="n">
        <v>45407</v>
      </c>
      <c r="C1581" s="1" t="n">
        <v>45851</v>
      </c>
      <c r="D1581" t="inlineStr">
        <is>
          <t>KALMAR LÄN</t>
        </is>
      </c>
      <c r="E1581" t="inlineStr">
        <is>
          <t>VÄSTERVIK</t>
        </is>
      </c>
      <c r="F1581" t="inlineStr">
        <is>
          <t>Holmen skog AB</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16385-2024</t>
        </is>
      </c>
      <c r="B1582" s="1" t="n">
        <v>45407</v>
      </c>
      <c r="C1582" s="1" t="n">
        <v>45851</v>
      </c>
      <c r="D1582" t="inlineStr">
        <is>
          <t>KALMAR LÄN</t>
        </is>
      </c>
      <c r="E1582" t="inlineStr">
        <is>
          <t>VÄSTERVIK</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16386-2024</t>
        </is>
      </c>
      <c r="B1583" s="1" t="n">
        <v>45407</v>
      </c>
      <c r="C1583" s="1" t="n">
        <v>45851</v>
      </c>
      <c r="D1583" t="inlineStr">
        <is>
          <t>KALMAR LÄN</t>
        </is>
      </c>
      <c r="E1583" t="inlineStr">
        <is>
          <t>VÄSTERVIK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16390-2024</t>
        </is>
      </c>
      <c r="B1584" s="1" t="n">
        <v>45407</v>
      </c>
      <c r="C1584" s="1" t="n">
        <v>45851</v>
      </c>
      <c r="D1584" t="inlineStr">
        <is>
          <t>KALMAR LÄN</t>
        </is>
      </c>
      <c r="E1584" t="inlineStr">
        <is>
          <t>VÄSTERVIK</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16398-2024</t>
        </is>
      </c>
      <c r="B1585" s="1" t="n">
        <v>45407</v>
      </c>
      <c r="C1585" s="1" t="n">
        <v>45851</v>
      </c>
      <c r="D1585" t="inlineStr">
        <is>
          <t>KALMAR LÄN</t>
        </is>
      </c>
      <c r="E1585" t="inlineStr">
        <is>
          <t>VÄSTERVIK</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16696-2024</t>
        </is>
      </c>
      <c r="B1586" s="1" t="n">
        <v>45409</v>
      </c>
      <c r="C1586" s="1" t="n">
        <v>45851</v>
      </c>
      <c r="D1586" t="inlineStr">
        <is>
          <t>KALMAR LÄN</t>
        </is>
      </c>
      <c r="E1586" t="inlineStr">
        <is>
          <t>VÄSTERVIK</t>
        </is>
      </c>
      <c r="F1586" t="inlineStr">
        <is>
          <t>Holmen skog AB</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17216-2024</t>
        </is>
      </c>
      <c r="B1587" s="1" t="n">
        <v>45414</v>
      </c>
      <c r="C1587" s="1" t="n">
        <v>45851</v>
      </c>
      <c r="D1587" t="inlineStr">
        <is>
          <t>KALMAR LÄN</t>
        </is>
      </c>
      <c r="E1587" t="inlineStr">
        <is>
          <t>VÄSTERVIK</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17214-2024</t>
        </is>
      </c>
      <c r="B1588" s="1" t="n">
        <v>45414</v>
      </c>
      <c r="C1588" s="1" t="n">
        <v>45851</v>
      </c>
      <c r="D1588" t="inlineStr">
        <is>
          <t>KALMAR LÄN</t>
        </is>
      </c>
      <c r="E1588" t="inlineStr">
        <is>
          <t>VÄSTERVIK</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17427-2024</t>
        </is>
      </c>
      <c r="B1589" s="1" t="n">
        <v>45415</v>
      </c>
      <c r="C1589" s="1" t="n">
        <v>45851</v>
      </c>
      <c r="D1589" t="inlineStr">
        <is>
          <t>KALMAR LÄN</t>
        </is>
      </c>
      <c r="E1589" t="inlineStr">
        <is>
          <t>VÄSTERVIK</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17425-2024</t>
        </is>
      </c>
      <c r="B1590" s="1" t="n">
        <v>45415</v>
      </c>
      <c r="C1590" s="1" t="n">
        <v>45851</v>
      </c>
      <c r="D1590" t="inlineStr">
        <is>
          <t>KALMAR LÄN</t>
        </is>
      </c>
      <c r="E1590" t="inlineStr">
        <is>
          <t>VÄSTERVIK</t>
        </is>
      </c>
      <c r="F1590" t="inlineStr">
        <is>
          <t>Sveaskog</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17426-2024</t>
        </is>
      </c>
      <c r="B1591" s="1" t="n">
        <v>45415</v>
      </c>
      <c r="C1591" s="1" t="n">
        <v>45851</v>
      </c>
      <c r="D1591" t="inlineStr">
        <is>
          <t>KALMAR LÄN</t>
        </is>
      </c>
      <c r="E1591" t="inlineStr">
        <is>
          <t>VÄSTERVIK</t>
        </is>
      </c>
      <c r="F1591" t="inlineStr">
        <is>
          <t>Sveaskog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18034-2024</t>
        </is>
      </c>
      <c r="B1592" s="1" t="n">
        <v>45420</v>
      </c>
      <c r="C1592" s="1" t="n">
        <v>45851</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18143-2024</t>
        </is>
      </c>
      <c r="B1593" s="1" t="n">
        <v>45420</v>
      </c>
      <c r="C1593" s="1" t="n">
        <v>45851</v>
      </c>
      <c r="D1593" t="inlineStr">
        <is>
          <t>KALMAR LÄN</t>
        </is>
      </c>
      <c r="E1593" t="inlineStr">
        <is>
          <t>VÄSTERVIK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18395-2024</t>
        </is>
      </c>
      <c r="B1594" s="1" t="n">
        <v>45425</v>
      </c>
      <c r="C1594" s="1" t="n">
        <v>45851</v>
      </c>
      <c r="D1594" t="inlineStr">
        <is>
          <t>KALMAR LÄN</t>
        </is>
      </c>
      <c r="E1594" t="inlineStr">
        <is>
          <t>VÄSTERVIK</t>
        </is>
      </c>
      <c r="F1594" t="inlineStr">
        <is>
          <t>Holmen skog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18434-2024</t>
        </is>
      </c>
      <c r="B1595" s="1" t="n">
        <v>45425</v>
      </c>
      <c r="C1595" s="1" t="n">
        <v>45851</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20368-2024</t>
        </is>
      </c>
      <c r="B1596" s="1" t="n">
        <v>45435</v>
      </c>
      <c r="C1596" s="1" t="n">
        <v>45851</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20365-2024</t>
        </is>
      </c>
      <c r="B1597" s="1" t="n">
        <v>45435</v>
      </c>
      <c r="C1597" s="1" t="n">
        <v>45851</v>
      </c>
      <c r="D1597" t="inlineStr">
        <is>
          <t>KALMAR LÄN</t>
        </is>
      </c>
      <c r="E1597" t="inlineStr">
        <is>
          <t>VÄSTERVIK</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20370-2024</t>
        </is>
      </c>
      <c r="B1598" s="1" t="n">
        <v>45435</v>
      </c>
      <c r="C1598" s="1" t="n">
        <v>45851</v>
      </c>
      <c r="D1598" t="inlineStr">
        <is>
          <t>KALMAR LÄN</t>
        </is>
      </c>
      <c r="E1598" t="inlineStr">
        <is>
          <t>VÄSTERVIK</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21648-2024</t>
        </is>
      </c>
      <c r="B1599" s="1" t="n">
        <v>45442</v>
      </c>
      <c r="C1599" s="1" t="n">
        <v>45851</v>
      </c>
      <c r="D1599" t="inlineStr">
        <is>
          <t>KALMAR LÄN</t>
        </is>
      </c>
      <c r="E1599" t="inlineStr">
        <is>
          <t>VÄSTERVIK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21752-2024</t>
        </is>
      </c>
      <c r="B1600" s="1" t="n">
        <v>45442</v>
      </c>
      <c r="C1600" s="1" t="n">
        <v>45851</v>
      </c>
      <c r="D1600" t="inlineStr">
        <is>
          <t>KALMAR LÄN</t>
        </is>
      </c>
      <c r="E1600" t="inlineStr">
        <is>
          <t>VÄSTERVIK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22266-2024</t>
        </is>
      </c>
      <c r="B1601" s="1" t="n">
        <v>45446</v>
      </c>
      <c r="C1601" s="1" t="n">
        <v>45851</v>
      </c>
      <c r="D1601" t="inlineStr">
        <is>
          <t>KALMAR LÄN</t>
        </is>
      </c>
      <c r="E1601" t="inlineStr">
        <is>
          <t>VÄSTERVIK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22740-2024</t>
        </is>
      </c>
      <c r="B1602" s="1" t="n">
        <v>45448</v>
      </c>
      <c r="C1602" s="1" t="n">
        <v>45851</v>
      </c>
      <c r="D1602" t="inlineStr">
        <is>
          <t>KALMAR LÄN</t>
        </is>
      </c>
      <c r="E1602" t="inlineStr">
        <is>
          <t>VÄSTERVIK</t>
        </is>
      </c>
      <c r="F1602" t="inlineStr">
        <is>
          <t>Holmen skog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23221-2024</t>
        </is>
      </c>
      <c r="B1603" s="1" t="n">
        <v>45452</v>
      </c>
      <c r="C1603" s="1" t="n">
        <v>45851</v>
      </c>
      <c r="D1603" t="inlineStr">
        <is>
          <t>KALMAR LÄN</t>
        </is>
      </c>
      <c r="E1603" t="inlineStr">
        <is>
          <t>VÄSTERVIK</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23248-2024</t>
        </is>
      </c>
      <c r="B1604" s="1" t="n">
        <v>45453</v>
      </c>
      <c r="C1604" s="1" t="n">
        <v>45851</v>
      </c>
      <c r="D1604" t="inlineStr">
        <is>
          <t>KALMAR LÄN</t>
        </is>
      </c>
      <c r="E1604" t="inlineStr">
        <is>
          <t>VÄSTERVIK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23626-2024</t>
        </is>
      </c>
      <c r="B1605" s="1" t="n">
        <v>45454</v>
      </c>
      <c r="C1605" s="1" t="n">
        <v>45851</v>
      </c>
      <c r="D1605" t="inlineStr">
        <is>
          <t>KALMAR LÄN</t>
        </is>
      </c>
      <c r="E1605" t="inlineStr">
        <is>
          <t>VÄSTERVIK</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23873-2024</t>
        </is>
      </c>
      <c r="B1606" s="1" t="n">
        <v>45455</v>
      </c>
      <c r="C1606" s="1" t="n">
        <v>45851</v>
      </c>
      <c r="D1606" t="inlineStr">
        <is>
          <t>KALMAR LÄN</t>
        </is>
      </c>
      <c r="E1606" t="inlineStr">
        <is>
          <t>VÄSTERVIK</t>
        </is>
      </c>
      <c r="F1606" t="inlineStr">
        <is>
          <t>Övriga Aktiebolag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23983-2024</t>
        </is>
      </c>
      <c r="B1607" s="1" t="n">
        <v>45456</v>
      </c>
      <c r="C1607" s="1" t="n">
        <v>45851</v>
      </c>
      <c r="D1607" t="inlineStr">
        <is>
          <t>KALMAR LÄN</t>
        </is>
      </c>
      <c r="E1607" t="inlineStr">
        <is>
          <t>VÄSTERVIK</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24600-2024</t>
        </is>
      </c>
      <c r="B1608" s="1" t="n">
        <v>45460</v>
      </c>
      <c r="C1608" s="1" t="n">
        <v>45851</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24596-2024</t>
        </is>
      </c>
      <c r="B1609" s="1" t="n">
        <v>45460</v>
      </c>
      <c r="C1609" s="1" t="n">
        <v>45851</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24592-2024</t>
        </is>
      </c>
      <c r="B1610" s="1" t="n">
        <v>45460</v>
      </c>
      <c r="C1610" s="1" t="n">
        <v>45851</v>
      </c>
      <c r="D1610" t="inlineStr">
        <is>
          <t>KALMAR LÄN</t>
        </is>
      </c>
      <c r="E1610" t="inlineStr">
        <is>
          <t>VÄSTERVIK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24584-2024</t>
        </is>
      </c>
      <c r="B1611" s="1" t="n">
        <v>45460</v>
      </c>
      <c r="C1611" s="1" t="n">
        <v>45851</v>
      </c>
      <c r="D1611" t="inlineStr">
        <is>
          <t>KALMAR LÄN</t>
        </is>
      </c>
      <c r="E1611" t="inlineStr">
        <is>
          <t>VÄSTERVIK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24571-2024</t>
        </is>
      </c>
      <c r="B1612" s="1" t="n">
        <v>45460</v>
      </c>
      <c r="C1612" s="1" t="n">
        <v>45851</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24567-2024</t>
        </is>
      </c>
      <c r="B1613" s="1" t="n">
        <v>45460</v>
      </c>
      <c r="C1613" s="1" t="n">
        <v>45851</v>
      </c>
      <c r="D1613" t="inlineStr">
        <is>
          <t>KALMAR LÄN</t>
        </is>
      </c>
      <c r="E1613" t="inlineStr">
        <is>
          <t>VÄSTERVIK</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24536-2024</t>
        </is>
      </c>
      <c r="B1614" s="1" t="n">
        <v>45460</v>
      </c>
      <c r="C1614" s="1" t="n">
        <v>45851</v>
      </c>
      <c r="D1614" t="inlineStr">
        <is>
          <t>KALMAR LÄN</t>
        </is>
      </c>
      <c r="E1614" t="inlineStr">
        <is>
          <t>VÄSTERVIK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24578-2024</t>
        </is>
      </c>
      <c r="B1615" s="1" t="n">
        <v>45460</v>
      </c>
      <c r="C1615" s="1" t="n">
        <v>45851</v>
      </c>
      <c r="D1615" t="inlineStr">
        <is>
          <t>KALMAR LÄN</t>
        </is>
      </c>
      <c r="E1615" t="inlineStr">
        <is>
          <t>VÄSTERVIK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24562-2024</t>
        </is>
      </c>
      <c r="B1616" s="1" t="n">
        <v>45460</v>
      </c>
      <c r="C1616" s="1" t="n">
        <v>45851</v>
      </c>
      <c r="D1616" t="inlineStr">
        <is>
          <t>KALMAR LÄN</t>
        </is>
      </c>
      <c r="E1616" t="inlineStr">
        <is>
          <t>VÄSTERVIK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24572-2024</t>
        </is>
      </c>
      <c r="B1617" s="1" t="n">
        <v>45460</v>
      </c>
      <c r="C1617" s="1" t="n">
        <v>45851</v>
      </c>
      <c r="D1617" t="inlineStr">
        <is>
          <t>KALMAR LÄN</t>
        </is>
      </c>
      <c r="E1617" t="inlineStr">
        <is>
          <t>VÄSTERVIK</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24988-2024</t>
        </is>
      </c>
      <c r="B1618" s="1" t="n">
        <v>45461</v>
      </c>
      <c r="C1618" s="1" t="n">
        <v>45851</v>
      </c>
      <c r="D1618" t="inlineStr">
        <is>
          <t>KALMAR LÄN</t>
        </is>
      </c>
      <c r="E1618" t="inlineStr">
        <is>
          <t>VÄSTERVIK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25561-2024</t>
        </is>
      </c>
      <c r="B1619" s="1" t="n">
        <v>45463</v>
      </c>
      <c r="C1619" s="1" t="n">
        <v>45851</v>
      </c>
      <c r="D1619" t="inlineStr">
        <is>
          <t>KALMAR LÄN</t>
        </is>
      </c>
      <c r="E1619" t="inlineStr">
        <is>
          <t>VÄSTERVIK</t>
        </is>
      </c>
      <c r="F1619" t="inlineStr">
        <is>
          <t>Holmen skog AB</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25429-2024</t>
        </is>
      </c>
      <c r="B1620" s="1" t="n">
        <v>45463</v>
      </c>
      <c r="C1620" s="1" t="n">
        <v>45851</v>
      </c>
      <c r="D1620" t="inlineStr">
        <is>
          <t>KALMAR LÄN</t>
        </is>
      </c>
      <c r="E1620" t="inlineStr">
        <is>
          <t>VÄSTERVIK</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25882-2024</t>
        </is>
      </c>
      <c r="B1621" s="1" t="n">
        <v>45467</v>
      </c>
      <c r="C1621" s="1" t="n">
        <v>45851</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26285-2024</t>
        </is>
      </c>
      <c r="B1622" s="1" t="n">
        <v>45468</v>
      </c>
      <c r="C1622" s="1" t="n">
        <v>45851</v>
      </c>
      <c r="D1622" t="inlineStr">
        <is>
          <t>KALMAR LÄN</t>
        </is>
      </c>
      <c r="E1622" t="inlineStr">
        <is>
          <t>VÄSTERVIK</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26140-2024</t>
        </is>
      </c>
      <c r="B1623" s="1" t="n">
        <v>45468</v>
      </c>
      <c r="C1623" s="1" t="n">
        <v>45851</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26066-2024</t>
        </is>
      </c>
      <c r="B1624" s="1" t="n">
        <v>45468</v>
      </c>
      <c r="C1624" s="1" t="n">
        <v>45851</v>
      </c>
      <c r="D1624" t="inlineStr">
        <is>
          <t>KALMAR LÄN</t>
        </is>
      </c>
      <c r="E1624" t="inlineStr">
        <is>
          <t>VÄSTERVIK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26061-2024</t>
        </is>
      </c>
      <c r="B1625" s="1" t="n">
        <v>45468</v>
      </c>
      <c r="C1625" s="1" t="n">
        <v>45851</v>
      </c>
      <c r="D1625" t="inlineStr">
        <is>
          <t>KALMAR LÄN</t>
        </is>
      </c>
      <c r="E1625" t="inlineStr">
        <is>
          <t>VÄSTERVIK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26053-2024</t>
        </is>
      </c>
      <c r="B1626" s="1" t="n">
        <v>45468</v>
      </c>
      <c r="C1626" s="1" t="n">
        <v>45851</v>
      </c>
      <c r="D1626" t="inlineStr">
        <is>
          <t>KALMAR LÄN</t>
        </is>
      </c>
      <c r="E1626" t="inlineStr">
        <is>
          <t>VÄSTERVIK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27094-2024</t>
        </is>
      </c>
      <c r="B1627" s="1" t="n">
        <v>45471</v>
      </c>
      <c r="C1627" s="1" t="n">
        <v>45851</v>
      </c>
      <c r="D1627" t="inlineStr">
        <is>
          <t>KALMAR LÄN</t>
        </is>
      </c>
      <c r="E1627" t="inlineStr">
        <is>
          <t>VÄSTERVIK</t>
        </is>
      </c>
      <c r="F1627" t="inlineStr">
        <is>
          <t>Holmen skog AB</t>
        </is>
      </c>
      <c r="G1627" t="n">
        <v>2.4</v>
      </c>
      <c r="H1627" t="n">
        <v>0</v>
      </c>
      <c r="I1627" t="n">
        <v>0</v>
      </c>
      <c r="J1627" t="n">
        <v>0</v>
      </c>
      <c r="K1627" t="n">
        <v>0</v>
      </c>
      <c r="L1627" t="n">
        <v>0</v>
      </c>
      <c r="M1627" t="n">
        <v>0</v>
      </c>
      <c r="N1627" t="n">
        <v>0</v>
      </c>
      <c r="O1627" t="n">
        <v>0</v>
      </c>
      <c r="P1627" t="n">
        <v>0</v>
      </c>
      <c r="Q1627" t="n">
        <v>0</v>
      </c>
      <c r="R1627" s="2" t="inlineStr"/>
      <c r="U1627">
        <f>HYPERLINK("https://klasma.github.io/Logging_0883/knärot/A 27094-2024 karta knärot.png", "A 27094-2024")</f>
        <v/>
      </c>
      <c r="V1627">
        <f>HYPERLINK("https://klasma.github.io/Logging_0883/klagomål/A 27094-2024 FSC-klagomål.docx", "A 27094-2024")</f>
        <v/>
      </c>
      <c r="W1627">
        <f>HYPERLINK("https://klasma.github.io/Logging_0883/klagomålsmail/A 27094-2024 FSC-klagomål mail.docx", "A 27094-2024")</f>
        <v/>
      </c>
      <c r="X1627">
        <f>HYPERLINK("https://klasma.github.io/Logging_0883/tillsyn/A 27094-2024 tillsynsbegäran.docx", "A 27094-2024")</f>
        <v/>
      </c>
      <c r="Y1627">
        <f>HYPERLINK("https://klasma.github.io/Logging_0883/tillsynsmail/A 27094-2024 tillsynsbegäran mail.docx", "A 27094-2024")</f>
        <v/>
      </c>
    </row>
    <row r="1628" ht="15" customHeight="1">
      <c r="A1628" t="inlineStr">
        <is>
          <t>A 27568-2024</t>
        </is>
      </c>
      <c r="B1628" s="1" t="n">
        <v>45474</v>
      </c>
      <c r="C1628" s="1" t="n">
        <v>45851</v>
      </c>
      <c r="D1628" t="inlineStr">
        <is>
          <t>KALMAR LÄN</t>
        </is>
      </c>
      <c r="E1628" t="inlineStr">
        <is>
          <t>VÄSTERVIK</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28110-2024</t>
        </is>
      </c>
      <c r="B1629" s="1" t="n">
        <v>45476</v>
      </c>
      <c r="C1629" s="1" t="n">
        <v>45851</v>
      </c>
      <c r="D1629" t="inlineStr">
        <is>
          <t>KALMAR LÄN</t>
        </is>
      </c>
      <c r="E1629" t="inlineStr">
        <is>
          <t>VÄSTERVIK</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28122-2024</t>
        </is>
      </c>
      <c r="B1630" s="1" t="n">
        <v>45476</v>
      </c>
      <c r="C1630" s="1" t="n">
        <v>45851</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28037-2024</t>
        </is>
      </c>
      <c r="B1631" s="1" t="n">
        <v>45476</v>
      </c>
      <c r="C1631" s="1" t="n">
        <v>45851</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28404-2024</t>
        </is>
      </c>
      <c r="B1632" s="1" t="n">
        <v>45477</v>
      </c>
      <c r="C1632" s="1" t="n">
        <v>45851</v>
      </c>
      <c r="D1632" t="inlineStr">
        <is>
          <t>KALMAR LÄN</t>
        </is>
      </c>
      <c r="E1632" t="inlineStr">
        <is>
          <t>VÄSTERVIK</t>
        </is>
      </c>
      <c r="F1632" t="inlineStr">
        <is>
          <t>Holmen skog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28315-2024</t>
        </is>
      </c>
      <c r="B1633" s="1" t="n">
        <v>45477</v>
      </c>
      <c r="C1633" s="1" t="n">
        <v>45851</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28291-2024</t>
        </is>
      </c>
      <c r="B1634" s="1" t="n">
        <v>45477</v>
      </c>
      <c r="C1634" s="1" t="n">
        <v>45851</v>
      </c>
      <c r="D1634" t="inlineStr">
        <is>
          <t>KALMAR LÄN</t>
        </is>
      </c>
      <c r="E1634" t="inlineStr">
        <is>
          <t>VÄSTERVIK</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28415-2024</t>
        </is>
      </c>
      <c r="B1635" s="1" t="n">
        <v>45477</v>
      </c>
      <c r="C1635" s="1" t="n">
        <v>45851</v>
      </c>
      <c r="D1635" t="inlineStr">
        <is>
          <t>KALMAR LÄN</t>
        </is>
      </c>
      <c r="E1635" t="inlineStr">
        <is>
          <t>VÄSTERVIK</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28390-2024</t>
        </is>
      </c>
      <c r="B1636" s="1" t="n">
        <v>45477</v>
      </c>
      <c r="C1636" s="1" t="n">
        <v>45851</v>
      </c>
      <c r="D1636" t="inlineStr">
        <is>
          <t>KALMAR LÄN</t>
        </is>
      </c>
      <c r="E1636" t="inlineStr">
        <is>
          <t>VÄSTERVIK</t>
        </is>
      </c>
      <c r="F1636" t="inlineStr">
        <is>
          <t>Holmen skog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28378-2024</t>
        </is>
      </c>
      <c r="B1637" s="1" t="n">
        <v>45477</v>
      </c>
      <c r="C1637" s="1" t="n">
        <v>45851</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28222-2024</t>
        </is>
      </c>
      <c r="B1638" s="1" t="n">
        <v>45477</v>
      </c>
      <c r="C1638" s="1" t="n">
        <v>45851</v>
      </c>
      <c r="D1638" t="inlineStr">
        <is>
          <t>KALMAR LÄN</t>
        </is>
      </c>
      <c r="E1638" t="inlineStr">
        <is>
          <t>VÄSTERVIK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28344-2024</t>
        </is>
      </c>
      <c r="B1639" s="1" t="n">
        <v>45477</v>
      </c>
      <c r="C1639" s="1" t="n">
        <v>45851</v>
      </c>
      <c r="D1639" t="inlineStr">
        <is>
          <t>KALMAR LÄN</t>
        </is>
      </c>
      <c r="E1639" t="inlineStr">
        <is>
          <t>VÄSTERVIK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28667-2024</t>
        </is>
      </c>
      <c r="B1640" s="1" t="n">
        <v>45478</v>
      </c>
      <c r="C1640" s="1" t="n">
        <v>45851</v>
      </c>
      <c r="D1640" t="inlineStr">
        <is>
          <t>KALMAR LÄN</t>
        </is>
      </c>
      <c r="E1640" t="inlineStr">
        <is>
          <t>VÄSTERVIK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28640-2024</t>
        </is>
      </c>
      <c r="B1641" s="1" t="n">
        <v>45478</v>
      </c>
      <c r="C1641" s="1" t="n">
        <v>45851</v>
      </c>
      <c r="D1641" t="inlineStr">
        <is>
          <t>KALMAR LÄN</t>
        </is>
      </c>
      <c r="E1641" t="inlineStr">
        <is>
          <t>VÄSTERVIK</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29400-2024</t>
        </is>
      </c>
      <c r="B1642" s="1" t="n">
        <v>45483</v>
      </c>
      <c r="C1642" s="1" t="n">
        <v>45851</v>
      </c>
      <c r="D1642" t="inlineStr">
        <is>
          <t>KALMAR LÄN</t>
        </is>
      </c>
      <c r="E1642" t="inlineStr">
        <is>
          <t>VÄSTERVIK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29404-2024</t>
        </is>
      </c>
      <c r="B1643" s="1" t="n">
        <v>45483</v>
      </c>
      <c r="C1643" s="1" t="n">
        <v>45851</v>
      </c>
      <c r="D1643" t="inlineStr">
        <is>
          <t>KALMAR LÄN</t>
        </is>
      </c>
      <c r="E1643" t="inlineStr">
        <is>
          <t>VÄSTERVIK</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29412-2024</t>
        </is>
      </c>
      <c r="B1644" s="1" t="n">
        <v>45483</v>
      </c>
      <c r="C1644" s="1" t="n">
        <v>45851</v>
      </c>
      <c r="D1644" t="inlineStr">
        <is>
          <t>KALMAR LÄN</t>
        </is>
      </c>
      <c r="E1644" t="inlineStr">
        <is>
          <t>VÄSTERVIK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29420-2024</t>
        </is>
      </c>
      <c r="B1645" s="1" t="n">
        <v>45483</v>
      </c>
      <c r="C1645" s="1" t="n">
        <v>45851</v>
      </c>
      <c r="D1645" t="inlineStr">
        <is>
          <t>KALMAR LÄN</t>
        </is>
      </c>
      <c r="E1645" t="inlineStr">
        <is>
          <t>VÄSTERVIK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29396-2024</t>
        </is>
      </c>
      <c r="B1646" s="1" t="n">
        <v>45483</v>
      </c>
      <c r="C1646" s="1" t="n">
        <v>45851</v>
      </c>
      <c r="D1646" t="inlineStr">
        <is>
          <t>KALMAR LÄN</t>
        </is>
      </c>
      <c r="E1646" t="inlineStr">
        <is>
          <t>VÄSTERVIK</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29405-2024</t>
        </is>
      </c>
      <c r="B1647" s="1" t="n">
        <v>45483</v>
      </c>
      <c r="C1647" s="1" t="n">
        <v>45851</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29417-2024</t>
        </is>
      </c>
      <c r="B1648" s="1" t="n">
        <v>45483</v>
      </c>
      <c r="C1648" s="1" t="n">
        <v>45851</v>
      </c>
      <c r="D1648" t="inlineStr">
        <is>
          <t>KALMAR LÄN</t>
        </is>
      </c>
      <c r="E1648" t="inlineStr">
        <is>
          <t>VÄSTERVIK</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29407-2024</t>
        </is>
      </c>
      <c r="B1649" s="1" t="n">
        <v>45483</v>
      </c>
      <c r="C1649" s="1" t="n">
        <v>45851</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29414-2024</t>
        </is>
      </c>
      <c r="B1650" s="1" t="n">
        <v>45483</v>
      </c>
      <c r="C1650" s="1" t="n">
        <v>45851</v>
      </c>
      <c r="D1650" t="inlineStr">
        <is>
          <t>KALMAR LÄN</t>
        </is>
      </c>
      <c r="E1650" t="inlineStr">
        <is>
          <t>VÄSTERVIK</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29418-2024</t>
        </is>
      </c>
      <c r="B1651" s="1" t="n">
        <v>45483</v>
      </c>
      <c r="C1651" s="1" t="n">
        <v>45851</v>
      </c>
      <c r="D1651" t="inlineStr">
        <is>
          <t>KALMAR LÄN</t>
        </is>
      </c>
      <c r="E1651" t="inlineStr">
        <is>
          <t>VÄSTERVIK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29557-2024</t>
        </is>
      </c>
      <c r="B1652" s="1" t="n">
        <v>45484</v>
      </c>
      <c r="C1652" s="1" t="n">
        <v>45851</v>
      </c>
      <c r="D1652" t="inlineStr">
        <is>
          <t>KALMAR LÄN</t>
        </is>
      </c>
      <c r="E1652" t="inlineStr">
        <is>
          <t>VÄSTERVIK</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29571-2024</t>
        </is>
      </c>
      <c r="B1653" s="1" t="n">
        <v>45484</v>
      </c>
      <c r="C1653" s="1" t="n">
        <v>45851</v>
      </c>
      <c r="D1653" t="inlineStr">
        <is>
          <t>KALMAR LÄN</t>
        </is>
      </c>
      <c r="E1653" t="inlineStr">
        <is>
          <t>VÄSTERVIK</t>
        </is>
      </c>
      <c r="F1653" t="inlineStr">
        <is>
          <t>Holmen skog AB</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29786-2024</t>
        </is>
      </c>
      <c r="B1654" s="1" t="n">
        <v>45485</v>
      </c>
      <c r="C1654" s="1" t="n">
        <v>45851</v>
      </c>
      <c r="D1654" t="inlineStr">
        <is>
          <t>KALMAR LÄN</t>
        </is>
      </c>
      <c r="E1654" t="inlineStr">
        <is>
          <t>VÄSTERVIK</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29784-2024</t>
        </is>
      </c>
      <c r="B1655" s="1" t="n">
        <v>45485</v>
      </c>
      <c r="C1655" s="1" t="n">
        <v>45851</v>
      </c>
      <c r="D1655" t="inlineStr">
        <is>
          <t>KALMAR LÄN</t>
        </is>
      </c>
      <c r="E1655" t="inlineStr">
        <is>
          <t>VÄSTERVIK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29789-2024</t>
        </is>
      </c>
      <c r="B1656" s="1" t="n">
        <v>45485</v>
      </c>
      <c r="C1656" s="1" t="n">
        <v>45851</v>
      </c>
      <c r="D1656" t="inlineStr">
        <is>
          <t>KALMAR LÄN</t>
        </is>
      </c>
      <c r="E1656" t="inlineStr">
        <is>
          <t>VÄSTERVIK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30153-2024</t>
        </is>
      </c>
      <c r="B1657" s="1" t="n">
        <v>45489</v>
      </c>
      <c r="C1657" s="1" t="n">
        <v>45851</v>
      </c>
      <c r="D1657" t="inlineStr">
        <is>
          <t>KALMAR LÄN</t>
        </is>
      </c>
      <c r="E1657" t="inlineStr">
        <is>
          <t>VÄSTERVIK</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30148-2024</t>
        </is>
      </c>
      <c r="B1658" s="1" t="n">
        <v>45489</v>
      </c>
      <c r="C1658" s="1" t="n">
        <v>45851</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30149-2024</t>
        </is>
      </c>
      <c r="B1659" s="1" t="n">
        <v>45489</v>
      </c>
      <c r="C1659" s="1" t="n">
        <v>45851</v>
      </c>
      <c r="D1659" t="inlineStr">
        <is>
          <t>KALMAR LÄN</t>
        </is>
      </c>
      <c r="E1659" t="inlineStr">
        <is>
          <t>VÄSTERVIK</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30157-2024</t>
        </is>
      </c>
      <c r="B1660" s="1" t="n">
        <v>45489</v>
      </c>
      <c r="C1660" s="1" t="n">
        <v>45851</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30437-2024</t>
        </is>
      </c>
      <c r="B1661" s="1" t="n">
        <v>45491</v>
      </c>
      <c r="C1661" s="1" t="n">
        <v>45851</v>
      </c>
      <c r="D1661" t="inlineStr">
        <is>
          <t>KALMAR LÄN</t>
        </is>
      </c>
      <c r="E1661" t="inlineStr">
        <is>
          <t>VÄSTERVIK</t>
        </is>
      </c>
      <c r="F1661" t="inlineStr">
        <is>
          <t>Holmen skog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30525-2024</t>
        </is>
      </c>
      <c r="B1662" s="1" t="n">
        <v>45492</v>
      </c>
      <c r="C1662" s="1" t="n">
        <v>45851</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30523-2024</t>
        </is>
      </c>
      <c r="B1663" s="1" t="n">
        <v>45492</v>
      </c>
      <c r="C1663" s="1" t="n">
        <v>45851</v>
      </c>
      <c r="D1663" t="inlineStr">
        <is>
          <t>KALMAR LÄN</t>
        </is>
      </c>
      <c r="E1663" t="inlineStr">
        <is>
          <t>VÄSTERVIK</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30511-2024</t>
        </is>
      </c>
      <c r="B1664" s="1" t="n">
        <v>45492</v>
      </c>
      <c r="C1664" s="1" t="n">
        <v>45851</v>
      </c>
      <c r="D1664" t="inlineStr">
        <is>
          <t>KALMAR LÄN</t>
        </is>
      </c>
      <c r="E1664" t="inlineStr">
        <is>
          <t>VÄSTERVIK</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31147-2024</t>
        </is>
      </c>
      <c r="B1665" s="1" t="n">
        <v>45502</v>
      </c>
      <c r="C1665" s="1" t="n">
        <v>45851</v>
      </c>
      <c r="D1665" t="inlineStr">
        <is>
          <t>KALMAR LÄN</t>
        </is>
      </c>
      <c r="E1665" t="inlineStr">
        <is>
          <t>VÄSTERVIK</t>
        </is>
      </c>
      <c r="F1665" t="inlineStr">
        <is>
          <t>Sveaskog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31056-2024</t>
        </is>
      </c>
      <c r="B1666" s="1" t="n">
        <v>45502</v>
      </c>
      <c r="C1666" s="1" t="n">
        <v>45851</v>
      </c>
      <c r="D1666" t="inlineStr">
        <is>
          <t>KALMAR LÄN</t>
        </is>
      </c>
      <c r="E1666" t="inlineStr">
        <is>
          <t>VÄSTERVIK</t>
        </is>
      </c>
      <c r="F1666" t="inlineStr">
        <is>
          <t>Holmen skog AB</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32009-2024</t>
        </is>
      </c>
      <c r="B1667" s="1" t="n">
        <v>45510</v>
      </c>
      <c r="C1667" s="1" t="n">
        <v>45851</v>
      </c>
      <c r="D1667" t="inlineStr">
        <is>
          <t>KALMAR LÄN</t>
        </is>
      </c>
      <c r="E1667" t="inlineStr">
        <is>
          <t>VÄSTERVIK</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31999-2024</t>
        </is>
      </c>
      <c r="B1668" s="1" t="n">
        <v>45510</v>
      </c>
      <c r="C1668" s="1" t="n">
        <v>45851</v>
      </c>
      <c r="D1668" t="inlineStr">
        <is>
          <t>KALMAR LÄN</t>
        </is>
      </c>
      <c r="E1668" t="inlineStr">
        <is>
          <t>VÄSTERVIK</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32006-2024</t>
        </is>
      </c>
      <c r="B1669" s="1" t="n">
        <v>45510</v>
      </c>
      <c r="C1669" s="1" t="n">
        <v>45851</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32159-2024</t>
        </is>
      </c>
      <c r="B1670" s="1" t="n">
        <v>45511</v>
      </c>
      <c r="C1670" s="1" t="n">
        <v>45851</v>
      </c>
      <c r="D1670" t="inlineStr">
        <is>
          <t>KALMAR LÄN</t>
        </is>
      </c>
      <c r="E1670" t="inlineStr">
        <is>
          <t>VÄSTERVIK</t>
        </is>
      </c>
      <c r="F1670" t="inlineStr">
        <is>
          <t>Övriga Aktiebolag</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32146-2024</t>
        </is>
      </c>
      <c r="B1671" s="1" t="n">
        <v>45511</v>
      </c>
      <c r="C1671" s="1" t="n">
        <v>45851</v>
      </c>
      <c r="D1671" t="inlineStr">
        <is>
          <t>KALMAR LÄN</t>
        </is>
      </c>
      <c r="E1671" t="inlineStr">
        <is>
          <t>VÄSTERVIK</t>
        </is>
      </c>
      <c r="F1671" t="inlineStr">
        <is>
          <t>Övriga Aktiebolag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32137-2024</t>
        </is>
      </c>
      <c r="B1672" s="1" t="n">
        <v>45511</v>
      </c>
      <c r="C1672" s="1" t="n">
        <v>45851</v>
      </c>
      <c r="D1672" t="inlineStr">
        <is>
          <t>KALMAR LÄN</t>
        </is>
      </c>
      <c r="E1672" t="inlineStr">
        <is>
          <t>VÄSTERVIK</t>
        </is>
      </c>
      <c r="F1672" t="inlineStr">
        <is>
          <t>Övriga Aktiebolag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32386-2024</t>
        </is>
      </c>
      <c r="B1673" s="1" t="n">
        <v>45512</v>
      </c>
      <c r="C1673" s="1" t="n">
        <v>45851</v>
      </c>
      <c r="D1673" t="inlineStr">
        <is>
          <t>KALMAR LÄN</t>
        </is>
      </c>
      <c r="E1673" t="inlineStr">
        <is>
          <t>VÄSTERVIK</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32388-2024</t>
        </is>
      </c>
      <c r="B1674" s="1" t="n">
        <v>45512</v>
      </c>
      <c r="C1674" s="1" t="n">
        <v>45851</v>
      </c>
      <c r="D1674" t="inlineStr">
        <is>
          <t>KALMAR LÄN</t>
        </is>
      </c>
      <c r="E1674" t="inlineStr">
        <is>
          <t>VÄSTERVIK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32389-2024</t>
        </is>
      </c>
      <c r="B1675" s="1" t="n">
        <v>45512</v>
      </c>
      <c r="C1675" s="1" t="n">
        <v>45851</v>
      </c>
      <c r="D1675" t="inlineStr">
        <is>
          <t>KALMAR LÄN</t>
        </is>
      </c>
      <c r="E1675" t="inlineStr">
        <is>
          <t>VÄSTERVIK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32283-2024</t>
        </is>
      </c>
      <c r="B1676" s="1" t="n">
        <v>45512</v>
      </c>
      <c r="C1676" s="1" t="n">
        <v>45851</v>
      </c>
      <c r="D1676" t="inlineStr">
        <is>
          <t>KALMAR LÄN</t>
        </is>
      </c>
      <c r="E1676" t="inlineStr">
        <is>
          <t>VÄSTERVIK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33535-2024</t>
        </is>
      </c>
      <c r="B1677" s="1" t="n">
        <v>45519</v>
      </c>
      <c r="C1677" s="1" t="n">
        <v>45851</v>
      </c>
      <c r="D1677" t="inlineStr">
        <is>
          <t>KALMAR LÄN</t>
        </is>
      </c>
      <c r="E1677" t="inlineStr">
        <is>
          <t>VÄSTERVIK</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33508-2024</t>
        </is>
      </c>
      <c r="B1678" s="1" t="n">
        <v>45519</v>
      </c>
      <c r="C1678" s="1" t="n">
        <v>45851</v>
      </c>
      <c r="D1678" t="inlineStr">
        <is>
          <t>KALMAR LÄN</t>
        </is>
      </c>
      <c r="E1678" t="inlineStr">
        <is>
          <t>VÄSTERVIK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33969-2024</t>
        </is>
      </c>
      <c r="B1679" s="1" t="n">
        <v>45523</v>
      </c>
      <c r="C1679" s="1" t="n">
        <v>45851</v>
      </c>
      <c r="D1679" t="inlineStr">
        <is>
          <t>KALMAR LÄN</t>
        </is>
      </c>
      <c r="E1679" t="inlineStr">
        <is>
          <t>VÄSTERVIK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33966-2024</t>
        </is>
      </c>
      <c r="B1680" s="1" t="n">
        <v>45523</v>
      </c>
      <c r="C1680" s="1" t="n">
        <v>45851</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34461-2024</t>
        </is>
      </c>
      <c r="B1681" s="1" t="n">
        <v>45525</v>
      </c>
      <c r="C1681" s="1" t="n">
        <v>45851</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34463-2024</t>
        </is>
      </c>
      <c r="B1682" s="1" t="n">
        <v>45525</v>
      </c>
      <c r="C1682" s="1" t="n">
        <v>45851</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34471-2024</t>
        </is>
      </c>
      <c r="B1683" s="1" t="n">
        <v>45525</v>
      </c>
      <c r="C1683" s="1" t="n">
        <v>45851</v>
      </c>
      <c r="D1683" t="inlineStr">
        <is>
          <t>KALMAR LÄN</t>
        </is>
      </c>
      <c r="E1683" t="inlineStr">
        <is>
          <t>VÄSTERVIK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34420-2024</t>
        </is>
      </c>
      <c r="B1684" s="1" t="n">
        <v>45525</v>
      </c>
      <c r="C1684" s="1" t="n">
        <v>45851</v>
      </c>
      <c r="D1684" t="inlineStr">
        <is>
          <t>KALMAR LÄN</t>
        </is>
      </c>
      <c r="E1684" t="inlineStr">
        <is>
          <t>VÄSTERVIK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34795-2024</t>
        </is>
      </c>
      <c r="B1685" s="1" t="n">
        <v>45526</v>
      </c>
      <c r="C1685" s="1" t="n">
        <v>45851</v>
      </c>
      <c r="D1685" t="inlineStr">
        <is>
          <t>KALMAR LÄN</t>
        </is>
      </c>
      <c r="E1685" t="inlineStr">
        <is>
          <t>VÄSTERVIK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34833-2024</t>
        </is>
      </c>
      <c r="B1686" s="1" t="n">
        <v>45526</v>
      </c>
      <c r="C1686" s="1" t="n">
        <v>45851</v>
      </c>
      <c r="D1686" t="inlineStr">
        <is>
          <t>KALMAR LÄN</t>
        </is>
      </c>
      <c r="E1686" t="inlineStr">
        <is>
          <t>VÄSTERVIK</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34788-2024</t>
        </is>
      </c>
      <c r="B1687" s="1" t="n">
        <v>45526</v>
      </c>
      <c r="C1687" s="1" t="n">
        <v>45851</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34832-2024</t>
        </is>
      </c>
      <c r="B1688" s="1" t="n">
        <v>45526</v>
      </c>
      <c r="C1688" s="1" t="n">
        <v>45851</v>
      </c>
      <c r="D1688" t="inlineStr">
        <is>
          <t>KALMAR LÄN</t>
        </is>
      </c>
      <c r="E1688" t="inlineStr">
        <is>
          <t>VÄSTERVIK</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35018-2024</t>
        </is>
      </c>
      <c r="B1689" s="1" t="n">
        <v>45527</v>
      </c>
      <c r="C1689" s="1" t="n">
        <v>45851</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35108-2024</t>
        </is>
      </c>
      <c r="B1690" s="1" t="n">
        <v>45529</v>
      </c>
      <c r="C1690" s="1" t="n">
        <v>45851</v>
      </c>
      <c r="D1690" t="inlineStr">
        <is>
          <t>KALMAR LÄN</t>
        </is>
      </c>
      <c r="E1690" t="inlineStr">
        <is>
          <t>VÄSTERVIK</t>
        </is>
      </c>
      <c r="G1690" t="n">
        <v>10.5</v>
      </c>
      <c r="H1690" t="n">
        <v>0</v>
      </c>
      <c r="I1690" t="n">
        <v>0</v>
      </c>
      <c r="J1690" t="n">
        <v>0</v>
      </c>
      <c r="K1690" t="n">
        <v>0</v>
      </c>
      <c r="L1690" t="n">
        <v>0</v>
      </c>
      <c r="M1690" t="n">
        <v>0</v>
      </c>
      <c r="N1690" t="n">
        <v>0</v>
      </c>
      <c r="O1690" t="n">
        <v>0</v>
      </c>
      <c r="P1690" t="n">
        <v>0</v>
      </c>
      <c r="Q1690" t="n">
        <v>0</v>
      </c>
      <c r="R1690" s="2" t="inlineStr"/>
    </row>
    <row r="1691" ht="15" customHeight="1">
      <c r="A1691" t="inlineStr">
        <is>
          <t>A 35162-2024</t>
        </is>
      </c>
      <c r="B1691" s="1" t="n">
        <v>45530</v>
      </c>
      <c r="C1691" s="1" t="n">
        <v>45851</v>
      </c>
      <c r="D1691" t="inlineStr">
        <is>
          <t>KALMAR LÄN</t>
        </is>
      </c>
      <c r="E1691" t="inlineStr">
        <is>
          <t>VÄSTERVIK</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35163-2024</t>
        </is>
      </c>
      <c r="B1692" s="1" t="n">
        <v>45530</v>
      </c>
      <c r="C1692" s="1" t="n">
        <v>45851</v>
      </c>
      <c r="D1692" t="inlineStr">
        <is>
          <t>KALMAR LÄN</t>
        </is>
      </c>
      <c r="E1692" t="inlineStr">
        <is>
          <t>VÄSTERVIK</t>
        </is>
      </c>
      <c r="F1692" t="inlineStr">
        <is>
          <t>Sveaskog</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35137-2024</t>
        </is>
      </c>
      <c r="B1693" s="1" t="n">
        <v>45530</v>
      </c>
      <c r="C1693" s="1" t="n">
        <v>45851</v>
      </c>
      <c r="D1693" t="inlineStr">
        <is>
          <t>KALMAR LÄN</t>
        </is>
      </c>
      <c r="E1693" t="inlineStr">
        <is>
          <t>VÄSTERVIK</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35456-2024</t>
        </is>
      </c>
      <c r="B1694" s="1" t="n">
        <v>45531</v>
      </c>
      <c r="C1694" s="1" t="n">
        <v>45851</v>
      </c>
      <c r="D1694" t="inlineStr">
        <is>
          <t>KALMAR LÄN</t>
        </is>
      </c>
      <c r="E1694" t="inlineStr">
        <is>
          <t>VÄSTERVIK</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35951-2024</t>
        </is>
      </c>
      <c r="B1695" s="1" t="n">
        <v>45533</v>
      </c>
      <c r="C1695" s="1" t="n">
        <v>45851</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36050-2024</t>
        </is>
      </c>
      <c r="B1696" s="1" t="n">
        <v>45533</v>
      </c>
      <c r="C1696" s="1" t="n">
        <v>45851</v>
      </c>
      <c r="D1696" t="inlineStr">
        <is>
          <t>KALMAR LÄN</t>
        </is>
      </c>
      <c r="E1696" t="inlineStr">
        <is>
          <t>VÄSTERVIK</t>
        </is>
      </c>
      <c r="F1696" t="inlineStr">
        <is>
          <t>Holmen skog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35983-2024</t>
        </is>
      </c>
      <c r="B1697" s="1" t="n">
        <v>45533</v>
      </c>
      <c r="C1697" s="1" t="n">
        <v>45851</v>
      </c>
      <c r="D1697" t="inlineStr">
        <is>
          <t>KALMAR LÄN</t>
        </is>
      </c>
      <c r="E1697" t="inlineStr">
        <is>
          <t>VÄSTERVIK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36259-2024</t>
        </is>
      </c>
      <c r="B1698" s="1" t="n">
        <v>45534</v>
      </c>
      <c r="C1698" s="1" t="n">
        <v>45851</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36400-2024</t>
        </is>
      </c>
      <c r="B1699" s="1" t="n">
        <v>45535</v>
      </c>
      <c r="C1699" s="1" t="n">
        <v>45851</v>
      </c>
      <c r="D1699" t="inlineStr">
        <is>
          <t>KALMAR LÄN</t>
        </is>
      </c>
      <c r="E1699" t="inlineStr">
        <is>
          <t>VÄSTERVIK</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36555-2024</t>
        </is>
      </c>
      <c r="B1700" s="1" t="n">
        <v>45537</v>
      </c>
      <c r="C1700" s="1" t="n">
        <v>45851</v>
      </c>
      <c r="D1700" t="inlineStr">
        <is>
          <t>KALMAR LÄN</t>
        </is>
      </c>
      <c r="E1700" t="inlineStr">
        <is>
          <t>VÄSTERVIK</t>
        </is>
      </c>
      <c r="F1700" t="inlineStr">
        <is>
          <t>Kommuner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36725-2024</t>
        </is>
      </c>
      <c r="B1701" s="1" t="n">
        <v>45537</v>
      </c>
      <c r="C1701" s="1" t="n">
        <v>45851</v>
      </c>
      <c r="D1701" t="inlineStr">
        <is>
          <t>KALMAR LÄN</t>
        </is>
      </c>
      <c r="E1701" t="inlineStr">
        <is>
          <t>VÄSTERVIK</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36853-2024</t>
        </is>
      </c>
      <c r="B1702" s="1" t="n">
        <v>45538</v>
      </c>
      <c r="C1702" s="1" t="n">
        <v>45851</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36878-2024</t>
        </is>
      </c>
      <c r="B1703" s="1" t="n">
        <v>45538</v>
      </c>
      <c r="C1703" s="1" t="n">
        <v>45851</v>
      </c>
      <c r="D1703" t="inlineStr">
        <is>
          <t>KALMAR LÄN</t>
        </is>
      </c>
      <c r="E1703" t="inlineStr">
        <is>
          <t>VÄSTERVIK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36881-2024</t>
        </is>
      </c>
      <c r="B1704" s="1" t="n">
        <v>45538</v>
      </c>
      <c r="C1704" s="1" t="n">
        <v>45851</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36889-2024</t>
        </is>
      </c>
      <c r="B1705" s="1" t="n">
        <v>45538</v>
      </c>
      <c r="C1705" s="1" t="n">
        <v>45851</v>
      </c>
      <c r="D1705" t="inlineStr">
        <is>
          <t>KALMAR LÄN</t>
        </is>
      </c>
      <c r="E1705" t="inlineStr">
        <is>
          <t>VÄSTERVIK</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36888-2024</t>
        </is>
      </c>
      <c r="B1706" s="1" t="n">
        <v>45538</v>
      </c>
      <c r="C1706" s="1" t="n">
        <v>45851</v>
      </c>
      <c r="D1706" t="inlineStr">
        <is>
          <t>KALMAR LÄN</t>
        </is>
      </c>
      <c r="E1706" t="inlineStr">
        <is>
          <t>VÄSTERVIK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36906-2024</t>
        </is>
      </c>
      <c r="B1707" s="1" t="n">
        <v>45538</v>
      </c>
      <c r="C1707" s="1" t="n">
        <v>45851</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37117-2024</t>
        </is>
      </c>
      <c r="B1708" s="1" t="n">
        <v>45539</v>
      </c>
      <c r="C1708" s="1" t="n">
        <v>45851</v>
      </c>
      <c r="D1708" t="inlineStr">
        <is>
          <t>KALMAR LÄN</t>
        </is>
      </c>
      <c r="E1708" t="inlineStr">
        <is>
          <t>VÄSTERVIK</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37326-2024</t>
        </is>
      </c>
      <c r="B1709" s="1" t="n">
        <v>45540</v>
      </c>
      <c r="C1709" s="1" t="n">
        <v>45851</v>
      </c>
      <c r="D1709" t="inlineStr">
        <is>
          <t>KALMAR LÄN</t>
        </is>
      </c>
      <c r="E1709" t="inlineStr">
        <is>
          <t>VÄSTERVIK</t>
        </is>
      </c>
      <c r="F1709" t="inlineStr">
        <is>
          <t>Holmen skog AB</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38061-2024</t>
        </is>
      </c>
      <c r="B1710" s="1" t="n">
        <v>45544</v>
      </c>
      <c r="C1710" s="1" t="n">
        <v>45851</v>
      </c>
      <c r="D1710" t="inlineStr">
        <is>
          <t>KALMAR LÄN</t>
        </is>
      </c>
      <c r="E1710" t="inlineStr">
        <is>
          <t>VÄSTERVIK</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38545-2024</t>
        </is>
      </c>
      <c r="B1711" s="1" t="n">
        <v>45546</v>
      </c>
      <c r="C1711" s="1" t="n">
        <v>45851</v>
      </c>
      <c r="D1711" t="inlineStr">
        <is>
          <t>KALMAR LÄN</t>
        </is>
      </c>
      <c r="E1711" t="inlineStr">
        <is>
          <t>VÄSTERVIK</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39193-2024</t>
        </is>
      </c>
      <c r="B1712" s="1" t="n">
        <v>45548</v>
      </c>
      <c r="C1712" s="1" t="n">
        <v>45851</v>
      </c>
      <c r="D1712" t="inlineStr">
        <is>
          <t>KALMAR LÄN</t>
        </is>
      </c>
      <c r="E1712" t="inlineStr">
        <is>
          <t>VÄSTERVIK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39257-2024</t>
        </is>
      </c>
      <c r="B1713" s="1" t="n">
        <v>45551</v>
      </c>
      <c r="C1713" s="1" t="n">
        <v>45851</v>
      </c>
      <c r="D1713" t="inlineStr">
        <is>
          <t>KALMAR LÄN</t>
        </is>
      </c>
      <c r="E1713" t="inlineStr">
        <is>
          <t>VÄSTERVIK</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39278-2024</t>
        </is>
      </c>
      <c r="B1714" s="1" t="n">
        <v>45551</v>
      </c>
      <c r="C1714" s="1" t="n">
        <v>45851</v>
      </c>
      <c r="D1714" t="inlineStr">
        <is>
          <t>KALMAR LÄN</t>
        </is>
      </c>
      <c r="E1714" t="inlineStr">
        <is>
          <t>VÄSTERVIK</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39287-2024</t>
        </is>
      </c>
      <c r="B1715" s="1" t="n">
        <v>45551</v>
      </c>
      <c r="C1715" s="1" t="n">
        <v>45851</v>
      </c>
      <c r="D1715" t="inlineStr">
        <is>
          <t>KALMAR LÄN</t>
        </is>
      </c>
      <c r="E1715" t="inlineStr">
        <is>
          <t>VÄSTERVIK</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39309-2024</t>
        </is>
      </c>
      <c r="B1716" s="1" t="n">
        <v>45551</v>
      </c>
      <c r="C1716" s="1" t="n">
        <v>45851</v>
      </c>
      <c r="D1716" t="inlineStr">
        <is>
          <t>KALMAR LÄN</t>
        </is>
      </c>
      <c r="E1716" t="inlineStr">
        <is>
          <t>VÄSTERVIK</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39259-2024</t>
        </is>
      </c>
      <c r="B1717" s="1" t="n">
        <v>45551</v>
      </c>
      <c r="C1717" s="1" t="n">
        <v>45851</v>
      </c>
      <c r="D1717" t="inlineStr">
        <is>
          <t>KALMAR LÄN</t>
        </is>
      </c>
      <c r="E1717" t="inlineStr">
        <is>
          <t>VÄSTERVIK</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39982-2024</t>
        </is>
      </c>
      <c r="B1718" s="1" t="n">
        <v>45553</v>
      </c>
      <c r="C1718" s="1" t="n">
        <v>45851</v>
      </c>
      <c r="D1718" t="inlineStr">
        <is>
          <t>KALMAR LÄN</t>
        </is>
      </c>
      <c r="E1718" t="inlineStr">
        <is>
          <t>VÄSTERVIK</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39983-2024</t>
        </is>
      </c>
      <c r="B1719" s="1" t="n">
        <v>45553</v>
      </c>
      <c r="C1719" s="1" t="n">
        <v>45851</v>
      </c>
      <c r="D1719" t="inlineStr">
        <is>
          <t>KALMAR LÄN</t>
        </is>
      </c>
      <c r="E1719" t="inlineStr">
        <is>
          <t>VÄSTERVIK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39980-2024</t>
        </is>
      </c>
      <c r="B1720" s="1" t="n">
        <v>45553</v>
      </c>
      <c r="C1720" s="1" t="n">
        <v>45851</v>
      </c>
      <c r="D1720" t="inlineStr">
        <is>
          <t>KALMAR LÄN</t>
        </is>
      </c>
      <c r="E1720" t="inlineStr">
        <is>
          <t>VÄSTERVIK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40320-2024</t>
        </is>
      </c>
      <c r="B1721" s="1" t="n">
        <v>45554</v>
      </c>
      <c r="C1721" s="1" t="n">
        <v>45851</v>
      </c>
      <c r="D1721" t="inlineStr">
        <is>
          <t>KALMAR LÄN</t>
        </is>
      </c>
      <c r="E1721" t="inlineStr">
        <is>
          <t>VÄSTERVIK</t>
        </is>
      </c>
      <c r="F1721" t="inlineStr">
        <is>
          <t>Sveaskog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40648-2024</t>
        </is>
      </c>
      <c r="B1722" s="1" t="n">
        <v>45558</v>
      </c>
      <c r="C1722" s="1" t="n">
        <v>45851</v>
      </c>
      <c r="D1722" t="inlineStr">
        <is>
          <t>KALMAR LÄN</t>
        </is>
      </c>
      <c r="E1722" t="inlineStr">
        <is>
          <t>VÄSTERVIK</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40645-2024</t>
        </is>
      </c>
      <c r="B1723" s="1" t="n">
        <v>45558</v>
      </c>
      <c r="C1723" s="1" t="n">
        <v>45851</v>
      </c>
      <c r="D1723" t="inlineStr">
        <is>
          <t>KALMAR LÄN</t>
        </is>
      </c>
      <c r="E1723" t="inlineStr">
        <is>
          <t>VÄSTERVIK</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40770-2024</t>
        </is>
      </c>
      <c r="B1724" s="1" t="n">
        <v>45558</v>
      </c>
      <c r="C1724" s="1" t="n">
        <v>45851</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41248-2024</t>
        </is>
      </c>
      <c r="B1725" s="1" t="n">
        <v>45559</v>
      </c>
      <c r="C1725" s="1" t="n">
        <v>45851</v>
      </c>
      <c r="D1725" t="inlineStr">
        <is>
          <t>KALMAR LÄN</t>
        </is>
      </c>
      <c r="E1725" t="inlineStr">
        <is>
          <t>VÄSTERVIK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41237-2024</t>
        </is>
      </c>
      <c r="B1726" s="1" t="n">
        <v>45559</v>
      </c>
      <c r="C1726" s="1" t="n">
        <v>45851</v>
      </c>
      <c r="D1726" t="inlineStr">
        <is>
          <t>KALMAR LÄN</t>
        </is>
      </c>
      <c r="E1726" t="inlineStr">
        <is>
          <t>VÄSTERVIK</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41926-2024</t>
        </is>
      </c>
      <c r="B1727" s="1" t="n">
        <v>45561</v>
      </c>
      <c r="C1727" s="1" t="n">
        <v>45851</v>
      </c>
      <c r="D1727" t="inlineStr">
        <is>
          <t>KALMAR LÄN</t>
        </is>
      </c>
      <c r="E1727" t="inlineStr">
        <is>
          <t>VÄSTERVIK</t>
        </is>
      </c>
      <c r="F1727" t="inlineStr">
        <is>
          <t>Kyrkan</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42218-2024</t>
        </is>
      </c>
      <c r="B1728" s="1" t="n">
        <v>45562</v>
      </c>
      <c r="C1728" s="1" t="n">
        <v>45851</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42816-2024</t>
        </is>
      </c>
      <c r="B1729" s="1" t="n">
        <v>45566</v>
      </c>
      <c r="C1729" s="1" t="n">
        <v>45851</v>
      </c>
      <c r="D1729" t="inlineStr">
        <is>
          <t>KALMAR LÄN</t>
        </is>
      </c>
      <c r="E1729" t="inlineStr">
        <is>
          <t>VÄSTERVIK</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42746-2024</t>
        </is>
      </c>
      <c r="B1730" s="1" t="n">
        <v>45566</v>
      </c>
      <c r="C1730" s="1" t="n">
        <v>45851</v>
      </c>
      <c r="D1730" t="inlineStr">
        <is>
          <t>KALMAR LÄN</t>
        </is>
      </c>
      <c r="E1730" t="inlineStr">
        <is>
          <t>VÄSTERVIK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42742-2024</t>
        </is>
      </c>
      <c r="B1731" s="1" t="n">
        <v>45566</v>
      </c>
      <c r="C1731" s="1" t="n">
        <v>45851</v>
      </c>
      <c r="D1731" t="inlineStr">
        <is>
          <t>KALMAR LÄN</t>
        </is>
      </c>
      <c r="E1731" t="inlineStr">
        <is>
          <t>VÄSTERVIK</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43199-2024</t>
        </is>
      </c>
      <c r="B1732" s="1" t="n">
        <v>45567</v>
      </c>
      <c r="C1732" s="1" t="n">
        <v>45851</v>
      </c>
      <c r="D1732" t="inlineStr">
        <is>
          <t>KALMAR LÄN</t>
        </is>
      </c>
      <c r="E1732" t="inlineStr">
        <is>
          <t>VÄSTERVIK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43208-2024</t>
        </is>
      </c>
      <c r="B1733" s="1" t="n">
        <v>45567</v>
      </c>
      <c r="C1733" s="1" t="n">
        <v>45851</v>
      </c>
      <c r="D1733" t="inlineStr">
        <is>
          <t>KALMAR LÄN</t>
        </is>
      </c>
      <c r="E1733" t="inlineStr">
        <is>
          <t>VÄSTERVIK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43274-2024</t>
        </is>
      </c>
      <c r="B1734" s="1" t="n">
        <v>45568</v>
      </c>
      <c r="C1734" s="1" t="n">
        <v>45851</v>
      </c>
      <c r="D1734" t="inlineStr">
        <is>
          <t>KALMAR LÄN</t>
        </is>
      </c>
      <c r="E1734" t="inlineStr">
        <is>
          <t>VÄSTERVIK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44198-2024</t>
        </is>
      </c>
      <c r="B1735" s="1" t="n">
        <v>45573</v>
      </c>
      <c r="C1735" s="1" t="n">
        <v>45851</v>
      </c>
      <c r="D1735" t="inlineStr">
        <is>
          <t>KALMAR LÄN</t>
        </is>
      </c>
      <c r="E1735" t="inlineStr">
        <is>
          <t>VÄSTERVIK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44203-2024</t>
        </is>
      </c>
      <c r="B1736" s="1" t="n">
        <v>45573</v>
      </c>
      <c r="C1736" s="1" t="n">
        <v>45851</v>
      </c>
      <c r="D1736" t="inlineStr">
        <is>
          <t>KALMAR LÄN</t>
        </is>
      </c>
      <c r="E1736" t="inlineStr">
        <is>
          <t>VÄSTERVIK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44223-2024</t>
        </is>
      </c>
      <c r="B1737" s="1" t="n">
        <v>45573</v>
      </c>
      <c r="C1737" s="1" t="n">
        <v>45851</v>
      </c>
      <c r="D1737" t="inlineStr">
        <is>
          <t>KALMAR LÄN</t>
        </is>
      </c>
      <c r="E1737" t="inlineStr">
        <is>
          <t>VÄSTERVIK</t>
        </is>
      </c>
      <c r="F1737" t="inlineStr">
        <is>
          <t>Holmen skog AB</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45465-2024</t>
        </is>
      </c>
      <c r="B1738" s="1" t="n">
        <v>45576</v>
      </c>
      <c r="C1738" s="1" t="n">
        <v>45851</v>
      </c>
      <c r="D1738" t="inlineStr">
        <is>
          <t>KALMAR LÄN</t>
        </is>
      </c>
      <c r="E1738" t="inlineStr">
        <is>
          <t>VÄSTERVIK</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45463-2024</t>
        </is>
      </c>
      <c r="B1739" s="1" t="n">
        <v>45576</v>
      </c>
      <c r="C1739" s="1" t="n">
        <v>45851</v>
      </c>
      <c r="D1739" t="inlineStr">
        <is>
          <t>KALMAR LÄN</t>
        </is>
      </c>
      <c r="E1739" t="inlineStr">
        <is>
          <t>VÄSTERVIK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45656-2024</t>
        </is>
      </c>
      <c r="B1740" s="1" t="n">
        <v>45579</v>
      </c>
      <c r="C1740" s="1" t="n">
        <v>45851</v>
      </c>
      <c r="D1740" t="inlineStr">
        <is>
          <t>KALMAR LÄN</t>
        </is>
      </c>
      <c r="E1740" t="inlineStr">
        <is>
          <t>VÄSTERVIK</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45652-2024</t>
        </is>
      </c>
      <c r="B1741" s="1" t="n">
        <v>45579</v>
      </c>
      <c r="C1741" s="1" t="n">
        <v>45851</v>
      </c>
      <c r="D1741" t="inlineStr">
        <is>
          <t>KALMAR LÄN</t>
        </is>
      </c>
      <c r="E1741" t="inlineStr">
        <is>
          <t>VÄSTERVIK</t>
        </is>
      </c>
      <c r="F1741" t="inlineStr">
        <is>
          <t>Kyrkan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45678-2024</t>
        </is>
      </c>
      <c r="B1742" s="1" t="n">
        <v>45579</v>
      </c>
      <c r="C1742" s="1" t="n">
        <v>45851</v>
      </c>
      <c r="D1742" t="inlineStr">
        <is>
          <t>KALMAR LÄN</t>
        </is>
      </c>
      <c r="E1742" t="inlineStr">
        <is>
          <t>VÄSTERVIK</t>
        </is>
      </c>
      <c r="F1742" t="inlineStr">
        <is>
          <t>Kyrkan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46967-2024</t>
        </is>
      </c>
      <c r="B1743" s="1" t="n">
        <v>45586</v>
      </c>
      <c r="C1743" s="1" t="n">
        <v>45851</v>
      </c>
      <c r="D1743" t="inlineStr">
        <is>
          <t>KALMAR LÄN</t>
        </is>
      </c>
      <c r="E1743" t="inlineStr">
        <is>
          <t>VÄSTERVIK</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47053-2024</t>
        </is>
      </c>
      <c r="B1744" s="1" t="n">
        <v>45586</v>
      </c>
      <c r="C1744" s="1" t="n">
        <v>45851</v>
      </c>
      <c r="D1744" t="inlineStr">
        <is>
          <t>KALMAR LÄN</t>
        </is>
      </c>
      <c r="E1744" t="inlineStr">
        <is>
          <t>VÄSTERVIK</t>
        </is>
      </c>
      <c r="F1744" t="inlineStr">
        <is>
          <t>Holmen skog AB</t>
        </is>
      </c>
      <c r="G1744" t="n">
        <v>13.7</v>
      </c>
      <c r="H1744" t="n">
        <v>0</v>
      </c>
      <c r="I1744" t="n">
        <v>0</v>
      </c>
      <c r="J1744" t="n">
        <v>0</v>
      </c>
      <c r="K1744" t="n">
        <v>0</v>
      </c>
      <c r="L1744" t="n">
        <v>0</v>
      </c>
      <c r="M1744" t="n">
        <v>0</v>
      </c>
      <c r="N1744" t="n">
        <v>0</v>
      </c>
      <c r="O1744" t="n">
        <v>0</v>
      </c>
      <c r="P1744" t="n">
        <v>0</v>
      </c>
      <c r="Q1744" t="n">
        <v>0</v>
      </c>
      <c r="R1744" s="2" t="inlineStr"/>
    </row>
    <row r="1745" ht="15" customHeight="1">
      <c r="A1745" t="inlineStr">
        <is>
          <t>A 48035-2024</t>
        </is>
      </c>
      <c r="B1745" s="1" t="n">
        <v>45589</v>
      </c>
      <c r="C1745" s="1" t="n">
        <v>45851</v>
      </c>
      <c r="D1745" t="inlineStr">
        <is>
          <t>KALMAR LÄN</t>
        </is>
      </c>
      <c r="E1745" t="inlineStr">
        <is>
          <t>VÄSTERVIK</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48446-2024</t>
        </is>
      </c>
      <c r="B1746" s="1" t="n">
        <v>45590</v>
      </c>
      <c r="C1746" s="1" t="n">
        <v>45851</v>
      </c>
      <c r="D1746" t="inlineStr">
        <is>
          <t>KALMAR LÄN</t>
        </is>
      </c>
      <c r="E1746" t="inlineStr">
        <is>
          <t>VÄSTERVIK</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48445-2024</t>
        </is>
      </c>
      <c r="B1747" s="1" t="n">
        <v>45590</v>
      </c>
      <c r="C1747" s="1" t="n">
        <v>45851</v>
      </c>
      <c r="D1747" t="inlineStr">
        <is>
          <t>KALMAR LÄN</t>
        </is>
      </c>
      <c r="E1747" t="inlineStr">
        <is>
          <t>VÄSTERVIK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48735-2024</t>
        </is>
      </c>
      <c r="B1748" s="1" t="n">
        <v>45593</v>
      </c>
      <c r="C1748" s="1" t="n">
        <v>45851</v>
      </c>
      <c r="D1748" t="inlineStr">
        <is>
          <t>KALMAR LÄN</t>
        </is>
      </c>
      <c r="E1748" t="inlineStr">
        <is>
          <t>VÄSTERVIK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49378-2024</t>
        </is>
      </c>
      <c r="B1749" s="1" t="n">
        <v>45595</v>
      </c>
      <c r="C1749" s="1" t="n">
        <v>45851</v>
      </c>
      <c r="D1749" t="inlineStr">
        <is>
          <t>KALMAR LÄN</t>
        </is>
      </c>
      <c r="E1749" t="inlineStr">
        <is>
          <t>VÄSTERVIK</t>
        </is>
      </c>
      <c r="G1749" t="n">
        <v>4.1</v>
      </c>
      <c r="H1749" t="n">
        <v>0</v>
      </c>
      <c r="I1749" t="n">
        <v>0</v>
      </c>
      <c r="J1749" t="n">
        <v>0</v>
      </c>
      <c r="K1749" t="n">
        <v>0</v>
      </c>
      <c r="L1749" t="n">
        <v>0</v>
      </c>
      <c r="M1749" t="n">
        <v>0</v>
      </c>
      <c r="N1749" t="n">
        <v>0</v>
      </c>
      <c r="O1749" t="n">
        <v>0</v>
      </c>
      <c r="P1749" t="n">
        <v>0</v>
      </c>
      <c r="Q1749" t="n">
        <v>0</v>
      </c>
      <c r="R1749" s="2" t="inlineStr"/>
      <c r="U1749">
        <f>HYPERLINK("https://klasma.github.io/Logging_0883/knärot/A 49378-2024 karta knärot.png", "A 49378-2024")</f>
        <v/>
      </c>
      <c r="V1749">
        <f>HYPERLINK("https://klasma.github.io/Logging_0883/klagomål/A 49378-2024 FSC-klagomål.docx", "A 49378-2024")</f>
        <v/>
      </c>
      <c r="W1749">
        <f>HYPERLINK("https://klasma.github.io/Logging_0883/klagomålsmail/A 49378-2024 FSC-klagomål mail.docx", "A 49378-2024")</f>
        <v/>
      </c>
      <c r="X1749">
        <f>HYPERLINK("https://klasma.github.io/Logging_0883/tillsyn/A 49378-2024 tillsynsbegäran.docx", "A 49378-2024")</f>
        <v/>
      </c>
      <c r="Y1749">
        <f>HYPERLINK("https://klasma.github.io/Logging_0883/tillsynsmail/A 49378-2024 tillsynsbegäran mail.docx", "A 49378-2024")</f>
        <v/>
      </c>
    </row>
    <row r="1750" ht="15" customHeight="1">
      <c r="A1750" t="inlineStr">
        <is>
          <t>A 49700-2024</t>
        </is>
      </c>
      <c r="B1750" s="1" t="n">
        <v>45596</v>
      </c>
      <c r="C1750" s="1" t="n">
        <v>45851</v>
      </c>
      <c r="D1750" t="inlineStr">
        <is>
          <t>KALMAR LÄN</t>
        </is>
      </c>
      <c r="E1750" t="inlineStr">
        <is>
          <t>VÄSTERVIK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49708-2024</t>
        </is>
      </c>
      <c r="B1751" s="1" t="n">
        <v>45596</v>
      </c>
      <c r="C1751" s="1" t="n">
        <v>45851</v>
      </c>
      <c r="D1751" t="inlineStr">
        <is>
          <t>KALMAR LÄN</t>
        </is>
      </c>
      <c r="E1751" t="inlineStr">
        <is>
          <t>VÄSTERVIK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49706-2024</t>
        </is>
      </c>
      <c r="B1752" s="1" t="n">
        <v>45596</v>
      </c>
      <c r="C1752" s="1" t="n">
        <v>45851</v>
      </c>
      <c r="D1752" t="inlineStr">
        <is>
          <t>KALMAR LÄN</t>
        </is>
      </c>
      <c r="E1752" t="inlineStr">
        <is>
          <t>VÄSTERVIK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49703-2024</t>
        </is>
      </c>
      <c r="B1753" s="1" t="n">
        <v>45596</v>
      </c>
      <c r="C1753" s="1" t="n">
        <v>45851</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50452-2024</t>
        </is>
      </c>
      <c r="B1754" s="1" t="n">
        <v>45601</v>
      </c>
      <c r="C1754" s="1" t="n">
        <v>45851</v>
      </c>
      <c r="D1754" t="inlineStr">
        <is>
          <t>KALMAR LÄN</t>
        </is>
      </c>
      <c r="E1754" t="inlineStr">
        <is>
          <t>VÄSTERVIK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50495-2024</t>
        </is>
      </c>
      <c r="B1755" s="1" t="n">
        <v>45601</v>
      </c>
      <c r="C1755" s="1" t="n">
        <v>45851</v>
      </c>
      <c r="D1755" t="inlineStr">
        <is>
          <t>KALMAR LÄN</t>
        </is>
      </c>
      <c r="E1755" t="inlineStr">
        <is>
          <t>VÄSTERVIK</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50454-2024</t>
        </is>
      </c>
      <c r="B1756" s="1" t="n">
        <v>45601</v>
      </c>
      <c r="C1756" s="1" t="n">
        <v>45851</v>
      </c>
      <c r="D1756" t="inlineStr">
        <is>
          <t>KALMAR LÄN</t>
        </is>
      </c>
      <c r="E1756" t="inlineStr">
        <is>
          <t>VÄSTERVIK</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51510-2024</t>
        </is>
      </c>
      <c r="B1757" s="1" t="n">
        <v>45604</v>
      </c>
      <c r="C1757" s="1" t="n">
        <v>45851</v>
      </c>
      <c r="D1757" t="inlineStr">
        <is>
          <t>KALMAR LÄN</t>
        </is>
      </c>
      <c r="E1757" t="inlineStr">
        <is>
          <t>VÄSTERVIK</t>
        </is>
      </c>
      <c r="F1757" t="inlineStr">
        <is>
          <t>Övriga Aktiebolag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51496-2024</t>
        </is>
      </c>
      <c r="B1758" s="1" t="n">
        <v>45604</v>
      </c>
      <c r="C1758" s="1" t="n">
        <v>45851</v>
      </c>
      <c r="D1758" t="inlineStr">
        <is>
          <t>KALMAR LÄN</t>
        </is>
      </c>
      <c r="E1758" t="inlineStr">
        <is>
          <t>VÄSTERVIK</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52811-2024</t>
        </is>
      </c>
      <c r="B1759" s="1" t="n">
        <v>45610</v>
      </c>
      <c r="C1759" s="1" t="n">
        <v>45851</v>
      </c>
      <c r="D1759" t="inlineStr">
        <is>
          <t>KALMAR LÄN</t>
        </is>
      </c>
      <c r="E1759" t="inlineStr">
        <is>
          <t>VÄSTERVIK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52734-2024</t>
        </is>
      </c>
      <c r="B1760" s="1" t="n">
        <v>45610</v>
      </c>
      <c r="C1760" s="1" t="n">
        <v>45851</v>
      </c>
      <c r="D1760" t="inlineStr">
        <is>
          <t>KALMAR LÄN</t>
        </is>
      </c>
      <c r="E1760" t="inlineStr">
        <is>
          <t>VÄSTERVIK</t>
        </is>
      </c>
      <c r="F1760" t="inlineStr">
        <is>
          <t>Holmen skog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52774-2024</t>
        </is>
      </c>
      <c r="B1761" s="1" t="n">
        <v>45610</v>
      </c>
      <c r="C1761" s="1" t="n">
        <v>45851</v>
      </c>
      <c r="D1761" t="inlineStr">
        <is>
          <t>KALMAR LÄN</t>
        </is>
      </c>
      <c r="E1761" t="inlineStr">
        <is>
          <t>VÄSTERVIK</t>
        </is>
      </c>
      <c r="F1761" t="inlineStr">
        <is>
          <t>Holmen skog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52818-2024</t>
        </is>
      </c>
      <c r="B1762" s="1" t="n">
        <v>45610</v>
      </c>
      <c r="C1762" s="1" t="n">
        <v>45851</v>
      </c>
      <c r="D1762" t="inlineStr">
        <is>
          <t>KALMAR LÄN</t>
        </is>
      </c>
      <c r="E1762" t="inlineStr">
        <is>
          <t>VÄSTERVIK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53077-2024</t>
        </is>
      </c>
      <c r="B1763" s="1" t="n">
        <v>45611</v>
      </c>
      <c r="C1763" s="1" t="n">
        <v>45851</v>
      </c>
      <c r="D1763" t="inlineStr">
        <is>
          <t>KALMAR LÄN</t>
        </is>
      </c>
      <c r="E1763" t="inlineStr">
        <is>
          <t>VÄSTERVIK</t>
        </is>
      </c>
      <c r="F1763" t="inlineStr">
        <is>
          <t>Holmen skog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54342-2024</t>
        </is>
      </c>
      <c r="B1764" s="1" t="n">
        <v>45617</v>
      </c>
      <c r="C1764" s="1" t="n">
        <v>45851</v>
      </c>
      <c r="D1764" t="inlineStr">
        <is>
          <t>KALMAR LÄN</t>
        </is>
      </c>
      <c r="E1764" t="inlineStr">
        <is>
          <t>VÄSTERVIK</t>
        </is>
      </c>
      <c r="F1764" t="inlineStr">
        <is>
          <t>Kyrkan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54631-2024</t>
        </is>
      </c>
      <c r="B1765" s="1" t="n">
        <v>45617</v>
      </c>
      <c r="C1765" s="1" t="n">
        <v>45851</v>
      </c>
      <c r="D1765" t="inlineStr">
        <is>
          <t>KALMAR LÄN</t>
        </is>
      </c>
      <c r="E1765" t="inlineStr">
        <is>
          <t>VÄSTERVIK</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54630-2024</t>
        </is>
      </c>
      <c r="B1766" s="1" t="n">
        <v>45617</v>
      </c>
      <c r="C1766" s="1" t="n">
        <v>45851</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54638-2024</t>
        </is>
      </c>
      <c r="B1767" s="1" t="n">
        <v>45617</v>
      </c>
      <c r="C1767" s="1" t="n">
        <v>45851</v>
      </c>
      <c r="D1767" t="inlineStr">
        <is>
          <t>KALMAR LÄN</t>
        </is>
      </c>
      <c r="E1767" t="inlineStr">
        <is>
          <t>VÄSTERVIK</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54632-2024</t>
        </is>
      </c>
      <c r="B1768" s="1" t="n">
        <v>45617</v>
      </c>
      <c r="C1768" s="1" t="n">
        <v>45851</v>
      </c>
      <c r="D1768" t="inlineStr">
        <is>
          <t>KALMAR LÄN</t>
        </is>
      </c>
      <c r="E1768" t="inlineStr">
        <is>
          <t>VÄSTERVIK</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54629-2024</t>
        </is>
      </c>
      <c r="B1769" s="1" t="n">
        <v>45617</v>
      </c>
      <c r="C1769" s="1" t="n">
        <v>45851</v>
      </c>
      <c r="D1769" t="inlineStr">
        <is>
          <t>KALMAR LÄN</t>
        </is>
      </c>
      <c r="E1769" t="inlineStr">
        <is>
          <t>VÄSTERVIK</t>
        </is>
      </c>
      <c r="F1769" t="inlineStr">
        <is>
          <t>Sveaskog</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54637-2024</t>
        </is>
      </c>
      <c r="B1770" s="1" t="n">
        <v>45617</v>
      </c>
      <c r="C1770" s="1" t="n">
        <v>45851</v>
      </c>
      <c r="D1770" t="inlineStr">
        <is>
          <t>KALMAR LÄN</t>
        </is>
      </c>
      <c r="E1770" t="inlineStr">
        <is>
          <t>VÄSTERVIK</t>
        </is>
      </c>
      <c r="F1770" t="inlineStr">
        <is>
          <t>Sveaskog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55023-2024</t>
        </is>
      </c>
      <c r="B1771" s="1" t="n">
        <v>45621</v>
      </c>
      <c r="C1771" s="1" t="n">
        <v>45851</v>
      </c>
      <c r="D1771" t="inlineStr">
        <is>
          <t>KALMAR LÄN</t>
        </is>
      </c>
      <c r="E1771" t="inlineStr">
        <is>
          <t>VÄSTERVIK</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55047-2024</t>
        </is>
      </c>
      <c r="B1772" s="1" t="n">
        <v>45621</v>
      </c>
      <c r="C1772" s="1" t="n">
        <v>45851</v>
      </c>
      <c r="D1772" t="inlineStr">
        <is>
          <t>KALMAR LÄN</t>
        </is>
      </c>
      <c r="E1772" t="inlineStr">
        <is>
          <t>VÄSTERVIK</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55042-2024</t>
        </is>
      </c>
      <c r="B1773" s="1" t="n">
        <v>45621</v>
      </c>
      <c r="C1773" s="1" t="n">
        <v>45851</v>
      </c>
      <c r="D1773" t="inlineStr">
        <is>
          <t>KALMAR LÄN</t>
        </is>
      </c>
      <c r="E1773" t="inlineStr">
        <is>
          <t>VÄSTERVIK</t>
        </is>
      </c>
      <c r="F1773" t="inlineStr">
        <is>
          <t>Sveaskog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55358-2024</t>
        </is>
      </c>
      <c r="B1774" s="1" t="n">
        <v>45621</v>
      </c>
      <c r="C1774" s="1" t="n">
        <v>45851</v>
      </c>
      <c r="D1774" t="inlineStr">
        <is>
          <t>KALMAR LÄN</t>
        </is>
      </c>
      <c r="E1774" t="inlineStr">
        <is>
          <t>VÄSTERVIK</t>
        </is>
      </c>
      <c r="F1774" t="inlineStr">
        <is>
          <t>Sveaskog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55359-2024</t>
        </is>
      </c>
      <c r="B1775" s="1" t="n">
        <v>45621</v>
      </c>
      <c r="C1775" s="1" t="n">
        <v>45851</v>
      </c>
      <c r="D1775" t="inlineStr">
        <is>
          <t>KALMAR LÄN</t>
        </is>
      </c>
      <c r="E1775" t="inlineStr">
        <is>
          <t>VÄSTERVIK</t>
        </is>
      </c>
      <c r="F1775" t="inlineStr">
        <is>
          <t>Sveaskog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55362-2024</t>
        </is>
      </c>
      <c r="B1776" s="1" t="n">
        <v>45621</v>
      </c>
      <c r="C1776" s="1" t="n">
        <v>45851</v>
      </c>
      <c r="D1776" t="inlineStr">
        <is>
          <t>KALMAR LÄN</t>
        </is>
      </c>
      <c r="E1776" t="inlineStr">
        <is>
          <t>VÄSTERVIK</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55032-2024</t>
        </is>
      </c>
      <c r="B1777" s="1" t="n">
        <v>45621</v>
      </c>
      <c r="C1777" s="1" t="n">
        <v>45851</v>
      </c>
      <c r="D1777" t="inlineStr">
        <is>
          <t>KALMAR LÄN</t>
        </is>
      </c>
      <c r="E1777" t="inlineStr">
        <is>
          <t>VÄSTERVIK</t>
        </is>
      </c>
      <c r="F1777" t="inlineStr">
        <is>
          <t>Sveaskog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55053-2024</t>
        </is>
      </c>
      <c r="B1778" s="1" t="n">
        <v>45621</v>
      </c>
      <c r="C1778" s="1" t="n">
        <v>45851</v>
      </c>
      <c r="D1778" t="inlineStr">
        <is>
          <t>KALMAR LÄN</t>
        </is>
      </c>
      <c r="E1778" t="inlineStr">
        <is>
          <t>VÄSTERVIK</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55361-2024</t>
        </is>
      </c>
      <c r="B1779" s="1" t="n">
        <v>45621</v>
      </c>
      <c r="C1779" s="1" t="n">
        <v>45851</v>
      </c>
      <c r="D1779" t="inlineStr">
        <is>
          <t>KALMAR LÄN</t>
        </is>
      </c>
      <c r="E1779" t="inlineStr">
        <is>
          <t>VÄSTERVIK</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55050-2024</t>
        </is>
      </c>
      <c r="B1780" s="1" t="n">
        <v>45621</v>
      </c>
      <c r="C1780" s="1" t="n">
        <v>45851</v>
      </c>
      <c r="D1780" t="inlineStr">
        <is>
          <t>KALMAR LÄN</t>
        </is>
      </c>
      <c r="E1780" t="inlineStr">
        <is>
          <t>VÄSTERVIK</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55037-2024</t>
        </is>
      </c>
      <c r="B1781" s="1" t="n">
        <v>45621</v>
      </c>
      <c r="C1781" s="1" t="n">
        <v>45851</v>
      </c>
      <c r="D1781" t="inlineStr">
        <is>
          <t>KALMAR LÄN</t>
        </is>
      </c>
      <c r="E1781" t="inlineStr">
        <is>
          <t>VÄSTERVIK</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55020-2024</t>
        </is>
      </c>
      <c r="B1782" s="1" t="n">
        <v>45621</v>
      </c>
      <c r="C1782" s="1" t="n">
        <v>45851</v>
      </c>
      <c r="D1782" t="inlineStr">
        <is>
          <t>KALMAR LÄN</t>
        </is>
      </c>
      <c r="E1782" t="inlineStr">
        <is>
          <t>VÄSTERVIK</t>
        </is>
      </c>
      <c r="F1782" t="inlineStr">
        <is>
          <t>Sveaskog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55016-2024</t>
        </is>
      </c>
      <c r="B1783" s="1" t="n">
        <v>45621</v>
      </c>
      <c r="C1783" s="1" t="n">
        <v>45851</v>
      </c>
      <c r="D1783" t="inlineStr">
        <is>
          <t>KALMAR LÄN</t>
        </is>
      </c>
      <c r="E1783" t="inlineStr">
        <is>
          <t>VÄSTERVIK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55609-2024</t>
        </is>
      </c>
      <c r="B1784" s="1" t="n">
        <v>45622</v>
      </c>
      <c r="C1784" s="1" t="n">
        <v>45851</v>
      </c>
      <c r="D1784" t="inlineStr">
        <is>
          <t>KALMAR LÄN</t>
        </is>
      </c>
      <c r="E1784" t="inlineStr">
        <is>
          <t>VÄSTERVIK</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55647-2024</t>
        </is>
      </c>
      <c r="B1785" s="1" t="n">
        <v>45622</v>
      </c>
      <c r="C1785" s="1" t="n">
        <v>45851</v>
      </c>
      <c r="D1785" t="inlineStr">
        <is>
          <t>KALMAR LÄN</t>
        </is>
      </c>
      <c r="E1785" t="inlineStr">
        <is>
          <t>VÄSTERVIK</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55565-2024</t>
        </is>
      </c>
      <c r="B1786" s="1" t="n">
        <v>45622</v>
      </c>
      <c r="C1786" s="1" t="n">
        <v>45851</v>
      </c>
      <c r="D1786" t="inlineStr">
        <is>
          <t>KALMAR LÄN</t>
        </is>
      </c>
      <c r="E1786" t="inlineStr">
        <is>
          <t>VÄSTERVIK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56077-2024</t>
        </is>
      </c>
      <c r="B1787" s="1" t="n">
        <v>45624</v>
      </c>
      <c r="C1787" s="1" t="n">
        <v>45851</v>
      </c>
      <c r="D1787" t="inlineStr">
        <is>
          <t>KALMAR LÄN</t>
        </is>
      </c>
      <c r="E1787" t="inlineStr">
        <is>
          <t>VÄSTERVIK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56374-2024</t>
        </is>
      </c>
      <c r="B1788" s="1" t="n">
        <v>45625</v>
      </c>
      <c r="C1788" s="1" t="n">
        <v>45851</v>
      </c>
      <c r="D1788" t="inlineStr">
        <is>
          <t>KALMAR LÄN</t>
        </is>
      </c>
      <c r="E1788" t="inlineStr">
        <is>
          <t>VÄSTERVIK</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56379-2024</t>
        </is>
      </c>
      <c r="B1789" s="1" t="n">
        <v>45625</v>
      </c>
      <c r="C1789" s="1" t="n">
        <v>45851</v>
      </c>
      <c r="D1789" t="inlineStr">
        <is>
          <t>KALMAR LÄN</t>
        </is>
      </c>
      <c r="E1789" t="inlineStr">
        <is>
          <t>VÄSTERVIK</t>
        </is>
      </c>
      <c r="F1789" t="inlineStr">
        <is>
          <t>Sveaskog</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56371-2024</t>
        </is>
      </c>
      <c r="B1790" s="1" t="n">
        <v>45625</v>
      </c>
      <c r="C1790" s="1" t="n">
        <v>45851</v>
      </c>
      <c r="D1790" t="inlineStr">
        <is>
          <t>KALMAR LÄN</t>
        </is>
      </c>
      <c r="E1790" t="inlineStr">
        <is>
          <t>VÄSTERVIK</t>
        </is>
      </c>
      <c r="F1790" t="inlineStr">
        <is>
          <t>Sveaskog</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56384-2024</t>
        </is>
      </c>
      <c r="B1791" s="1" t="n">
        <v>45625</v>
      </c>
      <c r="C1791" s="1" t="n">
        <v>45851</v>
      </c>
      <c r="D1791" t="inlineStr">
        <is>
          <t>KALMAR LÄN</t>
        </is>
      </c>
      <c r="E1791" t="inlineStr">
        <is>
          <t>VÄSTERVIK</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56377-2024</t>
        </is>
      </c>
      <c r="B1792" s="1" t="n">
        <v>45625</v>
      </c>
      <c r="C1792" s="1" t="n">
        <v>45851</v>
      </c>
      <c r="D1792" t="inlineStr">
        <is>
          <t>KALMAR LÄN</t>
        </is>
      </c>
      <c r="E1792" t="inlineStr">
        <is>
          <t>VÄSTERVIK</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56378-2024</t>
        </is>
      </c>
      <c r="B1793" s="1" t="n">
        <v>45625</v>
      </c>
      <c r="C1793" s="1" t="n">
        <v>45851</v>
      </c>
      <c r="D1793" t="inlineStr">
        <is>
          <t>KALMAR LÄN</t>
        </is>
      </c>
      <c r="E1793" t="inlineStr">
        <is>
          <t>VÄSTERVIK</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56382-2024</t>
        </is>
      </c>
      <c r="B1794" s="1" t="n">
        <v>45625</v>
      </c>
      <c r="C1794" s="1" t="n">
        <v>45851</v>
      </c>
      <c r="D1794" t="inlineStr">
        <is>
          <t>KALMAR LÄN</t>
        </is>
      </c>
      <c r="E1794" t="inlineStr">
        <is>
          <t>VÄSTERVIK</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56440-2024</t>
        </is>
      </c>
      <c r="B1795" s="1" t="n">
        <v>45625</v>
      </c>
      <c r="C1795" s="1" t="n">
        <v>45851</v>
      </c>
      <c r="D1795" t="inlineStr">
        <is>
          <t>KALMAR LÄN</t>
        </is>
      </c>
      <c r="E1795" t="inlineStr">
        <is>
          <t>VÄSTERVIK</t>
        </is>
      </c>
      <c r="F1795" t="inlineStr">
        <is>
          <t>Övriga Aktiebolag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57178-2024</t>
        </is>
      </c>
      <c r="B1796" s="1" t="n">
        <v>45629</v>
      </c>
      <c r="C1796" s="1" t="n">
        <v>45851</v>
      </c>
      <c r="D1796" t="inlineStr">
        <is>
          <t>KALMAR LÄN</t>
        </is>
      </c>
      <c r="E1796" t="inlineStr">
        <is>
          <t>VÄSTERVIK</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57688-2024</t>
        </is>
      </c>
      <c r="B1797" s="1" t="n">
        <v>45630</v>
      </c>
      <c r="C1797" s="1" t="n">
        <v>45851</v>
      </c>
      <c r="D1797" t="inlineStr">
        <is>
          <t>KALMAR LÄN</t>
        </is>
      </c>
      <c r="E1797" t="inlineStr">
        <is>
          <t>VÄSTERVIK</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57793-2024</t>
        </is>
      </c>
      <c r="B1798" s="1" t="n">
        <v>45631</v>
      </c>
      <c r="C1798" s="1" t="n">
        <v>45851</v>
      </c>
      <c r="D1798" t="inlineStr">
        <is>
          <t>KALMAR LÄN</t>
        </is>
      </c>
      <c r="E1798" t="inlineStr">
        <is>
          <t>VÄSTERVIK</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57792-2024</t>
        </is>
      </c>
      <c r="B1799" s="1" t="n">
        <v>45631</v>
      </c>
      <c r="C1799" s="1" t="n">
        <v>45851</v>
      </c>
      <c r="D1799" t="inlineStr">
        <is>
          <t>KALMAR LÄN</t>
        </is>
      </c>
      <c r="E1799" t="inlineStr">
        <is>
          <t>VÄSTERVIK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57802-2024</t>
        </is>
      </c>
      <c r="B1800" s="1" t="n">
        <v>45631</v>
      </c>
      <c r="C1800" s="1" t="n">
        <v>45851</v>
      </c>
      <c r="D1800" t="inlineStr">
        <is>
          <t>KALMAR LÄN</t>
        </is>
      </c>
      <c r="E1800" t="inlineStr">
        <is>
          <t>VÄSTERVIK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57795-2024</t>
        </is>
      </c>
      <c r="B1801" s="1" t="n">
        <v>45631</v>
      </c>
      <c r="C1801" s="1" t="n">
        <v>45851</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57924-2024</t>
        </is>
      </c>
      <c r="B1802" s="1" t="n">
        <v>45631</v>
      </c>
      <c r="C1802" s="1" t="n">
        <v>45851</v>
      </c>
      <c r="D1802" t="inlineStr">
        <is>
          <t>KALMAR LÄN</t>
        </is>
      </c>
      <c r="E1802" t="inlineStr">
        <is>
          <t>VÄSTERVIK</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58429-2024</t>
        </is>
      </c>
      <c r="B1803" s="1" t="n">
        <v>45634</v>
      </c>
      <c r="C1803" s="1" t="n">
        <v>45851</v>
      </c>
      <c r="D1803" t="inlineStr">
        <is>
          <t>KALMAR LÄN</t>
        </is>
      </c>
      <c r="E1803" t="inlineStr">
        <is>
          <t>VÄSTERVIK</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58731-2024</t>
        </is>
      </c>
      <c r="B1804" s="1" t="n">
        <v>45635</v>
      </c>
      <c r="C1804" s="1" t="n">
        <v>45851</v>
      </c>
      <c r="D1804" t="inlineStr">
        <is>
          <t>KALMAR LÄN</t>
        </is>
      </c>
      <c r="E1804" t="inlineStr">
        <is>
          <t>VÄSTERVIK</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58764-2024</t>
        </is>
      </c>
      <c r="B1805" s="1" t="n">
        <v>45635</v>
      </c>
      <c r="C1805" s="1" t="n">
        <v>45851</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59196-2024</t>
        </is>
      </c>
      <c r="B1806" s="1" t="n">
        <v>45637</v>
      </c>
      <c r="C1806" s="1" t="n">
        <v>45851</v>
      </c>
      <c r="D1806" t="inlineStr">
        <is>
          <t>KALMAR LÄN</t>
        </is>
      </c>
      <c r="E1806" t="inlineStr">
        <is>
          <t>VÄSTERVIK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59350-2024</t>
        </is>
      </c>
      <c r="B1807" s="1" t="n">
        <v>45638</v>
      </c>
      <c r="C1807" s="1" t="n">
        <v>45851</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59880-2024</t>
        </is>
      </c>
      <c r="B1808" s="1" t="n">
        <v>45640</v>
      </c>
      <c r="C1808" s="1" t="n">
        <v>45851</v>
      </c>
      <c r="D1808" t="inlineStr">
        <is>
          <t>KALMAR LÄN</t>
        </is>
      </c>
      <c r="E1808" t="inlineStr">
        <is>
          <t>VÄSTERVIK</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60147-2024</t>
        </is>
      </c>
      <c r="B1809" s="1" t="n">
        <v>45642</v>
      </c>
      <c r="C1809" s="1" t="n">
        <v>45851</v>
      </c>
      <c r="D1809" t="inlineStr">
        <is>
          <t>KALMAR LÄN</t>
        </is>
      </c>
      <c r="E1809" t="inlineStr">
        <is>
          <t>VÄSTERVIK</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60140-2024</t>
        </is>
      </c>
      <c r="B1810" s="1" t="n">
        <v>45642</v>
      </c>
      <c r="C1810" s="1" t="n">
        <v>45851</v>
      </c>
      <c r="D1810" t="inlineStr">
        <is>
          <t>KALMAR LÄN</t>
        </is>
      </c>
      <c r="E1810" t="inlineStr">
        <is>
          <t>VÄSTERVIK</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60478-2024</t>
        </is>
      </c>
      <c r="B1811" s="1" t="n">
        <v>45643</v>
      </c>
      <c r="C1811" s="1" t="n">
        <v>45851</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60483-2024</t>
        </is>
      </c>
      <c r="B1812" s="1" t="n">
        <v>45643</v>
      </c>
      <c r="C1812" s="1" t="n">
        <v>45851</v>
      </c>
      <c r="D1812" t="inlineStr">
        <is>
          <t>KALMAR LÄN</t>
        </is>
      </c>
      <c r="E1812" t="inlineStr">
        <is>
          <t>VÄSTERVIK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60685-2024</t>
        </is>
      </c>
      <c r="B1813" s="1" t="n">
        <v>45644</v>
      </c>
      <c r="C1813" s="1" t="n">
        <v>45851</v>
      </c>
      <c r="D1813" t="inlineStr">
        <is>
          <t>KALMAR LÄN</t>
        </is>
      </c>
      <c r="E1813" t="inlineStr">
        <is>
          <t>VÄSTERVIK</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1108-2025</t>
        </is>
      </c>
      <c r="B1814" s="1" t="n">
        <v>45666</v>
      </c>
      <c r="C1814" s="1" t="n">
        <v>45851</v>
      </c>
      <c r="D1814" t="inlineStr">
        <is>
          <t>KALMAR LÄN</t>
        </is>
      </c>
      <c r="E1814" t="inlineStr">
        <is>
          <t>VÄSTERVIK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1115-2025</t>
        </is>
      </c>
      <c r="B1815" s="1" t="n">
        <v>45666</v>
      </c>
      <c r="C1815" s="1" t="n">
        <v>45851</v>
      </c>
      <c r="D1815" t="inlineStr">
        <is>
          <t>KALMAR LÄN</t>
        </is>
      </c>
      <c r="E1815" t="inlineStr">
        <is>
          <t>VÄSTERVIK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957-2025</t>
        </is>
      </c>
      <c r="B1816" s="1" t="n">
        <v>45666</v>
      </c>
      <c r="C1816" s="1" t="n">
        <v>45851</v>
      </c>
      <c r="D1816" t="inlineStr">
        <is>
          <t>KALMAR LÄN</t>
        </is>
      </c>
      <c r="E1816" t="inlineStr">
        <is>
          <t>VÄSTERVIK</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1744-2025</t>
        </is>
      </c>
      <c r="B1817" s="1" t="n">
        <v>45671</v>
      </c>
      <c r="C1817" s="1" t="n">
        <v>45851</v>
      </c>
      <c r="D1817" t="inlineStr">
        <is>
          <t>KALMAR LÄN</t>
        </is>
      </c>
      <c r="E1817" t="inlineStr">
        <is>
          <t>VÄSTERVIK</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1741-2025</t>
        </is>
      </c>
      <c r="B1818" s="1" t="n">
        <v>45671</v>
      </c>
      <c r="C1818" s="1" t="n">
        <v>45851</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1743-2025</t>
        </is>
      </c>
      <c r="B1819" s="1" t="n">
        <v>45671</v>
      </c>
      <c r="C1819" s="1" t="n">
        <v>45851</v>
      </c>
      <c r="D1819" t="inlineStr">
        <is>
          <t>KALMAR LÄN</t>
        </is>
      </c>
      <c r="E1819" t="inlineStr">
        <is>
          <t>VÄSTERVIK</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1751-2025</t>
        </is>
      </c>
      <c r="B1820" s="1" t="n">
        <v>45671</v>
      </c>
      <c r="C1820" s="1" t="n">
        <v>45851</v>
      </c>
      <c r="D1820" t="inlineStr">
        <is>
          <t>KALMAR LÄN</t>
        </is>
      </c>
      <c r="E1820" t="inlineStr">
        <is>
          <t>VÄSTERVIK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1874-2025</t>
        </is>
      </c>
      <c r="B1821" s="1" t="n">
        <v>45671</v>
      </c>
      <c r="C1821" s="1" t="n">
        <v>45851</v>
      </c>
      <c r="D1821" t="inlineStr">
        <is>
          <t>KALMAR LÄN</t>
        </is>
      </c>
      <c r="E1821" t="inlineStr">
        <is>
          <t>VÄSTERVIK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1788-2025</t>
        </is>
      </c>
      <c r="B1822" s="1" t="n">
        <v>45671</v>
      </c>
      <c r="C1822" s="1" t="n">
        <v>45851</v>
      </c>
      <c r="D1822" t="inlineStr">
        <is>
          <t>KALMAR LÄN</t>
        </is>
      </c>
      <c r="E1822" t="inlineStr">
        <is>
          <t>VÄSTERVIK</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1787-2025</t>
        </is>
      </c>
      <c r="B1823" s="1" t="n">
        <v>45671</v>
      </c>
      <c r="C1823" s="1" t="n">
        <v>45851</v>
      </c>
      <c r="D1823" t="inlineStr">
        <is>
          <t>KALMAR LÄN</t>
        </is>
      </c>
      <c r="E1823" t="inlineStr">
        <is>
          <t>VÄSTERVIK</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1785-2025</t>
        </is>
      </c>
      <c r="B1824" s="1" t="n">
        <v>45671</v>
      </c>
      <c r="C1824" s="1" t="n">
        <v>45851</v>
      </c>
      <c r="D1824" t="inlineStr">
        <is>
          <t>KALMAR LÄN</t>
        </is>
      </c>
      <c r="E1824" t="inlineStr">
        <is>
          <t>VÄSTERVIK</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1877-2025</t>
        </is>
      </c>
      <c r="B1825" s="1" t="n">
        <v>45671</v>
      </c>
      <c r="C1825" s="1" t="n">
        <v>45851</v>
      </c>
      <c r="D1825" t="inlineStr">
        <is>
          <t>KALMAR LÄN</t>
        </is>
      </c>
      <c r="E1825" t="inlineStr">
        <is>
          <t>VÄSTERVIK</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1867-2025</t>
        </is>
      </c>
      <c r="B1826" s="1" t="n">
        <v>45671</v>
      </c>
      <c r="C1826" s="1" t="n">
        <v>45851</v>
      </c>
      <c r="D1826" t="inlineStr">
        <is>
          <t>KALMAR LÄN</t>
        </is>
      </c>
      <c r="E1826" t="inlineStr">
        <is>
          <t>VÄSTERVIK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2357-2025</t>
        </is>
      </c>
      <c r="B1827" s="1" t="n">
        <v>45673</v>
      </c>
      <c r="C1827" s="1" t="n">
        <v>45851</v>
      </c>
      <c r="D1827" t="inlineStr">
        <is>
          <t>KALMAR LÄN</t>
        </is>
      </c>
      <c r="E1827" t="inlineStr">
        <is>
          <t>VÄSTERVIK</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2329-2025</t>
        </is>
      </c>
      <c r="B1828" s="1" t="n">
        <v>45673</v>
      </c>
      <c r="C1828" s="1" t="n">
        <v>45851</v>
      </c>
      <c r="D1828" t="inlineStr">
        <is>
          <t>KALMAR LÄN</t>
        </is>
      </c>
      <c r="E1828" t="inlineStr">
        <is>
          <t>VÄSTERVIK</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2360-2025</t>
        </is>
      </c>
      <c r="B1829" s="1" t="n">
        <v>45673</v>
      </c>
      <c r="C1829" s="1" t="n">
        <v>45851</v>
      </c>
      <c r="D1829" t="inlineStr">
        <is>
          <t>KALMAR LÄN</t>
        </is>
      </c>
      <c r="E1829" t="inlineStr">
        <is>
          <t>VÄSTERVIK</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2359-2025</t>
        </is>
      </c>
      <c r="B1830" s="1" t="n">
        <v>45673</v>
      </c>
      <c r="C1830" s="1" t="n">
        <v>45851</v>
      </c>
      <c r="D1830" t="inlineStr">
        <is>
          <t>KALMAR LÄN</t>
        </is>
      </c>
      <c r="E1830" t="inlineStr">
        <is>
          <t>VÄSTERVIK</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2361-2025</t>
        </is>
      </c>
      <c r="B1831" s="1" t="n">
        <v>45673</v>
      </c>
      <c r="C1831" s="1" t="n">
        <v>45851</v>
      </c>
      <c r="D1831" t="inlineStr">
        <is>
          <t>KALMAR LÄN</t>
        </is>
      </c>
      <c r="E1831" t="inlineStr">
        <is>
          <t>VÄSTERVIK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2866-2025</t>
        </is>
      </c>
      <c r="B1832" s="1" t="n">
        <v>45677</v>
      </c>
      <c r="C1832" s="1" t="n">
        <v>45851</v>
      </c>
      <c r="D1832" t="inlineStr">
        <is>
          <t>KALMAR LÄN</t>
        </is>
      </c>
      <c r="E1832" t="inlineStr">
        <is>
          <t>VÄSTERVIK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2870-2025</t>
        </is>
      </c>
      <c r="B1833" s="1" t="n">
        <v>45677</v>
      </c>
      <c r="C1833" s="1" t="n">
        <v>45851</v>
      </c>
      <c r="D1833" t="inlineStr">
        <is>
          <t>KALMAR LÄN</t>
        </is>
      </c>
      <c r="E1833" t="inlineStr">
        <is>
          <t>VÄSTERVIK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2830-2025</t>
        </is>
      </c>
      <c r="B1834" s="1" t="n">
        <v>45677</v>
      </c>
      <c r="C1834" s="1" t="n">
        <v>45851</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2872-2025</t>
        </is>
      </c>
      <c r="B1835" s="1" t="n">
        <v>45677</v>
      </c>
      <c r="C1835" s="1" t="n">
        <v>45851</v>
      </c>
      <c r="D1835" t="inlineStr">
        <is>
          <t>KALMAR LÄN</t>
        </is>
      </c>
      <c r="E1835" t="inlineStr">
        <is>
          <t>VÄSTERVIK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2859-2025</t>
        </is>
      </c>
      <c r="B1836" s="1" t="n">
        <v>45677</v>
      </c>
      <c r="C1836" s="1" t="n">
        <v>45851</v>
      </c>
      <c r="D1836" t="inlineStr">
        <is>
          <t>KALMAR LÄN</t>
        </is>
      </c>
      <c r="E1836" t="inlineStr">
        <is>
          <t>VÄSTERVIK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3093-2025</t>
        </is>
      </c>
      <c r="B1837" s="1" t="n">
        <v>45678</v>
      </c>
      <c r="C1837" s="1" t="n">
        <v>45851</v>
      </c>
      <c r="D1837" t="inlineStr">
        <is>
          <t>KALMAR LÄN</t>
        </is>
      </c>
      <c r="E1837" t="inlineStr">
        <is>
          <t>VÄSTERVIK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3041-2025</t>
        </is>
      </c>
      <c r="B1838" s="1" t="n">
        <v>45678</v>
      </c>
      <c r="C1838" s="1" t="n">
        <v>45851</v>
      </c>
      <c r="D1838" t="inlineStr">
        <is>
          <t>KALMAR LÄN</t>
        </is>
      </c>
      <c r="E1838" t="inlineStr">
        <is>
          <t>VÄSTERVIK</t>
        </is>
      </c>
      <c r="G1838" t="n">
        <v>0.7</v>
      </c>
      <c r="H1838" t="n">
        <v>0</v>
      </c>
      <c r="I1838" t="n">
        <v>0</v>
      </c>
      <c r="J1838" t="n">
        <v>0</v>
      </c>
      <c r="K1838" t="n">
        <v>0</v>
      </c>
      <c r="L1838" t="n">
        <v>0</v>
      </c>
      <c r="M1838" t="n">
        <v>0</v>
      </c>
      <c r="N1838" t="n">
        <v>0</v>
      </c>
      <c r="O1838" t="n">
        <v>0</v>
      </c>
      <c r="P1838" t="n">
        <v>0</v>
      </c>
      <c r="Q1838" t="n">
        <v>0</v>
      </c>
      <c r="R1838" s="2" t="inlineStr"/>
      <c r="U1838">
        <f>HYPERLINK("https://klasma.github.io/Logging_0883/knärot/A 3041-2025 karta knärot.png", "A 3041-2025")</f>
        <v/>
      </c>
      <c r="V1838">
        <f>HYPERLINK("https://klasma.github.io/Logging_0883/klagomål/A 3041-2025 FSC-klagomål.docx", "A 3041-2025")</f>
        <v/>
      </c>
      <c r="W1838">
        <f>HYPERLINK("https://klasma.github.io/Logging_0883/klagomålsmail/A 3041-2025 FSC-klagomål mail.docx", "A 3041-2025")</f>
        <v/>
      </c>
      <c r="X1838">
        <f>HYPERLINK("https://klasma.github.io/Logging_0883/tillsyn/A 3041-2025 tillsynsbegäran.docx", "A 3041-2025")</f>
        <v/>
      </c>
      <c r="Y1838">
        <f>HYPERLINK("https://klasma.github.io/Logging_0883/tillsynsmail/A 3041-2025 tillsynsbegäran mail.docx", "A 3041-2025")</f>
        <v/>
      </c>
    </row>
    <row r="1839" ht="15" customHeight="1">
      <c r="A1839" t="inlineStr">
        <is>
          <t>A 2951-2025</t>
        </is>
      </c>
      <c r="B1839" s="1" t="n">
        <v>45678</v>
      </c>
      <c r="C1839" s="1" t="n">
        <v>45851</v>
      </c>
      <c r="D1839" t="inlineStr">
        <is>
          <t>KALMAR LÄN</t>
        </is>
      </c>
      <c r="E1839" t="inlineStr">
        <is>
          <t>VÄSTERVIK</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3467-2025</t>
        </is>
      </c>
      <c r="B1840" s="1" t="n">
        <v>45680</v>
      </c>
      <c r="C1840" s="1" t="n">
        <v>45851</v>
      </c>
      <c r="D1840" t="inlineStr">
        <is>
          <t>KALMAR LÄN</t>
        </is>
      </c>
      <c r="E1840" t="inlineStr">
        <is>
          <t>VÄSTERVIK</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3453-2025</t>
        </is>
      </c>
      <c r="B1841" s="1" t="n">
        <v>45680</v>
      </c>
      <c r="C1841" s="1" t="n">
        <v>45851</v>
      </c>
      <c r="D1841" t="inlineStr">
        <is>
          <t>KALMAR LÄN</t>
        </is>
      </c>
      <c r="E1841" t="inlineStr">
        <is>
          <t>VÄSTERVIK</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3679-2025</t>
        </is>
      </c>
      <c r="B1842" s="1" t="n">
        <v>45681</v>
      </c>
      <c r="C1842" s="1" t="n">
        <v>45851</v>
      </c>
      <c r="D1842" t="inlineStr">
        <is>
          <t>KALMAR LÄN</t>
        </is>
      </c>
      <c r="E1842" t="inlineStr">
        <is>
          <t>VÄSTERVIK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3800-2025</t>
        </is>
      </c>
      <c r="B1843" s="1" t="n">
        <v>45681</v>
      </c>
      <c r="C1843" s="1" t="n">
        <v>45851</v>
      </c>
      <c r="D1843" t="inlineStr">
        <is>
          <t>KALMAR LÄN</t>
        </is>
      </c>
      <c r="E1843" t="inlineStr">
        <is>
          <t>VÄSTERVIK</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4345-2025</t>
        </is>
      </c>
      <c r="B1844" s="1" t="n">
        <v>45685</v>
      </c>
      <c r="C1844" s="1" t="n">
        <v>45851</v>
      </c>
      <c r="D1844" t="inlineStr">
        <is>
          <t>KALMAR LÄN</t>
        </is>
      </c>
      <c r="E1844" t="inlineStr">
        <is>
          <t>VÄSTERVIK</t>
        </is>
      </c>
      <c r="F1844" t="inlineStr">
        <is>
          <t>Holmen skog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4490-2025</t>
        </is>
      </c>
      <c r="B1845" s="1" t="n">
        <v>45686</v>
      </c>
      <c r="C1845" s="1" t="n">
        <v>45851</v>
      </c>
      <c r="D1845" t="inlineStr">
        <is>
          <t>KALMAR LÄN</t>
        </is>
      </c>
      <c r="E1845" t="inlineStr">
        <is>
          <t>VÄSTERVIK</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4461-2025</t>
        </is>
      </c>
      <c r="B1846" s="1" t="n">
        <v>45686</v>
      </c>
      <c r="C1846" s="1" t="n">
        <v>45851</v>
      </c>
      <c r="D1846" t="inlineStr">
        <is>
          <t>KALMAR LÄN</t>
        </is>
      </c>
      <c r="E1846" t="inlineStr">
        <is>
          <t>VÄSTERVIK</t>
        </is>
      </c>
      <c r="G1846" t="n">
        <v>0.8</v>
      </c>
      <c r="H1846" t="n">
        <v>0</v>
      </c>
      <c r="I1846" t="n">
        <v>0</v>
      </c>
      <c r="J1846" t="n">
        <v>0</v>
      </c>
      <c r="K1846" t="n">
        <v>0</v>
      </c>
      <c r="L1846" t="n">
        <v>0</v>
      </c>
      <c r="M1846" t="n">
        <v>0</v>
      </c>
      <c r="N1846" t="n">
        <v>0</v>
      </c>
      <c r="O1846" t="n">
        <v>0</v>
      </c>
      <c r="P1846" t="n">
        <v>0</v>
      </c>
      <c r="Q1846" t="n">
        <v>0</v>
      </c>
      <c r="R1846" s="2" t="inlineStr"/>
      <c r="U1846">
        <f>HYPERLINK("https://klasma.github.io/Logging_0883/knärot/A 4461-2025 karta knärot.png", "A 4461-2025")</f>
        <v/>
      </c>
      <c r="V1846">
        <f>HYPERLINK("https://klasma.github.io/Logging_0883/klagomål/A 4461-2025 FSC-klagomål.docx", "A 4461-2025")</f>
        <v/>
      </c>
      <c r="W1846">
        <f>HYPERLINK("https://klasma.github.io/Logging_0883/klagomålsmail/A 4461-2025 FSC-klagomål mail.docx", "A 4461-2025")</f>
        <v/>
      </c>
      <c r="X1846">
        <f>HYPERLINK("https://klasma.github.io/Logging_0883/tillsyn/A 4461-2025 tillsynsbegäran.docx", "A 4461-2025")</f>
        <v/>
      </c>
      <c r="Y1846">
        <f>HYPERLINK("https://klasma.github.io/Logging_0883/tillsynsmail/A 4461-2025 tillsynsbegäran mail.docx", "A 4461-2025")</f>
        <v/>
      </c>
    </row>
    <row r="1847" ht="15" customHeight="1">
      <c r="A1847" t="inlineStr">
        <is>
          <t>A 5060-2025</t>
        </is>
      </c>
      <c r="B1847" s="1" t="n">
        <v>45691</v>
      </c>
      <c r="C1847" s="1" t="n">
        <v>45851</v>
      </c>
      <c r="D1847" t="inlineStr">
        <is>
          <t>KALMAR LÄN</t>
        </is>
      </c>
      <c r="E1847" t="inlineStr">
        <is>
          <t>VÄSTERVIK</t>
        </is>
      </c>
      <c r="F1847" t="inlineStr">
        <is>
          <t>Holmen skog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5079-2025</t>
        </is>
      </c>
      <c r="B1848" s="1" t="n">
        <v>45691</v>
      </c>
      <c r="C1848" s="1" t="n">
        <v>45851</v>
      </c>
      <c r="D1848" t="inlineStr">
        <is>
          <t>KALMAR LÄN</t>
        </is>
      </c>
      <c r="E1848" t="inlineStr">
        <is>
          <t>VÄSTERVIK</t>
        </is>
      </c>
      <c r="F1848" t="inlineStr">
        <is>
          <t>Holmen skog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5118-2025</t>
        </is>
      </c>
      <c r="B1849" s="1" t="n">
        <v>45691</v>
      </c>
      <c r="C1849" s="1" t="n">
        <v>45851</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5691-2025</t>
        </is>
      </c>
      <c r="B1850" s="1" t="n">
        <v>45694</v>
      </c>
      <c r="C1850" s="1" t="n">
        <v>45851</v>
      </c>
      <c r="D1850" t="inlineStr">
        <is>
          <t>KALMAR LÄN</t>
        </is>
      </c>
      <c r="E1850" t="inlineStr">
        <is>
          <t>VÄSTERVIK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6182-2025</t>
        </is>
      </c>
      <c r="B1851" s="1" t="n">
        <v>45698</v>
      </c>
      <c r="C1851" s="1" t="n">
        <v>45851</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6393-2025</t>
        </is>
      </c>
      <c r="B1852" s="1" t="n">
        <v>45699</v>
      </c>
      <c r="C1852" s="1" t="n">
        <v>45851</v>
      </c>
      <c r="D1852" t="inlineStr">
        <is>
          <t>KALMAR LÄN</t>
        </is>
      </c>
      <c r="E1852" t="inlineStr">
        <is>
          <t>VÄSTERVIK</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6469-2025</t>
        </is>
      </c>
      <c r="B1853" s="1" t="n">
        <v>45699</v>
      </c>
      <c r="C1853" s="1" t="n">
        <v>45851</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6846-2025</t>
        </is>
      </c>
      <c r="B1854" s="1" t="n">
        <v>45700</v>
      </c>
      <c r="C1854" s="1" t="n">
        <v>45851</v>
      </c>
      <c r="D1854" t="inlineStr">
        <is>
          <t>KALMAR LÄN</t>
        </is>
      </c>
      <c r="E1854" t="inlineStr">
        <is>
          <t>VÄSTERVIK</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6847-2025</t>
        </is>
      </c>
      <c r="B1855" s="1" t="n">
        <v>45700</v>
      </c>
      <c r="C1855" s="1" t="n">
        <v>45851</v>
      </c>
      <c r="D1855" t="inlineStr">
        <is>
          <t>KALMAR LÄN</t>
        </is>
      </c>
      <c r="E1855" t="inlineStr">
        <is>
          <t>VÄSTERVIK</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6844-2025</t>
        </is>
      </c>
      <c r="B1856" s="1" t="n">
        <v>45700</v>
      </c>
      <c r="C1856" s="1" t="n">
        <v>45851</v>
      </c>
      <c r="D1856" t="inlineStr">
        <is>
          <t>KALMAR LÄN</t>
        </is>
      </c>
      <c r="E1856" t="inlineStr">
        <is>
          <t>VÄSTERVIK</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6848-2025</t>
        </is>
      </c>
      <c r="B1857" s="1" t="n">
        <v>45700</v>
      </c>
      <c r="C1857" s="1" t="n">
        <v>45851</v>
      </c>
      <c r="D1857" t="inlineStr">
        <is>
          <t>KALMAR LÄN</t>
        </is>
      </c>
      <c r="E1857" t="inlineStr">
        <is>
          <t>VÄSTERVIK</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6940-2025</t>
        </is>
      </c>
      <c r="B1858" s="1" t="n">
        <v>45701</v>
      </c>
      <c r="C1858" s="1" t="n">
        <v>45851</v>
      </c>
      <c r="D1858" t="inlineStr">
        <is>
          <t>KALMAR LÄN</t>
        </is>
      </c>
      <c r="E1858" t="inlineStr">
        <is>
          <t>VÄSTERVIK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6938-2025</t>
        </is>
      </c>
      <c r="B1859" s="1" t="n">
        <v>45701</v>
      </c>
      <c r="C1859" s="1" t="n">
        <v>45851</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6941-2025</t>
        </is>
      </c>
      <c r="B1860" s="1" t="n">
        <v>45701</v>
      </c>
      <c r="C1860" s="1" t="n">
        <v>45851</v>
      </c>
      <c r="D1860" t="inlineStr">
        <is>
          <t>KALMAR LÄN</t>
        </is>
      </c>
      <c r="E1860" t="inlineStr">
        <is>
          <t>VÄSTERVIK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7164-2025</t>
        </is>
      </c>
      <c r="B1861" s="1" t="n">
        <v>45702</v>
      </c>
      <c r="C1861" s="1" t="n">
        <v>45851</v>
      </c>
      <c r="D1861" t="inlineStr">
        <is>
          <t>KALMAR LÄN</t>
        </is>
      </c>
      <c r="E1861" t="inlineStr">
        <is>
          <t>VÄSTERVIK</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7165-2025</t>
        </is>
      </c>
      <c r="B1862" s="1" t="n">
        <v>45702</v>
      </c>
      <c r="C1862" s="1" t="n">
        <v>45851</v>
      </c>
      <c r="D1862" t="inlineStr">
        <is>
          <t>KALMAR LÄN</t>
        </is>
      </c>
      <c r="E1862" t="inlineStr">
        <is>
          <t>VÄSTERVIK</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7163-2025</t>
        </is>
      </c>
      <c r="B1863" s="1" t="n">
        <v>45702</v>
      </c>
      <c r="C1863" s="1" t="n">
        <v>45851</v>
      </c>
      <c r="D1863" t="inlineStr">
        <is>
          <t>KALMAR LÄN</t>
        </is>
      </c>
      <c r="E1863" t="inlineStr">
        <is>
          <t>VÄSTERVIK</t>
        </is>
      </c>
      <c r="F1863" t="inlineStr">
        <is>
          <t>Sveaskog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7381-2025</t>
        </is>
      </c>
      <c r="B1864" s="1" t="n">
        <v>45705</v>
      </c>
      <c r="C1864" s="1" t="n">
        <v>45851</v>
      </c>
      <c r="D1864" t="inlineStr">
        <is>
          <t>KALMAR LÄN</t>
        </is>
      </c>
      <c r="E1864" t="inlineStr">
        <is>
          <t>VÄSTERVIK</t>
        </is>
      </c>
      <c r="F1864" t="inlineStr">
        <is>
          <t>Kyrkan</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7377-2025</t>
        </is>
      </c>
      <c r="B1865" s="1" t="n">
        <v>45705</v>
      </c>
      <c r="C1865" s="1" t="n">
        <v>45851</v>
      </c>
      <c r="D1865" t="inlineStr">
        <is>
          <t>KALMAR LÄN</t>
        </is>
      </c>
      <c r="E1865" t="inlineStr">
        <is>
          <t>VÄSTERVIK</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7882-2025</t>
        </is>
      </c>
      <c r="B1866" s="1" t="n">
        <v>45706</v>
      </c>
      <c r="C1866" s="1" t="n">
        <v>45851</v>
      </c>
      <c r="D1866" t="inlineStr">
        <is>
          <t>KALMAR LÄN</t>
        </is>
      </c>
      <c r="E1866" t="inlineStr">
        <is>
          <t>VÄSTERVIK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7843-2025</t>
        </is>
      </c>
      <c r="B1867" s="1" t="n">
        <v>45706</v>
      </c>
      <c r="C1867" s="1" t="n">
        <v>45851</v>
      </c>
      <c r="D1867" t="inlineStr">
        <is>
          <t>KALMAR LÄN</t>
        </is>
      </c>
      <c r="E1867" t="inlineStr">
        <is>
          <t>VÄSTERVIK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7883-2025</t>
        </is>
      </c>
      <c r="B1868" s="1" t="n">
        <v>45706</v>
      </c>
      <c r="C1868" s="1" t="n">
        <v>45851</v>
      </c>
      <c r="D1868" t="inlineStr">
        <is>
          <t>KALMAR LÄN</t>
        </is>
      </c>
      <c r="E1868" t="inlineStr">
        <is>
          <t>VÄSTERVIK</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7885-2025</t>
        </is>
      </c>
      <c r="B1869" s="1" t="n">
        <v>45706</v>
      </c>
      <c r="C1869" s="1" t="n">
        <v>45851</v>
      </c>
      <c r="D1869" t="inlineStr">
        <is>
          <t>KALMAR LÄN</t>
        </is>
      </c>
      <c r="E1869" t="inlineStr">
        <is>
          <t>VÄSTERVIK</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7840-2025</t>
        </is>
      </c>
      <c r="B1870" s="1" t="n">
        <v>45706</v>
      </c>
      <c r="C1870" s="1" t="n">
        <v>45851</v>
      </c>
      <c r="D1870" t="inlineStr">
        <is>
          <t>KALMAR LÄN</t>
        </is>
      </c>
      <c r="E1870" t="inlineStr">
        <is>
          <t>VÄSTERVIK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7884-2025</t>
        </is>
      </c>
      <c r="B1871" s="1" t="n">
        <v>45706</v>
      </c>
      <c r="C1871" s="1" t="n">
        <v>45851</v>
      </c>
      <c r="D1871" t="inlineStr">
        <is>
          <t>KALMAR LÄN</t>
        </is>
      </c>
      <c r="E1871" t="inlineStr">
        <is>
          <t>VÄSTERVIK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8281-2025</t>
        </is>
      </c>
      <c r="B1872" s="1" t="n">
        <v>45708</v>
      </c>
      <c r="C1872" s="1" t="n">
        <v>45851</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8402-2025</t>
        </is>
      </c>
      <c r="B1873" s="1" t="n">
        <v>45709</v>
      </c>
      <c r="C1873" s="1" t="n">
        <v>45851</v>
      </c>
      <c r="D1873" t="inlineStr">
        <is>
          <t>KALMAR LÄN</t>
        </is>
      </c>
      <c r="E1873" t="inlineStr">
        <is>
          <t>VÄSTERVIK</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8995-2025</t>
        </is>
      </c>
      <c r="B1874" s="1" t="n">
        <v>45713</v>
      </c>
      <c r="C1874" s="1" t="n">
        <v>45851</v>
      </c>
      <c r="D1874" t="inlineStr">
        <is>
          <t>KALMAR LÄN</t>
        </is>
      </c>
      <c r="E1874" t="inlineStr">
        <is>
          <t>VÄSTERVIK</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9263-2025</t>
        </is>
      </c>
      <c r="B1875" s="1" t="n">
        <v>45714</v>
      </c>
      <c r="C1875" s="1" t="n">
        <v>45851</v>
      </c>
      <c r="D1875" t="inlineStr">
        <is>
          <t>KALMAR LÄN</t>
        </is>
      </c>
      <c r="E1875" t="inlineStr">
        <is>
          <t>VÄSTERVIK</t>
        </is>
      </c>
      <c r="F1875" t="inlineStr">
        <is>
          <t>Sveaskog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9267-2025</t>
        </is>
      </c>
      <c r="B1876" s="1" t="n">
        <v>45714</v>
      </c>
      <c r="C1876" s="1" t="n">
        <v>45851</v>
      </c>
      <c r="D1876" t="inlineStr">
        <is>
          <t>KALMAR LÄN</t>
        </is>
      </c>
      <c r="E1876" t="inlineStr">
        <is>
          <t>VÄSTERVIK</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9269-2025</t>
        </is>
      </c>
      <c r="B1877" s="1" t="n">
        <v>45714</v>
      </c>
      <c r="C1877" s="1" t="n">
        <v>45851</v>
      </c>
      <c r="D1877" t="inlineStr">
        <is>
          <t>KALMAR LÄN</t>
        </is>
      </c>
      <c r="E1877" t="inlineStr">
        <is>
          <t>VÄSTERVIK</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9451-2025</t>
        </is>
      </c>
      <c r="B1878" s="1" t="n">
        <v>45715</v>
      </c>
      <c r="C1878" s="1" t="n">
        <v>45851</v>
      </c>
      <c r="D1878" t="inlineStr">
        <is>
          <t>KALMAR LÄN</t>
        </is>
      </c>
      <c r="E1878" t="inlineStr">
        <is>
          <t>VÄSTERVIK</t>
        </is>
      </c>
      <c r="F1878" t="inlineStr">
        <is>
          <t>Holmen skog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9545-2025</t>
        </is>
      </c>
      <c r="B1879" s="1" t="n">
        <v>45715</v>
      </c>
      <c r="C1879" s="1" t="n">
        <v>45851</v>
      </c>
      <c r="D1879" t="inlineStr">
        <is>
          <t>KALMAR LÄN</t>
        </is>
      </c>
      <c r="E1879" t="inlineStr">
        <is>
          <t>VÄSTERVIK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9973-2025</t>
        </is>
      </c>
      <c r="B1880" s="1" t="n">
        <v>45719</v>
      </c>
      <c r="C1880" s="1" t="n">
        <v>45851</v>
      </c>
      <c r="D1880" t="inlineStr">
        <is>
          <t>KALMAR LÄN</t>
        </is>
      </c>
      <c r="E1880" t="inlineStr">
        <is>
          <t>VÄSTERVIK</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10012-2025</t>
        </is>
      </c>
      <c r="B1881" s="1" t="n">
        <v>45719</v>
      </c>
      <c r="C1881" s="1" t="n">
        <v>45851</v>
      </c>
      <c r="D1881" t="inlineStr">
        <is>
          <t>KALMAR LÄN</t>
        </is>
      </c>
      <c r="E1881" t="inlineStr">
        <is>
          <t>VÄSTERVIK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10412-2025</t>
        </is>
      </c>
      <c r="B1882" s="1" t="n">
        <v>45720</v>
      </c>
      <c r="C1882" s="1" t="n">
        <v>45851</v>
      </c>
      <c r="D1882" t="inlineStr">
        <is>
          <t>KALMAR LÄN</t>
        </is>
      </c>
      <c r="E1882" t="inlineStr">
        <is>
          <t>VÄSTERVIK</t>
        </is>
      </c>
      <c r="F1882" t="inlineStr">
        <is>
          <t>Övriga Aktiebolag</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10420-2025</t>
        </is>
      </c>
      <c r="B1883" s="1" t="n">
        <v>45720</v>
      </c>
      <c r="C1883" s="1" t="n">
        <v>45851</v>
      </c>
      <c r="D1883" t="inlineStr">
        <is>
          <t>KALMAR LÄN</t>
        </is>
      </c>
      <c r="E1883" t="inlineStr">
        <is>
          <t>VÄSTERVIK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10433-2025</t>
        </is>
      </c>
      <c r="B1884" s="1" t="n">
        <v>45720</v>
      </c>
      <c r="C1884" s="1" t="n">
        <v>45851</v>
      </c>
      <c r="D1884" t="inlineStr">
        <is>
          <t>KALMAR LÄN</t>
        </is>
      </c>
      <c r="E1884" t="inlineStr">
        <is>
          <t>VÄSTERVIK</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10390-2025</t>
        </is>
      </c>
      <c r="B1885" s="1" t="n">
        <v>45720</v>
      </c>
      <c r="C1885" s="1" t="n">
        <v>45851</v>
      </c>
      <c r="D1885" t="inlineStr">
        <is>
          <t>KALMAR LÄN</t>
        </is>
      </c>
      <c r="E1885" t="inlineStr">
        <is>
          <t>VÄSTERVIK</t>
        </is>
      </c>
      <c r="F1885" t="inlineStr">
        <is>
          <t>Övriga Aktiebolag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10399-2025</t>
        </is>
      </c>
      <c r="B1886" s="1" t="n">
        <v>45720</v>
      </c>
      <c r="C1886" s="1" t="n">
        <v>45851</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10774-2025</t>
        </is>
      </c>
      <c r="B1887" s="1" t="n">
        <v>45722</v>
      </c>
      <c r="C1887" s="1" t="n">
        <v>45851</v>
      </c>
      <c r="D1887" t="inlineStr">
        <is>
          <t>KALMAR LÄN</t>
        </is>
      </c>
      <c r="E1887" t="inlineStr">
        <is>
          <t>VÄSTERVIK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10803-2025</t>
        </is>
      </c>
      <c r="B1888" s="1" t="n">
        <v>45722</v>
      </c>
      <c r="C1888" s="1" t="n">
        <v>45851</v>
      </c>
      <c r="D1888" t="inlineStr">
        <is>
          <t>KALMAR LÄN</t>
        </is>
      </c>
      <c r="E1888" t="inlineStr">
        <is>
          <t>VÄSTERVIK</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10800-2025</t>
        </is>
      </c>
      <c r="B1889" s="1" t="n">
        <v>45722</v>
      </c>
      <c r="C1889" s="1" t="n">
        <v>45851</v>
      </c>
      <c r="D1889" t="inlineStr">
        <is>
          <t>KALMAR LÄN</t>
        </is>
      </c>
      <c r="E1889" t="inlineStr">
        <is>
          <t>VÄSTERVIK</t>
        </is>
      </c>
      <c r="F1889" t="inlineStr">
        <is>
          <t>Övriga Aktiebolag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10771-2025</t>
        </is>
      </c>
      <c r="B1890" s="1" t="n">
        <v>45722</v>
      </c>
      <c r="C1890" s="1" t="n">
        <v>45851</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10806-2025</t>
        </is>
      </c>
      <c r="B1891" s="1" t="n">
        <v>45722</v>
      </c>
      <c r="C1891" s="1" t="n">
        <v>45851</v>
      </c>
      <c r="D1891" t="inlineStr">
        <is>
          <t>KALMAR LÄN</t>
        </is>
      </c>
      <c r="E1891" t="inlineStr">
        <is>
          <t>VÄSTERVIK</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10808-2025</t>
        </is>
      </c>
      <c r="B1892" s="1" t="n">
        <v>45722</v>
      </c>
      <c r="C1892" s="1" t="n">
        <v>45851</v>
      </c>
      <c r="D1892" t="inlineStr">
        <is>
          <t>KALMAR LÄN</t>
        </is>
      </c>
      <c r="E1892" t="inlineStr">
        <is>
          <t>VÄSTERVIK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10766-2025</t>
        </is>
      </c>
      <c r="B1893" s="1" t="n">
        <v>45722</v>
      </c>
      <c r="C1893" s="1" t="n">
        <v>45851</v>
      </c>
      <c r="D1893" t="inlineStr">
        <is>
          <t>KALMAR LÄN</t>
        </is>
      </c>
      <c r="E1893" t="inlineStr">
        <is>
          <t>VÄSTERVIK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10778-2025</t>
        </is>
      </c>
      <c r="B1894" s="1" t="n">
        <v>45722</v>
      </c>
      <c r="C1894" s="1" t="n">
        <v>45851</v>
      </c>
      <c r="D1894" t="inlineStr">
        <is>
          <t>KALMAR LÄN</t>
        </is>
      </c>
      <c r="E1894" t="inlineStr">
        <is>
          <t>VÄSTERVIK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11120-2025</t>
        </is>
      </c>
      <c r="B1895" s="1" t="n">
        <v>45723</v>
      </c>
      <c r="C1895" s="1" t="n">
        <v>45851</v>
      </c>
      <c r="D1895" t="inlineStr">
        <is>
          <t>KALMAR LÄN</t>
        </is>
      </c>
      <c r="E1895" t="inlineStr">
        <is>
          <t>VÄSTERVIK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11122-2025</t>
        </is>
      </c>
      <c r="B1896" s="1" t="n">
        <v>45723</v>
      </c>
      <c r="C1896" s="1" t="n">
        <v>45851</v>
      </c>
      <c r="D1896" t="inlineStr">
        <is>
          <t>KALMAR LÄN</t>
        </is>
      </c>
      <c r="E1896" t="inlineStr">
        <is>
          <t>VÄSTERVIK</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11296-2025</t>
        </is>
      </c>
      <c r="B1897" s="1" t="n">
        <v>45726</v>
      </c>
      <c r="C1897" s="1" t="n">
        <v>45851</v>
      </c>
      <c r="D1897" t="inlineStr">
        <is>
          <t>KALMAR LÄN</t>
        </is>
      </c>
      <c r="E1897" t="inlineStr">
        <is>
          <t>VÄSTERVIK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11316-2025</t>
        </is>
      </c>
      <c r="B1898" s="1" t="n">
        <v>45726</v>
      </c>
      <c r="C1898" s="1" t="n">
        <v>45851</v>
      </c>
      <c r="D1898" t="inlineStr">
        <is>
          <t>KALMAR LÄN</t>
        </is>
      </c>
      <c r="E1898" t="inlineStr">
        <is>
          <t>VÄSTERVIK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11852-2025</t>
        </is>
      </c>
      <c r="B1899" s="1" t="n">
        <v>45728</v>
      </c>
      <c r="C1899" s="1" t="n">
        <v>45851</v>
      </c>
      <c r="D1899" t="inlineStr">
        <is>
          <t>KALMAR LÄN</t>
        </is>
      </c>
      <c r="E1899" t="inlineStr">
        <is>
          <t>VÄSTERVIK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12333-2025</t>
        </is>
      </c>
      <c r="B1900" s="1" t="n">
        <v>45730</v>
      </c>
      <c r="C1900" s="1" t="n">
        <v>45851</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12386-2025</t>
        </is>
      </c>
      <c r="B1901" s="1" t="n">
        <v>45730</v>
      </c>
      <c r="C1901" s="1" t="n">
        <v>45851</v>
      </c>
      <c r="D1901" t="inlineStr">
        <is>
          <t>KALMAR LÄN</t>
        </is>
      </c>
      <c r="E1901" t="inlineStr">
        <is>
          <t>VÄSTERVIK</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12455-2025</t>
        </is>
      </c>
      <c r="B1902" s="1" t="n">
        <v>45730</v>
      </c>
      <c r="C1902" s="1" t="n">
        <v>45851</v>
      </c>
      <c r="D1902" t="inlineStr">
        <is>
          <t>KALMAR LÄN</t>
        </is>
      </c>
      <c r="E1902" t="inlineStr">
        <is>
          <t>VÄSTERVIK</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13103-2025</t>
        </is>
      </c>
      <c r="B1903" s="1" t="n">
        <v>45734</v>
      </c>
      <c r="C1903" s="1" t="n">
        <v>45851</v>
      </c>
      <c r="D1903" t="inlineStr">
        <is>
          <t>KALMAR LÄN</t>
        </is>
      </c>
      <c r="E1903" t="inlineStr">
        <is>
          <t>VÄSTERVIK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13105-2025</t>
        </is>
      </c>
      <c r="B1904" s="1" t="n">
        <v>45734</v>
      </c>
      <c r="C1904" s="1" t="n">
        <v>45851</v>
      </c>
      <c r="D1904" t="inlineStr">
        <is>
          <t>KALMAR LÄN</t>
        </is>
      </c>
      <c r="E1904" t="inlineStr">
        <is>
          <t>VÄSTERVIK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13349-2025</t>
        </is>
      </c>
      <c r="B1905" s="1" t="n">
        <v>45735</v>
      </c>
      <c r="C1905" s="1" t="n">
        <v>45851</v>
      </c>
      <c r="D1905" t="inlineStr">
        <is>
          <t>KALMAR LÄN</t>
        </is>
      </c>
      <c r="E1905" t="inlineStr">
        <is>
          <t>VÄSTERVIK</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13498-2025</t>
        </is>
      </c>
      <c r="B1906" s="1" t="n">
        <v>45736</v>
      </c>
      <c r="C1906" s="1" t="n">
        <v>45851</v>
      </c>
      <c r="D1906" t="inlineStr">
        <is>
          <t>KALMAR LÄN</t>
        </is>
      </c>
      <c r="E1906" t="inlineStr">
        <is>
          <t>VÄSTERVIK</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13618-2025</t>
        </is>
      </c>
      <c r="B1907" s="1" t="n">
        <v>45736</v>
      </c>
      <c r="C1907" s="1" t="n">
        <v>45851</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13957-2025</t>
        </is>
      </c>
      <c r="B1908" s="1" t="n">
        <v>45737</v>
      </c>
      <c r="C1908" s="1" t="n">
        <v>45851</v>
      </c>
      <c r="D1908" t="inlineStr">
        <is>
          <t>KALMAR LÄN</t>
        </is>
      </c>
      <c r="E1908" t="inlineStr">
        <is>
          <t>VÄSTERVIK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13958-2025</t>
        </is>
      </c>
      <c r="B1909" s="1" t="n">
        <v>45737</v>
      </c>
      <c r="C1909" s="1" t="n">
        <v>45851</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14071-2025</t>
        </is>
      </c>
      <c r="B1910" s="1" t="n">
        <v>45740</v>
      </c>
      <c r="C1910" s="1" t="n">
        <v>45851</v>
      </c>
      <c r="D1910" t="inlineStr">
        <is>
          <t>KALMAR LÄN</t>
        </is>
      </c>
      <c r="E1910" t="inlineStr">
        <is>
          <t>VÄSTERVIK</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14080-2025</t>
        </is>
      </c>
      <c r="B1911" s="1" t="n">
        <v>45740</v>
      </c>
      <c r="C1911" s="1" t="n">
        <v>45851</v>
      </c>
      <c r="D1911" t="inlineStr">
        <is>
          <t>KALMAR LÄN</t>
        </is>
      </c>
      <c r="E1911" t="inlineStr">
        <is>
          <t>VÄSTERVIK</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14092-2025</t>
        </is>
      </c>
      <c r="B1912" s="1" t="n">
        <v>45740</v>
      </c>
      <c r="C1912" s="1" t="n">
        <v>45851</v>
      </c>
      <c r="D1912" t="inlineStr">
        <is>
          <t>KALMAR LÄN</t>
        </is>
      </c>
      <c r="E1912" t="inlineStr">
        <is>
          <t>VÄSTERVIK</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14072-2025</t>
        </is>
      </c>
      <c r="B1913" s="1" t="n">
        <v>45740</v>
      </c>
      <c r="C1913" s="1" t="n">
        <v>45851</v>
      </c>
      <c r="D1913" t="inlineStr">
        <is>
          <t>KALMAR LÄN</t>
        </is>
      </c>
      <c r="E1913" t="inlineStr">
        <is>
          <t>VÄSTERVIK</t>
        </is>
      </c>
      <c r="F1913" t="inlineStr">
        <is>
          <t>Sveaskog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14105-2025</t>
        </is>
      </c>
      <c r="B1914" s="1" t="n">
        <v>45740</v>
      </c>
      <c r="C1914" s="1" t="n">
        <v>45851</v>
      </c>
      <c r="D1914" t="inlineStr">
        <is>
          <t>KALMAR LÄN</t>
        </is>
      </c>
      <c r="E1914" t="inlineStr">
        <is>
          <t>VÄSTERVIK</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14109-2025</t>
        </is>
      </c>
      <c r="B1915" s="1" t="n">
        <v>45740</v>
      </c>
      <c r="C1915" s="1" t="n">
        <v>45851</v>
      </c>
      <c r="D1915" t="inlineStr">
        <is>
          <t>KALMAR LÄN</t>
        </is>
      </c>
      <c r="E1915" t="inlineStr">
        <is>
          <t>VÄSTERVIK</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14055-2025</t>
        </is>
      </c>
      <c r="B1916" s="1" t="n">
        <v>45740</v>
      </c>
      <c r="C1916" s="1" t="n">
        <v>45851</v>
      </c>
      <c r="D1916" t="inlineStr">
        <is>
          <t>KALMAR LÄN</t>
        </is>
      </c>
      <c r="E1916" t="inlineStr">
        <is>
          <t>VÄSTERVIK</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14114-2025</t>
        </is>
      </c>
      <c r="B1917" s="1" t="n">
        <v>45740</v>
      </c>
      <c r="C1917" s="1" t="n">
        <v>45851</v>
      </c>
      <c r="D1917" t="inlineStr">
        <is>
          <t>KALMAR LÄN</t>
        </is>
      </c>
      <c r="E1917" t="inlineStr">
        <is>
          <t>VÄSTERVIK</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14068-2025</t>
        </is>
      </c>
      <c r="B1918" s="1" t="n">
        <v>45740</v>
      </c>
      <c r="C1918" s="1" t="n">
        <v>45851</v>
      </c>
      <c r="D1918" t="inlineStr">
        <is>
          <t>KALMAR LÄN</t>
        </is>
      </c>
      <c r="E1918" t="inlineStr">
        <is>
          <t>VÄSTERVIK</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14075-2025</t>
        </is>
      </c>
      <c r="B1919" s="1" t="n">
        <v>45740</v>
      </c>
      <c r="C1919" s="1" t="n">
        <v>45851</v>
      </c>
      <c r="D1919" t="inlineStr">
        <is>
          <t>KALMAR LÄN</t>
        </is>
      </c>
      <c r="E1919" t="inlineStr">
        <is>
          <t>VÄSTERVIK</t>
        </is>
      </c>
      <c r="F1919" t="inlineStr">
        <is>
          <t>Sveaskog</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14685-2025</t>
        </is>
      </c>
      <c r="B1920" s="1" t="n">
        <v>45742</v>
      </c>
      <c r="C1920" s="1" t="n">
        <v>45851</v>
      </c>
      <c r="D1920" t="inlineStr">
        <is>
          <t>KALMAR LÄN</t>
        </is>
      </c>
      <c r="E1920" t="inlineStr">
        <is>
          <t>VÄSTERVIK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14811-2025</t>
        </is>
      </c>
      <c r="B1921" s="1" t="n">
        <v>45743</v>
      </c>
      <c r="C1921" s="1" t="n">
        <v>45851</v>
      </c>
      <c r="D1921" t="inlineStr">
        <is>
          <t>KALMAR LÄN</t>
        </is>
      </c>
      <c r="E1921" t="inlineStr">
        <is>
          <t>VÄSTERVIK</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15021-2025</t>
        </is>
      </c>
      <c r="B1922" s="1" t="n">
        <v>45743</v>
      </c>
      <c r="C1922" s="1" t="n">
        <v>45851</v>
      </c>
      <c r="D1922" t="inlineStr">
        <is>
          <t>KALMAR LÄN</t>
        </is>
      </c>
      <c r="E1922" t="inlineStr">
        <is>
          <t>VÄSTERVIK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15451-2025</t>
        </is>
      </c>
      <c r="B1923" s="1" t="n">
        <v>45747</v>
      </c>
      <c r="C1923" s="1" t="n">
        <v>45851</v>
      </c>
      <c r="D1923" t="inlineStr">
        <is>
          <t>KALMAR LÄN</t>
        </is>
      </c>
      <c r="E1923" t="inlineStr">
        <is>
          <t>VÄSTERVIK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15444-2025</t>
        </is>
      </c>
      <c r="B1924" s="1" t="n">
        <v>45747</v>
      </c>
      <c r="C1924" s="1" t="n">
        <v>45851</v>
      </c>
      <c r="D1924" t="inlineStr">
        <is>
          <t>KALMAR LÄN</t>
        </is>
      </c>
      <c r="E1924" t="inlineStr">
        <is>
          <t>VÄSTERVIK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15440-2025</t>
        </is>
      </c>
      <c r="B1925" s="1" t="n">
        <v>45747</v>
      </c>
      <c r="C1925" s="1" t="n">
        <v>45851</v>
      </c>
      <c r="D1925" t="inlineStr">
        <is>
          <t>KALMAR LÄN</t>
        </is>
      </c>
      <c r="E1925" t="inlineStr">
        <is>
          <t>VÄSTERVIK</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15379-2025</t>
        </is>
      </c>
      <c r="B1926" s="1" t="n">
        <v>45747</v>
      </c>
      <c r="C1926" s="1" t="n">
        <v>45851</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15524-2025</t>
        </is>
      </c>
      <c r="B1927" s="1" t="n">
        <v>45747</v>
      </c>
      <c r="C1927" s="1" t="n">
        <v>45851</v>
      </c>
      <c r="D1927" t="inlineStr">
        <is>
          <t>KALMAR LÄN</t>
        </is>
      </c>
      <c r="E1927" t="inlineStr">
        <is>
          <t>VÄSTERVIK</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15851-2025</t>
        </is>
      </c>
      <c r="B1928" s="1" t="n">
        <v>45748</v>
      </c>
      <c r="C1928" s="1" t="n">
        <v>45851</v>
      </c>
      <c r="D1928" t="inlineStr">
        <is>
          <t>KALMAR LÄN</t>
        </is>
      </c>
      <c r="E1928" t="inlineStr">
        <is>
          <t>VÄSTERVIK</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16080-2025</t>
        </is>
      </c>
      <c r="B1929" s="1" t="n">
        <v>45749</v>
      </c>
      <c r="C1929" s="1" t="n">
        <v>45851</v>
      </c>
      <c r="D1929" t="inlineStr">
        <is>
          <t>KALMAR LÄN</t>
        </is>
      </c>
      <c r="E1929" t="inlineStr">
        <is>
          <t>VÄSTERVIK</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16841-2025</t>
        </is>
      </c>
      <c r="B1930" s="1" t="n">
        <v>45754</v>
      </c>
      <c r="C1930" s="1" t="n">
        <v>45851</v>
      </c>
      <c r="D1930" t="inlineStr">
        <is>
          <t>KALMAR LÄN</t>
        </is>
      </c>
      <c r="E1930" t="inlineStr">
        <is>
          <t>VÄSTERVIK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16790-2025</t>
        </is>
      </c>
      <c r="B1931" s="1" t="n">
        <v>45754</v>
      </c>
      <c r="C1931" s="1" t="n">
        <v>45851</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16848-2025</t>
        </is>
      </c>
      <c r="B1932" s="1" t="n">
        <v>45754</v>
      </c>
      <c r="C1932" s="1" t="n">
        <v>45851</v>
      </c>
      <c r="D1932" t="inlineStr">
        <is>
          <t>KALMAR LÄN</t>
        </is>
      </c>
      <c r="E1932" t="inlineStr">
        <is>
          <t>VÄSTERVIK</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16686-2025</t>
        </is>
      </c>
      <c r="B1933" s="1" t="n">
        <v>45754</v>
      </c>
      <c r="C1933" s="1" t="n">
        <v>45851</v>
      </c>
      <c r="D1933" t="inlineStr">
        <is>
          <t>KALMAR LÄN</t>
        </is>
      </c>
      <c r="E1933" t="inlineStr">
        <is>
          <t>VÄSTERVIK</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16847-2025</t>
        </is>
      </c>
      <c r="B1934" s="1" t="n">
        <v>45754</v>
      </c>
      <c r="C1934" s="1" t="n">
        <v>45851</v>
      </c>
      <c r="D1934" t="inlineStr">
        <is>
          <t>KALMAR LÄN</t>
        </is>
      </c>
      <c r="E1934" t="inlineStr">
        <is>
          <t>VÄSTERVIK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16680-2025</t>
        </is>
      </c>
      <c r="B1935" s="1" t="n">
        <v>45754</v>
      </c>
      <c r="C1935" s="1" t="n">
        <v>45851</v>
      </c>
      <c r="D1935" t="inlineStr">
        <is>
          <t>KALMAR LÄN</t>
        </is>
      </c>
      <c r="E1935" t="inlineStr">
        <is>
          <t>VÄSTERVIK</t>
        </is>
      </c>
      <c r="F1935" t="inlineStr">
        <is>
          <t>Sveaskog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16683-2025</t>
        </is>
      </c>
      <c r="B1936" s="1" t="n">
        <v>45754</v>
      </c>
      <c r="C1936" s="1" t="n">
        <v>45851</v>
      </c>
      <c r="D1936" t="inlineStr">
        <is>
          <t>KALMAR LÄN</t>
        </is>
      </c>
      <c r="E1936" t="inlineStr">
        <is>
          <t>VÄSTERVIK</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16846-2025</t>
        </is>
      </c>
      <c r="B1937" s="1" t="n">
        <v>45754</v>
      </c>
      <c r="C1937" s="1" t="n">
        <v>45851</v>
      </c>
      <c r="D1937" t="inlineStr">
        <is>
          <t>KALMAR LÄN</t>
        </is>
      </c>
      <c r="E1937" t="inlineStr">
        <is>
          <t>VÄSTERVIK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16689-2025</t>
        </is>
      </c>
      <c r="B1938" s="1" t="n">
        <v>45754</v>
      </c>
      <c r="C1938" s="1" t="n">
        <v>45851</v>
      </c>
      <c r="D1938" t="inlineStr">
        <is>
          <t>KALMAR LÄN</t>
        </is>
      </c>
      <c r="E1938" t="inlineStr">
        <is>
          <t>VÄSTERVIK</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16693-2025</t>
        </is>
      </c>
      <c r="B1939" s="1" t="n">
        <v>45754</v>
      </c>
      <c r="C1939" s="1" t="n">
        <v>45851</v>
      </c>
      <c r="D1939" t="inlineStr">
        <is>
          <t>KALMAR LÄN</t>
        </is>
      </c>
      <c r="E1939" t="inlineStr">
        <is>
          <t>VÄSTERVIK</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16691-2025</t>
        </is>
      </c>
      <c r="B1940" s="1" t="n">
        <v>45754</v>
      </c>
      <c r="C1940" s="1" t="n">
        <v>45851</v>
      </c>
      <c r="D1940" t="inlineStr">
        <is>
          <t>KALMAR LÄN</t>
        </is>
      </c>
      <c r="E1940" t="inlineStr">
        <is>
          <t>VÄSTERVIK</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16692-2025</t>
        </is>
      </c>
      <c r="B1941" s="1" t="n">
        <v>45754</v>
      </c>
      <c r="C1941" s="1" t="n">
        <v>45851</v>
      </c>
      <c r="D1941" t="inlineStr">
        <is>
          <t>KALMAR LÄN</t>
        </is>
      </c>
      <c r="E1941" t="inlineStr">
        <is>
          <t>VÄSTERVIK</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16839-2025</t>
        </is>
      </c>
      <c r="B1942" s="1" t="n">
        <v>45754</v>
      </c>
      <c r="C1942" s="1" t="n">
        <v>45851</v>
      </c>
      <c r="D1942" t="inlineStr">
        <is>
          <t>KALMAR LÄN</t>
        </is>
      </c>
      <c r="E1942" t="inlineStr">
        <is>
          <t>VÄSTERVIK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17054-2025</t>
        </is>
      </c>
      <c r="B1943" s="1" t="n">
        <v>45755</v>
      </c>
      <c r="C1943" s="1" t="n">
        <v>45851</v>
      </c>
      <c r="D1943" t="inlineStr">
        <is>
          <t>KALMAR LÄN</t>
        </is>
      </c>
      <c r="E1943" t="inlineStr">
        <is>
          <t>VÄSTERVIK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17052-2025</t>
        </is>
      </c>
      <c r="B1944" s="1" t="n">
        <v>45755</v>
      </c>
      <c r="C1944" s="1" t="n">
        <v>45851</v>
      </c>
      <c r="D1944" t="inlineStr">
        <is>
          <t>KALMAR LÄN</t>
        </is>
      </c>
      <c r="E1944" t="inlineStr">
        <is>
          <t>VÄSTERVIK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18728-2025</t>
        </is>
      </c>
      <c r="B1945" s="1" t="n">
        <v>45763</v>
      </c>
      <c r="C1945" s="1" t="n">
        <v>45851</v>
      </c>
      <c r="D1945" t="inlineStr">
        <is>
          <t>KALMAR LÄN</t>
        </is>
      </c>
      <c r="E1945" t="inlineStr">
        <is>
          <t>VÄSTERVIK</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18880-2025</t>
        </is>
      </c>
      <c r="B1946" s="1" t="n">
        <v>45764</v>
      </c>
      <c r="C1946" s="1" t="n">
        <v>45851</v>
      </c>
      <c r="D1946" t="inlineStr">
        <is>
          <t>KALMAR LÄN</t>
        </is>
      </c>
      <c r="E1946" t="inlineStr">
        <is>
          <t>VÄSTERVIK</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18884-2025</t>
        </is>
      </c>
      <c r="B1947" s="1" t="n">
        <v>45764</v>
      </c>
      <c r="C1947" s="1" t="n">
        <v>45851</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19608-2025</t>
        </is>
      </c>
      <c r="B1948" s="1" t="n">
        <v>45770</v>
      </c>
      <c r="C1948" s="1" t="n">
        <v>45851</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19950-2025</t>
        </is>
      </c>
      <c r="B1949" s="1" t="n">
        <v>45771</v>
      </c>
      <c r="C1949" s="1" t="n">
        <v>45851</v>
      </c>
      <c r="D1949" t="inlineStr">
        <is>
          <t>KALMAR LÄN</t>
        </is>
      </c>
      <c r="E1949" t="inlineStr">
        <is>
          <t>VÄSTERVIK</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19694-2025</t>
        </is>
      </c>
      <c r="B1950" s="1" t="n">
        <v>45771</v>
      </c>
      <c r="C1950" s="1" t="n">
        <v>45851</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20483-2025</t>
        </is>
      </c>
      <c r="B1951" s="1" t="n">
        <v>45775</v>
      </c>
      <c r="C1951" s="1" t="n">
        <v>45851</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21015-2025</t>
        </is>
      </c>
      <c r="B1952" s="1" t="n">
        <v>45777</v>
      </c>
      <c r="C1952" s="1" t="n">
        <v>45851</v>
      </c>
      <c r="D1952" t="inlineStr">
        <is>
          <t>KALMAR LÄN</t>
        </is>
      </c>
      <c r="E1952" t="inlineStr">
        <is>
          <t>VÄSTERVIK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21503-2025</t>
        </is>
      </c>
      <c r="B1953" s="1" t="n">
        <v>45782</v>
      </c>
      <c r="C1953" s="1" t="n">
        <v>45851</v>
      </c>
      <c r="D1953" t="inlineStr">
        <is>
          <t>KALMAR LÄN</t>
        </is>
      </c>
      <c r="E1953" t="inlineStr">
        <is>
          <t>VÄSTERVIK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21657-2025</t>
        </is>
      </c>
      <c r="B1954" s="1" t="n">
        <v>45783</v>
      </c>
      <c r="C1954" s="1" t="n">
        <v>45851</v>
      </c>
      <c r="D1954" t="inlineStr">
        <is>
          <t>KALMAR LÄN</t>
        </is>
      </c>
      <c r="E1954" t="inlineStr">
        <is>
          <t>VÄSTERVIK</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21660-2025</t>
        </is>
      </c>
      <c r="B1955" s="1" t="n">
        <v>45783</v>
      </c>
      <c r="C1955" s="1" t="n">
        <v>45851</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21661-2025</t>
        </is>
      </c>
      <c r="B1956" s="1" t="n">
        <v>45783</v>
      </c>
      <c r="C1956" s="1" t="n">
        <v>45851</v>
      </c>
      <c r="D1956" t="inlineStr">
        <is>
          <t>KALMAR LÄN</t>
        </is>
      </c>
      <c r="E1956" t="inlineStr">
        <is>
          <t>VÄSTERVIK</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21658-2025</t>
        </is>
      </c>
      <c r="B1957" s="1" t="n">
        <v>45783</v>
      </c>
      <c r="C1957" s="1" t="n">
        <v>45851</v>
      </c>
      <c r="D1957" t="inlineStr">
        <is>
          <t>KALMAR LÄN</t>
        </is>
      </c>
      <c r="E1957" t="inlineStr">
        <is>
          <t>VÄSTERVIK</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21991-2025</t>
        </is>
      </c>
      <c r="B1958" s="1" t="n">
        <v>45784</v>
      </c>
      <c r="C1958" s="1" t="n">
        <v>45851</v>
      </c>
      <c r="D1958" t="inlineStr">
        <is>
          <t>KALMAR LÄN</t>
        </is>
      </c>
      <c r="E1958" t="inlineStr">
        <is>
          <t>VÄSTERVIK</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22893-2025</t>
        </is>
      </c>
      <c r="B1959" s="1" t="n">
        <v>45790</v>
      </c>
      <c r="C1959" s="1" t="n">
        <v>45851</v>
      </c>
      <c r="D1959" t="inlineStr">
        <is>
          <t>KALMAR LÄN</t>
        </is>
      </c>
      <c r="E1959" t="inlineStr">
        <is>
          <t>VÄSTERVIK</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23042-2025</t>
        </is>
      </c>
      <c r="B1960" s="1" t="n">
        <v>45790</v>
      </c>
      <c r="C1960" s="1" t="n">
        <v>45851</v>
      </c>
      <c r="D1960" t="inlineStr">
        <is>
          <t>KALMAR LÄN</t>
        </is>
      </c>
      <c r="E1960" t="inlineStr">
        <is>
          <t>VÄSTERVIK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22891-2025</t>
        </is>
      </c>
      <c r="B1961" s="1" t="n">
        <v>45790</v>
      </c>
      <c r="C1961" s="1" t="n">
        <v>45851</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23022-2025</t>
        </is>
      </c>
      <c r="B1962" s="1" t="n">
        <v>45790</v>
      </c>
      <c r="C1962" s="1" t="n">
        <v>45851</v>
      </c>
      <c r="D1962" t="inlineStr">
        <is>
          <t>KALMAR LÄN</t>
        </is>
      </c>
      <c r="E1962" t="inlineStr">
        <is>
          <t>VÄSTERVIK</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23024-2025</t>
        </is>
      </c>
      <c r="B1963" s="1" t="n">
        <v>45790</v>
      </c>
      <c r="C1963" s="1" t="n">
        <v>45851</v>
      </c>
      <c r="D1963" t="inlineStr">
        <is>
          <t>KALMAR LÄN</t>
        </is>
      </c>
      <c r="E1963" t="inlineStr">
        <is>
          <t>VÄSTERVIK</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23033-2025</t>
        </is>
      </c>
      <c r="B1964" s="1" t="n">
        <v>45790</v>
      </c>
      <c r="C1964" s="1" t="n">
        <v>45851</v>
      </c>
      <c r="D1964" t="inlineStr">
        <is>
          <t>KALMAR LÄN</t>
        </is>
      </c>
      <c r="E1964" t="inlineStr">
        <is>
          <t>VÄSTERVIK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23148-2025</t>
        </is>
      </c>
      <c r="B1965" s="1" t="n">
        <v>45791</v>
      </c>
      <c r="C1965" s="1" t="n">
        <v>45851</v>
      </c>
      <c r="D1965" t="inlineStr">
        <is>
          <t>KALMAR LÄN</t>
        </is>
      </c>
      <c r="E1965" t="inlineStr">
        <is>
          <t>VÄSTERVIK</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23706-2025</t>
        </is>
      </c>
      <c r="B1966" s="1" t="n">
        <v>45793</v>
      </c>
      <c r="C1966" s="1" t="n">
        <v>45851</v>
      </c>
      <c r="D1966" t="inlineStr">
        <is>
          <t>KALMAR LÄN</t>
        </is>
      </c>
      <c r="E1966" t="inlineStr">
        <is>
          <t>VÄSTERVIK</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23859-2025</t>
        </is>
      </c>
      <c r="B1967" s="1" t="n">
        <v>45793</v>
      </c>
      <c r="C1967" s="1" t="n">
        <v>45851</v>
      </c>
      <c r="D1967" t="inlineStr">
        <is>
          <t>KALMAR LÄN</t>
        </is>
      </c>
      <c r="E1967" t="inlineStr">
        <is>
          <t>VÄSTERVIK</t>
        </is>
      </c>
      <c r="F1967" t="inlineStr">
        <is>
          <t>Holmen skog AB</t>
        </is>
      </c>
      <c r="G1967" t="n">
        <v>17.7</v>
      </c>
      <c r="H1967" t="n">
        <v>0</v>
      </c>
      <c r="I1967" t="n">
        <v>0</v>
      </c>
      <c r="J1967" t="n">
        <v>0</v>
      </c>
      <c r="K1967" t="n">
        <v>0</v>
      </c>
      <c r="L1967" t="n">
        <v>0</v>
      </c>
      <c r="M1967" t="n">
        <v>0</v>
      </c>
      <c r="N1967" t="n">
        <v>0</v>
      </c>
      <c r="O1967" t="n">
        <v>0</v>
      </c>
      <c r="P1967" t="n">
        <v>0</v>
      </c>
      <c r="Q1967" t="n">
        <v>0</v>
      </c>
      <c r="R1967" s="2" t="inlineStr"/>
    </row>
    <row r="1968" ht="15" customHeight="1">
      <c r="A1968" t="inlineStr">
        <is>
          <t>A 23739-2025</t>
        </is>
      </c>
      <c r="B1968" s="1" t="n">
        <v>45793</v>
      </c>
      <c r="C1968" s="1" t="n">
        <v>45851</v>
      </c>
      <c r="D1968" t="inlineStr">
        <is>
          <t>KALMAR LÄN</t>
        </is>
      </c>
      <c r="E1968" t="inlineStr">
        <is>
          <t>VÄSTERVIK</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23745-2025</t>
        </is>
      </c>
      <c r="B1969" s="1" t="n">
        <v>45793</v>
      </c>
      <c r="C1969" s="1" t="n">
        <v>45851</v>
      </c>
      <c r="D1969" t="inlineStr">
        <is>
          <t>KALMAR LÄN</t>
        </is>
      </c>
      <c r="E1969" t="inlineStr">
        <is>
          <t>VÄSTERVIK</t>
        </is>
      </c>
      <c r="F1969" t="inlineStr">
        <is>
          <t>Holmen skog AB</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24212-2025</t>
        </is>
      </c>
      <c r="B1970" s="1" t="n">
        <v>45797</v>
      </c>
      <c r="C1970" s="1" t="n">
        <v>45851</v>
      </c>
      <c r="D1970" t="inlineStr">
        <is>
          <t>KALMAR LÄN</t>
        </is>
      </c>
      <c r="E1970" t="inlineStr">
        <is>
          <t>VÄSTERVIK</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24819-2025</t>
        </is>
      </c>
      <c r="B1971" s="1" t="n">
        <v>45799</v>
      </c>
      <c r="C1971" s="1" t="n">
        <v>45851</v>
      </c>
      <c r="D1971" t="inlineStr">
        <is>
          <t>KALMAR LÄN</t>
        </is>
      </c>
      <c r="E1971" t="inlineStr">
        <is>
          <t>VÄSTERVIK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25827-2025</t>
        </is>
      </c>
      <c r="B1972" s="1" t="n">
        <v>45804</v>
      </c>
      <c r="C1972" s="1" t="n">
        <v>45851</v>
      </c>
      <c r="D1972" t="inlineStr">
        <is>
          <t>KALMAR LÄN</t>
        </is>
      </c>
      <c r="E1972" t="inlineStr">
        <is>
          <t>VÄSTERVIK</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25819-2025</t>
        </is>
      </c>
      <c r="B1973" s="1" t="n">
        <v>45804</v>
      </c>
      <c r="C1973" s="1" t="n">
        <v>45851</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26566-2025</t>
        </is>
      </c>
      <c r="B1974" s="1" t="n">
        <v>45807</v>
      </c>
      <c r="C1974" s="1" t="n">
        <v>45851</v>
      </c>
      <c r="D1974" t="inlineStr">
        <is>
          <t>KALMAR LÄN</t>
        </is>
      </c>
      <c r="E1974" t="inlineStr">
        <is>
          <t>VÄSTERVIK</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26569-2025</t>
        </is>
      </c>
      <c r="B1975" s="1" t="n">
        <v>45807</v>
      </c>
      <c r="C1975" s="1" t="n">
        <v>45851</v>
      </c>
      <c r="D1975" t="inlineStr">
        <is>
          <t>KALMAR LÄN</t>
        </is>
      </c>
      <c r="E1975" t="inlineStr">
        <is>
          <t>VÄSTERVIK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26572-2025</t>
        </is>
      </c>
      <c r="B1976" s="1" t="n">
        <v>45807</v>
      </c>
      <c r="C1976" s="1" t="n">
        <v>45851</v>
      </c>
      <c r="D1976" t="inlineStr">
        <is>
          <t>KALMAR LÄN</t>
        </is>
      </c>
      <c r="E1976" t="inlineStr">
        <is>
          <t>VÄSTERVIK</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26571-2025</t>
        </is>
      </c>
      <c r="B1977" s="1" t="n">
        <v>45807</v>
      </c>
      <c r="C1977" s="1" t="n">
        <v>45851</v>
      </c>
      <c r="D1977" t="inlineStr">
        <is>
          <t>KALMAR LÄN</t>
        </is>
      </c>
      <c r="E1977" t="inlineStr">
        <is>
          <t>VÄSTERVIK</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26568-2025</t>
        </is>
      </c>
      <c r="B1978" s="1" t="n">
        <v>45807</v>
      </c>
      <c r="C1978" s="1" t="n">
        <v>45851</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26633-2025</t>
        </is>
      </c>
      <c r="B1979" s="1" t="n">
        <v>45810</v>
      </c>
      <c r="C1979" s="1" t="n">
        <v>45851</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27446-2025</t>
        </is>
      </c>
      <c r="B1980" s="1" t="n">
        <v>45813</v>
      </c>
      <c r="C1980" s="1" t="n">
        <v>45851</v>
      </c>
      <c r="D1980" t="inlineStr">
        <is>
          <t>KALMAR LÄN</t>
        </is>
      </c>
      <c r="E1980" t="inlineStr">
        <is>
          <t>VÄSTERVIK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27991-2025</t>
        </is>
      </c>
      <c r="B1981" s="1" t="n">
        <v>45817</v>
      </c>
      <c r="C1981" s="1" t="n">
        <v>45851</v>
      </c>
      <c r="D1981" t="inlineStr">
        <is>
          <t>KALMAR LÄN</t>
        </is>
      </c>
      <c r="E1981" t="inlineStr">
        <is>
          <t>VÄSTERVIK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27974-2025</t>
        </is>
      </c>
      <c r="B1982" s="1" t="n">
        <v>45817</v>
      </c>
      <c r="C1982" s="1" t="n">
        <v>45851</v>
      </c>
      <c r="D1982" t="inlineStr">
        <is>
          <t>KALMAR LÄN</t>
        </is>
      </c>
      <c r="E1982" t="inlineStr">
        <is>
          <t>VÄSTERVIK</t>
        </is>
      </c>
      <c r="F1982" t="inlineStr">
        <is>
          <t>Sveaskog</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27978-2025</t>
        </is>
      </c>
      <c r="B1983" s="1" t="n">
        <v>45817</v>
      </c>
      <c r="C1983" s="1" t="n">
        <v>45851</v>
      </c>
      <c r="D1983" t="inlineStr">
        <is>
          <t>KALMAR LÄN</t>
        </is>
      </c>
      <c r="E1983" t="inlineStr">
        <is>
          <t>VÄSTERVIK</t>
        </is>
      </c>
      <c r="F1983" t="inlineStr">
        <is>
          <t>Sveaskog</t>
        </is>
      </c>
      <c r="G1983" t="n">
        <v>10.8</v>
      </c>
      <c r="H1983" t="n">
        <v>0</v>
      </c>
      <c r="I1983" t="n">
        <v>0</v>
      </c>
      <c r="J1983" t="n">
        <v>0</v>
      </c>
      <c r="K1983" t="n">
        <v>0</v>
      </c>
      <c r="L1983" t="n">
        <v>0</v>
      </c>
      <c r="M1983" t="n">
        <v>0</v>
      </c>
      <c r="N1983" t="n">
        <v>0</v>
      </c>
      <c r="O1983" t="n">
        <v>0</v>
      </c>
      <c r="P1983" t="n">
        <v>0</v>
      </c>
      <c r="Q1983" t="n">
        <v>0</v>
      </c>
      <c r="R1983" s="2" t="inlineStr"/>
    </row>
    <row r="1984" ht="15" customHeight="1">
      <c r="A1984" t="inlineStr">
        <is>
          <t>A 27980-2025</t>
        </is>
      </c>
      <c r="B1984" s="1" t="n">
        <v>45817</v>
      </c>
      <c r="C1984" s="1" t="n">
        <v>45851</v>
      </c>
      <c r="D1984" t="inlineStr">
        <is>
          <t>KALMAR LÄN</t>
        </is>
      </c>
      <c r="E1984" t="inlineStr">
        <is>
          <t>VÄSTERVIK</t>
        </is>
      </c>
      <c r="F1984" t="inlineStr">
        <is>
          <t>Sveaskog</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27982-2025</t>
        </is>
      </c>
      <c r="B1985" s="1" t="n">
        <v>45817</v>
      </c>
      <c r="C1985" s="1" t="n">
        <v>45851</v>
      </c>
      <c r="D1985" t="inlineStr">
        <is>
          <t>KALMAR LÄN</t>
        </is>
      </c>
      <c r="E1985" t="inlineStr">
        <is>
          <t>VÄSTERVIK</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28096-2025</t>
        </is>
      </c>
      <c r="B1986" s="1" t="n">
        <v>45817</v>
      </c>
      <c r="C1986" s="1" t="n">
        <v>45851</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28098-2025</t>
        </is>
      </c>
      <c r="B1987" s="1" t="n">
        <v>45817</v>
      </c>
      <c r="C1987" s="1" t="n">
        <v>45851</v>
      </c>
      <c r="D1987" t="inlineStr">
        <is>
          <t>KALMAR LÄN</t>
        </is>
      </c>
      <c r="E1987" t="inlineStr">
        <is>
          <t>VÄSTERVIK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28203-2025</t>
        </is>
      </c>
      <c r="B1988" s="1" t="n">
        <v>45818</v>
      </c>
      <c r="C1988" s="1" t="n">
        <v>45851</v>
      </c>
      <c r="D1988" t="inlineStr">
        <is>
          <t>KALMAR LÄN</t>
        </is>
      </c>
      <c r="E1988" t="inlineStr">
        <is>
          <t>VÄSTERVIK</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28260-2025</t>
        </is>
      </c>
      <c r="B1989" s="1" t="n">
        <v>45818</v>
      </c>
      <c r="C1989" s="1" t="n">
        <v>45851</v>
      </c>
      <c r="D1989" t="inlineStr">
        <is>
          <t>KALMAR LÄN</t>
        </is>
      </c>
      <c r="E1989" t="inlineStr">
        <is>
          <t>VÄSTERVIK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28696-2025</t>
        </is>
      </c>
      <c r="B1990" s="1" t="n">
        <v>45819</v>
      </c>
      <c r="C1990" s="1" t="n">
        <v>45851</v>
      </c>
      <c r="D1990" t="inlineStr">
        <is>
          <t>KALMAR LÄN</t>
        </is>
      </c>
      <c r="E1990" t="inlineStr">
        <is>
          <t>VÄSTERVIK</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29719-2025</t>
        </is>
      </c>
      <c r="B1991" s="1" t="n">
        <v>45825</v>
      </c>
      <c r="C1991" s="1" t="n">
        <v>45851</v>
      </c>
      <c r="D1991" t="inlineStr">
        <is>
          <t>KALMAR LÄN</t>
        </is>
      </c>
      <c r="E1991" t="inlineStr">
        <is>
          <t>VÄSTERVIK</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29722-2025</t>
        </is>
      </c>
      <c r="B1992" s="1" t="n">
        <v>45825</v>
      </c>
      <c r="C1992" s="1" t="n">
        <v>45851</v>
      </c>
      <c r="D1992" t="inlineStr">
        <is>
          <t>KALMAR LÄN</t>
        </is>
      </c>
      <c r="E1992" t="inlineStr">
        <is>
          <t>VÄSTERVIK</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29678-2025</t>
        </is>
      </c>
      <c r="B1993" s="1" t="n">
        <v>45825</v>
      </c>
      <c r="C1993" s="1" t="n">
        <v>45851</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30644-2025</t>
        </is>
      </c>
      <c r="B1994" s="1" t="n">
        <v>45831</v>
      </c>
      <c r="C1994" s="1" t="n">
        <v>45851</v>
      </c>
      <c r="D1994" t="inlineStr">
        <is>
          <t>KALMAR LÄN</t>
        </is>
      </c>
      <c r="E1994" t="inlineStr">
        <is>
          <t>VÄSTERVIK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30811-2025</t>
        </is>
      </c>
      <c r="B1995" s="1" t="n">
        <v>45831</v>
      </c>
      <c r="C1995" s="1" t="n">
        <v>45851</v>
      </c>
      <c r="D1995" t="inlineStr">
        <is>
          <t>KALMAR LÄN</t>
        </is>
      </c>
      <c r="E1995" t="inlineStr">
        <is>
          <t>VÄSTERVIK</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30690-2025</t>
        </is>
      </c>
      <c r="B1996" s="1" t="n">
        <v>45831</v>
      </c>
      <c r="C1996" s="1" t="n">
        <v>45851</v>
      </c>
      <c r="D1996" t="inlineStr">
        <is>
          <t>KALMAR LÄN</t>
        </is>
      </c>
      <c r="E1996" t="inlineStr">
        <is>
          <t>VÄSTERVIK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30789-2025</t>
        </is>
      </c>
      <c r="B1997" s="1" t="n">
        <v>45831</v>
      </c>
      <c r="C1997" s="1" t="n">
        <v>45851</v>
      </c>
      <c r="D1997" t="inlineStr">
        <is>
          <t>KALMAR LÄN</t>
        </is>
      </c>
      <c r="E1997" t="inlineStr">
        <is>
          <t>VÄSTERVIK</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30800-2025</t>
        </is>
      </c>
      <c r="B1998" s="1" t="n">
        <v>45831</v>
      </c>
      <c r="C1998" s="1" t="n">
        <v>45851</v>
      </c>
      <c r="D1998" t="inlineStr">
        <is>
          <t>KALMAR LÄN</t>
        </is>
      </c>
      <c r="E1998" t="inlineStr">
        <is>
          <t>VÄSTERVIK</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30648-2025</t>
        </is>
      </c>
      <c r="B1999" s="1" t="n">
        <v>45831</v>
      </c>
      <c r="C1999" s="1" t="n">
        <v>45851</v>
      </c>
      <c r="D1999" t="inlineStr">
        <is>
          <t>KALMAR LÄN</t>
        </is>
      </c>
      <c r="E1999" t="inlineStr">
        <is>
          <t>VÄSTERVIK</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31248-2025</t>
        </is>
      </c>
      <c r="B2000" s="1" t="n">
        <v>45832</v>
      </c>
      <c r="C2000" s="1" t="n">
        <v>45851</v>
      </c>
      <c r="D2000" t="inlineStr">
        <is>
          <t>KALMAR LÄN</t>
        </is>
      </c>
      <c r="E2000" t="inlineStr">
        <is>
          <t>VÄSTERVIK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31600-2025</t>
        </is>
      </c>
      <c r="B2001" s="1" t="n">
        <v>45833</v>
      </c>
      <c r="C2001" s="1" t="n">
        <v>45851</v>
      </c>
      <c r="D2001" t="inlineStr">
        <is>
          <t>KALMAR LÄN</t>
        </is>
      </c>
      <c r="E2001" t="inlineStr">
        <is>
          <t>VÄSTERVIK</t>
        </is>
      </c>
      <c r="F2001" t="inlineStr">
        <is>
          <t>Holmen skog AB</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31576-2025</t>
        </is>
      </c>
      <c r="B2002" s="1" t="n">
        <v>45833</v>
      </c>
      <c r="C2002" s="1" t="n">
        <v>45851</v>
      </c>
      <c r="D2002" t="inlineStr">
        <is>
          <t>KALMAR LÄN</t>
        </is>
      </c>
      <c r="E2002" t="inlineStr">
        <is>
          <t>VÄSTERVIK</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31419-2025</t>
        </is>
      </c>
      <c r="B2003" s="1" t="n">
        <v>45833</v>
      </c>
      <c r="C2003" s="1" t="n">
        <v>45851</v>
      </c>
      <c r="D2003" t="inlineStr">
        <is>
          <t>KALMAR LÄN</t>
        </is>
      </c>
      <c r="E2003" t="inlineStr">
        <is>
          <t>VÄSTERVIK</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31886-2025</t>
        </is>
      </c>
      <c r="B2004" s="1" t="n">
        <v>45834</v>
      </c>
      <c r="C2004" s="1" t="n">
        <v>45851</v>
      </c>
      <c r="D2004" t="inlineStr">
        <is>
          <t>KALMAR LÄN</t>
        </is>
      </c>
      <c r="E2004" t="inlineStr">
        <is>
          <t>VÄSTERVIK</t>
        </is>
      </c>
      <c r="F2004" t="inlineStr">
        <is>
          <t>Holmen skog AB</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31843-2025</t>
        </is>
      </c>
      <c r="B2005" s="1" t="n">
        <v>45834</v>
      </c>
      <c r="C2005" s="1" t="n">
        <v>45851</v>
      </c>
      <c r="D2005" t="inlineStr">
        <is>
          <t>KALMAR LÄN</t>
        </is>
      </c>
      <c r="E2005" t="inlineStr">
        <is>
          <t>VÄSTERVIK</t>
        </is>
      </c>
      <c r="F2005" t="inlineStr">
        <is>
          <t>Holmen skog AB</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31857-2025</t>
        </is>
      </c>
      <c r="B2006" s="1" t="n">
        <v>45834</v>
      </c>
      <c r="C2006" s="1" t="n">
        <v>45851</v>
      </c>
      <c r="D2006" t="inlineStr">
        <is>
          <t>KALMAR LÄN</t>
        </is>
      </c>
      <c r="E2006" t="inlineStr">
        <is>
          <t>VÄSTERVIK</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31826-2025</t>
        </is>
      </c>
      <c r="B2007" s="1" t="n">
        <v>45834</v>
      </c>
      <c r="C2007" s="1" t="n">
        <v>45851</v>
      </c>
      <c r="D2007" t="inlineStr">
        <is>
          <t>KALMAR LÄN</t>
        </is>
      </c>
      <c r="E2007" t="inlineStr">
        <is>
          <t>VÄSTERVIK</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32018-2025</t>
        </is>
      </c>
      <c r="B2008" s="1" t="n">
        <v>45835</v>
      </c>
      <c r="C2008" s="1" t="n">
        <v>45851</v>
      </c>
      <c r="D2008" t="inlineStr">
        <is>
          <t>KALMAR LÄN</t>
        </is>
      </c>
      <c r="E2008" t="inlineStr">
        <is>
          <t>VÄSTERVIK</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32400-2025</t>
        </is>
      </c>
      <c r="B2009" s="1" t="n">
        <v>45838</v>
      </c>
      <c r="C2009" s="1" t="n">
        <v>45851</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32495-2025</t>
        </is>
      </c>
      <c r="B2010" s="1" t="n">
        <v>45838</v>
      </c>
      <c r="C2010" s="1" t="n">
        <v>45851</v>
      </c>
      <c r="D2010" t="inlineStr">
        <is>
          <t>KALMAR LÄN</t>
        </is>
      </c>
      <c r="E2010" t="inlineStr">
        <is>
          <t>VÄSTERVIK</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32778-2025</t>
        </is>
      </c>
      <c r="B2011" s="1" t="n">
        <v>45839</v>
      </c>
      <c r="C2011" s="1" t="n">
        <v>45851</v>
      </c>
      <c r="D2011" t="inlineStr">
        <is>
          <t>KALMAR LÄN</t>
        </is>
      </c>
      <c r="E2011" t="inlineStr">
        <is>
          <t>VÄSTERVIK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33184-2025</t>
        </is>
      </c>
      <c r="B2012" s="1" t="n">
        <v>45840</v>
      </c>
      <c r="C2012" s="1" t="n">
        <v>45851</v>
      </c>
      <c r="D2012" t="inlineStr">
        <is>
          <t>KALMAR LÄN</t>
        </is>
      </c>
      <c r="E2012" t="inlineStr">
        <is>
          <t>VÄSTERVIK</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33687-2025</t>
        </is>
      </c>
      <c r="B2013" s="1" t="n">
        <v>45841</v>
      </c>
      <c r="C2013" s="1" t="n">
        <v>45851</v>
      </c>
      <c r="D2013" t="inlineStr">
        <is>
          <t>KALMAR LÄN</t>
        </is>
      </c>
      <c r="E2013" t="inlineStr">
        <is>
          <t>VÄSTERVIK</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33691-2025</t>
        </is>
      </c>
      <c r="B2014" s="1" t="n">
        <v>45841</v>
      </c>
      <c r="C2014" s="1" t="n">
        <v>45851</v>
      </c>
      <c r="D2014" t="inlineStr">
        <is>
          <t>KALMAR LÄN</t>
        </is>
      </c>
      <c r="E2014" t="inlineStr">
        <is>
          <t>VÄSTERVIK</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33903-2025</t>
        </is>
      </c>
      <c r="B2015" s="1" t="n">
        <v>45842</v>
      </c>
      <c r="C2015" s="1" t="n">
        <v>45851</v>
      </c>
      <c r="D2015" t="inlineStr">
        <is>
          <t>KALMAR LÄN</t>
        </is>
      </c>
      <c r="E2015" t="inlineStr">
        <is>
          <t>VÄSTERVIK</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33836-2025</t>
        </is>
      </c>
      <c r="B2016" s="1" t="n">
        <v>45842</v>
      </c>
      <c r="C2016" s="1" t="n">
        <v>45851</v>
      </c>
      <c r="D2016" t="inlineStr">
        <is>
          <t>KALMAR LÄN</t>
        </is>
      </c>
      <c r="E2016" t="inlineStr">
        <is>
          <t>VÄSTERVIK</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33922-2025</t>
        </is>
      </c>
      <c r="B2017" s="1" t="n">
        <v>45842</v>
      </c>
      <c r="C2017" s="1" t="n">
        <v>45851</v>
      </c>
      <c r="D2017" t="inlineStr">
        <is>
          <t>KALMAR LÄN</t>
        </is>
      </c>
      <c r="E2017" t="inlineStr">
        <is>
          <t>VÄSTERVIK</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33928-2025</t>
        </is>
      </c>
      <c r="B2018" s="1" t="n">
        <v>45842</v>
      </c>
      <c r="C2018" s="1" t="n">
        <v>45851</v>
      </c>
      <c r="D2018" t="inlineStr">
        <is>
          <t>KALMAR LÄN</t>
        </is>
      </c>
      <c r="E2018" t="inlineStr">
        <is>
          <t>VÄSTERVIK</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33916-2025</t>
        </is>
      </c>
      <c r="B2019" s="1" t="n">
        <v>45842</v>
      </c>
      <c r="C2019" s="1" t="n">
        <v>45851</v>
      </c>
      <c r="D2019" t="inlineStr">
        <is>
          <t>KALMAR LÄN</t>
        </is>
      </c>
      <c r="E2019" t="inlineStr">
        <is>
          <t>VÄSTERVIK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33921-2025</t>
        </is>
      </c>
      <c r="B2020" s="1" t="n">
        <v>45842</v>
      </c>
      <c r="C2020" s="1" t="n">
        <v>45851</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33931-2025</t>
        </is>
      </c>
      <c r="B2021" s="1" t="n">
        <v>45842</v>
      </c>
      <c r="C2021" s="1" t="n">
        <v>45851</v>
      </c>
      <c r="D2021" t="inlineStr">
        <is>
          <t>KALMAR LÄN</t>
        </is>
      </c>
      <c r="E2021" t="inlineStr">
        <is>
          <t>VÄSTERVIK</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33907-2025</t>
        </is>
      </c>
      <c r="B2022" s="1" t="n">
        <v>45842</v>
      </c>
      <c r="C2022" s="1" t="n">
        <v>45851</v>
      </c>
      <c r="D2022" t="inlineStr">
        <is>
          <t>KALMAR LÄN</t>
        </is>
      </c>
      <c r="E2022" t="inlineStr">
        <is>
          <t>VÄSTERVIK</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33924-2025</t>
        </is>
      </c>
      <c r="B2023" s="1" t="n">
        <v>45842</v>
      </c>
      <c r="C2023" s="1" t="n">
        <v>45851</v>
      </c>
      <c r="D2023" t="inlineStr">
        <is>
          <t>KALMAR LÄN</t>
        </is>
      </c>
      <c r="E2023" t="inlineStr">
        <is>
          <t>VÄSTERVIK</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33842-2025</t>
        </is>
      </c>
      <c r="B2024" s="1" t="n">
        <v>45842</v>
      </c>
      <c r="C2024" s="1" t="n">
        <v>45851</v>
      </c>
      <c r="D2024" t="inlineStr">
        <is>
          <t>KALMAR LÄN</t>
        </is>
      </c>
      <c r="E2024" t="inlineStr">
        <is>
          <t>VÄSTERVIK</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34162-2025</t>
        </is>
      </c>
      <c r="B2025" s="1" t="n">
        <v>45845</v>
      </c>
      <c r="C2025" s="1" t="n">
        <v>45851</v>
      </c>
      <c r="D2025" t="inlineStr">
        <is>
          <t>KALMAR LÄN</t>
        </is>
      </c>
      <c r="E2025" t="inlineStr">
        <is>
          <t>VÄSTERVIK</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34160-2025</t>
        </is>
      </c>
      <c r="B2026" s="1" t="n">
        <v>45845</v>
      </c>
      <c r="C2026" s="1" t="n">
        <v>45851</v>
      </c>
      <c r="D2026" t="inlineStr">
        <is>
          <t>KALMAR LÄN</t>
        </is>
      </c>
      <c r="E2026" t="inlineStr">
        <is>
          <t>VÄSTERVIK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34171-2025</t>
        </is>
      </c>
      <c r="B2027" s="1" t="n">
        <v>45845</v>
      </c>
      <c r="C2027" s="1" t="n">
        <v>45851</v>
      </c>
      <c r="D2027" t="inlineStr">
        <is>
          <t>KALMAR LÄN</t>
        </is>
      </c>
      <c r="E2027" t="inlineStr">
        <is>
          <t>VÄSTERVIK</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34397-2025</t>
        </is>
      </c>
      <c r="B2028" s="1" t="n">
        <v>45846</v>
      </c>
      <c r="C2028" s="1" t="n">
        <v>45851</v>
      </c>
      <c r="D2028" t="inlineStr">
        <is>
          <t>KALMAR LÄN</t>
        </is>
      </c>
      <c r="E2028" t="inlineStr">
        <is>
          <t>VÄSTERVIK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34292-2025</t>
        </is>
      </c>
      <c r="B2029" s="1" t="n">
        <v>45846</v>
      </c>
      <c r="C2029" s="1" t="n">
        <v>45851</v>
      </c>
      <c r="D2029" t="inlineStr">
        <is>
          <t>KALMAR LÄN</t>
        </is>
      </c>
      <c r="E2029" t="inlineStr">
        <is>
          <t>VÄSTERVIK</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34289-2025</t>
        </is>
      </c>
      <c r="B2030" s="1" t="n">
        <v>45846</v>
      </c>
      <c r="C2030" s="1" t="n">
        <v>45851</v>
      </c>
      <c r="D2030" t="inlineStr">
        <is>
          <t>KALMAR LÄN</t>
        </is>
      </c>
      <c r="E2030" t="inlineStr">
        <is>
          <t>VÄSTERVIK</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34617-2025</t>
        </is>
      </c>
      <c r="B2031" s="1" t="n">
        <v>45847</v>
      </c>
      <c r="C2031" s="1" t="n">
        <v>45851</v>
      </c>
      <c r="D2031" t="inlineStr">
        <is>
          <t>KALMAR LÄN</t>
        </is>
      </c>
      <c r="E2031" t="inlineStr">
        <is>
          <t>VÄSTERVIK</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34531-2025</t>
        </is>
      </c>
      <c r="B2032" s="1" t="n">
        <v>45847</v>
      </c>
      <c r="C2032" s="1" t="n">
        <v>45851</v>
      </c>
      <c r="D2032" t="inlineStr">
        <is>
          <t>KALMAR LÄN</t>
        </is>
      </c>
      <c r="E2032" t="inlineStr">
        <is>
          <t>VÄSTERVIK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34619-2025</t>
        </is>
      </c>
      <c r="B2033" s="1" t="n">
        <v>45847</v>
      </c>
      <c r="C2033" s="1" t="n">
        <v>45851</v>
      </c>
      <c r="D2033" t="inlineStr">
        <is>
          <t>KALMAR LÄN</t>
        </is>
      </c>
      <c r="E2033" t="inlineStr">
        <is>
          <t>VÄSTERVIK</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34618-2025</t>
        </is>
      </c>
      <c r="B2034" s="1" t="n">
        <v>45847</v>
      </c>
      <c r="C2034" s="1" t="n">
        <v>45851</v>
      </c>
      <c r="D2034" t="inlineStr">
        <is>
          <t>KALMAR LÄN</t>
        </is>
      </c>
      <c r="E2034" t="inlineStr">
        <is>
          <t>VÄSTERVIK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34639-2025</t>
        </is>
      </c>
      <c r="B2035" s="1" t="n">
        <v>45848</v>
      </c>
      <c r="C2035" s="1" t="n">
        <v>45851</v>
      </c>
      <c r="D2035" t="inlineStr">
        <is>
          <t>KALMAR LÄN</t>
        </is>
      </c>
      <c r="E2035" t="inlineStr">
        <is>
          <t>VÄSTERVIK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34643-2025</t>
        </is>
      </c>
      <c r="B2036" s="1" t="n">
        <v>45848</v>
      </c>
      <c r="C2036" s="1" t="n">
        <v>45851</v>
      </c>
      <c r="D2036" t="inlineStr">
        <is>
          <t>KALMAR LÄN</t>
        </is>
      </c>
      <c r="E2036" t="inlineStr">
        <is>
          <t>VÄSTERVIK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34642-2025</t>
        </is>
      </c>
      <c r="B2037" s="1" t="n">
        <v>45848</v>
      </c>
      <c r="C2037" s="1" t="n">
        <v>45851</v>
      </c>
      <c r="D2037" t="inlineStr">
        <is>
          <t>KALMAR LÄN</t>
        </is>
      </c>
      <c r="E2037" t="inlineStr">
        <is>
          <t>VÄSTERVIK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34644-2025</t>
        </is>
      </c>
      <c r="B2038" s="1" t="n">
        <v>45848</v>
      </c>
      <c r="C2038" s="1" t="n">
        <v>45851</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c r="A2039" t="inlineStr">
        <is>
          <t>A 34916-2025</t>
        </is>
      </c>
      <c r="B2039" s="1" t="n">
        <v>45849</v>
      </c>
      <c r="C2039" s="1" t="n">
        <v>45851</v>
      </c>
      <c r="D2039" t="inlineStr">
        <is>
          <t>KALMAR LÄN</t>
        </is>
      </c>
      <c r="E2039" t="inlineStr">
        <is>
          <t>VÄSTERVIK</t>
        </is>
      </c>
      <c r="G2039" t="n">
        <v>0.7</v>
      </c>
      <c r="H2039" t="n">
        <v>0</v>
      </c>
      <c r="I2039" t="n">
        <v>0</v>
      </c>
      <c r="J2039" t="n">
        <v>0</v>
      </c>
      <c r="K2039" t="n">
        <v>0</v>
      </c>
      <c r="L2039" t="n">
        <v>0</v>
      </c>
      <c r="M2039" t="n">
        <v>0</v>
      </c>
      <c r="N2039" t="n">
        <v>0</v>
      </c>
      <c r="O2039" t="n">
        <v>0</v>
      </c>
      <c r="P2039" t="n">
        <v>0</v>
      </c>
      <c r="Q2039" t="n">
        <v>0</v>
      </c>
      <c r="R2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2025-07-13T19:49:52Z</dcterms:created>
  <dcterms:modified xmlns:dcterms="http://purl.org/dc/terms/" xmlns:xsi="http://www.w3.org/2001/XMLSchema-instance" xsi:type="dcterms:W3CDTF">2025-07-13T19:49:54Z</dcterms:modified>
</cp:coreProperties>
</file>