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45512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45512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45512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45512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45512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45512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45512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45512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45512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45512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45512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45512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45512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45512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45512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45512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45512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45512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45512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45512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27145-2024</t>
        </is>
      </c>
      <c r="B22" s="1" t="n">
        <v>45471</v>
      </c>
      <c r="C22" s="1" t="n">
        <v>45512</v>
      </c>
      <c r="D22" t="inlineStr">
        <is>
          <t>KALMAR LÄN</t>
        </is>
      </c>
      <c r="E22" t="inlineStr">
        <is>
          <t>VÄSTERVIK</t>
        </is>
      </c>
      <c r="F22" t="inlineStr">
        <is>
          <t>Holmen skog AB</t>
        </is>
      </c>
      <c r="G22" t="n">
        <v>11.3</v>
      </c>
      <c r="H22" t="n">
        <v>3</v>
      </c>
      <c r="I22" t="n">
        <v>3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Rotfingersvamp
Spillkråka
Talltita
Ullticka
Blomkålssvamp
Blåmossa
Grönpyrola</t>
        </is>
      </c>
      <c r="S22">
        <f>HYPERLINK("https://klasma.github.io/Logging_0883/artfynd/A 27145-2024 artfynd.xlsx", "A 27145-2024")</f>
        <v/>
      </c>
      <c r="T22">
        <f>HYPERLINK("https://klasma.github.io/Logging_0883/kartor/A 27145-2024 karta.png", "A 27145-2024")</f>
        <v/>
      </c>
      <c r="U22">
        <f>HYPERLINK("https://klasma.github.io/Logging_0883/knärot/A 27145-2024 karta knärot.png", "A 27145-2024")</f>
        <v/>
      </c>
      <c r="V22">
        <f>HYPERLINK("https://klasma.github.io/Logging_0883/klagomål/A 27145-2024 FSC-klagomål.docx", "A 27145-2024")</f>
        <v/>
      </c>
      <c r="W22">
        <f>HYPERLINK("https://klasma.github.io/Logging_0883/klagomålsmail/A 27145-2024 FSC-klagomål mail.docx", "A 27145-2024")</f>
        <v/>
      </c>
      <c r="X22">
        <f>HYPERLINK("https://klasma.github.io/Logging_0883/tillsyn/A 27145-2024 tillsynsbegäran.docx", "A 27145-2024")</f>
        <v/>
      </c>
      <c r="Y22">
        <f>HYPERLINK("https://klasma.github.io/Logging_0883/tillsynsmail/A 27145-2024 tillsynsbegäran mail.docx", "A 27145-2024")</f>
        <v/>
      </c>
      <c r="Z22">
        <f>HYPERLINK("https://klasma.github.io/Logging_0883/fåglar/A 27145-2024 prioriterade fågelarter.docx", "A 27145-2024")</f>
        <v/>
      </c>
    </row>
    <row r="23" ht="15" customHeight="1">
      <c r="A23" t="inlineStr">
        <is>
          <t>A 63850-2021</t>
        </is>
      </c>
      <c r="B23" s="1" t="n">
        <v>44505</v>
      </c>
      <c r="C23" s="1" t="n">
        <v>45512</v>
      </c>
      <c r="D23" t="inlineStr">
        <is>
          <t>KALMAR LÄN</t>
        </is>
      </c>
      <c r="E23" t="inlineStr">
        <is>
          <t>VÄSTERVIK</t>
        </is>
      </c>
      <c r="G23" t="n">
        <v>2.7</v>
      </c>
      <c r="H23" t="n">
        <v>3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Tallticka
Talltita
Ullticka
Grovticka
Grön sköldmossa
Grönpyrola</t>
        </is>
      </c>
      <c r="S23">
        <f>HYPERLINK("https://klasma.github.io/Logging_0883/artfynd/A 63850-2021 artfynd.xlsx", "A 63850-2021")</f>
        <v/>
      </c>
      <c r="T23">
        <f>HYPERLINK("https://klasma.github.io/Logging_0883/kartor/A 63850-2021 karta.png", "A 63850-2021")</f>
        <v/>
      </c>
      <c r="U23">
        <f>HYPERLINK("https://klasma.github.io/Logging_0883/knärot/A 63850-2021 karta knärot.png", "A 63850-2021")</f>
        <v/>
      </c>
      <c r="V23">
        <f>HYPERLINK("https://klasma.github.io/Logging_0883/klagomål/A 63850-2021 FSC-klagomål.docx", "A 63850-2021")</f>
        <v/>
      </c>
      <c r="W23">
        <f>HYPERLINK("https://klasma.github.io/Logging_0883/klagomålsmail/A 63850-2021 FSC-klagomål mail.docx", "A 63850-2021")</f>
        <v/>
      </c>
      <c r="X23">
        <f>HYPERLINK("https://klasma.github.io/Logging_0883/tillsyn/A 63850-2021 tillsynsbegäran.docx", "A 63850-2021")</f>
        <v/>
      </c>
      <c r="Y23">
        <f>HYPERLINK("https://klasma.github.io/Logging_0883/tillsynsmail/A 63850-2021 tillsynsbegäran mail.docx", "A 63850-2021")</f>
        <v/>
      </c>
      <c r="Z23">
        <f>HYPERLINK("https://klasma.github.io/Logging_0883/fåglar/A 63850-2021 prioriterade fågelarter.docx", "A 63850-2021")</f>
        <v/>
      </c>
    </row>
    <row r="24" ht="15" customHeight="1">
      <c r="A24" t="inlineStr">
        <is>
          <t>A 34624-2022</t>
        </is>
      </c>
      <c r="B24" s="1" t="n">
        <v>44795</v>
      </c>
      <c r="C24" s="1" t="n">
        <v>45512</v>
      </c>
      <c r="D24" t="inlineStr">
        <is>
          <t>KALMAR LÄN</t>
        </is>
      </c>
      <c r="E24" t="inlineStr">
        <is>
          <t>VÄSTERVIK</t>
        </is>
      </c>
      <c r="G24" t="n">
        <v>14</v>
      </c>
      <c r="H24" t="n">
        <v>2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Svart taggsvamp
Tallticka
Talltita
Blomkålssvamp
Blåmossa
Grönpyrola</t>
        </is>
      </c>
      <c r="S24">
        <f>HYPERLINK("https://klasma.github.io/Logging_0883/artfynd/A 34624-2022 artfynd.xlsx", "A 34624-2022")</f>
        <v/>
      </c>
      <c r="T24">
        <f>HYPERLINK("https://klasma.github.io/Logging_0883/kartor/A 34624-2022 karta.png", "A 34624-2022")</f>
        <v/>
      </c>
      <c r="U24">
        <f>HYPERLINK("https://klasma.github.io/Logging_0883/knärot/A 34624-2022 karta knärot.png", "A 34624-2022")</f>
        <v/>
      </c>
      <c r="V24">
        <f>HYPERLINK("https://klasma.github.io/Logging_0883/klagomål/A 34624-2022 FSC-klagomål.docx", "A 34624-2022")</f>
        <v/>
      </c>
      <c r="W24">
        <f>HYPERLINK("https://klasma.github.io/Logging_0883/klagomålsmail/A 34624-2022 FSC-klagomål mail.docx", "A 34624-2022")</f>
        <v/>
      </c>
      <c r="X24">
        <f>HYPERLINK("https://klasma.github.io/Logging_0883/tillsyn/A 34624-2022 tillsynsbegäran.docx", "A 34624-2022")</f>
        <v/>
      </c>
      <c r="Y24">
        <f>HYPERLINK("https://klasma.github.io/Logging_0883/tillsynsmail/A 34624-2022 tillsynsbegäran mail.docx", "A 34624-2022")</f>
        <v/>
      </c>
      <c r="Z24">
        <f>HYPERLINK("https://klasma.github.io/Logging_0883/fåglar/A 34624-2022 prioriterade fågelarter.docx", "A 34624-2022")</f>
        <v/>
      </c>
    </row>
    <row r="25" ht="15" customHeight="1">
      <c r="A25" t="inlineStr">
        <is>
          <t>A 30190-2023</t>
        </is>
      </c>
      <c r="B25" s="1" t="n">
        <v>45110</v>
      </c>
      <c r="C25" s="1" t="n">
        <v>45512</v>
      </c>
      <c r="D25" t="inlineStr">
        <is>
          <t>KALMAR LÄN</t>
        </is>
      </c>
      <c r="E25" t="inlineStr">
        <is>
          <t>VÄSTERVIK</t>
        </is>
      </c>
      <c r="F25" t="inlineStr">
        <is>
          <t>Kyrkan</t>
        </is>
      </c>
      <c r="G25" t="n">
        <v>6.9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Motaggsvamp
Svart taggsvamp
Tallticka
Dropptaggsvamp
Grönpyrola
Zontaggsvamp</t>
        </is>
      </c>
      <c r="S25">
        <f>HYPERLINK("https://klasma.github.io/Logging_0883/artfynd/A 30190-2023 artfynd.xlsx", "A 30190-2023")</f>
        <v/>
      </c>
      <c r="T25">
        <f>HYPERLINK("https://klasma.github.io/Logging_0883/kartor/A 30190-2023 karta.png", "A 30190-2023")</f>
        <v/>
      </c>
      <c r="U25">
        <f>HYPERLINK("https://klasma.github.io/Logging_0883/knärot/A 30190-2023 karta knärot.png", "A 30190-2023")</f>
        <v/>
      </c>
      <c r="V25">
        <f>HYPERLINK("https://klasma.github.io/Logging_0883/klagomål/A 30190-2023 FSC-klagomål.docx", "A 30190-2023")</f>
        <v/>
      </c>
      <c r="W25">
        <f>HYPERLINK("https://klasma.github.io/Logging_0883/klagomålsmail/A 30190-2023 FSC-klagomål mail.docx", "A 30190-2023")</f>
        <v/>
      </c>
      <c r="X25">
        <f>HYPERLINK("https://klasma.github.io/Logging_0883/tillsyn/A 30190-2023 tillsynsbegäran.docx", "A 30190-2023")</f>
        <v/>
      </c>
      <c r="Y25">
        <f>HYPERLINK("https://klasma.github.io/Logging_0883/tillsynsmail/A 30190-2023 tillsynsbegäran mail.docx", "A 30190-2023")</f>
        <v/>
      </c>
    </row>
    <row r="26" ht="15" customHeight="1">
      <c r="A26" t="inlineStr">
        <is>
          <t>A 20094-2024</t>
        </is>
      </c>
      <c r="B26" s="1" t="n">
        <v>45434</v>
      </c>
      <c r="C26" s="1" t="n">
        <v>45512</v>
      </c>
      <c r="D26" t="inlineStr">
        <is>
          <t>KALMAR LÄN</t>
        </is>
      </c>
      <c r="E26" t="inlineStr">
        <is>
          <t>VÄSTERVIK</t>
        </is>
      </c>
      <c r="G26" t="n">
        <v>6.4</v>
      </c>
      <c r="H26" t="n">
        <v>2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Granticka
Grönsångare
Tallticka
Ullticka
Blåmossa
Grönpyrola</t>
        </is>
      </c>
      <c r="S26">
        <f>HYPERLINK("https://klasma.github.io/Logging_0883/artfynd/A 20094-2024 artfynd.xlsx", "A 20094-2024")</f>
        <v/>
      </c>
      <c r="T26">
        <f>HYPERLINK("https://klasma.github.io/Logging_0883/kartor/A 20094-2024 karta.png", "A 20094-2024")</f>
        <v/>
      </c>
      <c r="U26">
        <f>HYPERLINK("https://klasma.github.io/Logging_0883/knärot/A 20094-2024 karta knärot.png", "A 20094-2024")</f>
        <v/>
      </c>
      <c r="V26">
        <f>HYPERLINK("https://klasma.github.io/Logging_0883/klagomål/A 20094-2024 FSC-klagomål.docx", "A 20094-2024")</f>
        <v/>
      </c>
      <c r="W26">
        <f>HYPERLINK("https://klasma.github.io/Logging_0883/klagomålsmail/A 20094-2024 FSC-klagomål mail.docx", "A 20094-2024")</f>
        <v/>
      </c>
      <c r="X26">
        <f>HYPERLINK("https://klasma.github.io/Logging_0883/tillsyn/A 20094-2024 tillsynsbegäran.docx", "A 20094-2024")</f>
        <v/>
      </c>
      <c r="Y26">
        <f>HYPERLINK("https://klasma.github.io/Logging_0883/tillsynsmail/A 20094-2024 tillsynsbegäran mail.docx", "A 20094-2024")</f>
        <v/>
      </c>
      <c r="Z26">
        <f>HYPERLINK("https://klasma.github.io/Logging_0883/fåglar/A 20094-2024 prioriterade fågelarter.docx", "A 20094-2024")</f>
        <v/>
      </c>
    </row>
    <row r="27" ht="15" customHeight="1">
      <c r="A27" t="inlineStr">
        <is>
          <t>A 52916-2020</t>
        </is>
      </c>
      <c r="B27" s="1" t="n">
        <v>44120</v>
      </c>
      <c r="C27" s="1" t="n">
        <v>45512</v>
      </c>
      <c r="D27" t="inlineStr">
        <is>
          <t>KALMAR LÄN</t>
        </is>
      </c>
      <c r="E27" t="inlineStr">
        <is>
          <t>VÄSTERVIK</t>
        </is>
      </c>
      <c r="G27" t="n">
        <v>1.2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Knärot
Orange taggsvamp
Svart taggsvamp
Talltita
Blomkålssvamp
Dropptaggsvamp</t>
        </is>
      </c>
      <c r="S27">
        <f>HYPERLINK("https://klasma.github.io/Logging_0883/artfynd/A 52916-2020 artfynd.xlsx", "A 52916-2020")</f>
        <v/>
      </c>
      <c r="T27">
        <f>HYPERLINK("https://klasma.github.io/Logging_0883/kartor/A 52916-2020 karta.png", "A 52916-2020")</f>
        <v/>
      </c>
      <c r="U27">
        <f>HYPERLINK("https://klasma.github.io/Logging_0883/knärot/A 52916-2020 karta knärot.png", "A 52916-2020")</f>
        <v/>
      </c>
      <c r="V27">
        <f>HYPERLINK("https://klasma.github.io/Logging_0883/klagomål/A 52916-2020 FSC-klagomål.docx", "A 52916-2020")</f>
        <v/>
      </c>
      <c r="W27">
        <f>HYPERLINK("https://klasma.github.io/Logging_0883/klagomålsmail/A 52916-2020 FSC-klagomål mail.docx", "A 52916-2020")</f>
        <v/>
      </c>
      <c r="X27">
        <f>HYPERLINK("https://klasma.github.io/Logging_0883/tillsyn/A 52916-2020 tillsynsbegäran.docx", "A 52916-2020")</f>
        <v/>
      </c>
      <c r="Y27">
        <f>HYPERLINK("https://klasma.github.io/Logging_0883/tillsynsmail/A 52916-2020 tillsynsbegäran mail.docx", "A 52916-2020")</f>
        <v/>
      </c>
      <c r="Z27">
        <f>HYPERLINK("https://klasma.github.io/Logging_0883/fåglar/A 52916-2020 prioriterade fågelarter.docx", "A 52916-2020")</f>
        <v/>
      </c>
    </row>
    <row r="28" ht="15" customHeight="1">
      <c r="A28" t="inlineStr">
        <is>
          <t>A 53760-2021</t>
        </is>
      </c>
      <c r="B28" s="1" t="n">
        <v>44467</v>
      </c>
      <c r="C28" s="1" t="n">
        <v>45512</v>
      </c>
      <c r="D28" t="inlineStr">
        <is>
          <t>KALMAR LÄN</t>
        </is>
      </c>
      <c r="E28" t="inlineStr">
        <is>
          <t>VÄSTERVIK</t>
        </is>
      </c>
      <c r="G28" t="n">
        <v>3.9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Brunlångöra
Nordfladdermus
Tallticka
Dvärgpipistrell
Större brunfladdermus
Trollpipistrell</t>
        </is>
      </c>
      <c r="S28">
        <f>HYPERLINK("https://klasma.github.io/Logging_0883/artfynd/A 53760-2021 artfynd.xlsx", "A 53760-2021")</f>
        <v/>
      </c>
      <c r="T28">
        <f>HYPERLINK("https://klasma.github.io/Logging_0883/kartor/A 53760-2021 karta.png", "A 53760-2021")</f>
        <v/>
      </c>
      <c r="V28">
        <f>HYPERLINK("https://klasma.github.io/Logging_0883/klagomål/A 53760-2021 FSC-klagomål.docx", "A 53760-2021")</f>
        <v/>
      </c>
      <c r="W28">
        <f>HYPERLINK("https://klasma.github.io/Logging_0883/klagomålsmail/A 53760-2021 FSC-klagomål mail.docx", "A 53760-2021")</f>
        <v/>
      </c>
      <c r="X28">
        <f>HYPERLINK("https://klasma.github.io/Logging_0883/tillsyn/A 53760-2021 tillsynsbegäran.docx", "A 53760-2021")</f>
        <v/>
      </c>
      <c r="Y28">
        <f>HYPERLINK("https://klasma.github.io/Logging_0883/tillsynsmail/A 53760-2021 tillsynsbegäran mail.docx", "A 53760-2021")</f>
        <v/>
      </c>
    </row>
    <row r="29" ht="15" customHeight="1">
      <c r="A29" t="inlineStr">
        <is>
          <t>A 60996-2021</t>
        </is>
      </c>
      <c r="B29" s="1" t="n">
        <v>44497</v>
      </c>
      <c r="C29" s="1" t="n">
        <v>45512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7.2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Talltita
Vedtrappmossa
Grönpyrola
Platt fjädermossa
Revlummer</t>
        </is>
      </c>
      <c r="S29">
        <f>HYPERLINK("https://klasma.github.io/Logging_0883/artfynd/A 60996-2021 artfynd.xlsx", "A 60996-2021")</f>
        <v/>
      </c>
      <c r="T29">
        <f>HYPERLINK("https://klasma.github.io/Logging_0883/kartor/A 60996-2021 karta.png", "A 60996-2021")</f>
        <v/>
      </c>
      <c r="U29">
        <f>HYPERLINK("https://klasma.github.io/Logging_0883/knärot/A 60996-2021 karta knärot.png", "A 60996-2021")</f>
        <v/>
      </c>
      <c r="V29">
        <f>HYPERLINK("https://klasma.github.io/Logging_0883/klagomål/A 60996-2021 FSC-klagomål.docx", "A 60996-2021")</f>
        <v/>
      </c>
      <c r="W29">
        <f>HYPERLINK("https://klasma.github.io/Logging_0883/klagomålsmail/A 60996-2021 FSC-klagomål mail.docx", "A 60996-2021")</f>
        <v/>
      </c>
      <c r="X29">
        <f>HYPERLINK("https://klasma.github.io/Logging_0883/tillsyn/A 60996-2021 tillsynsbegäran.docx", "A 60996-2021")</f>
        <v/>
      </c>
      <c r="Y29">
        <f>HYPERLINK("https://klasma.github.io/Logging_0883/tillsynsmail/A 60996-2021 tillsynsbegäran mail.docx", "A 60996-2021")</f>
        <v/>
      </c>
      <c r="Z29">
        <f>HYPERLINK("https://klasma.github.io/Logging_0883/fåglar/A 60996-2021 prioriterade fågelarter.docx", "A 60996-2021")</f>
        <v/>
      </c>
    </row>
    <row r="30" ht="15" customHeight="1">
      <c r="A30" t="inlineStr">
        <is>
          <t>A 71188-2021</t>
        </is>
      </c>
      <c r="B30" s="1" t="n">
        <v>44539</v>
      </c>
      <c r="C30" s="1" t="n">
        <v>45512</v>
      </c>
      <c r="D30" t="inlineStr">
        <is>
          <t>KALMAR LÄN</t>
        </is>
      </c>
      <c r="E30" t="inlineStr">
        <is>
          <t>VÄSTERVIK</t>
        </is>
      </c>
      <c r="G30" t="n">
        <v>0.6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Blå taggsvamp
Motaggsvamp
Svartvit taggsvamp
Blomkålssvamp
Dropptaggsvamp
Grovticka</t>
        </is>
      </c>
      <c r="S30">
        <f>HYPERLINK("https://klasma.github.io/Logging_0883/artfynd/A 71188-2021 artfynd.xlsx", "A 71188-2021")</f>
        <v/>
      </c>
      <c r="T30">
        <f>HYPERLINK("https://klasma.github.io/Logging_0883/kartor/A 71188-2021 karta.png", "A 71188-2021")</f>
        <v/>
      </c>
      <c r="V30">
        <f>HYPERLINK("https://klasma.github.io/Logging_0883/klagomål/A 71188-2021 FSC-klagomål.docx", "A 71188-2021")</f>
        <v/>
      </c>
      <c r="W30">
        <f>HYPERLINK("https://klasma.github.io/Logging_0883/klagomålsmail/A 71188-2021 FSC-klagomål mail.docx", "A 71188-2021")</f>
        <v/>
      </c>
      <c r="X30">
        <f>HYPERLINK("https://klasma.github.io/Logging_0883/tillsyn/A 71188-2021 tillsynsbegäran.docx", "A 71188-2021")</f>
        <v/>
      </c>
      <c r="Y30">
        <f>HYPERLINK("https://klasma.github.io/Logging_0883/tillsynsmail/A 71188-2021 tillsynsbegäran mail.docx", "A 71188-2021")</f>
        <v/>
      </c>
    </row>
    <row r="31" ht="15" customHeight="1">
      <c r="A31" t="inlineStr">
        <is>
          <t>A 974-2023</t>
        </is>
      </c>
      <c r="B31" s="1" t="n">
        <v>44935</v>
      </c>
      <c r="C31" s="1" t="n">
        <v>45512</v>
      </c>
      <c r="D31" t="inlineStr">
        <is>
          <t>KALMAR LÄN</t>
        </is>
      </c>
      <c r="E31" t="inlineStr">
        <is>
          <t>VÄSTERVIK</t>
        </is>
      </c>
      <c r="G31" t="n">
        <v>7.2</v>
      </c>
      <c r="H31" t="n">
        <v>1</v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Läderbagge
Blanksvart trämyra
Fällmossa
Guldlockmossa
Gulpudrad spiklav
Myskmadra</t>
        </is>
      </c>
      <c r="S31">
        <f>HYPERLINK("https://klasma.github.io/Logging_0883/artfynd/A 974-2023 artfynd.xlsx", "A 974-2023")</f>
        <v/>
      </c>
      <c r="T31">
        <f>HYPERLINK("https://klasma.github.io/Logging_0883/kartor/A 974-2023 karta.png", "A 974-2023")</f>
        <v/>
      </c>
      <c r="V31">
        <f>HYPERLINK("https://klasma.github.io/Logging_0883/klagomål/A 974-2023 FSC-klagomål.docx", "A 974-2023")</f>
        <v/>
      </c>
      <c r="W31">
        <f>HYPERLINK("https://klasma.github.io/Logging_0883/klagomålsmail/A 974-2023 FSC-klagomål mail.docx", "A 974-2023")</f>
        <v/>
      </c>
      <c r="X31">
        <f>HYPERLINK("https://klasma.github.io/Logging_0883/tillsyn/A 974-2023 tillsynsbegäran.docx", "A 974-2023")</f>
        <v/>
      </c>
      <c r="Y31">
        <f>HYPERLINK("https://klasma.github.io/Logging_0883/tillsynsmail/A 974-2023 tillsynsbegäran mail.docx", "A 974-2023")</f>
        <v/>
      </c>
    </row>
    <row r="32" ht="15" customHeight="1">
      <c r="A32" t="inlineStr">
        <is>
          <t>A 11740-2023</t>
        </is>
      </c>
      <c r="B32" s="1" t="n">
        <v>44994</v>
      </c>
      <c r="C32" s="1" t="n">
        <v>45512</v>
      </c>
      <c r="D32" t="inlineStr">
        <is>
          <t>KALMAR LÄN</t>
        </is>
      </c>
      <c r="E32" t="inlineStr">
        <is>
          <t>VÄSTERVIK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Mindre bastardsvärmare
Skogsklocka
Smalsprötad bastardsvärmare
Tallticka
Fällmossa
Blåsippa</t>
        </is>
      </c>
      <c r="S32">
        <f>HYPERLINK("https://klasma.github.io/Logging_0883/artfynd/A 11740-2023 artfynd.xlsx", "A 11740-2023")</f>
        <v/>
      </c>
      <c r="T32">
        <f>HYPERLINK("https://klasma.github.io/Logging_0883/kartor/A 11740-2023 karta.png", "A 11740-2023")</f>
        <v/>
      </c>
      <c r="V32">
        <f>HYPERLINK("https://klasma.github.io/Logging_0883/klagomål/A 11740-2023 FSC-klagomål.docx", "A 11740-2023")</f>
        <v/>
      </c>
      <c r="W32">
        <f>HYPERLINK("https://klasma.github.io/Logging_0883/klagomålsmail/A 11740-2023 FSC-klagomål mail.docx", "A 11740-2023")</f>
        <v/>
      </c>
      <c r="X32">
        <f>HYPERLINK("https://klasma.github.io/Logging_0883/tillsyn/A 11740-2023 tillsynsbegäran.docx", "A 11740-2023")</f>
        <v/>
      </c>
      <c r="Y32">
        <f>HYPERLINK("https://klasma.github.io/Logging_0883/tillsynsmail/A 11740-2023 tillsynsbegäran mail.docx", "A 11740-2023")</f>
        <v/>
      </c>
    </row>
    <row r="33" ht="15" customHeight="1">
      <c r="A33" t="inlineStr">
        <is>
          <t>A 47936-2023</t>
        </is>
      </c>
      <c r="B33" s="1" t="n">
        <v>45204</v>
      </c>
      <c r="C33" s="1" t="n">
        <v>45512</v>
      </c>
      <c r="D33" t="inlineStr">
        <is>
          <t>KALMAR LÄN</t>
        </is>
      </c>
      <c r="E33" t="inlineStr">
        <is>
          <t>VÄSTERVIK</t>
        </is>
      </c>
      <c r="G33" t="n">
        <v>6.3</v>
      </c>
      <c r="H33" t="n">
        <v>2</v>
      </c>
      <c r="I33" t="n">
        <v>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Knärot
Talltita
Blomkålssvamp
Blåmossa
Grovticka
Grönpyrola</t>
        </is>
      </c>
      <c r="S33">
        <f>HYPERLINK("https://klasma.github.io/Logging_0883/artfynd/A 47936-2023 artfynd.xlsx", "A 47936-2023")</f>
        <v/>
      </c>
      <c r="T33">
        <f>HYPERLINK("https://klasma.github.io/Logging_0883/kartor/A 47936-2023 karta.png", "A 47936-2023")</f>
        <v/>
      </c>
      <c r="U33">
        <f>HYPERLINK("https://klasma.github.io/Logging_0883/knärot/A 47936-2023 karta knärot.png", "A 47936-2023")</f>
        <v/>
      </c>
      <c r="V33">
        <f>HYPERLINK("https://klasma.github.io/Logging_0883/klagomål/A 47936-2023 FSC-klagomål.docx", "A 47936-2023")</f>
        <v/>
      </c>
      <c r="W33">
        <f>HYPERLINK("https://klasma.github.io/Logging_0883/klagomålsmail/A 47936-2023 FSC-klagomål mail.docx", "A 47936-2023")</f>
        <v/>
      </c>
      <c r="X33">
        <f>HYPERLINK("https://klasma.github.io/Logging_0883/tillsyn/A 47936-2023 tillsynsbegäran.docx", "A 47936-2023")</f>
        <v/>
      </c>
      <c r="Y33">
        <f>HYPERLINK("https://klasma.github.io/Logging_0883/tillsynsmail/A 47936-2023 tillsynsbegäran mail.docx", "A 47936-2023")</f>
        <v/>
      </c>
      <c r="Z33">
        <f>HYPERLINK("https://klasma.github.io/Logging_0883/fåglar/A 47936-2023 prioriterade fågelarter.docx", "A 47936-2023")</f>
        <v/>
      </c>
    </row>
    <row r="34" ht="15" customHeight="1">
      <c r="A34" t="inlineStr">
        <is>
          <t>A 55286-2023</t>
        </is>
      </c>
      <c r="B34" s="1" t="n">
        <v>45237</v>
      </c>
      <c r="C34" s="1" t="n">
        <v>45512</v>
      </c>
      <c r="D34" t="inlineStr">
        <is>
          <t>KALMAR LÄN</t>
        </is>
      </c>
      <c r="E34" t="inlineStr">
        <is>
          <t>VÄSTERVIK</t>
        </is>
      </c>
      <c r="G34" t="n">
        <v>5.9</v>
      </c>
      <c r="H34" t="n">
        <v>2</v>
      </c>
      <c r="I34" t="n">
        <v>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6</v>
      </c>
      <c r="R34" s="2" t="inlineStr">
        <is>
          <t>Knärot
Koppartaggsvamp
Spillkråka
Blomskägglav
Blåmossa
Grovticka</t>
        </is>
      </c>
      <c r="S34">
        <f>HYPERLINK("https://klasma.github.io/Logging_0883/artfynd/A 55286-2023 artfynd.xlsx", "A 55286-2023")</f>
        <v/>
      </c>
      <c r="T34">
        <f>HYPERLINK("https://klasma.github.io/Logging_0883/kartor/A 55286-2023 karta.png", "A 55286-2023")</f>
        <v/>
      </c>
      <c r="U34">
        <f>HYPERLINK("https://klasma.github.io/Logging_0883/knärot/A 55286-2023 karta knärot.png", "A 55286-2023")</f>
        <v/>
      </c>
      <c r="V34">
        <f>HYPERLINK("https://klasma.github.io/Logging_0883/klagomål/A 55286-2023 FSC-klagomål.docx", "A 55286-2023")</f>
        <v/>
      </c>
      <c r="W34">
        <f>HYPERLINK("https://klasma.github.io/Logging_0883/klagomålsmail/A 55286-2023 FSC-klagomål mail.docx", "A 55286-2023")</f>
        <v/>
      </c>
      <c r="X34">
        <f>HYPERLINK("https://klasma.github.io/Logging_0883/tillsyn/A 55286-2023 tillsynsbegäran.docx", "A 55286-2023")</f>
        <v/>
      </c>
      <c r="Y34">
        <f>HYPERLINK("https://klasma.github.io/Logging_0883/tillsynsmail/A 55286-2023 tillsynsbegäran mail.docx", "A 55286-2023")</f>
        <v/>
      </c>
      <c r="Z34">
        <f>HYPERLINK("https://klasma.github.io/Logging_0883/fåglar/A 55286-2023 prioriterade fågelarter.docx", "A 55286-2023")</f>
        <v/>
      </c>
    </row>
    <row r="35" ht="15" customHeight="1">
      <c r="A35" t="inlineStr">
        <is>
          <t>A 5922-2024</t>
        </is>
      </c>
      <c r="B35" s="1" t="n">
        <v>45335</v>
      </c>
      <c r="C35" s="1" t="n">
        <v>45512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9</v>
      </c>
      <c r="H35" t="n">
        <v>2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Lungrot
Entita
Klubbsprötad bastardsvärmare
Smalsprötad bastardsvärmare
Tallticka
Talltita</t>
        </is>
      </c>
      <c r="S35">
        <f>HYPERLINK("https://klasma.github.io/Logging_0883/artfynd/A 5922-2024 artfynd.xlsx", "A 5922-2024")</f>
        <v/>
      </c>
      <c r="T35">
        <f>HYPERLINK("https://klasma.github.io/Logging_0883/kartor/A 5922-2024 karta.png", "A 5922-2024")</f>
        <v/>
      </c>
      <c r="V35">
        <f>HYPERLINK("https://klasma.github.io/Logging_0883/klagomål/A 5922-2024 FSC-klagomål.docx", "A 5922-2024")</f>
        <v/>
      </c>
      <c r="W35">
        <f>HYPERLINK("https://klasma.github.io/Logging_0883/klagomålsmail/A 5922-2024 FSC-klagomål mail.docx", "A 5922-2024")</f>
        <v/>
      </c>
      <c r="X35">
        <f>HYPERLINK("https://klasma.github.io/Logging_0883/tillsyn/A 5922-2024 tillsynsbegäran.docx", "A 5922-2024")</f>
        <v/>
      </c>
      <c r="Y35">
        <f>HYPERLINK("https://klasma.github.io/Logging_0883/tillsynsmail/A 5922-2024 tillsynsbegäran mail.docx", "A 5922-2024")</f>
        <v/>
      </c>
      <c r="Z35">
        <f>HYPERLINK("https://klasma.github.io/Logging_0883/fåglar/A 5922-2024 prioriterade fågelarter.docx", "A 5922-2024")</f>
        <v/>
      </c>
    </row>
    <row r="36" ht="15" customHeight="1">
      <c r="A36" t="inlineStr">
        <is>
          <t>A 27379-2024</t>
        </is>
      </c>
      <c r="B36" s="1" t="n">
        <v>45473</v>
      </c>
      <c r="C36" s="1" t="n">
        <v>45512</v>
      </c>
      <c r="D36" t="inlineStr">
        <is>
          <t>KALMAR LÄN</t>
        </is>
      </c>
      <c r="E36" t="inlineStr">
        <is>
          <t>VÄSTERVIK</t>
        </is>
      </c>
      <c r="G36" t="n">
        <v>3.4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Ullticka
Blåmossa
Grönpyrola
Revlummer</t>
        </is>
      </c>
      <c r="S36">
        <f>HYPERLINK("https://klasma.github.io/Logging_0883/artfynd/A 27379-2024 artfynd.xlsx", "A 27379-2024")</f>
        <v/>
      </c>
      <c r="T36">
        <f>HYPERLINK("https://klasma.github.io/Logging_0883/kartor/A 27379-2024 karta.png", "A 27379-2024")</f>
        <v/>
      </c>
      <c r="U36">
        <f>HYPERLINK("https://klasma.github.io/Logging_0883/knärot/A 27379-2024 karta knärot.png", "A 27379-2024")</f>
        <v/>
      </c>
      <c r="V36">
        <f>HYPERLINK("https://klasma.github.io/Logging_0883/klagomål/A 27379-2024 FSC-klagomål.docx", "A 27379-2024")</f>
        <v/>
      </c>
      <c r="W36">
        <f>HYPERLINK("https://klasma.github.io/Logging_0883/klagomålsmail/A 27379-2024 FSC-klagomål mail.docx", "A 27379-2024")</f>
        <v/>
      </c>
      <c r="X36">
        <f>HYPERLINK("https://klasma.github.io/Logging_0883/tillsyn/A 27379-2024 tillsynsbegäran.docx", "A 27379-2024")</f>
        <v/>
      </c>
      <c r="Y36">
        <f>HYPERLINK("https://klasma.github.io/Logging_0883/tillsynsmail/A 27379-2024 tillsynsbegäran mail.docx", "A 27379-2024")</f>
        <v/>
      </c>
      <c r="Z36">
        <f>HYPERLINK("https://klasma.github.io/Logging_0883/fåglar/A 27379-2024 prioriterade fågelarter.docx", "A 27379-2024")</f>
        <v/>
      </c>
    </row>
    <row r="37" ht="15" customHeight="1">
      <c r="A37" t="inlineStr">
        <is>
          <t>A 28241-2024</t>
        </is>
      </c>
      <c r="B37" s="1" t="n">
        <v>45477</v>
      </c>
      <c r="C37" s="1" t="n">
        <v>45512</v>
      </c>
      <c r="D37" t="inlineStr">
        <is>
          <t>KALMAR LÄN</t>
        </is>
      </c>
      <c r="E37" t="inlineStr">
        <is>
          <t>VÄSTERVIK</t>
        </is>
      </c>
      <c r="G37" t="n">
        <v>8.1</v>
      </c>
      <c r="H37" t="n">
        <v>3</v>
      </c>
      <c r="I37" t="n">
        <v>1</v>
      </c>
      <c r="J37" t="n">
        <v>3</v>
      </c>
      <c r="K37" t="n">
        <v>1</v>
      </c>
      <c r="L37" t="n">
        <v>1</v>
      </c>
      <c r="M37" t="n">
        <v>0</v>
      </c>
      <c r="N37" t="n">
        <v>0</v>
      </c>
      <c r="O37" t="n">
        <v>5</v>
      </c>
      <c r="P37" t="n">
        <v>2</v>
      </c>
      <c r="Q37" t="n">
        <v>6</v>
      </c>
      <c r="R37" s="2" t="inlineStr">
        <is>
          <t>Ryl
Knärot
Spillkråka
Tallticka
Talltita
Blåmossa</t>
        </is>
      </c>
      <c r="S37">
        <f>HYPERLINK("https://klasma.github.io/Logging_0883/artfynd/A 28241-2024 artfynd.xlsx", "A 28241-2024")</f>
        <v/>
      </c>
      <c r="T37">
        <f>HYPERLINK("https://klasma.github.io/Logging_0883/kartor/A 28241-2024 karta.png", "A 28241-2024")</f>
        <v/>
      </c>
      <c r="U37">
        <f>HYPERLINK("https://klasma.github.io/Logging_0883/knärot/A 28241-2024 karta knärot.png", "A 28241-2024")</f>
        <v/>
      </c>
      <c r="V37">
        <f>HYPERLINK("https://klasma.github.io/Logging_0883/klagomål/A 28241-2024 FSC-klagomål.docx", "A 28241-2024")</f>
        <v/>
      </c>
      <c r="W37">
        <f>HYPERLINK("https://klasma.github.io/Logging_0883/klagomålsmail/A 28241-2024 FSC-klagomål mail.docx", "A 28241-2024")</f>
        <v/>
      </c>
      <c r="X37">
        <f>HYPERLINK("https://klasma.github.io/Logging_0883/tillsyn/A 28241-2024 tillsynsbegäran.docx", "A 28241-2024")</f>
        <v/>
      </c>
      <c r="Y37">
        <f>HYPERLINK("https://klasma.github.io/Logging_0883/tillsynsmail/A 28241-2024 tillsynsbegäran mail.docx", "A 28241-2024")</f>
        <v/>
      </c>
      <c r="Z37">
        <f>HYPERLINK("https://klasma.github.io/Logging_0883/fåglar/A 28241-2024 prioriterade fågelarter.docx", "A 28241-2024")</f>
        <v/>
      </c>
    </row>
    <row r="38" ht="15" customHeight="1">
      <c r="A38" t="inlineStr">
        <is>
          <t>A 781-2023</t>
        </is>
      </c>
      <c r="B38" s="1" t="n">
        <v>44931</v>
      </c>
      <c r="C38" s="1" t="n">
        <v>45512</v>
      </c>
      <c r="D38" t="inlineStr">
        <is>
          <t>KALMAR LÄN</t>
        </is>
      </c>
      <c r="E38" t="inlineStr">
        <is>
          <t>VÄSTERVIK</t>
        </is>
      </c>
      <c r="F38" t="inlineStr">
        <is>
          <t>Holmen skog AB</t>
        </is>
      </c>
      <c r="G38" t="n">
        <v>4.3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Ekticka
Oxtungssvamp
Hasselticka
Läderskål
Stor aspticka</t>
        </is>
      </c>
      <c r="S38">
        <f>HYPERLINK("https://klasma.github.io/Logging_0883/artfynd/A 781-2023 artfynd.xlsx", "A 781-2023")</f>
        <v/>
      </c>
      <c r="T38">
        <f>HYPERLINK("https://klasma.github.io/Logging_0883/kartor/A 781-2023 karta.png", "A 781-2023")</f>
        <v/>
      </c>
      <c r="V38">
        <f>HYPERLINK("https://klasma.github.io/Logging_0883/klagomål/A 781-2023 FSC-klagomål.docx", "A 781-2023")</f>
        <v/>
      </c>
      <c r="W38">
        <f>HYPERLINK("https://klasma.github.io/Logging_0883/klagomålsmail/A 781-2023 FSC-klagomål mail.docx", "A 781-2023")</f>
        <v/>
      </c>
      <c r="X38">
        <f>HYPERLINK("https://klasma.github.io/Logging_0883/tillsyn/A 781-2023 tillsynsbegäran.docx", "A 781-2023")</f>
        <v/>
      </c>
      <c r="Y38">
        <f>HYPERLINK("https://klasma.github.io/Logging_0883/tillsynsmail/A 781-2023 tillsynsbegäran mail.docx", "A 781-2023")</f>
        <v/>
      </c>
    </row>
    <row r="39" ht="15" customHeight="1">
      <c r="A39" t="inlineStr">
        <is>
          <t>A 54271-2023</t>
        </is>
      </c>
      <c r="B39" s="1" t="n">
        <v>45232</v>
      </c>
      <c r="C39" s="1" t="n">
        <v>45512</v>
      </c>
      <c r="D39" t="inlineStr">
        <is>
          <t>KALMAR LÄN</t>
        </is>
      </c>
      <c r="E39" t="inlineStr">
        <is>
          <t>VÄSTERVIK</t>
        </is>
      </c>
      <c r="G39" t="n">
        <v>3.4</v>
      </c>
      <c r="H39" t="n">
        <v>1</v>
      </c>
      <c r="I39" t="n">
        <v>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Motaggsvamp
Blomkålssvamp
Blåmossa
Grönpyrola</t>
        </is>
      </c>
      <c r="S39">
        <f>HYPERLINK("https://klasma.github.io/Logging_0883/artfynd/A 54271-2023 artfynd.xlsx", "A 54271-2023")</f>
        <v/>
      </c>
      <c r="T39">
        <f>HYPERLINK("https://klasma.github.io/Logging_0883/kartor/A 54271-2023 karta.png", "A 54271-2023")</f>
        <v/>
      </c>
      <c r="U39">
        <f>HYPERLINK("https://klasma.github.io/Logging_0883/knärot/A 54271-2023 karta knärot.png", "A 54271-2023")</f>
        <v/>
      </c>
      <c r="V39">
        <f>HYPERLINK("https://klasma.github.io/Logging_0883/klagomål/A 54271-2023 FSC-klagomål.docx", "A 54271-2023")</f>
        <v/>
      </c>
      <c r="W39">
        <f>HYPERLINK("https://klasma.github.io/Logging_0883/klagomålsmail/A 54271-2023 FSC-klagomål mail.docx", "A 54271-2023")</f>
        <v/>
      </c>
      <c r="X39">
        <f>HYPERLINK("https://klasma.github.io/Logging_0883/tillsyn/A 54271-2023 tillsynsbegäran.docx", "A 54271-2023")</f>
        <v/>
      </c>
      <c r="Y39">
        <f>HYPERLINK("https://klasma.github.io/Logging_0883/tillsynsmail/A 54271-2023 tillsynsbegäran mail.docx", "A 54271-2023")</f>
        <v/>
      </c>
    </row>
    <row r="40" ht="15" customHeight="1">
      <c r="A40" t="inlineStr">
        <is>
          <t>A 6423-2024</t>
        </is>
      </c>
      <c r="B40" s="1" t="n">
        <v>45338</v>
      </c>
      <c r="C40" s="1" t="n">
        <v>45512</v>
      </c>
      <c r="D40" t="inlineStr">
        <is>
          <t>KALMAR LÄN</t>
        </is>
      </c>
      <c r="E40" t="inlineStr">
        <is>
          <t>VÄSTERVIK</t>
        </is>
      </c>
      <c r="G40" t="n">
        <v>26.6</v>
      </c>
      <c r="H40" t="n">
        <v>2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Tallticka
Grovticka
Hasselticka
Mattlummer</t>
        </is>
      </c>
      <c r="S40">
        <f>HYPERLINK("https://klasma.github.io/Logging_0883/artfynd/A 6423-2024 artfynd.xlsx", "A 6423-2024")</f>
        <v/>
      </c>
      <c r="T40">
        <f>HYPERLINK("https://klasma.github.io/Logging_0883/kartor/A 6423-2024 karta.png", "A 6423-2024")</f>
        <v/>
      </c>
      <c r="U40">
        <f>HYPERLINK("https://klasma.github.io/Logging_0883/knärot/A 6423-2024 karta knärot.png", "A 6423-2024")</f>
        <v/>
      </c>
      <c r="V40">
        <f>HYPERLINK("https://klasma.github.io/Logging_0883/klagomål/A 6423-2024 FSC-klagomål.docx", "A 6423-2024")</f>
        <v/>
      </c>
      <c r="W40">
        <f>HYPERLINK("https://klasma.github.io/Logging_0883/klagomålsmail/A 6423-2024 FSC-klagomål mail.docx", "A 6423-2024")</f>
        <v/>
      </c>
      <c r="X40">
        <f>HYPERLINK("https://klasma.github.io/Logging_0883/tillsyn/A 6423-2024 tillsynsbegäran.docx", "A 6423-2024")</f>
        <v/>
      </c>
      <c r="Y40">
        <f>HYPERLINK("https://klasma.github.io/Logging_0883/tillsynsmail/A 6423-2024 tillsynsbegäran mail.docx", "A 6423-2024")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45512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45512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45512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45512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45512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45512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45512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45512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45512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45512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45512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45512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45512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45512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45512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45512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45512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45512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45512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45512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45512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45512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45512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45512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45512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45512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45512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45512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45512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45512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45512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45512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45512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45512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45512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45512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45512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45512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45512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45512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45512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45512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45512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45512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45512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45512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45512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45512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45512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25439-2021</t>
        </is>
      </c>
      <c r="B90" s="1" t="n">
        <v>44342</v>
      </c>
      <c r="C90" s="1" t="n">
        <v>45512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 sköldmossa
Röd glada</t>
        </is>
      </c>
      <c r="S90">
        <f>HYPERLINK("https://klasma.github.io/Logging_0883/artfynd/A 25439-2021 artfynd.xlsx", "A 25439-2021")</f>
        <v/>
      </c>
      <c r="T90">
        <f>HYPERLINK("https://klasma.github.io/Logging_0883/kartor/A 25439-2021 karta.png", "A 25439-2021")</f>
        <v/>
      </c>
      <c r="V90">
        <f>HYPERLINK("https://klasma.github.io/Logging_0883/klagomål/A 25439-2021 FSC-klagomål.docx", "A 25439-2021")</f>
        <v/>
      </c>
      <c r="W90">
        <f>HYPERLINK("https://klasma.github.io/Logging_0883/klagomålsmail/A 25439-2021 FSC-klagomål mail.docx", "A 25439-2021")</f>
        <v/>
      </c>
      <c r="X90">
        <f>HYPERLINK("https://klasma.github.io/Logging_0883/tillsyn/A 25439-2021 tillsynsbegäran.docx", "A 25439-2021")</f>
        <v/>
      </c>
      <c r="Y90">
        <f>HYPERLINK("https://klasma.github.io/Logging_0883/tillsynsmail/A 25439-2021 tillsynsbegäran mail.docx", "A 25439-2021")</f>
        <v/>
      </c>
      <c r="Z90">
        <f>HYPERLINK("https://klasma.github.io/Logging_0883/fåglar/A 25439-2021 prioriterade fågelarter.docx", "A 25439-2021")</f>
        <v/>
      </c>
    </row>
    <row r="91" ht="15" customHeight="1">
      <c r="A91" t="inlineStr">
        <is>
          <t>A 44667-2021</t>
        </is>
      </c>
      <c r="B91" s="1" t="n">
        <v>44438</v>
      </c>
      <c r="C91" s="1" t="n">
        <v>45512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Järpe
Fjällig taggsvamp s.str.</t>
        </is>
      </c>
      <c r="S91">
        <f>HYPERLINK("https://klasma.github.io/Logging_0883/artfynd/A 44667-2021 artfynd.xlsx", "A 44667-2021")</f>
        <v/>
      </c>
      <c r="T91">
        <f>HYPERLINK("https://klasma.github.io/Logging_0883/kartor/A 44667-2021 karta.png", "A 44667-2021")</f>
        <v/>
      </c>
      <c r="V91">
        <f>HYPERLINK("https://klasma.github.io/Logging_0883/klagomål/A 44667-2021 FSC-klagomål.docx", "A 44667-2021")</f>
        <v/>
      </c>
      <c r="W91">
        <f>HYPERLINK("https://klasma.github.io/Logging_0883/klagomålsmail/A 44667-2021 FSC-klagomål mail.docx", "A 44667-2021")</f>
        <v/>
      </c>
      <c r="X91">
        <f>HYPERLINK("https://klasma.github.io/Logging_0883/tillsyn/A 44667-2021 tillsynsbegäran.docx", "A 44667-2021")</f>
        <v/>
      </c>
      <c r="Y91">
        <f>HYPERLINK("https://klasma.github.io/Logging_0883/tillsynsmail/A 44667-2021 tillsynsbegäran mail.docx", "A 44667-2021")</f>
        <v/>
      </c>
      <c r="Z91">
        <f>HYPERLINK("https://klasma.github.io/Logging_0883/fåglar/A 44667-2021 prioriterade fågelarter.docx", "A 44667-2021")</f>
        <v/>
      </c>
    </row>
    <row r="92" ht="15" customHeight="1">
      <c r="A92" t="inlineStr">
        <is>
          <t>A 51833-2021</t>
        </is>
      </c>
      <c r="B92" s="1" t="n">
        <v>44462</v>
      </c>
      <c r="C92" s="1" t="n">
        <v>45512</v>
      </c>
      <c r="D92" t="inlineStr">
        <is>
          <t>KALMAR LÄN</t>
        </is>
      </c>
      <c r="E92" t="inlineStr">
        <is>
          <t>VÄSTERVIK</t>
        </is>
      </c>
      <c r="G92" t="n">
        <v>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Motaggsvamp
Fläcknycklar</t>
        </is>
      </c>
      <c r="S92">
        <f>HYPERLINK("https://klasma.github.io/Logging_0883/artfynd/A 51833-2021 artfynd.xlsx", "A 51833-2021")</f>
        <v/>
      </c>
      <c r="T92">
        <f>HYPERLINK("https://klasma.github.io/Logging_0883/kartor/A 51833-2021 karta.png", "A 51833-2021")</f>
        <v/>
      </c>
      <c r="V92">
        <f>HYPERLINK("https://klasma.github.io/Logging_0883/klagomål/A 51833-2021 FSC-klagomål.docx", "A 51833-2021")</f>
        <v/>
      </c>
      <c r="W92">
        <f>HYPERLINK("https://klasma.github.io/Logging_0883/klagomålsmail/A 51833-2021 FSC-klagomål mail.docx", "A 51833-2021")</f>
        <v/>
      </c>
      <c r="X92">
        <f>HYPERLINK("https://klasma.github.io/Logging_0883/tillsyn/A 51833-2021 tillsynsbegäran.docx", "A 51833-2021")</f>
        <v/>
      </c>
      <c r="Y92">
        <f>HYPERLINK("https://klasma.github.io/Logging_0883/tillsynsmail/A 51833-2021 tillsynsbegäran mail.docx", "A 51833-2021")</f>
        <v/>
      </c>
    </row>
    <row r="93" ht="15" customHeight="1">
      <c r="A93" t="inlineStr">
        <is>
          <t>A 53769-2021</t>
        </is>
      </c>
      <c r="B93" s="1" t="n">
        <v>44467</v>
      </c>
      <c r="C93" s="1" t="n">
        <v>45512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 sköldmossa
Stubbspretmossa</t>
        </is>
      </c>
      <c r="S93">
        <f>HYPERLINK("https://klasma.github.io/Logging_0883/artfynd/A 53769-2021 artfynd.xlsx", "A 53769-2021")</f>
        <v/>
      </c>
      <c r="T93">
        <f>HYPERLINK("https://klasma.github.io/Logging_0883/kartor/A 53769-2021 karta.png", "A 53769-2021")</f>
        <v/>
      </c>
      <c r="V93">
        <f>HYPERLINK("https://klasma.github.io/Logging_0883/klagomål/A 53769-2021 FSC-klagomål.docx", "A 53769-2021")</f>
        <v/>
      </c>
      <c r="W93">
        <f>HYPERLINK("https://klasma.github.io/Logging_0883/klagomålsmail/A 53769-2021 FSC-klagomål mail.docx", "A 53769-2021")</f>
        <v/>
      </c>
      <c r="X93">
        <f>HYPERLINK("https://klasma.github.io/Logging_0883/tillsyn/A 53769-2021 tillsynsbegäran.docx", "A 53769-2021")</f>
        <v/>
      </c>
      <c r="Y93">
        <f>HYPERLINK("https://klasma.github.io/Logging_0883/tillsynsmail/A 53769-2021 tillsynsbegäran mail.docx", "A 53769-2021")</f>
        <v/>
      </c>
    </row>
    <row r="94" ht="15" customHeight="1">
      <c r="A94" t="inlineStr">
        <is>
          <t>A 56616-2021</t>
        </is>
      </c>
      <c r="B94" s="1" t="n">
        <v>44480</v>
      </c>
      <c r="C94" s="1" t="n">
        <v>45512</v>
      </c>
      <c r="D94" t="inlineStr">
        <is>
          <t>KALMAR LÄN</t>
        </is>
      </c>
      <c r="E94" t="inlineStr">
        <is>
          <t>VÄSTERVIK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Gullklöver
Vippärt</t>
        </is>
      </c>
      <c r="S94">
        <f>HYPERLINK("https://klasma.github.io/Logging_0883/artfynd/A 56616-2021 artfynd.xlsx", "A 56616-2021")</f>
        <v/>
      </c>
      <c r="T94">
        <f>HYPERLINK("https://klasma.github.io/Logging_0883/kartor/A 56616-2021 karta.png", "A 56616-2021")</f>
        <v/>
      </c>
      <c r="V94">
        <f>HYPERLINK("https://klasma.github.io/Logging_0883/klagomål/A 56616-2021 FSC-klagomål.docx", "A 56616-2021")</f>
        <v/>
      </c>
      <c r="W94">
        <f>HYPERLINK("https://klasma.github.io/Logging_0883/klagomålsmail/A 56616-2021 FSC-klagomål mail.docx", "A 56616-2021")</f>
        <v/>
      </c>
      <c r="X94">
        <f>HYPERLINK("https://klasma.github.io/Logging_0883/tillsyn/A 56616-2021 tillsynsbegäran.docx", "A 56616-2021")</f>
        <v/>
      </c>
      <c r="Y94">
        <f>HYPERLINK("https://klasma.github.io/Logging_0883/tillsynsmail/A 56616-2021 tillsynsbegäran mail.docx", "A 56616-2021")</f>
        <v/>
      </c>
    </row>
    <row r="95" ht="15" customHeight="1">
      <c r="A95" t="inlineStr">
        <is>
          <t>A 59940-2021</t>
        </is>
      </c>
      <c r="B95" s="1" t="n">
        <v>44494</v>
      </c>
      <c r="C95" s="1" t="n">
        <v>45512</v>
      </c>
      <c r="D95" t="inlineStr">
        <is>
          <t>KALMAR LÄN</t>
        </is>
      </c>
      <c r="E95" t="inlineStr">
        <is>
          <t>VÄSTERVIK</t>
        </is>
      </c>
      <c r="G95" t="n">
        <v>4.3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59940-2021 artfynd.xlsx", "A 59940-2021")</f>
        <v/>
      </c>
      <c r="T95">
        <f>HYPERLINK("https://klasma.github.io/Logging_0883/kartor/A 59940-2021 karta.png", "A 59940-2021")</f>
        <v/>
      </c>
      <c r="U95">
        <f>HYPERLINK("https://klasma.github.io/Logging_0883/knärot/A 59940-2021 karta knärot.png", "A 59940-2021")</f>
        <v/>
      </c>
      <c r="V95">
        <f>HYPERLINK("https://klasma.github.io/Logging_0883/klagomål/A 59940-2021 FSC-klagomål.docx", "A 59940-2021")</f>
        <v/>
      </c>
      <c r="W95">
        <f>HYPERLINK("https://klasma.github.io/Logging_0883/klagomålsmail/A 59940-2021 FSC-klagomål mail.docx", "A 59940-2021")</f>
        <v/>
      </c>
      <c r="X95">
        <f>HYPERLINK("https://klasma.github.io/Logging_0883/tillsyn/A 59940-2021 tillsynsbegäran.docx", "A 59940-2021")</f>
        <v/>
      </c>
      <c r="Y95">
        <f>HYPERLINK("https://klasma.github.io/Logging_0883/tillsynsmail/A 59940-2021 tillsynsbegäran mail.docx", "A 59940-2021")</f>
        <v/>
      </c>
    </row>
    <row r="96" ht="15" customHeight="1">
      <c r="A96" t="inlineStr">
        <is>
          <t>A 72945-2021</t>
        </is>
      </c>
      <c r="B96" s="1" t="n">
        <v>44547</v>
      </c>
      <c r="C96" s="1" t="n">
        <v>45512</v>
      </c>
      <c r="D96" t="inlineStr">
        <is>
          <t>KALMAR LÄN</t>
        </is>
      </c>
      <c r="E96" t="inlineStr">
        <is>
          <t>VÄSTERVIK</t>
        </is>
      </c>
      <c r="G96" t="n">
        <v>1.6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Veckticka
Rävticka</t>
        </is>
      </c>
      <c r="S96">
        <f>HYPERLINK("https://klasma.github.io/Logging_0883/artfynd/A 72945-2021 artfynd.xlsx", "A 72945-2021")</f>
        <v/>
      </c>
      <c r="T96">
        <f>HYPERLINK("https://klasma.github.io/Logging_0883/kartor/A 72945-2021 karta.png", "A 72945-2021")</f>
        <v/>
      </c>
      <c r="V96">
        <f>HYPERLINK("https://klasma.github.io/Logging_0883/klagomål/A 72945-2021 FSC-klagomål.docx", "A 72945-2021")</f>
        <v/>
      </c>
      <c r="W96">
        <f>HYPERLINK("https://klasma.github.io/Logging_0883/klagomålsmail/A 72945-2021 FSC-klagomål mail.docx", "A 72945-2021")</f>
        <v/>
      </c>
      <c r="X96">
        <f>HYPERLINK("https://klasma.github.io/Logging_0883/tillsyn/A 72945-2021 tillsynsbegäran.docx", "A 72945-2021")</f>
        <v/>
      </c>
      <c r="Y96">
        <f>HYPERLINK("https://klasma.github.io/Logging_0883/tillsynsmail/A 72945-2021 tillsynsbegäran mail.docx", "A 72945-2021")</f>
        <v/>
      </c>
    </row>
    <row r="97" ht="15" customHeight="1">
      <c r="A97" t="inlineStr">
        <is>
          <t>A 14927-2022</t>
        </is>
      </c>
      <c r="B97" s="1" t="n">
        <v>44657</v>
      </c>
      <c r="C97" s="1" t="n">
        <v>45512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Ekoxe
Revlummer</t>
        </is>
      </c>
      <c r="S97">
        <f>HYPERLINK("https://klasma.github.io/Logging_0883/artfynd/A 14927-2022 artfynd.xlsx", "A 14927-2022")</f>
        <v/>
      </c>
      <c r="T97">
        <f>HYPERLINK("https://klasma.github.io/Logging_0883/kartor/A 14927-2022 karta.png", "A 14927-2022")</f>
        <v/>
      </c>
      <c r="V97">
        <f>HYPERLINK("https://klasma.github.io/Logging_0883/klagomål/A 14927-2022 FSC-klagomål.docx", "A 14927-2022")</f>
        <v/>
      </c>
      <c r="W97">
        <f>HYPERLINK("https://klasma.github.io/Logging_0883/klagomålsmail/A 14927-2022 FSC-klagomål mail.docx", "A 14927-2022")</f>
        <v/>
      </c>
      <c r="X97">
        <f>HYPERLINK("https://klasma.github.io/Logging_0883/tillsyn/A 14927-2022 tillsynsbegäran.docx", "A 14927-2022")</f>
        <v/>
      </c>
      <c r="Y97">
        <f>HYPERLINK("https://klasma.github.io/Logging_0883/tillsynsmail/A 14927-2022 tillsynsbegäran mail.docx", "A 14927-2022")</f>
        <v/>
      </c>
    </row>
    <row r="98" ht="15" customHeight="1">
      <c r="A98" t="inlineStr">
        <is>
          <t>A 21024-2022</t>
        </is>
      </c>
      <c r="B98" s="1" t="n">
        <v>44704</v>
      </c>
      <c r="C98" s="1" t="n">
        <v>45512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4.4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Skogsbräsma
Vätteros</t>
        </is>
      </c>
      <c r="S98">
        <f>HYPERLINK("https://klasma.github.io/Logging_0883/artfynd/A 21024-2022 artfynd.xlsx", "A 21024-2022")</f>
        <v/>
      </c>
      <c r="T98">
        <f>HYPERLINK("https://klasma.github.io/Logging_0883/kartor/A 21024-2022 karta.png", "A 21024-2022")</f>
        <v/>
      </c>
      <c r="V98">
        <f>HYPERLINK("https://klasma.github.io/Logging_0883/klagomål/A 21024-2022 FSC-klagomål.docx", "A 21024-2022")</f>
        <v/>
      </c>
      <c r="W98">
        <f>HYPERLINK("https://klasma.github.io/Logging_0883/klagomålsmail/A 21024-2022 FSC-klagomål mail.docx", "A 21024-2022")</f>
        <v/>
      </c>
      <c r="X98">
        <f>HYPERLINK("https://klasma.github.io/Logging_0883/tillsyn/A 21024-2022 tillsynsbegäran.docx", "A 21024-2022")</f>
        <v/>
      </c>
      <c r="Y98">
        <f>HYPERLINK("https://klasma.github.io/Logging_0883/tillsynsmail/A 21024-2022 tillsynsbegäran mail.docx", "A 21024-2022")</f>
        <v/>
      </c>
    </row>
    <row r="99" ht="15" customHeight="1">
      <c r="A99" t="inlineStr">
        <is>
          <t>A 25145-2022</t>
        </is>
      </c>
      <c r="B99" s="1" t="n">
        <v>44729</v>
      </c>
      <c r="C99" s="1" t="n">
        <v>45512</v>
      </c>
      <c r="D99" t="inlineStr">
        <is>
          <t>KALMAR LÄN</t>
        </is>
      </c>
      <c r="E99" t="inlineStr">
        <is>
          <t>VÄSTERVIK</t>
        </is>
      </c>
      <c r="G99" t="n">
        <v>1.3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Tallticka</t>
        </is>
      </c>
      <c r="S99">
        <f>HYPERLINK("https://klasma.github.io/Logging_0883/artfynd/A 25145-2022 artfynd.xlsx", "A 25145-2022")</f>
        <v/>
      </c>
      <c r="T99">
        <f>HYPERLINK("https://klasma.github.io/Logging_0883/kartor/A 25145-2022 karta.png", "A 25145-2022")</f>
        <v/>
      </c>
      <c r="U99">
        <f>HYPERLINK("https://klasma.github.io/Logging_0883/knärot/A 25145-2022 karta knärot.png", "A 25145-2022")</f>
        <v/>
      </c>
      <c r="V99">
        <f>HYPERLINK("https://klasma.github.io/Logging_0883/klagomål/A 25145-2022 FSC-klagomål.docx", "A 25145-2022")</f>
        <v/>
      </c>
      <c r="W99">
        <f>HYPERLINK("https://klasma.github.io/Logging_0883/klagomålsmail/A 25145-2022 FSC-klagomål mail.docx", "A 25145-2022")</f>
        <v/>
      </c>
      <c r="X99">
        <f>HYPERLINK("https://klasma.github.io/Logging_0883/tillsyn/A 25145-2022 tillsynsbegäran.docx", "A 25145-2022")</f>
        <v/>
      </c>
      <c r="Y99">
        <f>HYPERLINK("https://klasma.github.io/Logging_0883/tillsynsmail/A 25145-2022 tillsynsbegäran mail.docx", "A 25145-2022")</f>
        <v/>
      </c>
    </row>
    <row r="100" ht="15" customHeight="1">
      <c r="A100" t="inlineStr">
        <is>
          <t>A 38373-2022</t>
        </is>
      </c>
      <c r="B100" s="1" t="n">
        <v>44812</v>
      </c>
      <c r="C100" s="1" t="n">
        <v>45512</v>
      </c>
      <c r="D100" t="inlineStr">
        <is>
          <t>KALMAR LÄN</t>
        </is>
      </c>
      <c r="E100" t="inlineStr">
        <is>
          <t>VÄSTERVIK</t>
        </is>
      </c>
      <c r="G100" t="n">
        <v>3.1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38373-2022 artfynd.xlsx", "A 38373-2022")</f>
        <v/>
      </c>
      <c r="T100">
        <f>HYPERLINK("https://klasma.github.io/Logging_0883/kartor/A 38373-2022 karta.png", "A 38373-2022")</f>
        <v/>
      </c>
      <c r="U100">
        <f>HYPERLINK("https://klasma.github.io/Logging_0883/knärot/A 38373-2022 karta knärot.png", "A 38373-2022")</f>
        <v/>
      </c>
      <c r="V100">
        <f>HYPERLINK("https://klasma.github.io/Logging_0883/klagomål/A 38373-2022 FSC-klagomål.docx", "A 38373-2022")</f>
        <v/>
      </c>
      <c r="W100">
        <f>HYPERLINK("https://klasma.github.io/Logging_0883/klagomålsmail/A 38373-2022 FSC-klagomål mail.docx", "A 38373-2022")</f>
        <v/>
      </c>
      <c r="X100">
        <f>HYPERLINK("https://klasma.github.io/Logging_0883/tillsyn/A 38373-2022 tillsynsbegäran.docx", "A 38373-2022")</f>
        <v/>
      </c>
      <c r="Y100">
        <f>HYPERLINK("https://klasma.github.io/Logging_0883/tillsynsmail/A 38373-2022 tillsynsbegäran mail.docx", "A 38373-2022")</f>
        <v/>
      </c>
    </row>
    <row r="101" ht="15" customHeight="1">
      <c r="A101" t="inlineStr">
        <is>
          <t>A 46552-2022</t>
        </is>
      </c>
      <c r="B101" s="1" t="n">
        <v>44848</v>
      </c>
      <c r="C101" s="1" t="n">
        <v>45512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Sårläka</t>
        </is>
      </c>
      <c r="S101">
        <f>HYPERLINK("https://klasma.github.io/Logging_0883/artfynd/A 46552-2022 artfynd.xlsx", "A 46552-2022")</f>
        <v/>
      </c>
      <c r="T101">
        <f>HYPERLINK("https://klasma.github.io/Logging_0883/kartor/A 46552-2022 karta.png", "A 46552-2022")</f>
        <v/>
      </c>
      <c r="V101">
        <f>HYPERLINK("https://klasma.github.io/Logging_0883/klagomål/A 46552-2022 FSC-klagomål.docx", "A 46552-2022")</f>
        <v/>
      </c>
      <c r="W101">
        <f>HYPERLINK("https://klasma.github.io/Logging_0883/klagomålsmail/A 46552-2022 FSC-klagomål mail.docx", "A 46552-2022")</f>
        <v/>
      </c>
      <c r="X101">
        <f>HYPERLINK("https://klasma.github.io/Logging_0883/tillsyn/A 46552-2022 tillsynsbegäran.docx", "A 46552-2022")</f>
        <v/>
      </c>
      <c r="Y101">
        <f>HYPERLINK("https://klasma.github.io/Logging_0883/tillsynsmail/A 46552-2022 tillsynsbegäran mail.docx", "A 46552-2022")</f>
        <v/>
      </c>
    </row>
    <row r="102" ht="15" customHeight="1">
      <c r="A102" t="inlineStr">
        <is>
          <t>A 46787-2022</t>
        </is>
      </c>
      <c r="B102" s="1" t="n">
        <v>44851</v>
      </c>
      <c r="C102" s="1" t="n">
        <v>45512</v>
      </c>
      <c r="D102" t="inlineStr">
        <is>
          <t>KALMAR LÄN</t>
        </is>
      </c>
      <c r="E102" t="inlineStr">
        <is>
          <t>VÄSTERVIK</t>
        </is>
      </c>
      <c r="G102" t="n">
        <v>4.4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Tallticka</t>
        </is>
      </c>
      <c r="S102">
        <f>HYPERLINK("https://klasma.github.io/Logging_0883/artfynd/A 46787-2022 artfynd.xlsx", "A 46787-2022")</f>
        <v/>
      </c>
      <c r="T102">
        <f>HYPERLINK("https://klasma.github.io/Logging_0883/kartor/A 46787-2022 karta.png", "A 46787-2022")</f>
        <v/>
      </c>
      <c r="V102">
        <f>HYPERLINK("https://klasma.github.io/Logging_0883/klagomål/A 46787-2022 FSC-klagomål.docx", "A 46787-2022")</f>
        <v/>
      </c>
      <c r="W102">
        <f>HYPERLINK("https://klasma.github.io/Logging_0883/klagomålsmail/A 46787-2022 FSC-klagomål mail.docx", "A 46787-2022")</f>
        <v/>
      </c>
      <c r="X102">
        <f>HYPERLINK("https://klasma.github.io/Logging_0883/tillsyn/A 46787-2022 tillsynsbegäran.docx", "A 46787-2022")</f>
        <v/>
      </c>
      <c r="Y102">
        <f>HYPERLINK("https://klasma.github.io/Logging_0883/tillsynsmail/A 46787-2022 tillsynsbegäran mail.docx", "A 46787-2022")</f>
        <v/>
      </c>
    </row>
    <row r="103" ht="15" customHeight="1">
      <c r="A103" t="inlineStr">
        <is>
          <t>A 50989-2022</t>
        </is>
      </c>
      <c r="B103" s="1" t="n">
        <v>44867</v>
      </c>
      <c r="C103" s="1" t="n">
        <v>45512</v>
      </c>
      <c r="D103" t="inlineStr">
        <is>
          <t>KALMAR LÄN</t>
        </is>
      </c>
      <c r="E103" t="inlineStr">
        <is>
          <t>VÄSTERVIK</t>
        </is>
      </c>
      <c r="G103" t="n">
        <v>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Vätteros</t>
        </is>
      </c>
      <c r="S103">
        <f>HYPERLINK("https://klasma.github.io/Logging_0883/artfynd/A 50989-2022 artfynd.xlsx", "A 50989-2022")</f>
        <v/>
      </c>
      <c r="T103">
        <f>HYPERLINK("https://klasma.github.io/Logging_0883/kartor/A 50989-2022 karta.png", "A 50989-2022")</f>
        <v/>
      </c>
      <c r="V103">
        <f>HYPERLINK("https://klasma.github.io/Logging_0883/klagomål/A 50989-2022 FSC-klagomål.docx", "A 50989-2022")</f>
        <v/>
      </c>
      <c r="W103">
        <f>HYPERLINK("https://klasma.github.io/Logging_0883/klagomålsmail/A 50989-2022 FSC-klagomål mail.docx", "A 50989-2022")</f>
        <v/>
      </c>
      <c r="X103">
        <f>HYPERLINK("https://klasma.github.io/Logging_0883/tillsyn/A 50989-2022 tillsynsbegäran.docx", "A 50989-2022")</f>
        <v/>
      </c>
      <c r="Y103">
        <f>HYPERLINK("https://klasma.github.io/Logging_0883/tillsynsmail/A 50989-2022 tillsynsbegäran mail.docx", "A 50989-2022")</f>
        <v/>
      </c>
    </row>
    <row r="104" ht="15" customHeight="1">
      <c r="A104" t="inlineStr">
        <is>
          <t>A 62003-2022</t>
        </is>
      </c>
      <c r="B104" s="1" t="n">
        <v>44918</v>
      </c>
      <c r="C104" s="1" t="n">
        <v>45512</v>
      </c>
      <c r="D104" t="inlineStr">
        <is>
          <t>KALMAR LÄN</t>
        </is>
      </c>
      <c r="E104" t="inlineStr">
        <is>
          <t>VÄSTERVIK</t>
        </is>
      </c>
      <c r="G104" t="n">
        <v>6.2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Linmåra/småsnärjmåra</t>
        </is>
      </c>
      <c r="S104">
        <f>HYPERLINK("https://klasma.github.io/Logging_0883/artfynd/A 62003-2022 artfynd.xlsx", "A 62003-2022")</f>
        <v/>
      </c>
      <c r="T104">
        <f>HYPERLINK("https://klasma.github.io/Logging_0883/kartor/A 62003-2022 karta.png", "A 62003-2022")</f>
        <v/>
      </c>
      <c r="U104">
        <f>HYPERLINK("https://klasma.github.io/Logging_0883/knärot/A 62003-2022 karta knärot.png", "A 62003-2022")</f>
        <v/>
      </c>
      <c r="V104">
        <f>HYPERLINK("https://klasma.github.io/Logging_0883/klagomål/A 62003-2022 FSC-klagomål.docx", "A 62003-2022")</f>
        <v/>
      </c>
      <c r="W104">
        <f>HYPERLINK("https://klasma.github.io/Logging_0883/klagomålsmail/A 62003-2022 FSC-klagomål mail.docx", "A 62003-2022")</f>
        <v/>
      </c>
      <c r="X104">
        <f>HYPERLINK("https://klasma.github.io/Logging_0883/tillsyn/A 62003-2022 tillsynsbegäran.docx", "A 62003-2022")</f>
        <v/>
      </c>
      <c r="Y104">
        <f>HYPERLINK("https://klasma.github.io/Logging_0883/tillsynsmail/A 62003-2022 tillsynsbegäran mail.docx", "A 62003-2022")</f>
        <v/>
      </c>
    </row>
    <row r="105" ht="15" customHeight="1">
      <c r="A105" t="inlineStr">
        <is>
          <t>A 2097-2023</t>
        </is>
      </c>
      <c r="B105" s="1" t="n">
        <v>44939</v>
      </c>
      <c r="C105" s="1" t="n">
        <v>45512</v>
      </c>
      <c r="D105" t="inlineStr">
        <is>
          <t>KALMAR LÄN</t>
        </is>
      </c>
      <c r="E105" t="inlineStr">
        <is>
          <t>VÄSTERVIK</t>
        </is>
      </c>
      <c r="G105" t="n">
        <v>6.9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Grovticka</t>
        </is>
      </c>
      <c r="S105">
        <f>HYPERLINK("https://klasma.github.io/Logging_0883/artfynd/A 2097-2023 artfynd.xlsx", "A 2097-2023")</f>
        <v/>
      </c>
      <c r="T105">
        <f>HYPERLINK("https://klasma.github.io/Logging_0883/kartor/A 2097-2023 karta.png", "A 2097-2023")</f>
        <v/>
      </c>
      <c r="U105">
        <f>HYPERLINK("https://klasma.github.io/Logging_0883/knärot/A 2097-2023 karta knärot.png", "A 2097-2023")</f>
        <v/>
      </c>
      <c r="V105">
        <f>HYPERLINK("https://klasma.github.io/Logging_0883/klagomål/A 2097-2023 FSC-klagomål.docx", "A 2097-2023")</f>
        <v/>
      </c>
      <c r="W105">
        <f>HYPERLINK("https://klasma.github.io/Logging_0883/klagomålsmail/A 2097-2023 FSC-klagomål mail.docx", "A 2097-2023")</f>
        <v/>
      </c>
      <c r="X105">
        <f>HYPERLINK("https://klasma.github.io/Logging_0883/tillsyn/A 2097-2023 tillsynsbegäran.docx", "A 2097-2023")</f>
        <v/>
      </c>
      <c r="Y105">
        <f>HYPERLINK("https://klasma.github.io/Logging_0883/tillsynsmail/A 2097-2023 tillsynsbegäran mail.docx", "A 2097-2023")</f>
        <v/>
      </c>
    </row>
    <row r="106" ht="15" customHeight="1">
      <c r="A106" t="inlineStr">
        <is>
          <t>A 2515-2023</t>
        </is>
      </c>
      <c r="B106" s="1" t="n">
        <v>44943</v>
      </c>
      <c r="C106" s="1" t="n">
        <v>45512</v>
      </c>
      <c r="D106" t="inlineStr">
        <is>
          <t>KALMAR LÄN</t>
        </is>
      </c>
      <c r="E106" t="inlineStr">
        <is>
          <t>VÄSTERVIK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Grönpyrola</t>
        </is>
      </c>
      <c r="S106">
        <f>HYPERLINK("https://klasma.github.io/Logging_0883/artfynd/A 2515-2023 artfynd.xlsx", "A 2515-2023")</f>
        <v/>
      </c>
      <c r="T106">
        <f>HYPERLINK("https://klasma.github.io/Logging_0883/kartor/A 2515-2023 karta.png", "A 2515-2023")</f>
        <v/>
      </c>
      <c r="U106">
        <f>HYPERLINK("https://klasma.github.io/Logging_0883/knärot/A 2515-2023 karta knärot.png", "A 2515-2023")</f>
        <v/>
      </c>
      <c r="V106">
        <f>HYPERLINK("https://klasma.github.io/Logging_0883/klagomål/A 2515-2023 FSC-klagomål.docx", "A 2515-2023")</f>
        <v/>
      </c>
      <c r="W106">
        <f>HYPERLINK("https://klasma.github.io/Logging_0883/klagomålsmail/A 2515-2023 FSC-klagomål mail.docx", "A 2515-2023")</f>
        <v/>
      </c>
      <c r="X106">
        <f>HYPERLINK("https://klasma.github.io/Logging_0883/tillsyn/A 2515-2023 tillsynsbegäran.docx", "A 2515-2023")</f>
        <v/>
      </c>
      <c r="Y106">
        <f>HYPERLINK("https://klasma.github.io/Logging_0883/tillsynsmail/A 2515-2023 tillsynsbegäran mail.docx", "A 2515-2023")</f>
        <v/>
      </c>
    </row>
    <row r="107" ht="15" customHeight="1">
      <c r="A107" t="inlineStr">
        <is>
          <t>A 3173-2023</t>
        </is>
      </c>
      <c r="B107" s="1" t="n">
        <v>44946</v>
      </c>
      <c r="C107" s="1" t="n">
        <v>45512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Tallticka</t>
        </is>
      </c>
      <c r="S107">
        <f>HYPERLINK("https://klasma.github.io/Logging_0883/artfynd/A 3173-2023 artfynd.xlsx", "A 3173-2023")</f>
        <v/>
      </c>
      <c r="T107">
        <f>HYPERLINK("https://klasma.github.io/Logging_0883/kartor/A 3173-2023 karta.png", "A 3173-2023")</f>
        <v/>
      </c>
      <c r="U107">
        <f>HYPERLINK("https://klasma.github.io/Logging_0883/knärot/A 3173-2023 karta knärot.png", "A 3173-2023")</f>
        <v/>
      </c>
      <c r="V107">
        <f>HYPERLINK("https://klasma.github.io/Logging_0883/klagomål/A 3173-2023 FSC-klagomål.docx", "A 3173-2023")</f>
        <v/>
      </c>
      <c r="W107">
        <f>HYPERLINK("https://klasma.github.io/Logging_0883/klagomålsmail/A 3173-2023 FSC-klagomål mail.docx", "A 3173-2023")</f>
        <v/>
      </c>
      <c r="X107">
        <f>HYPERLINK("https://klasma.github.io/Logging_0883/tillsyn/A 3173-2023 tillsynsbegäran.docx", "A 3173-2023")</f>
        <v/>
      </c>
      <c r="Y107">
        <f>HYPERLINK("https://klasma.github.io/Logging_0883/tillsynsmail/A 3173-2023 tillsynsbegäran mail.docx", "A 3173-2023")</f>
        <v/>
      </c>
    </row>
    <row r="108" ht="15" customHeight="1">
      <c r="A108" t="inlineStr">
        <is>
          <t>A 9040-2023</t>
        </is>
      </c>
      <c r="B108" s="1" t="n">
        <v>44979</v>
      </c>
      <c r="C108" s="1" t="n">
        <v>45512</v>
      </c>
      <c r="D108" t="inlineStr">
        <is>
          <t>KALMAR LÄN</t>
        </is>
      </c>
      <c r="E108" t="inlineStr">
        <is>
          <t>VÄSTERVIK</t>
        </is>
      </c>
      <c r="G108" t="n">
        <v>5.1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Grönpyrola</t>
        </is>
      </c>
      <c r="S108">
        <f>HYPERLINK("https://klasma.github.io/Logging_0883/artfynd/A 9040-2023 artfynd.xlsx", "A 9040-2023")</f>
        <v/>
      </c>
      <c r="T108">
        <f>HYPERLINK("https://klasma.github.io/Logging_0883/kartor/A 9040-2023 karta.png", "A 9040-2023")</f>
        <v/>
      </c>
      <c r="U108">
        <f>HYPERLINK("https://klasma.github.io/Logging_0883/knärot/A 9040-2023 karta knärot.png", "A 9040-2023")</f>
        <v/>
      </c>
      <c r="V108">
        <f>HYPERLINK("https://klasma.github.io/Logging_0883/klagomål/A 9040-2023 FSC-klagomål.docx", "A 9040-2023")</f>
        <v/>
      </c>
      <c r="W108">
        <f>HYPERLINK("https://klasma.github.io/Logging_0883/klagomålsmail/A 9040-2023 FSC-klagomål mail.docx", "A 9040-2023")</f>
        <v/>
      </c>
      <c r="X108">
        <f>HYPERLINK("https://klasma.github.io/Logging_0883/tillsyn/A 9040-2023 tillsynsbegäran.docx", "A 9040-2023")</f>
        <v/>
      </c>
      <c r="Y108">
        <f>HYPERLINK("https://klasma.github.io/Logging_0883/tillsynsmail/A 9040-2023 tillsynsbegäran mail.docx", "A 9040-2023")</f>
        <v/>
      </c>
    </row>
    <row r="109" ht="15" customHeight="1">
      <c r="A109" t="inlineStr">
        <is>
          <t>A 10806-2023</t>
        </is>
      </c>
      <c r="B109" s="1" t="n">
        <v>44989</v>
      </c>
      <c r="C109" s="1" t="n">
        <v>45512</v>
      </c>
      <c r="D109" t="inlineStr">
        <is>
          <t>KALMAR LÄN</t>
        </is>
      </c>
      <c r="E109" t="inlineStr">
        <is>
          <t>VÄSTERVIK</t>
        </is>
      </c>
      <c r="G109" t="n">
        <v>3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Revlummer</t>
        </is>
      </c>
      <c r="S109">
        <f>HYPERLINK("https://klasma.github.io/Logging_0883/artfynd/A 10806-2023 artfynd.xlsx", "A 10806-2023")</f>
        <v/>
      </c>
      <c r="T109">
        <f>HYPERLINK("https://klasma.github.io/Logging_0883/kartor/A 10806-2023 karta.png", "A 10806-2023")</f>
        <v/>
      </c>
      <c r="U109">
        <f>HYPERLINK("https://klasma.github.io/Logging_0883/knärot/A 10806-2023 karta knärot.png", "A 10806-2023")</f>
        <v/>
      </c>
      <c r="V109">
        <f>HYPERLINK("https://klasma.github.io/Logging_0883/klagomål/A 10806-2023 FSC-klagomål.docx", "A 10806-2023")</f>
        <v/>
      </c>
      <c r="W109">
        <f>HYPERLINK("https://klasma.github.io/Logging_0883/klagomålsmail/A 10806-2023 FSC-klagomål mail.docx", "A 10806-2023")</f>
        <v/>
      </c>
      <c r="X109">
        <f>HYPERLINK("https://klasma.github.io/Logging_0883/tillsyn/A 10806-2023 tillsynsbegäran.docx", "A 10806-2023")</f>
        <v/>
      </c>
      <c r="Y109">
        <f>HYPERLINK("https://klasma.github.io/Logging_0883/tillsynsmail/A 10806-2023 tillsynsbegäran mail.docx", "A 10806-2023")</f>
        <v/>
      </c>
    </row>
    <row r="110" ht="15" customHeight="1">
      <c r="A110" t="inlineStr">
        <is>
          <t>A 14301-2023</t>
        </is>
      </c>
      <c r="B110" s="1" t="n">
        <v>45011</v>
      </c>
      <c r="C110" s="1" t="n">
        <v>45512</v>
      </c>
      <c r="D110" t="inlineStr">
        <is>
          <t>KALMAR LÄN</t>
        </is>
      </c>
      <c r="E110" t="inlineStr">
        <is>
          <t>VÄSTERVIK</t>
        </is>
      </c>
      <c r="G110" t="n">
        <v>4.4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14301-2023 artfynd.xlsx", "A 14301-2023")</f>
        <v/>
      </c>
      <c r="T110">
        <f>HYPERLINK("https://klasma.github.io/Logging_0883/kartor/A 14301-2023 karta.png", "A 14301-2023")</f>
        <v/>
      </c>
      <c r="U110">
        <f>HYPERLINK("https://klasma.github.io/Logging_0883/knärot/A 14301-2023 karta knärot.png", "A 14301-2023")</f>
        <v/>
      </c>
      <c r="V110">
        <f>HYPERLINK("https://klasma.github.io/Logging_0883/klagomål/A 14301-2023 FSC-klagomål.docx", "A 14301-2023")</f>
        <v/>
      </c>
      <c r="W110">
        <f>HYPERLINK("https://klasma.github.io/Logging_0883/klagomålsmail/A 14301-2023 FSC-klagomål mail.docx", "A 14301-2023")</f>
        <v/>
      </c>
      <c r="X110">
        <f>HYPERLINK("https://klasma.github.io/Logging_0883/tillsyn/A 14301-2023 tillsynsbegäran.docx", "A 14301-2023")</f>
        <v/>
      </c>
      <c r="Y110">
        <f>HYPERLINK("https://klasma.github.io/Logging_0883/tillsynsmail/A 14301-2023 tillsynsbegäran mail.docx", "A 14301-2023")</f>
        <v/>
      </c>
    </row>
    <row r="111" ht="15" customHeight="1">
      <c r="A111" t="inlineStr">
        <is>
          <t>A 25435-2023</t>
        </is>
      </c>
      <c r="B111" s="1" t="n">
        <v>45089</v>
      </c>
      <c r="C111" s="1" t="n">
        <v>45512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Tjäder</t>
        </is>
      </c>
      <c r="S111">
        <f>HYPERLINK("https://klasma.github.io/Logging_0883/artfynd/A 25435-2023 artfynd.xlsx", "A 25435-2023")</f>
        <v/>
      </c>
      <c r="T111">
        <f>HYPERLINK("https://klasma.github.io/Logging_0883/kartor/A 25435-2023 karta.png", "A 25435-2023")</f>
        <v/>
      </c>
      <c r="U111">
        <f>HYPERLINK("https://klasma.github.io/Logging_0883/knärot/A 25435-2023 karta knärot.png", "A 25435-2023")</f>
        <v/>
      </c>
      <c r="V111">
        <f>HYPERLINK("https://klasma.github.io/Logging_0883/klagomål/A 25435-2023 FSC-klagomål.docx", "A 25435-2023")</f>
        <v/>
      </c>
      <c r="W111">
        <f>HYPERLINK("https://klasma.github.io/Logging_0883/klagomålsmail/A 25435-2023 FSC-klagomål mail.docx", "A 25435-2023")</f>
        <v/>
      </c>
      <c r="X111">
        <f>HYPERLINK("https://klasma.github.io/Logging_0883/tillsyn/A 25435-2023 tillsynsbegäran.docx", "A 25435-2023")</f>
        <v/>
      </c>
      <c r="Y111">
        <f>HYPERLINK("https://klasma.github.io/Logging_0883/tillsynsmail/A 25435-2023 tillsynsbegäran mail.docx", "A 25435-2023")</f>
        <v/>
      </c>
      <c r="Z111">
        <f>HYPERLINK("https://klasma.github.io/Logging_0883/fåglar/A 25435-2023 prioriterade fågelarter.docx", "A 25435-2023")</f>
        <v/>
      </c>
    </row>
    <row r="112" ht="15" customHeight="1">
      <c r="A112" t="inlineStr">
        <is>
          <t>A 32649-2023</t>
        </is>
      </c>
      <c r="B112" s="1" t="n">
        <v>45121</v>
      </c>
      <c r="C112" s="1" t="n">
        <v>45512</v>
      </c>
      <c r="D112" t="inlineStr">
        <is>
          <t>KALMAR LÄN</t>
        </is>
      </c>
      <c r="E112" t="inlineStr">
        <is>
          <t>VÄSTERVIK</t>
        </is>
      </c>
      <c r="G112" t="n">
        <v>1.7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Blåmossa</t>
        </is>
      </c>
      <c r="S112">
        <f>HYPERLINK("https://klasma.github.io/Logging_0883/artfynd/A 32649-2023 artfynd.xlsx", "A 32649-2023")</f>
        <v/>
      </c>
      <c r="T112">
        <f>HYPERLINK("https://klasma.github.io/Logging_0883/kartor/A 32649-2023 karta.png", "A 32649-2023")</f>
        <v/>
      </c>
      <c r="U112">
        <f>HYPERLINK("https://klasma.github.io/Logging_0883/knärot/A 32649-2023 karta knärot.png", "A 32649-2023")</f>
        <v/>
      </c>
      <c r="V112">
        <f>HYPERLINK("https://klasma.github.io/Logging_0883/klagomål/A 32649-2023 FSC-klagomål.docx", "A 32649-2023")</f>
        <v/>
      </c>
      <c r="W112">
        <f>HYPERLINK("https://klasma.github.io/Logging_0883/klagomålsmail/A 32649-2023 FSC-klagomål mail.docx", "A 32649-2023")</f>
        <v/>
      </c>
      <c r="X112">
        <f>HYPERLINK("https://klasma.github.io/Logging_0883/tillsyn/A 32649-2023 tillsynsbegäran.docx", "A 32649-2023")</f>
        <v/>
      </c>
      <c r="Y112">
        <f>HYPERLINK("https://klasma.github.io/Logging_0883/tillsynsmail/A 32649-2023 tillsynsbegäran mail.docx", "A 32649-2023")</f>
        <v/>
      </c>
    </row>
    <row r="113" ht="15" customHeight="1">
      <c r="A113" t="inlineStr">
        <is>
          <t>A 33824-2023</t>
        </is>
      </c>
      <c r="B113" s="1" t="n">
        <v>45133</v>
      </c>
      <c r="C113" s="1" t="n">
        <v>45512</v>
      </c>
      <c r="D113" t="inlineStr">
        <is>
          <t>KALMAR LÄN</t>
        </is>
      </c>
      <c r="E113" t="inlineStr">
        <is>
          <t>VÄSTERVIK</t>
        </is>
      </c>
      <c r="G113" t="n">
        <v>2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Grönpyrola</t>
        </is>
      </c>
      <c r="S113">
        <f>HYPERLINK("https://klasma.github.io/Logging_0883/artfynd/A 33824-2023 artfynd.xlsx", "A 33824-2023")</f>
        <v/>
      </c>
      <c r="T113">
        <f>HYPERLINK("https://klasma.github.io/Logging_0883/kartor/A 33824-2023 karta.png", "A 33824-2023")</f>
        <v/>
      </c>
      <c r="U113">
        <f>HYPERLINK("https://klasma.github.io/Logging_0883/knärot/A 33824-2023 karta knärot.png", "A 33824-2023")</f>
        <v/>
      </c>
      <c r="V113">
        <f>HYPERLINK("https://klasma.github.io/Logging_0883/klagomål/A 33824-2023 FSC-klagomål.docx", "A 33824-2023")</f>
        <v/>
      </c>
      <c r="W113">
        <f>HYPERLINK("https://klasma.github.io/Logging_0883/klagomålsmail/A 33824-2023 FSC-klagomål mail.docx", "A 33824-2023")</f>
        <v/>
      </c>
      <c r="X113">
        <f>HYPERLINK("https://klasma.github.io/Logging_0883/tillsyn/A 33824-2023 tillsynsbegäran.docx", "A 33824-2023")</f>
        <v/>
      </c>
      <c r="Y113">
        <f>HYPERLINK("https://klasma.github.io/Logging_0883/tillsynsmail/A 33824-2023 tillsynsbegäran mail.docx", "A 33824-2023")</f>
        <v/>
      </c>
    </row>
    <row r="114" ht="15" customHeight="1">
      <c r="A114" t="inlineStr">
        <is>
          <t>A 33825-2023</t>
        </is>
      </c>
      <c r="B114" s="1" t="n">
        <v>45133</v>
      </c>
      <c r="C114" s="1" t="n">
        <v>45512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Tjäder</t>
        </is>
      </c>
      <c r="S114">
        <f>HYPERLINK("https://klasma.github.io/Logging_0883/artfynd/A 33825-2023 artfynd.xlsx", "A 33825-2023")</f>
        <v/>
      </c>
      <c r="T114">
        <f>HYPERLINK("https://klasma.github.io/Logging_0883/kartor/A 33825-2023 karta.png", "A 33825-2023")</f>
        <v/>
      </c>
      <c r="U114">
        <f>HYPERLINK("https://klasma.github.io/Logging_0883/knärot/A 33825-2023 karta knärot.png", "A 33825-2023")</f>
        <v/>
      </c>
      <c r="V114">
        <f>HYPERLINK("https://klasma.github.io/Logging_0883/klagomål/A 33825-2023 FSC-klagomål.docx", "A 33825-2023")</f>
        <v/>
      </c>
      <c r="W114">
        <f>HYPERLINK("https://klasma.github.io/Logging_0883/klagomålsmail/A 33825-2023 FSC-klagomål mail.docx", "A 33825-2023")</f>
        <v/>
      </c>
      <c r="X114">
        <f>HYPERLINK("https://klasma.github.io/Logging_0883/tillsyn/A 33825-2023 tillsynsbegäran.docx", "A 33825-2023")</f>
        <v/>
      </c>
      <c r="Y114">
        <f>HYPERLINK("https://klasma.github.io/Logging_0883/tillsynsmail/A 33825-2023 tillsynsbegäran mail.docx", "A 33825-2023")</f>
        <v/>
      </c>
      <c r="Z114">
        <f>HYPERLINK("https://klasma.github.io/Logging_0883/fåglar/A 33825-2023 prioriterade fågelarter.docx", "A 33825-2023")</f>
        <v/>
      </c>
    </row>
    <row r="115" ht="15" customHeight="1">
      <c r="A115" t="inlineStr">
        <is>
          <t>A 34120-2023</t>
        </is>
      </c>
      <c r="B115" s="1" t="n">
        <v>45135</v>
      </c>
      <c r="C115" s="1" t="n">
        <v>45512</v>
      </c>
      <c r="D115" t="inlineStr">
        <is>
          <t>KALMAR LÄN</t>
        </is>
      </c>
      <c r="E115" t="inlineStr">
        <is>
          <t>VÄSTERVIK</t>
        </is>
      </c>
      <c r="G115" t="n">
        <v>2.1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Blodticka</t>
        </is>
      </c>
      <c r="S115">
        <f>HYPERLINK("https://klasma.github.io/Logging_0883/artfynd/A 34120-2023 artfynd.xlsx", "A 34120-2023")</f>
        <v/>
      </c>
      <c r="T115">
        <f>HYPERLINK("https://klasma.github.io/Logging_0883/kartor/A 34120-2023 karta.png", "A 34120-2023")</f>
        <v/>
      </c>
      <c r="U115">
        <f>HYPERLINK("https://klasma.github.io/Logging_0883/knärot/A 34120-2023 karta knärot.png", "A 34120-2023")</f>
        <v/>
      </c>
      <c r="V115">
        <f>HYPERLINK("https://klasma.github.io/Logging_0883/klagomål/A 34120-2023 FSC-klagomål.docx", "A 34120-2023")</f>
        <v/>
      </c>
      <c r="W115">
        <f>HYPERLINK("https://klasma.github.io/Logging_0883/klagomålsmail/A 34120-2023 FSC-klagomål mail.docx", "A 34120-2023")</f>
        <v/>
      </c>
      <c r="X115">
        <f>HYPERLINK("https://klasma.github.io/Logging_0883/tillsyn/A 34120-2023 tillsynsbegäran.docx", "A 34120-2023")</f>
        <v/>
      </c>
      <c r="Y115">
        <f>HYPERLINK("https://klasma.github.io/Logging_0883/tillsynsmail/A 34120-2023 tillsynsbegäran mail.docx", "A 34120-2023")</f>
        <v/>
      </c>
    </row>
    <row r="116" ht="15" customHeight="1">
      <c r="A116" t="inlineStr">
        <is>
          <t>A 34119-2023</t>
        </is>
      </c>
      <c r="B116" s="1" t="n">
        <v>45135</v>
      </c>
      <c r="C116" s="1" t="n">
        <v>45512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Blomkålssvamp</t>
        </is>
      </c>
      <c r="S116">
        <f>HYPERLINK("https://klasma.github.io/Logging_0883/artfynd/A 34119-2023 artfynd.xlsx", "A 34119-2023")</f>
        <v/>
      </c>
      <c r="T116">
        <f>HYPERLINK("https://klasma.github.io/Logging_0883/kartor/A 34119-2023 karta.png", "A 34119-2023")</f>
        <v/>
      </c>
      <c r="U116">
        <f>HYPERLINK("https://klasma.github.io/Logging_0883/knärot/A 34119-2023 karta knärot.png", "A 34119-2023")</f>
        <v/>
      </c>
      <c r="V116">
        <f>HYPERLINK("https://klasma.github.io/Logging_0883/klagomål/A 34119-2023 FSC-klagomål.docx", "A 34119-2023")</f>
        <v/>
      </c>
      <c r="W116">
        <f>HYPERLINK("https://klasma.github.io/Logging_0883/klagomålsmail/A 34119-2023 FSC-klagomål mail.docx", "A 34119-2023")</f>
        <v/>
      </c>
      <c r="X116">
        <f>HYPERLINK("https://klasma.github.io/Logging_0883/tillsyn/A 34119-2023 tillsynsbegäran.docx", "A 34119-2023")</f>
        <v/>
      </c>
      <c r="Y116">
        <f>HYPERLINK("https://klasma.github.io/Logging_0883/tillsynsmail/A 34119-2023 tillsynsbegäran mail.docx", "A 34119-2023")</f>
        <v/>
      </c>
    </row>
    <row r="117" ht="15" customHeight="1">
      <c r="A117" t="inlineStr">
        <is>
          <t>A 38036-2023</t>
        </is>
      </c>
      <c r="B117" s="1" t="n">
        <v>45160</v>
      </c>
      <c r="C117" s="1" t="n">
        <v>45512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4.2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Barbastell
Nordfladdermus</t>
        </is>
      </c>
      <c r="S117">
        <f>HYPERLINK("https://klasma.github.io/Logging_0883/artfynd/A 38036-2023 artfynd.xlsx", "A 38036-2023")</f>
        <v/>
      </c>
      <c r="T117">
        <f>HYPERLINK("https://klasma.github.io/Logging_0883/kartor/A 38036-2023 karta.png", "A 38036-2023")</f>
        <v/>
      </c>
      <c r="V117">
        <f>HYPERLINK("https://klasma.github.io/Logging_0883/klagomål/A 38036-2023 FSC-klagomål.docx", "A 38036-2023")</f>
        <v/>
      </c>
      <c r="W117">
        <f>HYPERLINK("https://klasma.github.io/Logging_0883/klagomålsmail/A 38036-2023 FSC-klagomål mail.docx", "A 38036-2023")</f>
        <v/>
      </c>
      <c r="X117">
        <f>HYPERLINK("https://klasma.github.io/Logging_0883/tillsyn/A 38036-2023 tillsynsbegäran.docx", "A 38036-2023")</f>
        <v/>
      </c>
      <c r="Y117">
        <f>HYPERLINK("https://klasma.github.io/Logging_0883/tillsynsmail/A 38036-2023 tillsynsbegäran mail.docx", "A 38036-2023")</f>
        <v/>
      </c>
    </row>
    <row r="118" ht="15" customHeight="1">
      <c r="A118" t="inlineStr">
        <is>
          <t>A 46089-2023</t>
        </is>
      </c>
      <c r="B118" s="1" t="n">
        <v>45196</v>
      </c>
      <c r="C118" s="1" t="n">
        <v>45512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Fällmossa
Blåsippa</t>
        </is>
      </c>
      <c r="S118">
        <f>HYPERLINK("https://klasma.github.io/Logging_0883/artfynd/A 46089-2023 artfynd.xlsx", "A 46089-2023")</f>
        <v/>
      </c>
      <c r="T118">
        <f>HYPERLINK("https://klasma.github.io/Logging_0883/kartor/A 46089-2023 karta.png", "A 46089-2023")</f>
        <v/>
      </c>
      <c r="V118">
        <f>HYPERLINK("https://klasma.github.io/Logging_0883/klagomål/A 46089-2023 FSC-klagomål.docx", "A 46089-2023")</f>
        <v/>
      </c>
      <c r="W118">
        <f>HYPERLINK("https://klasma.github.io/Logging_0883/klagomålsmail/A 46089-2023 FSC-klagomål mail.docx", "A 46089-2023")</f>
        <v/>
      </c>
      <c r="X118">
        <f>HYPERLINK("https://klasma.github.io/Logging_0883/tillsyn/A 46089-2023 tillsynsbegäran.docx", "A 46089-2023")</f>
        <v/>
      </c>
      <c r="Y118">
        <f>HYPERLINK("https://klasma.github.io/Logging_0883/tillsynsmail/A 46089-2023 tillsynsbegäran mail.docx", "A 46089-2023")</f>
        <v/>
      </c>
    </row>
    <row r="119" ht="15" customHeight="1">
      <c r="A119" t="inlineStr">
        <is>
          <t>A 47935-2023</t>
        </is>
      </c>
      <c r="B119" s="1" t="n">
        <v>45204</v>
      </c>
      <c r="C119" s="1" t="n">
        <v>45512</v>
      </c>
      <c r="D119" t="inlineStr">
        <is>
          <t>KALMAR LÄN</t>
        </is>
      </c>
      <c r="E119" t="inlineStr">
        <is>
          <t>VÄSTERVIK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Tallticka
Blåmossa</t>
        </is>
      </c>
      <c r="S119">
        <f>HYPERLINK("https://klasma.github.io/Logging_0883/artfynd/A 47935-2023 artfynd.xlsx", "A 47935-2023")</f>
        <v/>
      </c>
      <c r="T119">
        <f>HYPERLINK("https://klasma.github.io/Logging_0883/kartor/A 47935-2023 karta.png", "A 47935-2023")</f>
        <v/>
      </c>
      <c r="V119">
        <f>HYPERLINK("https://klasma.github.io/Logging_0883/klagomål/A 47935-2023 FSC-klagomål.docx", "A 47935-2023")</f>
        <v/>
      </c>
      <c r="W119">
        <f>HYPERLINK("https://klasma.github.io/Logging_0883/klagomålsmail/A 47935-2023 FSC-klagomål mail.docx", "A 47935-2023")</f>
        <v/>
      </c>
      <c r="X119">
        <f>HYPERLINK("https://klasma.github.io/Logging_0883/tillsyn/A 47935-2023 tillsynsbegäran.docx", "A 47935-2023")</f>
        <v/>
      </c>
      <c r="Y119">
        <f>HYPERLINK("https://klasma.github.io/Logging_0883/tillsynsmail/A 47935-2023 tillsynsbegäran mail.docx", "A 47935-2023")</f>
        <v/>
      </c>
    </row>
    <row r="120" ht="15" customHeight="1">
      <c r="A120" t="inlineStr">
        <is>
          <t>A 54360-2023</t>
        </is>
      </c>
      <c r="B120" s="1" t="n">
        <v>45233</v>
      </c>
      <c r="C120" s="1" t="n">
        <v>45512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Spindelört
Mattlummer</t>
        </is>
      </c>
      <c r="S120">
        <f>HYPERLINK("https://klasma.github.io/Logging_0883/artfynd/A 54360-2023 artfynd.xlsx", "A 54360-2023")</f>
        <v/>
      </c>
      <c r="T120">
        <f>HYPERLINK("https://klasma.github.io/Logging_0883/kartor/A 54360-2023 karta.png", "A 54360-2023")</f>
        <v/>
      </c>
      <c r="V120">
        <f>HYPERLINK("https://klasma.github.io/Logging_0883/klagomål/A 54360-2023 FSC-klagomål.docx", "A 54360-2023")</f>
        <v/>
      </c>
      <c r="W120">
        <f>HYPERLINK("https://klasma.github.io/Logging_0883/klagomålsmail/A 54360-2023 FSC-klagomål mail.docx", "A 54360-2023")</f>
        <v/>
      </c>
      <c r="X120">
        <f>HYPERLINK("https://klasma.github.io/Logging_0883/tillsyn/A 54360-2023 tillsynsbegäran.docx", "A 54360-2023")</f>
        <v/>
      </c>
      <c r="Y120">
        <f>HYPERLINK("https://klasma.github.io/Logging_0883/tillsynsmail/A 54360-2023 tillsynsbegäran mail.docx", "A 54360-2023")</f>
        <v/>
      </c>
    </row>
    <row r="121" ht="15" customHeight="1">
      <c r="A121" t="inlineStr">
        <is>
          <t>A 55408-2023</t>
        </is>
      </c>
      <c r="B121" s="1" t="n">
        <v>45238</v>
      </c>
      <c r="C121" s="1" t="n">
        <v>45512</v>
      </c>
      <c r="D121" t="inlineStr">
        <is>
          <t>KALMAR LÄN</t>
        </is>
      </c>
      <c r="E121" t="inlineStr">
        <is>
          <t>VÄSTERVIK</t>
        </is>
      </c>
      <c r="G121" t="n">
        <v>2.8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Tallticka</t>
        </is>
      </c>
      <c r="S121">
        <f>HYPERLINK("https://klasma.github.io/Logging_0883/artfynd/A 55408-2023 artfynd.xlsx", "A 55408-2023")</f>
        <v/>
      </c>
      <c r="T121">
        <f>HYPERLINK("https://klasma.github.io/Logging_0883/kartor/A 55408-2023 karta.png", "A 55408-2023")</f>
        <v/>
      </c>
      <c r="V121">
        <f>HYPERLINK("https://klasma.github.io/Logging_0883/klagomål/A 55408-2023 FSC-klagomål.docx", "A 55408-2023")</f>
        <v/>
      </c>
      <c r="W121">
        <f>HYPERLINK("https://klasma.github.io/Logging_0883/klagomålsmail/A 55408-2023 FSC-klagomål mail.docx", "A 55408-2023")</f>
        <v/>
      </c>
      <c r="X121">
        <f>HYPERLINK("https://klasma.github.io/Logging_0883/tillsyn/A 55408-2023 tillsynsbegäran.docx", "A 55408-2023")</f>
        <v/>
      </c>
      <c r="Y121">
        <f>HYPERLINK("https://klasma.github.io/Logging_0883/tillsynsmail/A 55408-2023 tillsynsbegäran mail.docx", "A 55408-2023")</f>
        <v/>
      </c>
    </row>
    <row r="122" ht="15" customHeight="1">
      <c r="A122" t="inlineStr">
        <is>
          <t>A 56857-2023</t>
        </is>
      </c>
      <c r="B122" s="1" t="n">
        <v>45244</v>
      </c>
      <c r="C122" s="1" t="n">
        <v>45512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7.5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HYPERLINK("https://klasma.github.io/Logging_0883/artfynd/A 56857-2023 artfynd.xlsx", "A 56857-2023")</f>
        <v/>
      </c>
      <c r="T122">
        <f>HYPERLINK("https://klasma.github.io/Logging_0883/kartor/A 56857-2023 karta.png", "A 56857-2023")</f>
        <v/>
      </c>
      <c r="U122">
        <f>HYPERLINK("https://klasma.github.io/Logging_0883/knärot/A 56857-2023 karta knärot.png", "A 56857-2023")</f>
        <v/>
      </c>
      <c r="V122">
        <f>HYPERLINK("https://klasma.github.io/Logging_0883/klagomål/A 56857-2023 FSC-klagomål.docx", "A 56857-2023")</f>
        <v/>
      </c>
      <c r="W122">
        <f>HYPERLINK("https://klasma.github.io/Logging_0883/klagomålsmail/A 56857-2023 FSC-klagomål mail.docx", "A 56857-2023")</f>
        <v/>
      </c>
      <c r="X122">
        <f>HYPERLINK("https://klasma.github.io/Logging_0883/tillsyn/A 56857-2023 tillsynsbegäran.docx", "A 56857-2023")</f>
        <v/>
      </c>
      <c r="Y122">
        <f>HYPERLINK("https://klasma.github.io/Logging_0883/tillsynsmail/A 56857-2023 tillsynsbegäran mail.docx", "A 56857-2023")</f>
        <v/>
      </c>
    </row>
    <row r="123" ht="15" customHeight="1">
      <c r="A123" t="inlineStr">
        <is>
          <t>A 60631-2023</t>
        </is>
      </c>
      <c r="B123" s="1" t="n">
        <v>45260</v>
      </c>
      <c r="C123" s="1" t="n">
        <v>45512</v>
      </c>
      <c r="D123" t="inlineStr">
        <is>
          <t>KALMAR LÄN</t>
        </is>
      </c>
      <c r="E123" t="inlineStr">
        <is>
          <t>VÄSTERVIK</t>
        </is>
      </c>
      <c r="G123" t="n">
        <v>4.5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Revlummer</t>
        </is>
      </c>
      <c r="S123">
        <f>HYPERLINK("https://klasma.github.io/Logging_0883/artfynd/A 60631-2023 artfynd.xlsx", "A 60631-2023")</f>
        <v/>
      </c>
      <c r="T123">
        <f>HYPERLINK("https://klasma.github.io/Logging_0883/kartor/A 60631-2023 karta.png", "A 60631-2023")</f>
        <v/>
      </c>
      <c r="V123">
        <f>HYPERLINK("https://klasma.github.io/Logging_0883/klagomål/A 60631-2023 FSC-klagomål.docx", "A 60631-2023")</f>
        <v/>
      </c>
      <c r="W123">
        <f>HYPERLINK("https://klasma.github.io/Logging_0883/klagomålsmail/A 60631-2023 FSC-klagomål mail.docx", "A 60631-2023")</f>
        <v/>
      </c>
      <c r="X123">
        <f>HYPERLINK("https://klasma.github.io/Logging_0883/tillsyn/A 60631-2023 tillsynsbegäran.docx", "A 60631-2023")</f>
        <v/>
      </c>
      <c r="Y123">
        <f>HYPERLINK("https://klasma.github.io/Logging_0883/tillsynsmail/A 60631-2023 tillsynsbegäran mail.docx", "A 60631-2023")</f>
        <v/>
      </c>
    </row>
    <row r="124" ht="15" customHeight="1">
      <c r="A124" t="inlineStr">
        <is>
          <t>A 60920-2023</t>
        </is>
      </c>
      <c r="B124" s="1" t="n">
        <v>45261</v>
      </c>
      <c r="C124" s="1" t="n">
        <v>45512</v>
      </c>
      <c r="D124" t="inlineStr">
        <is>
          <t>KALMAR LÄN</t>
        </is>
      </c>
      <c r="E124" t="inlineStr">
        <is>
          <t>VÄSTERVIK</t>
        </is>
      </c>
      <c r="G124" t="n">
        <v>10.1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Solvända
Spindelört</t>
        </is>
      </c>
      <c r="S124">
        <f>HYPERLINK("https://klasma.github.io/Logging_0883/artfynd/A 60920-2023 artfynd.xlsx", "A 60920-2023")</f>
        <v/>
      </c>
      <c r="T124">
        <f>HYPERLINK("https://klasma.github.io/Logging_0883/kartor/A 60920-2023 karta.png", "A 60920-2023")</f>
        <v/>
      </c>
      <c r="V124">
        <f>HYPERLINK("https://klasma.github.io/Logging_0883/klagomål/A 60920-2023 FSC-klagomål.docx", "A 60920-2023")</f>
        <v/>
      </c>
      <c r="W124">
        <f>HYPERLINK("https://klasma.github.io/Logging_0883/klagomålsmail/A 60920-2023 FSC-klagomål mail.docx", "A 60920-2023")</f>
        <v/>
      </c>
      <c r="X124">
        <f>HYPERLINK("https://klasma.github.io/Logging_0883/tillsyn/A 60920-2023 tillsynsbegäran.docx", "A 60920-2023")</f>
        <v/>
      </c>
      <c r="Y124">
        <f>HYPERLINK("https://klasma.github.io/Logging_0883/tillsynsmail/A 60920-2023 tillsynsbegäran mail.docx", "A 60920-2023")</f>
        <v/>
      </c>
    </row>
    <row r="125" ht="15" customHeight="1">
      <c r="A125" t="inlineStr">
        <is>
          <t>A 61804-2023</t>
        </is>
      </c>
      <c r="B125" s="1" t="n">
        <v>45266</v>
      </c>
      <c r="C125" s="1" t="n">
        <v>45512</v>
      </c>
      <c r="D125" t="inlineStr">
        <is>
          <t>KALMAR LÄN</t>
        </is>
      </c>
      <c r="E125" t="inlineStr">
        <is>
          <t>VÄSTERVIK</t>
        </is>
      </c>
      <c r="G125" t="n">
        <v>2.3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Smalsprötad bastardsvärmare</t>
        </is>
      </c>
      <c r="S125">
        <f>HYPERLINK("https://klasma.github.io/Logging_0883/artfynd/A 61804-2023 artfynd.xlsx", "A 61804-2023")</f>
        <v/>
      </c>
      <c r="T125">
        <f>HYPERLINK("https://klasma.github.io/Logging_0883/kartor/A 61804-2023 karta.png", "A 61804-2023")</f>
        <v/>
      </c>
      <c r="V125">
        <f>HYPERLINK("https://klasma.github.io/Logging_0883/klagomål/A 61804-2023 FSC-klagomål.docx", "A 61804-2023")</f>
        <v/>
      </c>
      <c r="W125">
        <f>HYPERLINK("https://klasma.github.io/Logging_0883/klagomålsmail/A 61804-2023 FSC-klagomål mail.docx", "A 61804-2023")</f>
        <v/>
      </c>
      <c r="X125">
        <f>HYPERLINK("https://klasma.github.io/Logging_0883/tillsyn/A 61804-2023 tillsynsbegäran.docx", "A 61804-2023")</f>
        <v/>
      </c>
      <c r="Y125">
        <f>HYPERLINK("https://klasma.github.io/Logging_0883/tillsynsmail/A 61804-2023 tillsynsbegäran mail.docx", "A 61804-2023")</f>
        <v/>
      </c>
    </row>
    <row r="126" ht="15" customHeight="1">
      <c r="A126" t="inlineStr">
        <is>
          <t>A 62008-2023</t>
        </is>
      </c>
      <c r="B126" s="1" t="n">
        <v>45266</v>
      </c>
      <c r="C126" s="1" t="n">
        <v>45512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HYPERLINK("https://klasma.github.io/Logging_0883/artfynd/A 62008-2023 artfynd.xlsx", "A 62008-2023")</f>
        <v/>
      </c>
      <c r="T126">
        <f>HYPERLINK("https://klasma.github.io/Logging_0883/kartor/A 62008-2023 karta.png", "A 62008-2023")</f>
        <v/>
      </c>
      <c r="U126">
        <f>HYPERLINK("https://klasma.github.io/Logging_0883/knärot/A 62008-2023 karta knärot.png", "A 62008-2023")</f>
        <v/>
      </c>
      <c r="V126">
        <f>HYPERLINK("https://klasma.github.io/Logging_0883/klagomål/A 62008-2023 FSC-klagomål.docx", "A 62008-2023")</f>
        <v/>
      </c>
      <c r="W126">
        <f>HYPERLINK("https://klasma.github.io/Logging_0883/klagomålsmail/A 62008-2023 FSC-klagomål mail.docx", "A 62008-2023")</f>
        <v/>
      </c>
      <c r="X126">
        <f>HYPERLINK("https://klasma.github.io/Logging_0883/tillsyn/A 62008-2023 tillsynsbegäran.docx", "A 62008-2023")</f>
        <v/>
      </c>
      <c r="Y126">
        <f>HYPERLINK("https://klasma.github.io/Logging_0883/tillsynsmail/A 62008-2023 tillsynsbegäran mail.docx", "A 62008-2023")</f>
        <v/>
      </c>
      <c r="Z126">
        <f>HYPERLINK("https://klasma.github.io/Logging_0883/fåglar/A 62008-2023 prioriterade fågelarter.docx", "A 62008-2023")</f>
        <v/>
      </c>
    </row>
    <row r="127" ht="15" customHeight="1">
      <c r="A127" t="inlineStr">
        <is>
          <t>A 62029-2023</t>
        </is>
      </c>
      <c r="B127" s="1" t="n">
        <v>45266</v>
      </c>
      <c r="C127" s="1" t="n">
        <v>45512</v>
      </c>
      <c r="D127" t="inlineStr">
        <is>
          <t>KALMAR LÄN</t>
        </is>
      </c>
      <c r="E127" t="inlineStr">
        <is>
          <t>VÄSTERVIK</t>
        </is>
      </c>
      <c r="G127" t="n">
        <v>4.8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Tallticka
Talltita</t>
        </is>
      </c>
      <c r="S127">
        <f>HYPERLINK("https://klasma.github.io/Logging_0883/artfynd/A 62029-2023 artfynd.xlsx", "A 62029-2023")</f>
        <v/>
      </c>
      <c r="T127">
        <f>HYPERLINK("https://klasma.github.io/Logging_0883/kartor/A 62029-2023 karta.png", "A 62029-2023")</f>
        <v/>
      </c>
      <c r="V127">
        <f>HYPERLINK("https://klasma.github.io/Logging_0883/klagomål/A 62029-2023 FSC-klagomål.docx", "A 62029-2023")</f>
        <v/>
      </c>
      <c r="W127">
        <f>HYPERLINK("https://klasma.github.io/Logging_0883/klagomålsmail/A 62029-2023 FSC-klagomål mail.docx", "A 62029-2023")</f>
        <v/>
      </c>
      <c r="X127">
        <f>HYPERLINK("https://klasma.github.io/Logging_0883/tillsyn/A 62029-2023 tillsynsbegäran.docx", "A 62029-2023")</f>
        <v/>
      </c>
      <c r="Y127">
        <f>HYPERLINK("https://klasma.github.io/Logging_0883/tillsynsmail/A 62029-2023 tillsynsbegäran mail.docx", "A 62029-2023")</f>
        <v/>
      </c>
      <c r="Z127">
        <f>HYPERLINK("https://klasma.github.io/Logging_0883/fåglar/A 62029-2023 prioriterade fågelarter.docx", "A 62029-2023")</f>
        <v/>
      </c>
    </row>
    <row r="128" ht="15" customHeight="1">
      <c r="A128" t="inlineStr">
        <is>
          <t>A 64761-2023</t>
        </is>
      </c>
      <c r="B128" s="1" t="n">
        <v>45282</v>
      </c>
      <c r="C128" s="1" t="n">
        <v>45512</v>
      </c>
      <c r="D128" t="inlineStr">
        <is>
          <t>KALMAR LÄN</t>
        </is>
      </c>
      <c r="E128" t="inlineStr">
        <is>
          <t>VÄSTERVIK</t>
        </is>
      </c>
      <c r="F128" t="inlineStr">
        <is>
          <t>Övriga Aktiebolag</t>
        </is>
      </c>
      <c r="G128" t="n">
        <v>5.8</v>
      </c>
      <c r="H128" t="n">
        <v>2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Spillkråka</t>
        </is>
      </c>
      <c r="S128">
        <f>HYPERLINK("https://klasma.github.io/Logging_0883/artfynd/A 64761-2023 artfynd.xlsx", "A 64761-2023")</f>
        <v/>
      </c>
      <c r="T128">
        <f>HYPERLINK("https://klasma.github.io/Logging_0883/kartor/A 64761-2023 karta.png", "A 64761-2023")</f>
        <v/>
      </c>
      <c r="U128">
        <f>HYPERLINK("https://klasma.github.io/Logging_0883/knärot/A 64761-2023 karta knärot.png", "A 64761-2023")</f>
        <v/>
      </c>
      <c r="V128">
        <f>HYPERLINK("https://klasma.github.io/Logging_0883/klagomål/A 64761-2023 FSC-klagomål.docx", "A 64761-2023")</f>
        <v/>
      </c>
      <c r="W128">
        <f>HYPERLINK("https://klasma.github.io/Logging_0883/klagomålsmail/A 64761-2023 FSC-klagomål mail.docx", "A 64761-2023")</f>
        <v/>
      </c>
      <c r="X128">
        <f>HYPERLINK("https://klasma.github.io/Logging_0883/tillsyn/A 64761-2023 tillsynsbegäran.docx", "A 64761-2023")</f>
        <v/>
      </c>
      <c r="Y128">
        <f>HYPERLINK("https://klasma.github.io/Logging_0883/tillsynsmail/A 64761-2023 tillsynsbegäran mail.docx", "A 64761-2023")</f>
        <v/>
      </c>
      <c r="Z128">
        <f>HYPERLINK("https://klasma.github.io/Logging_0883/fåglar/A 64761-2023 prioriterade fågelarter.docx", "A 64761-2023")</f>
        <v/>
      </c>
    </row>
    <row r="129" ht="15" customHeight="1">
      <c r="A129" t="inlineStr">
        <is>
          <t>A 932-2024</t>
        </is>
      </c>
      <c r="B129" s="1" t="n">
        <v>45301</v>
      </c>
      <c r="C129" s="1" t="n">
        <v>45512</v>
      </c>
      <c r="D129" t="inlineStr">
        <is>
          <t>KALMAR LÄN</t>
        </is>
      </c>
      <c r="E129" t="inlineStr">
        <is>
          <t>VÄSTERVIK</t>
        </is>
      </c>
      <c r="G129" t="n">
        <v>3.7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Grovticka</t>
        </is>
      </c>
      <c r="S129">
        <f>HYPERLINK("https://klasma.github.io/Logging_0883/artfynd/A 932-2024 artfynd.xlsx", "A 932-2024")</f>
        <v/>
      </c>
      <c r="T129">
        <f>HYPERLINK("https://klasma.github.io/Logging_0883/kartor/A 932-2024 karta.png", "A 932-2024")</f>
        <v/>
      </c>
      <c r="V129">
        <f>HYPERLINK("https://klasma.github.io/Logging_0883/klagomål/A 932-2024 FSC-klagomål.docx", "A 932-2024")</f>
        <v/>
      </c>
      <c r="W129">
        <f>HYPERLINK("https://klasma.github.io/Logging_0883/klagomålsmail/A 932-2024 FSC-klagomål mail.docx", "A 932-2024")</f>
        <v/>
      </c>
      <c r="X129">
        <f>HYPERLINK("https://klasma.github.io/Logging_0883/tillsyn/A 932-2024 tillsynsbegäran.docx", "A 932-2024")</f>
        <v/>
      </c>
      <c r="Y129">
        <f>HYPERLINK("https://klasma.github.io/Logging_0883/tillsynsmail/A 932-2024 tillsynsbegäran mail.docx", "A 932-2024")</f>
        <v/>
      </c>
      <c r="Z129">
        <f>HYPERLINK("https://klasma.github.io/Logging_0883/fåglar/A 932-2024 prioriterade fågelarter.docx", "A 932-2024")</f>
        <v/>
      </c>
    </row>
    <row r="130" ht="15" customHeight="1">
      <c r="A130" t="inlineStr">
        <is>
          <t>A 948-2024</t>
        </is>
      </c>
      <c r="B130" s="1" t="n">
        <v>45301</v>
      </c>
      <c r="C130" s="1" t="n">
        <v>45512</v>
      </c>
      <c r="D130" t="inlineStr">
        <is>
          <t>KALMAR LÄN</t>
        </is>
      </c>
      <c r="E130" t="inlineStr">
        <is>
          <t>VÄSTERVIK</t>
        </is>
      </c>
      <c r="G130" t="n">
        <v>4.5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Dropptaggsvamp
Tjäder</t>
        </is>
      </c>
      <c r="S130">
        <f>HYPERLINK("https://klasma.github.io/Logging_0883/artfynd/A 948-2024 artfynd.xlsx", "A 948-2024")</f>
        <v/>
      </c>
      <c r="T130">
        <f>HYPERLINK("https://klasma.github.io/Logging_0883/kartor/A 948-2024 karta.png", "A 948-2024")</f>
        <v/>
      </c>
      <c r="V130">
        <f>HYPERLINK("https://klasma.github.io/Logging_0883/klagomål/A 948-2024 FSC-klagomål.docx", "A 948-2024")</f>
        <v/>
      </c>
      <c r="W130">
        <f>HYPERLINK("https://klasma.github.io/Logging_0883/klagomålsmail/A 948-2024 FSC-klagomål mail.docx", "A 948-2024")</f>
        <v/>
      </c>
      <c r="X130">
        <f>HYPERLINK("https://klasma.github.io/Logging_0883/tillsyn/A 948-2024 tillsynsbegäran.docx", "A 948-2024")</f>
        <v/>
      </c>
      <c r="Y130">
        <f>HYPERLINK("https://klasma.github.io/Logging_0883/tillsynsmail/A 948-2024 tillsynsbegäran mail.docx", "A 948-2024")</f>
        <v/>
      </c>
      <c r="Z130">
        <f>HYPERLINK("https://klasma.github.io/Logging_0883/fåglar/A 948-2024 prioriterade fågelarter.docx", "A 948-2024")</f>
        <v/>
      </c>
    </row>
    <row r="131" ht="15" customHeight="1">
      <c r="A131" t="inlineStr">
        <is>
          <t>A 911-2024</t>
        </is>
      </c>
      <c r="B131" s="1" t="n">
        <v>45301</v>
      </c>
      <c r="C131" s="1" t="n">
        <v>45512</v>
      </c>
      <c r="D131" t="inlineStr">
        <is>
          <t>KALMAR LÄN</t>
        </is>
      </c>
      <c r="E131" t="inlineStr">
        <is>
          <t>VÄSTERVIK</t>
        </is>
      </c>
      <c r="G131" t="n">
        <v>5.6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Talltita
Blodticka</t>
        </is>
      </c>
      <c r="S131">
        <f>HYPERLINK("https://klasma.github.io/Logging_0883/artfynd/A 911-2024 artfynd.xlsx", "A 911-2024")</f>
        <v/>
      </c>
      <c r="T131">
        <f>HYPERLINK("https://klasma.github.io/Logging_0883/kartor/A 911-2024 karta.png", "A 911-2024")</f>
        <v/>
      </c>
      <c r="V131">
        <f>HYPERLINK("https://klasma.github.io/Logging_0883/klagomål/A 911-2024 FSC-klagomål.docx", "A 911-2024")</f>
        <v/>
      </c>
      <c r="W131">
        <f>HYPERLINK("https://klasma.github.io/Logging_0883/klagomålsmail/A 911-2024 FSC-klagomål mail.docx", "A 911-2024")</f>
        <v/>
      </c>
      <c r="X131">
        <f>HYPERLINK("https://klasma.github.io/Logging_0883/tillsyn/A 911-2024 tillsynsbegäran.docx", "A 911-2024")</f>
        <v/>
      </c>
      <c r="Y131">
        <f>HYPERLINK("https://klasma.github.io/Logging_0883/tillsynsmail/A 911-2024 tillsynsbegäran mail.docx", "A 911-2024")</f>
        <v/>
      </c>
      <c r="Z131">
        <f>HYPERLINK("https://klasma.github.io/Logging_0883/fåglar/A 911-2024 prioriterade fågelarter.docx", "A 911-2024")</f>
        <v/>
      </c>
    </row>
    <row r="132" ht="15" customHeight="1">
      <c r="A132" t="inlineStr">
        <is>
          <t>A 941-2024</t>
        </is>
      </c>
      <c r="B132" s="1" t="n">
        <v>45301</v>
      </c>
      <c r="C132" s="1" t="n">
        <v>45512</v>
      </c>
      <c r="D132" t="inlineStr">
        <is>
          <t>KALMAR LÄN</t>
        </is>
      </c>
      <c r="E132" t="inlineStr">
        <is>
          <t>VÄSTERVIK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Svinrot</t>
        </is>
      </c>
      <c r="S132">
        <f>HYPERLINK("https://klasma.github.io/Logging_0883/artfynd/A 941-2024 artfynd.xlsx", "A 941-2024")</f>
        <v/>
      </c>
      <c r="T132">
        <f>HYPERLINK("https://klasma.github.io/Logging_0883/kartor/A 941-2024 karta.png", "A 941-2024")</f>
        <v/>
      </c>
      <c r="U132">
        <f>HYPERLINK("https://klasma.github.io/Logging_0883/knärot/A 941-2024 karta knärot.png", "A 941-2024")</f>
        <v/>
      </c>
      <c r="V132">
        <f>HYPERLINK("https://klasma.github.io/Logging_0883/klagomål/A 941-2024 FSC-klagomål.docx", "A 941-2024")</f>
        <v/>
      </c>
      <c r="W132">
        <f>HYPERLINK("https://klasma.github.io/Logging_0883/klagomålsmail/A 941-2024 FSC-klagomål mail.docx", "A 941-2024")</f>
        <v/>
      </c>
      <c r="X132">
        <f>HYPERLINK("https://klasma.github.io/Logging_0883/tillsyn/A 941-2024 tillsynsbegäran.docx", "A 941-2024")</f>
        <v/>
      </c>
      <c r="Y132">
        <f>HYPERLINK("https://klasma.github.io/Logging_0883/tillsynsmail/A 941-2024 tillsynsbegäran mail.docx", "A 941-2024")</f>
        <v/>
      </c>
    </row>
    <row r="133" ht="15" customHeight="1">
      <c r="A133" t="inlineStr">
        <is>
          <t>A 1373-2024</t>
        </is>
      </c>
      <c r="B133" s="1" t="n">
        <v>45303</v>
      </c>
      <c r="C133" s="1" t="n">
        <v>45512</v>
      </c>
      <c r="D133" t="inlineStr">
        <is>
          <t>KALMAR LÄN</t>
        </is>
      </c>
      <c r="E133" t="inlineStr">
        <is>
          <t>VÄSTERVIK</t>
        </is>
      </c>
      <c r="G133" t="n">
        <v>3.7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Tallticka
Talltita</t>
        </is>
      </c>
      <c r="S133">
        <f>HYPERLINK("https://klasma.github.io/Logging_0883/artfynd/A 1373-2024 artfynd.xlsx", "A 1373-2024")</f>
        <v/>
      </c>
      <c r="T133">
        <f>HYPERLINK("https://klasma.github.io/Logging_0883/kartor/A 1373-2024 karta.png", "A 1373-2024")</f>
        <v/>
      </c>
      <c r="U133">
        <f>HYPERLINK("https://klasma.github.io/Logging_0883/knärot/A 1373-2024 karta knärot.png", "A 1373-2024")</f>
        <v/>
      </c>
      <c r="V133">
        <f>HYPERLINK("https://klasma.github.io/Logging_0883/klagomål/A 1373-2024 FSC-klagomål.docx", "A 1373-2024")</f>
        <v/>
      </c>
      <c r="W133">
        <f>HYPERLINK("https://klasma.github.io/Logging_0883/klagomålsmail/A 1373-2024 FSC-klagomål mail.docx", "A 1373-2024")</f>
        <v/>
      </c>
      <c r="X133">
        <f>HYPERLINK("https://klasma.github.io/Logging_0883/tillsyn/A 1373-2024 tillsynsbegäran.docx", "A 1373-2024")</f>
        <v/>
      </c>
      <c r="Y133">
        <f>HYPERLINK("https://klasma.github.io/Logging_0883/tillsynsmail/A 1373-2024 tillsynsbegäran mail.docx", "A 1373-2024")</f>
        <v/>
      </c>
      <c r="Z133">
        <f>HYPERLINK("https://klasma.github.io/Logging_0883/fåglar/A 1373-2024 prioriterade fågelarter.docx", "A 1373-2024")</f>
        <v/>
      </c>
    </row>
    <row r="134" ht="15" customHeight="1">
      <c r="A134" t="inlineStr">
        <is>
          <t>A 2126-2024</t>
        </is>
      </c>
      <c r="B134" s="1" t="n">
        <v>45309</v>
      </c>
      <c r="C134" s="1" t="n">
        <v>45512</v>
      </c>
      <c r="D134" t="inlineStr">
        <is>
          <t>KALMAR LÄN</t>
        </is>
      </c>
      <c r="E134" t="inlineStr">
        <is>
          <t>VÄSTERVIK</t>
        </is>
      </c>
      <c r="G134" t="n">
        <v>3.8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Talltita</t>
        </is>
      </c>
      <c r="S134">
        <f>HYPERLINK("https://klasma.github.io/Logging_0883/artfynd/A 2126-2024 artfynd.xlsx", "A 2126-2024")</f>
        <v/>
      </c>
      <c r="T134">
        <f>HYPERLINK("https://klasma.github.io/Logging_0883/kartor/A 2126-2024 karta.png", "A 2126-2024")</f>
        <v/>
      </c>
      <c r="U134">
        <f>HYPERLINK("https://klasma.github.io/Logging_0883/knärot/A 2126-2024 karta knärot.png", "A 2126-2024")</f>
        <v/>
      </c>
      <c r="V134">
        <f>HYPERLINK("https://klasma.github.io/Logging_0883/klagomål/A 2126-2024 FSC-klagomål.docx", "A 2126-2024")</f>
        <v/>
      </c>
      <c r="W134">
        <f>HYPERLINK("https://klasma.github.io/Logging_0883/klagomålsmail/A 2126-2024 FSC-klagomål mail.docx", "A 2126-2024")</f>
        <v/>
      </c>
      <c r="X134">
        <f>HYPERLINK("https://klasma.github.io/Logging_0883/tillsyn/A 2126-2024 tillsynsbegäran.docx", "A 2126-2024")</f>
        <v/>
      </c>
      <c r="Y134">
        <f>HYPERLINK("https://klasma.github.io/Logging_0883/tillsynsmail/A 2126-2024 tillsynsbegäran mail.docx", "A 2126-2024")</f>
        <v/>
      </c>
      <c r="Z134">
        <f>HYPERLINK("https://klasma.github.io/Logging_0883/fåglar/A 2126-2024 prioriterade fågelarter.docx", "A 2126-2024")</f>
        <v/>
      </c>
    </row>
    <row r="135" ht="15" customHeight="1">
      <c r="A135" t="inlineStr">
        <is>
          <t>A 2809-2024</t>
        </is>
      </c>
      <c r="B135" s="1" t="n">
        <v>45314</v>
      </c>
      <c r="C135" s="1" t="n">
        <v>45512</v>
      </c>
      <c r="D135" t="inlineStr">
        <is>
          <t>KALMAR LÄN</t>
        </is>
      </c>
      <c r="E135" t="inlineStr">
        <is>
          <t>VÄSTERVIK</t>
        </is>
      </c>
      <c r="G135" t="n">
        <v>4.7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Tjäder</t>
        </is>
      </c>
      <c r="S135">
        <f>HYPERLINK("https://klasma.github.io/Logging_0883/artfynd/A 2809-2024 artfynd.xlsx", "A 2809-2024")</f>
        <v/>
      </c>
      <c r="T135">
        <f>HYPERLINK("https://klasma.github.io/Logging_0883/kartor/A 2809-2024 karta.png", "A 2809-2024")</f>
        <v/>
      </c>
      <c r="U135">
        <f>HYPERLINK("https://klasma.github.io/Logging_0883/knärot/A 2809-2024 karta knärot.png", "A 2809-2024")</f>
        <v/>
      </c>
      <c r="V135">
        <f>HYPERLINK("https://klasma.github.io/Logging_0883/klagomål/A 2809-2024 FSC-klagomål.docx", "A 2809-2024")</f>
        <v/>
      </c>
      <c r="W135">
        <f>HYPERLINK("https://klasma.github.io/Logging_0883/klagomålsmail/A 2809-2024 FSC-klagomål mail.docx", "A 2809-2024")</f>
        <v/>
      </c>
      <c r="X135">
        <f>HYPERLINK("https://klasma.github.io/Logging_0883/tillsyn/A 2809-2024 tillsynsbegäran.docx", "A 2809-2024")</f>
        <v/>
      </c>
      <c r="Y135">
        <f>HYPERLINK("https://klasma.github.io/Logging_0883/tillsynsmail/A 2809-2024 tillsynsbegäran mail.docx", "A 2809-2024")</f>
        <v/>
      </c>
      <c r="Z135">
        <f>HYPERLINK("https://klasma.github.io/Logging_0883/fåglar/A 2809-2024 prioriterade fågelarter.docx", "A 2809-2024")</f>
        <v/>
      </c>
    </row>
    <row r="136" ht="15" customHeight="1">
      <c r="A136" t="inlineStr">
        <is>
          <t>A 3264-2024</t>
        </is>
      </c>
      <c r="B136" s="1" t="n">
        <v>45317</v>
      </c>
      <c r="C136" s="1" t="n">
        <v>45512</v>
      </c>
      <c r="D136" t="inlineStr">
        <is>
          <t>KALMAR LÄN</t>
        </is>
      </c>
      <c r="E136" t="inlineStr">
        <is>
          <t>VÄSTERVIK</t>
        </is>
      </c>
      <c r="G136" t="n">
        <v>6.5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Blåmossa</t>
        </is>
      </c>
      <c r="S136">
        <f>HYPERLINK("https://klasma.github.io/Logging_0883/artfynd/A 3264-2024 artfynd.xlsx", "A 3264-2024")</f>
        <v/>
      </c>
      <c r="T136">
        <f>HYPERLINK("https://klasma.github.io/Logging_0883/kartor/A 3264-2024 karta.png", "A 3264-2024")</f>
        <v/>
      </c>
      <c r="V136">
        <f>HYPERLINK("https://klasma.github.io/Logging_0883/klagomål/A 3264-2024 FSC-klagomål.docx", "A 3264-2024")</f>
        <v/>
      </c>
      <c r="W136">
        <f>HYPERLINK("https://klasma.github.io/Logging_0883/klagomålsmail/A 3264-2024 FSC-klagomål mail.docx", "A 3264-2024")</f>
        <v/>
      </c>
      <c r="X136">
        <f>HYPERLINK("https://klasma.github.io/Logging_0883/tillsyn/A 3264-2024 tillsynsbegäran.docx", "A 3264-2024")</f>
        <v/>
      </c>
      <c r="Y136">
        <f>HYPERLINK("https://klasma.github.io/Logging_0883/tillsynsmail/A 3264-2024 tillsynsbegäran mail.docx", "A 3264-2024")</f>
        <v/>
      </c>
      <c r="Z136">
        <f>HYPERLINK("https://klasma.github.io/Logging_0883/fåglar/A 3264-2024 prioriterade fågelarter.docx", "A 3264-2024")</f>
        <v/>
      </c>
    </row>
    <row r="137" ht="15" customHeight="1">
      <c r="A137" t="inlineStr">
        <is>
          <t>A 3658-2024</t>
        </is>
      </c>
      <c r="B137" s="1" t="n">
        <v>45321</v>
      </c>
      <c r="C137" s="1" t="n">
        <v>45512</v>
      </c>
      <c r="D137" t="inlineStr">
        <is>
          <t>KALMAR LÄN</t>
        </is>
      </c>
      <c r="E137" t="inlineStr">
        <is>
          <t>VÄSTERVIK</t>
        </is>
      </c>
      <c r="G137" t="n">
        <v>2.6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3658-2024 artfynd.xlsx", "A 3658-2024")</f>
        <v/>
      </c>
      <c r="T137">
        <f>HYPERLINK("https://klasma.github.io/Logging_0883/kartor/A 3658-2024 karta.png", "A 3658-2024")</f>
        <v/>
      </c>
      <c r="U137">
        <f>HYPERLINK("https://klasma.github.io/Logging_0883/knärot/A 3658-2024 karta knärot.png", "A 3658-2024")</f>
        <v/>
      </c>
      <c r="V137">
        <f>HYPERLINK("https://klasma.github.io/Logging_0883/klagomål/A 3658-2024 FSC-klagomål.docx", "A 3658-2024")</f>
        <v/>
      </c>
      <c r="W137">
        <f>HYPERLINK("https://klasma.github.io/Logging_0883/klagomålsmail/A 3658-2024 FSC-klagomål mail.docx", "A 3658-2024")</f>
        <v/>
      </c>
      <c r="X137">
        <f>HYPERLINK("https://klasma.github.io/Logging_0883/tillsyn/A 3658-2024 tillsynsbegäran.docx", "A 3658-2024")</f>
        <v/>
      </c>
      <c r="Y137">
        <f>HYPERLINK("https://klasma.github.io/Logging_0883/tillsynsmail/A 3658-2024 tillsynsbegäran mail.docx", "A 3658-2024")</f>
        <v/>
      </c>
    </row>
    <row r="138" ht="15" customHeight="1">
      <c r="A138" t="inlineStr">
        <is>
          <t>A 8618-2024</t>
        </is>
      </c>
      <c r="B138" s="1" t="n">
        <v>45355</v>
      </c>
      <c r="C138" s="1" t="n">
        <v>45512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Tallticka</t>
        </is>
      </c>
      <c r="S138">
        <f>HYPERLINK("https://klasma.github.io/Logging_0883/artfynd/A 8618-2024 artfynd.xlsx", "A 8618-2024")</f>
        <v/>
      </c>
      <c r="T138">
        <f>HYPERLINK("https://klasma.github.io/Logging_0883/kartor/A 8618-2024 karta.png", "A 8618-2024")</f>
        <v/>
      </c>
      <c r="U138">
        <f>HYPERLINK("https://klasma.github.io/Logging_0883/knärot/A 8618-2024 karta knärot.png", "A 8618-2024")</f>
        <v/>
      </c>
      <c r="V138">
        <f>HYPERLINK("https://klasma.github.io/Logging_0883/klagomål/A 8618-2024 FSC-klagomål.docx", "A 8618-2024")</f>
        <v/>
      </c>
      <c r="W138">
        <f>HYPERLINK("https://klasma.github.io/Logging_0883/klagomålsmail/A 8618-2024 FSC-klagomål mail.docx", "A 8618-2024")</f>
        <v/>
      </c>
      <c r="X138">
        <f>HYPERLINK("https://klasma.github.io/Logging_0883/tillsyn/A 8618-2024 tillsynsbegäran.docx", "A 8618-2024")</f>
        <v/>
      </c>
      <c r="Y138">
        <f>HYPERLINK("https://klasma.github.io/Logging_0883/tillsynsmail/A 8618-2024 tillsynsbegäran mail.docx", "A 8618-2024")</f>
        <v/>
      </c>
    </row>
    <row r="139" ht="15" customHeight="1">
      <c r="A139" t="inlineStr">
        <is>
          <t>A 9770-2024</t>
        </is>
      </c>
      <c r="B139" s="1" t="n">
        <v>45362</v>
      </c>
      <c r="C139" s="1" t="n">
        <v>45512</v>
      </c>
      <c r="D139" t="inlineStr">
        <is>
          <t>KALMAR LÄN</t>
        </is>
      </c>
      <c r="E139" t="inlineStr">
        <is>
          <t>VÄSTERVIK</t>
        </is>
      </c>
      <c r="G139" t="n">
        <v>2.6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Talltita
Tjäder</t>
        </is>
      </c>
      <c r="S139">
        <f>HYPERLINK("https://klasma.github.io/Logging_0883/artfynd/A 9770-2024 artfynd.xlsx", "A 9770-2024")</f>
        <v/>
      </c>
      <c r="T139">
        <f>HYPERLINK("https://klasma.github.io/Logging_0883/kartor/A 9770-2024 karta.png", "A 9770-2024")</f>
        <v/>
      </c>
      <c r="V139">
        <f>HYPERLINK("https://klasma.github.io/Logging_0883/klagomål/A 9770-2024 FSC-klagomål.docx", "A 9770-2024")</f>
        <v/>
      </c>
      <c r="W139">
        <f>HYPERLINK("https://klasma.github.io/Logging_0883/klagomålsmail/A 9770-2024 FSC-klagomål mail.docx", "A 9770-2024")</f>
        <v/>
      </c>
      <c r="X139">
        <f>HYPERLINK("https://klasma.github.io/Logging_0883/tillsyn/A 9770-2024 tillsynsbegäran.docx", "A 9770-2024")</f>
        <v/>
      </c>
      <c r="Y139">
        <f>HYPERLINK("https://klasma.github.io/Logging_0883/tillsynsmail/A 9770-2024 tillsynsbegäran mail.docx", "A 9770-2024")</f>
        <v/>
      </c>
      <c r="Z139">
        <f>HYPERLINK("https://klasma.github.io/Logging_0883/fåglar/A 9770-2024 prioriterade fågelarter.docx", "A 9770-2024")</f>
        <v/>
      </c>
    </row>
    <row r="140" ht="15" customHeight="1">
      <c r="A140" t="inlineStr">
        <is>
          <t>A 11849-2024</t>
        </is>
      </c>
      <c r="B140" s="1" t="n">
        <v>45376</v>
      </c>
      <c r="C140" s="1" t="n">
        <v>45512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Mattlummer
Revlummer</t>
        </is>
      </c>
      <c r="S140">
        <f>HYPERLINK("https://klasma.github.io/Logging_0883/artfynd/A 11849-2024 artfynd.xlsx", "A 11849-2024")</f>
        <v/>
      </c>
      <c r="T140">
        <f>HYPERLINK("https://klasma.github.io/Logging_0883/kartor/A 11849-2024 karta.png", "A 11849-2024")</f>
        <v/>
      </c>
      <c r="V140">
        <f>HYPERLINK("https://klasma.github.io/Logging_0883/klagomål/A 11849-2024 FSC-klagomål.docx", "A 11849-2024")</f>
        <v/>
      </c>
      <c r="W140">
        <f>HYPERLINK("https://klasma.github.io/Logging_0883/klagomålsmail/A 11849-2024 FSC-klagomål mail.docx", "A 11849-2024")</f>
        <v/>
      </c>
      <c r="X140">
        <f>HYPERLINK("https://klasma.github.io/Logging_0883/tillsyn/A 11849-2024 tillsynsbegäran.docx", "A 11849-2024")</f>
        <v/>
      </c>
      <c r="Y140">
        <f>HYPERLINK("https://klasma.github.io/Logging_0883/tillsynsmail/A 11849-2024 tillsynsbegäran mail.docx", "A 11849-2024")</f>
        <v/>
      </c>
    </row>
    <row r="141" ht="15" customHeight="1">
      <c r="A141" t="inlineStr">
        <is>
          <t>A 12212-2024</t>
        </is>
      </c>
      <c r="B141" s="1" t="n">
        <v>45378</v>
      </c>
      <c r="C141" s="1" t="n">
        <v>45512</v>
      </c>
      <c r="D141" t="inlineStr">
        <is>
          <t>KALMAR LÄN</t>
        </is>
      </c>
      <c r="E141" t="inlineStr">
        <is>
          <t>VÄSTERVIK</t>
        </is>
      </c>
      <c r="G141" t="n">
        <v>0.8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12212-2024 artfynd.xlsx", "A 12212-2024")</f>
        <v/>
      </c>
      <c r="T141">
        <f>HYPERLINK("https://klasma.github.io/Logging_0883/kartor/A 12212-2024 karta.png", "A 12212-2024")</f>
        <v/>
      </c>
      <c r="V141">
        <f>HYPERLINK("https://klasma.github.io/Logging_0883/klagomål/A 12212-2024 FSC-klagomål.docx", "A 12212-2024")</f>
        <v/>
      </c>
      <c r="W141">
        <f>HYPERLINK("https://klasma.github.io/Logging_0883/klagomålsmail/A 12212-2024 FSC-klagomål mail.docx", "A 12212-2024")</f>
        <v/>
      </c>
      <c r="X141">
        <f>HYPERLINK("https://klasma.github.io/Logging_0883/tillsyn/A 12212-2024 tillsynsbegäran.docx", "A 12212-2024")</f>
        <v/>
      </c>
      <c r="Y141">
        <f>HYPERLINK("https://klasma.github.io/Logging_0883/tillsynsmail/A 12212-2024 tillsynsbegäran mail.docx", "A 12212-2024")</f>
        <v/>
      </c>
      <c r="Z141">
        <f>HYPERLINK("https://klasma.github.io/Logging_0883/fåglar/A 12212-2024 prioriterade fågelarter.docx", "A 12212-2024")</f>
        <v/>
      </c>
    </row>
    <row r="142" ht="15" customHeight="1">
      <c r="A142" t="inlineStr">
        <is>
          <t>A 12598-2024</t>
        </is>
      </c>
      <c r="B142" s="1" t="n">
        <v>45380</v>
      </c>
      <c r="C142" s="1" t="n">
        <v>45512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12598-2024 artfynd.xlsx", "A 12598-2024")</f>
        <v/>
      </c>
      <c r="T142">
        <f>HYPERLINK("https://klasma.github.io/Logging_0883/kartor/A 12598-2024 karta.png", "A 12598-2024")</f>
        <v/>
      </c>
      <c r="U142">
        <f>HYPERLINK("https://klasma.github.io/Logging_0883/knärot/A 12598-2024 karta knärot.png", "A 12598-2024")</f>
        <v/>
      </c>
      <c r="V142">
        <f>HYPERLINK("https://klasma.github.io/Logging_0883/klagomål/A 12598-2024 FSC-klagomål.docx", "A 12598-2024")</f>
        <v/>
      </c>
      <c r="W142">
        <f>HYPERLINK("https://klasma.github.io/Logging_0883/klagomålsmail/A 12598-2024 FSC-klagomål mail.docx", "A 12598-2024")</f>
        <v/>
      </c>
      <c r="X142">
        <f>HYPERLINK("https://klasma.github.io/Logging_0883/tillsyn/A 12598-2024 tillsynsbegäran.docx", "A 12598-2024")</f>
        <v/>
      </c>
      <c r="Y142">
        <f>HYPERLINK("https://klasma.github.io/Logging_0883/tillsynsmail/A 12598-2024 tillsynsbegäran mail.docx", "A 12598-2024")</f>
        <v/>
      </c>
    </row>
    <row r="143" ht="15" customHeight="1">
      <c r="A143" t="inlineStr">
        <is>
          <t>A 15534-2024</t>
        </is>
      </c>
      <c r="B143" s="1" t="n">
        <v>45401</v>
      </c>
      <c r="C143" s="1" t="n">
        <v>45512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15534-2024 artfynd.xlsx", "A 15534-2024")</f>
        <v/>
      </c>
      <c r="T143">
        <f>HYPERLINK("https://klasma.github.io/Logging_0883/kartor/A 15534-2024 karta.png", "A 15534-2024")</f>
        <v/>
      </c>
      <c r="U143">
        <f>HYPERLINK("https://klasma.github.io/Logging_0883/knärot/A 15534-2024 karta knärot.png", "A 15534-2024")</f>
        <v/>
      </c>
      <c r="V143">
        <f>HYPERLINK("https://klasma.github.io/Logging_0883/klagomål/A 15534-2024 FSC-klagomål.docx", "A 15534-2024")</f>
        <v/>
      </c>
      <c r="W143">
        <f>HYPERLINK("https://klasma.github.io/Logging_0883/klagomålsmail/A 15534-2024 FSC-klagomål mail.docx", "A 15534-2024")</f>
        <v/>
      </c>
      <c r="X143">
        <f>HYPERLINK("https://klasma.github.io/Logging_0883/tillsyn/A 15534-2024 tillsynsbegäran.docx", "A 15534-2024")</f>
        <v/>
      </c>
      <c r="Y143">
        <f>HYPERLINK("https://klasma.github.io/Logging_0883/tillsynsmail/A 15534-2024 tillsynsbegäran mail.docx", "A 15534-2024")</f>
        <v/>
      </c>
    </row>
    <row r="144" ht="15" customHeight="1">
      <c r="A144" t="inlineStr">
        <is>
          <t>A 16419-2024</t>
        </is>
      </c>
      <c r="B144" s="1" t="n">
        <v>45407</v>
      </c>
      <c r="C144" s="1" t="n">
        <v>45512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16419-2024 artfynd.xlsx", "A 16419-2024")</f>
        <v/>
      </c>
      <c r="T144">
        <f>HYPERLINK("https://klasma.github.io/Logging_0883/kartor/A 16419-2024 karta.png", "A 16419-2024")</f>
        <v/>
      </c>
      <c r="U144">
        <f>HYPERLINK("https://klasma.github.io/Logging_0883/knärot/A 16419-2024 karta knärot.png", "A 16419-2024")</f>
        <v/>
      </c>
      <c r="V144">
        <f>HYPERLINK("https://klasma.github.io/Logging_0883/klagomål/A 16419-2024 FSC-klagomål.docx", "A 16419-2024")</f>
        <v/>
      </c>
      <c r="W144">
        <f>HYPERLINK("https://klasma.github.io/Logging_0883/klagomålsmail/A 16419-2024 FSC-klagomål mail.docx", "A 16419-2024")</f>
        <v/>
      </c>
      <c r="X144">
        <f>HYPERLINK("https://klasma.github.io/Logging_0883/tillsyn/A 16419-2024 tillsynsbegäran.docx", "A 16419-2024")</f>
        <v/>
      </c>
      <c r="Y144">
        <f>HYPERLINK("https://klasma.github.io/Logging_0883/tillsynsmail/A 16419-2024 tillsynsbegäran mail.docx", "A 16419-2024")</f>
        <v/>
      </c>
      <c r="Z144">
        <f>HYPERLINK("https://klasma.github.io/Logging_0883/fåglar/A 16419-2024 prioriterade fågelarter.docx", "A 16419-2024")</f>
        <v/>
      </c>
    </row>
    <row r="145" ht="15" customHeight="1">
      <c r="A145" t="inlineStr">
        <is>
          <t>A 17438-2024</t>
        </is>
      </c>
      <c r="B145" s="1" t="n">
        <v>45415</v>
      </c>
      <c r="C145" s="1" t="n">
        <v>45512</v>
      </c>
      <c r="D145" t="inlineStr">
        <is>
          <t>KALMAR LÄN</t>
        </is>
      </c>
      <c r="E145" t="inlineStr">
        <is>
          <t>VÄSTERVIK</t>
        </is>
      </c>
      <c r="G145" t="n">
        <v>3.8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Spillkråka</t>
        </is>
      </c>
      <c r="S145">
        <f>HYPERLINK("https://klasma.github.io/Logging_0883/artfynd/A 17438-2024 artfynd.xlsx", "A 17438-2024")</f>
        <v/>
      </c>
      <c r="T145">
        <f>HYPERLINK("https://klasma.github.io/Logging_0883/kartor/A 17438-2024 karta.png", "A 17438-2024")</f>
        <v/>
      </c>
      <c r="U145">
        <f>HYPERLINK("https://klasma.github.io/Logging_0883/knärot/A 17438-2024 karta knärot.png", "A 17438-2024")</f>
        <v/>
      </c>
      <c r="V145">
        <f>HYPERLINK("https://klasma.github.io/Logging_0883/klagomål/A 17438-2024 FSC-klagomål.docx", "A 17438-2024")</f>
        <v/>
      </c>
      <c r="W145">
        <f>HYPERLINK("https://klasma.github.io/Logging_0883/klagomålsmail/A 17438-2024 FSC-klagomål mail.docx", "A 17438-2024")</f>
        <v/>
      </c>
      <c r="X145">
        <f>HYPERLINK("https://klasma.github.io/Logging_0883/tillsyn/A 17438-2024 tillsynsbegäran.docx", "A 17438-2024")</f>
        <v/>
      </c>
      <c r="Y145">
        <f>HYPERLINK("https://klasma.github.io/Logging_0883/tillsynsmail/A 17438-2024 tillsynsbegäran mail.docx", "A 17438-2024")</f>
        <v/>
      </c>
      <c r="Z145">
        <f>HYPERLINK("https://klasma.github.io/Logging_0883/fåglar/A 17438-2024 prioriterade fågelarter.docx", "A 17438-2024")</f>
        <v/>
      </c>
    </row>
    <row r="146" ht="15" customHeight="1">
      <c r="A146" t="inlineStr">
        <is>
          <t>A 23220-2024</t>
        </is>
      </c>
      <c r="B146" s="1" t="n">
        <v>45452</v>
      </c>
      <c r="C146" s="1" t="n">
        <v>45512</v>
      </c>
      <c r="D146" t="inlineStr">
        <is>
          <t>KALMAR LÄN</t>
        </is>
      </c>
      <c r="E146" t="inlineStr">
        <is>
          <t>VÄSTERVIK</t>
        </is>
      </c>
      <c r="G146" t="n">
        <v>0.9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Grönpyrola</t>
        </is>
      </c>
      <c r="S146">
        <f>HYPERLINK("https://klasma.github.io/Logging_0883/artfynd/A 23220-2024 artfynd.xlsx", "A 23220-2024")</f>
        <v/>
      </c>
      <c r="T146">
        <f>HYPERLINK("https://klasma.github.io/Logging_0883/kartor/A 23220-2024 karta.png", "A 23220-2024")</f>
        <v/>
      </c>
      <c r="V146">
        <f>HYPERLINK("https://klasma.github.io/Logging_0883/klagomål/A 23220-2024 FSC-klagomål.docx", "A 23220-2024")</f>
        <v/>
      </c>
      <c r="W146">
        <f>HYPERLINK("https://klasma.github.io/Logging_0883/klagomålsmail/A 23220-2024 FSC-klagomål mail.docx", "A 23220-2024")</f>
        <v/>
      </c>
      <c r="X146">
        <f>HYPERLINK("https://klasma.github.io/Logging_0883/tillsyn/A 23220-2024 tillsynsbegäran.docx", "A 23220-2024")</f>
        <v/>
      </c>
      <c r="Y146">
        <f>HYPERLINK("https://klasma.github.io/Logging_0883/tillsynsmail/A 23220-2024 tillsynsbegäran mail.docx", "A 23220-2024")</f>
        <v/>
      </c>
    </row>
    <row r="147" ht="15" customHeight="1">
      <c r="A147" t="inlineStr">
        <is>
          <t>A 23791-2024</t>
        </is>
      </c>
      <c r="B147" s="1" t="n">
        <v>45455</v>
      </c>
      <c r="C147" s="1" t="n">
        <v>45512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Tjockfotad fingersvamp</t>
        </is>
      </c>
      <c r="S147">
        <f>HYPERLINK("https://klasma.github.io/Logging_0883/artfynd/A 23791-2024 artfynd.xlsx", "A 23791-2024")</f>
        <v/>
      </c>
      <c r="T147">
        <f>HYPERLINK("https://klasma.github.io/Logging_0883/kartor/A 23791-2024 karta.png", "A 23791-2024")</f>
        <v/>
      </c>
      <c r="U147">
        <f>HYPERLINK("https://klasma.github.io/Logging_0883/knärot/A 23791-2024 karta knärot.png", "A 23791-2024")</f>
        <v/>
      </c>
      <c r="V147">
        <f>HYPERLINK("https://klasma.github.io/Logging_0883/klagomål/A 23791-2024 FSC-klagomål.docx", "A 23791-2024")</f>
        <v/>
      </c>
      <c r="W147">
        <f>HYPERLINK("https://klasma.github.io/Logging_0883/klagomålsmail/A 23791-2024 FSC-klagomål mail.docx", "A 23791-2024")</f>
        <v/>
      </c>
      <c r="X147">
        <f>HYPERLINK("https://klasma.github.io/Logging_0883/tillsyn/A 23791-2024 tillsynsbegäran.docx", "A 23791-2024")</f>
        <v/>
      </c>
      <c r="Y147">
        <f>HYPERLINK("https://klasma.github.io/Logging_0883/tillsynsmail/A 23791-2024 tillsynsbegäran mail.docx", "A 23791-2024")</f>
        <v/>
      </c>
    </row>
    <row r="148" ht="15" customHeight="1">
      <c r="A148" t="inlineStr">
        <is>
          <t>A 27727-2024</t>
        </is>
      </c>
      <c r="B148" s="1" t="n">
        <v>45475</v>
      </c>
      <c r="C148" s="1" t="n">
        <v>45512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9.800000000000001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Blåmossa</t>
        </is>
      </c>
      <c r="S148">
        <f>HYPERLINK("https://klasma.github.io/Logging_0883/artfynd/A 27727-2024 artfynd.xlsx", "A 27727-2024")</f>
        <v/>
      </c>
      <c r="T148">
        <f>HYPERLINK("https://klasma.github.io/Logging_0883/kartor/A 27727-2024 karta.png", "A 27727-2024")</f>
        <v/>
      </c>
      <c r="V148">
        <f>HYPERLINK("https://klasma.github.io/Logging_0883/klagomål/A 27727-2024 FSC-klagomål.docx", "A 27727-2024")</f>
        <v/>
      </c>
      <c r="W148">
        <f>HYPERLINK("https://klasma.github.io/Logging_0883/klagomålsmail/A 27727-2024 FSC-klagomål mail.docx", "A 27727-2024")</f>
        <v/>
      </c>
      <c r="X148">
        <f>HYPERLINK("https://klasma.github.io/Logging_0883/tillsyn/A 27727-2024 tillsynsbegäran.docx", "A 27727-2024")</f>
        <v/>
      </c>
      <c r="Y148">
        <f>HYPERLINK("https://klasma.github.io/Logging_0883/tillsynsmail/A 27727-2024 tillsynsbegäran mail.docx", "A 27727-2024")</f>
        <v/>
      </c>
      <c r="Z148">
        <f>HYPERLINK("https://klasma.github.io/Logging_0883/fåglar/A 27727-2024 prioriterade fågelarter.docx", "A 27727-2024")</f>
        <v/>
      </c>
    </row>
    <row r="149" ht="15" customHeight="1">
      <c r="A149" t="inlineStr">
        <is>
          <t>A 27200-2019</t>
        </is>
      </c>
      <c r="B149" s="1" t="n">
        <v>43614</v>
      </c>
      <c r="C149" s="1" t="n">
        <v>45512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8.5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Myskmadra</t>
        </is>
      </c>
      <c r="S149">
        <f>HYPERLINK("https://klasma.github.io/Logging_0883/artfynd/A 27200-2019 artfynd.xlsx", "A 27200-2019")</f>
        <v/>
      </c>
      <c r="T149">
        <f>HYPERLINK("https://klasma.github.io/Logging_0883/kartor/A 27200-2019 karta.png", "A 27200-2019")</f>
        <v/>
      </c>
      <c r="V149">
        <f>HYPERLINK("https://klasma.github.io/Logging_0883/klagomål/A 27200-2019 FSC-klagomål.docx", "A 27200-2019")</f>
        <v/>
      </c>
      <c r="W149">
        <f>HYPERLINK("https://klasma.github.io/Logging_0883/klagomålsmail/A 27200-2019 FSC-klagomål mail.docx", "A 27200-2019")</f>
        <v/>
      </c>
      <c r="X149">
        <f>HYPERLINK("https://klasma.github.io/Logging_0883/tillsyn/A 27200-2019 tillsynsbegäran.docx", "A 27200-2019")</f>
        <v/>
      </c>
      <c r="Y149">
        <f>HYPERLINK("https://klasma.github.io/Logging_0883/tillsynsmail/A 27200-2019 tillsynsbegäran mail.docx", "A 27200-2019")</f>
        <v/>
      </c>
    </row>
    <row r="150" ht="15" customHeight="1">
      <c r="A150" t="inlineStr">
        <is>
          <t>A 27204-2019</t>
        </is>
      </c>
      <c r="B150" s="1" t="n">
        <v>43614</v>
      </c>
      <c r="C150" s="1" t="n">
        <v>45512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 fjädermossa</t>
        </is>
      </c>
      <c r="S150">
        <f>HYPERLINK("https://klasma.github.io/Logging_0883/artfynd/A 27204-2019 artfynd.xlsx", "A 27204-2019")</f>
        <v/>
      </c>
      <c r="T150">
        <f>HYPERLINK("https://klasma.github.io/Logging_0883/kartor/A 27204-2019 karta.png", "A 27204-2019")</f>
        <v/>
      </c>
      <c r="V150">
        <f>HYPERLINK("https://klasma.github.io/Logging_0883/klagomål/A 27204-2019 FSC-klagomål.docx", "A 27204-2019")</f>
        <v/>
      </c>
      <c r="W150">
        <f>HYPERLINK("https://klasma.github.io/Logging_0883/klagomålsmail/A 27204-2019 FSC-klagomål mail.docx", "A 27204-2019")</f>
        <v/>
      </c>
      <c r="X150">
        <f>HYPERLINK("https://klasma.github.io/Logging_0883/tillsyn/A 27204-2019 tillsynsbegäran.docx", "A 27204-2019")</f>
        <v/>
      </c>
      <c r="Y150">
        <f>HYPERLINK("https://klasma.github.io/Logging_0883/tillsynsmail/A 27204-2019 tillsynsbegäran mail.docx", "A 27204-2019")</f>
        <v/>
      </c>
    </row>
    <row r="151" ht="15" customHeight="1">
      <c r="A151" t="inlineStr">
        <is>
          <t>A 27203-2019</t>
        </is>
      </c>
      <c r="B151" s="1" t="n">
        <v>43614</v>
      </c>
      <c r="C151" s="1" t="n">
        <v>45512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Blomskägglav</t>
        </is>
      </c>
      <c r="S151">
        <f>HYPERLINK("https://klasma.github.io/Logging_0883/artfynd/A 27203-2019 artfynd.xlsx", "A 27203-2019")</f>
        <v/>
      </c>
      <c r="T151">
        <f>HYPERLINK("https://klasma.github.io/Logging_0883/kartor/A 27203-2019 karta.png", "A 27203-2019")</f>
        <v/>
      </c>
      <c r="V151">
        <f>HYPERLINK("https://klasma.github.io/Logging_0883/klagomål/A 27203-2019 FSC-klagomål.docx", "A 27203-2019")</f>
        <v/>
      </c>
      <c r="W151">
        <f>HYPERLINK("https://klasma.github.io/Logging_0883/klagomålsmail/A 27203-2019 FSC-klagomål mail.docx", "A 27203-2019")</f>
        <v/>
      </c>
      <c r="X151">
        <f>HYPERLINK("https://klasma.github.io/Logging_0883/tillsyn/A 27203-2019 tillsynsbegäran.docx", "A 27203-2019")</f>
        <v/>
      </c>
      <c r="Y151">
        <f>HYPERLINK("https://klasma.github.io/Logging_0883/tillsynsmail/A 27203-2019 tillsynsbegäran mail.docx", "A 27203-2019")</f>
        <v/>
      </c>
    </row>
    <row r="152" ht="15" customHeight="1">
      <c r="A152" t="inlineStr">
        <is>
          <t>A 59193-2019</t>
        </is>
      </c>
      <c r="B152" s="1" t="n">
        <v>43775</v>
      </c>
      <c r="C152" s="1" t="n">
        <v>45512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Åkerkulla</t>
        </is>
      </c>
      <c r="S152">
        <f>HYPERLINK("https://klasma.github.io/Logging_0883/artfynd/A 59193-2019 artfynd.xlsx", "A 59193-2019")</f>
        <v/>
      </c>
      <c r="T152">
        <f>HYPERLINK("https://klasma.github.io/Logging_0883/kartor/A 59193-2019 karta.png", "A 59193-2019")</f>
        <v/>
      </c>
      <c r="V152">
        <f>HYPERLINK("https://klasma.github.io/Logging_0883/klagomål/A 59193-2019 FSC-klagomål.docx", "A 59193-2019")</f>
        <v/>
      </c>
      <c r="W152">
        <f>HYPERLINK("https://klasma.github.io/Logging_0883/klagomålsmail/A 59193-2019 FSC-klagomål mail.docx", "A 59193-2019")</f>
        <v/>
      </c>
      <c r="X152">
        <f>HYPERLINK("https://klasma.github.io/Logging_0883/tillsyn/A 59193-2019 tillsynsbegäran.docx", "A 59193-2019")</f>
        <v/>
      </c>
      <c r="Y152">
        <f>HYPERLINK("https://klasma.github.io/Logging_0883/tillsynsmail/A 59193-2019 tillsynsbegäran mail.docx", "A 59193-2019")</f>
        <v/>
      </c>
    </row>
    <row r="153" ht="15" customHeight="1">
      <c r="A153" t="inlineStr">
        <is>
          <t>A 16608-2020</t>
        </is>
      </c>
      <c r="B153" s="1" t="n">
        <v>43908</v>
      </c>
      <c r="C153" s="1" t="n">
        <v>45512</v>
      </c>
      <c r="D153" t="inlineStr">
        <is>
          <t>KALMAR LÄN</t>
        </is>
      </c>
      <c r="E153" t="inlineStr">
        <is>
          <t>VÄSTERVIK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Skogsklocka</t>
        </is>
      </c>
      <c r="S153">
        <f>HYPERLINK("https://klasma.github.io/Logging_0883/artfynd/A 16608-2020 artfynd.xlsx", "A 16608-2020")</f>
        <v/>
      </c>
      <c r="T153">
        <f>HYPERLINK("https://klasma.github.io/Logging_0883/kartor/A 16608-2020 karta.png", "A 16608-2020")</f>
        <v/>
      </c>
      <c r="V153">
        <f>HYPERLINK("https://klasma.github.io/Logging_0883/klagomål/A 16608-2020 FSC-klagomål.docx", "A 16608-2020")</f>
        <v/>
      </c>
      <c r="W153">
        <f>HYPERLINK("https://klasma.github.io/Logging_0883/klagomålsmail/A 16608-2020 FSC-klagomål mail.docx", "A 16608-2020")</f>
        <v/>
      </c>
      <c r="X153">
        <f>HYPERLINK("https://klasma.github.io/Logging_0883/tillsyn/A 16608-2020 tillsynsbegäran.docx", "A 16608-2020")</f>
        <v/>
      </c>
      <c r="Y153">
        <f>HYPERLINK("https://klasma.github.io/Logging_0883/tillsynsmail/A 16608-2020 tillsynsbegäran mail.docx", "A 16608-2020")</f>
        <v/>
      </c>
    </row>
    <row r="154" ht="15" customHeight="1">
      <c r="A154" t="inlineStr">
        <is>
          <t>A 15357-2020</t>
        </is>
      </c>
      <c r="B154" s="1" t="n">
        <v>43913</v>
      </c>
      <c r="C154" s="1" t="n">
        <v>45512</v>
      </c>
      <c r="D154" t="inlineStr">
        <is>
          <t>KALMAR LÄN</t>
        </is>
      </c>
      <c r="E154" t="inlineStr">
        <is>
          <t>VÄSTERVIK</t>
        </is>
      </c>
      <c r="G154" t="n">
        <v>2.9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15357-2020 artfynd.xlsx", "A 15357-2020")</f>
        <v/>
      </c>
      <c r="T154">
        <f>HYPERLINK("https://klasma.github.io/Logging_0883/kartor/A 15357-2020 karta.png", "A 15357-2020")</f>
        <v/>
      </c>
      <c r="U154">
        <f>HYPERLINK("https://klasma.github.io/Logging_0883/knärot/A 15357-2020 karta knärot.png", "A 15357-2020")</f>
        <v/>
      </c>
      <c r="V154">
        <f>HYPERLINK("https://klasma.github.io/Logging_0883/klagomål/A 15357-2020 FSC-klagomål.docx", "A 15357-2020")</f>
        <v/>
      </c>
      <c r="W154">
        <f>HYPERLINK("https://klasma.github.io/Logging_0883/klagomålsmail/A 15357-2020 FSC-klagomål mail.docx", "A 15357-2020")</f>
        <v/>
      </c>
      <c r="X154">
        <f>HYPERLINK("https://klasma.github.io/Logging_0883/tillsyn/A 15357-2020 tillsynsbegäran.docx", "A 15357-2020")</f>
        <v/>
      </c>
      <c r="Y154">
        <f>HYPERLINK("https://klasma.github.io/Logging_0883/tillsynsmail/A 15357-2020 tillsynsbegäran mail.docx", "A 15357-2020")</f>
        <v/>
      </c>
    </row>
    <row r="155" ht="15" customHeight="1">
      <c r="A155" t="inlineStr">
        <is>
          <t>A 39836-2020</t>
        </is>
      </c>
      <c r="B155" s="1" t="n">
        <v>44064</v>
      </c>
      <c r="C155" s="1" t="n">
        <v>45512</v>
      </c>
      <c r="D155" t="inlineStr">
        <is>
          <t>KALMAR LÄN</t>
        </is>
      </c>
      <c r="E155" t="inlineStr">
        <is>
          <t>VÄSTERVIK</t>
        </is>
      </c>
      <c r="G155" t="n">
        <v>13.4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HYPERLINK("https://klasma.github.io/Logging_0883/artfynd/A 39836-2020 artfynd.xlsx", "A 39836-2020")</f>
        <v/>
      </c>
      <c r="T155">
        <f>HYPERLINK("https://klasma.github.io/Logging_0883/kartor/A 39836-2020 karta.png", "A 39836-2020")</f>
        <v/>
      </c>
      <c r="V155">
        <f>HYPERLINK("https://klasma.github.io/Logging_0883/klagomål/A 39836-2020 FSC-klagomål.docx", "A 39836-2020")</f>
        <v/>
      </c>
      <c r="W155">
        <f>HYPERLINK("https://klasma.github.io/Logging_0883/klagomålsmail/A 39836-2020 FSC-klagomål mail.docx", "A 39836-2020")</f>
        <v/>
      </c>
      <c r="X155">
        <f>HYPERLINK("https://klasma.github.io/Logging_0883/tillsyn/A 39836-2020 tillsynsbegäran.docx", "A 39836-2020")</f>
        <v/>
      </c>
      <c r="Y155">
        <f>HYPERLINK("https://klasma.github.io/Logging_0883/tillsynsmail/A 39836-2020 tillsynsbegäran mail.docx", "A 39836-2020")</f>
        <v/>
      </c>
      <c r="Z155">
        <f>HYPERLINK("https://klasma.github.io/Logging_0883/fåglar/A 39836-2020 prioriterade fågelarter.docx", "A 39836-2020")</f>
        <v/>
      </c>
    </row>
    <row r="156" ht="15" customHeight="1">
      <c r="A156" t="inlineStr">
        <is>
          <t>A 66752-2020</t>
        </is>
      </c>
      <c r="B156" s="1" t="n">
        <v>44175</v>
      </c>
      <c r="C156" s="1" t="n">
        <v>45512</v>
      </c>
      <c r="D156" t="inlineStr">
        <is>
          <t>KALMAR LÄN</t>
        </is>
      </c>
      <c r="E156" t="inlineStr">
        <is>
          <t>VÄSTERVIK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66752-2020 artfynd.xlsx", "A 66752-2020")</f>
        <v/>
      </c>
      <c r="T156">
        <f>HYPERLINK("https://klasma.github.io/Logging_0883/kartor/A 66752-2020 karta.png", "A 66752-2020")</f>
        <v/>
      </c>
      <c r="V156">
        <f>HYPERLINK("https://klasma.github.io/Logging_0883/klagomål/A 66752-2020 FSC-klagomål.docx", "A 66752-2020")</f>
        <v/>
      </c>
      <c r="W156">
        <f>HYPERLINK("https://klasma.github.io/Logging_0883/klagomålsmail/A 66752-2020 FSC-klagomål mail.docx", "A 66752-2020")</f>
        <v/>
      </c>
      <c r="X156">
        <f>HYPERLINK("https://klasma.github.io/Logging_0883/tillsyn/A 66752-2020 tillsynsbegäran.docx", "A 66752-2020")</f>
        <v/>
      </c>
      <c r="Y156">
        <f>HYPERLINK("https://klasma.github.io/Logging_0883/tillsynsmail/A 66752-2020 tillsynsbegäran mail.docx", "A 66752-2020")</f>
        <v/>
      </c>
    </row>
    <row r="157" ht="15" customHeight="1">
      <c r="A157" t="inlineStr">
        <is>
          <t>A 69632-2020</t>
        </is>
      </c>
      <c r="B157" s="1" t="n">
        <v>44195</v>
      </c>
      <c r="C157" s="1" t="n">
        <v>45512</v>
      </c>
      <c r="D157" t="inlineStr">
        <is>
          <t>KALMAR LÄN</t>
        </is>
      </c>
      <c r="E157" t="inlineStr">
        <is>
          <t>VÄSTERVIK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HYPERLINK("https://klasma.github.io/Logging_0883/artfynd/A 69632-2020 artfynd.xlsx", "A 69632-2020")</f>
        <v/>
      </c>
      <c r="T157">
        <f>HYPERLINK("https://klasma.github.io/Logging_0883/kartor/A 69632-2020 karta.png", "A 69632-2020")</f>
        <v/>
      </c>
      <c r="V157">
        <f>HYPERLINK("https://klasma.github.io/Logging_0883/klagomål/A 69632-2020 FSC-klagomål.docx", "A 69632-2020")</f>
        <v/>
      </c>
      <c r="W157">
        <f>HYPERLINK("https://klasma.github.io/Logging_0883/klagomålsmail/A 69632-2020 FSC-klagomål mail.docx", "A 69632-2020")</f>
        <v/>
      </c>
      <c r="X157">
        <f>HYPERLINK("https://klasma.github.io/Logging_0883/tillsyn/A 69632-2020 tillsynsbegäran.docx", "A 69632-2020")</f>
        <v/>
      </c>
      <c r="Y157">
        <f>HYPERLINK("https://klasma.github.io/Logging_0883/tillsynsmail/A 69632-2020 tillsynsbegäran mail.docx", "A 69632-2020")</f>
        <v/>
      </c>
    </row>
    <row r="158" ht="15" customHeight="1">
      <c r="A158" t="inlineStr">
        <is>
          <t>A 20233-2021</t>
        </is>
      </c>
      <c r="B158" s="1" t="n">
        <v>44314</v>
      </c>
      <c r="C158" s="1" t="n">
        <v>45512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11.8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Skogsklocka</t>
        </is>
      </c>
      <c r="S158">
        <f>HYPERLINK("https://klasma.github.io/Logging_0883/artfynd/A 20233-2021 artfynd.xlsx", "A 20233-2021")</f>
        <v/>
      </c>
      <c r="T158">
        <f>HYPERLINK("https://klasma.github.io/Logging_0883/kartor/A 20233-2021 karta.png", "A 20233-2021")</f>
        <v/>
      </c>
      <c r="V158">
        <f>HYPERLINK("https://klasma.github.io/Logging_0883/klagomål/A 20233-2021 FSC-klagomål.docx", "A 20233-2021")</f>
        <v/>
      </c>
      <c r="W158">
        <f>HYPERLINK("https://klasma.github.io/Logging_0883/klagomålsmail/A 20233-2021 FSC-klagomål mail.docx", "A 20233-2021")</f>
        <v/>
      </c>
      <c r="X158">
        <f>HYPERLINK("https://klasma.github.io/Logging_0883/tillsyn/A 20233-2021 tillsynsbegäran.docx", "A 20233-2021")</f>
        <v/>
      </c>
      <c r="Y158">
        <f>HYPERLINK("https://klasma.github.io/Logging_0883/tillsynsmail/A 20233-2021 tillsynsbegäran mail.docx", "A 20233-2021")</f>
        <v/>
      </c>
    </row>
    <row r="159" ht="15" customHeight="1">
      <c r="A159" t="inlineStr">
        <is>
          <t>A 24048-2021</t>
        </is>
      </c>
      <c r="B159" s="1" t="n">
        <v>44336</v>
      </c>
      <c r="C159" s="1" t="n">
        <v>45512</v>
      </c>
      <c r="D159" t="inlineStr">
        <is>
          <t>KALMAR LÄN</t>
        </is>
      </c>
      <c r="E159" t="inlineStr">
        <is>
          <t>VÄSTERVIK</t>
        </is>
      </c>
      <c r="G159" t="n">
        <v>3.5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24048-2021 artfynd.xlsx", "A 24048-2021")</f>
        <v/>
      </c>
      <c r="T159">
        <f>HYPERLINK("https://klasma.github.io/Logging_0883/kartor/A 24048-2021 karta.png", "A 24048-2021")</f>
        <v/>
      </c>
      <c r="U159">
        <f>HYPERLINK("https://klasma.github.io/Logging_0883/knärot/A 24048-2021 karta knärot.png", "A 24048-2021")</f>
        <v/>
      </c>
      <c r="V159">
        <f>HYPERLINK("https://klasma.github.io/Logging_0883/klagomål/A 24048-2021 FSC-klagomål.docx", "A 24048-2021")</f>
        <v/>
      </c>
      <c r="W159">
        <f>HYPERLINK("https://klasma.github.io/Logging_0883/klagomålsmail/A 24048-2021 FSC-klagomål mail.docx", "A 24048-2021")</f>
        <v/>
      </c>
      <c r="X159">
        <f>HYPERLINK("https://klasma.github.io/Logging_0883/tillsyn/A 24048-2021 tillsynsbegäran.docx", "A 24048-2021")</f>
        <v/>
      </c>
      <c r="Y159">
        <f>HYPERLINK("https://klasma.github.io/Logging_0883/tillsynsmail/A 24048-2021 tillsynsbegäran mail.docx", "A 24048-2021")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45512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45512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45512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45512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45512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45512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45512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45512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45512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45512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45512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45512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45512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45512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45512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45512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45512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45512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45512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45512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45512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45512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45512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45512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45512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45512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45512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45512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45512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45512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45512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45512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45512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45512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45512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45512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45512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45512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45512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45512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45512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45512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45512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45512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45512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45512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45512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45512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45512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45512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45512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45512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45512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45512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45512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45512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45512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45512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45512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45512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45512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45512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45512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45512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45512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45512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45512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45512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45512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45512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45512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45512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45512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45512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45512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45512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45512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45512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45512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45512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45512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45512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45512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45512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45512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45512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45512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45512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45512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45512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45512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45512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45512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45512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45512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45512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45512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45512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45512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45512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45512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45512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45512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45512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45512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45512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45512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45512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45512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45512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45512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45512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45512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45512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45512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45512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45512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45512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45512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45512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45512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45512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45512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45512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45512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45512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45512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45512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45512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45512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45512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45512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45512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45512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45512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45512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45512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45512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45512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45512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45512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45512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45512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45512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45512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45512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45512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45512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45512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45512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45512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45512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45512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45512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45512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45512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45512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45512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45512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45512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45512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45512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45512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45512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45512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45512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45512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45512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45512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45512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45512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45512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45512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45512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45512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45512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45512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45512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45512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45512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45512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45512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45512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45512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45512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45512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45512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45512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45512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45512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45512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45512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45512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45512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45512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45512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45512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45512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45512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45512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45512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45512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45512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45512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45512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45512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45512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45512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45512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45512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45512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45512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45512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45512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45512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45512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45512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45512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45512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45512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45512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45512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45512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45512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45512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45512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45512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45512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45512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45512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45512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45512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45512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45512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45512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45512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45512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45512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45512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45512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45512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45512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45512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45512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45512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45512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45512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45512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45512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45512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45512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45512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45512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45512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45512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45512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45512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45512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45512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45512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45512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45512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45512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45512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45512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45512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45512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45512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45512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45512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45512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45512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45512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45512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45512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45512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45512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45512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45512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45512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45512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45512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45512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45512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45512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45512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45512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45512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45512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45512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45512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45512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45512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45512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45512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45512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45512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45512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45512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45512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45512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45512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45512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45512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45512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45512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45512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45512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45512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45512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45512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45512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45512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45512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45512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45512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45512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45512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45512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45512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45512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45512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45512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45512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45512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45512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45512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45512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45512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45512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45512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45512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45512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45512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45512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45512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45512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45512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45512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45512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45512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45512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45512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45512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45512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45512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45512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45512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45512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45512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45512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45512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45512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45512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45512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45512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45512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45512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45512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45512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45512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45512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45512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45512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45512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45512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45512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45512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45512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45512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45512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45512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45512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45512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45512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45512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45512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45512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45512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45512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45512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45512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45512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45512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45512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45512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45512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45512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45512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45512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45512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45512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45512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45512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45512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45512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45512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45512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45512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45512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45512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45512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45512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45512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45512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45512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45512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45512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45512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45512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45512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45512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45512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45512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45512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45512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45512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45512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45512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45512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45512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45512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45512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45512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45512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45512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45512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45512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45512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45512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45512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45512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45512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45512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45512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45512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45512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45512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45512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45512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45512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45512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45512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45512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45512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45512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45512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45512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45512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45512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45512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45512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45512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45512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45512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45512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45512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45512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45512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45512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45512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45512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45512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45512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45512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45512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45512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45512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45512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45512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45512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45512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45512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45512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45512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45512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45512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45512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45512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45512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45512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45512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45512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45512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45512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45512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45512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45512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45512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45512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45512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45512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45512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45512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45512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45512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45512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45512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45512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45512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45512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45512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45512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45512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45512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45512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45512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45512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45512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45512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45512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45512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45512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45512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45512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45512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45512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45512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45512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45512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45512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45512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45512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45512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45512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45512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45512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45512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45512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45512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45512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45512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45512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45512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45512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45512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45512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45512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45512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45512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45512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45512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45512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45512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45512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45512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45512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45512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45512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45512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45512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45512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45512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45512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45512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45512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45512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45512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45512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45512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45512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45512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45512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45512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45512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45512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45512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45512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45512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45512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45512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45512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45512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45512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45512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45512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45512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45512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45512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45512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45512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45512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45512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45512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45512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45512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45512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45512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45512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45512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45512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45512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45512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45512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45512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45512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45512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45512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45512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45512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45512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45512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45512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45512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45512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45512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45512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45512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45512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45512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45512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45512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45512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45512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45512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45512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45512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45512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45512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45512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45512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45512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45512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45512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45512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45512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45512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45512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45512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45512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45512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45512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45512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45512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45512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45512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45512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45512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45512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45512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45512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45512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45512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45512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45512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45512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45512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45512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45512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45512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45512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45512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45512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45512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45512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45512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45512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45512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45512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45512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45512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45512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45512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45512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45512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45512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45512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45512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45512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45512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45512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45512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45512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45512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45512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45512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45512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45512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45512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45512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45512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45512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45512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45512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45512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45512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45512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45512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45512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45512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45512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45512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45512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45512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45512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45512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45512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45512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45512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45512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45512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45512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45512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45512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45512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45512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45512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45512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45512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45512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45512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45512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45512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45512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45512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45512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45512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45512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45512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45512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45512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45512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45512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45512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45512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45512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45512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45512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45512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45512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45512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45512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45512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45512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45512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45512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45512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45512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45512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45512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45512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45512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45512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45512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45512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45512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45512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45512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45512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45512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45512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45512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45512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45512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45512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45512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45512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45512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45512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45512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45512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45512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45512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45512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45512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45512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45512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45512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45512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45512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45512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45512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45512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45512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45512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45512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45512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45512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45512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45512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45512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45512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45512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45512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45512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45512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45512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45512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45512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45512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45512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45512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45512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45512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45512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45512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45512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45512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45512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45512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45512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45512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45512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45512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45512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45512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45512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45512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45512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45512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45512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45512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45512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45512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45512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45512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45512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45512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45512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45512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45512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45512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45512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45512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45512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45512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45512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45512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45512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45512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45512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45512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45512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45512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45512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45512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45512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45512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45512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45512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45512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45512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45512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45512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45512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45512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45512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45512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45512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45512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45512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45512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45512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45512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45512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45512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45512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45512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45512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45512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45512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45512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45512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45512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45512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45512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45512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45512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45512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45512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45512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45512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45512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45512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45512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45512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45512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45512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45512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45512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45512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45512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45512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45512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45512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45512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45512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45512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45512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45512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45512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45512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45512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45512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45512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45512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45512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45512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45512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45512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45512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45512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45512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45512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45512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45512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45512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45512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45512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45512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45512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45512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45512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45512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45512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45512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45512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45512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45512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45512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45512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45512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45512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45512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45512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45512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45512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45512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45512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45512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45512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45512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45512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45512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45512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45512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45512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45512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45512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45512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45512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45512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45512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45512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45512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45512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45512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45512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45512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45512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45512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45512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45512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45512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45512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45512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45512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45512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45512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45512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45512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45512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45512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45512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45512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45512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45512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45512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45512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45512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45512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45512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45512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45512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45512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45512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45512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45512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45512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45512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45512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45512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45512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45512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45512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45512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45512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45512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45512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45512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45512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45512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45512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45512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45512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45512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45512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45512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45512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45512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45512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45512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45512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45512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45512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45512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45512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45512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45512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45512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45512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45512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45512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45512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45512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45512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45512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45512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45512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45512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45512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45512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45512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45512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45512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45512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45512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45512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45512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45512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45512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45512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45512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45512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45512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45512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45512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45512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45512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45512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45512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45512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45512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45512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45512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45512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45512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45512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45512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45512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45512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45512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45512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45512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45512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45512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45512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45512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45512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45512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45512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45512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45512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45512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45512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45512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45512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45512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45512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45512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45512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45512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45512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45512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45512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45512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45512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45512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45512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45512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45512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45512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45512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45512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45512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45512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45512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45512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45512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45512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45512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45512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45512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45512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45512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45512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45512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45512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45512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45512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45512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45512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45512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45512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45512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45512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45512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45512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45512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45512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45512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45512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45512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45512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45512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45512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45512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45512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45512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45512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45512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45512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45512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45512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45512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45512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45512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45512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45512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45512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45512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45512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45512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45512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45512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45512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45512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45512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45512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45512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45512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45512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45512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45512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45512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45512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45512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45512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45512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45512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45512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45512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45512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45512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45512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45512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45512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45512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45512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45512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45512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45512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45512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45512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45512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45512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45512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45512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45512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45512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45512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45512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45512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45512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45512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45512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45512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45512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45512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45512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45512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45512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45512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45512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45512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45512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45512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45512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45512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45512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45512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45512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45512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45512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45512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45512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45512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45512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45512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45512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45512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45512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45512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45512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45512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45512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45512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45512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45512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45512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45512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45512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45512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45512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45512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45512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45512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45512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45512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45512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45512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45512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45512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45512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45512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45512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45512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45512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45512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45512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45512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45512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45512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45512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45512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45512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45512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45512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45512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45512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45512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45512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45512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45512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45512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45512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45512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45512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45512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45512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45512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45512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45512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45512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45512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45512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45512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45512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45512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45512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45512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45512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45512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45512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45512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45512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45512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45512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45512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45512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45512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45512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45512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45512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45512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45512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45512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45512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45512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45512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45512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45512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45512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45512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45512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45512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45512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45512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45512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45512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45512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45512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45512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45512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45512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45512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45512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45512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45512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45512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45512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45512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45512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45512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45512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45512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45512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45512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45512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45512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45512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45512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45512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45512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45512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45512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45512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45512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45512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45512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45512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45512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45512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45512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45512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29400-2024</t>
        </is>
      </c>
      <c r="B1485" s="1" t="n">
        <v>45483</v>
      </c>
      <c r="C1485" s="1" t="n">
        <v>45512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29404-2024</t>
        </is>
      </c>
      <c r="B1486" s="1" t="n">
        <v>45483</v>
      </c>
      <c r="C1486" s="1" t="n">
        <v>45512</v>
      </c>
      <c r="D1486" t="inlineStr">
        <is>
          <t>KALMAR LÄN</t>
        </is>
      </c>
      <c r="E1486" t="inlineStr">
        <is>
          <t>VÄSTERVIK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29412-2024</t>
        </is>
      </c>
      <c r="B1487" s="1" t="n">
        <v>45483</v>
      </c>
      <c r="C1487" s="1" t="n">
        <v>45512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29420-2024</t>
        </is>
      </c>
      <c r="B1488" s="1" t="n">
        <v>45483</v>
      </c>
      <c r="C1488" s="1" t="n">
        <v>45512</v>
      </c>
      <c r="D1488" t="inlineStr">
        <is>
          <t>KALMAR LÄN</t>
        </is>
      </c>
      <c r="E1488" t="inlineStr">
        <is>
          <t>VÄSTERVIK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29407-2024</t>
        </is>
      </c>
      <c r="B1489" s="1" t="n">
        <v>45483</v>
      </c>
      <c r="C1489" s="1" t="n">
        <v>45512</v>
      </c>
      <c r="D1489" t="inlineStr">
        <is>
          <t>KALMAR LÄN</t>
        </is>
      </c>
      <c r="E1489" t="inlineStr">
        <is>
          <t>VÄSTERVIK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29396-2024</t>
        </is>
      </c>
      <c r="B1490" s="1" t="n">
        <v>45483</v>
      </c>
      <c r="C1490" s="1" t="n">
        <v>45512</v>
      </c>
      <c r="D1490" t="inlineStr">
        <is>
          <t>KALMAR LÄN</t>
        </is>
      </c>
      <c r="E1490" t="inlineStr">
        <is>
          <t>VÄSTERVIK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29405-2024</t>
        </is>
      </c>
      <c r="B1491" s="1" t="n">
        <v>45483</v>
      </c>
      <c r="C1491" s="1" t="n">
        <v>45512</v>
      </c>
      <c r="D1491" t="inlineStr">
        <is>
          <t>KALMAR LÄN</t>
        </is>
      </c>
      <c r="E1491" t="inlineStr">
        <is>
          <t>VÄSTERVIK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29417-2024</t>
        </is>
      </c>
      <c r="B1492" s="1" t="n">
        <v>45483</v>
      </c>
      <c r="C1492" s="1" t="n">
        <v>45512</v>
      </c>
      <c r="D1492" t="inlineStr">
        <is>
          <t>KALMAR LÄN</t>
        </is>
      </c>
      <c r="E1492" t="inlineStr">
        <is>
          <t>VÄSTERVIK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29414-2024</t>
        </is>
      </c>
      <c r="B1493" s="1" t="n">
        <v>45483</v>
      </c>
      <c r="C1493" s="1" t="n">
        <v>45512</v>
      </c>
      <c r="D1493" t="inlineStr">
        <is>
          <t>KALMAR LÄN</t>
        </is>
      </c>
      <c r="E1493" t="inlineStr">
        <is>
          <t>VÄSTERVIK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29418-2024</t>
        </is>
      </c>
      <c r="B1494" s="1" t="n">
        <v>45483</v>
      </c>
      <c r="C1494" s="1" t="n">
        <v>45512</v>
      </c>
      <c r="D1494" t="inlineStr">
        <is>
          <t>KALMAR LÄN</t>
        </is>
      </c>
      <c r="E1494" t="inlineStr">
        <is>
          <t>VÄSTERVIK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29571-2024</t>
        </is>
      </c>
      <c r="B1495" s="1" t="n">
        <v>45484</v>
      </c>
      <c r="C1495" s="1" t="n">
        <v>45512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29557-2024</t>
        </is>
      </c>
      <c r="B1496" s="1" t="n">
        <v>45484</v>
      </c>
      <c r="C1496" s="1" t="n">
        <v>45512</v>
      </c>
      <c r="D1496" t="inlineStr">
        <is>
          <t>KALMAR LÄN</t>
        </is>
      </c>
      <c r="E1496" t="inlineStr">
        <is>
          <t>VÄSTERVIK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29789-2024</t>
        </is>
      </c>
      <c r="B1497" s="1" t="n">
        <v>45485</v>
      </c>
      <c r="C1497" s="1" t="n">
        <v>45512</v>
      </c>
      <c r="D1497" t="inlineStr">
        <is>
          <t>KALMAR LÄN</t>
        </is>
      </c>
      <c r="E1497" t="inlineStr">
        <is>
          <t>VÄSTERVIK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29786-2024</t>
        </is>
      </c>
      <c r="B1498" s="1" t="n">
        <v>45485</v>
      </c>
      <c r="C1498" s="1" t="n">
        <v>45512</v>
      </c>
      <c r="D1498" t="inlineStr">
        <is>
          <t>KALMAR LÄN</t>
        </is>
      </c>
      <c r="E1498" t="inlineStr">
        <is>
          <t>VÄSTERVIK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29784-2024</t>
        </is>
      </c>
      <c r="B1499" s="1" t="n">
        <v>45485</v>
      </c>
      <c r="C1499" s="1" t="n">
        <v>45512</v>
      </c>
      <c r="D1499" t="inlineStr">
        <is>
          <t>KALMAR LÄN</t>
        </is>
      </c>
      <c r="E1499" t="inlineStr">
        <is>
          <t>VÄSTERVIK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30157-2024</t>
        </is>
      </c>
      <c r="B1500" s="1" t="n">
        <v>45489</v>
      </c>
      <c r="C1500" s="1" t="n">
        <v>45512</v>
      </c>
      <c r="D1500" t="inlineStr">
        <is>
          <t>KALMAR LÄN</t>
        </is>
      </c>
      <c r="E1500" t="inlineStr">
        <is>
          <t>VÄSTERVIK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30148-2024</t>
        </is>
      </c>
      <c r="B1501" s="1" t="n">
        <v>45489</v>
      </c>
      <c r="C1501" s="1" t="n">
        <v>45512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30153-2024</t>
        </is>
      </c>
      <c r="B1502" s="1" t="n">
        <v>45489</v>
      </c>
      <c r="C1502" s="1" t="n">
        <v>45512</v>
      </c>
      <c r="D1502" t="inlineStr">
        <is>
          <t>KALMAR LÄN</t>
        </is>
      </c>
      <c r="E1502" t="inlineStr">
        <is>
          <t>VÄSTERVIK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30149-2024</t>
        </is>
      </c>
      <c r="B1503" s="1" t="n">
        <v>45489</v>
      </c>
      <c r="C1503" s="1" t="n">
        <v>45512</v>
      </c>
      <c r="D1503" t="inlineStr">
        <is>
          <t>KALMAR LÄN</t>
        </is>
      </c>
      <c r="E1503" t="inlineStr">
        <is>
          <t>VÄSTERVIK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45512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30525-2024</t>
        </is>
      </c>
      <c r="B1505" s="1" t="n">
        <v>45492</v>
      </c>
      <c r="C1505" s="1" t="n">
        <v>45512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30523-2024</t>
        </is>
      </c>
      <c r="B1506" s="1" t="n">
        <v>45492</v>
      </c>
      <c r="C1506" s="1" t="n">
        <v>45512</v>
      </c>
      <c r="D1506" t="inlineStr">
        <is>
          <t>KALMAR LÄN</t>
        </is>
      </c>
      <c r="E1506" t="inlineStr">
        <is>
          <t>VÄSTERVIK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30511-2024</t>
        </is>
      </c>
      <c r="B1507" s="1" t="n">
        <v>45492</v>
      </c>
      <c r="C1507" s="1" t="n">
        <v>45512</v>
      </c>
      <c r="D1507" t="inlineStr">
        <is>
          <t>KALMAR LÄN</t>
        </is>
      </c>
      <c r="E1507" t="inlineStr">
        <is>
          <t>VÄSTERVIK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31082-2024</t>
        </is>
      </c>
      <c r="B1508" s="1" t="n">
        <v>45502</v>
      </c>
      <c r="C1508" s="1" t="n">
        <v>45512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31147-2024</t>
        </is>
      </c>
      <c r="B1509" s="1" t="n">
        <v>45502</v>
      </c>
      <c r="C1509" s="1" t="n">
        <v>45512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31060-2024</t>
        </is>
      </c>
      <c r="B1510" s="1" t="n">
        <v>45502</v>
      </c>
      <c r="C1510" s="1" t="n">
        <v>45512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31056-2024</t>
        </is>
      </c>
      <c r="B1511" s="1" t="n">
        <v>45502</v>
      </c>
      <c r="C1511" s="1" t="n">
        <v>45512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32009-2024</t>
        </is>
      </c>
      <c r="B1512" s="1" t="n">
        <v>45510</v>
      </c>
      <c r="C1512" s="1" t="n">
        <v>45512</v>
      </c>
      <c r="D1512" t="inlineStr">
        <is>
          <t>KALMAR LÄN</t>
        </is>
      </c>
      <c r="E1512" t="inlineStr">
        <is>
          <t>VÄSTERVIK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31999-2024</t>
        </is>
      </c>
      <c r="B1513" s="1" t="n">
        <v>45510</v>
      </c>
      <c r="C1513" s="1" t="n">
        <v>45512</v>
      </c>
      <c r="D1513" t="inlineStr">
        <is>
          <t>KALMAR LÄN</t>
        </is>
      </c>
      <c r="E1513" t="inlineStr">
        <is>
          <t>VÄSTERVIK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32006-2024</t>
        </is>
      </c>
      <c r="B1514" s="1" t="n">
        <v>45510</v>
      </c>
      <c r="C1514" s="1" t="n">
        <v>45512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32137-2024</t>
        </is>
      </c>
      <c r="B1515" s="1" t="n">
        <v>45511</v>
      </c>
      <c r="C1515" s="1" t="n">
        <v>45512</v>
      </c>
      <c r="D1515" t="inlineStr">
        <is>
          <t>KALMAR LÄN</t>
        </is>
      </c>
      <c r="E1515" t="inlineStr">
        <is>
          <t>VÄSTERVIK</t>
        </is>
      </c>
      <c r="F1515" t="inlineStr">
        <is>
          <t>Övriga Aktiebolag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32146-2024</t>
        </is>
      </c>
      <c r="B1516" s="1" t="n">
        <v>45511</v>
      </c>
      <c r="C1516" s="1" t="n">
        <v>45512</v>
      </c>
      <c r="D1516" t="inlineStr">
        <is>
          <t>KALMAR LÄN</t>
        </is>
      </c>
      <c r="E1516" t="inlineStr">
        <is>
          <t>VÄSTERVIK</t>
        </is>
      </c>
      <c r="F1516" t="inlineStr">
        <is>
          <t>Övriga Aktiebolag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32159-2024</t>
        </is>
      </c>
      <c r="B1517" s="1" t="n">
        <v>45511</v>
      </c>
      <c r="C1517" s="1" t="n">
        <v>45512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2024-08-08T10:03:19Z</dcterms:created>
  <dcterms:modified xmlns:dcterms="http://purl.org/dc/terms/" xmlns:xsi="http://www.w3.org/2001/XMLSchema-instance" xsi:type="dcterms:W3CDTF">2024-08-08T10:03:20Z</dcterms:modified>
</cp:coreProperties>
</file>