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42892-2025</t>
        </is>
      </c>
      <c r="B5" s="1" t="n">
        <v>45908.66357638889</v>
      </c>
      <c r="C5" s="1" t="n">
        <v>45929</v>
      </c>
      <c r="D5" t="inlineStr">
        <is>
          <t>KALMAR LÄN</t>
        </is>
      </c>
      <c r="E5" t="inlineStr">
        <is>
          <t>VÄSTERVIK</t>
        </is>
      </c>
      <c r="F5" t="inlineStr">
        <is>
          <t>Holmen skog AB</t>
        </is>
      </c>
      <c r="G5" t="n">
        <v>19.3</v>
      </c>
      <c r="H5" t="n">
        <v>4</v>
      </c>
      <c r="I5" t="n">
        <v>8</v>
      </c>
      <c r="J5" t="n">
        <v>5</v>
      </c>
      <c r="K5" t="n">
        <v>1</v>
      </c>
      <c r="L5" t="n">
        <v>0</v>
      </c>
      <c r="M5" t="n">
        <v>0</v>
      </c>
      <c r="N5" t="n">
        <v>0</v>
      </c>
      <c r="O5" t="n">
        <v>6</v>
      </c>
      <c r="P5" t="n">
        <v>1</v>
      </c>
      <c r="Q5" t="n">
        <v>15</v>
      </c>
      <c r="R5" s="2" t="inlineStr">
        <is>
          <t>Knärot
Ekticka
Garnlav
Spillkråka
Talltita
Ullticka
Blodticka
Blomkålssvamp
Blomskägglav
Brandticka
Grönpyrola
Gullgröppa
Trådticka
Zontaggsvamp
Blåsippa</t>
        </is>
      </c>
      <c r="S5">
        <f>HYPERLINK("https://klasma.github.io/Logging_0883/artfynd/A 42892-2025 artfynd.xlsx", "A 42892-2025")</f>
        <v/>
      </c>
      <c r="T5">
        <f>HYPERLINK("https://klasma.github.io/Logging_0883/kartor/A 42892-2025 karta.png", "A 42892-2025")</f>
        <v/>
      </c>
      <c r="U5">
        <f>HYPERLINK("https://klasma.github.io/Logging_0883/knärot/A 42892-2025 karta knärot.png", "A 42892-2025")</f>
        <v/>
      </c>
      <c r="V5">
        <f>HYPERLINK("https://klasma.github.io/Logging_0883/klagomål/A 42892-2025 FSC-klagomål.docx", "A 42892-2025")</f>
        <v/>
      </c>
      <c r="W5">
        <f>HYPERLINK("https://klasma.github.io/Logging_0883/klagomålsmail/A 42892-2025 FSC-klagomål mail.docx", "A 42892-2025")</f>
        <v/>
      </c>
      <c r="X5">
        <f>HYPERLINK("https://klasma.github.io/Logging_0883/tillsyn/A 42892-2025 tillsynsbegäran.docx", "A 42892-2025")</f>
        <v/>
      </c>
      <c r="Y5">
        <f>HYPERLINK("https://klasma.github.io/Logging_0883/tillsynsmail/A 42892-2025 tillsynsbegäran mail.docx", "A 42892-2025")</f>
        <v/>
      </c>
      <c r="Z5">
        <f>HYPERLINK("https://klasma.github.io/Logging_0883/fåglar/A 42892-2025 prioriterade fågelarter.docx", "A 42892-2025")</f>
        <v/>
      </c>
    </row>
    <row r="6" ht="15" customHeight="1">
      <c r="A6" t="inlineStr">
        <is>
          <t>A 30779-2023</t>
        </is>
      </c>
      <c r="B6" s="1" t="n">
        <v>45112</v>
      </c>
      <c r="C6" s="1" t="n">
        <v>45929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37525-2025</t>
        </is>
      </c>
      <c r="B7" s="1" t="n">
        <v>45877</v>
      </c>
      <c r="C7" s="1" t="n">
        <v>45929</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60440-2024</t>
        </is>
      </c>
      <c r="B8" s="1" t="n">
        <v>45643.59024305556</v>
      </c>
      <c r="C8" s="1" t="n">
        <v>45929</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7757-2021</t>
        </is>
      </c>
      <c r="B9" s="1" t="n">
        <v>44239</v>
      </c>
      <c r="C9" s="1" t="n">
        <v>45929</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45929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45929</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27374-2024</t>
        </is>
      </c>
      <c r="B12" s="1" t="n">
        <v>45473</v>
      </c>
      <c r="C12" s="1" t="n">
        <v>45929</v>
      </c>
      <c r="D12" t="inlineStr">
        <is>
          <t>KALMAR LÄN</t>
        </is>
      </c>
      <c r="E12" t="inlineStr">
        <is>
          <t>VÄSTERVIK</t>
        </is>
      </c>
      <c r="G12" t="n">
        <v>4</v>
      </c>
      <c r="H12" t="n">
        <v>3</v>
      </c>
      <c r="I12" t="n">
        <v>5</v>
      </c>
      <c r="J12" t="n">
        <v>3</v>
      </c>
      <c r="K12" t="n">
        <v>2</v>
      </c>
      <c r="L12" t="n">
        <v>0</v>
      </c>
      <c r="M12" t="n">
        <v>0</v>
      </c>
      <c r="N12" t="n">
        <v>0</v>
      </c>
      <c r="O12" t="n">
        <v>5</v>
      </c>
      <c r="P12" t="n">
        <v>2</v>
      </c>
      <c r="Q12" t="n">
        <v>10</v>
      </c>
      <c r="R12" s="2" t="inlineStr">
        <is>
          <t>Knärot
Rotfingersvamp
Spillkråka
Svart taggsvamp
Talltita
Blåmossa
Dropptaggsvamp
Grovticka
Grönpyrola
Zontaggsvamp</t>
        </is>
      </c>
      <c r="S12">
        <f>HYPERLINK("https://klasma.github.io/Logging_0883/artfynd/A 27374-2024 artfynd.xlsx", "A 27374-2024")</f>
        <v/>
      </c>
      <c r="T12">
        <f>HYPERLINK("https://klasma.github.io/Logging_0883/kartor/A 27374-2024 karta.png", "A 27374-2024")</f>
        <v/>
      </c>
      <c r="U12">
        <f>HYPERLINK("https://klasma.github.io/Logging_0883/knärot/A 27374-2024 karta knärot.png", "A 27374-2024")</f>
        <v/>
      </c>
      <c r="V12">
        <f>HYPERLINK("https://klasma.github.io/Logging_0883/klagomål/A 27374-2024 FSC-klagomål.docx", "A 27374-2024")</f>
        <v/>
      </c>
      <c r="W12">
        <f>HYPERLINK("https://klasma.github.io/Logging_0883/klagomålsmail/A 27374-2024 FSC-klagomål mail.docx", "A 27374-2024")</f>
        <v/>
      </c>
      <c r="X12">
        <f>HYPERLINK("https://klasma.github.io/Logging_0883/tillsyn/A 27374-2024 tillsynsbegäran.docx", "A 27374-2024")</f>
        <v/>
      </c>
      <c r="Y12">
        <f>HYPERLINK("https://klasma.github.io/Logging_0883/tillsynsmail/A 27374-2024 tillsynsbegäran mail.docx", "A 27374-2024")</f>
        <v/>
      </c>
      <c r="Z12">
        <f>HYPERLINK("https://klasma.github.io/Logging_0883/fåglar/A 27374-2024 prioriterade fågelarter.docx", "A 27374-2024")</f>
        <v/>
      </c>
    </row>
    <row r="13" ht="15" customHeight="1">
      <c r="A13" t="inlineStr">
        <is>
          <t>A 56737-2023</t>
        </is>
      </c>
      <c r="B13" s="1" t="n">
        <v>45244</v>
      </c>
      <c r="C13" s="1" t="n">
        <v>45929</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55017-2021</t>
        </is>
      </c>
      <c r="B14" s="1" t="n">
        <v>44474</v>
      </c>
      <c r="C14" s="1" t="n">
        <v>45929</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35134-2024</t>
        </is>
      </c>
      <c r="B15" s="1" t="n">
        <v>45530</v>
      </c>
      <c r="C15" s="1" t="n">
        <v>45929</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20094-2024</t>
        </is>
      </c>
      <c r="B16" s="1" t="n">
        <v>45434</v>
      </c>
      <c r="C16" s="1" t="n">
        <v>45929</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15252-2021</t>
        </is>
      </c>
      <c r="B17" s="1" t="n">
        <v>44284</v>
      </c>
      <c r="C17" s="1" t="n">
        <v>45929</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34414-2024</t>
        </is>
      </c>
      <c r="B18" s="1" t="n">
        <v>45525</v>
      </c>
      <c r="C18" s="1" t="n">
        <v>45929</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26281-2024</t>
        </is>
      </c>
      <c r="B19" s="1" t="n">
        <v>45468</v>
      </c>
      <c r="C19" s="1" t="n">
        <v>45929</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45929</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45929</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27378-2024</t>
        </is>
      </c>
      <c r="B22" s="1" t="n">
        <v>45473</v>
      </c>
      <c r="C22" s="1" t="n">
        <v>45929</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34638-2025</t>
        </is>
      </c>
      <c r="B23" s="1" t="n">
        <v>45848.30584490741</v>
      </c>
      <c r="C23" s="1" t="n">
        <v>45929</v>
      </c>
      <c r="D23" t="inlineStr">
        <is>
          <t>KALMAR LÄN</t>
        </is>
      </c>
      <c r="E23" t="inlineStr">
        <is>
          <t>VÄSTERVIK</t>
        </is>
      </c>
      <c r="G23" t="n">
        <v>1.2</v>
      </c>
      <c r="H23" t="n">
        <v>3</v>
      </c>
      <c r="I23" t="n">
        <v>2</v>
      </c>
      <c r="J23" t="n">
        <v>4</v>
      </c>
      <c r="K23" t="n">
        <v>1</v>
      </c>
      <c r="L23" t="n">
        <v>0</v>
      </c>
      <c r="M23" t="n">
        <v>0</v>
      </c>
      <c r="N23" t="n">
        <v>0</v>
      </c>
      <c r="O23" t="n">
        <v>5</v>
      </c>
      <c r="P23" t="n">
        <v>1</v>
      </c>
      <c r="Q23" t="n">
        <v>7</v>
      </c>
      <c r="R23" s="2" t="inlineStr">
        <is>
          <t>Knärot
Bredbrämad bastardsvärmare
Mindre bastardsvärmare
Spillkråka
Talltita
Barkticka
Blomskägglav</t>
        </is>
      </c>
      <c r="S23">
        <f>HYPERLINK("https://klasma.github.io/Logging_0883/artfynd/A 34638-2025 artfynd.xlsx", "A 34638-2025")</f>
        <v/>
      </c>
      <c r="T23">
        <f>HYPERLINK("https://klasma.github.io/Logging_0883/kartor/A 34638-2025 karta.png", "A 34638-2025")</f>
        <v/>
      </c>
      <c r="U23">
        <f>HYPERLINK("https://klasma.github.io/Logging_0883/knärot/A 34638-2025 karta knärot.png", "A 34638-2025")</f>
        <v/>
      </c>
      <c r="V23">
        <f>HYPERLINK("https://klasma.github.io/Logging_0883/klagomål/A 34638-2025 FSC-klagomål.docx", "A 34638-2025")</f>
        <v/>
      </c>
      <c r="W23">
        <f>HYPERLINK("https://klasma.github.io/Logging_0883/klagomålsmail/A 34638-2025 FSC-klagomål mail.docx", "A 34638-2025")</f>
        <v/>
      </c>
      <c r="X23">
        <f>HYPERLINK("https://klasma.github.io/Logging_0883/tillsyn/A 34638-2025 tillsynsbegäran.docx", "A 34638-2025")</f>
        <v/>
      </c>
      <c r="Y23">
        <f>HYPERLINK("https://klasma.github.io/Logging_0883/tillsynsmail/A 34638-2025 tillsynsbegäran mail.docx", "A 34638-2025")</f>
        <v/>
      </c>
      <c r="Z23">
        <f>HYPERLINK("https://klasma.github.io/Logging_0883/fåglar/A 34638-2025 prioriterade fågelarter.docx", "A 34638-2025")</f>
        <v/>
      </c>
    </row>
    <row r="24" ht="15" customHeight="1">
      <c r="A24" t="inlineStr">
        <is>
          <t>A 42888-2025</t>
        </is>
      </c>
      <c r="B24" s="1" t="n">
        <v>45908.65443287037</v>
      </c>
      <c r="C24" s="1" t="n">
        <v>45929</v>
      </c>
      <c r="D24" t="inlineStr">
        <is>
          <t>KALMAR LÄN</t>
        </is>
      </c>
      <c r="E24" t="inlineStr">
        <is>
          <t>VÄSTERVIK</t>
        </is>
      </c>
      <c r="F24" t="inlineStr">
        <is>
          <t>Holmen skog AB</t>
        </is>
      </c>
      <c r="G24" t="n">
        <v>4.2</v>
      </c>
      <c r="H24" t="n">
        <v>4</v>
      </c>
      <c r="I24" t="n">
        <v>1</v>
      </c>
      <c r="J24" t="n">
        <v>4</v>
      </c>
      <c r="K24" t="n">
        <v>1</v>
      </c>
      <c r="L24" t="n">
        <v>0</v>
      </c>
      <c r="M24" t="n">
        <v>0</v>
      </c>
      <c r="N24" t="n">
        <v>0</v>
      </c>
      <c r="O24" t="n">
        <v>5</v>
      </c>
      <c r="P24" t="n">
        <v>1</v>
      </c>
      <c r="Q24" t="n">
        <v>7</v>
      </c>
      <c r="R24" s="2" t="inlineStr">
        <is>
          <t>Knärot
Ekticka
Havsörn
Tallticka
Ullticka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51597-2024</t>
        </is>
      </c>
      <c r="B25" s="1" t="n">
        <v>45604</v>
      </c>
      <c r="C25" s="1" t="n">
        <v>45929</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59457-2024</t>
        </is>
      </c>
      <c r="B26" s="1" t="n">
        <v>45638</v>
      </c>
      <c r="C26" s="1" t="n">
        <v>45929</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16996-2025</t>
        </is>
      </c>
      <c r="B27" s="1" t="n">
        <v>45755.51844907407</v>
      </c>
      <c r="C27" s="1" t="n">
        <v>45929</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4397-2025</t>
        </is>
      </c>
      <c r="B28" s="1" t="n">
        <v>45686</v>
      </c>
      <c r="C28" s="1" t="n">
        <v>45929</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31082-2024</t>
        </is>
      </c>
      <c r="B29" s="1" t="n">
        <v>45502</v>
      </c>
      <c r="C29" s="1" t="n">
        <v>45929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39298-2024</t>
        </is>
      </c>
      <c r="B30" s="1" t="n">
        <v>45551</v>
      </c>
      <c r="C30" s="1" t="n">
        <v>45929</v>
      </c>
      <c r="D30" t="inlineStr">
        <is>
          <t>KALMAR LÄN</t>
        </is>
      </c>
      <c r="E30" t="inlineStr">
        <is>
          <t>VÄSTERVIK</t>
        </is>
      </c>
      <c r="G30" t="n">
        <v>1.2</v>
      </c>
      <c r="H30" t="n">
        <v>3</v>
      </c>
      <c r="I30" t="n">
        <v>5</v>
      </c>
      <c r="J30" t="n">
        <v>1</v>
      </c>
      <c r="K30" t="n">
        <v>1</v>
      </c>
      <c r="L30" t="n">
        <v>0</v>
      </c>
      <c r="M30" t="n">
        <v>0</v>
      </c>
      <c r="N30" t="n">
        <v>0</v>
      </c>
      <c r="O30" t="n">
        <v>2</v>
      </c>
      <c r="P30" t="n">
        <v>1</v>
      </c>
      <c r="Q30" t="n">
        <v>7</v>
      </c>
      <c r="R30" s="2" t="inlineStr">
        <is>
          <t>Knärot
Talltita
Dropptaggsvamp
Grön sköldmossa
Grönpyrola
Rödgul trumpetsvamp
Stubbspretmossa</t>
        </is>
      </c>
      <c r="S30">
        <f>HYPERLINK("https://klasma.github.io/Logging_0883/artfynd/A 39298-2024 artfynd.xlsx", "A 39298-2024")</f>
        <v/>
      </c>
      <c r="T30">
        <f>HYPERLINK("https://klasma.github.io/Logging_0883/kartor/A 39298-2024 karta.png", "A 39298-2024")</f>
        <v/>
      </c>
      <c r="U30">
        <f>HYPERLINK("https://klasma.github.io/Logging_0883/knärot/A 39298-2024 karta knärot.png", "A 39298-2024")</f>
        <v/>
      </c>
      <c r="V30">
        <f>HYPERLINK("https://klasma.github.io/Logging_0883/klagomål/A 39298-2024 FSC-klagomål.docx", "A 39298-2024")</f>
        <v/>
      </c>
      <c r="W30">
        <f>HYPERLINK("https://klasma.github.io/Logging_0883/klagomålsmail/A 39298-2024 FSC-klagomål mail.docx", "A 39298-2024")</f>
        <v/>
      </c>
      <c r="X30">
        <f>HYPERLINK("https://klasma.github.io/Logging_0883/tillsyn/A 39298-2024 tillsynsbegäran.docx", "A 39298-2024")</f>
        <v/>
      </c>
      <c r="Y30">
        <f>HYPERLINK("https://klasma.github.io/Logging_0883/tillsynsmail/A 39298-2024 tillsynsbegäran mail.docx", "A 39298-2024")</f>
        <v/>
      </c>
      <c r="Z30">
        <f>HYPERLINK("https://klasma.github.io/Logging_0883/fåglar/A 39298-2024 prioriterade fågelarter.docx", "A 39298-2024")</f>
        <v/>
      </c>
    </row>
    <row r="31" ht="15" customHeight="1">
      <c r="A31" t="inlineStr">
        <is>
          <t>A 63850-2021</t>
        </is>
      </c>
      <c r="B31" s="1" t="n">
        <v>44505</v>
      </c>
      <c r="C31" s="1" t="n">
        <v>45929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23021-2025</t>
        </is>
      </c>
      <c r="B32" s="1" t="n">
        <v>45790</v>
      </c>
      <c r="C32" s="1" t="n">
        <v>45929</v>
      </c>
      <c r="D32" t="inlineStr">
        <is>
          <t>KALMAR LÄN</t>
        </is>
      </c>
      <c r="E32" t="inlineStr">
        <is>
          <t>VÄSTERVIK</t>
        </is>
      </c>
      <c r="G32" t="n">
        <v>5</v>
      </c>
      <c r="H32" t="n">
        <v>5</v>
      </c>
      <c r="I32" t="n">
        <v>0</v>
      </c>
      <c r="J32" t="n">
        <v>5</v>
      </c>
      <c r="K32" t="n">
        <v>1</v>
      </c>
      <c r="L32" t="n">
        <v>0</v>
      </c>
      <c r="M32" t="n">
        <v>0</v>
      </c>
      <c r="N32" t="n">
        <v>0</v>
      </c>
      <c r="O32" t="n">
        <v>6</v>
      </c>
      <c r="P32" t="n">
        <v>1</v>
      </c>
      <c r="Q32" t="n">
        <v>7</v>
      </c>
      <c r="R32" s="2" t="inlineStr">
        <is>
          <t>Stare
Grönsångare
Mindre hackspett
Spillkråka
Tallticka
Vintertagging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26574-2025</t>
        </is>
      </c>
      <c r="B33" s="1" t="n">
        <v>45807.68491898148</v>
      </c>
      <c r="C33" s="1" t="n">
        <v>45929</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34624-2022</t>
        </is>
      </c>
      <c r="B34" s="1" t="n">
        <v>44795</v>
      </c>
      <c r="C34" s="1" t="n">
        <v>45929</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71188-2021</t>
        </is>
      </c>
      <c r="B35" s="1" t="n">
        <v>44539</v>
      </c>
      <c r="C35" s="1" t="n">
        <v>45929</v>
      </c>
      <c r="D35" t="inlineStr">
        <is>
          <t>KALMAR LÄN</t>
        </is>
      </c>
      <c r="E35" t="inlineStr">
        <is>
          <t>VÄSTERVIK</t>
        </is>
      </c>
      <c r="G35" t="n">
        <v>0.6</v>
      </c>
      <c r="H35" t="n">
        <v>0</v>
      </c>
      <c r="I35" t="n">
        <v>3</v>
      </c>
      <c r="J35" t="n">
        <v>3</v>
      </c>
      <c r="K35" t="n">
        <v>0</v>
      </c>
      <c r="L35" t="n">
        <v>0</v>
      </c>
      <c r="M35" t="n">
        <v>0</v>
      </c>
      <c r="N35" t="n">
        <v>0</v>
      </c>
      <c r="O35" t="n">
        <v>3</v>
      </c>
      <c r="P35" t="n">
        <v>0</v>
      </c>
      <c r="Q35" t="n">
        <v>6</v>
      </c>
      <c r="R35" s="2" t="inlineStr">
        <is>
          <t>Blå taggsvamp
Motaggsvamp
Svartvit taggsvamp
Blomkålssvamp
Dropptaggsvamp
Grovticka</t>
        </is>
      </c>
      <c r="S35">
        <f>HYPERLINK("https://klasma.github.io/Logging_0883/artfynd/A 71188-2021 artfynd.xlsx", "A 71188-2021")</f>
        <v/>
      </c>
      <c r="T35">
        <f>HYPERLINK("https://klasma.github.io/Logging_0883/kartor/A 71188-2021 karta.png", "A 71188-2021")</f>
        <v/>
      </c>
      <c r="V35">
        <f>HYPERLINK("https://klasma.github.io/Logging_0883/klagomål/A 71188-2021 FSC-klagomål.docx", "A 71188-2021")</f>
        <v/>
      </c>
      <c r="W35">
        <f>HYPERLINK("https://klasma.github.io/Logging_0883/klagomålsmail/A 71188-2021 FSC-klagomål mail.docx", "A 71188-2021")</f>
        <v/>
      </c>
      <c r="X35">
        <f>HYPERLINK("https://klasma.github.io/Logging_0883/tillsyn/A 71188-2021 tillsynsbegäran.docx", "A 71188-2021")</f>
        <v/>
      </c>
      <c r="Y35">
        <f>HYPERLINK("https://klasma.github.io/Logging_0883/tillsynsmail/A 71188-2021 tillsynsbegäran mail.docx", "A 71188-2021")</f>
        <v/>
      </c>
    </row>
    <row r="36" ht="15" customHeight="1">
      <c r="A36" t="inlineStr">
        <is>
          <t>A 60996-2021</t>
        </is>
      </c>
      <c r="B36" s="1" t="n">
        <v>44497</v>
      </c>
      <c r="C36" s="1" t="n">
        <v>45929</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34642-2025</t>
        </is>
      </c>
      <c r="B37" s="1" t="n">
        <v>45848.32703703704</v>
      </c>
      <c r="C37" s="1" t="n">
        <v>45929</v>
      </c>
      <c r="D37" t="inlineStr">
        <is>
          <t>KALMAR LÄN</t>
        </is>
      </c>
      <c r="E37" t="inlineStr">
        <is>
          <t>VÄSTERVIK</t>
        </is>
      </c>
      <c r="G37" t="n">
        <v>1.8</v>
      </c>
      <c r="H37" t="n">
        <v>3</v>
      </c>
      <c r="I37" t="n">
        <v>2</v>
      </c>
      <c r="J37" t="n">
        <v>3</v>
      </c>
      <c r="K37" t="n">
        <v>1</v>
      </c>
      <c r="L37" t="n">
        <v>0</v>
      </c>
      <c r="M37" t="n">
        <v>0</v>
      </c>
      <c r="N37" t="n">
        <v>0</v>
      </c>
      <c r="O37" t="n">
        <v>4</v>
      </c>
      <c r="P37" t="n">
        <v>1</v>
      </c>
      <c r="Q37" t="n">
        <v>6</v>
      </c>
      <c r="R37" s="2" t="inlineStr">
        <is>
          <t>Knärot
Spillkråka
Tallticka
Talltita
Blåmossa
Grönpyrola</t>
        </is>
      </c>
      <c r="S37">
        <f>HYPERLINK("https://klasma.github.io/Logging_0883/artfynd/A 34642-2025 artfynd.xlsx", "A 34642-2025")</f>
        <v/>
      </c>
      <c r="T37">
        <f>HYPERLINK("https://klasma.github.io/Logging_0883/kartor/A 34642-2025 karta.png", "A 34642-2025")</f>
        <v/>
      </c>
      <c r="U37">
        <f>HYPERLINK("https://klasma.github.io/Logging_0883/knärot/A 34642-2025 karta knärot.png", "A 34642-2025")</f>
        <v/>
      </c>
      <c r="V37">
        <f>HYPERLINK("https://klasma.github.io/Logging_0883/klagomål/A 34642-2025 FSC-klagomål.docx", "A 34642-2025")</f>
        <v/>
      </c>
      <c r="W37">
        <f>HYPERLINK("https://klasma.github.io/Logging_0883/klagomålsmail/A 34642-2025 FSC-klagomål mail.docx", "A 34642-2025")</f>
        <v/>
      </c>
      <c r="X37">
        <f>HYPERLINK("https://klasma.github.io/Logging_0883/tillsyn/A 34642-2025 tillsynsbegäran.docx", "A 34642-2025")</f>
        <v/>
      </c>
      <c r="Y37">
        <f>HYPERLINK("https://klasma.github.io/Logging_0883/tillsynsmail/A 34642-2025 tillsynsbegäran mail.docx", "A 34642-2025")</f>
        <v/>
      </c>
      <c r="Z37">
        <f>HYPERLINK("https://klasma.github.io/Logging_0883/fåglar/A 34642-2025 prioriterade fågelarter.docx", "A 34642-2025")</f>
        <v/>
      </c>
    </row>
    <row r="38" ht="15" customHeight="1">
      <c r="A38" t="inlineStr">
        <is>
          <t>A 47936-2023</t>
        </is>
      </c>
      <c r="B38" s="1" t="n">
        <v>45204</v>
      </c>
      <c r="C38" s="1" t="n">
        <v>45929</v>
      </c>
      <c r="D38" t="inlineStr">
        <is>
          <t>KALMAR LÄN</t>
        </is>
      </c>
      <c r="E38" t="inlineStr">
        <is>
          <t>VÄSTERVIK</t>
        </is>
      </c>
      <c r="G38" t="n">
        <v>6.3</v>
      </c>
      <c r="H38" t="n">
        <v>2</v>
      </c>
      <c r="I38" t="n">
        <v>4</v>
      </c>
      <c r="J38" t="n">
        <v>1</v>
      </c>
      <c r="K38" t="n">
        <v>1</v>
      </c>
      <c r="L38" t="n">
        <v>0</v>
      </c>
      <c r="M38" t="n">
        <v>0</v>
      </c>
      <c r="N38" t="n">
        <v>0</v>
      </c>
      <c r="O38" t="n">
        <v>2</v>
      </c>
      <c r="P38" t="n">
        <v>1</v>
      </c>
      <c r="Q38" t="n">
        <v>6</v>
      </c>
      <c r="R38" s="2" t="inlineStr">
        <is>
          <t>Knärot
Talltita
Blomkålssvamp
Blåmossa
Grovticka
Grönpyrola</t>
        </is>
      </c>
      <c r="S38">
        <f>HYPERLINK("https://klasma.github.io/Logging_0883/artfynd/A 47936-2023 artfynd.xlsx", "A 47936-2023")</f>
        <v/>
      </c>
      <c r="T38">
        <f>HYPERLINK("https://klasma.github.io/Logging_0883/kartor/A 47936-2023 karta.png", "A 47936-2023")</f>
        <v/>
      </c>
      <c r="U38">
        <f>HYPERLINK("https://klasma.github.io/Logging_0883/knärot/A 47936-2023 karta knärot.png", "A 47936-2023")</f>
        <v/>
      </c>
      <c r="V38">
        <f>HYPERLINK("https://klasma.github.io/Logging_0883/klagomål/A 47936-2023 FSC-klagomål.docx", "A 47936-2023")</f>
        <v/>
      </c>
      <c r="W38">
        <f>HYPERLINK("https://klasma.github.io/Logging_0883/klagomålsmail/A 47936-2023 FSC-klagomål mail.docx", "A 47936-2023")</f>
        <v/>
      </c>
      <c r="X38">
        <f>HYPERLINK("https://klasma.github.io/Logging_0883/tillsyn/A 47936-2023 tillsynsbegäran.docx", "A 47936-2023")</f>
        <v/>
      </c>
      <c r="Y38">
        <f>HYPERLINK("https://klasma.github.io/Logging_0883/tillsynsmail/A 47936-2023 tillsynsbegäran mail.docx", "A 47936-2023")</f>
        <v/>
      </c>
      <c r="Z38">
        <f>HYPERLINK("https://klasma.github.io/Logging_0883/fåglar/A 47936-2023 prioriterade fågelarter.docx", "A 47936-2023")</f>
        <v/>
      </c>
    </row>
    <row r="39" ht="15" customHeight="1">
      <c r="A39" t="inlineStr">
        <is>
          <t>A 52046-2024</t>
        </is>
      </c>
      <c r="B39" s="1" t="n">
        <v>45608</v>
      </c>
      <c r="C39" s="1" t="n">
        <v>45929</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27379-2024</t>
        </is>
      </c>
      <c r="B40" s="1" t="n">
        <v>45473</v>
      </c>
      <c r="C40" s="1" t="n">
        <v>45929</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974-2023</t>
        </is>
      </c>
      <c r="B41" s="1" t="n">
        <v>44935</v>
      </c>
      <c r="C41" s="1" t="n">
        <v>45929</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11740-2023</t>
        </is>
      </c>
      <c r="B42" s="1" t="n">
        <v>44994</v>
      </c>
      <c r="C42" s="1" t="n">
        <v>45929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52916-2020</t>
        </is>
      </c>
      <c r="B43" s="1" t="n">
        <v>44120</v>
      </c>
      <c r="C43" s="1" t="n">
        <v>45929</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4456-2025</t>
        </is>
      </c>
      <c r="B44" s="1" t="n">
        <v>45686</v>
      </c>
      <c r="C44" s="1" t="n">
        <v>45929</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5067-2025</t>
        </is>
      </c>
      <c r="B45" s="1" t="n">
        <v>45691</v>
      </c>
      <c r="C45" s="1" t="n">
        <v>45929</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5922-2024</t>
        </is>
      </c>
      <c r="B46" s="1" t="n">
        <v>45335</v>
      </c>
      <c r="C46" s="1" t="n">
        <v>45929</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39295-2024</t>
        </is>
      </c>
      <c r="B47" s="1" t="n">
        <v>45551</v>
      </c>
      <c r="C47" s="1" t="n">
        <v>45929</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55286-2023</t>
        </is>
      </c>
      <c r="B48" s="1" t="n">
        <v>45237</v>
      </c>
      <c r="C48" s="1" t="n">
        <v>45929</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2806-2025</t>
        </is>
      </c>
      <c r="B49" s="1" t="n">
        <v>45677</v>
      </c>
      <c r="C49" s="1" t="n">
        <v>45929</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27737-2024</t>
        </is>
      </c>
      <c r="B50" s="1" t="n">
        <v>45475</v>
      </c>
      <c r="C50" s="1" t="n">
        <v>45929</v>
      </c>
      <c r="D50" t="inlineStr">
        <is>
          <t>KALMAR LÄN</t>
        </is>
      </c>
      <c r="E50" t="inlineStr">
        <is>
          <t>VÄSTERVIK</t>
        </is>
      </c>
      <c r="F50" t="inlineStr">
        <is>
          <t>Holmen skog AB</t>
        </is>
      </c>
      <c r="G50" t="n">
        <v>2.7</v>
      </c>
      <c r="H50" t="n">
        <v>2</v>
      </c>
      <c r="I50" t="n">
        <v>0</v>
      </c>
      <c r="J50" t="n">
        <v>4</v>
      </c>
      <c r="K50" t="n">
        <v>0</v>
      </c>
      <c r="L50" t="n">
        <v>0</v>
      </c>
      <c r="M50" t="n">
        <v>0</v>
      </c>
      <c r="N50" t="n">
        <v>0</v>
      </c>
      <c r="O50" t="n">
        <v>4</v>
      </c>
      <c r="P50" t="n">
        <v>0</v>
      </c>
      <c r="Q50" t="n">
        <v>5</v>
      </c>
      <c r="R50" s="2" t="inlineStr">
        <is>
          <t>Ekticka
Oxtungssvamp
Spillkråka
Ullticka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54334-2024</t>
        </is>
      </c>
      <c r="B51" s="1" t="n">
        <v>45617.38247685185</v>
      </c>
      <c r="C51" s="1" t="n">
        <v>45929</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45929</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58727-2024</t>
        </is>
      </c>
      <c r="B53" s="1" t="n">
        <v>45635</v>
      </c>
      <c r="C53" s="1" t="n">
        <v>45929</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45929</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12335-2025</t>
        </is>
      </c>
      <c r="B55" s="1" t="n">
        <v>45730</v>
      </c>
      <c r="C55" s="1" t="n">
        <v>45929</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45929</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27380-2024</t>
        </is>
      </c>
      <c r="B57" s="1" t="n">
        <v>45473</v>
      </c>
      <c r="C57" s="1" t="n">
        <v>45929</v>
      </c>
      <c r="D57" t="inlineStr">
        <is>
          <t>KALMAR LÄN</t>
        </is>
      </c>
      <c r="E57" t="inlineStr">
        <is>
          <t>VÄSTERVIK</t>
        </is>
      </c>
      <c r="G57" t="n">
        <v>1.4</v>
      </c>
      <c r="H57" t="n">
        <v>2</v>
      </c>
      <c r="I57" t="n">
        <v>2</v>
      </c>
      <c r="J57" t="n">
        <v>2</v>
      </c>
      <c r="K57" t="n">
        <v>1</v>
      </c>
      <c r="L57" t="n">
        <v>0</v>
      </c>
      <c r="M57" t="n">
        <v>0</v>
      </c>
      <c r="N57" t="n">
        <v>0</v>
      </c>
      <c r="O57" t="n">
        <v>3</v>
      </c>
      <c r="P57" t="n">
        <v>1</v>
      </c>
      <c r="Q57" t="n">
        <v>5</v>
      </c>
      <c r="R57" s="2" t="inlineStr">
        <is>
          <t>Knärot
Tallticka
Talltita
Dropptaggsvamp
Zontaggsvamp</t>
        </is>
      </c>
      <c r="S57">
        <f>HYPERLINK("https://klasma.github.io/Logging_0883/artfynd/A 27380-2024 artfynd.xlsx", "A 27380-2024")</f>
        <v/>
      </c>
      <c r="T57">
        <f>HYPERLINK("https://klasma.github.io/Logging_0883/kartor/A 27380-2024 karta.png", "A 27380-2024")</f>
        <v/>
      </c>
      <c r="U57">
        <f>HYPERLINK("https://klasma.github.io/Logging_0883/knärot/A 27380-2024 karta knärot.png", "A 27380-2024")</f>
        <v/>
      </c>
      <c r="V57">
        <f>HYPERLINK("https://klasma.github.io/Logging_0883/klagomål/A 27380-2024 FSC-klagomål.docx", "A 27380-2024")</f>
        <v/>
      </c>
      <c r="W57">
        <f>HYPERLINK("https://klasma.github.io/Logging_0883/klagomålsmail/A 27380-2024 FSC-klagomål mail.docx", "A 27380-2024")</f>
        <v/>
      </c>
      <c r="X57">
        <f>HYPERLINK("https://klasma.github.io/Logging_0883/tillsyn/A 27380-2024 tillsynsbegäran.docx", "A 27380-2024")</f>
        <v/>
      </c>
      <c r="Y57">
        <f>HYPERLINK("https://klasma.github.io/Logging_0883/tillsynsmail/A 27380-2024 tillsynsbegäran mail.docx", "A 27380-2024")</f>
        <v/>
      </c>
      <c r="Z57">
        <f>HYPERLINK("https://klasma.github.io/Logging_0883/fåglar/A 27380-2024 prioriterade fågelarter.docx", "A 27380-2024")</f>
        <v/>
      </c>
    </row>
    <row r="58" ht="15" customHeight="1">
      <c r="A58" t="inlineStr">
        <is>
          <t>A 31431-2024</t>
        </is>
      </c>
      <c r="B58" s="1" t="n">
        <v>45505</v>
      </c>
      <c r="C58" s="1" t="n">
        <v>45929</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1779-2025</t>
        </is>
      </c>
      <c r="B59" s="1" t="n">
        <v>45671</v>
      </c>
      <c r="C59" s="1" t="n">
        <v>45929</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48724-2024</t>
        </is>
      </c>
      <c r="B60" s="1" t="n">
        <v>45593.55731481482</v>
      </c>
      <c r="C60" s="1" t="n">
        <v>45929</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31060-2024</t>
        </is>
      </c>
      <c r="B61" s="1" t="n">
        <v>45502</v>
      </c>
      <c r="C61" s="1" t="n">
        <v>45929</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35214-2025</t>
        </is>
      </c>
      <c r="B62" s="1" t="n">
        <v>45853.47163194444</v>
      </c>
      <c r="C62" s="1" t="n">
        <v>45929</v>
      </c>
      <c r="D62" t="inlineStr">
        <is>
          <t>KALMAR LÄN</t>
        </is>
      </c>
      <c r="E62" t="inlineStr">
        <is>
          <t>VÄSTERVIK</t>
        </is>
      </c>
      <c r="G62" t="n">
        <v>10.7</v>
      </c>
      <c r="H62" t="n">
        <v>3</v>
      </c>
      <c r="I62" t="n">
        <v>1</v>
      </c>
      <c r="J62" t="n">
        <v>2</v>
      </c>
      <c r="K62" t="n">
        <v>0</v>
      </c>
      <c r="L62" t="n">
        <v>0</v>
      </c>
      <c r="M62" t="n">
        <v>0</v>
      </c>
      <c r="N62" t="n">
        <v>0</v>
      </c>
      <c r="O62" t="n">
        <v>2</v>
      </c>
      <c r="P62" t="n">
        <v>0</v>
      </c>
      <c r="Q62" t="n">
        <v>4</v>
      </c>
      <c r="R62" s="2" t="inlineStr">
        <is>
          <t>Entita
Talltita
Blåmossa
Kungsfågel</t>
        </is>
      </c>
      <c r="S62">
        <f>HYPERLINK("https://klasma.github.io/Logging_0883/artfynd/A 35214-2025 artfynd.xlsx", "A 35214-2025")</f>
        <v/>
      </c>
      <c r="T62">
        <f>HYPERLINK("https://klasma.github.io/Logging_0883/kartor/A 35214-2025 karta.png", "A 35214-2025")</f>
        <v/>
      </c>
      <c r="V62">
        <f>HYPERLINK("https://klasma.github.io/Logging_0883/klagomål/A 35214-2025 FSC-klagomål.docx", "A 35214-2025")</f>
        <v/>
      </c>
      <c r="W62">
        <f>HYPERLINK("https://klasma.github.io/Logging_0883/klagomålsmail/A 35214-2025 FSC-klagomål mail.docx", "A 35214-2025")</f>
        <v/>
      </c>
      <c r="X62">
        <f>HYPERLINK("https://klasma.github.io/Logging_0883/tillsyn/A 35214-2025 tillsynsbegäran.docx", "A 35214-2025")</f>
        <v/>
      </c>
      <c r="Y62">
        <f>HYPERLINK("https://klasma.github.io/Logging_0883/tillsynsmail/A 35214-2025 tillsynsbegäran mail.docx", "A 35214-2025")</f>
        <v/>
      </c>
      <c r="Z62">
        <f>HYPERLINK("https://klasma.github.io/Logging_0883/fåglar/A 35214-2025 prioriterade fågelarter.docx", "A 35214-2025")</f>
        <v/>
      </c>
    </row>
    <row r="63" ht="15" customHeight="1">
      <c r="A63" t="inlineStr">
        <is>
          <t>A 18397-2024</t>
        </is>
      </c>
      <c r="B63" s="1" t="n">
        <v>45425</v>
      </c>
      <c r="C63" s="1" t="n">
        <v>45929</v>
      </c>
      <c r="D63" t="inlineStr">
        <is>
          <t>KALMAR LÄN</t>
        </is>
      </c>
      <c r="E63" t="inlineStr">
        <is>
          <t>VÄSTERVIK</t>
        </is>
      </c>
      <c r="F63" t="inlineStr">
        <is>
          <t>Holmen skog AB</t>
        </is>
      </c>
      <c r="G63" t="n">
        <v>3.5</v>
      </c>
      <c r="H63" t="n">
        <v>3</v>
      </c>
      <c r="I63" t="n">
        <v>1</v>
      </c>
      <c r="J63" t="n">
        <v>2</v>
      </c>
      <c r="K63" t="n">
        <v>1</v>
      </c>
      <c r="L63" t="n">
        <v>0</v>
      </c>
      <c r="M63" t="n">
        <v>0</v>
      </c>
      <c r="N63" t="n">
        <v>0</v>
      </c>
      <c r="O63" t="n">
        <v>3</v>
      </c>
      <c r="P63" t="n">
        <v>1</v>
      </c>
      <c r="Q63" t="n">
        <v>4</v>
      </c>
      <c r="R63" s="2" t="inlineStr">
        <is>
          <t>Knärot
Spillkråka
Talltita
Grönpyrola</t>
        </is>
      </c>
      <c r="S63">
        <f>HYPERLINK("https://klasma.github.io/Logging_0883/artfynd/A 18397-2024 artfynd.xlsx", "A 18397-2024")</f>
        <v/>
      </c>
      <c r="T63">
        <f>HYPERLINK("https://klasma.github.io/Logging_0883/kartor/A 18397-2024 karta.png", "A 18397-2024")</f>
        <v/>
      </c>
      <c r="U63">
        <f>HYPERLINK("https://klasma.github.io/Logging_0883/knärot/A 18397-2024 karta knärot.png", "A 18397-2024")</f>
        <v/>
      </c>
      <c r="V63">
        <f>HYPERLINK("https://klasma.github.io/Logging_0883/klagomål/A 18397-2024 FSC-klagomål.docx", "A 18397-2024")</f>
        <v/>
      </c>
      <c r="W63">
        <f>HYPERLINK("https://klasma.github.io/Logging_0883/klagomålsmail/A 18397-2024 FSC-klagomål mail.docx", "A 18397-2024")</f>
        <v/>
      </c>
      <c r="X63">
        <f>HYPERLINK("https://klasma.github.io/Logging_0883/tillsyn/A 18397-2024 tillsynsbegäran.docx", "A 18397-2024")</f>
        <v/>
      </c>
      <c r="Y63">
        <f>HYPERLINK("https://klasma.github.io/Logging_0883/tillsynsmail/A 18397-2024 tillsynsbegäran mail.docx", "A 18397-2024")</f>
        <v/>
      </c>
      <c r="Z63">
        <f>HYPERLINK("https://klasma.github.io/Logging_0883/fåglar/A 18397-2024 prioriterade fågelarter.docx", "A 18397-2024")</f>
        <v/>
      </c>
    </row>
    <row r="64" ht="15" customHeight="1">
      <c r="A64" t="inlineStr">
        <is>
          <t>A 34644-2025</t>
        </is>
      </c>
      <c r="B64" s="1" t="n">
        <v>45848.33202546297</v>
      </c>
      <c r="C64" s="1" t="n">
        <v>45929</v>
      </c>
      <c r="D64" t="inlineStr">
        <is>
          <t>KALMAR LÄN</t>
        </is>
      </c>
      <c r="E64" t="inlineStr">
        <is>
          <t>VÄSTERVIK</t>
        </is>
      </c>
      <c r="G64" t="n">
        <v>0.5</v>
      </c>
      <c r="H64" t="n">
        <v>2</v>
      </c>
      <c r="I64" t="n">
        <v>1</v>
      </c>
      <c r="J64" t="n">
        <v>2</v>
      </c>
      <c r="K64" t="n">
        <v>1</v>
      </c>
      <c r="L64" t="n">
        <v>0</v>
      </c>
      <c r="M64" t="n">
        <v>0</v>
      </c>
      <c r="N64" t="n">
        <v>0</v>
      </c>
      <c r="O64" t="n">
        <v>3</v>
      </c>
      <c r="P64" t="n">
        <v>1</v>
      </c>
      <c r="Q64" t="n">
        <v>4</v>
      </c>
      <c r="R64" s="2" t="inlineStr">
        <is>
          <t>Knärot
Fyrflikig jordstjärna
Talltita
Blåmossa</t>
        </is>
      </c>
      <c r="S64">
        <f>HYPERLINK("https://klasma.github.io/Logging_0883/artfynd/A 34644-2025 artfynd.xlsx", "A 34644-2025")</f>
        <v/>
      </c>
      <c r="T64">
        <f>HYPERLINK("https://klasma.github.io/Logging_0883/kartor/A 34644-2025 karta.png", "A 34644-2025")</f>
        <v/>
      </c>
      <c r="U64">
        <f>HYPERLINK("https://klasma.github.io/Logging_0883/knärot/A 34644-2025 karta knärot.png", "A 34644-2025")</f>
        <v/>
      </c>
      <c r="V64">
        <f>HYPERLINK("https://klasma.github.io/Logging_0883/klagomål/A 34644-2025 FSC-klagomål.docx", "A 34644-2025")</f>
        <v/>
      </c>
      <c r="W64">
        <f>HYPERLINK("https://klasma.github.io/Logging_0883/klagomålsmail/A 34644-2025 FSC-klagomål mail.docx", "A 34644-2025")</f>
        <v/>
      </c>
      <c r="X64">
        <f>HYPERLINK("https://klasma.github.io/Logging_0883/tillsyn/A 34644-2025 tillsynsbegäran.docx", "A 34644-2025")</f>
        <v/>
      </c>
      <c r="Y64">
        <f>HYPERLINK("https://klasma.github.io/Logging_0883/tillsynsmail/A 34644-2025 tillsynsbegäran mail.docx", "A 34644-2025")</f>
        <v/>
      </c>
      <c r="Z64">
        <f>HYPERLINK("https://klasma.github.io/Logging_0883/fåglar/A 34644-2025 prioriterade fågelarter.docx", "A 34644-2025")</f>
        <v/>
      </c>
    </row>
    <row r="65" ht="15" customHeight="1">
      <c r="A65" t="inlineStr">
        <is>
          <t>A 25534-2024</t>
        </is>
      </c>
      <c r="B65" s="1" t="n">
        <v>45463</v>
      </c>
      <c r="C65" s="1" t="n">
        <v>45929</v>
      </c>
      <c r="D65" t="inlineStr">
        <is>
          <t>KALMAR LÄN</t>
        </is>
      </c>
      <c r="E65" t="inlineStr">
        <is>
          <t>VÄSTERVIK</t>
        </is>
      </c>
      <c r="F65" t="inlineStr">
        <is>
          <t>Holmen skog AB</t>
        </is>
      </c>
      <c r="G65" t="n">
        <v>9.5</v>
      </c>
      <c r="H65" t="n">
        <v>1</v>
      </c>
      <c r="I65" t="n">
        <v>2</v>
      </c>
      <c r="J65" t="n">
        <v>1</v>
      </c>
      <c r="K65" t="n">
        <v>1</v>
      </c>
      <c r="L65" t="n">
        <v>0</v>
      </c>
      <c r="M65" t="n">
        <v>0</v>
      </c>
      <c r="N65" t="n">
        <v>0</v>
      </c>
      <c r="O65" t="n">
        <v>2</v>
      </c>
      <c r="P65" t="n">
        <v>1</v>
      </c>
      <c r="Q65" t="n">
        <v>4</v>
      </c>
      <c r="R65" s="2" t="inlineStr">
        <is>
          <t>Knärot
Tallticka
Brandticka
Bronshjon</t>
        </is>
      </c>
      <c r="S65">
        <f>HYPERLINK("https://klasma.github.io/Logging_0883/artfynd/A 25534-2024 artfynd.xlsx", "A 25534-2024")</f>
        <v/>
      </c>
      <c r="T65">
        <f>HYPERLINK("https://klasma.github.io/Logging_0883/kartor/A 25534-2024 karta.png", "A 25534-2024")</f>
        <v/>
      </c>
      <c r="U65">
        <f>HYPERLINK("https://klasma.github.io/Logging_0883/knärot/A 25534-2024 karta knärot.png", "A 25534-2024")</f>
        <v/>
      </c>
      <c r="V65">
        <f>HYPERLINK("https://klasma.github.io/Logging_0883/klagomål/A 25534-2024 FSC-klagomål.docx", "A 25534-2024")</f>
        <v/>
      </c>
      <c r="W65">
        <f>HYPERLINK("https://klasma.github.io/Logging_0883/klagomålsmail/A 25534-2024 FSC-klagomål mail.docx", "A 25534-2024")</f>
        <v/>
      </c>
      <c r="X65">
        <f>HYPERLINK("https://klasma.github.io/Logging_0883/tillsyn/A 25534-2024 tillsynsbegäran.docx", "A 25534-2024")</f>
        <v/>
      </c>
      <c r="Y65">
        <f>HYPERLINK("https://klasma.github.io/Logging_0883/tillsynsmail/A 25534-2024 tillsynsbegäran mail.docx", "A 25534-2024")</f>
        <v/>
      </c>
    </row>
    <row r="66" ht="15" customHeight="1">
      <c r="A66" t="inlineStr">
        <is>
          <t>A 6472-2025</t>
        </is>
      </c>
      <c r="B66" s="1" t="n">
        <v>45699</v>
      </c>
      <c r="C66" s="1" t="n">
        <v>45929</v>
      </c>
      <c r="D66" t="inlineStr">
        <is>
          <t>KALMAR LÄN</t>
        </is>
      </c>
      <c r="E66" t="inlineStr">
        <is>
          <t>VÄSTERVIK</t>
        </is>
      </c>
      <c r="F66" t="inlineStr">
        <is>
          <t>Holmen skog AB</t>
        </is>
      </c>
      <c r="G66" t="n">
        <v>4.3</v>
      </c>
      <c r="H66" t="n">
        <v>4</v>
      </c>
      <c r="I66" t="n">
        <v>0</v>
      </c>
      <c r="J66" t="n">
        <v>2</v>
      </c>
      <c r="K66" t="n">
        <v>0</v>
      </c>
      <c r="L66" t="n">
        <v>0</v>
      </c>
      <c r="M66" t="n">
        <v>0</v>
      </c>
      <c r="N66" t="n">
        <v>0</v>
      </c>
      <c r="O66" t="n">
        <v>2</v>
      </c>
      <c r="P66" t="n">
        <v>0</v>
      </c>
      <c r="Q66" t="n">
        <v>4</v>
      </c>
      <c r="R66" s="2" t="inlineStr">
        <is>
          <t>Spillkråka
Talltita
Kungsfågel
Revlummer</t>
        </is>
      </c>
      <c r="S66">
        <f>HYPERLINK("https://klasma.github.io/Logging_0883/artfynd/A 6472-2025 artfynd.xlsx", "A 6472-2025")</f>
        <v/>
      </c>
      <c r="T66">
        <f>HYPERLINK("https://klasma.github.io/Logging_0883/kartor/A 6472-2025 karta.png", "A 6472-2025")</f>
        <v/>
      </c>
      <c r="V66">
        <f>HYPERLINK("https://klasma.github.io/Logging_0883/klagomål/A 6472-2025 FSC-klagomål.docx", "A 6472-2025")</f>
        <v/>
      </c>
      <c r="W66">
        <f>HYPERLINK("https://klasma.github.io/Logging_0883/klagomålsmail/A 6472-2025 FSC-klagomål mail.docx", "A 6472-2025")</f>
        <v/>
      </c>
      <c r="X66">
        <f>HYPERLINK("https://klasma.github.io/Logging_0883/tillsyn/A 6472-2025 tillsynsbegäran.docx", "A 6472-2025")</f>
        <v/>
      </c>
      <c r="Y66">
        <f>HYPERLINK("https://klasma.github.io/Logging_0883/tillsynsmail/A 6472-2025 tillsynsbegäran mail.docx", "A 6472-2025")</f>
        <v/>
      </c>
      <c r="Z66">
        <f>HYPERLINK("https://klasma.github.io/Logging_0883/fåglar/A 6472-2025 prioriterade fågelarter.docx", "A 6472-2025")</f>
        <v/>
      </c>
    </row>
    <row r="67" ht="15" customHeight="1">
      <c r="A67" t="inlineStr">
        <is>
          <t>A 35939-2024</t>
        </is>
      </c>
      <c r="B67" s="1" t="n">
        <v>45533.45459490741</v>
      </c>
      <c r="C67" s="1" t="n">
        <v>45929</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938-2024</t>
        </is>
      </c>
      <c r="B68" s="1" t="n">
        <v>45301</v>
      </c>
      <c r="C68" s="1" t="n">
        <v>45929</v>
      </c>
      <c r="D68" t="inlineStr">
        <is>
          <t>KALMAR LÄN</t>
        </is>
      </c>
      <c r="E68" t="inlineStr">
        <is>
          <t>VÄSTERVIK</t>
        </is>
      </c>
      <c r="G68" t="n">
        <v>10</v>
      </c>
      <c r="H68" t="n">
        <v>1</v>
      </c>
      <c r="I68" t="n">
        <v>0</v>
      </c>
      <c r="J68" t="n">
        <v>3</v>
      </c>
      <c r="K68" t="n">
        <v>0</v>
      </c>
      <c r="L68" t="n">
        <v>0</v>
      </c>
      <c r="M68" t="n">
        <v>0</v>
      </c>
      <c r="N68" t="n">
        <v>0</v>
      </c>
      <c r="O68" t="n">
        <v>3</v>
      </c>
      <c r="P68" t="n">
        <v>0</v>
      </c>
      <c r="Q68" t="n">
        <v>4</v>
      </c>
      <c r="R68" s="2" t="inlineStr">
        <is>
          <t>Reliktbock
Tallticka
Vintertagging
Tjäder</t>
        </is>
      </c>
      <c r="S68">
        <f>HYPERLINK("https://klasma.github.io/Logging_0883/artfynd/A 938-2024 artfynd.xlsx", "A 938-2024")</f>
        <v/>
      </c>
      <c r="T68">
        <f>HYPERLINK("https://klasma.github.io/Logging_0883/kartor/A 938-2024 karta.png", "A 938-2024")</f>
        <v/>
      </c>
      <c r="V68">
        <f>HYPERLINK("https://klasma.github.io/Logging_0883/klagomål/A 938-2024 FSC-klagomål.docx", "A 938-2024")</f>
        <v/>
      </c>
      <c r="W68">
        <f>HYPERLINK("https://klasma.github.io/Logging_0883/klagomålsmail/A 938-2024 FSC-klagomål mail.docx", "A 938-2024")</f>
        <v/>
      </c>
      <c r="X68">
        <f>HYPERLINK("https://klasma.github.io/Logging_0883/tillsyn/A 938-2024 tillsynsbegäran.docx", "A 938-2024")</f>
        <v/>
      </c>
      <c r="Y68">
        <f>HYPERLINK("https://klasma.github.io/Logging_0883/tillsynsmail/A 938-2024 tillsynsbegäran mail.docx", "A 938-2024")</f>
        <v/>
      </c>
      <c r="Z68">
        <f>HYPERLINK("https://klasma.github.io/Logging_0883/fåglar/A 938-2024 prioriterade fågelarter.docx", "A 938-2024")</f>
        <v/>
      </c>
    </row>
    <row r="69" ht="15" customHeight="1">
      <c r="A69" t="inlineStr">
        <is>
          <t>A 59319-2023</t>
        </is>
      </c>
      <c r="B69" s="1" t="n">
        <v>45253</v>
      </c>
      <c r="C69" s="1" t="n">
        <v>45929</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37524-2025</t>
        </is>
      </c>
      <c r="B70" s="1" t="n">
        <v>45877</v>
      </c>
      <c r="C70" s="1" t="n">
        <v>45929</v>
      </c>
      <c r="D70" t="inlineStr">
        <is>
          <t>KALMAR LÄN</t>
        </is>
      </c>
      <c r="E70" t="inlineStr">
        <is>
          <t>VÄSTERVIK</t>
        </is>
      </c>
      <c r="G70" t="n">
        <v>3.3</v>
      </c>
      <c r="H70" t="n">
        <v>2</v>
      </c>
      <c r="I70" t="n">
        <v>1</v>
      </c>
      <c r="J70" t="n">
        <v>2</v>
      </c>
      <c r="K70" t="n">
        <v>1</v>
      </c>
      <c r="L70" t="n">
        <v>0</v>
      </c>
      <c r="M70" t="n">
        <v>0</v>
      </c>
      <c r="N70" t="n">
        <v>0</v>
      </c>
      <c r="O70" t="n">
        <v>3</v>
      </c>
      <c r="P70" t="n">
        <v>1</v>
      </c>
      <c r="Q70" t="n">
        <v>4</v>
      </c>
      <c r="R70" s="2" t="inlineStr">
        <is>
          <t>Knärot
Svart taggsvamp
Talltita
Blomkålssvamp</t>
        </is>
      </c>
      <c r="S70">
        <f>HYPERLINK("https://klasma.github.io/Logging_0883/artfynd/A 37524-2025 artfynd.xlsx", "A 37524-2025")</f>
        <v/>
      </c>
      <c r="T70">
        <f>HYPERLINK("https://klasma.github.io/Logging_0883/kartor/A 37524-2025 karta.png", "A 37524-2025")</f>
        <v/>
      </c>
      <c r="U70">
        <f>HYPERLINK("https://klasma.github.io/Logging_0883/knärot/A 37524-2025 karta knärot.png", "A 37524-2025")</f>
        <v/>
      </c>
      <c r="V70">
        <f>HYPERLINK("https://klasma.github.io/Logging_0883/klagomål/A 37524-2025 FSC-klagomål.docx", "A 37524-2025")</f>
        <v/>
      </c>
      <c r="W70">
        <f>HYPERLINK("https://klasma.github.io/Logging_0883/klagomålsmail/A 37524-2025 FSC-klagomål mail.docx", "A 37524-2025")</f>
        <v/>
      </c>
      <c r="X70">
        <f>HYPERLINK("https://klasma.github.io/Logging_0883/tillsyn/A 37524-2025 tillsynsbegäran.docx", "A 37524-2025")</f>
        <v/>
      </c>
      <c r="Y70">
        <f>HYPERLINK("https://klasma.github.io/Logging_0883/tillsynsmail/A 37524-2025 tillsynsbegäran mail.docx", "A 37524-2025")</f>
        <v/>
      </c>
      <c r="Z70">
        <f>HYPERLINK("https://klasma.github.io/Logging_0883/fåglar/A 37524-2025 prioriterade fågelarter.docx", "A 37524-2025")</f>
        <v/>
      </c>
    </row>
    <row r="71" ht="15" customHeight="1">
      <c r="A71" t="inlineStr">
        <is>
          <t>A 25280-2021</t>
        </is>
      </c>
      <c r="B71" s="1" t="n">
        <v>44342</v>
      </c>
      <c r="C71" s="1" t="n">
        <v>45929</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45929</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45929</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10781-2025</t>
        </is>
      </c>
      <c r="B74" s="1" t="n">
        <v>45722</v>
      </c>
      <c r="C74" s="1" t="n">
        <v>45929</v>
      </c>
      <c r="D74" t="inlineStr">
        <is>
          <t>KALMAR LÄN</t>
        </is>
      </c>
      <c r="E74" t="inlineStr">
        <is>
          <t>VÄSTERVIK</t>
        </is>
      </c>
      <c r="G74" t="n">
        <v>2.8</v>
      </c>
      <c r="H74" t="n">
        <v>3</v>
      </c>
      <c r="I74" t="n">
        <v>1</v>
      </c>
      <c r="J74" t="n">
        <v>2</v>
      </c>
      <c r="K74" t="n">
        <v>0</v>
      </c>
      <c r="L74" t="n">
        <v>0</v>
      </c>
      <c r="M74" t="n">
        <v>0</v>
      </c>
      <c r="N74" t="n">
        <v>0</v>
      </c>
      <c r="O74" t="n">
        <v>2</v>
      </c>
      <c r="P74" t="n">
        <v>0</v>
      </c>
      <c r="Q74" t="n">
        <v>4</v>
      </c>
      <c r="R74" s="2" t="inlineStr">
        <is>
          <t>Spillkråka
Talltita
Grovticka
Kungsfågel</t>
        </is>
      </c>
      <c r="S74">
        <f>HYPERLINK("https://klasma.github.io/Logging_0883/artfynd/A 10781-2025 artfynd.xlsx", "A 10781-2025")</f>
        <v/>
      </c>
      <c r="T74">
        <f>HYPERLINK("https://klasma.github.io/Logging_0883/kartor/A 10781-2025 karta.png", "A 10781-2025")</f>
        <v/>
      </c>
      <c r="V74">
        <f>HYPERLINK("https://klasma.github.io/Logging_0883/klagomål/A 10781-2025 FSC-klagomål.docx", "A 10781-2025")</f>
        <v/>
      </c>
      <c r="W74">
        <f>HYPERLINK("https://klasma.github.io/Logging_0883/klagomålsmail/A 10781-2025 FSC-klagomål mail.docx", "A 10781-2025")</f>
        <v/>
      </c>
      <c r="X74">
        <f>HYPERLINK("https://klasma.github.io/Logging_0883/tillsyn/A 10781-2025 tillsynsbegäran.docx", "A 10781-2025")</f>
        <v/>
      </c>
      <c r="Y74">
        <f>HYPERLINK("https://klasma.github.io/Logging_0883/tillsynsmail/A 10781-2025 tillsynsbegäran mail.docx", "A 10781-2025")</f>
        <v/>
      </c>
      <c r="Z74">
        <f>HYPERLINK("https://klasma.github.io/Logging_0883/fåglar/A 10781-2025 prioriterade fågelarter.docx", "A 10781-2025")</f>
        <v/>
      </c>
    </row>
    <row r="75" ht="15" customHeight="1">
      <c r="A75" t="inlineStr">
        <is>
          <t>A 31914-2025</t>
        </is>
      </c>
      <c r="B75" s="1" t="n">
        <v>45834</v>
      </c>
      <c r="C75" s="1" t="n">
        <v>45929</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41571-2024</t>
        </is>
      </c>
      <c r="B76" s="1" t="n">
        <v>45560.54571759259</v>
      </c>
      <c r="C76" s="1" t="n">
        <v>45929</v>
      </c>
      <c r="D76" t="inlineStr">
        <is>
          <t>KALMAR LÄN</t>
        </is>
      </c>
      <c r="E76" t="inlineStr">
        <is>
          <t>VÄSTERVIK</t>
        </is>
      </c>
      <c r="G76" t="n">
        <v>5.2</v>
      </c>
      <c r="H76" t="n">
        <v>1</v>
      </c>
      <c r="I76" t="n">
        <v>2</v>
      </c>
      <c r="J76" t="n">
        <v>2</v>
      </c>
      <c r="K76" t="n">
        <v>0</v>
      </c>
      <c r="L76" t="n">
        <v>0</v>
      </c>
      <c r="M76" t="n">
        <v>0</v>
      </c>
      <c r="N76" t="n">
        <v>0</v>
      </c>
      <c r="O76" t="n">
        <v>2</v>
      </c>
      <c r="P76" t="n">
        <v>0</v>
      </c>
      <c r="Q76" t="n">
        <v>4</v>
      </c>
      <c r="R76" s="2" t="inlineStr">
        <is>
          <t>Tallticka
Talltita
Blåmossa
Dropptaggsvamp</t>
        </is>
      </c>
      <c r="S76">
        <f>HYPERLINK("https://klasma.github.io/Logging_0883/artfynd/A 41571-2024 artfynd.xlsx", "A 41571-2024")</f>
        <v/>
      </c>
      <c r="T76">
        <f>HYPERLINK("https://klasma.github.io/Logging_0883/kartor/A 41571-2024 karta.png", "A 41571-2024")</f>
        <v/>
      </c>
      <c r="U76">
        <f>HYPERLINK("https://klasma.github.io/Logging_0883/knärot/A 41571-2024 karta knärot.png", "A 41571-2024")</f>
        <v/>
      </c>
      <c r="V76">
        <f>HYPERLINK("https://klasma.github.io/Logging_0883/klagomål/A 41571-2024 FSC-klagomål.docx", "A 41571-2024")</f>
        <v/>
      </c>
      <c r="W76">
        <f>HYPERLINK("https://klasma.github.io/Logging_0883/klagomålsmail/A 41571-2024 FSC-klagomål mail.docx", "A 41571-2024")</f>
        <v/>
      </c>
      <c r="X76">
        <f>HYPERLINK("https://klasma.github.io/Logging_0883/tillsyn/A 41571-2024 tillsynsbegäran.docx", "A 41571-2024")</f>
        <v/>
      </c>
      <c r="Y76">
        <f>HYPERLINK("https://klasma.github.io/Logging_0883/tillsynsmail/A 41571-2024 tillsynsbegäran mail.docx", "A 41571-2024")</f>
        <v/>
      </c>
      <c r="Z76">
        <f>HYPERLINK("https://klasma.github.io/Logging_0883/fåglar/A 41571-2024 prioriterade fågelarter.docx", "A 41571-2024")</f>
        <v/>
      </c>
    </row>
    <row r="77" ht="15" customHeight="1">
      <c r="A77" t="inlineStr">
        <is>
          <t>A 24839-2025</t>
        </is>
      </c>
      <c r="B77" s="1" t="n">
        <v>45799.4640625</v>
      </c>
      <c r="C77" s="1" t="n">
        <v>45929</v>
      </c>
      <c r="D77" t="inlineStr">
        <is>
          <t>KALMAR LÄN</t>
        </is>
      </c>
      <c r="E77" t="inlineStr">
        <is>
          <t>VÄSTERVIK</t>
        </is>
      </c>
      <c r="F77" t="inlineStr">
        <is>
          <t>Holmen skog AB</t>
        </is>
      </c>
      <c r="G77" t="n">
        <v>8.300000000000001</v>
      </c>
      <c r="H77" t="n">
        <v>2</v>
      </c>
      <c r="I77" t="n">
        <v>1</v>
      </c>
      <c r="J77" t="n">
        <v>2</v>
      </c>
      <c r="K77" t="n">
        <v>0</v>
      </c>
      <c r="L77" t="n">
        <v>0</v>
      </c>
      <c r="M77" t="n">
        <v>0</v>
      </c>
      <c r="N77" t="n">
        <v>0</v>
      </c>
      <c r="O77" t="n">
        <v>2</v>
      </c>
      <c r="P77" t="n">
        <v>0</v>
      </c>
      <c r="Q77" t="n">
        <v>4</v>
      </c>
      <c r="R77" s="2" t="inlineStr">
        <is>
          <t>Grönsångare
Tallticka
Murgröna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20366-2024</t>
        </is>
      </c>
      <c r="B78" s="1" t="n">
        <v>45435</v>
      </c>
      <c r="C78" s="1" t="n">
        <v>45929</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26985-2025</t>
        </is>
      </c>
      <c r="B79" s="1" t="n">
        <v>45811</v>
      </c>
      <c r="C79" s="1" t="n">
        <v>45929</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9975-2024</t>
        </is>
      </c>
      <c r="B80" s="1" t="n">
        <v>45363</v>
      </c>
      <c r="C80" s="1" t="n">
        <v>45929</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58955-2022</t>
        </is>
      </c>
      <c r="B81" s="1" t="n">
        <v>44896</v>
      </c>
      <c r="C81" s="1" t="n">
        <v>45929</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54233-2023</t>
        </is>
      </c>
      <c r="B82" s="1" t="n">
        <v>45232</v>
      </c>
      <c r="C82" s="1" t="n">
        <v>45929</v>
      </c>
      <c r="D82" t="inlineStr">
        <is>
          <t>KALMAR LÄN</t>
        </is>
      </c>
      <c r="E82" t="inlineStr">
        <is>
          <t>VÄSTERVIK</t>
        </is>
      </c>
      <c r="G82" t="n">
        <v>1.9</v>
      </c>
      <c r="H82" t="n">
        <v>2</v>
      </c>
      <c r="I82" t="n">
        <v>1</v>
      </c>
      <c r="J82" t="n">
        <v>2</v>
      </c>
      <c r="K82" t="n">
        <v>1</v>
      </c>
      <c r="L82" t="n">
        <v>0</v>
      </c>
      <c r="M82" t="n">
        <v>0</v>
      </c>
      <c r="N82" t="n">
        <v>0</v>
      </c>
      <c r="O82" t="n">
        <v>3</v>
      </c>
      <c r="P82" t="n">
        <v>1</v>
      </c>
      <c r="Q82" t="n">
        <v>4</v>
      </c>
      <c r="R82" s="2" t="inlineStr">
        <is>
          <t>Knärot
Tallticka
Talltita
Blåmossa</t>
        </is>
      </c>
      <c r="S82">
        <f>HYPERLINK("https://klasma.github.io/Logging_0883/artfynd/A 54233-2023 artfynd.xlsx", "A 54233-2023")</f>
        <v/>
      </c>
      <c r="T82">
        <f>HYPERLINK("https://klasma.github.io/Logging_0883/kartor/A 54233-2023 karta.png", "A 54233-2023")</f>
        <v/>
      </c>
      <c r="U82">
        <f>HYPERLINK("https://klasma.github.io/Logging_0883/knärot/A 54233-2023 karta knärot.png", "A 54233-2023")</f>
        <v/>
      </c>
      <c r="V82">
        <f>HYPERLINK("https://klasma.github.io/Logging_0883/klagomål/A 54233-2023 FSC-klagomål.docx", "A 54233-2023")</f>
        <v/>
      </c>
      <c r="W82">
        <f>HYPERLINK("https://klasma.github.io/Logging_0883/klagomålsmail/A 54233-2023 FSC-klagomål mail.docx", "A 54233-2023")</f>
        <v/>
      </c>
      <c r="X82">
        <f>HYPERLINK("https://klasma.github.io/Logging_0883/tillsyn/A 54233-2023 tillsynsbegäran.docx", "A 54233-2023")</f>
        <v/>
      </c>
      <c r="Y82">
        <f>HYPERLINK("https://klasma.github.io/Logging_0883/tillsynsmail/A 54233-2023 tillsynsbegäran mail.docx", "A 54233-2023")</f>
        <v/>
      </c>
      <c r="Z82">
        <f>HYPERLINK("https://klasma.github.io/Logging_0883/fåglar/A 54233-2023 prioriterade fågelarter.docx", "A 54233-2023")</f>
        <v/>
      </c>
    </row>
    <row r="83" ht="15" customHeight="1">
      <c r="A83" t="inlineStr">
        <is>
          <t>A 63366-2023</t>
        </is>
      </c>
      <c r="B83" s="1" t="n">
        <v>45274</v>
      </c>
      <c r="C83" s="1" t="n">
        <v>45929</v>
      </c>
      <c r="D83" t="inlineStr">
        <is>
          <t>KALMAR LÄN</t>
        </is>
      </c>
      <c r="E83" t="inlineStr">
        <is>
          <t>VÄSTERVIK</t>
        </is>
      </c>
      <c r="G83" t="n">
        <v>4.1</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63366-2023 artfynd.xlsx", "A 63366-2023")</f>
        <v/>
      </c>
      <c r="T83">
        <f>HYPERLINK("https://klasma.github.io/Logging_0883/kartor/A 63366-2023 karta.png", "A 63366-2023")</f>
        <v/>
      </c>
      <c r="U83">
        <f>HYPERLINK("https://klasma.github.io/Logging_0883/knärot/A 63366-2023 karta knärot.png", "A 63366-2023")</f>
        <v/>
      </c>
      <c r="V83">
        <f>HYPERLINK("https://klasma.github.io/Logging_0883/klagomål/A 63366-2023 FSC-klagomål.docx", "A 63366-2023")</f>
        <v/>
      </c>
      <c r="W83">
        <f>HYPERLINK("https://klasma.github.io/Logging_0883/klagomålsmail/A 63366-2023 FSC-klagomål mail.docx", "A 63366-2023")</f>
        <v/>
      </c>
      <c r="X83">
        <f>HYPERLINK("https://klasma.github.io/Logging_0883/tillsyn/A 63366-2023 tillsynsbegäran.docx", "A 63366-2023")</f>
        <v/>
      </c>
      <c r="Y83">
        <f>HYPERLINK("https://klasma.github.io/Logging_0883/tillsynsmail/A 63366-2023 tillsynsbegäran mail.docx", "A 63366-2023")</f>
        <v/>
      </c>
      <c r="Z83">
        <f>HYPERLINK("https://klasma.github.io/Logging_0883/fåglar/A 63366-2023 prioriterade fågelarter.docx", "A 63366-2023")</f>
        <v/>
      </c>
    </row>
    <row r="84" ht="15" customHeight="1">
      <c r="A84" t="inlineStr">
        <is>
          <t>A 9097-2021</t>
        </is>
      </c>
      <c r="B84" s="1" t="n">
        <v>44249</v>
      </c>
      <c r="C84" s="1" t="n">
        <v>45929</v>
      </c>
      <c r="D84" t="inlineStr">
        <is>
          <t>KALMAR LÄN</t>
        </is>
      </c>
      <c r="E84" t="inlineStr">
        <is>
          <t>VÄSTERVIK</t>
        </is>
      </c>
      <c r="F84" t="inlineStr">
        <is>
          <t>Sveaskog</t>
        </is>
      </c>
      <c r="G84" t="n">
        <v>1.9</v>
      </c>
      <c r="H84" t="n">
        <v>0</v>
      </c>
      <c r="I84" t="n">
        <v>1</v>
      </c>
      <c r="J84" t="n">
        <v>2</v>
      </c>
      <c r="K84" t="n">
        <v>0</v>
      </c>
      <c r="L84" t="n">
        <v>0</v>
      </c>
      <c r="M84" t="n">
        <v>0</v>
      </c>
      <c r="N84" t="n">
        <v>0</v>
      </c>
      <c r="O84" t="n">
        <v>2</v>
      </c>
      <c r="P84" t="n">
        <v>0</v>
      </c>
      <c r="Q84" t="n">
        <v>3</v>
      </c>
      <c r="R84" s="2" t="inlineStr">
        <is>
          <t>Tallticka
Vedskivlav
Vätteros</t>
        </is>
      </c>
      <c r="S84">
        <f>HYPERLINK("https://klasma.github.io/Logging_0883/artfynd/A 9097-2021 artfynd.xlsx", "A 9097-2021")</f>
        <v/>
      </c>
      <c r="T84">
        <f>HYPERLINK("https://klasma.github.io/Logging_0883/kartor/A 9097-2021 karta.png", "A 9097-2021")</f>
        <v/>
      </c>
      <c r="V84">
        <f>HYPERLINK("https://klasma.github.io/Logging_0883/klagomål/A 9097-2021 FSC-klagomål.docx", "A 9097-2021")</f>
        <v/>
      </c>
      <c r="W84">
        <f>HYPERLINK("https://klasma.github.io/Logging_0883/klagomålsmail/A 9097-2021 FSC-klagomål mail.docx", "A 9097-2021")</f>
        <v/>
      </c>
      <c r="X84">
        <f>HYPERLINK("https://klasma.github.io/Logging_0883/tillsyn/A 9097-2021 tillsynsbegäran.docx", "A 9097-2021")</f>
        <v/>
      </c>
      <c r="Y84">
        <f>HYPERLINK("https://klasma.github.io/Logging_0883/tillsynsmail/A 9097-2021 tillsynsbegäran mail.docx", "A 9097-2021")</f>
        <v/>
      </c>
    </row>
    <row r="85" ht="15" customHeight="1">
      <c r="A85" t="inlineStr">
        <is>
          <t>A 35705-2025</t>
        </is>
      </c>
      <c r="B85" s="1" t="n">
        <v>45860.36769675926</v>
      </c>
      <c r="C85" s="1" t="n">
        <v>45929</v>
      </c>
      <c r="D85" t="inlineStr">
        <is>
          <t>KALMAR LÄN</t>
        </is>
      </c>
      <c r="E85" t="inlineStr">
        <is>
          <t>VÄSTERVIK</t>
        </is>
      </c>
      <c r="G85" t="n">
        <v>2.5</v>
      </c>
      <c r="H85" t="n">
        <v>2</v>
      </c>
      <c r="I85" t="n">
        <v>1</v>
      </c>
      <c r="J85" t="n">
        <v>1</v>
      </c>
      <c r="K85" t="n">
        <v>0</v>
      </c>
      <c r="L85" t="n">
        <v>0</v>
      </c>
      <c r="M85" t="n">
        <v>0</v>
      </c>
      <c r="N85" t="n">
        <v>0</v>
      </c>
      <c r="O85" t="n">
        <v>1</v>
      </c>
      <c r="P85" t="n">
        <v>0</v>
      </c>
      <c r="Q85" t="n">
        <v>3</v>
      </c>
      <c r="R85" s="2" t="inlineStr">
        <is>
          <t>Talltita
Grovticka
Kungsfågel</t>
        </is>
      </c>
      <c r="S85">
        <f>HYPERLINK("https://klasma.github.io/Logging_0883/artfynd/A 35705-2025 artfynd.xlsx", "A 35705-2025")</f>
        <v/>
      </c>
      <c r="T85">
        <f>HYPERLINK("https://klasma.github.io/Logging_0883/kartor/A 35705-2025 karta.png", "A 35705-2025")</f>
        <v/>
      </c>
      <c r="U85">
        <f>HYPERLINK("https://klasma.github.io/Logging_0883/knärot/A 35705-2025 karta knärot.png", "A 35705-2025")</f>
        <v/>
      </c>
      <c r="V85">
        <f>HYPERLINK("https://klasma.github.io/Logging_0883/klagomål/A 35705-2025 FSC-klagomål.docx", "A 35705-2025")</f>
        <v/>
      </c>
      <c r="W85">
        <f>HYPERLINK("https://klasma.github.io/Logging_0883/klagomålsmail/A 35705-2025 FSC-klagomål mail.docx", "A 35705-2025")</f>
        <v/>
      </c>
      <c r="X85">
        <f>HYPERLINK("https://klasma.github.io/Logging_0883/tillsyn/A 35705-2025 tillsynsbegäran.docx", "A 35705-2025")</f>
        <v/>
      </c>
      <c r="Y85">
        <f>HYPERLINK("https://klasma.github.io/Logging_0883/tillsynsmail/A 35705-2025 tillsynsbegäran mail.docx", "A 35705-2025")</f>
        <v/>
      </c>
      <c r="Z85">
        <f>HYPERLINK("https://klasma.github.io/Logging_0883/fåglar/A 35705-2025 prioriterade fågelarter.docx", "A 35705-2025")</f>
        <v/>
      </c>
    </row>
    <row r="86" ht="15" customHeight="1">
      <c r="A86" t="inlineStr">
        <is>
          <t>A 13956-2025</t>
        </is>
      </c>
      <c r="B86" s="1" t="n">
        <v>45737</v>
      </c>
      <c r="C86" s="1" t="n">
        <v>45929</v>
      </c>
      <c r="D86" t="inlineStr">
        <is>
          <t>KALMAR LÄN</t>
        </is>
      </c>
      <c r="E86" t="inlineStr">
        <is>
          <t>VÄSTERVIK</t>
        </is>
      </c>
      <c r="G86" t="n">
        <v>2.5</v>
      </c>
      <c r="H86" t="n">
        <v>2</v>
      </c>
      <c r="I86" t="n">
        <v>1</v>
      </c>
      <c r="J86" t="n">
        <v>1</v>
      </c>
      <c r="K86" t="n">
        <v>1</v>
      </c>
      <c r="L86" t="n">
        <v>0</v>
      </c>
      <c r="M86" t="n">
        <v>0</v>
      </c>
      <c r="N86" t="n">
        <v>0</v>
      </c>
      <c r="O86" t="n">
        <v>2</v>
      </c>
      <c r="P86" t="n">
        <v>1</v>
      </c>
      <c r="Q86" t="n">
        <v>3</v>
      </c>
      <c r="R86" s="2" t="inlineStr">
        <is>
          <t>Knärot
Mindre hackspett
Grönpyrola</t>
        </is>
      </c>
      <c r="S86">
        <f>HYPERLINK("https://klasma.github.io/Logging_0883/artfynd/A 13956-2025 artfynd.xlsx", "A 13956-2025")</f>
        <v/>
      </c>
      <c r="T86">
        <f>HYPERLINK("https://klasma.github.io/Logging_0883/kartor/A 13956-2025 karta.png", "A 13956-2025")</f>
        <v/>
      </c>
      <c r="U86">
        <f>HYPERLINK("https://klasma.github.io/Logging_0883/knärot/A 13956-2025 karta knärot.png", "A 13956-2025")</f>
        <v/>
      </c>
      <c r="V86">
        <f>HYPERLINK("https://klasma.github.io/Logging_0883/klagomål/A 13956-2025 FSC-klagomål.docx", "A 13956-2025")</f>
        <v/>
      </c>
      <c r="W86">
        <f>HYPERLINK("https://klasma.github.io/Logging_0883/klagomålsmail/A 13956-2025 FSC-klagomål mail.docx", "A 13956-2025")</f>
        <v/>
      </c>
      <c r="X86">
        <f>HYPERLINK("https://klasma.github.io/Logging_0883/tillsyn/A 13956-2025 tillsynsbegäran.docx", "A 13956-2025")</f>
        <v/>
      </c>
      <c r="Y86">
        <f>HYPERLINK("https://klasma.github.io/Logging_0883/tillsynsmail/A 13956-2025 tillsynsbegäran mail.docx", "A 13956-2025")</f>
        <v/>
      </c>
      <c r="Z86">
        <f>HYPERLINK("https://klasma.github.io/Logging_0883/fåglar/A 13956-2025 prioriterade fågelarter.docx", "A 13956-2025")</f>
        <v/>
      </c>
    </row>
    <row r="87" ht="15" customHeight="1">
      <c r="A87" t="inlineStr">
        <is>
          <t>A 36109-2025</t>
        </is>
      </c>
      <c r="B87" s="1" t="n">
        <v>45866.56780092593</v>
      </c>
      <c r="C87" s="1" t="n">
        <v>45929</v>
      </c>
      <c r="D87" t="inlineStr">
        <is>
          <t>KALMAR LÄN</t>
        </is>
      </c>
      <c r="E87" t="inlineStr">
        <is>
          <t>VÄSTERVIK</t>
        </is>
      </c>
      <c r="G87" t="n">
        <v>12.5</v>
      </c>
      <c r="H87" t="n">
        <v>1</v>
      </c>
      <c r="I87" t="n">
        <v>2</v>
      </c>
      <c r="J87" t="n">
        <v>0</v>
      </c>
      <c r="K87" t="n">
        <v>1</v>
      </c>
      <c r="L87" t="n">
        <v>0</v>
      </c>
      <c r="M87" t="n">
        <v>0</v>
      </c>
      <c r="N87" t="n">
        <v>0</v>
      </c>
      <c r="O87" t="n">
        <v>1</v>
      </c>
      <c r="P87" t="n">
        <v>1</v>
      </c>
      <c r="Q87" t="n">
        <v>3</v>
      </c>
      <c r="R87" s="2" t="inlineStr">
        <is>
          <t>Knärot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16948-2024</t>
        </is>
      </c>
      <c r="B88" s="1" t="n">
        <v>45411</v>
      </c>
      <c r="C88" s="1" t="n">
        <v>45929</v>
      </c>
      <c r="D88" t="inlineStr">
        <is>
          <t>KALMAR LÄN</t>
        </is>
      </c>
      <c r="E88" t="inlineStr">
        <is>
          <t>VÄSTERVIK</t>
        </is>
      </c>
      <c r="G88" t="n">
        <v>13.3</v>
      </c>
      <c r="H88" t="n">
        <v>2</v>
      </c>
      <c r="I88" t="n">
        <v>0</v>
      </c>
      <c r="J88" t="n">
        <v>2</v>
      </c>
      <c r="K88" t="n">
        <v>1</v>
      </c>
      <c r="L88" t="n">
        <v>0</v>
      </c>
      <c r="M88" t="n">
        <v>0</v>
      </c>
      <c r="N88" t="n">
        <v>0</v>
      </c>
      <c r="O88" t="n">
        <v>3</v>
      </c>
      <c r="P88" t="n">
        <v>1</v>
      </c>
      <c r="Q88" t="n">
        <v>3</v>
      </c>
      <c r="R88" s="2" t="inlineStr">
        <is>
          <t>Knärot
Spillkråka
Tallticka</t>
        </is>
      </c>
      <c r="S88">
        <f>HYPERLINK("https://klasma.github.io/Logging_0883/artfynd/A 16948-2024 artfynd.xlsx", "A 16948-2024")</f>
        <v/>
      </c>
      <c r="T88">
        <f>HYPERLINK("https://klasma.github.io/Logging_0883/kartor/A 16948-2024 karta.png", "A 16948-2024")</f>
        <v/>
      </c>
      <c r="U88">
        <f>HYPERLINK("https://klasma.github.io/Logging_0883/knärot/A 16948-2024 karta knärot.png", "A 16948-2024")</f>
        <v/>
      </c>
      <c r="V88">
        <f>HYPERLINK("https://klasma.github.io/Logging_0883/klagomål/A 16948-2024 FSC-klagomål.docx", "A 16948-2024")</f>
        <v/>
      </c>
      <c r="W88">
        <f>HYPERLINK("https://klasma.github.io/Logging_0883/klagomålsmail/A 16948-2024 FSC-klagomål mail.docx", "A 16948-2024")</f>
        <v/>
      </c>
      <c r="X88">
        <f>HYPERLINK("https://klasma.github.io/Logging_0883/tillsyn/A 16948-2024 tillsynsbegäran.docx", "A 16948-2024")</f>
        <v/>
      </c>
      <c r="Y88">
        <f>HYPERLINK("https://klasma.github.io/Logging_0883/tillsynsmail/A 16948-2024 tillsynsbegäran mail.docx", "A 16948-2024")</f>
        <v/>
      </c>
      <c r="Z88">
        <f>HYPERLINK("https://klasma.github.io/Logging_0883/fåglar/A 16948-2024 prioriterade fågelarter.docx", "A 16948-2024")</f>
        <v/>
      </c>
    </row>
    <row r="89" ht="15" customHeight="1">
      <c r="A89" t="inlineStr">
        <is>
          <t>A 8620-2024</t>
        </is>
      </c>
      <c r="B89" s="1" t="n">
        <v>45355.74270833333</v>
      </c>
      <c r="C89" s="1" t="n">
        <v>45929</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2340-2025</t>
        </is>
      </c>
      <c r="B90" s="1" t="n">
        <v>45673</v>
      </c>
      <c r="C90" s="1" t="n">
        <v>45929</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12708-2023</t>
        </is>
      </c>
      <c r="B91" s="1" t="n">
        <v>45000</v>
      </c>
      <c r="C91" s="1" t="n">
        <v>45929</v>
      </c>
      <c r="D91" t="inlineStr">
        <is>
          <t>KALMAR LÄN</t>
        </is>
      </c>
      <c r="E91" t="inlineStr">
        <is>
          <t>VÄSTERVIK</t>
        </is>
      </c>
      <c r="G91" t="n">
        <v>8.6</v>
      </c>
      <c r="H91" t="n">
        <v>2</v>
      </c>
      <c r="I91" t="n">
        <v>0</v>
      </c>
      <c r="J91" t="n">
        <v>2</v>
      </c>
      <c r="K91" t="n">
        <v>1</v>
      </c>
      <c r="L91" t="n">
        <v>0</v>
      </c>
      <c r="M91" t="n">
        <v>0</v>
      </c>
      <c r="N91" t="n">
        <v>0</v>
      </c>
      <c r="O91" t="n">
        <v>3</v>
      </c>
      <c r="P91" t="n">
        <v>1</v>
      </c>
      <c r="Q91" t="n">
        <v>3</v>
      </c>
      <c r="R91" s="2" t="inlineStr">
        <is>
          <t>Knärot
Tallticka
Talltita</t>
        </is>
      </c>
      <c r="S91">
        <f>HYPERLINK("https://klasma.github.io/Logging_0883/artfynd/A 12708-2023 artfynd.xlsx", "A 12708-2023")</f>
        <v/>
      </c>
      <c r="T91">
        <f>HYPERLINK("https://klasma.github.io/Logging_0883/kartor/A 12708-2023 karta.png", "A 12708-2023")</f>
        <v/>
      </c>
      <c r="U91">
        <f>HYPERLINK("https://klasma.github.io/Logging_0883/knärot/A 12708-2023 karta knärot.png", "A 12708-2023")</f>
        <v/>
      </c>
      <c r="V91">
        <f>HYPERLINK("https://klasma.github.io/Logging_0883/klagomål/A 12708-2023 FSC-klagomål.docx", "A 12708-2023")</f>
        <v/>
      </c>
      <c r="W91">
        <f>HYPERLINK("https://klasma.github.io/Logging_0883/klagomålsmail/A 12708-2023 FSC-klagomål mail.docx", "A 12708-2023")</f>
        <v/>
      </c>
      <c r="X91">
        <f>HYPERLINK("https://klasma.github.io/Logging_0883/tillsyn/A 12708-2023 tillsynsbegäran.docx", "A 12708-2023")</f>
        <v/>
      </c>
      <c r="Y91">
        <f>HYPERLINK("https://klasma.github.io/Logging_0883/tillsynsmail/A 12708-2023 tillsynsbegäran mail.docx", "A 12708-2023")</f>
        <v/>
      </c>
      <c r="Z91">
        <f>HYPERLINK("https://klasma.github.io/Logging_0883/fåglar/A 12708-2023 prioriterade fågelarter.docx", "A 12708-2023")</f>
        <v/>
      </c>
    </row>
    <row r="92" ht="15" customHeight="1">
      <c r="A92" t="inlineStr">
        <is>
          <t>A 52992-2024</t>
        </is>
      </c>
      <c r="B92" s="1" t="n">
        <v>45611</v>
      </c>
      <c r="C92" s="1" t="n">
        <v>45929</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31854-2025</t>
        </is>
      </c>
      <c r="B93" s="1" t="n">
        <v>45834</v>
      </c>
      <c r="C93" s="1" t="n">
        <v>45929</v>
      </c>
      <c r="D93" t="inlineStr">
        <is>
          <t>KALMAR LÄN</t>
        </is>
      </c>
      <c r="E93" t="inlineStr">
        <is>
          <t>VÄSTERVIK</t>
        </is>
      </c>
      <c r="F93" t="inlineStr">
        <is>
          <t>Holmen skog AB</t>
        </is>
      </c>
      <c r="G93" t="n">
        <v>4.3</v>
      </c>
      <c r="H93" t="n">
        <v>2</v>
      </c>
      <c r="I93" t="n">
        <v>1</v>
      </c>
      <c r="J93" t="n">
        <v>1</v>
      </c>
      <c r="K93" t="n">
        <v>1</v>
      </c>
      <c r="L93" t="n">
        <v>0</v>
      </c>
      <c r="M93" t="n">
        <v>0</v>
      </c>
      <c r="N93" t="n">
        <v>0</v>
      </c>
      <c r="O93" t="n">
        <v>2</v>
      </c>
      <c r="P93" t="n">
        <v>1</v>
      </c>
      <c r="Q93" t="n">
        <v>3</v>
      </c>
      <c r="R93" s="2" t="inlineStr">
        <is>
          <t>Knärot
Talltita
Grönpyrola</t>
        </is>
      </c>
      <c r="S93">
        <f>HYPERLINK("https://klasma.github.io/Logging_0883/artfynd/A 31854-2025 artfynd.xlsx", "A 31854-2025")</f>
        <v/>
      </c>
      <c r="T93">
        <f>HYPERLINK("https://klasma.github.io/Logging_0883/kartor/A 31854-2025 karta.png", "A 31854-2025")</f>
        <v/>
      </c>
      <c r="U93">
        <f>HYPERLINK("https://klasma.github.io/Logging_0883/knärot/A 31854-2025 karta knärot.png", "A 31854-2025")</f>
        <v/>
      </c>
      <c r="V93">
        <f>HYPERLINK("https://klasma.github.io/Logging_0883/klagomål/A 31854-2025 FSC-klagomål.docx", "A 31854-2025")</f>
        <v/>
      </c>
      <c r="W93">
        <f>HYPERLINK("https://klasma.github.io/Logging_0883/klagomålsmail/A 31854-2025 FSC-klagomål mail.docx", "A 31854-2025")</f>
        <v/>
      </c>
      <c r="X93">
        <f>HYPERLINK("https://klasma.github.io/Logging_0883/tillsyn/A 31854-2025 tillsynsbegäran.docx", "A 31854-2025")</f>
        <v/>
      </c>
      <c r="Y93">
        <f>HYPERLINK("https://klasma.github.io/Logging_0883/tillsynsmail/A 31854-2025 tillsynsbegäran mail.docx", "A 31854-2025")</f>
        <v/>
      </c>
      <c r="Z93">
        <f>HYPERLINK("https://klasma.github.io/Logging_0883/fåglar/A 31854-2025 prioriterade fågelarter.docx", "A 31854-2025")</f>
        <v/>
      </c>
    </row>
    <row r="94" ht="15" customHeight="1">
      <c r="A94" t="inlineStr">
        <is>
          <t>A 48318-2024</t>
        </is>
      </c>
      <c r="B94" s="1" t="n">
        <v>45590.49690972222</v>
      </c>
      <c r="C94" s="1" t="n">
        <v>45929</v>
      </c>
      <c r="D94" t="inlineStr">
        <is>
          <t>KALMAR LÄN</t>
        </is>
      </c>
      <c r="E94" t="inlineStr">
        <is>
          <t>VÄSTERVIK</t>
        </is>
      </c>
      <c r="F94" t="inlineStr">
        <is>
          <t>Holmen skog AB</t>
        </is>
      </c>
      <c r="G94" t="n">
        <v>4</v>
      </c>
      <c r="H94" t="n">
        <v>3</v>
      </c>
      <c r="I94" t="n">
        <v>0</v>
      </c>
      <c r="J94" t="n">
        <v>3</v>
      </c>
      <c r="K94" t="n">
        <v>0</v>
      </c>
      <c r="L94" t="n">
        <v>0</v>
      </c>
      <c r="M94" t="n">
        <v>0</v>
      </c>
      <c r="N94" t="n">
        <v>0</v>
      </c>
      <c r="O94" t="n">
        <v>3</v>
      </c>
      <c r="P94" t="n">
        <v>0</v>
      </c>
      <c r="Q94" t="n">
        <v>3</v>
      </c>
      <c r="R94" s="2" t="inlineStr">
        <is>
          <t>Entita
Spillkråka
Talltita</t>
        </is>
      </c>
      <c r="S94">
        <f>HYPERLINK("https://klasma.github.io/Logging_0883/artfynd/A 48318-2024 artfynd.xlsx", "A 48318-2024")</f>
        <v/>
      </c>
      <c r="T94">
        <f>HYPERLINK("https://klasma.github.io/Logging_0883/kartor/A 48318-2024 karta.png", "A 48318-2024")</f>
        <v/>
      </c>
      <c r="U94">
        <f>HYPERLINK("https://klasma.github.io/Logging_0883/knärot/A 48318-2024 karta knärot.png", "A 48318-2024")</f>
        <v/>
      </c>
      <c r="V94">
        <f>HYPERLINK("https://klasma.github.io/Logging_0883/klagomål/A 48318-2024 FSC-klagomål.docx", "A 48318-2024")</f>
        <v/>
      </c>
      <c r="W94">
        <f>HYPERLINK("https://klasma.github.io/Logging_0883/klagomålsmail/A 48318-2024 FSC-klagomål mail.docx", "A 48318-2024")</f>
        <v/>
      </c>
      <c r="X94">
        <f>HYPERLINK("https://klasma.github.io/Logging_0883/tillsyn/A 48318-2024 tillsynsbegäran.docx", "A 48318-2024")</f>
        <v/>
      </c>
      <c r="Y94">
        <f>HYPERLINK("https://klasma.github.io/Logging_0883/tillsynsmail/A 48318-2024 tillsynsbegäran mail.docx", "A 48318-2024")</f>
        <v/>
      </c>
      <c r="Z94">
        <f>HYPERLINK("https://klasma.github.io/Logging_0883/fåglar/A 48318-2024 prioriterade fågelarter.docx", "A 48318-2024")</f>
        <v/>
      </c>
    </row>
    <row r="95" ht="15" customHeight="1">
      <c r="A95" t="inlineStr">
        <is>
          <t>A 4454-2025</t>
        </is>
      </c>
      <c r="B95" s="1" t="n">
        <v>45686</v>
      </c>
      <c r="C95" s="1" t="n">
        <v>45929</v>
      </c>
      <c r="D95" t="inlineStr">
        <is>
          <t>KALMAR LÄN</t>
        </is>
      </c>
      <c r="E95" t="inlineStr">
        <is>
          <t>VÄSTERVIK</t>
        </is>
      </c>
      <c r="G95" t="n">
        <v>1</v>
      </c>
      <c r="H95" t="n">
        <v>2</v>
      </c>
      <c r="I95" t="n">
        <v>1</v>
      </c>
      <c r="J95" t="n">
        <v>0</v>
      </c>
      <c r="K95" t="n">
        <v>1</v>
      </c>
      <c r="L95" t="n">
        <v>0</v>
      </c>
      <c r="M95" t="n">
        <v>0</v>
      </c>
      <c r="N95" t="n">
        <v>0</v>
      </c>
      <c r="O95" t="n">
        <v>1</v>
      </c>
      <c r="P95" t="n">
        <v>1</v>
      </c>
      <c r="Q95" t="n">
        <v>3</v>
      </c>
      <c r="R95" s="2" t="inlineStr">
        <is>
          <t>Knärot
Grönpyrola
Kungsfågel</t>
        </is>
      </c>
      <c r="S95">
        <f>HYPERLINK("https://klasma.github.io/Logging_0883/artfynd/A 4454-2025 artfynd.xlsx", "A 4454-2025")</f>
        <v/>
      </c>
      <c r="T95">
        <f>HYPERLINK("https://klasma.github.io/Logging_0883/kartor/A 4454-2025 karta.png", "A 4454-2025")</f>
        <v/>
      </c>
      <c r="U95">
        <f>HYPERLINK("https://klasma.github.io/Logging_0883/knärot/A 4454-2025 karta knärot.png", "A 4454-2025")</f>
        <v/>
      </c>
      <c r="V95">
        <f>HYPERLINK("https://klasma.github.io/Logging_0883/klagomål/A 4454-2025 FSC-klagomål.docx", "A 4454-2025")</f>
        <v/>
      </c>
      <c r="W95">
        <f>HYPERLINK("https://klasma.github.io/Logging_0883/klagomålsmail/A 4454-2025 FSC-klagomål mail.docx", "A 4454-2025")</f>
        <v/>
      </c>
      <c r="X95">
        <f>HYPERLINK("https://klasma.github.io/Logging_0883/tillsyn/A 4454-2025 tillsynsbegäran.docx", "A 4454-2025")</f>
        <v/>
      </c>
      <c r="Y95">
        <f>HYPERLINK("https://klasma.github.io/Logging_0883/tillsynsmail/A 4454-2025 tillsynsbegäran mail.docx", "A 4454-2025")</f>
        <v/>
      </c>
      <c r="Z95">
        <f>HYPERLINK("https://klasma.github.io/Logging_0883/fåglar/A 4454-2025 prioriterade fågelarter.docx", "A 4454-2025")</f>
        <v/>
      </c>
    </row>
    <row r="96" ht="15" customHeight="1">
      <c r="A96" t="inlineStr">
        <is>
          <t>A 27700-2024</t>
        </is>
      </c>
      <c r="B96" s="1" t="n">
        <v>45475.35597222222</v>
      </c>
      <c r="C96" s="1" t="n">
        <v>45929</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39190-2024</t>
        </is>
      </c>
      <c r="B97" s="1" t="n">
        <v>45548</v>
      </c>
      <c r="C97" s="1" t="n">
        <v>45929</v>
      </c>
      <c r="D97" t="inlineStr">
        <is>
          <t>KALMAR LÄN</t>
        </is>
      </c>
      <c r="E97" t="inlineStr">
        <is>
          <t>VÄSTERVIK</t>
        </is>
      </c>
      <c r="G97" t="n">
        <v>1.7</v>
      </c>
      <c r="H97" t="n">
        <v>2</v>
      </c>
      <c r="I97" t="n">
        <v>0</v>
      </c>
      <c r="J97" t="n">
        <v>2</v>
      </c>
      <c r="K97" t="n">
        <v>1</v>
      </c>
      <c r="L97" t="n">
        <v>0</v>
      </c>
      <c r="M97" t="n">
        <v>0</v>
      </c>
      <c r="N97" t="n">
        <v>0</v>
      </c>
      <c r="O97" t="n">
        <v>3</v>
      </c>
      <c r="P97" t="n">
        <v>1</v>
      </c>
      <c r="Q97" t="n">
        <v>3</v>
      </c>
      <c r="R97" s="2" t="inlineStr">
        <is>
          <t>Knärot
Svart taggsvamp
Talltita</t>
        </is>
      </c>
      <c r="S97">
        <f>HYPERLINK("https://klasma.github.io/Logging_0883/artfynd/A 39190-2024 artfynd.xlsx", "A 39190-2024")</f>
        <v/>
      </c>
      <c r="T97">
        <f>HYPERLINK("https://klasma.github.io/Logging_0883/kartor/A 39190-2024 karta.png", "A 39190-2024")</f>
        <v/>
      </c>
      <c r="U97">
        <f>HYPERLINK("https://klasma.github.io/Logging_0883/knärot/A 39190-2024 karta knärot.png", "A 39190-2024")</f>
        <v/>
      </c>
      <c r="V97">
        <f>HYPERLINK("https://klasma.github.io/Logging_0883/klagomål/A 39190-2024 FSC-klagomål.docx", "A 39190-2024")</f>
        <v/>
      </c>
      <c r="W97">
        <f>HYPERLINK("https://klasma.github.io/Logging_0883/klagomålsmail/A 39190-2024 FSC-klagomål mail.docx", "A 39190-2024")</f>
        <v/>
      </c>
      <c r="X97">
        <f>HYPERLINK("https://klasma.github.io/Logging_0883/tillsyn/A 39190-2024 tillsynsbegäran.docx", "A 39190-2024")</f>
        <v/>
      </c>
      <c r="Y97">
        <f>HYPERLINK("https://klasma.github.io/Logging_0883/tillsynsmail/A 39190-2024 tillsynsbegäran mail.docx", "A 39190-2024")</f>
        <v/>
      </c>
      <c r="Z97">
        <f>HYPERLINK("https://klasma.github.io/Logging_0883/fåglar/A 39190-2024 prioriterade fågelarter.docx", "A 39190-2024")</f>
        <v/>
      </c>
    </row>
    <row r="98" ht="15" customHeight="1">
      <c r="A98" t="inlineStr">
        <is>
          <t>A 804-2023</t>
        </is>
      </c>
      <c r="B98" s="1" t="n">
        <v>44931</v>
      </c>
      <c r="C98" s="1" t="n">
        <v>45929</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42353-2023</t>
        </is>
      </c>
      <c r="B99" s="1" t="n">
        <v>45180</v>
      </c>
      <c r="C99" s="1" t="n">
        <v>45929</v>
      </c>
      <c r="D99" t="inlineStr">
        <is>
          <t>KALMAR LÄN</t>
        </is>
      </c>
      <c r="E99" t="inlineStr">
        <is>
          <t>VÄSTERVIK</t>
        </is>
      </c>
      <c r="G99" t="n">
        <v>11.3</v>
      </c>
      <c r="H99" t="n">
        <v>1</v>
      </c>
      <c r="I99" t="n">
        <v>1</v>
      </c>
      <c r="J99" t="n">
        <v>1</v>
      </c>
      <c r="K99" t="n">
        <v>1</v>
      </c>
      <c r="L99" t="n">
        <v>0</v>
      </c>
      <c r="M99" t="n">
        <v>0</v>
      </c>
      <c r="N99" t="n">
        <v>0</v>
      </c>
      <c r="O99" t="n">
        <v>2</v>
      </c>
      <c r="P99" t="n">
        <v>1</v>
      </c>
      <c r="Q99" t="n">
        <v>3</v>
      </c>
      <c r="R99" s="2" t="inlineStr">
        <is>
          <t>Knärot
Tallticka
Blomkålssvamp</t>
        </is>
      </c>
      <c r="S99">
        <f>HYPERLINK("https://klasma.github.io/Logging_0883/artfynd/A 42353-2023 artfynd.xlsx", "A 42353-2023")</f>
        <v/>
      </c>
      <c r="T99">
        <f>HYPERLINK("https://klasma.github.io/Logging_0883/kartor/A 42353-2023 karta.png", "A 42353-2023")</f>
        <v/>
      </c>
      <c r="U99">
        <f>HYPERLINK("https://klasma.github.io/Logging_0883/knärot/A 42353-2023 karta knärot.png", "A 42353-2023")</f>
        <v/>
      </c>
      <c r="V99">
        <f>HYPERLINK("https://klasma.github.io/Logging_0883/klagomål/A 42353-2023 FSC-klagomål.docx", "A 42353-2023")</f>
        <v/>
      </c>
      <c r="W99">
        <f>HYPERLINK("https://klasma.github.io/Logging_0883/klagomålsmail/A 42353-2023 FSC-klagomål mail.docx", "A 42353-2023")</f>
        <v/>
      </c>
      <c r="X99">
        <f>HYPERLINK("https://klasma.github.io/Logging_0883/tillsyn/A 42353-2023 tillsynsbegäran.docx", "A 42353-2023")</f>
        <v/>
      </c>
      <c r="Y99">
        <f>HYPERLINK("https://klasma.github.io/Logging_0883/tillsynsmail/A 42353-2023 tillsynsbegäran mail.docx", "A 42353-2023")</f>
        <v/>
      </c>
    </row>
    <row r="100" ht="15" customHeight="1">
      <c r="A100" t="inlineStr">
        <is>
          <t>A 21084-2025</t>
        </is>
      </c>
      <c r="B100" s="1" t="n">
        <v>45777.6084837963</v>
      </c>
      <c r="C100" s="1" t="n">
        <v>45929</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Grönpyrola</t>
        </is>
      </c>
      <c r="S100">
        <f>HYPERLINK("https://klasma.github.io/Logging_0883/artfynd/A 21084-2025 artfynd.xlsx", "A 21084-2025")</f>
        <v/>
      </c>
      <c r="T100">
        <f>HYPERLINK("https://klasma.github.io/Logging_0883/kartor/A 21084-2025 karta.png", "A 21084-2025")</f>
        <v/>
      </c>
      <c r="V100">
        <f>HYPERLINK("https://klasma.github.io/Logging_0883/klagomål/A 21084-2025 FSC-klagomål.docx", "A 21084-2025")</f>
        <v/>
      </c>
      <c r="W100">
        <f>HYPERLINK("https://klasma.github.io/Logging_0883/klagomålsmail/A 21084-2025 FSC-klagomål mail.docx", "A 21084-2025")</f>
        <v/>
      </c>
      <c r="X100">
        <f>HYPERLINK("https://klasma.github.io/Logging_0883/tillsyn/A 21084-2025 tillsynsbegäran.docx", "A 21084-2025")</f>
        <v/>
      </c>
      <c r="Y100">
        <f>HYPERLINK("https://klasma.github.io/Logging_0883/tillsynsmail/A 21084-2025 tillsynsbegäran mail.docx", "A 21084-2025")</f>
        <v/>
      </c>
      <c r="Z100">
        <f>HYPERLINK("https://klasma.github.io/Logging_0883/fåglar/A 21084-2025 prioriterade fågelarter.docx", "A 21084-2025")</f>
        <v/>
      </c>
    </row>
    <row r="101" ht="15" customHeight="1">
      <c r="A101" t="inlineStr">
        <is>
          <t>A 58750-2024</t>
        </is>
      </c>
      <c r="B101" s="1" t="n">
        <v>45635.71747685185</v>
      </c>
      <c r="C101" s="1" t="n">
        <v>45929</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55506-2022</t>
        </is>
      </c>
      <c r="B102" s="1" t="n">
        <v>44887</v>
      </c>
      <c r="C102" s="1" t="n">
        <v>45929</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1763-2025</t>
        </is>
      </c>
      <c r="B103" s="1" t="n">
        <v>45671</v>
      </c>
      <c r="C103" s="1" t="n">
        <v>45929</v>
      </c>
      <c r="D103" t="inlineStr">
        <is>
          <t>KALMAR LÄN</t>
        </is>
      </c>
      <c r="E103" t="inlineStr">
        <is>
          <t>VÄSTERVIK</t>
        </is>
      </c>
      <c r="G103" t="n">
        <v>1.1</v>
      </c>
      <c r="H103" t="n">
        <v>2</v>
      </c>
      <c r="I103" t="n">
        <v>1</v>
      </c>
      <c r="J103" t="n">
        <v>2</v>
      </c>
      <c r="K103" t="n">
        <v>0</v>
      </c>
      <c r="L103" t="n">
        <v>0</v>
      </c>
      <c r="M103" t="n">
        <v>0</v>
      </c>
      <c r="N103" t="n">
        <v>0</v>
      </c>
      <c r="O103" t="n">
        <v>2</v>
      </c>
      <c r="P103" t="n">
        <v>0</v>
      </c>
      <c r="Q103" t="n">
        <v>3</v>
      </c>
      <c r="R103" s="2" t="inlineStr">
        <is>
          <t>Spillkråka
Talltita
Blåmossa</t>
        </is>
      </c>
      <c r="S103">
        <f>HYPERLINK("https://klasma.github.io/Logging_0883/artfynd/A 1763-2025 artfynd.xlsx", "A 1763-2025")</f>
        <v/>
      </c>
      <c r="T103">
        <f>HYPERLINK("https://klasma.github.io/Logging_0883/kartor/A 1763-2025 karta.png", "A 1763-2025")</f>
        <v/>
      </c>
      <c r="V103">
        <f>HYPERLINK("https://klasma.github.io/Logging_0883/klagomål/A 1763-2025 FSC-klagomål.docx", "A 1763-2025")</f>
        <v/>
      </c>
      <c r="W103">
        <f>HYPERLINK("https://klasma.github.io/Logging_0883/klagomålsmail/A 1763-2025 FSC-klagomål mail.docx", "A 1763-2025")</f>
        <v/>
      </c>
      <c r="X103">
        <f>HYPERLINK("https://klasma.github.io/Logging_0883/tillsyn/A 1763-2025 tillsynsbegäran.docx", "A 1763-2025")</f>
        <v/>
      </c>
      <c r="Y103">
        <f>HYPERLINK("https://klasma.github.io/Logging_0883/tillsynsmail/A 1763-2025 tillsynsbegäran mail.docx", "A 1763-2025")</f>
        <v/>
      </c>
      <c r="Z103">
        <f>HYPERLINK("https://klasma.github.io/Logging_0883/fåglar/A 1763-2025 prioriterade fågelarter.docx", "A 1763-2025")</f>
        <v/>
      </c>
    </row>
    <row r="104" ht="15" customHeight="1">
      <c r="A104" t="inlineStr">
        <is>
          <t>A 1764-2025</t>
        </is>
      </c>
      <c r="B104" s="1" t="n">
        <v>45671</v>
      </c>
      <c r="C104" s="1" t="n">
        <v>45929</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27067-2024</t>
        </is>
      </c>
      <c r="B105" s="1" t="n">
        <v>45471</v>
      </c>
      <c r="C105" s="1" t="n">
        <v>45929</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21658-2025</t>
        </is>
      </c>
      <c r="B106" s="1" t="n">
        <v>45783.45474537037</v>
      </c>
      <c r="C106" s="1" t="n">
        <v>45929</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51590-2024</t>
        </is>
      </c>
      <c r="B107" s="1" t="n">
        <v>45604</v>
      </c>
      <c r="C107" s="1" t="n">
        <v>45929</v>
      </c>
      <c r="D107" t="inlineStr">
        <is>
          <t>KALMAR LÄN</t>
        </is>
      </c>
      <c r="E107" t="inlineStr">
        <is>
          <t>VÄSTERVIK</t>
        </is>
      </c>
      <c r="F107" t="inlineStr">
        <is>
          <t>Övriga Aktiebolag</t>
        </is>
      </c>
      <c r="G107" t="n">
        <v>2.3</v>
      </c>
      <c r="H107" t="n">
        <v>3</v>
      </c>
      <c r="I107" t="n">
        <v>0</v>
      </c>
      <c r="J107" t="n">
        <v>2</v>
      </c>
      <c r="K107" t="n">
        <v>1</v>
      </c>
      <c r="L107" t="n">
        <v>0</v>
      </c>
      <c r="M107" t="n">
        <v>0</v>
      </c>
      <c r="N107" t="n">
        <v>0</v>
      </c>
      <c r="O107" t="n">
        <v>3</v>
      </c>
      <c r="P107" t="n">
        <v>1</v>
      </c>
      <c r="Q107" t="n">
        <v>3</v>
      </c>
      <c r="R107" s="2" t="inlineStr">
        <is>
          <t>Knärot
Spillkråka
Talltita</t>
        </is>
      </c>
      <c r="S107">
        <f>HYPERLINK("https://klasma.github.io/Logging_0883/artfynd/A 51590-2024 artfynd.xlsx", "A 51590-2024")</f>
        <v/>
      </c>
      <c r="T107">
        <f>HYPERLINK("https://klasma.github.io/Logging_0883/kartor/A 51590-2024 karta.png", "A 51590-2024")</f>
        <v/>
      </c>
      <c r="U107">
        <f>HYPERLINK("https://klasma.github.io/Logging_0883/knärot/A 51590-2024 karta knärot.png", "A 51590-2024")</f>
        <v/>
      </c>
      <c r="V107">
        <f>HYPERLINK("https://klasma.github.io/Logging_0883/klagomål/A 51590-2024 FSC-klagomål.docx", "A 51590-2024")</f>
        <v/>
      </c>
      <c r="W107">
        <f>HYPERLINK("https://klasma.github.io/Logging_0883/klagomålsmail/A 51590-2024 FSC-klagomål mail.docx", "A 51590-2024")</f>
        <v/>
      </c>
      <c r="X107">
        <f>HYPERLINK("https://klasma.github.io/Logging_0883/tillsyn/A 51590-2024 tillsynsbegäran.docx", "A 51590-2024")</f>
        <v/>
      </c>
      <c r="Y107">
        <f>HYPERLINK("https://klasma.github.io/Logging_0883/tillsynsmail/A 51590-2024 tillsynsbegäran mail.docx", "A 51590-2024")</f>
        <v/>
      </c>
      <c r="Z107">
        <f>HYPERLINK("https://klasma.github.io/Logging_0883/fåglar/A 51590-2024 prioriterade fågelarter.docx", "A 51590-2024")</f>
        <v/>
      </c>
    </row>
    <row r="108" ht="15" customHeight="1">
      <c r="A108" t="inlineStr">
        <is>
          <t>A 2657-2024</t>
        </is>
      </c>
      <c r="B108" s="1" t="n">
        <v>45314</v>
      </c>
      <c r="C108" s="1" t="n">
        <v>45929</v>
      </c>
      <c r="D108" t="inlineStr">
        <is>
          <t>KALMAR LÄN</t>
        </is>
      </c>
      <c r="E108" t="inlineStr">
        <is>
          <t>VÄSTERVIK</t>
        </is>
      </c>
      <c r="G108" t="n">
        <v>5.9</v>
      </c>
      <c r="H108" t="n">
        <v>2</v>
      </c>
      <c r="I108" t="n">
        <v>1</v>
      </c>
      <c r="J108" t="n">
        <v>1</v>
      </c>
      <c r="K108" t="n">
        <v>1</v>
      </c>
      <c r="L108" t="n">
        <v>0</v>
      </c>
      <c r="M108" t="n">
        <v>0</v>
      </c>
      <c r="N108" t="n">
        <v>0</v>
      </c>
      <c r="O108" t="n">
        <v>2</v>
      </c>
      <c r="P108" t="n">
        <v>1</v>
      </c>
      <c r="Q108" t="n">
        <v>3</v>
      </c>
      <c r="R108" s="2" t="inlineStr">
        <is>
          <t>Knärot
Spillkråka
Grönpyrola</t>
        </is>
      </c>
      <c r="S108">
        <f>HYPERLINK("https://klasma.github.io/Logging_0883/artfynd/A 2657-2024 artfynd.xlsx", "A 2657-2024")</f>
        <v/>
      </c>
      <c r="T108">
        <f>HYPERLINK("https://klasma.github.io/Logging_0883/kartor/A 2657-2024 karta.png", "A 2657-2024")</f>
        <v/>
      </c>
      <c r="U108">
        <f>HYPERLINK("https://klasma.github.io/Logging_0883/knärot/A 2657-2024 karta knärot.png", "A 2657-2024")</f>
        <v/>
      </c>
      <c r="V108">
        <f>HYPERLINK("https://klasma.github.io/Logging_0883/klagomål/A 2657-2024 FSC-klagomål.docx", "A 2657-2024")</f>
        <v/>
      </c>
      <c r="W108">
        <f>HYPERLINK("https://klasma.github.io/Logging_0883/klagomålsmail/A 2657-2024 FSC-klagomål mail.docx", "A 2657-2024")</f>
        <v/>
      </c>
      <c r="X108">
        <f>HYPERLINK("https://klasma.github.io/Logging_0883/tillsyn/A 2657-2024 tillsynsbegäran.docx", "A 2657-2024")</f>
        <v/>
      </c>
      <c r="Y108">
        <f>HYPERLINK("https://klasma.github.io/Logging_0883/tillsynsmail/A 2657-2024 tillsynsbegäran mail.docx", "A 2657-2024")</f>
        <v/>
      </c>
      <c r="Z108">
        <f>HYPERLINK("https://klasma.github.io/Logging_0883/fåglar/A 2657-2024 prioriterade fågelarter.docx", "A 2657-2024")</f>
        <v/>
      </c>
    </row>
    <row r="109" ht="15" customHeight="1">
      <c r="A109" t="inlineStr">
        <is>
          <t>A 15595-2021</t>
        </is>
      </c>
      <c r="B109" s="1" t="n">
        <v>44285.66680555556</v>
      </c>
      <c r="C109" s="1" t="n">
        <v>45929</v>
      </c>
      <c r="D109" t="inlineStr">
        <is>
          <t>KALMAR LÄN</t>
        </is>
      </c>
      <c r="E109" t="inlineStr">
        <is>
          <t>VÄSTERVIK</t>
        </is>
      </c>
      <c r="G109" t="n">
        <v>0.6</v>
      </c>
      <c r="H109" t="n">
        <v>1</v>
      </c>
      <c r="I109" t="n">
        <v>0</v>
      </c>
      <c r="J109" t="n">
        <v>2</v>
      </c>
      <c r="K109" t="n">
        <v>0</v>
      </c>
      <c r="L109" t="n">
        <v>0</v>
      </c>
      <c r="M109" t="n">
        <v>0</v>
      </c>
      <c r="N109" t="n">
        <v>0</v>
      </c>
      <c r="O109" t="n">
        <v>2</v>
      </c>
      <c r="P109" t="n">
        <v>0</v>
      </c>
      <c r="Q109" t="n">
        <v>2</v>
      </c>
      <c r="R109" s="2" t="inlineStr">
        <is>
          <t>Spillkråka
Spindelört</t>
        </is>
      </c>
      <c r="S109">
        <f>HYPERLINK("https://klasma.github.io/Logging_0883/artfynd/A 15595-2021 artfynd.xlsx", "A 15595-2021")</f>
        <v/>
      </c>
      <c r="T109">
        <f>HYPERLINK("https://klasma.github.io/Logging_0883/kartor/A 15595-2021 karta.png", "A 15595-2021")</f>
        <v/>
      </c>
      <c r="V109">
        <f>HYPERLINK("https://klasma.github.io/Logging_0883/klagomål/A 15595-2021 FSC-klagomål.docx", "A 15595-2021")</f>
        <v/>
      </c>
      <c r="W109">
        <f>HYPERLINK("https://klasma.github.io/Logging_0883/klagomålsmail/A 15595-2021 FSC-klagomål mail.docx", "A 15595-2021")</f>
        <v/>
      </c>
      <c r="X109">
        <f>HYPERLINK("https://klasma.github.io/Logging_0883/tillsyn/A 15595-2021 tillsynsbegäran.docx", "A 15595-2021")</f>
        <v/>
      </c>
      <c r="Y109">
        <f>HYPERLINK("https://klasma.github.io/Logging_0883/tillsynsmail/A 15595-2021 tillsynsbegäran mail.docx", "A 15595-2021")</f>
        <v/>
      </c>
      <c r="Z109">
        <f>HYPERLINK("https://klasma.github.io/Logging_0883/fåglar/A 15595-2021 prioriterade fågelarter.docx", "A 15595-2021")</f>
        <v/>
      </c>
    </row>
    <row r="110" ht="15" customHeight="1">
      <c r="A110" t="inlineStr">
        <is>
          <t>A 3658-2024</t>
        </is>
      </c>
      <c r="B110" s="1" t="n">
        <v>45321</v>
      </c>
      <c r="C110" s="1" t="n">
        <v>45929</v>
      </c>
      <c r="D110" t="inlineStr">
        <is>
          <t>KALMAR LÄN</t>
        </is>
      </c>
      <c r="E110" t="inlineStr">
        <is>
          <t>VÄSTERVIK</t>
        </is>
      </c>
      <c r="G110" t="n">
        <v>2.6</v>
      </c>
      <c r="H110" t="n">
        <v>1</v>
      </c>
      <c r="I110" t="n">
        <v>0</v>
      </c>
      <c r="J110" t="n">
        <v>1</v>
      </c>
      <c r="K110" t="n">
        <v>1</v>
      </c>
      <c r="L110" t="n">
        <v>0</v>
      </c>
      <c r="M110" t="n">
        <v>0</v>
      </c>
      <c r="N110" t="n">
        <v>0</v>
      </c>
      <c r="O110" t="n">
        <v>2</v>
      </c>
      <c r="P110" t="n">
        <v>1</v>
      </c>
      <c r="Q110" t="n">
        <v>2</v>
      </c>
      <c r="R110" s="2" t="inlineStr">
        <is>
          <t>Knärot
Tallticka</t>
        </is>
      </c>
      <c r="S110">
        <f>HYPERLINK("https://klasma.github.io/Logging_0883/artfynd/A 3658-2024 artfynd.xlsx", "A 3658-2024")</f>
        <v/>
      </c>
      <c r="T110">
        <f>HYPERLINK("https://klasma.github.io/Logging_0883/kartor/A 3658-2024 karta.png", "A 3658-2024")</f>
        <v/>
      </c>
      <c r="U110">
        <f>HYPERLINK("https://klasma.github.io/Logging_0883/knärot/A 3658-2024 karta knärot.png", "A 3658-2024")</f>
        <v/>
      </c>
      <c r="V110">
        <f>HYPERLINK("https://klasma.github.io/Logging_0883/klagomål/A 3658-2024 FSC-klagomål.docx", "A 3658-2024")</f>
        <v/>
      </c>
      <c r="W110">
        <f>HYPERLINK("https://klasma.github.io/Logging_0883/klagomålsmail/A 3658-2024 FSC-klagomål mail.docx", "A 3658-2024")</f>
        <v/>
      </c>
      <c r="X110">
        <f>HYPERLINK("https://klasma.github.io/Logging_0883/tillsyn/A 3658-2024 tillsynsbegäran.docx", "A 3658-2024")</f>
        <v/>
      </c>
      <c r="Y110">
        <f>HYPERLINK("https://klasma.github.io/Logging_0883/tillsynsmail/A 3658-2024 tillsynsbegäran mail.docx", "A 3658-2024")</f>
        <v/>
      </c>
    </row>
    <row r="111" ht="15" customHeight="1">
      <c r="A111" t="inlineStr">
        <is>
          <t>A 11849-2024</t>
        </is>
      </c>
      <c r="B111" s="1" t="n">
        <v>45376.41797453703</v>
      </c>
      <c r="C111" s="1" t="n">
        <v>45929</v>
      </c>
      <c r="D111" t="inlineStr">
        <is>
          <t>KALMAR LÄN</t>
        </is>
      </c>
      <c r="E111" t="inlineStr">
        <is>
          <t>VÄSTERVIK</t>
        </is>
      </c>
      <c r="F111" t="inlineStr">
        <is>
          <t>Sveaskog</t>
        </is>
      </c>
      <c r="G111" t="n">
        <v>5.3</v>
      </c>
      <c r="H111" t="n">
        <v>2</v>
      </c>
      <c r="I111" t="n">
        <v>0</v>
      </c>
      <c r="J111" t="n">
        <v>0</v>
      </c>
      <c r="K111" t="n">
        <v>0</v>
      </c>
      <c r="L111" t="n">
        <v>0</v>
      </c>
      <c r="M111" t="n">
        <v>0</v>
      </c>
      <c r="N111" t="n">
        <v>0</v>
      </c>
      <c r="O111" t="n">
        <v>0</v>
      </c>
      <c r="P111" t="n">
        <v>0</v>
      </c>
      <c r="Q111" t="n">
        <v>2</v>
      </c>
      <c r="R111" s="2" t="inlineStr">
        <is>
          <t>Mattlummer
Revlummer</t>
        </is>
      </c>
      <c r="S111">
        <f>HYPERLINK("https://klasma.github.io/Logging_0883/artfynd/A 11849-2024 artfynd.xlsx", "A 11849-2024")</f>
        <v/>
      </c>
      <c r="T111">
        <f>HYPERLINK("https://klasma.github.io/Logging_0883/kartor/A 11849-2024 karta.png", "A 11849-2024")</f>
        <v/>
      </c>
      <c r="V111">
        <f>HYPERLINK("https://klasma.github.io/Logging_0883/klagomål/A 11849-2024 FSC-klagomål.docx", "A 11849-2024")</f>
        <v/>
      </c>
      <c r="W111">
        <f>HYPERLINK("https://klasma.github.io/Logging_0883/klagomålsmail/A 11849-2024 FSC-klagomål mail.docx", "A 11849-2024")</f>
        <v/>
      </c>
      <c r="X111">
        <f>HYPERLINK("https://klasma.github.io/Logging_0883/tillsyn/A 11849-2024 tillsynsbegäran.docx", "A 11849-2024")</f>
        <v/>
      </c>
      <c r="Y111">
        <f>HYPERLINK("https://klasma.github.io/Logging_0883/tillsynsmail/A 11849-2024 tillsynsbegäran mail.docx", "A 11849-2024")</f>
        <v/>
      </c>
    </row>
    <row r="112" ht="15" customHeight="1">
      <c r="A112" t="inlineStr">
        <is>
          <t>A 12212-2024</t>
        </is>
      </c>
      <c r="B112" s="1" t="n">
        <v>45378.31111111111</v>
      </c>
      <c r="C112" s="1" t="n">
        <v>45929</v>
      </c>
      <c r="D112" t="inlineStr">
        <is>
          <t>KALMAR LÄN</t>
        </is>
      </c>
      <c r="E112" t="inlineStr">
        <is>
          <t>VÄSTERVIK</t>
        </is>
      </c>
      <c r="G112" t="n">
        <v>0.8</v>
      </c>
      <c r="H112" t="n">
        <v>2</v>
      </c>
      <c r="I112" t="n">
        <v>0</v>
      </c>
      <c r="J112" t="n">
        <v>2</v>
      </c>
      <c r="K112" t="n">
        <v>0</v>
      </c>
      <c r="L112" t="n">
        <v>0</v>
      </c>
      <c r="M112" t="n">
        <v>0</v>
      </c>
      <c r="N112" t="n">
        <v>0</v>
      </c>
      <c r="O112" t="n">
        <v>2</v>
      </c>
      <c r="P112" t="n">
        <v>0</v>
      </c>
      <c r="Q112" t="n">
        <v>2</v>
      </c>
      <c r="R112" s="2" t="inlineStr">
        <is>
          <t>Spillkråka
Talltita</t>
        </is>
      </c>
      <c r="S112">
        <f>HYPERLINK("https://klasma.github.io/Logging_0883/artfynd/A 12212-2024 artfynd.xlsx", "A 12212-2024")</f>
        <v/>
      </c>
      <c r="T112">
        <f>HYPERLINK("https://klasma.github.io/Logging_0883/kartor/A 12212-2024 karta.png", "A 12212-2024")</f>
        <v/>
      </c>
      <c r="V112">
        <f>HYPERLINK("https://klasma.github.io/Logging_0883/klagomål/A 12212-2024 FSC-klagomål.docx", "A 12212-2024")</f>
        <v/>
      </c>
      <c r="W112">
        <f>HYPERLINK("https://klasma.github.io/Logging_0883/klagomålsmail/A 12212-2024 FSC-klagomål mail.docx", "A 12212-2024")</f>
        <v/>
      </c>
      <c r="X112">
        <f>HYPERLINK("https://klasma.github.io/Logging_0883/tillsyn/A 12212-2024 tillsynsbegäran.docx", "A 12212-2024")</f>
        <v/>
      </c>
      <c r="Y112">
        <f>HYPERLINK("https://klasma.github.io/Logging_0883/tillsynsmail/A 12212-2024 tillsynsbegäran mail.docx", "A 12212-2024")</f>
        <v/>
      </c>
      <c r="Z112">
        <f>HYPERLINK("https://klasma.github.io/Logging_0883/fåglar/A 12212-2024 prioriterade fågelarter.docx", "A 12212-2024")</f>
        <v/>
      </c>
    </row>
    <row r="113" ht="15" customHeight="1">
      <c r="A113" t="inlineStr">
        <is>
          <t>A 46552-2022</t>
        </is>
      </c>
      <c r="B113" s="1" t="n">
        <v>44848</v>
      </c>
      <c r="C113" s="1" t="n">
        <v>45929</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53769-2021</t>
        </is>
      </c>
      <c r="B114" s="1" t="n">
        <v>44467</v>
      </c>
      <c r="C114" s="1" t="n">
        <v>45929</v>
      </c>
      <c r="D114" t="inlineStr">
        <is>
          <t>KALMAR LÄN</t>
        </is>
      </c>
      <c r="E114" t="inlineStr">
        <is>
          <t>VÄSTERVIK</t>
        </is>
      </c>
      <c r="G114" t="n">
        <v>2.2</v>
      </c>
      <c r="H114" t="n">
        <v>1</v>
      </c>
      <c r="I114" t="n">
        <v>2</v>
      </c>
      <c r="J114" t="n">
        <v>0</v>
      </c>
      <c r="K114" t="n">
        <v>0</v>
      </c>
      <c r="L114" t="n">
        <v>0</v>
      </c>
      <c r="M114" t="n">
        <v>0</v>
      </c>
      <c r="N114" t="n">
        <v>0</v>
      </c>
      <c r="O114" t="n">
        <v>0</v>
      </c>
      <c r="P114" t="n">
        <v>0</v>
      </c>
      <c r="Q114" t="n">
        <v>2</v>
      </c>
      <c r="R114" s="2" t="inlineStr">
        <is>
          <t>Grön sköldmossa
Stubbspretmossa</t>
        </is>
      </c>
      <c r="S114">
        <f>HYPERLINK("https://klasma.github.io/Logging_0883/artfynd/A 53769-2021 artfynd.xlsx", "A 53769-2021")</f>
        <v/>
      </c>
      <c r="T114">
        <f>HYPERLINK("https://klasma.github.io/Logging_0883/kartor/A 53769-2021 karta.png", "A 53769-2021")</f>
        <v/>
      </c>
      <c r="V114">
        <f>HYPERLINK("https://klasma.github.io/Logging_0883/klagomål/A 53769-2021 FSC-klagomål.docx", "A 53769-2021")</f>
        <v/>
      </c>
      <c r="W114">
        <f>HYPERLINK("https://klasma.github.io/Logging_0883/klagomålsmail/A 53769-2021 FSC-klagomål mail.docx", "A 53769-2021")</f>
        <v/>
      </c>
      <c r="X114">
        <f>HYPERLINK("https://klasma.github.io/Logging_0883/tillsyn/A 53769-2021 tillsynsbegäran.docx", "A 53769-2021")</f>
        <v/>
      </c>
      <c r="Y114">
        <f>HYPERLINK("https://klasma.github.io/Logging_0883/tillsynsmail/A 53769-2021 tillsynsbegäran mail.docx", "A 53769-2021")</f>
        <v/>
      </c>
    </row>
    <row r="115" ht="15" customHeight="1">
      <c r="A115" t="inlineStr">
        <is>
          <t>A 59940-2021</t>
        </is>
      </c>
      <c r="B115" s="1" t="n">
        <v>44494</v>
      </c>
      <c r="C115" s="1" t="n">
        <v>45929</v>
      </c>
      <c r="D115" t="inlineStr">
        <is>
          <t>KALMAR LÄN</t>
        </is>
      </c>
      <c r="E115" t="inlineStr">
        <is>
          <t>VÄSTERVIK</t>
        </is>
      </c>
      <c r="G115" t="n">
        <v>4.3</v>
      </c>
      <c r="H115" t="n">
        <v>1</v>
      </c>
      <c r="I115" t="n">
        <v>1</v>
      </c>
      <c r="J115" t="n">
        <v>0</v>
      </c>
      <c r="K115" t="n">
        <v>1</v>
      </c>
      <c r="L115" t="n">
        <v>0</v>
      </c>
      <c r="M115" t="n">
        <v>0</v>
      </c>
      <c r="N115" t="n">
        <v>0</v>
      </c>
      <c r="O115" t="n">
        <v>1</v>
      </c>
      <c r="P115" t="n">
        <v>1</v>
      </c>
      <c r="Q115" t="n">
        <v>2</v>
      </c>
      <c r="R115" s="2" t="inlineStr">
        <is>
          <t>Knärot
Grönpyrola</t>
        </is>
      </c>
      <c r="S115">
        <f>HYPERLINK("https://klasma.github.io/Logging_0883/artfynd/A 59940-2021 artfynd.xlsx", "A 59940-2021")</f>
        <v/>
      </c>
      <c r="T115">
        <f>HYPERLINK("https://klasma.github.io/Logging_0883/kartor/A 59940-2021 karta.png", "A 59940-2021")</f>
        <v/>
      </c>
      <c r="U115">
        <f>HYPERLINK("https://klasma.github.io/Logging_0883/knärot/A 59940-2021 karta knärot.png", "A 59940-2021")</f>
        <v/>
      </c>
      <c r="V115">
        <f>HYPERLINK("https://klasma.github.io/Logging_0883/klagomål/A 59940-2021 FSC-klagomål.docx", "A 59940-2021")</f>
        <v/>
      </c>
      <c r="W115">
        <f>HYPERLINK("https://klasma.github.io/Logging_0883/klagomålsmail/A 59940-2021 FSC-klagomål mail.docx", "A 59940-2021")</f>
        <v/>
      </c>
      <c r="X115">
        <f>HYPERLINK("https://klasma.github.io/Logging_0883/tillsyn/A 59940-2021 tillsynsbegäran.docx", "A 59940-2021")</f>
        <v/>
      </c>
      <c r="Y115">
        <f>HYPERLINK("https://klasma.github.io/Logging_0883/tillsynsmail/A 59940-2021 tillsynsbegäran mail.docx", "A 59940-2021")</f>
        <v/>
      </c>
    </row>
    <row r="116" ht="15" customHeight="1">
      <c r="A116" t="inlineStr">
        <is>
          <t>A 2515-2023</t>
        </is>
      </c>
      <c r="B116" s="1" t="n">
        <v>44943</v>
      </c>
      <c r="C116" s="1" t="n">
        <v>45929</v>
      </c>
      <c r="D116" t="inlineStr">
        <is>
          <t>KALMAR LÄN</t>
        </is>
      </c>
      <c r="E116" t="inlineStr">
        <is>
          <t>VÄSTERVIK</t>
        </is>
      </c>
      <c r="G116" t="n">
        <v>1.3</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2515-2023 artfynd.xlsx", "A 2515-2023")</f>
        <v/>
      </c>
      <c r="T116">
        <f>HYPERLINK("https://klasma.github.io/Logging_0883/kartor/A 2515-2023 karta.png", "A 2515-2023")</f>
        <v/>
      </c>
      <c r="U116">
        <f>HYPERLINK("https://klasma.github.io/Logging_0883/knärot/A 2515-2023 karta knärot.png", "A 2515-2023")</f>
        <v/>
      </c>
      <c r="V116">
        <f>HYPERLINK("https://klasma.github.io/Logging_0883/klagomål/A 2515-2023 FSC-klagomål.docx", "A 2515-2023")</f>
        <v/>
      </c>
      <c r="W116">
        <f>HYPERLINK("https://klasma.github.io/Logging_0883/klagomålsmail/A 2515-2023 FSC-klagomål mail.docx", "A 2515-2023")</f>
        <v/>
      </c>
      <c r="X116">
        <f>HYPERLINK("https://klasma.github.io/Logging_0883/tillsyn/A 2515-2023 tillsynsbegäran.docx", "A 2515-2023")</f>
        <v/>
      </c>
      <c r="Y116">
        <f>HYPERLINK("https://klasma.github.io/Logging_0883/tillsynsmail/A 2515-2023 tillsynsbegäran mail.docx", "A 2515-2023")</f>
        <v/>
      </c>
    </row>
    <row r="117" ht="15" customHeight="1">
      <c r="A117" t="inlineStr">
        <is>
          <t>A 46787-2022</t>
        </is>
      </c>
      <c r="B117" s="1" t="n">
        <v>44851</v>
      </c>
      <c r="C117" s="1" t="n">
        <v>45929</v>
      </c>
      <c r="D117" t="inlineStr">
        <is>
          <t>KALMAR LÄN</t>
        </is>
      </c>
      <c r="E117" t="inlineStr">
        <is>
          <t>VÄSTERVIK</t>
        </is>
      </c>
      <c r="G117" t="n">
        <v>4.4</v>
      </c>
      <c r="H117" t="n">
        <v>0</v>
      </c>
      <c r="I117" t="n">
        <v>0</v>
      </c>
      <c r="J117" t="n">
        <v>2</v>
      </c>
      <c r="K117" t="n">
        <v>0</v>
      </c>
      <c r="L117" t="n">
        <v>0</v>
      </c>
      <c r="M117" t="n">
        <v>0</v>
      </c>
      <c r="N117" t="n">
        <v>0</v>
      </c>
      <c r="O117" t="n">
        <v>2</v>
      </c>
      <c r="P117" t="n">
        <v>0</v>
      </c>
      <c r="Q117" t="n">
        <v>2</v>
      </c>
      <c r="R117" s="2" t="inlineStr">
        <is>
          <t>Motaggsvamp
Tallticka</t>
        </is>
      </c>
      <c r="S117">
        <f>HYPERLINK("https://klasma.github.io/Logging_0883/artfynd/A 46787-2022 artfynd.xlsx", "A 46787-2022")</f>
        <v/>
      </c>
      <c r="T117">
        <f>HYPERLINK("https://klasma.github.io/Logging_0883/kartor/A 46787-2022 karta.png", "A 46787-2022")</f>
        <v/>
      </c>
      <c r="V117">
        <f>HYPERLINK("https://klasma.github.io/Logging_0883/klagomål/A 46787-2022 FSC-klagomål.docx", "A 46787-2022")</f>
        <v/>
      </c>
      <c r="W117">
        <f>HYPERLINK("https://klasma.github.io/Logging_0883/klagomålsmail/A 46787-2022 FSC-klagomål mail.docx", "A 46787-2022")</f>
        <v/>
      </c>
      <c r="X117">
        <f>HYPERLINK("https://klasma.github.io/Logging_0883/tillsyn/A 46787-2022 tillsynsbegäran.docx", "A 46787-2022")</f>
        <v/>
      </c>
      <c r="Y117">
        <f>HYPERLINK("https://klasma.github.io/Logging_0883/tillsynsmail/A 46787-2022 tillsynsbegäran mail.docx", "A 46787-2022")</f>
        <v/>
      </c>
    </row>
    <row r="118" ht="15" customHeight="1">
      <c r="A118" t="inlineStr">
        <is>
          <t>A 61804-2023</t>
        </is>
      </c>
      <c r="B118" s="1" t="n">
        <v>45266</v>
      </c>
      <c r="C118" s="1" t="n">
        <v>45929</v>
      </c>
      <c r="D118" t="inlineStr">
        <is>
          <t>KALMAR LÄN</t>
        </is>
      </c>
      <c r="E118" t="inlineStr">
        <is>
          <t>VÄSTERVIK</t>
        </is>
      </c>
      <c r="G118" t="n">
        <v>2.3</v>
      </c>
      <c r="H118" t="n">
        <v>0</v>
      </c>
      <c r="I118" t="n">
        <v>0</v>
      </c>
      <c r="J118" t="n">
        <v>2</v>
      </c>
      <c r="K118" t="n">
        <v>0</v>
      </c>
      <c r="L118" t="n">
        <v>0</v>
      </c>
      <c r="M118" t="n">
        <v>0</v>
      </c>
      <c r="N118" t="n">
        <v>0</v>
      </c>
      <c r="O118" t="n">
        <v>2</v>
      </c>
      <c r="P118" t="n">
        <v>0</v>
      </c>
      <c r="Q118" t="n">
        <v>2</v>
      </c>
      <c r="R118" s="2" t="inlineStr">
        <is>
          <t>Bredbrämad bastardsvärmare
Smalsprötad bastardsvärmare</t>
        </is>
      </c>
      <c r="S118">
        <f>HYPERLINK("https://klasma.github.io/Logging_0883/artfynd/A 61804-2023 artfynd.xlsx", "A 61804-2023")</f>
        <v/>
      </c>
      <c r="T118">
        <f>HYPERLINK("https://klasma.github.io/Logging_0883/kartor/A 61804-2023 karta.png", "A 61804-2023")</f>
        <v/>
      </c>
      <c r="V118">
        <f>HYPERLINK("https://klasma.github.io/Logging_0883/klagomål/A 61804-2023 FSC-klagomål.docx", "A 61804-2023")</f>
        <v/>
      </c>
      <c r="W118">
        <f>HYPERLINK("https://klasma.github.io/Logging_0883/klagomålsmail/A 61804-2023 FSC-klagomål mail.docx", "A 61804-2023")</f>
        <v/>
      </c>
      <c r="X118">
        <f>HYPERLINK("https://klasma.github.io/Logging_0883/tillsyn/A 61804-2023 tillsynsbegäran.docx", "A 61804-2023")</f>
        <v/>
      </c>
      <c r="Y118">
        <f>HYPERLINK("https://klasma.github.io/Logging_0883/tillsynsmail/A 61804-2023 tillsynsbegäran mail.docx", "A 61804-2023")</f>
        <v/>
      </c>
    </row>
    <row r="119" ht="15" customHeight="1">
      <c r="A119" t="inlineStr">
        <is>
          <t>A 3264-2024</t>
        </is>
      </c>
      <c r="B119" s="1" t="n">
        <v>45317</v>
      </c>
      <c r="C119" s="1" t="n">
        <v>45929</v>
      </c>
      <c r="D119" t="inlineStr">
        <is>
          <t>KALMAR LÄN</t>
        </is>
      </c>
      <c r="E119" t="inlineStr">
        <is>
          <t>VÄSTERVIK</t>
        </is>
      </c>
      <c r="G119" t="n">
        <v>6.5</v>
      </c>
      <c r="H119" t="n">
        <v>1</v>
      </c>
      <c r="I119" t="n">
        <v>1</v>
      </c>
      <c r="J119" t="n">
        <v>1</v>
      </c>
      <c r="K119" t="n">
        <v>0</v>
      </c>
      <c r="L119" t="n">
        <v>0</v>
      </c>
      <c r="M119" t="n">
        <v>0</v>
      </c>
      <c r="N119" t="n">
        <v>0</v>
      </c>
      <c r="O119" t="n">
        <v>1</v>
      </c>
      <c r="P119" t="n">
        <v>0</v>
      </c>
      <c r="Q119" t="n">
        <v>2</v>
      </c>
      <c r="R119" s="2" t="inlineStr">
        <is>
          <t>Spillkråka
Blåmossa</t>
        </is>
      </c>
      <c r="S119">
        <f>HYPERLINK("https://klasma.github.io/Logging_0883/artfynd/A 3264-2024 artfynd.xlsx", "A 3264-2024")</f>
        <v/>
      </c>
      <c r="T119">
        <f>HYPERLINK("https://klasma.github.io/Logging_0883/kartor/A 3264-2024 karta.png", "A 3264-2024")</f>
        <v/>
      </c>
      <c r="V119">
        <f>HYPERLINK("https://klasma.github.io/Logging_0883/klagomål/A 3264-2024 FSC-klagomål.docx", "A 3264-2024")</f>
        <v/>
      </c>
      <c r="W119">
        <f>HYPERLINK("https://klasma.github.io/Logging_0883/klagomålsmail/A 3264-2024 FSC-klagomål mail.docx", "A 3264-2024")</f>
        <v/>
      </c>
      <c r="X119">
        <f>HYPERLINK("https://klasma.github.io/Logging_0883/tillsyn/A 3264-2024 tillsynsbegäran.docx", "A 3264-2024")</f>
        <v/>
      </c>
      <c r="Y119">
        <f>HYPERLINK("https://klasma.github.io/Logging_0883/tillsynsmail/A 3264-2024 tillsynsbegäran mail.docx", "A 3264-2024")</f>
        <v/>
      </c>
      <c r="Z119">
        <f>HYPERLINK("https://klasma.github.io/Logging_0883/fåglar/A 3264-2024 prioriterade fågelarter.docx", "A 3264-2024")</f>
        <v/>
      </c>
    </row>
    <row r="120" ht="15" customHeight="1">
      <c r="A120" t="inlineStr">
        <is>
          <t>A 12598-2024</t>
        </is>
      </c>
      <c r="B120" s="1" t="n">
        <v>45380</v>
      </c>
      <c r="C120" s="1" t="n">
        <v>45929</v>
      </c>
      <c r="D120" t="inlineStr">
        <is>
          <t>KALMAR LÄN</t>
        </is>
      </c>
      <c r="E120" t="inlineStr">
        <is>
          <t>VÄSTERVIK</t>
        </is>
      </c>
      <c r="F120" t="inlineStr">
        <is>
          <t>Holmen skog AB</t>
        </is>
      </c>
      <c r="G120" t="n">
        <v>5</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12598-2024 artfynd.xlsx", "A 12598-2024")</f>
        <v/>
      </c>
      <c r="T120">
        <f>HYPERLINK("https://klasma.github.io/Logging_0883/kartor/A 12598-2024 karta.png", "A 12598-2024")</f>
        <v/>
      </c>
      <c r="U120">
        <f>HYPERLINK("https://klasma.github.io/Logging_0883/knärot/A 12598-2024 karta knärot.png", "A 12598-2024")</f>
        <v/>
      </c>
      <c r="V120">
        <f>HYPERLINK("https://klasma.github.io/Logging_0883/klagomål/A 12598-2024 FSC-klagomål.docx", "A 12598-2024")</f>
        <v/>
      </c>
      <c r="W120">
        <f>HYPERLINK("https://klasma.github.io/Logging_0883/klagomålsmail/A 12598-2024 FSC-klagomål mail.docx", "A 12598-2024")</f>
        <v/>
      </c>
      <c r="X120">
        <f>HYPERLINK("https://klasma.github.io/Logging_0883/tillsyn/A 12598-2024 tillsynsbegäran.docx", "A 12598-2024")</f>
        <v/>
      </c>
      <c r="Y120">
        <f>HYPERLINK("https://klasma.github.io/Logging_0883/tillsynsmail/A 12598-2024 tillsynsbegäran mail.docx", "A 12598-2024")</f>
        <v/>
      </c>
    </row>
    <row r="121" ht="15" customHeight="1">
      <c r="A121" t="inlineStr">
        <is>
          <t>A 2126-2024</t>
        </is>
      </c>
      <c r="B121" s="1" t="n">
        <v>45309</v>
      </c>
      <c r="C121" s="1" t="n">
        <v>45929</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16419-2024</t>
        </is>
      </c>
      <c r="B122" s="1" t="n">
        <v>45407</v>
      </c>
      <c r="C122" s="1" t="n">
        <v>45929</v>
      </c>
      <c r="D122" t="inlineStr">
        <is>
          <t>KALMAR LÄN</t>
        </is>
      </c>
      <c r="E122" t="inlineStr">
        <is>
          <t>VÄSTERVIK</t>
        </is>
      </c>
      <c r="F122" t="inlineStr">
        <is>
          <t>Holmen skog AB</t>
        </is>
      </c>
      <c r="G122" t="n">
        <v>1.8</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16419-2024 artfynd.xlsx", "A 16419-2024")</f>
        <v/>
      </c>
      <c r="T122">
        <f>HYPERLINK("https://klasma.github.io/Logging_0883/kartor/A 16419-2024 karta.png", "A 16419-2024")</f>
        <v/>
      </c>
      <c r="U122">
        <f>HYPERLINK("https://klasma.github.io/Logging_0883/knärot/A 16419-2024 karta knärot.png", "A 16419-2024")</f>
        <v/>
      </c>
      <c r="V122">
        <f>HYPERLINK("https://klasma.github.io/Logging_0883/klagomål/A 16419-2024 FSC-klagomål.docx", "A 16419-2024")</f>
        <v/>
      </c>
      <c r="W122">
        <f>HYPERLINK("https://klasma.github.io/Logging_0883/klagomålsmail/A 16419-2024 FSC-klagomål mail.docx", "A 16419-2024")</f>
        <v/>
      </c>
      <c r="X122">
        <f>HYPERLINK("https://klasma.github.io/Logging_0883/tillsyn/A 16419-2024 tillsynsbegäran.docx", "A 16419-2024")</f>
        <v/>
      </c>
      <c r="Y122">
        <f>HYPERLINK("https://klasma.github.io/Logging_0883/tillsynsmail/A 16419-2024 tillsynsbegäran mail.docx", "A 16419-2024")</f>
        <v/>
      </c>
      <c r="Z122">
        <f>HYPERLINK("https://klasma.github.io/Logging_0883/fåglar/A 16419-2024 prioriterade fågelarter.docx", "A 16419-2024")</f>
        <v/>
      </c>
    </row>
    <row r="123" ht="15" customHeight="1">
      <c r="A123" t="inlineStr">
        <is>
          <t>A 33687-2025</t>
        </is>
      </c>
      <c r="B123" s="1" t="n">
        <v>45841.69072916666</v>
      </c>
      <c r="C123" s="1" t="n">
        <v>45929</v>
      </c>
      <c r="D123" t="inlineStr">
        <is>
          <t>KALMAR LÄN</t>
        </is>
      </c>
      <c r="E123" t="inlineStr">
        <is>
          <t>VÄSTERVIK</t>
        </is>
      </c>
      <c r="G123" t="n">
        <v>1.7</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33687-2025 artfynd.xlsx", "A 33687-2025")</f>
        <v/>
      </c>
      <c r="T123">
        <f>HYPERLINK("https://klasma.github.io/Logging_0883/kartor/A 33687-2025 karta.png", "A 33687-2025")</f>
        <v/>
      </c>
      <c r="U123">
        <f>HYPERLINK("https://klasma.github.io/Logging_0883/knärot/A 33687-2025 karta knärot.png", "A 33687-2025")</f>
        <v/>
      </c>
      <c r="V123">
        <f>HYPERLINK("https://klasma.github.io/Logging_0883/klagomål/A 33687-2025 FSC-klagomål.docx", "A 33687-2025")</f>
        <v/>
      </c>
      <c r="W123">
        <f>HYPERLINK("https://klasma.github.io/Logging_0883/klagomålsmail/A 33687-2025 FSC-klagomål mail.docx", "A 33687-2025")</f>
        <v/>
      </c>
      <c r="X123">
        <f>HYPERLINK("https://klasma.github.io/Logging_0883/tillsyn/A 33687-2025 tillsynsbegäran.docx", "A 33687-2025")</f>
        <v/>
      </c>
      <c r="Y123">
        <f>HYPERLINK("https://klasma.github.io/Logging_0883/tillsynsmail/A 33687-2025 tillsynsbegäran mail.docx", "A 33687-2025")</f>
        <v/>
      </c>
      <c r="Z123">
        <f>HYPERLINK("https://klasma.github.io/Logging_0883/fåglar/A 33687-2025 prioriterade fågelarter.docx", "A 33687-2025")</f>
        <v/>
      </c>
    </row>
    <row r="124" ht="15" customHeight="1">
      <c r="A124" t="inlineStr">
        <is>
          <t>A 26992-2024</t>
        </is>
      </c>
      <c r="B124" s="1" t="n">
        <v>45471</v>
      </c>
      <c r="C124" s="1" t="n">
        <v>45929</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59231-2022</t>
        </is>
      </c>
      <c r="B125" s="1" t="n">
        <v>44904.55646990741</v>
      </c>
      <c r="C125" s="1" t="n">
        <v>45929</v>
      </c>
      <c r="D125" t="inlineStr">
        <is>
          <t>KALMAR LÄN</t>
        </is>
      </c>
      <c r="E125" t="inlineStr">
        <is>
          <t>VÄSTERVIK</t>
        </is>
      </c>
      <c r="G125" t="n">
        <v>1.8</v>
      </c>
      <c r="H125" t="n">
        <v>0</v>
      </c>
      <c r="I125" t="n">
        <v>1</v>
      </c>
      <c r="J125" t="n">
        <v>1</v>
      </c>
      <c r="K125" t="n">
        <v>0</v>
      </c>
      <c r="L125" t="n">
        <v>0</v>
      </c>
      <c r="M125" t="n">
        <v>0</v>
      </c>
      <c r="N125" t="n">
        <v>0</v>
      </c>
      <c r="O125" t="n">
        <v>1</v>
      </c>
      <c r="P125" t="n">
        <v>0</v>
      </c>
      <c r="Q125" t="n">
        <v>2</v>
      </c>
      <c r="R125" s="2" t="inlineStr">
        <is>
          <t>Tallticka
Grönpyrola</t>
        </is>
      </c>
      <c r="S125">
        <f>HYPERLINK("https://klasma.github.io/Logging_0883/artfynd/A 59231-2022 artfynd.xlsx", "A 59231-2022")</f>
        <v/>
      </c>
      <c r="T125">
        <f>HYPERLINK("https://klasma.github.io/Logging_0883/kartor/A 59231-2022 karta.png", "A 59231-2022")</f>
        <v/>
      </c>
      <c r="V125">
        <f>HYPERLINK("https://klasma.github.io/Logging_0883/klagomål/A 59231-2022 FSC-klagomål.docx", "A 59231-2022")</f>
        <v/>
      </c>
      <c r="W125">
        <f>HYPERLINK("https://klasma.github.io/Logging_0883/klagomålsmail/A 59231-2022 FSC-klagomål mail.docx", "A 59231-2022")</f>
        <v/>
      </c>
      <c r="X125">
        <f>HYPERLINK("https://klasma.github.io/Logging_0883/tillsyn/A 59231-2022 tillsynsbegäran.docx", "A 59231-2022")</f>
        <v/>
      </c>
      <c r="Y125">
        <f>HYPERLINK("https://klasma.github.io/Logging_0883/tillsynsmail/A 59231-2022 tillsynsbegäran mail.docx", "A 59231-2022")</f>
        <v/>
      </c>
    </row>
    <row r="126" ht="15" customHeight="1">
      <c r="A126" t="inlineStr">
        <is>
          <t>A 42900-2025</t>
        </is>
      </c>
      <c r="B126" s="1" t="n">
        <v>45908.67556712963</v>
      </c>
      <c r="C126" s="1" t="n">
        <v>45929</v>
      </c>
      <c r="D126" t="inlineStr">
        <is>
          <t>KALMAR LÄN</t>
        </is>
      </c>
      <c r="E126" t="inlineStr">
        <is>
          <t>VÄSTERVIK</t>
        </is>
      </c>
      <c r="F126" t="inlineStr">
        <is>
          <t>Holmen skog AB</t>
        </is>
      </c>
      <c r="G126" t="n">
        <v>2.6</v>
      </c>
      <c r="H126" t="n">
        <v>2</v>
      </c>
      <c r="I126" t="n">
        <v>0</v>
      </c>
      <c r="J126" t="n">
        <v>2</v>
      </c>
      <c r="K126" t="n">
        <v>0</v>
      </c>
      <c r="L126" t="n">
        <v>0</v>
      </c>
      <c r="M126" t="n">
        <v>0</v>
      </c>
      <c r="N126" t="n">
        <v>0</v>
      </c>
      <c r="O126" t="n">
        <v>2</v>
      </c>
      <c r="P126" t="n">
        <v>0</v>
      </c>
      <c r="Q126" t="n">
        <v>2</v>
      </c>
      <c r="R126" s="2" t="inlineStr">
        <is>
          <t>Havsörn
Spillkråka</t>
        </is>
      </c>
      <c r="S126">
        <f>HYPERLINK("https://klasma.github.io/Logging_0883/artfynd/A 42900-2025 artfynd.xlsx", "A 42900-2025")</f>
        <v/>
      </c>
      <c r="T126">
        <f>HYPERLINK("https://klasma.github.io/Logging_0883/kartor/A 42900-2025 karta.png", "A 42900-2025")</f>
        <v/>
      </c>
      <c r="V126">
        <f>HYPERLINK("https://klasma.github.io/Logging_0883/klagomål/A 42900-2025 FSC-klagomål.docx", "A 42900-2025")</f>
        <v/>
      </c>
      <c r="W126">
        <f>HYPERLINK("https://klasma.github.io/Logging_0883/klagomålsmail/A 42900-2025 FSC-klagomål mail.docx", "A 42900-2025")</f>
        <v/>
      </c>
      <c r="X126">
        <f>HYPERLINK("https://klasma.github.io/Logging_0883/tillsyn/A 42900-2025 tillsynsbegäran.docx", "A 42900-2025")</f>
        <v/>
      </c>
      <c r="Y126">
        <f>HYPERLINK("https://klasma.github.io/Logging_0883/tillsynsmail/A 42900-2025 tillsynsbegäran mail.docx", "A 42900-2025")</f>
        <v/>
      </c>
      <c r="Z126">
        <f>HYPERLINK("https://klasma.github.io/Logging_0883/fåglar/A 42900-2025 prioriterade fågelarter.docx", "A 42900-2025")</f>
        <v/>
      </c>
    </row>
    <row r="127" ht="15" customHeight="1">
      <c r="A127" t="inlineStr">
        <is>
          <t>A 948-2024</t>
        </is>
      </c>
      <c r="B127" s="1" t="n">
        <v>45301</v>
      </c>
      <c r="C127" s="1" t="n">
        <v>45929</v>
      </c>
      <c r="D127" t="inlineStr">
        <is>
          <t>KALMAR LÄN</t>
        </is>
      </c>
      <c r="E127" t="inlineStr">
        <is>
          <t>VÄSTERVIK</t>
        </is>
      </c>
      <c r="G127" t="n">
        <v>4.5</v>
      </c>
      <c r="H127" t="n">
        <v>1</v>
      </c>
      <c r="I127" t="n">
        <v>1</v>
      </c>
      <c r="J127" t="n">
        <v>0</v>
      </c>
      <c r="K127" t="n">
        <v>0</v>
      </c>
      <c r="L127" t="n">
        <v>0</v>
      </c>
      <c r="M127" t="n">
        <v>0</v>
      </c>
      <c r="N127" t="n">
        <v>0</v>
      </c>
      <c r="O127" t="n">
        <v>0</v>
      </c>
      <c r="P127" t="n">
        <v>0</v>
      </c>
      <c r="Q127" t="n">
        <v>2</v>
      </c>
      <c r="R127" s="2" t="inlineStr">
        <is>
          <t>Dropptaggsvamp
Tjäder</t>
        </is>
      </c>
      <c r="S127">
        <f>HYPERLINK("https://klasma.github.io/Logging_0883/artfynd/A 948-2024 artfynd.xlsx", "A 948-2024")</f>
        <v/>
      </c>
      <c r="T127">
        <f>HYPERLINK("https://klasma.github.io/Logging_0883/kartor/A 948-2024 karta.png", "A 948-2024")</f>
        <v/>
      </c>
      <c r="V127">
        <f>HYPERLINK("https://klasma.github.io/Logging_0883/klagomål/A 948-2024 FSC-klagomål.docx", "A 948-2024")</f>
        <v/>
      </c>
      <c r="W127">
        <f>HYPERLINK("https://klasma.github.io/Logging_0883/klagomålsmail/A 948-2024 FSC-klagomål mail.docx", "A 948-2024")</f>
        <v/>
      </c>
      <c r="X127">
        <f>HYPERLINK("https://klasma.github.io/Logging_0883/tillsyn/A 948-2024 tillsynsbegäran.docx", "A 948-2024")</f>
        <v/>
      </c>
      <c r="Y127">
        <f>HYPERLINK("https://klasma.github.io/Logging_0883/tillsynsmail/A 948-2024 tillsynsbegäran mail.docx", "A 948-2024")</f>
        <v/>
      </c>
      <c r="Z127">
        <f>HYPERLINK("https://klasma.github.io/Logging_0883/fåglar/A 948-2024 prioriterade fågelarter.docx", "A 948-2024")</f>
        <v/>
      </c>
    </row>
    <row r="128" ht="15" customHeight="1">
      <c r="A128" t="inlineStr">
        <is>
          <t>A 3173-2023</t>
        </is>
      </c>
      <c r="B128" s="1" t="n">
        <v>44946</v>
      </c>
      <c r="C128" s="1" t="n">
        <v>45929</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1955-2021</t>
        </is>
      </c>
      <c r="B129" s="1" t="n">
        <v>44210</v>
      </c>
      <c r="C129" s="1" t="n">
        <v>45929</v>
      </c>
      <c r="D129" t="inlineStr">
        <is>
          <t>KALMAR LÄN</t>
        </is>
      </c>
      <c r="E129" t="inlineStr">
        <is>
          <t>VÄSTERVIK</t>
        </is>
      </c>
      <c r="G129" t="n">
        <v>5.3</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1955-2021 artfynd.xlsx", "A 1955-2021")</f>
        <v/>
      </c>
      <c r="T129">
        <f>HYPERLINK("https://klasma.github.io/Logging_0883/kartor/A 1955-2021 karta.png", "A 1955-2021")</f>
        <v/>
      </c>
      <c r="V129">
        <f>HYPERLINK("https://klasma.github.io/Logging_0883/klagomål/A 1955-2021 FSC-klagomål.docx", "A 1955-2021")</f>
        <v/>
      </c>
      <c r="W129">
        <f>HYPERLINK("https://klasma.github.io/Logging_0883/klagomålsmail/A 1955-2021 FSC-klagomål mail.docx", "A 1955-2021")</f>
        <v/>
      </c>
      <c r="X129">
        <f>HYPERLINK("https://klasma.github.io/Logging_0883/tillsyn/A 1955-2021 tillsynsbegäran.docx", "A 1955-2021")</f>
        <v/>
      </c>
      <c r="Y129">
        <f>HYPERLINK("https://klasma.github.io/Logging_0883/tillsynsmail/A 1955-2021 tillsynsbegäran mail.docx", "A 1955-2021")</f>
        <v/>
      </c>
      <c r="Z129">
        <f>HYPERLINK("https://klasma.github.io/Logging_0883/fåglar/A 1955-2021 prioriterade fågelarter.docx", "A 1955-2021")</f>
        <v/>
      </c>
    </row>
    <row r="130" ht="15" customHeight="1">
      <c r="A130" t="inlineStr">
        <is>
          <t>A 28401-2024</t>
        </is>
      </c>
      <c r="B130" s="1" t="n">
        <v>45477</v>
      </c>
      <c r="C130" s="1" t="n">
        <v>45929</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56180-2020</t>
        </is>
      </c>
      <c r="B131" s="1" t="n">
        <v>44133</v>
      </c>
      <c r="C131" s="1" t="n">
        <v>45929</v>
      </c>
      <c r="D131" t="inlineStr">
        <is>
          <t>KALMAR LÄN</t>
        </is>
      </c>
      <c r="E131" t="inlineStr">
        <is>
          <t>VÄSTERVIK</t>
        </is>
      </c>
      <c r="G131" t="n">
        <v>9.199999999999999</v>
      </c>
      <c r="H131" t="n">
        <v>2</v>
      </c>
      <c r="I131" t="n">
        <v>0</v>
      </c>
      <c r="J131" t="n">
        <v>0</v>
      </c>
      <c r="K131" t="n">
        <v>1</v>
      </c>
      <c r="L131" t="n">
        <v>0</v>
      </c>
      <c r="M131" t="n">
        <v>0</v>
      </c>
      <c r="N131" t="n">
        <v>0</v>
      </c>
      <c r="O131" t="n">
        <v>1</v>
      </c>
      <c r="P131" t="n">
        <v>1</v>
      </c>
      <c r="Q131" t="n">
        <v>2</v>
      </c>
      <c r="R131" s="2" t="inlineStr">
        <is>
          <t>Hasselsnok
Mattlummer</t>
        </is>
      </c>
      <c r="S131">
        <f>HYPERLINK("https://klasma.github.io/Logging_0883/artfynd/A 56180-2020 artfynd.xlsx", "A 56180-2020")</f>
        <v/>
      </c>
      <c r="T131">
        <f>HYPERLINK("https://klasma.github.io/Logging_0883/kartor/A 56180-2020 karta.png", "A 56180-2020")</f>
        <v/>
      </c>
      <c r="V131">
        <f>HYPERLINK("https://klasma.github.io/Logging_0883/klagomål/A 56180-2020 FSC-klagomål.docx", "A 56180-2020")</f>
        <v/>
      </c>
      <c r="W131">
        <f>HYPERLINK("https://klasma.github.io/Logging_0883/klagomålsmail/A 56180-2020 FSC-klagomål mail.docx", "A 56180-2020")</f>
        <v/>
      </c>
      <c r="X131">
        <f>HYPERLINK("https://klasma.github.io/Logging_0883/tillsyn/A 56180-2020 tillsynsbegäran.docx", "A 56180-2020")</f>
        <v/>
      </c>
      <c r="Y131">
        <f>HYPERLINK("https://klasma.github.io/Logging_0883/tillsynsmail/A 56180-2020 tillsynsbegäran mail.docx", "A 56180-2020")</f>
        <v/>
      </c>
    </row>
    <row r="132" ht="15" customHeight="1">
      <c r="A132" t="inlineStr">
        <is>
          <t>A 9040-2023</t>
        </is>
      </c>
      <c r="B132" s="1" t="n">
        <v>44979</v>
      </c>
      <c r="C132" s="1" t="n">
        <v>45929</v>
      </c>
      <c r="D132" t="inlineStr">
        <is>
          <t>KALMAR LÄN</t>
        </is>
      </c>
      <c r="E132" t="inlineStr">
        <is>
          <t>VÄSTERVIK</t>
        </is>
      </c>
      <c r="G132" t="n">
        <v>5.1</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9040-2023 artfynd.xlsx", "A 9040-2023")</f>
        <v/>
      </c>
      <c r="T132">
        <f>HYPERLINK("https://klasma.github.io/Logging_0883/kartor/A 9040-2023 karta.png", "A 9040-2023")</f>
        <v/>
      </c>
      <c r="U132">
        <f>HYPERLINK("https://klasma.github.io/Logging_0883/knärot/A 9040-2023 karta knärot.png", "A 9040-2023")</f>
        <v/>
      </c>
      <c r="V132">
        <f>HYPERLINK("https://klasma.github.io/Logging_0883/klagomål/A 9040-2023 FSC-klagomål.docx", "A 9040-2023")</f>
        <v/>
      </c>
      <c r="W132">
        <f>HYPERLINK("https://klasma.github.io/Logging_0883/klagomålsmail/A 9040-2023 FSC-klagomål mail.docx", "A 9040-2023")</f>
        <v/>
      </c>
      <c r="X132">
        <f>HYPERLINK("https://klasma.github.io/Logging_0883/tillsyn/A 9040-2023 tillsynsbegäran.docx", "A 9040-2023")</f>
        <v/>
      </c>
      <c r="Y132">
        <f>HYPERLINK("https://klasma.github.io/Logging_0883/tillsynsmail/A 9040-2023 tillsynsbegäran mail.docx", "A 9040-2023")</f>
        <v/>
      </c>
    </row>
    <row r="133" ht="15" customHeight="1">
      <c r="A133" t="inlineStr">
        <is>
          <t>A 62003-2022</t>
        </is>
      </c>
      <c r="B133" s="1" t="n">
        <v>44918</v>
      </c>
      <c r="C133" s="1" t="n">
        <v>45929</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25435-2023</t>
        </is>
      </c>
      <c r="B134" s="1" t="n">
        <v>45089</v>
      </c>
      <c r="C134" s="1" t="n">
        <v>45929</v>
      </c>
      <c r="D134" t="inlineStr">
        <is>
          <t>KALMAR LÄN</t>
        </is>
      </c>
      <c r="E134" t="inlineStr">
        <is>
          <t>VÄSTERVIK</t>
        </is>
      </c>
      <c r="G134" t="n">
        <v>1.6</v>
      </c>
      <c r="H134" t="n">
        <v>2</v>
      </c>
      <c r="I134" t="n">
        <v>0</v>
      </c>
      <c r="J134" t="n">
        <v>0</v>
      </c>
      <c r="K134" t="n">
        <v>1</v>
      </c>
      <c r="L134" t="n">
        <v>0</v>
      </c>
      <c r="M134" t="n">
        <v>0</v>
      </c>
      <c r="N134" t="n">
        <v>0</v>
      </c>
      <c r="O134" t="n">
        <v>1</v>
      </c>
      <c r="P134" t="n">
        <v>1</v>
      </c>
      <c r="Q134" t="n">
        <v>2</v>
      </c>
      <c r="R134" s="2" t="inlineStr">
        <is>
          <t>Knärot
Tjäder</t>
        </is>
      </c>
      <c r="S134">
        <f>HYPERLINK("https://klasma.github.io/Logging_0883/artfynd/A 25435-2023 artfynd.xlsx", "A 25435-2023")</f>
        <v/>
      </c>
      <c r="T134">
        <f>HYPERLINK("https://klasma.github.io/Logging_0883/kartor/A 25435-2023 karta.png", "A 25435-2023")</f>
        <v/>
      </c>
      <c r="U134">
        <f>HYPERLINK("https://klasma.github.io/Logging_0883/knärot/A 25435-2023 karta knärot.png", "A 25435-2023")</f>
        <v/>
      </c>
      <c r="V134">
        <f>HYPERLINK("https://klasma.github.io/Logging_0883/klagomål/A 25435-2023 FSC-klagomål.docx", "A 25435-2023")</f>
        <v/>
      </c>
      <c r="W134">
        <f>HYPERLINK("https://klasma.github.io/Logging_0883/klagomålsmail/A 25435-2023 FSC-klagomål mail.docx", "A 25435-2023")</f>
        <v/>
      </c>
      <c r="X134">
        <f>HYPERLINK("https://klasma.github.io/Logging_0883/tillsyn/A 25435-2023 tillsynsbegäran.docx", "A 25435-2023")</f>
        <v/>
      </c>
      <c r="Y134">
        <f>HYPERLINK("https://klasma.github.io/Logging_0883/tillsynsmail/A 25435-2023 tillsynsbegäran mail.docx", "A 25435-2023")</f>
        <v/>
      </c>
      <c r="Z134">
        <f>HYPERLINK("https://klasma.github.io/Logging_0883/fåglar/A 25435-2023 prioriterade fågelarter.docx", "A 25435-2023")</f>
        <v/>
      </c>
    </row>
    <row r="135" ht="15" customHeight="1">
      <c r="A135" t="inlineStr">
        <is>
          <t>A 1373-2024</t>
        </is>
      </c>
      <c r="B135" s="1" t="n">
        <v>45303</v>
      </c>
      <c r="C135" s="1" t="n">
        <v>45929</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2950-2025</t>
        </is>
      </c>
      <c r="B136" s="1" t="n">
        <v>45678</v>
      </c>
      <c r="C136" s="1" t="n">
        <v>45929</v>
      </c>
      <c r="D136" t="inlineStr">
        <is>
          <t>KALMAR LÄN</t>
        </is>
      </c>
      <c r="E136" t="inlineStr">
        <is>
          <t>VÄSTERVIK</t>
        </is>
      </c>
      <c r="G136" t="n">
        <v>6.1</v>
      </c>
      <c r="H136" t="n">
        <v>1</v>
      </c>
      <c r="I136" t="n">
        <v>1</v>
      </c>
      <c r="J136" t="n">
        <v>0</v>
      </c>
      <c r="K136" t="n">
        <v>1</v>
      </c>
      <c r="L136" t="n">
        <v>0</v>
      </c>
      <c r="M136" t="n">
        <v>0</v>
      </c>
      <c r="N136" t="n">
        <v>0</v>
      </c>
      <c r="O136" t="n">
        <v>1</v>
      </c>
      <c r="P136" t="n">
        <v>1</v>
      </c>
      <c r="Q136" t="n">
        <v>2</v>
      </c>
      <c r="R136" s="2" t="inlineStr">
        <is>
          <t>Knärot
Grovticka</t>
        </is>
      </c>
      <c r="S136">
        <f>HYPERLINK("https://klasma.github.io/Logging_0883/artfynd/A 2950-2025 artfynd.xlsx", "A 2950-2025")</f>
        <v/>
      </c>
      <c r="T136">
        <f>HYPERLINK("https://klasma.github.io/Logging_0883/kartor/A 2950-2025 karta.png", "A 2950-2025")</f>
        <v/>
      </c>
      <c r="U136">
        <f>HYPERLINK("https://klasma.github.io/Logging_0883/knärot/A 2950-2025 karta knärot.png", "A 2950-2025")</f>
        <v/>
      </c>
      <c r="V136">
        <f>HYPERLINK("https://klasma.github.io/Logging_0883/klagomål/A 2950-2025 FSC-klagomål.docx", "A 2950-2025")</f>
        <v/>
      </c>
      <c r="W136">
        <f>HYPERLINK("https://klasma.github.io/Logging_0883/klagomålsmail/A 2950-2025 FSC-klagomål mail.docx", "A 2950-2025")</f>
        <v/>
      </c>
      <c r="X136">
        <f>HYPERLINK("https://klasma.github.io/Logging_0883/tillsyn/A 2950-2025 tillsynsbegäran.docx", "A 2950-2025")</f>
        <v/>
      </c>
      <c r="Y136">
        <f>HYPERLINK("https://klasma.github.io/Logging_0883/tillsynsmail/A 2950-2025 tillsynsbegäran mail.docx", "A 2950-2025")</f>
        <v/>
      </c>
    </row>
    <row r="137" ht="15" customHeight="1">
      <c r="A137" t="inlineStr">
        <is>
          <t>A 9770-2024</t>
        </is>
      </c>
      <c r="B137" s="1" t="n">
        <v>45362.63960648148</v>
      </c>
      <c r="C137" s="1" t="n">
        <v>45929</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15534-2024</t>
        </is>
      </c>
      <c r="B138" s="1" t="n">
        <v>45401</v>
      </c>
      <c r="C138" s="1" t="n">
        <v>45929</v>
      </c>
      <c r="D138" t="inlineStr">
        <is>
          <t>KALMAR LÄN</t>
        </is>
      </c>
      <c r="E138" t="inlineStr">
        <is>
          <t>VÄSTERVIK</t>
        </is>
      </c>
      <c r="F138" t="inlineStr">
        <is>
          <t>Holmen skog AB</t>
        </is>
      </c>
      <c r="G138" t="n">
        <v>5.1</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15534-2024 artfynd.xlsx", "A 15534-2024")</f>
        <v/>
      </c>
      <c r="T138">
        <f>HYPERLINK("https://klasma.github.io/Logging_0883/kartor/A 15534-2024 karta.png", "A 15534-2024")</f>
        <v/>
      </c>
      <c r="U138">
        <f>HYPERLINK("https://klasma.github.io/Logging_0883/knärot/A 15534-2024 karta knärot.png", "A 15534-2024")</f>
        <v/>
      </c>
      <c r="V138">
        <f>HYPERLINK("https://klasma.github.io/Logging_0883/klagomål/A 15534-2024 FSC-klagomål.docx", "A 15534-2024")</f>
        <v/>
      </c>
      <c r="W138">
        <f>HYPERLINK("https://klasma.github.io/Logging_0883/klagomålsmail/A 15534-2024 FSC-klagomål mail.docx", "A 15534-2024")</f>
        <v/>
      </c>
      <c r="X138">
        <f>HYPERLINK("https://klasma.github.io/Logging_0883/tillsyn/A 15534-2024 tillsynsbegäran.docx", "A 15534-2024")</f>
        <v/>
      </c>
      <c r="Y138">
        <f>HYPERLINK("https://klasma.github.io/Logging_0883/tillsynsmail/A 15534-2024 tillsynsbegäran mail.docx", "A 15534-2024")</f>
        <v/>
      </c>
    </row>
    <row r="139" ht="15" customHeight="1">
      <c r="A139" t="inlineStr">
        <is>
          <t>A 14086-2025</t>
        </is>
      </c>
      <c r="B139" s="1" t="n">
        <v>45740.44130787037</v>
      </c>
      <c r="C139" s="1" t="n">
        <v>45929</v>
      </c>
      <c r="D139" t="inlineStr">
        <is>
          <t>KALMAR LÄN</t>
        </is>
      </c>
      <c r="E139" t="inlineStr">
        <is>
          <t>VÄSTERVIK</t>
        </is>
      </c>
      <c r="F139" t="inlineStr">
        <is>
          <t>Sveaskog</t>
        </is>
      </c>
      <c r="G139" t="n">
        <v>3.2</v>
      </c>
      <c r="H139" t="n">
        <v>1</v>
      </c>
      <c r="I139" t="n">
        <v>1</v>
      </c>
      <c r="J139" t="n">
        <v>0</v>
      </c>
      <c r="K139" t="n">
        <v>0</v>
      </c>
      <c r="L139" t="n">
        <v>0</v>
      </c>
      <c r="M139" t="n">
        <v>0</v>
      </c>
      <c r="N139" t="n">
        <v>0</v>
      </c>
      <c r="O139" t="n">
        <v>0</v>
      </c>
      <c r="P139" t="n">
        <v>0</v>
      </c>
      <c r="Q139" t="n">
        <v>2</v>
      </c>
      <c r="R139" s="2" t="inlineStr">
        <is>
          <t>Skogsbräsma
Åkergroda</t>
        </is>
      </c>
      <c r="S139">
        <f>HYPERLINK("https://klasma.github.io/Logging_0883/artfynd/A 14086-2025 artfynd.xlsx", "A 14086-2025")</f>
        <v/>
      </c>
      <c r="T139">
        <f>HYPERLINK("https://klasma.github.io/Logging_0883/kartor/A 14086-2025 karta.png", "A 14086-2025")</f>
        <v/>
      </c>
      <c r="V139">
        <f>HYPERLINK("https://klasma.github.io/Logging_0883/klagomål/A 14086-2025 FSC-klagomål.docx", "A 14086-2025")</f>
        <v/>
      </c>
      <c r="W139">
        <f>HYPERLINK("https://klasma.github.io/Logging_0883/klagomålsmail/A 14086-2025 FSC-klagomål mail.docx", "A 14086-2025")</f>
        <v/>
      </c>
      <c r="X139">
        <f>HYPERLINK("https://klasma.github.io/Logging_0883/tillsyn/A 14086-2025 tillsynsbegäran.docx", "A 14086-2025")</f>
        <v/>
      </c>
      <c r="Y139">
        <f>HYPERLINK("https://klasma.github.io/Logging_0883/tillsynsmail/A 14086-2025 tillsynsbegäran mail.docx", "A 14086-2025")</f>
        <v/>
      </c>
    </row>
    <row r="140" ht="15" customHeight="1">
      <c r="A140" t="inlineStr">
        <is>
          <t>A 10784-2025</t>
        </is>
      </c>
      <c r="B140" s="1" t="n">
        <v>45722</v>
      </c>
      <c r="C140" s="1" t="n">
        <v>45929</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34119-2023</t>
        </is>
      </c>
      <c r="B141" s="1" t="n">
        <v>45135</v>
      </c>
      <c r="C141" s="1" t="n">
        <v>45929</v>
      </c>
      <c r="D141" t="inlineStr">
        <is>
          <t>KALMAR LÄN</t>
        </is>
      </c>
      <c r="E141" t="inlineStr">
        <is>
          <t>VÄSTERVIK</t>
        </is>
      </c>
      <c r="G141" t="n">
        <v>3.1</v>
      </c>
      <c r="H141" t="n">
        <v>1</v>
      </c>
      <c r="I141" t="n">
        <v>1</v>
      </c>
      <c r="J141" t="n">
        <v>0</v>
      </c>
      <c r="K141" t="n">
        <v>1</v>
      </c>
      <c r="L141" t="n">
        <v>0</v>
      </c>
      <c r="M141" t="n">
        <v>0</v>
      </c>
      <c r="N141" t="n">
        <v>0</v>
      </c>
      <c r="O141" t="n">
        <v>1</v>
      </c>
      <c r="P141" t="n">
        <v>1</v>
      </c>
      <c r="Q141" t="n">
        <v>2</v>
      </c>
      <c r="R141" s="2" t="inlineStr">
        <is>
          <t>Knärot
Blomkålssvamp</t>
        </is>
      </c>
      <c r="S141">
        <f>HYPERLINK("https://klasma.github.io/Logging_0883/artfynd/A 34119-2023 artfynd.xlsx", "A 34119-2023")</f>
        <v/>
      </c>
      <c r="T141">
        <f>HYPERLINK("https://klasma.github.io/Logging_0883/kartor/A 34119-2023 karta.png", "A 34119-2023")</f>
        <v/>
      </c>
      <c r="U141">
        <f>HYPERLINK("https://klasma.github.io/Logging_0883/knärot/A 34119-2023 karta knärot.png", "A 34119-2023")</f>
        <v/>
      </c>
      <c r="V141">
        <f>HYPERLINK("https://klasma.github.io/Logging_0883/klagomål/A 34119-2023 FSC-klagomål.docx", "A 34119-2023")</f>
        <v/>
      </c>
      <c r="W141">
        <f>HYPERLINK("https://klasma.github.io/Logging_0883/klagomålsmail/A 34119-2023 FSC-klagomål mail.docx", "A 34119-2023")</f>
        <v/>
      </c>
      <c r="X141">
        <f>HYPERLINK("https://klasma.github.io/Logging_0883/tillsyn/A 34119-2023 tillsynsbegäran.docx", "A 34119-2023")</f>
        <v/>
      </c>
      <c r="Y141">
        <f>HYPERLINK("https://klasma.github.io/Logging_0883/tillsynsmail/A 34119-2023 tillsynsbegäran mail.docx", "A 34119-2023")</f>
        <v/>
      </c>
    </row>
    <row r="142" ht="15" customHeight="1">
      <c r="A142" t="inlineStr">
        <is>
          <t>A 4778-2025</t>
        </is>
      </c>
      <c r="B142" s="1" t="n">
        <v>45688</v>
      </c>
      <c r="C142" s="1" t="n">
        <v>45929</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3182-2025</t>
        </is>
      </c>
      <c r="B143" s="1" t="n">
        <v>45679</v>
      </c>
      <c r="C143" s="1" t="n">
        <v>45929</v>
      </c>
      <c r="D143" t="inlineStr">
        <is>
          <t>KALMAR LÄN</t>
        </is>
      </c>
      <c r="E143" t="inlineStr">
        <is>
          <t>VÄSTERVIK</t>
        </is>
      </c>
      <c r="G143" t="n">
        <v>1.2</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3182-2025 artfynd.xlsx", "A 3182-2025")</f>
        <v/>
      </c>
      <c r="T143">
        <f>HYPERLINK("https://klasma.github.io/Logging_0883/kartor/A 3182-2025 karta.png", "A 3182-2025")</f>
        <v/>
      </c>
      <c r="U143">
        <f>HYPERLINK("https://klasma.github.io/Logging_0883/knärot/A 3182-2025 karta knärot.png", "A 3182-2025")</f>
        <v/>
      </c>
      <c r="V143">
        <f>HYPERLINK("https://klasma.github.io/Logging_0883/klagomål/A 3182-2025 FSC-klagomål.docx", "A 3182-2025")</f>
        <v/>
      </c>
      <c r="W143">
        <f>HYPERLINK("https://klasma.github.io/Logging_0883/klagomålsmail/A 3182-2025 FSC-klagomål mail.docx", "A 3182-2025")</f>
        <v/>
      </c>
      <c r="X143">
        <f>HYPERLINK("https://klasma.github.io/Logging_0883/tillsyn/A 3182-2025 tillsynsbegäran.docx", "A 3182-2025")</f>
        <v/>
      </c>
      <c r="Y143">
        <f>HYPERLINK("https://klasma.github.io/Logging_0883/tillsynsmail/A 3182-2025 tillsynsbegäran mail.docx", "A 3182-2025")</f>
        <v/>
      </c>
      <c r="Z143">
        <f>HYPERLINK("https://klasma.github.io/Logging_0883/fåglar/A 3182-2025 prioriterade fågelarter.docx", "A 3182-2025")</f>
        <v/>
      </c>
    </row>
    <row r="144" ht="15" customHeight="1">
      <c r="A144" t="inlineStr">
        <is>
          <t>A 55408-2023</t>
        </is>
      </c>
      <c r="B144" s="1" t="n">
        <v>45238</v>
      </c>
      <c r="C144" s="1" t="n">
        <v>45929</v>
      </c>
      <c r="D144" t="inlineStr">
        <is>
          <t>KALMAR LÄN</t>
        </is>
      </c>
      <c r="E144" t="inlineStr">
        <is>
          <t>VÄSTERVIK</t>
        </is>
      </c>
      <c r="G144" t="n">
        <v>2.8</v>
      </c>
      <c r="H144" t="n">
        <v>0</v>
      </c>
      <c r="I144" t="n">
        <v>0</v>
      </c>
      <c r="J144" t="n">
        <v>2</v>
      </c>
      <c r="K144" t="n">
        <v>0</v>
      </c>
      <c r="L144" t="n">
        <v>0</v>
      </c>
      <c r="M144" t="n">
        <v>0</v>
      </c>
      <c r="N144" t="n">
        <v>0</v>
      </c>
      <c r="O144" t="n">
        <v>2</v>
      </c>
      <c r="P144" t="n">
        <v>0</v>
      </c>
      <c r="Q144" t="n">
        <v>2</v>
      </c>
      <c r="R144" s="2" t="inlineStr">
        <is>
          <t>Ekticka
Tallticka</t>
        </is>
      </c>
      <c r="S144">
        <f>HYPERLINK("https://klasma.github.io/Logging_0883/artfynd/A 55408-2023 artfynd.xlsx", "A 55408-2023")</f>
        <v/>
      </c>
      <c r="T144">
        <f>HYPERLINK("https://klasma.github.io/Logging_0883/kartor/A 55408-2023 karta.png", "A 55408-2023")</f>
        <v/>
      </c>
      <c r="V144">
        <f>HYPERLINK("https://klasma.github.io/Logging_0883/klagomål/A 55408-2023 FSC-klagomål.docx", "A 55408-2023")</f>
        <v/>
      </c>
      <c r="W144">
        <f>HYPERLINK("https://klasma.github.io/Logging_0883/klagomålsmail/A 55408-2023 FSC-klagomål mail.docx", "A 55408-2023")</f>
        <v/>
      </c>
      <c r="X144">
        <f>HYPERLINK("https://klasma.github.io/Logging_0883/tillsyn/A 55408-2023 tillsynsbegäran.docx", "A 55408-2023")</f>
        <v/>
      </c>
      <c r="Y144">
        <f>HYPERLINK("https://klasma.github.io/Logging_0883/tillsynsmail/A 55408-2023 tillsynsbegäran mail.docx", "A 55408-2023")</f>
        <v/>
      </c>
    </row>
    <row r="145" ht="15" customHeight="1">
      <c r="A145" t="inlineStr">
        <is>
          <t>A 56857-2023</t>
        </is>
      </c>
      <c r="B145" s="1" t="n">
        <v>45244</v>
      </c>
      <c r="C145" s="1" t="n">
        <v>45929</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52723-2024</t>
        </is>
      </c>
      <c r="B146" s="1" t="n">
        <v>45610.44008101852</v>
      </c>
      <c r="C146" s="1" t="n">
        <v>45929</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45929</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38373-2022</t>
        </is>
      </c>
      <c r="B148" s="1" t="n">
        <v>44812</v>
      </c>
      <c r="C148" s="1" t="n">
        <v>45929</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38373-2022 artfynd.xlsx", "A 38373-2022")</f>
        <v/>
      </c>
      <c r="T148">
        <f>HYPERLINK("https://klasma.github.io/Logging_0883/kartor/A 38373-2022 karta.png", "A 38373-2022")</f>
        <v/>
      </c>
      <c r="U148">
        <f>HYPERLINK("https://klasma.github.io/Logging_0883/knärot/A 38373-2022 karta knärot.png", "A 38373-2022")</f>
        <v/>
      </c>
      <c r="V148">
        <f>HYPERLINK("https://klasma.github.io/Logging_0883/klagomål/A 38373-2022 FSC-klagomål.docx", "A 38373-2022")</f>
        <v/>
      </c>
      <c r="W148">
        <f>HYPERLINK("https://klasma.github.io/Logging_0883/klagomålsmail/A 38373-2022 FSC-klagomål mail.docx", "A 38373-2022")</f>
        <v/>
      </c>
      <c r="X148">
        <f>HYPERLINK("https://klasma.github.io/Logging_0883/tillsyn/A 38373-2022 tillsynsbegäran.docx", "A 38373-2022")</f>
        <v/>
      </c>
      <c r="Y148">
        <f>HYPERLINK("https://klasma.github.io/Logging_0883/tillsynsmail/A 38373-2022 tillsynsbegäran mail.docx", "A 38373-2022")</f>
        <v/>
      </c>
    </row>
    <row r="149" ht="15" customHeight="1">
      <c r="A149" t="inlineStr">
        <is>
          <t>A 62008-2023</t>
        </is>
      </c>
      <c r="B149" s="1" t="n">
        <v>45266</v>
      </c>
      <c r="C149" s="1" t="n">
        <v>45929</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41573-2024</t>
        </is>
      </c>
      <c r="B150" s="1" t="n">
        <v>45560.54628472222</v>
      </c>
      <c r="C150" s="1" t="n">
        <v>45929</v>
      </c>
      <c r="D150" t="inlineStr">
        <is>
          <t>KALMAR LÄN</t>
        </is>
      </c>
      <c r="E150" t="inlineStr">
        <is>
          <t>VÄSTERVIK</t>
        </is>
      </c>
      <c r="G150" t="n">
        <v>1.6</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41573-2024 artfynd.xlsx", "A 41573-2024")</f>
        <v/>
      </c>
      <c r="T150">
        <f>HYPERLINK("https://klasma.github.io/Logging_0883/kartor/A 41573-2024 karta.png", "A 41573-2024")</f>
        <v/>
      </c>
      <c r="U150">
        <f>HYPERLINK("https://klasma.github.io/Logging_0883/knärot/A 41573-2024 karta knärot.png", "A 41573-2024")</f>
        <v/>
      </c>
      <c r="V150">
        <f>HYPERLINK("https://klasma.github.io/Logging_0883/klagomål/A 41573-2024 FSC-klagomål.docx", "A 41573-2024")</f>
        <v/>
      </c>
      <c r="W150">
        <f>HYPERLINK("https://klasma.github.io/Logging_0883/klagomålsmail/A 41573-2024 FSC-klagomål mail.docx", "A 41573-2024")</f>
        <v/>
      </c>
      <c r="X150">
        <f>HYPERLINK("https://klasma.github.io/Logging_0883/tillsyn/A 41573-2024 tillsynsbegäran.docx", "A 41573-2024")</f>
        <v/>
      </c>
      <c r="Y150">
        <f>HYPERLINK("https://klasma.github.io/Logging_0883/tillsynsmail/A 41573-2024 tillsynsbegäran mail.docx", "A 41573-2024")</f>
        <v/>
      </c>
    </row>
    <row r="151" ht="15" customHeight="1">
      <c r="A151" t="inlineStr">
        <is>
          <t>A 14126-2025</t>
        </is>
      </c>
      <c r="B151" s="1" t="n">
        <v>45740.47012731482</v>
      </c>
      <c r="C151" s="1" t="n">
        <v>45929</v>
      </c>
      <c r="D151" t="inlineStr">
        <is>
          <t>KALMAR LÄN</t>
        </is>
      </c>
      <c r="E151" t="inlineStr">
        <is>
          <t>VÄSTERVIK</t>
        </is>
      </c>
      <c r="F151" t="inlineStr">
        <is>
          <t>Sveaskog</t>
        </is>
      </c>
      <c r="G151" t="n">
        <v>1.3</v>
      </c>
      <c r="H151" t="n">
        <v>2</v>
      </c>
      <c r="I151" t="n">
        <v>0</v>
      </c>
      <c r="J151" t="n">
        <v>1</v>
      </c>
      <c r="K151" t="n">
        <v>0</v>
      </c>
      <c r="L151" t="n">
        <v>0</v>
      </c>
      <c r="M151" t="n">
        <v>0</v>
      </c>
      <c r="N151" t="n">
        <v>0</v>
      </c>
      <c r="O151" t="n">
        <v>1</v>
      </c>
      <c r="P151" t="n">
        <v>0</v>
      </c>
      <c r="Q151" t="n">
        <v>2</v>
      </c>
      <c r="R151" s="2" t="inlineStr">
        <is>
          <t>Grönsångare
Blåsippa</t>
        </is>
      </c>
      <c r="S151">
        <f>HYPERLINK("https://klasma.github.io/Logging_0883/artfynd/A 14126-2025 artfynd.xlsx", "A 14126-2025")</f>
        <v/>
      </c>
      <c r="T151">
        <f>HYPERLINK("https://klasma.github.io/Logging_0883/kartor/A 14126-2025 karta.png", "A 14126-2025")</f>
        <v/>
      </c>
      <c r="V151">
        <f>HYPERLINK("https://klasma.github.io/Logging_0883/klagomål/A 14126-2025 FSC-klagomål.docx", "A 14126-2025")</f>
        <v/>
      </c>
      <c r="W151">
        <f>HYPERLINK("https://klasma.github.io/Logging_0883/klagomålsmail/A 14126-2025 FSC-klagomål mail.docx", "A 14126-2025")</f>
        <v/>
      </c>
      <c r="X151">
        <f>HYPERLINK("https://klasma.github.io/Logging_0883/tillsyn/A 14126-2025 tillsynsbegäran.docx", "A 14126-2025")</f>
        <v/>
      </c>
      <c r="Y151">
        <f>HYPERLINK("https://klasma.github.io/Logging_0883/tillsynsmail/A 14126-2025 tillsynsbegäran mail.docx", "A 14126-2025")</f>
        <v/>
      </c>
      <c r="Z151">
        <f>HYPERLINK("https://klasma.github.io/Logging_0883/fåglar/A 14126-2025 prioriterade fågelarter.docx", "A 14126-2025")</f>
        <v/>
      </c>
    </row>
    <row r="152" ht="15" customHeight="1">
      <c r="A152" t="inlineStr">
        <is>
          <t>A 14301-2023</t>
        </is>
      </c>
      <c r="B152" s="1" t="n">
        <v>45011</v>
      </c>
      <c r="C152" s="1" t="n">
        <v>45929</v>
      </c>
      <c r="D152" t="inlineStr">
        <is>
          <t>KALMAR LÄN</t>
        </is>
      </c>
      <c r="E152" t="inlineStr">
        <is>
          <t>VÄSTERVIK</t>
        </is>
      </c>
      <c r="G152" t="n">
        <v>4.4</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14301-2023 artfynd.xlsx", "A 14301-2023")</f>
        <v/>
      </c>
      <c r="T152">
        <f>HYPERLINK("https://klasma.github.io/Logging_0883/kartor/A 14301-2023 karta.png", "A 14301-2023")</f>
        <v/>
      </c>
      <c r="U152">
        <f>HYPERLINK("https://klasma.github.io/Logging_0883/knärot/A 14301-2023 karta knärot.png", "A 14301-2023")</f>
        <v/>
      </c>
      <c r="V152">
        <f>HYPERLINK("https://klasma.github.io/Logging_0883/klagomål/A 14301-2023 FSC-klagomål.docx", "A 14301-2023")</f>
        <v/>
      </c>
      <c r="W152">
        <f>HYPERLINK("https://klasma.github.io/Logging_0883/klagomålsmail/A 14301-2023 FSC-klagomål mail.docx", "A 14301-2023")</f>
        <v/>
      </c>
      <c r="X152">
        <f>HYPERLINK("https://klasma.github.io/Logging_0883/tillsyn/A 14301-2023 tillsynsbegäran.docx", "A 14301-2023")</f>
        <v/>
      </c>
      <c r="Y152">
        <f>HYPERLINK("https://klasma.github.io/Logging_0883/tillsynsmail/A 14301-2023 tillsynsbegäran mail.docx", "A 14301-2023")</f>
        <v/>
      </c>
    </row>
    <row r="153" ht="15" customHeight="1">
      <c r="A153" t="inlineStr">
        <is>
          <t>A 8618-2024</t>
        </is>
      </c>
      <c r="B153" s="1" t="n">
        <v>45355.73453703704</v>
      </c>
      <c r="C153" s="1" t="n">
        <v>45929</v>
      </c>
      <c r="D153" t="inlineStr">
        <is>
          <t>KALMAR LÄN</t>
        </is>
      </c>
      <c r="E153" t="inlineStr">
        <is>
          <t>VÄSTERVIK</t>
        </is>
      </c>
      <c r="G153" t="n">
        <v>4.3</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8618-2024 artfynd.xlsx", "A 8618-2024")</f>
        <v/>
      </c>
      <c r="T153">
        <f>HYPERLINK("https://klasma.github.io/Logging_0883/kartor/A 8618-2024 karta.png", "A 8618-2024")</f>
        <v/>
      </c>
      <c r="U153">
        <f>HYPERLINK("https://klasma.github.io/Logging_0883/knärot/A 8618-2024 karta knärot.png", "A 8618-2024")</f>
        <v/>
      </c>
      <c r="V153">
        <f>HYPERLINK("https://klasma.github.io/Logging_0883/klagomål/A 8618-2024 FSC-klagomål.docx", "A 8618-2024")</f>
        <v/>
      </c>
      <c r="W153">
        <f>HYPERLINK("https://klasma.github.io/Logging_0883/klagomålsmail/A 8618-2024 FSC-klagomål mail.docx", "A 8618-2024")</f>
        <v/>
      </c>
      <c r="X153">
        <f>HYPERLINK("https://klasma.github.io/Logging_0883/tillsyn/A 8618-2024 tillsynsbegäran.docx", "A 8618-2024")</f>
        <v/>
      </c>
      <c r="Y153">
        <f>HYPERLINK("https://klasma.github.io/Logging_0883/tillsynsmail/A 8618-2024 tillsynsbegäran mail.docx", "A 8618-2024")</f>
        <v/>
      </c>
    </row>
    <row r="154" ht="15" customHeight="1">
      <c r="A154" t="inlineStr">
        <is>
          <t>A 32649-2023</t>
        </is>
      </c>
      <c r="B154" s="1" t="n">
        <v>45121</v>
      </c>
      <c r="C154" s="1" t="n">
        <v>45929</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32649-2023 artfynd.xlsx", "A 32649-2023")</f>
        <v/>
      </c>
      <c r="T154">
        <f>HYPERLINK("https://klasma.github.io/Logging_0883/kartor/A 32649-2023 karta.png", "A 32649-2023")</f>
        <v/>
      </c>
      <c r="U154">
        <f>HYPERLINK("https://klasma.github.io/Logging_0883/knärot/A 32649-2023 karta knärot.png", "A 32649-2023")</f>
        <v/>
      </c>
      <c r="V154">
        <f>HYPERLINK("https://klasma.github.io/Logging_0883/klagomål/A 32649-2023 FSC-klagomål.docx", "A 32649-2023")</f>
        <v/>
      </c>
      <c r="W154">
        <f>HYPERLINK("https://klasma.github.io/Logging_0883/klagomålsmail/A 32649-2023 FSC-klagomål mail.docx", "A 32649-2023")</f>
        <v/>
      </c>
      <c r="X154">
        <f>HYPERLINK("https://klasma.github.io/Logging_0883/tillsyn/A 32649-2023 tillsynsbegäran.docx", "A 32649-2023")</f>
        <v/>
      </c>
      <c r="Y154">
        <f>HYPERLINK("https://klasma.github.io/Logging_0883/tillsynsmail/A 32649-2023 tillsynsbegäran mail.docx", "A 32649-2023")</f>
        <v/>
      </c>
    </row>
    <row r="155" ht="15" customHeight="1">
      <c r="A155" t="inlineStr">
        <is>
          <t>A 51833-2021</t>
        </is>
      </c>
      <c r="B155" s="1" t="n">
        <v>44462</v>
      </c>
      <c r="C155" s="1" t="n">
        <v>45929</v>
      </c>
      <c r="D155" t="inlineStr">
        <is>
          <t>KALMAR LÄN</t>
        </is>
      </c>
      <c r="E155" t="inlineStr">
        <is>
          <t>VÄSTERVIK</t>
        </is>
      </c>
      <c r="G155" t="n">
        <v>4</v>
      </c>
      <c r="H155" t="n">
        <v>1</v>
      </c>
      <c r="I155" t="n">
        <v>0</v>
      </c>
      <c r="J155" t="n">
        <v>1</v>
      </c>
      <c r="K155" t="n">
        <v>0</v>
      </c>
      <c r="L155" t="n">
        <v>0</v>
      </c>
      <c r="M155" t="n">
        <v>0</v>
      </c>
      <c r="N155" t="n">
        <v>0</v>
      </c>
      <c r="O155" t="n">
        <v>1</v>
      </c>
      <c r="P155" t="n">
        <v>0</v>
      </c>
      <c r="Q155" t="n">
        <v>2</v>
      </c>
      <c r="R155" s="2" t="inlineStr">
        <is>
          <t>Motaggsvamp
Fläcknycklar</t>
        </is>
      </c>
      <c r="S155">
        <f>HYPERLINK("https://klasma.github.io/Logging_0883/artfynd/A 51833-2021 artfynd.xlsx", "A 51833-2021")</f>
        <v/>
      </c>
      <c r="T155">
        <f>HYPERLINK("https://klasma.github.io/Logging_0883/kartor/A 51833-2021 karta.png", "A 51833-2021")</f>
        <v/>
      </c>
      <c r="V155">
        <f>HYPERLINK("https://klasma.github.io/Logging_0883/klagomål/A 51833-2021 FSC-klagomål.docx", "A 51833-2021")</f>
        <v/>
      </c>
      <c r="W155">
        <f>HYPERLINK("https://klasma.github.io/Logging_0883/klagomålsmail/A 51833-2021 FSC-klagomål mail.docx", "A 51833-2021")</f>
        <v/>
      </c>
      <c r="X155">
        <f>HYPERLINK("https://klasma.github.io/Logging_0883/tillsyn/A 51833-2021 tillsynsbegäran.docx", "A 51833-2021")</f>
        <v/>
      </c>
      <c r="Y155">
        <f>HYPERLINK("https://klasma.github.io/Logging_0883/tillsynsmail/A 51833-2021 tillsynsbegäran mail.docx", "A 51833-2021")</f>
        <v/>
      </c>
    </row>
    <row r="156" ht="15" customHeight="1">
      <c r="A156" t="inlineStr">
        <is>
          <t>A 1767-2025</t>
        </is>
      </c>
      <c r="B156" s="1" t="n">
        <v>45671</v>
      </c>
      <c r="C156" s="1" t="n">
        <v>45929</v>
      </c>
      <c r="D156" t="inlineStr">
        <is>
          <t>KALMAR LÄN</t>
        </is>
      </c>
      <c r="E156" t="inlineStr">
        <is>
          <t>VÄSTERVIK</t>
        </is>
      </c>
      <c r="G156" t="n">
        <v>1.4</v>
      </c>
      <c r="H156" t="n">
        <v>1</v>
      </c>
      <c r="I156" t="n">
        <v>0</v>
      </c>
      <c r="J156" t="n">
        <v>2</v>
      </c>
      <c r="K156" t="n">
        <v>0</v>
      </c>
      <c r="L156" t="n">
        <v>0</v>
      </c>
      <c r="M156" t="n">
        <v>0</v>
      </c>
      <c r="N156" t="n">
        <v>0</v>
      </c>
      <c r="O156" t="n">
        <v>2</v>
      </c>
      <c r="P156" t="n">
        <v>0</v>
      </c>
      <c r="Q156" t="n">
        <v>2</v>
      </c>
      <c r="R156" s="2" t="inlineStr">
        <is>
          <t>Garnlav
Spillkråka</t>
        </is>
      </c>
      <c r="S156">
        <f>HYPERLINK("https://klasma.github.io/Logging_0883/artfynd/A 1767-2025 artfynd.xlsx", "A 1767-2025")</f>
        <v/>
      </c>
      <c r="T156">
        <f>HYPERLINK("https://klasma.github.io/Logging_0883/kartor/A 1767-2025 karta.png", "A 1767-2025")</f>
        <v/>
      </c>
      <c r="U156">
        <f>HYPERLINK("https://klasma.github.io/Logging_0883/knärot/A 1767-2025 karta knärot.png", "A 1767-2025")</f>
        <v/>
      </c>
      <c r="V156">
        <f>HYPERLINK("https://klasma.github.io/Logging_0883/klagomål/A 1767-2025 FSC-klagomål.docx", "A 1767-2025")</f>
        <v/>
      </c>
      <c r="W156">
        <f>HYPERLINK("https://klasma.github.io/Logging_0883/klagomålsmail/A 1767-2025 FSC-klagomål mail.docx", "A 1767-2025")</f>
        <v/>
      </c>
      <c r="X156">
        <f>HYPERLINK("https://klasma.github.io/Logging_0883/tillsyn/A 1767-2025 tillsynsbegäran.docx", "A 1767-2025")</f>
        <v/>
      </c>
      <c r="Y156">
        <f>HYPERLINK("https://klasma.github.io/Logging_0883/tillsynsmail/A 1767-2025 tillsynsbegäran mail.docx", "A 1767-2025")</f>
        <v/>
      </c>
      <c r="Z156">
        <f>HYPERLINK("https://klasma.github.io/Logging_0883/fåglar/A 1767-2025 prioriterade fågelarter.docx", "A 1767-2025")</f>
        <v/>
      </c>
    </row>
    <row r="157" ht="15" customHeight="1">
      <c r="A157" t="inlineStr">
        <is>
          <t>A 21081-2025</t>
        </is>
      </c>
      <c r="B157" s="1" t="n">
        <v>45777.60479166666</v>
      </c>
      <c r="C157" s="1" t="n">
        <v>45929</v>
      </c>
      <c r="D157" t="inlineStr">
        <is>
          <t>KALMAR LÄN</t>
        </is>
      </c>
      <c r="E157" t="inlineStr">
        <is>
          <t>VÄSTERVIK</t>
        </is>
      </c>
      <c r="G157" t="n">
        <v>1</v>
      </c>
      <c r="H157" t="n">
        <v>1</v>
      </c>
      <c r="I157" t="n">
        <v>0</v>
      </c>
      <c r="J157" t="n">
        <v>1</v>
      </c>
      <c r="K157" t="n">
        <v>1</v>
      </c>
      <c r="L157" t="n">
        <v>0</v>
      </c>
      <c r="M157" t="n">
        <v>0</v>
      </c>
      <c r="N157" t="n">
        <v>0</v>
      </c>
      <c r="O157" t="n">
        <v>2</v>
      </c>
      <c r="P157" t="n">
        <v>1</v>
      </c>
      <c r="Q157" t="n">
        <v>2</v>
      </c>
      <c r="R157" s="2" t="inlineStr">
        <is>
          <t>Knärot
Ullticka</t>
        </is>
      </c>
      <c r="S157">
        <f>HYPERLINK("https://klasma.github.io/Logging_0883/artfynd/A 21081-2025 artfynd.xlsx", "A 21081-2025")</f>
        <v/>
      </c>
      <c r="T157">
        <f>HYPERLINK("https://klasma.github.io/Logging_0883/kartor/A 21081-2025 karta.png", "A 21081-2025")</f>
        <v/>
      </c>
      <c r="U157">
        <f>HYPERLINK("https://klasma.github.io/Logging_0883/knärot/A 21081-2025 karta knärot.png", "A 21081-2025")</f>
        <v/>
      </c>
      <c r="V157">
        <f>HYPERLINK("https://klasma.github.io/Logging_0883/klagomål/A 21081-2025 FSC-klagomål.docx", "A 21081-2025")</f>
        <v/>
      </c>
      <c r="W157">
        <f>HYPERLINK("https://klasma.github.io/Logging_0883/klagomålsmail/A 21081-2025 FSC-klagomål mail.docx", "A 21081-2025")</f>
        <v/>
      </c>
      <c r="X157">
        <f>HYPERLINK("https://klasma.github.io/Logging_0883/tillsyn/A 21081-2025 tillsynsbegäran.docx", "A 21081-2025")</f>
        <v/>
      </c>
      <c r="Y157">
        <f>HYPERLINK("https://klasma.github.io/Logging_0883/tillsynsmail/A 21081-2025 tillsynsbegäran mail.docx", "A 21081-2025")</f>
        <v/>
      </c>
    </row>
    <row r="158" ht="15" customHeight="1">
      <c r="A158" t="inlineStr">
        <is>
          <t>A 17438-2024</t>
        </is>
      </c>
      <c r="B158" s="1" t="n">
        <v>45415</v>
      </c>
      <c r="C158" s="1" t="n">
        <v>45929</v>
      </c>
      <c r="D158" t="inlineStr">
        <is>
          <t>KALMAR LÄN</t>
        </is>
      </c>
      <c r="E158" t="inlineStr">
        <is>
          <t>VÄSTERVIK</t>
        </is>
      </c>
      <c r="G158" t="n">
        <v>3.8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17438-2024 artfynd.xlsx", "A 17438-2024")</f>
        <v/>
      </c>
      <c r="T158">
        <f>HYPERLINK("https://klasma.github.io/Logging_0883/kartor/A 17438-2024 karta.png", "A 17438-2024")</f>
        <v/>
      </c>
      <c r="U158">
        <f>HYPERLINK("https://klasma.github.io/Logging_0883/knärot/A 17438-2024 karta knärot.png", "A 17438-2024")</f>
        <v/>
      </c>
      <c r="V158">
        <f>HYPERLINK("https://klasma.github.io/Logging_0883/klagomål/A 17438-2024 FSC-klagomål.docx", "A 17438-2024")</f>
        <v/>
      </c>
      <c r="W158">
        <f>HYPERLINK("https://klasma.github.io/Logging_0883/klagomålsmail/A 17438-2024 FSC-klagomål mail.docx", "A 17438-2024")</f>
        <v/>
      </c>
      <c r="X158">
        <f>HYPERLINK("https://klasma.github.io/Logging_0883/tillsyn/A 17438-2024 tillsynsbegäran.docx", "A 17438-2024")</f>
        <v/>
      </c>
      <c r="Y158">
        <f>HYPERLINK("https://klasma.github.io/Logging_0883/tillsynsmail/A 17438-2024 tillsynsbegäran mail.docx", "A 17438-2024")</f>
        <v/>
      </c>
      <c r="Z158">
        <f>HYPERLINK("https://klasma.github.io/Logging_0883/fåglar/A 17438-2024 prioriterade fågelarter.docx", "A 17438-2024")</f>
        <v/>
      </c>
    </row>
    <row r="159" ht="15" customHeight="1">
      <c r="A159" t="inlineStr">
        <is>
          <t>A 37106-2024</t>
        </is>
      </c>
      <c r="B159" s="1" t="n">
        <v>45539.51238425926</v>
      </c>
      <c r="C159" s="1" t="n">
        <v>45929</v>
      </c>
      <c r="D159" t="inlineStr">
        <is>
          <t>KALMAR LÄN</t>
        </is>
      </c>
      <c r="E159" t="inlineStr">
        <is>
          <t>VÄSTERVIK</t>
        </is>
      </c>
      <c r="F159" t="inlineStr">
        <is>
          <t>Holmen skog AB</t>
        </is>
      </c>
      <c r="G159" t="n">
        <v>8.5</v>
      </c>
      <c r="H159" t="n">
        <v>2</v>
      </c>
      <c r="I159" t="n">
        <v>0</v>
      </c>
      <c r="J159" t="n">
        <v>1</v>
      </c>
      <c r="K159" t="n">
        <v>1</v>
      </c>
      <c r="L159" t="n">
        <v>0</v>
      </c>
      <c r="M159" t="n">
        <v>0</v>
      </c>
      <c r="N159" t="n">
        <v>0</v>
      </c>
      <c r="O159" t="n">
        <v>2</v>
      </c>
      <c r="P159" t="n">
        <v>1</v>
      </c>
      <c r="Q159" t="n">
        <v>2</v>
      </c>
      <c r="R159" s="2" t="inlineStr">
        <is>
          <t>Knärot
Mindre hackspett</t>
        </is>
      </c>
      <c r="S159">
        <f>HYPERLINK("https://klasma.github.io/Logging_0883/artfynd/A 37106-2024 artfynd.xlsx", "A 37106-2024")</f>
        <v/>
      </c>
      <c r="T159">
        <f>HYPERLINK("https://klasma.github.io/Logging_0883/kartor/A 37106-2024 karta.png", "A 37106-2024")</f>
        <v/>
      </c>
      <c r="U159">
        <f>HYPERLINK("https://klasma.github.io/Logging_0883/knärot/A 37106-2024 karta knärot.png", "A 37106-2024")</f>
        <v/>
      </c>
      <c r="V159">
        <f>HYPERLINK("https://klasma.github.io/Logging_0883/klagomål/A 37106-2024 FSC-klagomål.docx", "A 37106-2024")</f>
        <v/>
      </c>
      <c r="W159">
        <f>HYPERLINK("https://klasma.github.io/Logging_0883/klagomålsmail/A 37106-2024 FSC-klagomål mail.docx", "A 37106-2024")</f>
        <v/>
      </c>
      <c r="X159">
        <f>HYPERLINK("https://klasma.github.io/Logging_0883/tillsyn/A 37106-2024 tillsynsbegäran.docx", "A 37106-2024")</f>
        <v/>
      </c>
      <c r="Y159">
        <f>HYPERLINK("https://klasma.github.io/Logging_0883/tillsynsmail/A 37106-2024 tillsynsbegäran mail.docx", "A 37106-2024")</f>
        <v/>
      </c>
      <c r="Z159">
        <f>HYPERLINK("https://klasma.github.io/Logging_0883/fåglar/A 37106-2024 prioriterade fågelarter.docx", "A 37106-2024")</f>
        <v/>
      </c>
    </row>
    <row r="160" ht="15" customHeight="1">
      <c r="A160" t="inlineStr">
        <is>
          <t>A 72945-2021</t>
        </is>
      </c>
      <c r="B160" s="1" t="n">
        <v>44547.90868055556</v>
      </c>
      <c r="C160" s="1" t="n">
        <v>45929</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40331-2024</t>
        </is>
      </c>
      <c r="B161" s="1" t="n">
        <v>45555.31039351852</v>
      </c>
      <c r="C161" s="1" t="n">
        <v>45929</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25439-2021</t>
        </is>
      </c>
      <c r="B162" s="1" t="n">
        <v>44342</v>
      </c>
      <c r="C162" s="1" t="n">
        <v>45929</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34292-2025</t>
        </is>
      </c>
      <c r="B163" s="1" t="n">
        <v>45846.34083333334</v>
      </c>
      <c r="C163" s="1" t="n">
        <v>45929</v>
      </c>
      <c r="D163" t="inlineStr">
        <is>
          <t>KALMAR LÄN</t>
        </is>
      </c>
      <c r="E163" t="inlineStr">
        <is>
          <t>VÄSTERVIK</t>
        </is>
      </c>
      <c r="G163" t="n">
        <v>3.4</v>
      </c>
      <c r="H163" t="n">
        <v>0</v>
      </c>
      <c r="I163" t="n">
        <v>1</v>
      </c>
      <c r="J163" t="n">
        <v>1</v>
      </c>
      <c r="K163" t="n">
        <v>0</v>
      </c>
      <c r="L163" t="n">
        <v>0</v>
      </c>
      <c r="M163" t="n">
        <v>0</v>
      </c>
      <c r="N163" t="n">
        <v>0</v>
      </c>
      <c r="O163" t="n">
        <v>1</v>
      </c>
      <c r="P163" t="n">
        <v>0</v>
      </c>
      <c r="Q163" t="n">
        <v>2</v>
      </c>
      <c r="R163" s="2" t="inlineStr">
        <is>
          <t>Tallticka
Blåmossa</t>
        </is>
      </c>
      <c r="S163">
        <f>HYPERLINK("https://klasma.github.io/Logging_0883/artfynd/A 34292-2025 artfynd.xlsx", "A 34292-2025")</f>
        <v/>
      </c>
      <c r="T163">
        <f>HYPERLINK("https://klasma.github.io/Logging_0883/kartor/A 34292-2025 karta.png", "A 34292-2025")</f>
        <v/>
      </c>
      <c r="V163">
        <f>HYPERLINK("https://klasma.github.io/Logging_0883/klagomål/A 34292-2025 FSC-klagomål.docx", "A 34292-2025")</f>
        <v/>
      </c>
      <c r="W163">
        <f>HYPERLINK("https://klasma.github.io/Logging_0883/klagomålsmail/A 34292-2025 FSC-klagomål mail.docx", "A 34292-2025")</f>
        <v/>
      </c>
      <c r="X163">
        <f>HYPERLINK("https://klasma.github.io/Logging_0883/tillsyn/A 34292-2025 tillsynsbegäran.docx", "A 34292-2025")</f>
        <v/>
      </c>
      <c r="Y163">
        <f>HYPERLINK("https://klasma.github.io/Logging_0883/tillsynsmail/A 34292-2025 tillsynsbegäran mail.docx", "A 34292-2025")</f>
        <v/>
      </c>
    </row>
    <row r="164" ht="15" customHeight="1">
      <c r="A164" t="inlineStr">
        <is>
          <t>A 958-2025</t>
        </is>
      </c>
      <c r="B164" s="1" t="n">
        <v>45666</v>
      </c>
      <c r="C164" s="1" t="n">
        <v>45929</v>
      </c>
      <c r="D164" t="inlineStr">
        <is>
          <t>KALMAR LÄN</t>
        </is>
      </c>
      <c r="E164" t="inlineStr">
        <is>
          <t>VÄSTERVIK</t>
        </is>
      </c>
      <c r="G164" t="n">
        <v>2.8</v>
      </c>
      <c r="H164" t="n">
        <v>1</v>
      </c>
      <c r="I164" t="n">
        <v>0</v>
      </c>
      <c r="J164" t="n">
        <v>2</v>
      </c>
      <c r="K164" t="n">
        <v>0</v>
      </c>
      <c r="L164" t="n">
        <v>0</v>
      </c>
      <c r="M164" t="n">
        <v>0</v>
      </c>
      <c r="N164" t="n">
        <v>0</v>
      </c>
      <c r="O164" t="n">
        <v>2</v>
      </c>
      <c r="P164" t="n">
        <v>0</v>
      </c>
      <c r="Q164" t="n">
        <v>2</v>
      </c>
      <c r="R164" s="2" t="inlineStr">
        <is>
          <t>Orange taggsvamp
Spillkråka</t>
        </is>
      </c>
      <c r="S164">
        <f>HYPERLINK("https://klasma.github.io/Logging_0883/artfynd/A 958-2025 artfynd.xlsx", "A 958-2025")</f>
        <v/>
      </c>
      <c r="T164">
        <f>HYPERLINK("https://klasma.github.io/Logging_0883/kartor/A 958-2025 karta.png", "A 958-2025")</f>
        <v/>
      </c>
      <c r="V164">
        <f>HYPERLINK("https://klasma.github.io/Logging_0883/klagomål/A 958-2025 FSC-klagomål.docx", "A 958-2025")</f>
        <v/>
      </c>
      <c r="W164">
        <f>HYPERLINK("https://klasma.github.io/Logging_0883/klagomålsmail/A 958-2025 FSC-klagomål mail.docx", "A 958-2025")</f>
        <v/>
      </c>
      <c r="X164">
        <f>HYPERLINK("https://klasma.github.io/Logging_0883/tillsyn/A 958-2025 tillsynsbegäran.docx", "A 958-2025")</f>
        <v/>
      </c>
      <c r="Y164">
        <f>HYPERLINK("https://klasma.github.io/Logging_0883/tillsynsmail/A 958-2025 tillsynsbegäran mail.docx", "A 958-2025")</f>
        <v/>
      </c>
      <c r="Z164">
        <f>HYPERLINK("https://klasma.github.io/Logging_0883/fåglar/A 958-2025 prioriterade fågelarter.docx", "A 958-2025")</f>
        <v/>
      </c>
    </row>
    <row r="165" ht="15" customHeight="1">
      <c r="A165" t="inlineStr">
        <is>
          <t>A 14090-2025</t>
        </is>
      </c>
      <c r="B165" s="1" t="n">
        <v>45740.44487268518</v>
      </c>
      <c r="C165" s="1" t="n">
        <v>45929</v>
      </c>
      <c r="D165" t="inlineStr">
        <is>
          <t>KALMAR LÄN</t>
        </is>
      </c>
      <c r="E165" t="inlineStr">
        <is>
          <t>VÄSTERVIK</t>
        </is>
      </c>
      <c r="F165" t="inlineStr">
        <is>
          <t>Sveaskog</t>
        </is>
      </c>
      <c r="G165" t="n">
        <v>1</v>
      </c>
      <c r="H165" t="n">
        <v>2</v>
      </c>
      <c r="I165" t="n">
        <v>0</v>
      </c>
      <c r="J165" t="n">
        <v>1</v>
      </c>
      <c r="K165" t="n">
        <v>0</v>
      </c>
      <c r="L165" t="n">
        <v>0</v>
      </c>
      <c r="M165" t="n">
        <v>0</v>
      </c>
      <c r="N165" t="n">
        <v>0</v>
      </c>
      <c r="O165" t="n">
        <v>1</v>
      </c>
      <c r="P165" t="n">
        <v>0</v>
      </c>
      <c r="Q165" t="n">
        <v>2</v>
      </c>
      <c r="R165" s="2" t="inlineStr">
        <is>
          <t>Grönsångare
Åkergroda</t>
        </is>
      </c>
      <c r="S165">
        <f>HYPERLINK("https://klasma.github.io/Logging_0883/artfynd/A 14090-2025 artfynd.xlsx", "A 14090-2025")</f>
        <v/>
      </c>
      <c r="T165">
        <f>HYPERLINK("https://klasma.github.io/Logging_0883/kartor/A 14090-2025 karta.png", "A 14090-2025")</f>
        <v/>
      </c>
      <c r="V165">
        <f>HYPERLINK("https://klasma.github.io/Logging_0883/klagomål/A 14090-2025 FSC-klagomål.docx", "A 14090-2025")</f>
        <v/>
      </c>
      <c r="W165">
        <f>HYPERLINK("https://klasma.github.io/Logging_0883/klagomålsmail/A 14090-2025 FSC-klagomål mail.docx", "A 14090-2025")</f>
        <v/>
      </c>
      <c r="X165">
        <f>HYPERLINK("https://klasma.github.io/Logging_0883/tillsyn/A 14090-2025 tillsynsbegäran.docx", "A 14090-2025")</f>
        <v/>
      </c>
      <c r="Y165">
        <f>HYPERLINK("https://klasma.github.io/Logging_0883/tillsynsmail/A 14090-2025 tillsynsbegäran mail.docx", "A 14090-2025")</f>
        <v/>
      </c>
      <c r="Z165">
        <f>HYPERLINK("https://klasma.github.io/Logging_0883/fåglar/A 14090-2025 prioriterade fågelarter.docx", "A 14090-2025")</f>
        <v/>
      </c>
    </row>
    <row r="166" ht="15" customHeight="1">
      <c r="A166" t="inlineStr">
        <is>
          <t>A 25145-2022</t>
        </is>
      </c>
      <c r="B166" s="1" t="n">
        <v>44729</v>
      </c>
      <c r="C166" s="1" t="n">
        <v>45929</v>
      </c>
      <c r="D166" t="inlineStr">
        <is>
          <t>KALMAR LÄN</t>
        </is>
      </c>
      <c r="E166" t="inlineStr">
        <is>
          <t>VÄSTERVIK</t>
        </is>
      </c>
      <c r="G166" t="n">
        <v>1.3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25145-2022 artfynd.xlsx", "A 25145-2022")</f>
        <v/>
      </c>
      <c r="T166">
        <f>HYPERLINK("https://klasma.github.io/Logging_0883/kartor/A 25145-2022 karta.png", "A 25145-2022")</f>
        <v/>
      </c>
      <c r="U166">
        <f>HYPERLINK("https://klasma.github.io/Logging_0883/knärot/A 25145-2022 karta knärot.png", "A 25145-2022")</f>
        <v/>
      </c>
      <c r="V166">
        <f>HYPERLINK("https://klasma.github.io/Logging_0883/klagomål/A 25145-2022 FSC-klagomål.docx", "A 25145-2022")</f>
        <v/>
      </c>
      <c r="W166">
        <f>HYPERLINK("https://klasma.github.io/Logging_0883/klagomålsmail/A 25145-2022 FSC-klagomål mail.docx", "A 25145-2022")</f>
        <v/>
      </c>
      <c r="X166">
        <f>HYPERLINK("https://klasma.github.io/Logging_0883/tillsyn/A 25145-2022 tillsynsbegäran.docx", "A 25145-2022")</f>
        <v/>
      </c>
      <c r="Y166">
        <f>HYPERLINK("https://klasma.github.io/Logging_0883/tillsynsmail/A 25145-2022 tillsynsbegäran mail.docx", "A 25145-2022")</f>
        <v/>
      </c>
    </row>
    <row r="167" ht="15" customHeight="1">
      <c r="A167" t="inlineStr">
        <is>
          <t>A 16700-2025</t>
        </is>
      </c>
      <c r="B167" s="1" t="n">
        <v>45754.46833333333</v>
      </c>
      <c r="C167" s="1" t="n">
        <v>45929</v>
      </c>
      <c r="D167" t="inlineStr">
        <is>
          <t>KALMAR LÄN</t>
        </is>
      </c>
      <c r="E167" t="inlineStr">
        <is>
          <t>VÄSTERVIK</t>
        </is>
      </c>
      <c r="F167" t="inlineStr">
        <is>
          <t>Sveaskog</t>
        </is>
      </c>
      <c r="G167" t="n">
        <v>1.7</v>
      </c>
      <c r="H167" t="n">
        <v>2</v>
      </c>
      <c r="I167" t="n">
        <v>0</v>
      </c>
      <c r="J167" t="n">
        <v>1</v>
      </c>
      <c r="K167" t="n">
        <v>0</v>
      </c>
      <c r="L167" t="n">
        <v>0</v>
      </c>
      <c r="M167" t="n">
        <v>0</v>
      </c>
      <c r="N167" t="n">
        <v>0</v>
      </c>
      <c r="O167" t="n">
        <v>1</v>
      </c>
      <c r="P167" t="n">
        <v>0</v>
      </c>
      <c r="Q167" t="n">
        <v>2</v>
      </c>
      <c r="R167" s="2" t="inlineStr">
        <is>
          <t>Spillkråka
Kungsfågel</t>
        </is>
      </c>
      <c r="S167">
        <f>HYPERLINK("https://klasma.github.io/Logging_0883/artfynd/A 16700-2025 artfynd.xlsx", "A 16700-2025")</f>
        <v/>
      </c>
      <c r="T167">
        <f>HYPERLINK("https://klasma.github.io/Logging_0883/kartor/A 16700-2025 karta.png", "A 16700-2025")</f>
        <v/>
      </c>
      <c r="V167">
        <f>HYPERLINK("https://klasma.github.io/Logging_0883/klagomål/A 16700-2025 FSC-klagomål.docx", "A 16700-2025")</f>
        <v/>
      </c>
      <c r="W167">
        <f>HYPERLINK("https://klasma.github.io/Logging_0883/klagomålsmail/A 16700-2025 FSC-klagomål mail.docx", "A 16700-2025")</f>
        <v/>
      </c>
      <c r="X167">
        <f>HYPERLINK("https://klasma.github.io/Logging_0883/tillsyn/A 16700-2025 tillsynsbegäran.docx", "A 16700-2025")</f>
        <v/>
      </c>
      <c r="Y167">
        <f>HYPERLINK("https://klasma.github.io/Logging_0883/tillsynsmail/A 16700-2025 tillsynsbegäran mail.docx", "A 16700-2025")</f>
        <v/>
      </c>
      <c r="Z167">
        <f>HYPERLINK("https://klasma.github.io/Logging_0883/fåglar/A 16700-2025 prioriterade fågelarter.docx", "A 16700-2025")</f>
        <v/>
      </c>
    </row>
    <row r="168" ht="15" customHeight="1">
      <c r="A168" t="inlineStr">
        <is>
          <t>A 47935-2023</t>
        </is>
      </c>
      <c r="B168" s="1" t="n">
        <v>45204</v>
      </c>
      <c r="C168" s="1" t="n">
        <v>45929</v>
      </c>
      <c r="D168" t="inlineStr">
        <is>
          <t>KALMAR LÄN</t>
        </is>
      </c>
      <c r="E168" t="inlineStr">
        <is>
          <t>VÄSTERVIK</t>
        </is>
      </c>
      <c r="G168" t="n">
        <v>4.3</v>
      </c>
      <c r="H168" t="n">
        <v>0</v>
      </c>
      <c r="I168" t="n">
        <v>1</v>
      </c>
      <c r="J168" t="n">
        <v>1</v>
      </c>
      <c r="K168" t="n">
        <v>0</v>
      </c>
      <c r="L168" t="n">
        <v>0</v>
      </c>
      <c r="M168" t="n">
        <v>0</v>
      </c>
      <c r="N168" t="n">
        <v>0</v>
      </c>
      <c r="O168" t="n">
        <v>1</v>
      </c>
      <c r="P168" t="n">
        <v>0</v>
      </c>
      <c r="Q168" t="n">
        <v>2</v>
      </c>
      <c r="R168" s="2" t="inlineStr">
        <is>
          <t>Tallticka
Blåmossa</t>
        </is>
      </c>
      <c r="S168">
        <f>HYPERLINK("https://klasma.github.io/Logging_0883/artfynd/A 47935-2023 artfynd.xlsx", "A 47935-2023")</f>
        <v/>
      </c>
      <c r="T168">
        <f>HYPERLINK("https://klasma.github.io/Logging_0883/kartor/A 47935-2023 karta.png", "A 47935-2023")</f>
        <v/>
      </c>
      <c r="V168">
        <f>HYPERLINK("https://klasma.github.io/Logging_0883/klagomål/A 47935-2023 FSC-klagomål.docx", "A 47935-2023")</f>
        <v/>
      </c>
      <c r="W168">
        <f>HYPERLINK("https://klasma.github.io/Logging_0883/klagomålsmail/A 47935-2023 FSC-klagomål mail.docx", "A 47935-2023")</f>
        <v/>
      </c>
      <c r="X168">
        <f>HYPERLINK("https://klasma.github.io/Logging_0883/tillsyn/A 47935-2023 tillsynsbegäran.docx", "A 47935-2023")</f>
        <v/>
      </c>
      <c r="Y168">
        <f>HYPERLINK("https://klasma.github.io/Logging_0883/tillsynsmail/A 47935-2023 tillsynsbegäran mail.docx", "A 47935-2023")</f>
        <v/>
      </c>
    </row>
    <row r="169" ht="15" customHeight="1">
      <c r="A169" t="inlineStr">
        <is>
          <t>A 56036-2024</t>
        </is>
      </c>
      <c r="B169" s="1" t="n">
        <v>45624</v>
      </c>
      <c r="C169" s="1" t="n">
        <v>45929</v>
      </c>
      <c r="D169" t="inlineStr">
        <is>
          <t>KALMAR LÄN</t>
        </is>
      </c>
      <c r="E169" t="inlineStr">
        <is>
          <t>VÄSTERVIK</t>
        </is>
      </c>
      <c r="F169" t="inlineStr">
        <is>
          <t>Kyrkan</t>
        </is>
      </c>
      <c r="G169" t="n">
        <v>5.5</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56036-2024 artfynd.xlsx", "A 56036-2024")</f>
        <v/>
      </c>
      <c r="T169">
        <f>HYPERLINK("https://klasma.github.io/Logging_0883/kartor/A 56036-2024 karta.png", "A 56036-2024")</f>
        <v/>
      </c>
      <c r="U169">
        <f>HYPERLINK("https://klasma.github.io/Logging_0883/knärot/A 56036-2024 karta knärot.png", "A 56036-2024")</f>
        <v/>
      </c>
      <c r="V169">
        <f>HYPERLINK("https://klasma.github.io/Logging_0883/klagomål/A 56036-2024 FSC-klagomål.docx", "A 56036-2024")</f>
        <v/>
      </c>
      <c r="W169">
        <f>HYPERLINK("https://klasma.github.io/Logging_0883/klagomålsmail/A 56036-2024 FSC-klagomål mail.docx", "A 56036-2024")</f>
        <v/>
      </c>
      <c r="X169">
        <f>HYPERLINK("https://klasma.github.io/Logging_0883/tillsyn/A 56036-2024 tillsynsbegäran.docx", "A 56036-2024")</f>
        <v/>
      </c>
      <c r="Y169">
        <f>HYPERLINK("https://klasma.github.io/Logging_0883/tillsynsmail/A 56036-2024 tillsynsbegäran mail.docx", "A 56036-2024")</f>
        <v/>
      </c>
      <c r="Z169">
        <f>HYPERLINK("https://klasma.github.io/Logging_0883/fåglar/A 56036-2024 prioriterade fågelarter.docx", "A 56036-2024")</f>
        <v/>
      </c>
    </row>
    <row r="170" ht="15" customHeight="1">
      <c r="A170" t="inlineStr">
        <is>
          <t>A 932-2024</t>
        </is>
      </c>
      <c r="B170" s="1" t="n">
        <v>45301</v>
      </c>
      <c r="C170" s="1" t="n">
        <v>45929</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941-2024</t>
        </is>
      </c>
      <c r="B171" s="1" t="n">
        <v>45301</v>
      </c>
      <c r="C171" s="1" t="n">
        <v>45929</v>
      </c>
      <c r="D171" t="inlineStr">
        <is>
          <t>KALMAR LÄN</t>
        </is>
      </c>
      <c r="E171" t="inlineStr">
        <is>
          <t>VÄSTERVIK</t>
        </is>
      </c>
      <c r="G171" t="n">
        <v>2.7</v>
      </c>
      <c r="H171" t="n">
        <v>1</v>
      </c>
      <c r="I171" t="n">
        <v>0</v>
      </c>
      <c r="J171" t="n">
        <v>1</v>
      </c>
      <c r="K171" t="n">
        <v>1</v>
      </c>
      <c r="L171" t="n">
        <v>0</v>
      </c>
      <c r="M171" t="n">
        <v>0</v>
      </c>
      <c r="N171" t="n">
        <v>0</v>
      </c>
      <c r="O171" t="n">
        <v>2</v>
      </c>
      <c r="P171" t="n">
        <v>1</v>
      </c>
      <c r="Q171" t="n">
        <v>2</v>
      </c>
      <c r="R171" s="2" t="inlineStr">
        <is>
          <t>Knärot
Svinrot</t>
        </is>
      </c>
      <c r="S171">
        <f>HYPERLINK("https://klasma.github.io/Logging_0883/artfynd/A 941-2024 artfynd.xlsx", "A 941-2024")</f>
        <v/>
      </c>
      <c r="T171">
        <f>HYPERLINK("https://klasma.github.io/Logging_0883/kartor/A 941-2024 karta.png", "A 941-2024")</f>
        <v/>
      </c>
      <c r="U171">
        <f>HYPERLINK("https://klasma.github.io/Logging_0883/knärot/A 941-2024 karta knärot.png", "A 941-2024")</f>
        <v/>
      </c>
      <c r="V171">
        <f>HYPERLINK("https://klasma.github.io/Logging_0883/klagomål/A 941-2024 FSC-klagomål.docx", "A 941-2024")</f>
        <v/>
      </c>
      <c r="W171">
        <f>HYPERLINK("https://klasma.github.io/Logging_0883/klagomålsmail/A 941-2024 FSC-klagomål mail.docx", "A 941-2024")</f>
        <v/>
      </c>
      <c r="X171">
        <f>HYPERLINK("https://klasma.github.io/Logging_0883/tillsyn/A 941-2024 tillsynsbegäran.docx", "A 941-2024")</f>
        <v/>
      </c>
      <c r="Y171">
        <f>HYPERLINK("https://klasma.github.io/Logging_0883/tillsynsmail/A 941-2024 tillsynsbegäran mail.docx", "A 941-2024")</f>
        <v/>
      </c>
    </row>
    <row r="172" ht="15" customHeight="1">
      <c r="A172" t="inlineStr">
        <is>
          <t>A 911-2024</t>
        </is>
      </c>
      <c r="B172" s="1" t="n">
        <v>45301</v>
      </c>
      <c r="C172" s="1" t="n">
        <v>45929</v>
      </c>
      <c r="D172" t="inlineStr">
        <is>
          <t>KALMAR LÄN</t>
        </is>
      </c>
      <c r="E172" t="inlineStr">
        <is>
          <t>VÄSTERVIK</t>
        </is>
      </c>
      <c r="G172" t="n">
        <v>5.6</v>
      </c>
      <c r="H172" t="n">
        <v>1</v>
      </c>
      <c r="I172" t="n">
        <v>1</v>
      </c>
      <c r="J172" t="n">
        <v>1</v>
      </c>
      <c r="K172" t="n">
        <v>0</v>
      </c>
      <c r="L172" t="n">
        <v>0</v>
      </c>
      <c r="M172" t="n">
        <v>0</v>
      </c>
      <c r="N172" t="n">
        <v>0</v>
      </c>
      <c r="O172" t="n">
        <v>1</v>
      </c>
      <c r="P172" t="n">
        <v>0</v>
      </c>
      <c r="Q172" t="n">
        <v>2</v>
      </c>
      <c r="R172" s="2" t="inlineStr">
        <is>
          <t>Talltita
Blodticka</t>
        </is>
      </c>
      <c r="S172">
        <f>HYPERLINK("https://klasma.github.io/Logging_0883/artfynd/A 911-2024 artfynd.xlsx", "A 911-2024")</f>
        <v/>
      </c>
      <c r="T172">
        <f>HYPERLINK("https://klasma.github.io/Logging_0883/kartor/A 911-2024 karta.png", "A 911-2024")</f>
        <v/>
      </c>
      <c r="V172">
        <f>HYPERLINK("https://klasma.github.io/Logging_0883/klagomål/A 911-2024 FSC-klagomål.docx", "A 911-2024")</f>
        <v/>
      </c>
      <c r="W172">
        <f>HYPERLINK("https://klasma.github.io/Logging_0883/klagomålsmail/A 911-2024 FSC-klagomål mail.docx", "A 911-2024")</f>
        <v/>
      </c>
      <c r="X172">
        <f>HYPERLINK("https://klasma.github.io/Logging_0883/tillsyn/A 911-2024 tillsynsbegäran.docx", "A 911-2024")</f>
        <v/>
      </c>
      <c r="Y172">
        <f>HYPERLINK("https://klasma.github.io/Logging_0883/tillsynsmail/A 911-2024 tillsynsbegäran mail.docx", "A 911-2024")</f>
        <v/>
      </c>
      <c r="Z172">
        <f>HYPERLINK("https://klasma.github.io/Logging_0883/fåglar/A 911-2024 prioriterade fågelarter.docx", "A 911-2024")</f>
        <v/>
      </c>
    </row>
    <row r="173" ht="15" customHeight="1">
      <c r="A173" t="inlineStr">
        <is>
          <t>A 69632-2020</t>
        </is>
      </c>
      <c r="B173" s="1" t="n">
        <v>44195</v>
      </c>
      <c r="C173" s="1" t="n">
        <v>45929</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46556-2022</t>
        </is>
      </c>
      <c r="B174" s="1" t="n">
        <v>44848</v>
      </c>
      <c r="C174" s="1" t="n">
        <v>45929</v>
      </c>
      <c r="D174" t="inlineStr">
        <is>
          <t>KALMAR LÄN</t>
        </is>
      </c>
      <c r="E174" t="inlineStr">
        <is>
          <t>VÄSTERVIK</t>
        </is>
      </c>
      <c r="F174" t="inlineStr">
        <is>
          <t>Sveaskog</t>
        </is>
      </c>
      <c r="G174" t="n">
        <v>1.5</v>
      </c>
      <c r="H174" t="n">
        <v>0</v>
      </c>
      <c r="I174" t="n">
        <v>1</v>
      </c>
      <c r="J174" t="n">
        <v>0</v>
      </c>
      <c r="K174" t="n">
        <v>0</v>
      </c>
      <c r="L174" t="n">
        <v>0</v>
      </c>
      <c r="M174" t="n">
        <v>0</v>
      </c>
      <c r="N174" t="n">
        <v>0</v>
      </c>
      <c r="O174" t="n">
        <v>0</v>
      </c>
      <c r="P174" t="n">
        <v>0</v>
      </c>
      <c r="Q174" t="n">
        <v>1</v>
      </c>
      <c r="R174" s="2" t="inlineStr">
        <is>
          <t>Fjällig taggsvamp s.str.</t>
        </is>
      </c>
      <c r="S174">
        <f>HYPERLINK("https://klasma.github.io/Logging_0883/artfynd/A 46556-2022 artfynd.xlsx", "A 46556-2022")</f>
        <v/>
      </c>
      <c r="T174">
        <f>HYPERLINK("https://klasma.github.io/Logging_0883/kartor/A 46556-2022 karta.png", "A 46556-2022")</f>
        <v/>
      </c>
      <c r="V174">
        <f>HYPERLINK("https://klasma.github.io/Logging_0883/klagomål/A 46556-2022 FSC-klagomål.docx", "A 46556-2022")</f>
        <v/>
      </c>
      <c r="W174">
        <f>HYPERLINK("https://klasma.github.io/Logging_0883/klagomålsmail/A 46556-2022 FSC-klagomål mail.docx", "A 46556-2022")</f>
        <v/>
      </c>
      <c r="X174">
        <f>HYPERLINK("https://klasma.github.io/Logging_0883/tillsyn/A 46556-2022 tillsynsbegäran.docx", "A 46556-2022")</f>
        <v/>
      </c>
      <c r="Y174">
        <f>HYPERLINK("https://klasma.github.io/Logging_0883/tillsynsmail/A 46556-2022 tillsynsbegäran mail.docx", "A 46556-2022")</f>
        <v/>
      </c>
    </row>
    <row r="175" ht="15" customHeight="1">
      <c r="A175" t="inlineStr">
        <is>
          <t>A 52831-2021</t>
        </is>
      </c>
      <c r="B175" s="1" t="n">
        <v>44467</v>
      </c>
      <c r="C175" s="1" t="n">
        <v>45929</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31315-2021</t>
        </is>
      </c>
      <c r="B176" s="1" t="n">
        <v>44368</v>
      </c>
      <c r="C176" s="1" t="n">
        <v>45929</v>
      </c>
      <c r="D176" t="inlineStr">
        <is>
          <t>KALMAR LÄN</t>
        </is>
      </c>
      <c r="E176" t="inlineStr">
        <is>
          <t>VÄSTERVIK</t>
        </is>
      </c>
      <c r="G176" t="n">
        <v>3.3</v>
      </c>
      <c r="H176" t="n">
        <v>1</v>
      </c>
      <c r="I176" t="n">
        <v>0</v>
      </c>
      <c r="J176" t="n">
        <v>0</v>
      </c>
      <c r="K176" t="n">
        <v>1</v>
      </c>
      <c r="L176" t="n">
        <v>0</v>
      </c>
      <c r="M176" t="n">
        <v>0</v>
      </c>
      <c r="N176" t="n">
        <v>0</v>
      </c>
      <c r="O176" t="n">
        <v>1</v>
      </c>
      <c r="P176" t="n">
        <v>1</v>
      </c>
      <c r="Q176" t="n">
        <v>1</v>
      </c>
      <c r="R176" s="2" t="inlineStr">
        <is>
          <t>Knärot</t>
        </is>
      </c>
      <c r="S176">
        <f>HYPERLINK("https://klasma.github.io/Logging_0883/artfynd/A 31315-2021 artfynd.xlsx", "A 31315-2021")</f>
        <v/>
      </c>
      <c r="T176">
        <f>HYPERLINK("https://klasma.github.io/Logging_0883/kartor/A 31315-2021 karta.png", "A 31315-2021")</f>
        <v/>
      </c>
      <c r="U176">
        <f>HYPERLINK("https://klasma.github.io/Logging_0883/knärot/A 31315-2021 karta knärot.png", "A 31315-2021")</f>
        <v/>
      </c>
      <c r="V176">
        <f>HYPERLINK("https://klasma.github.io/Logging_0883/klagomål/A 31315-2021 FSC-klagomål.docx", "A 31315-2021")</f>
        <v/>
      </c>
      <c r="W176">
        <f>HYPERLINK("https://klasma.github.io/Logging_0883/klagomålsmail/A 31315-2021 FSC-klagomål mail.docx", "A 31315-2021")</f>
        <v/>
      </c>
      <c r="X176">
        <f>HYPERLINK("https://klasma.github.io/Logging_0883/tillsyn/A 31315-2021 tillsynsbegäran.docx", "A 31315-2021")</f>
        <v/>
      </c>
      <c r="Y176">
        <f>HYPERLINK("https://klasma.github.io/Logging_0883/tillsynsmail/A 31315-2021 tillsynsbegäran mail.docx", "A 31315-2021")</f>
        <v/>
      </c>
    </row>
    <row r="177" ht="15" customHeight="1">
      <c r="A177" t="inlineStr">
        <is>
          <t>A 47112-2023</t>
        </is>
      </c>
      <c r="B177" s="1" t="n">
        <v>45201</v>
      </c>
      <c r="C177" s="1" t="n">
        <v>45929</v>
      </c>
      <c r="D177" t="inlineStr">
        <is>
          <t>KALMAR LÄN</t>
        </is>
      </c>
      <c r="E177" t="inlineStr">
        <is>
          <t>VÄSTERVIK</t>
        </is>
      </c>
      <c r="G177" t="n">
        <v>1</v>
      </c>
      <c r="H177" t="n">
        <v>0</v>
      </c>
      <c r="I177" t="n">
        <v>0</v>
      </c>
      <c r="J177" t="n">
        <v>1</v>
      </c>
      <c r="K177" t="n">
        <v>0</v>
      </c>
      <c r="L177" t="n">
        <v>0</v>
      </c>
      <c r="M177" t="n">
        <v>0</v>
      </c>
      <c r="N177" t="n">
        <v>0</v>
      </c>
      <c r="O177" t="n">
        <v>1</v>
      </c>
      <c r="P177" t="n">
        <v>0</v>
      </c>
      <c r="Q177" t="n">
        <v>1</v>
      </c>
      <c r="R177" s="2" t="inlineStr">
        <is>
          <t>Tallticka</t>
        </is>
      </c>
      <c r="S177">
        <f>HYPERLINK("https://klasma.github.io/Logging_0883/artfynd/A 47112-2023 artfynd.xlsx", "A 47112-2023")</f>
        <v/>
      </c>
      <c r="T177">
        <f>HYPERLINK("https://klasma.github.io/Logging_0883/kartor/A 47112-2023 karta.png", "A 47112-2023")</f>
        <v/>
      </c>
      <c r="V177">
        <f>HYPERLINK("https://klasma.github.io/Logging_0883/klagomål/A 47112-2023 FSC-klagomål.docx", "A 47112-2023")</f>
        <v/>
      </c>
      <c r="W177">
        <f>HYPERLINK("https://klasma.github.io/Logging_0883/klagomålsmail/A 47112-2023 FSC-klagomål mail.docx", "A 47112-2023")</f>
        <v/>
      </c>
      <c r="X177">
        <f>HYPERLINK("https://klasma.github.io/Logging_0883/tillsyn/A 47112-2023 tillsynsbegäran.docx", "A 47112-2023")</f>
        <v/>
      </c>
      <c r="Y177">
        <f>HYPERLINK("https://klasma.github.io/Logging_0883/tillsynsmail/A 47112-2023 tillsynsbegäran mail.docx", "A 47112-2023")</f>
        <v/>
      </c>
    </row>
    <row r="178" ht="15" customHeight="1">
      <c r="A178" t="inlineStr">
        <is>
          <t>A 26056-2022</t>
        </is>
      </c>
      <c r="B178" s="1" t="n">
        <v>44734</v>
      </c>
      <c r="C178" s="1" t="n">
        <v>45929</v>
      </c>
      <c r="D178" t="inlineStr">
        <is>
          <t>KALMAR LÄN</t>
        </is>
      </c>
      <c r="E178" t="inlineStr">
        <is>
          <t>VÄSTERVIK</t>
        </is>
      </c>
      <c r="G178" t="n">
        <v>1.1</v>
      </c>
      <c r="H178" t="n">
        <v>0</v>
      </c>
      <c r="I178" t="n">
        <v>0</v>
      </c>
      <c r="J178" t="n">
        <v>1</v>
      </c>
      <c r="K178" t="n">
        <v>0</v>
      </c>
      <c r="L178" t="n">
        <v>0</v>
      </c>
      <c r="M178" t="n">
        <v>0</v>
      </c>
      <c r="N178" t="n">
        <v>0</v>
      </c>
      <c r="O178" t="n">
        <v>1</v>
      </c>
      <c r="P178" t="n">
        <v>0</v>
      </c>
      <c r="Q178" t="n">
        <v>1</v>
      </c>
      <c r="R178" s="2" t="inlineStr">
        <is>
          <t>Slåtterfibbla</t>
        </is>
      </c>
      <c r="S178">
        <f>HYPERLINK("https://klasma.github.io/Logging_0883/artfynd/A 26056-2022 artfynd.xlsx", "A 26056-2022")</f>
        <v/>
      </c>
      <c r="T178">
        <f>HYPERLINK("https://klasma.github.io/Logging_0883/kartor/A 26056-2022 karta.png", "A 26056-2022")</f>
        <v/>
      </c>
      <c r="V178">
        <f>HYPERLINK("https://klasma.github.io/Logging_0883/klagomål/A 26056-2022 FSC-klagomål.docx", "A 26056-2022")</f>
        <v/>
      </c>
      <c r="W178">
        <f>HYPERLINK("https://klasma.github.io/Logging_0883/klagomålsmail/A 26056-2022 FSC-klagomål mail.docx", "A 26056-2022")</f>
        <v/>
      </c>
      <c r="X178">
        <f>HYPERLINK("https://klasma.github.io/Logging_0883/tillsyn/A 26056-2022 tillsynsbegäran.docx", "A 26056-2022")</f>
        <v/>
      </c>
      <c r="Y178">
        <f>HYPERLINK("https://klasma.github.io/Logging_0883/tillsynsmail/A 26056-2022 tillsynsbegäran mail.docx", "A 26056-2022")</f>
        <v/>
      </c>
    </row>
    <row r="179" ht="15" customHeight="1">
      <c r="A179" t="inlineStr">
        <is>
          <t>A 51024-2022</t>
        </is>
      </c>
      <c r="B179" s="1" t="n">
        <v>44867</v>
      </c>
      <c r="C179" s="1" t="n">
        <v>45929</v>
      </c>
      <c r="D179" t="inlineStr">
        <is>
          <t>KALMAR LÄN</t>
        </is>
      </c>
      <c r="E179" t="inlineStr">
        <is>
          <t>VÄSTERVIK</t>
        </is>
      </c>
      <c r="F179" t="inlineStr">
        <is>
          <t>Holmen skog AB</t>
        </is>
      </c>
      <c r="G179" t="n">
        <v>7.6</v>
      </c>
      <c r="H179" t="n">
        <v>1</v>
      </c>
      <c r="I179" t="n">
        <v>0</v>
      </c>
      <c r="J179" t="n">
        <v>1</v>
      </c>
      <c r="K179" t="n">
        <v>0</v>
      </c>
      <c r="L179" t="n">
        <v>0</v>
      </c>
      <c r="M179" t="n">
        <v>0</v>
      </c>
      <c r="N179" t="n">
        <v>0</v>
      </c>
      <c r="O179" t="n">
        <v>1</v>
      </c>
      <c r="P179" t="n">
        <v>0</v>
      </c>
      <c r="Q179" t="n">
        <v>1</v>
      </c>
      <c r="R179" s="2" t="inlineStr">
        <is>
          <t>Talltita</t>
        </is>
      </c>
      <c r="S179">
        <f>HYPERLINK("https://klasma.github.io/Logging_0883/artfynd/A 51024-2022 artfynd.xlsx", "A 51024-2022")</f>
        <v/>
      </c>
      <c r="T179">
        <f>HYPERLINK("https://klasma.github.io/Logging_0883/kartor/A 51024-2022 karta.png", "A 51024-2022")</f>
        <v/>
      </c>
      <c r="V179">
        <f>HYPERLINK("https://klasma.github.io/Logging_0883/klagomål/A 51024-2022 FSC-klagomål.docx", "A 51024-2022")</f>
        <v/>
      </c>
      <c r="W179">
        <f>HYPERLINK("https://klasma.github.io/Logging_0883/klagomålsmail/A 51024-2022 FSC-klagomål mail.docx", "A 51024-2022")</f>
        <v/>
      </c>
      <c r="X179">
        <f>HYPERLINK("https://klasma.github.io/Logging_0883/tillsyn/A 51024-2022 tillsynsbegäran.docx", "A 51024-2022")</f>
        <v/>
      </c>
      <c r="Y179">
        <f>HYPERLINK("https://klasma.github.io/Logging_0883/tillsynsmail/A 51024-2022 tillsynsbegäran mail.docx", "A 51024-2022")</f>
        <v/>
      </c>
      <c r="Z179">
        <f>HYPERLINK("https://klasma.github.io/Logging_0883/fåglar/A 51024-2022 prioriterade fågelarter.docx", "A 51024-2022")</f>
        <v/>
      </c>
    </row>
    <row r="180" ht="15" customHeight="1">
      <c r="A180" t="inlineStr">
        <is>
          <t>A 66752-2020</t>
        </is>
      </c>
      <c r="B180" s="1" t="n">
        <v>44175</v>
      </c>
      <c r="C180" s="1" t="n">
        <v>45929</v>
      </c>
      <c r="D180" t="inlineStr">
        <is>
          <t>KALMAR LÄN</t>
        </is>
      </c>
      <c r="E180" t="inlineStr">
        <is>
          <t>VÄSTERVIK</t>
        </is>
      </c>
      <c r="G180" t="n">
        <v>0.7</v>
      </c>
      <c r="H180" t="n">
        <v>0</v>
      </c>
      <c r="I180" t="n">
        <v>0</v>
      </c>
      <c r="J180" t="n">
        <v>1</v>
      </c>
      <c r="K180" t="n">
        <v>0</v>
      </c>
      <c r="L180" t="n">
        <v>0</v>
      </c>
      <c r="M180" t="n">
        <v>0</v>
      </c>
      <c r="N180" t="n">
        <v>0</v>
      </c>
      <c r="O180" t="n">
        <v>1</v>
      </c>
      <c r="P180" t="n">
        <v>0</v>
      </c>
      <c r="Q180" t="n">
        <v>1</v>
      </c>
      <c r="R180" s="2" t="inlineStr">
        <is>
          <t>Tallticka</t>
        </is>
      </c>
      <c r="S180">
        <f>HYPERLINK("https://klasma.github.io/Logging_0883/artfynd/A 66752-2020 artfynd.xlsx", "A 66752-2020")</f>
        <v/>
      </c>
      <c r="T180">
        <f>HYPERLINK("https://klasma.github.io/Logging_0883/kartor/A 66752-2020 karta.png", "A 66752-2020")</f>
        <v/>
      </c>
      <c r="V180">
        <f>HYPERLINK("https://klasma.github.io/Logging_0883/klagomål/A 66752-2020 FSC-klagomål.docx", "A 66752-2020")</f>
        <v/>
      </c>
      <c r="W180">
        <f>HYPERLINK("https://klasma.github.io/Logging_0883/klagomålsmail/A 66752-2020 FSC-klagomål mail.docx", "A 66752-2020")</f>
        <v/>
      </c>
      <c r="X180">
        <f>HYPERLINK("https://klasma.github.io/Logging_0883/tillsyn/A 66752-2020 tillsynsbegäran.docx", "A 66752-2020")</f>
        <v/>
      </c>
      <c r="Y180">
        <f>HYPERLINK("https://klasma.github.io/Logging_0883/tillsynsmail/A 66752-2020 tillsynsbegäran mail.docx", "A 66752-2020")</f>
        <v/>
      </c>
    </row>
    <row r="181" ht="15" customHeight="1">
      <c r="A181" t="inlineStr">
        <is>
          <t>A 12292-2025</t>
        </is>
      </c>
      <c r="B181" s="1" t="n">
        <v>45729.68322916667</v>
      </c>
      <c r="C181" s="1" t="n">
        <v>45929</v>
      </c>
      <c r="D181" t="inlineStr">
        <is>
          <t>KALMAR LÄN</t>
        </is>
      </c>
      <c r="E181" t="inlineStr">
        <is>
          <t>VÄSTERVIK</t>
        </is>
      </c>
      <c r="G181" t="n">
        <v>1.7</v>
      </c>
      <c r="H181" t="n">
        <v>1</v>
      </c>
      <c r="I181" t="n">
        <v>0</v>
      </c>
      <c r="J181" t="n">
        <v>0</v>
      </c>
      <c r="K181" t="n">
        <v>1</v>
      </c>
      <c r="L181" t="n">
        <v>0</v>
      </c>
      <c r="M181" t="n">
        <v>0</v>
      </c>
      <c r="N181" t="n">
        <v>0</v>
      </c>
      <c r="O181" t="n">
        <v>1</v>
      </c>
      <c r="P181" t="n">
        <v>1</v>
      </c>
      <c r="Q181" t="n">
        <v>1</v>
      </c>
      <c r="R181" s="2" t="inlineStr">
        <is>
          <t>Knärot</t>
        </is>
      </c>
      <c r="S181">
        <f>HYPERLINK("https://klasma.github.io/Logging_0883/artfynd/A 12292-2025 artfynd.xlsx", "A 12292-2025")</f>
        <v/>
      </c>
      <c r="T181">
        <f>HYPERLINK("https://klasma.github.io/Logging_0883/kartor/A 12292-2025 karta.png", "A 12292-2025")</f>
        <v/>
      </c>
      <c r="U181">
        <f>HYPERLINK("https://klasma.github.io/Logging_0883/knärot/A 12292-2025 karta knärot.png", "A 12292-2025")</f>
        <v/>
      </c>
      <c r="V181">
        <f>HYPERLINK("https://klasma.github.io/Logging_0883/klagomål/A 12292-2025 FSC-klagomål.docx", "A 12292-2025")</f>
        <v/>
      </c>
      <c r="W181">
        <f>HYPERLINK("https://klasma.github.io/Logging_0883/klagomålsmail/A 12292-2025 FSC-klagomål mail.docx", "A 12292-2025")</f>
        <v/>
      </c>
      <c r="X181">
        <f>HYPERLINK("https://klasma.github.io/Logging_0883/tillsyn/A 12292-2025 tillsynsbegäran.docx", "A 12292-2025")</f>
        <v/>
      </c>
      <c r="Y181">
        <f>HYPERLINK("https://klasma.github.io/Logging_0883/tillsynsmail/A 12292-2025 tillsynsbegäran mail.docx", "A 12292-2025")</f>
        <v/>
      </c>
    </row>
    <row r="182" ht="15" customHeight="1">
      <c r="A182" t="inlineStr">
        <is>
          <t>A 27708-2024</t>
        </is>
      </c>
      <c r="B182" s="1" t="n">
        <v>45475</v>
      </c>
      <c r="C182" s="1" t="n">
        <v>45929</v>
      </c>
      <c r="D182" t="inlineStr">
        <is>
          <t>KALMAR LÄN</t>
        </is>
      </c>
      <c r="E182" t="inlineStr">
        <is>
          <t>VÄSTERVIK</t>
        </is>
      </c>
      <c r="F182" t="inlineStr">
        <is>
          <t>Holmen skog AB</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HYPERLINK("https://klasma.github.io/Logging_0883/artfynd/A 27708-2024 artfynd.xlsx", "A 27708-2024")</f>
        <v/>
      </c>
      <c r="T182">
        <f>HYPERLINK("https://klasma.github.io/Logging_0883/kartor/A 27708-2024 karta.png", "A 27708-2024")</f>
        <v/>
      </c>
      <c r="V182">
        <f>HYPERLINK("https://klasma.github.io/Logging_0883/klagomål/A 27708-2024 FSC-klagomål.docx", "A 27708-2024")</f>
        <v/>
      </c>
      <c r="W182">
        <f>HYPERLINK("https://klasma.github.io/Logging_0883/klagomålsmail/A 27708-2024 FSC-klagomål mail.docx", "A 27708-2024")</f>
        <v/>
      </c>
      <c r="X182">
        <f>HYPERLINK("https://klasma.github.io/Logging_0883/tillsyn/A 27708-2024 tillsynsbegäran.docx", "A 27708-2024")</f>
        <v/>
      </c>
      <c r="Y182">
        <f>HYPERLINK("https://klasma.github.io/Logging_0883/tillsynsmail/A 27708-2024 tillsynsbegäran mail.docx", "A 27708-2024")</f>
        <v/>
      </c>
      <c r="Z182">
        <f>HYPERLINK("https://klasma.github.io/Logging_0883/fåglar/A 27708-2024 prioriterade fågelarter.docx", "A 27708-2024")</f>
        <v/>
      </c>
    </row>
    <row r="183" ht="15" customHeight="1">
      <c r="A183" t="inlineStr">
        <is>
          <t>A 61806-2023</t>
        </is>
      </c>
      <c r="B183" s="1" t="n">
        <v>45266.27928240741</v>
      </c>
      <c r="C183" s="1" t="n">
        <v>45929</v>
      </c>
      <c r="D183" t="inlineStr">
        <is>
          <t>KALMAR LÄN</t>
        </is>
      </c>
      <c r="E183" t="inlineStr">
        <is>
          <t>VÄSTERVIK</t>
        </is>
      </c>
      <c r="G183" t="n">
        <v>1.1</v>
      </c>
      <c r="H183" t="n">
        <v>0</v>
      </c>
      <c r="I183" t="n">
        <v>0</v>
      </c>
      <c r="J183" t="n">
        <v>1</v>
      </c>
      <c r="K183" t="n">
        <v>0</v>
      </c>
      <c r="L183" t="n">
        <v>0</v>
      </c>
      <c r="M183" t="n">
        <v>0</v>
      </c>
      <c r="N183" t="n">
        <v>0</v>
      </c>
      <c r="O183" t="n">
        <v>1</v>
      </c>
      <c r="P183" t="n">
        <v>0</v>
      </c>
      <c r="Q183" t="n">
        <v>1</v>
      </c>
      <c r="R183" s="2" t="inlineStr">
        <is>
          <t>Veckticka</t>
        </is>
      </c>
      <c r="S183">
        <f>HYPERLINK("https://klasma.github.io/Logging_0883/artfynd/A 61806-2023 artfynd.xlsx", "A 61806-2023")</f>
        <v/>
      </c>
      <c r="T183">
        <f>HYPERLINK("https://klasma.github.io/Logging_0883/kartor/A 61806-2023 karta.png", "A 61806-2023")</f>
        <v/>
      </c>
      <c r="V183">
        <f>HYPERLINK("https://klasma.github.io/Logging_0883/klagomål/A 61806-2023 FSC-klagomål.docx", "A 61806-2023")</f>
        <v/>
      </c>
      <c r="W183">
        <f>HYPERLINK("https://klasma.github.io/Logging_0883/klagomålsmail/A 61806-2023 FSC-klagomål mail.docx", "A 61806-2023")</f>
        <v/>
      </c>
      <c r="X183">
        <f>HYPERLINK("https://klasma.github.io/Logging_0883/tillsyn/A 61806-2023 tillsynsbegäran.docx", "A 61806-2023")</f>
        <v/>
      </c>
      <c r="Y183">
        <f>HYPERLINK("https://klasma.github.io/Logging_0883/tillsynsmail/A 61806-2023 tillsynsbegäran mail.docx", "A 61806-2023")</f>
        <v/>
      </c>
    </row>
    <row r="184" ht="15" customHeight="1">
      <c r="A184" t="inlineStr">
        <is>
          <t>A 9261-2025</t>
        </is>
      </c>
      <c r="B184" s="1" t="n">
        <v>45714.60472222222</v>
      </c>
      <c r="C184" s="1" t="n">
        <v>45929</v>
      </c>
      <c r="D184" t="inlineStr">
        <is>
          <t>KALMAR LÄN</t>
        </is>
      </c>
      <c r="E184" t="inlineStr">
        <is>
          <t>VÄSTERVIK</t>
        </is>
      </c>
      <c r="F184" t="inlineStr">
        <is>
          <t>Sveaskog</t>
        </is>
      </c>
      <c r="G184" t="n">
        <v>4.9</v>
      </c>
      <c r="H184" t="n">
        <v>1</v>
      </c>
      <c r="I184" t="n">
        <v>0</v>
      </c>
      <c r="J184" t="n">
        <v>1</v>
      </c>
      <c r="K184" t="n">
        <v>0</v>
      </c>
      <c r="L184" t="n">
        <v>0</v>
      </c>
      <c r="M184" t="n">
        <v>0</v>
      </c>
      <c r="N184" t="n">
        <v>0</v>
      </c>
      <c r="O184" t="n">
        <v>1</v>
      </c>
      <c r="P184" t="n">
        <v>0</v>
      </c>
      <c r="Q184" t="n">
        <v>1</v>
      </c>
      <c r="R184" s="2" t="inlineStr">
        <is>
          <t>Havsörn</t>
        </is>
      </c>
      <c r="S184">
        <f>HYPERLINK("https://klasma.github.io/Logging_0883/artfynd/A 9261-2025 artfynd.xlsx", "A 9261-2025")</f>
        <v/>
      </c>
      <c r="T184">
        <f>HYPERLINK("https://klasma.github.io/Logging_0883/kartor/A 9261-2025 karta.png", "A 9261-2025")</f>
        <v/>
      </c>
      <c r="V184">
        <f>HYPERLINK("https://klasma.github.io/Logging_0883/klagomål/A 9261-2025 FSC-klagomål.docx", "A 9261-2025")</f>
        <v/>
      </c>
      <c r="W184">
        <f>HYPERLINK("https://klasma.github.io/Logging_0883/klagomålsmail/A 9261-2025 FSC-klagomål mail.docx", "A 9261-2025")</f>
        <v/>
      </c>
      <c r="X184">
        <f>HYPERLINK("https://klasma.github.io/Logging_0883/tillsyn/A 9261-2025 tillsynsbegäran.docx", "A 9261-2025")</f>
        <v/>
      </c>
      <c r="Y184">
        <f>HYPERLINK("https://klasma.github.io/Logging_0883/tillsynsmail/A 9261-2025 tillsynsbegäran mail.docx", "A 9261-2025")</f>
        <v/>
      </c>
      <c r="Z184">
        <f>HYPERLINK("https://klasma.github.io/Logging_0883/fåglar/A 9261-2025 prioriterade fågelarter.docx", "A 9261-2025")</f>
        <v/>
      </c>
    </row>
    <row r="185" ht="15" customHeight="1">
      <c r="A185" t="inlineStr">
        <is>
          <t>A 36595-2025</t>
        </is>
      </c>
      <c r="B185" s="1" t="n">
        <v>45870.513125</v>
      </c>
      <c r="C185" s="1" t="n">
        <v>45929</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36595-2025 artfynd.xlsx", "A 36595-2025")</f>
        <v/>
      </c>
      <c r="T185">
        <f>HYPERLINK("https://klasma.github.io/Logging_0883/kartor/A 36595-2025 karta.png", "A 36595-2025")</f>
        <v/>
      </c>
      <c r="V185">
        <f>HYPERLINK("https://klasma.github.io/Logging_0883/klagomål/A 36595-2025 FSC-klagomål.docx", "A 36595-2025")</f>
        <v/>
      </c>
      <c r="W185">
        <f>HYPERLINK("https://klasma.github.io/Logging_0883/klagomålsmail/A 36595-2025 FSC-klagomål mail.docx", "A 36595-2025")</f>
        <v/>
      </c>
      <c r="X185">
        <f>HYPERLINK("https://klasma.github.io/Logging_0883/tillsyn/A 36595-2025 tillsynsbegäran.docx", "A 36595-2025")</f>
        <v/>
      </c>
      <c r="Y185">
        <f>HYPERLINK("https://klasma.github.io/Logging_0883/tillsynsmail/A 36595-2025 tillsynsbegäran mail.docx", "A 36595-2025")</f>
        <v/>
      </c>
      <c r="Z185">
        <f>HYPERLINK("https://klasma.github.io/Logging_0883/fåglar/A 36595-2025 prioriterade fågelarter.docx", "A 36595-2025")</f>
        <v/>
      </c>
    </row>
    <row r="186" ht="15" customHeight="1">
      <c r="A186" t="inlineStr">
        <is>
          <t>A 46559-2022</t>
        </is>
      </c>
      <c r="B186" s="1" t="n">
        <v>44848</v>
      </c>
      <c r="C186" s="1" t="n">
        <v>45929</v>
      </c>
      <c r="D186" t="inlineStr">
        <is>
          <t>KALMAR LÄN</t>
        </is>
      </c>
      <c r="E186" t="inlineStr">
        <is>
          <t>VÄSTERVIK</t>
        </is>
      </c>
      <c r="F186" t="inlineStr">
        <is>
          <t>Sveaskog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HYPERLINK("https://klasma.github.io/Logging_0883/artfynd/A 46559-2022 artfynd.xlsx", "A 46559-2022")</f>
        <v/>
      </c>
      <c r="T186">
        <f>HYPERLINK("https://klasma.github.io/Logging_0883/kartor/A 46559-2022 karta.png", "A 46559-2022")</f>
        <v/>
      </c>
      <c r="V186">
        <f>HYPERLINK("https://klasma.github.io/Logging_0883/klagomål/A 46559-2022 FSC-klagomål.docx", "A 46559-2022")</f>
        <v/>
      </c>
      <c r="W186">
        <f>HYPERLINK("https://klasma.github.io/Logging_0883/klagomålsmail/A 46559-2022 FSC-klagomål mail.docx", "A 46559-2022")</f>
        <v/>
      </c>
      <c r="X186">
        <f>HYPERLINK("https://klasma.github.io/Logging_0883/tillsyn/A 46559-2022 tillsynsbegäran.docx", "A 46559-2022")</f>
        <v/>
      </c>
      <c r="Y186">
        <f>HYPERLINK("https://klasma.github.io/Logging_0883/tillsynsmail/A 46559-2022 tillsynsbegäran mail.docx", "A 46559-2022")</f>
        <v/>
      </c>
    </row>
    <row r="187" ht="15" customHeight="1">
      <c r="A187" t="inlineStr">
        <is>
          <t>A 25594-2021</t>
        </is>
      </c>
      <c r="B187" s="1" t="n">
        <v>44343</v>
      </c>
      <c r="C187" s="1" t="n">
        <v>45929</v>
      </c>
      <c r="D187" t="inlineStr">
        <is>
          <t>KALMAR LÄN</t>
        </is>
      </c>
      <c r="E187" t="inlineStr">
        <is>
          <t>VÄSTERVIK</t>
        </is>
      </c>
      <c r="F187" t="inlineStr">
        <is>
          <t>Holmen skog AB</t>
        </is>
      </c>
      <c r="G187" t="n">
        <v>3.2</v>
      </c>
      <c r="H187" t="n">
        <v>1</v>
      </c>
      <c r="I187" t="n">
        <v>0</v>
      </c>
      <c r="J187" t="n">
        <v>0</v>
      </c>
      <c r="K187" t="n">
        <v>1</v>
      </c>
      <c r="L187" t="n">
        <v>0</v>
      </c>
      <c r="M187" t="n">
        <v>0</v>
      </c>
      <c r="N187" t="n">
        <v>0</v>
      </c>
      <c r="O187" t="n">
        <v>1</v>
      </c>
      <c r="P187" t="n">
        <v>1</v>
      </c>
      <c r="Q187" t="n">
        <v>1</v>
      </c>
      <c r="R187" s="2" t="inlineStr">
        <is>
          <t>Knärot</t>
        </is>
      </c>
      <c r="S187">
        <f>HYPERLINK("https://klasma.github.io/Logging_0883/artfynd/A 25594-2021 artfynd.xlsx", "A 25594-2021")</f>
        <v/>
      </c>
      <c r="T187">
        <f>HYPERLINK("https://klasma.github.io/Logging_0883/kartor/A 25594-2021 karta.png", "A 25594-2021")</f>
        <v/>
      </c>
      <c r="U187">
        <f>HYPERLINK("https://klasma.github.io/Logging_0883/knärot/A 25594-2021 karta knärot.png", "A 25594-2021")</f>
        <v/>
      </c>
      <c r="V187">
        <f>HYPERLINK("https://klasma.github.io/Logging_0883/klagomål/A 25594-2021 FSC-klagomål.docx", "A 25594-2021")</f>
        <v/>
      </c>
      <c r="W187">
        <f>HYPERLINK("https://klasma.github.io/Logging_0883/klagomålsmail/A 25594-2021 FSC-klagomål mail.docx", "A 25594-2021")</f>
        <v/>
      </c>
      <c r="X187">
        <f>HYPERLINK("https://klasma.github.io/Logging_0883/tillsyn/A 25594-2021 tillsynsbegäran.docx", "A 25594-2021")</f>
        <v/>
      </c>
      <c r="Y187">
        <f>HYPERLINK("https://klasma.github.io/Logging_0883/tillsynsmail/A 25594-2021 tillsynsbegäran mail.docx", "A 25594-2021")</f>
        <v/>
      </c>
    </row>
    <row r="188" ht="15" customHeight="1">
      <c r="A188" t="inlineStr">
        <is>
          <t>A 29455-2021</t>
        </is>
      </c>
      <c r="B188" s="1" t="n">
        <v>44361</v>
      </c>
      <c r="C188" s="1" t="n">
        <v>45929</v>
      </c>
      <c r="D188" t="inlineStr">
        <is>
          <t>KALMAR LÄN</t>
        </is>
      </c>
      <c r="E188" t="inlineStr">
        <is>
          <t>VÄSTERVIK</t>
        </is>
      </c>
      <c r="F188" t="inlineStr">
        <is>
          <t>Övriga Aktiebolag</t>
        </is>
      </c>
      <c r="G188" t="n">
        <v>3.1</v>
      </c>
      <c r="H188" t="n">
        <v>1</v>
      </c>
      <c r="I188" t="n">
        <v>0</v>
      </c>
      <c r="J188" t="n">
        <v>0</v>
      </c>
      <c r="K188" t="n">
        <v>1</v>
      </c>
      <c r="L188" t="n">
        <v>0</v>
      </c>
      <c r="M188" t="n">
        <v>0</v>
      </c>
      <c r="N188" t="n">
        <v>0</v>
      </c>
      <c r="O188" t="n">
        <v>1</v>
      </c>
      <c r="P188" t="n">
        <v>1</v>
      </c>
      <c r="Q188" t="n">
        <v>1</v>
      </c>
      <c r="R188" s="2" t="inlineStr">
        <is>
          <t>Knärot</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row>
    <row r="189" ht="15" customHeight="1">
      <c r="A189" t="inlineStr">
        <is>
          <t>A 55616-2024</t>
        </is>
      </c>
      <c r="B189" s="1" t="n">
        <v>45622.5916087963</v>
      </c>
      <c r="C189" s="1" t="n">
        <v>45929</v>
      </c>
      <c r="D189" t="inlineStr">
        <is>
          <t>KALMAR LÄN</t>
        </is>
      </c>
      <c r="E189" t="inlineStr">
        <is>
          <t>VÄSTERVIK</t>
        </is>
      </c>
      <c r="G189" t="n">
        <v>0.5</v>
      </c>
      <c r="H189" t="n">
        <v>1</v>
      </c>
      <c r="I189" t="n">
        <v>0</v>
      </c>
      <c r="J189" t="n">
        <v>1</v>
      </c>
      <c r="K189" t="n">
        <v>0</v>
      </c>
      <c r="L189" t="n">
        <v>0</v>
      </c>
      <c r="M189" t="n">
        <v>0</v>
      </c>
      <c r="N189" t="n">
        <v>0</v>
      </c>
      <c r="O189" t="n">
        <v>1</v>
      </c>
      <c r="P189" t="n">
        <v>0</v>
      </c>
      <c r="Q189" t="n">
        <v>1</v>
      </c>
      <c r="R189" s="2" t="inlineStr">
        <is>
          <t>Entita</t>
        </is>
      </c>
      <c r="S189">
        <f>HYPERLINK("https://klasma.github.io/Logging_0883/artfynd/A 55616-2024 artfynd.xlsx", "A 55616-2024")</f>
        <v/>
      </c>
      <c r="T189">
        <f>HYPERLINK("https://klasma.github.io/Logging_0883/kartor/A 55616-2024 karta.png", "A 55616-2024")</f>
        <v/>
      </c>
      <c r="V189">
        <f>HYPERLINK("https://klasma.github.io/Logging_0883/klagomål/A 55616-2024 FSC-klagomål.docx", "A 55616-2024")</f>
        <v/>
      </c>
      <c r="W189">
        <f>HYPERLINK("https://klasma.github.io/Logging_0883/klagomålsmail/A 55616-2024 FSC-klagomål mail.docx", "A 55616-2024")</f>
        <v/>
      </c>
      <c r="X189">
        <f>HYPERLINK("https://klasma.github.io/Logging_0883/tillsyn/A 55616-2024 tillsynsbegäran.docx", "A 55616-2024")</f>
        <v/>
      </c>
      <c r="Y189">
        <f>HYPERLINK("https://klasma.github.io/Logging_0883/tillsynsmail/A 55616-2024 tillsynsbegäran mail.docx", "A 55616-2024")</f>
        <v/>
      </c>
      <c r="Z189">
        <f>HYPERLINK("https://klasma.github.io/Logging_0883/fåglar/A 55616-2024 prioriterade fågelarter.docx", "A 55616-2024")</f>
        <v/>
      </c>
    </row>
    <row r="190" ht="15" customHeight="1">
      <c r="A190" t="inlineStr">
        <is>
          <t>A 19900-2022</t>
        </is>
      </c>
      <c r="B190" s="1" t="n">
        <v>44697</v>
      </c>
      <c r="C190" s="1" t="n">
        <v>45929</v>
      </c>
      <c r="D190" t="inlineStr">
        <is>
          <t>KALMAR LÄN</t>
        </is>
      </c>
      <c r="E190" t="inlineStr">
        <is>
          <t>VÄSTERVIK</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HYPERLINK("https://klasma.github.io/Logging_0883/artfynd/A 19900-2022 artfynd.xlsx", "A 19900-2022")</f>
        <v/>
      </c>
      <c r="T190">
        <f>HYPERLINK("https://klasma.github.io/Logging_0883/kartor/A 19900-2022 karta.png", "A 19900-2022")</f>
        <v/>
      </c>
      <c r="U190">
        <f>HYPERLINK("https://klasma.github.io/Logging_0883/knärot/A 19900-2022 karta knärot.png", "A 19900-2022")</f>
        <v/>
      </c>
      <c r="V190">
        <f>HYPERLINK("https://klasma.github.io/Logging_0883/klagomål/A 19900-2022 FSC-klagomål.docx", "A 19900-2022")</f>
        <v/>
      </c>
      <c r="W190">
        <f>HYPERLINK("https://klasma.github.io/Logging_0883/klagomålsmail/A 19900-2022 FSC-klagomål mail.docx", "A 19900-2022")</f>
        <v/>
      </c>
      <c r="X190">
        <f>HYPERLINK("https://klasma.github.io/Logging_0883/tillsyn/A 19900-2022 tillsynsbegäran.docx", "A 19900-2022")</f>
        <v/>
      </c>
      <c r="Y190">
        <f>HYPERLINK("https://klasma.github.io/Logging_0883/tillsynsmail/A 19900-2022 tillsynsbegäran mail.docx", "A 19900-2022")</f>
        <v/>
      </c>
    </row>
    <row r="191" ht="15" customHeight="1">
      <c r="A191" t="inlineStr">
        <is>
          <t>A 25436-2023</t>
        </is>
      </c>
      <c r="B191" s="1" t="n">
        <v>45089</v>
      </c>
      <c r="C191" s="1" t="n">
        <v>45929</v>
      </c>
      <c r="D191" t="inlineStr">
        <is>
          <t>KALMAR LÄN</t>
        </is>
      </c>
      <c r="E191" t="inlineStr">
        <is>
          <t>VÄSTERVIK</t>
        </is>
      </c>
      <c r="G191" t="n">
        <v>1.6</v>
      </c>
      <c r="H191" t="n">
        <v>1</v>
      </c>
      <c r="I191" t="n">
        <v>0</v>
      </c>
      <c r="J191" t="n">
        <v>0</v>
      </c>
      <c r="K191" t="n">
        <v>1</v>
      </c>
      <c r="L191" t="n">
        <v>0</v>
      </c>
      <c r="M191" t="n">
        <v>0</v>
      </c>
      <c r="N191" t="n">
        <v>0</v>
      </c>
      <c r="O191" t="n">
        <v>1</v>
      </c>
      <c r="P191" t="n">
        <v>1</v>
      </c>
      <c r="Q191" t="n">
        <v>1</v>
      </c>
      <c r="R191" s="2" t="inlineStr">
        <is>
          <t>Knärot</t>
        </is>
      </c>
      <c r="S191">
        <f>HYPERLINK("https://klasma.github.io/Logging_0883/artfynd/A 25436-2023 artfynd.xlsx", "A 25436-2023")</f>
        <v/>
      </c>
      <c r="T191">
        <f>HYPERLINK("https://klasma.github.io/Logging_0883/kartor/A 25436-2023 karta.png", "A 25436-2023")</f>
        <v/>
      </c>
      <c r="U191">
        <f>HYPERLINK("https://klasma.github.io/Logging_0883/knärot/A 25436-2023 karta knärot.png", "A 25436-2023")</f>
        <v/>
      </c>
      <c r="V191">
        <f>HYPERLINK("https://klasma.github.io/Logging_0883/klagomål/A 25436-2023 FSC-klagomål.docx", "A 25436-2023")</f>
        <v/>
      </c>
      <c r="W191">
        <f>HYPERLINK("https://klasma.github.io/Logging_0883/klagomålsmail/A 25436-2023 FSC-klagomål mail.docx", "A 25436-2023")</f>
        <v/>
      </c>
      <c r="X191">
        <f>HYPERLINK("https://klasma.github.io/Logging_0883/tillsyn/A 25436-2023 tillsynsbegäran.docx", "A 25436-2023")</f>
        <v/>
      </c>
      <c r="Y191">
        <f>HYPERLINK("https://klasma.github.io/Logging_0883/tillsynsmail/A 25436-2023 tillsynsbegäran mail.docx", "A 25436-2023")</f>
        <v/>
      </c>
    </row>
    <row r="192" ht="15" customHeight="1">
      <c r="A192" t="inlineStr">
        <is>
          <t>A 1370-2024</t>
        </is>
      </c>
      <c r="B192" s="1" t="n">
        <v>45303</v>
      </c>
      <c r="C192" s="1" t="n">
        <v>45929</v>
      </c>
      <c r="D192" t="inlineStr">
        <is>
          <t>KALMAR LÄN</t>
        </is>
      </c>
      <c r="E192" t="inlineStr">
        <is>
          <t>VÄSTERVIK</t>
        </is>
      </c>
      <c r="G192" t="n">
        <v>0.4</v>
      </c>
      <c r="H192" t="n">
        <v>0</v>
      </c>
      <c r="I192" t="n">
        <v>1</v>
      </c>
      <c r="J192" t="n">
        <v>0</v>
      </c>
      <c r="K192" t="n">
        <v>0</v>
      </c>
      <c r="L192" t="n">
        <v>0</v>
      </c>
      <c r="M192" t="n">
        <v>0</v>
      </c>
      <c r="N192" t="n">
        <v>0</v>
      </c>
      <c r="O192" t="n">
        <v>0</v>
      </c>
      <c r="P192" t="n">
        <v>0</v>
      </c>
      <c r="Q192" t="n">
        <v>1</v>
      </c>
      <c r="R192" s="2" t="inlineStr">
        <is>
          <t>Brandticka</t>
        </is>
      </c>
      <c r="S192">
        <f>HYPERLINK("https://klasma.github.io/Logging_0883/artfynd/A 1370-2024 artfynd.xlsx", "A 1370-2024")</f>
        <v/>
      </c>
      <c r="T192">
        <f>HYPERLINK("https://klasma.github.io/Logging_0883/kartor/A 1370-2024 karta.png", "A 1370-2024")</f>
        <v/>
      </c>
      <c r="V192">
        <f>HYPERLINK("https://klasma.github.io/Logging_0883/klagomål/A 1370-2024 FSC-klagomål.docx", "A 1370-2024")</f>
        <v/>
      </c>
      <c r="W192">
        <f>HYPERLINK("https://klasma.github.io/Logging_0883/klagomålsmail/A 1370-2024 FSC-klagomål mail.docx", "A 1370-2024")</f>
        <v/>
      </c>
      <c r="X192">
        <f>HYPERLINK("https://klasma.github.io/Logging_0883/tillsyn/A 1370-2024 tillsynsbegäran.docx", "A 1370-2024")</f>
        <v/>
      </c>
      <c r="Y192">
        <f>HYPERLINK("https://klasma.github.io/Logging_0883/tillsynsmail/A 1370-2024 tillsynsbegäran mail.docx", "A 1370-2024")</f>
        <v/>
      </c>
    </row>
    <row r="193" ht="15" customHeight="1">
      <c r="A193" t="inlineStr">
        <is>
          <t>A 11609-2022</t>
        </is>
      </c>
      <c r="B193" s="1" t="n">
        <v>44631</v>
      </c>
      <c r="C193" s="1" t="n">
        <v>45929</v>
      </c>
      <c r="D193" t="inlineStr">
        <is>
          <t>KALMAR LÄN</t>
        </is>
      </c>
      <c r="E193" t="inlineStr">
        <is>
          <t>VÄSTERVIK</t>
        </is>
      </c>
      <c r="F193" t="inlineStr">
        <is>
          <t>Holmen skog AB</t>
        </is>
      </c>
      <c r="G193" t="n">
        <v>3.2</v>
      </c>
      <c r="H193" t="n">
        <v>0</v>
      </c>
      <c r="I193" t="n">
        <v>0</v>
      </c>
      <c r="J193" t="n">
        <v>1</v>
      </c>
      <c r="K193" t="n">
        <v>0</v>
      </c>
      <c r="L193" t="n">
        <v>0</v>
      </c>
      <c r="M193" t="n">
        <v>0</v>
      </c>
      <c r="N193" t="n">
        <v>0</v>
      </c>
      <c r="O193" t="n">
        <v>1</v>
      </c>
      <c r="P193" t="n">
        <v>0</v>
      </c>
      <c r="Q193" t="n">
        <v>1</v>
      </c>
      <c r="R193" s="2" t="inlineStr">
        <is>
          <t>Tallticka</t>
        </is>
      </c>
      <c r="S193">
        <f>HYPERLINK("https://klasma.github.io/Logging_0883/artfynd/A 11609-2022 artfynd.xlsx", "A 11609-2022")</f>
        <v/>
      </c>
      <c r="T193">
        <f>HYPERLINK("https://klasma.github.io/Logging_0883/kartor/A 11609-2022 karta.png", "A 11609-2022")</f>
        <v/>
      </c>
      <c r="U193">
        <f>HYPERLINK("https://klasma.github.io/Logging_0883/knärot/A 11609-2022 karta knärot.png", "A 11609-2022")</f>
        <v/>
      </c>
      <c r="V193">
        <f>HYPERLINK("https://klasma.github.io/Logging_0883/klagomål/A 11609-2022 FSC-klagomål.docx", "A 11609-2022")</f>
        <v/>
      </c>
      <c r="W193">
        <f>HYPERLINK("https://klasma.github.io/Logging_0883/klagomålsmail/A 11609-2022 FSC-klagomål mail.docx", "A 11609-2022")</f>
        <v/>
      </c>
      <c r="X193">
        <f>HYPERLINK("https://klasma.github.io/Logging_0883/tillsyn/A 11609-2022 tillsynsbegäran.docx", "A 11609-2022")</f>
        <v/>
      </c>
      <c r="Y193">
        <f>HYPERLINK("https://klasma.github.io/Logging_0883/tillsynsmail/A 11609-2022 tillsynsbegäran mail.docx", "A 11609-2022")</f>
        <v/>
      </c>
    </row>
    <row r="194" ht="15" customHeight="1">
      <c r="A194" t="inlineStr">
        <is>
          <t>A 1024-2023</t>
        </is>
      </c>
      <c r="B194" s="1" t="n">
        <v>44935</v>
      </c>
      <c r="C194" s="1" t="n">
        <v>45929</v>
      </c>
      <c r="D194" t="inlineStr">
        <is>
          <t>KALMAR LÄN</t>
        </is>
      </c>
      <c r="E194" t="inlineStr">
        <is>
          <t>VÄSTERVIK</t>
        </is>
      </c>
      <c r="F194" t="inlineStr">
        <is>
          <t>Holmen skog AB</t>
        </is>
      </c>
      <c r="G194" t="n">
        <v>1.9</v>
      </c>
      <c r="H194" t="n">
        <v>0</v>
      </c>
      <c r="I194" t="n">
        <v>0</v>
      </c>
      <c r="J194" t="n">
        <v>1</v>
      </c>
      <c r="K194" t="n">
        <v>0</v>
      </c>
      <c r="L194" t="n">
        <v>0</v>
      </c>
      <c r="M194" t="n">
        <v>0</v>
      </c>
      <c r="N194" t="n">
        <v>0</v>
      </c>
      <c r="O194" t="n">
        <v>1</v>
      </c>
      <c r="P194" t="n">
        <v>0</v>
      </c>
      <c r="Q194" t="n">
        <v>1</v>
      </c>
      <c r="R194" s="2" t="inlineStr">
        <is>
          <t>Ekticka</t>
        </is>
      </c>
      <c r="S194">
        <f>HYPERLINK("https://klasma.github.io/Logging_0883/artfynd/A 1024-2023 artfynd.xlsx", "A 1024-2023")</f>
        <v/>
      </c>
      <c r="T194">
        <f>HYPERLINK("https://klasma.github.io/Logging_0883/kartor/A 1024-2023 karta.png", "A 1024-2023")</f>
        <v/>
      </c>
      <c r="V194">
        <f>HYPERLINK("https://klasma.github.io/Logging_0883/klagomål/A 1024-2023 FSC-klagomål.docx", "A 1024-2023")</f>
        <v/>
      </c>
      <c r="W194">
        <f>HYPERLINK("https://klasma.github.io/Logging_0883/klagomålsmail/A 1024-2023 FSC-klagomål mail.docx", "A 1024-2023")</f>
        <v/>
      </c>
      <c r="X194">
        <f>HYPERLINK("https://klasma.github.io/Logging_0883/tillsyn/A 1024-2023 tillsynsbegäran.docx", "A 1024-2023")</f>
        <v/>
      </c>
      <c r="Y194">
        <f>HYPERLINK("https://klasma.github.io/Logging_0883/tillsynsmail/A 1024-2023 tillsynsbegäran mail.docx", "A 1024-2023")</f>
        <v/>
      </c>
    </row>
    <row r="195" ht="15" customHeight="1">
      <c r="A195" t="inlineStr">
        <is>
          <t>A 44618-2025</t>
        </is>
      </c>
      <c r="B195" s="1" t="n">
        <v>45917.46385416666</v>
      </c>
      <c r="C195" s="1" t="n">
        <v>45929</v>
      </c>
      <c r="D195" t="inlineStr">
        <is>
          <t>KALMAR LÄN</t>
        </is>
      </c>
      <c r="E195" t="inlineStr">
        <is>
          <t>VÄSTERVIK</t>
        </is>
      </c>
      <c r="F195" t="inlineStr">
        <is>
          <t>Övriga Aktiebolag</t>
        </is>
      </c>
      <c r="G195" t="n">
        <v>6.9</v>
      </c>
      <c r="H195" t="n">
        <v>1</v>
      </c>
      <c r="I195" t="n">
        <v>0</v>
      </c>
      <c r="J195" t="n">
        <v>1</v>
      </c>
      <c r="K195" t="n">
        <v>0</v>
      </c>
      <c r="L195" t="n">
        <v>0</v>
      </c>
      <c r="M195" t="n">
        <v>0</v>
      </c>
      <c r="N195" t="n">
        <v>0</v>
      </c>
      <c r="O195" t="n">
        <v>1</v>
      </c>
      <c r="P195" t="n">
        <v>0</v>
      </c>
      <c r="Q195" t="n">
        <v>1</v>
      </c>
      <c r="R195" s="2" t="inlineStr">
        <is>
          <t>Havsörn</t>
        </is>
      </c>
      <c r="S195">
        <f>HYPERLINK("https://klasma.github.io/Logging_0883/artfynd/A 44618-2025 artfynd.xlsx", "A 44618-2025")</f>
        <v/>
      </c>
      <c r="T195">
        <f>HYPERLINK("https://klasma.github.io/Logging_0883/kartor/A 44618-2025 karta.png", "A 44618-2025")</f>
        <v/>
      </c>
      <c r="V195">
        <f>HYPERLINK("https://klasma.github.io/Logging_0883/klagomål/A 44618-2025 FSC-klagomål.docx", "A 44618-2025")</f>
        <v/>
      </c>
      <c r="W195">
        <f>HYPERLINK("https://klasma.github.io/Logging_0883/klagomålsmail/A 44618-2025 FSC-klagomål mail.docx", "A 44618-2025")</f>
        <v/>
      </c>
      <c r="X195">
        <f>HYPERLINK("https://klasma.github.io/Logging_0883/tillsyn/A 44618-2025 tillsynsbegäran.docx", "A 44618-2025")</f>
        <v/>
      </c>
      <c r="Y195">
        <f>HYPERLINK("https://klasma.github.io/Logging_0883/tillsynsmail/A 44618-2025 tillsynsbegäran mail.docx", "A 44618-2025")</f>
        <v/>
      </c>
      <c r="Z195">
        <f>HYPERLINK("https://klasma.github.io/Logging_0883/fåglar/A 44618-2025 prioriterade fågelarter.docx", "A 44618-2025")</f>
        <v/>
      </c>
    </row>
    <row r="196" ht="15" customHeight="1">
      <c r="A196" t="inlineStr">
        <is>
          <t>A 44865-2025</t>
        </is>
      </c>
      <c r="B196" s="1" t="n">
        <v>45918.46114583333</v>
      </c>
      <c r="C196" s="1" t="n">
        <v>45929</v>
      </c>
      <c r="D196" t="inlineStr">
        <is>
          <t>KALMAR LÄN</t>
        </is>
      </c>
      <c r="E196" t="inlineStr">
        <is>
          <t>VÄSTERVIK</t>
        </is>
      </c>
      <c r="G196" t="n">
        <v>1.1</v>
      </c>
      <c r="H196" t="n">
        <v>1</v>
      </c>
      <c r="I196" t="n">
        <v>0</v>
      </c>
      <c r="J196" t="n">
        <v>0</v>
      </c>
      <c r="K196" t="n">
        <v>1</v>
      </c>
      <c r="L196" t="n">
        <v>0</v>
      </c>
      <c r="M196" t="n">
        <v>0</v>
      </c>
      <c r="N196" t="n">
        <v>0</v>
      </c>
      <c r="O196" t="n">
        <v>1</v>
      </c>
      <c r="P196" t="n">
        <v>1</v>
      </c>
      <c r="Q196" t="n">
        <v>1</v>
      </c>
      <c r="R196" s="2" t="inlineStr">
        <is>
          <t>Knärot</t>
        </is>
      </c>
      <c r="S196">
        <f>HYPERLINK("https://klasma.github.io/Logging_0883/artfynd/A 44865-2025 artfynd.xlsx", "A 44865-2025")</f>
        <v/>
      </c>
      <c r="T196">
        <f>HYPERLINK("https://klasma.github.io/Logging_0883/kartor/A 44865-2025 karta.png", "A 44865-2025")</f>
        <v/>
      </c>
      <c r="U196">
        <f>HYPERLINK("https://klasma.github.io/Logging_0883/knärot/A 44865-2025 karta knärot.png", "A 44865-2025")</f>
        <v/>
      </c>
      <c r="V196">
        <f>HYPERLINK("https://klasma.github.io/Logging_0883/klagomål/A 44865-2025 FSC-klagomål.docx", "A 44865-2025")</f>
        <v/>
      </c>
      <c r="W196">
        <f>HYPERLINK("https://klasma.github.io/Logging_0883/klagomålsmail/A 44865-2025 FSC-klagomål mail.docx", "A 44865-2025")</f>
        <v/>
      </c>
      <c r="X196">
        <f>HYPERLINK("https://klasma.github.io/Logging_0883/tillsyn/A 44865-2025 tillsynsbegäran.docx", "A 44865-2025")</f>
        <v/>
      </c>
      <c r="Y196">
        <f>HYPERLINK("https://klasma.github.io/Logging_0883/tillsynsmail/A 44865-2025 tillsynsbegäran mail.docx", "A 44865-2025")</f>
        <v/>
      </c>
    </row>
    <row r="197" ht="15" customHeight="1">
      <c r="A197" t="inlineStr">
        <is>
          <t>A 41271-2025</t>
        </is>
      </c>
      <c r="B197" s="1" t="n">
        <v>45898.62226851852</v>
      </c>
      <c r="C197" s="1" t="n">
        <v>45929</v>
      </c>
      <c r="D197" t="inlineStr">
        <is>
          <t>KALMAR LÄN</t>
        </is>
      </c>
      <c r="E197" t="inlineStr">
        <is>
          <t>VÄSTERVIK</t>
        </is>
      </c>
      <c r="G197" t="n">
        <v>1.1</v>
      </c>
      <c r="H197" t="n">
        <v>1</v>
      </c>
      <c r="I197" t="n">
        <v>0</v>
      </c>
      <c r="J197" t="n">
        <v>0</v>
      </c>
      <c r="K197" t="n">
        <v>1</v>
      </c>
      <c r="L197" t="n">
        <v>0</v>
      </c>
      <c r="M197" t="n">
        <v>0</v>
      </c>
      <c r="N197" t="n">
        <v>0</v>
      </c>
      <c r="O197" t="n">
        <v>1</v>
      </c>
      <c r="P197" t="n">
        <v>1</v>
      </c>
      <c r="Q197" t="n">
        <v>1</v>
      </c>
      <c r="R197" s="2" t="inlineStr">
        <is>
          <t>Knärot</t>
        </is>
      </c>
      <c r="S197">
        <f>HYPERLINK("https://klasma.github.io/Logging_0883/artfynd/A 41271-2025 artfynd.xlsx", "A 41271-2025")</f>
        <v/>
      </c>
      <c r="T197">
        <f>HYPERLINK("https://klasma.github.io/Logging_0883/kartor/A 41271-2025 karta.png", "A 41271-2025")</f>
        <v/>
      </c>
      <c r="U197">
        <f>HYPERLINK("https://klasma.github.io/Logging_0883/knärot/A 41271-2025 karta knärot.png", "A 41271-2025")</f>
        <v/>
      </c>
      <c r="V197">
        <f>HYPERLINK("https://klasma.github.io/Logging_0883/klagomål/A 41271-2025 FSC-klagomål.docx", "A 41271-2025")</f>
        <v/>
      </c>
      <c r="W197">
        <f>HYPERLINK("https://klasma.github.io/Logging_0883/klagomålsmail/A 41271-2025 FSC-klagomål mail.docx", "A 41271-2025")</f>
        <v/>
      </c>
      <c r="X197">
        <f>HYPERLINK("https://klasma.github.io/Logging_0883/tillsyn/A 41271-2025 tillsynsbegäran.docx", "A 41271-2025")</f>
        <v/>
      </c>
      <c r="Y197">
        <f>HYPERLINK("https://klasma.github.io/Logging_0883/tillsynsmail/A 41271-2025 tillsynsbegäran mail.docx", "A 41271-2025")</f>
        <v/>
      </c>
    </row>
    <row r="198" ht="15" customHeight="1">
      <c r="A198" t="inlineStr">
        <is>
          <t>A 34563-2023</t>
        </is>
      </c>
      <c r="B198" s="1" t="n">
        <v>45140.52086805556</v>
      </c>
      <c r="C198" s="1" t="n">
        <v>45929</v>
      </c>
      <c r="D198" t="inlineStr">
        <is>
          <t>KALMAR LÄN</t>
        </is>
      </c>
      <c r="E198" t="inlineStr">
        <is>
          <t>VÄSTERVIK</t>
        </is>
      </c>
      <c r="G198" t="n">
        <v>1.4</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34563-2023 artfynd.xlsx", "A 34563-2023")</f>
        <v/>
      </c>
      <c r="T198">
        <f>HYPERLINK("https://klasma.github.io/Logging_0883/kartor/A 34563-2023 karta.png", "A 34563-2023")</f>
        <v/>
      </c>
      <c r="U198">
        <f>HYPERLINK("https://klasma.github.io/Logging_0883/knärot/A 34563-2023 karta knärot.png", "A 34563-2023")</f>
        <v/>
      </c>
      <c r="V198">
        <f>HYPERLINK("https://klasma.github.io/Logging_0883/klagomål/A 34563-2023 FSC-klagomål.docx", "A 34563-2023")</f>
        <v/>
      </c>
      <c r="W198">
        <f>HYPERLINK("https://klasma.github.io/Logging_0883/klagomålsmail/A 34563-2023 FSC-klagomål mail.docx", "A 34563-2023")</f>
        <v/>
      </c>
      <c r="X198">
        <f>HYPERLINK("https://klasma.github.io/Logging_0883/tillsyn/A 34563-2023 tillsynsbegäran.docx", "A 34563-2023")</f>
        <v/>
      </c>
      <c r="Y198">
        <f>HYPERLINK("https://klasma.github.io/Logging_0883/tillsynsmail/A 34563-2023 tillsynsbegäran mail.docx", "A 34563-2023")</f>
        <v/>
      </c>
    </row>
    <row r="199" ht="15" customHeight="1">
      <c r="A199" t="inlineStr">
        <is>
          <t>A 3057-2025</t>
        </is>
      </c>
      <c r="B199" s="1" t="n">
        <v>45678</v>
      </c>
      <c r="C199" s="1" t="n">
        <v>45929</v>
      </c>
      <c r="D199" t="inlineStr">
        <is>
          <t>KALMAR LÄN</t>
        </is>
      </c>
      <c r="E199" t="inlineStr">
        <is>
          <t>VÄSTERVIK</t>
        </is>
      </c>
      <c r="G199" t="n">
        <v>1</v>
      </c>
      <c r="H199" t="n">
        <v>1</v>
      </c>
      <c r="I199" t="n">
        <v>0</v>
      </c>
      <c r="J199" t="n">
        <v>0</v>
      </c>
      <c r="K199" t="n">
        <v>1</v>
      </c>
      <c r="L199" t="n">
        <v>0</v>
      </c>
      <c r="M199" t="n">
        <v>0</v>
      </c>
      <c r="N199" t="n">
        <v>0</v>
      </c>
      <c r="O199" t="n">
        <v>1</v>
      </c>
      <c r="P199" t="n">
        <v>1</v>
      </c>
      <c r="Q199" t="n">
        <v>1</v>
      </c>
      <c r="R199" s="2" t="inlineStr">
        <is>
          <t>Knärot</t>
        </is>
      </c>
      <c r="S199">
        <f>HYPERLINK("https://klasma.github.io/Logging_0883/artfynd/A 3057-2025 artfynd.xlsx", "A 3057-2025")</f>
        <v/>
      </c>
      <c r="T199">
        <f>HYPERLINK("https://klasma.github.io/Logging_0883/kartor/A 3057-2025 karta.png", "A 3057-2025")</f>
        <v/>
      </c>
      <c r="U199">
        <f>HYPERLINK("https://klasma.github.io/Logging_0883/knärot/A 3057-2025 karta knärot.png", "A 3057-2025")</f>
        <v/>
      </c>
      <c r="V199">
        <f>HYPERLINK("https://klasma.github.io/Logging_0883/klagomål/A 3057-2025 FSC-klagomål.docx", "A 3057-2025")</f>
        <v/>
      </c>
      <c r="W199">
        <f>HYPERLINK("https://klasma.github.io/Logging_0883/klagomålsmail/A 3057-2025 FSC-klagomål mail.docx", "A 3057-2025")</f>
        <v/>
      </c>
      <c r="X199">
        <f>HYPERLINK("https://klasma.github.io/Logging_0883/tillsyn/A 3057-2025 tillsynsbegäran.docx", "A 3057-2025")</f>
        <v/>
      </c>
      <c r="Y199">
        <f>HYPERLINK("https://klasma.github.io/Logging_0883/tillsynsmail/A 3057-2025 tillsynsbegäran mail.docx", "A 3057-2025")</f>
        <v/>
      </c>
    </row>
    <row r="200" ht="15" customHeight="1">
      <c r="A200" t="inlineStr">
        <is>
          <t>A 54272-2023</t>
        </is>
      </c>
      <c r="B200" s="1" t="n">
        <v>45232</v>
      </c>
      <c r="C200" s="1" t="n">
        <v>45929</v>
      </c>
      <c r="D200" t="inlineStr">
        <is>
          <t>KALMAR LÄN</t>
        </is>
      </c>
      <c r="E200" t="inlineStr">
        <is>
          <t>VÄSTERVIK</t>
        </is>
      </c>
      <c r="G200" t="n">
        <v>1</v>
      </c>
      <c r="H200" t="n">
        <v>0</v>
      </c>
      <c r="I200" t="n">
        <v>1</v>
      </c>
      <c r="J200" t="n">
        <v>0</v>
      </c>
      <c r="K200" t="n">
        <v>0</v>
      </c>
      <c r="L200" t="n">
        <v>0</v>
      </c>
      <c r="M200" t="n">
        <v>0</v>
      </c>
      <c r="N200" t="n">
        <v>0</v>
      </c>
      <c r="O200" t="n">
        <v>0</v>
      </c>
      <c r="P200" t="n">
        <v>0</v>
      </c>
      <c r="Q200" t="n">
        <v>1</v>
      </c>
      <c r="R200" s="2" t="inlineStr">
        <is>
          <t>Aprikosfingersvamp</t>
        </is>
      </c>
      <c r="S200">
        <f>HYPERLINK("https://klasma.github.io/Logging_0883/artfynd/A 54272-2023 artfynd.xlsx", "A 54272-2023")</f>
        <v/>
      </c>
      <c r="T200">
        <f>HYPERLINK("https://klasma.github.io/Logging_0883/kartor/A 54272-2023 karta.png", "A 54272-2023")</f>
        <v/>
      </c>
      <c r="V200">
        <f>HYPERLINK("https://klasma.github.io/Logging_0883/klagomål/A 54272-2023 FSC-klagomål.docx", "A 54272-2023")</f>
        <v/>
      </c>
      <c r="W200">
        <f>HYPERLINK("https://klasma.github.io/Logging_0883/klagomålsmail/A 54272-2023 FSC-klagomål mail.docx", "A 54272-2023")</f>
        <v/>
      </c>
      <c r="X200">
        <f>HYPERLINK("https://klasma.github.io/Logging_0883/tillsyn/A 54272-2023 tillsynsbegäran.docx", "A 54272-2023")</f>
        <v/>
      </c>
      <c r="Y200">
        <f>HYPERLINK("https://klasma.github.io/Logging_0883/tillsynsmail/A 54272-2023 tillsynsbegäran mail.docx", "A 54272-2023")</f>
        <v/>
      </c>
    </row>
    <row r="201" ht="15" customHeight="1">
      <c r="A201" t="inlineStr">
        <is>
          <t>A 53075-2024</t>
        </is>
      </c>
      <c r="B201" s="1" t="n">
        <v>45611</v>
      </c>
      <c r="C201" s="1" t="n">
        <v>45929</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25447-2021</t>
        </is>
      </c>
      <c r="B202" s="1" t="n">
        <v>44342</v>
      </c>
      <c r="C202" s="1" t="n">
        <v>45929</v>
      </c>
      <c r="D202" t="inlineStr">
        <is>
          <t>KALMAR LÄN</t>
        </is>
      </c>
      <c r="E202" t="inlineStr">
        <is>
          <t>VÄSTERVIK</t>
        </is>
      </c>
      <c r="F202" t="inlineStr">
        <is>
          <t>Holmen skog AB</t>
        </is>
      </c>
      <c r="G202" t="n">
        <v>9</v>
      </c>
      <c r="H202" t="n">
        <v>1</v>
      </c>
      <c r="I202" t="n">
        <v>0</v>
      </c>
      <c r="J202" t="n">
        <v>0</v>
      </c>
      <c r="K202" t="n">
        <v>1</v>
      </c>
      <c r="L202" t="n">
        <v>0</v>
      </c>
      <c r="M202" t="n">
        <v>0</v>
      </c>
      <c r="N202" t="n">
        <v>0</v>
      </c>
      <c r="O202" t="n">
        <v>1</v>
      </c>
      <c r="P202" t="n">
        <v>1</v>
      </c>
      <c r="Q202" t="n">
        <v>1</v>
      </c>
      <c r="R202" s="2" t="inlineStr">
        <is>
          <t>Knärot</t>
        </is>
      </c>
      <c r="S202">
        <f>HYPERLINK("https://klasma.github.io/Logging_0883/artfynd/A 25447-2021 artfynd.xlsx", "A 25447-2021")</f>
        <v/>
      </c>
      <c r="T202">
        <f>HYPERLINK("https://klasma.github.io/Logging_0883/kartor/A 25447-2021 karta.png", "A 25447-2021")</f>
        <v/>
      </c>
      <c r="U202">
        <f>HYPERLINK("https://klasma.github.io/Logging_0883/knärot/A 25447-2021 karta knärot.png", "A 25447-2021")</f>
        <v/>
      </c>
      <c r="V202">
        <f>HYPERLINK("https://klasma.github.io/Logging_0883/klagomål/A 25447-2021 FSC-klagomål.docx", "A 25447-2021")</f>
        <v/>
      </c>
      <c r="W202">
        <f>HYPERLINK("https://klasma.github.io/Logging_0883/klagomålsmail/A 25447-2021 FSC-klagomål mail.docx", "A 25447-2021")</f>
        <v/>
      </c>
      <c r="X202">
        <f>HYPERLINK("https://klasma.github.io/Logging_0883/tillsyn/A 25447-2021 tillsynsbegäran.docx", "A 25447-2021")</f>
        <v/>
      </c>
      <c r="Y202">
        <f>HYPERLINK("https://klasma.github.io/Logging_0883/tillsynsmail/A 25447-2021 tillsynsbegäran mail.docx", "A 25447-2021")</f>
        <v/>
      </c>
    </row>
    <row r="203" ht="15" customHeight="1">
      <c r="A203" t="inlineStr">
        <is>
          <t>A 10768-2025</t>
        </is>
      </c>
      <c r="B203" s="1" t="n">
        <v>45722.46649305556</v>
      </c>
      <c r="C203" s="1" t="n">
        <v>45929</v>
      </c>
      <c r="D203" t="inlineStr">
        <is>
          <t>KALMAR LÄN</t>
        </is>
      </c>
      <c r="E203" t="inlineStr">
        <is>
          <t>VÄSTERVIK</t>
        </is>
      </c>
      <c r="G203" t="n">
        <v>0.9</v>
      </c>
      <c r="H203" t="n">
        <v>1</v>
      </c>
      <c r="I203" t="n">
        <v>0</v>
      </c>
      <c r="J203" t="n">
        <v>1</v>
      </c>
      <c r="K203" t="n">
        <v>0</v>
      </c>
      <c r="L203" t="n">
        <v>0</v>
      </c>
      <c r="M203" t="n">
        <v>0</v>
      </c>
      <c r="N203" t="n">
        <v>0</v>
      </c>
      <c r="O203" t="n">
        <v>1</v>
      </c>
      <c r="P203" t="n">
        <v>0</v>
      </c>
      <c r="Q203" t="n">
        <v>1</v>
      </c>
      <c r="R203" s="2" t="inlineStr">
        <is>
          <t>Talltita</t>
        </is>
      </c>
      <c r="S203">
        <f>HYPERLINK("https://klasma.github.io/Logging_0883/artfynd/A 10768-2025 artfynd.xlsx", "A 10768-2025")</f>
        <v/>
      </c>
      <c r="T203">
        <f>HYPERLINK("https://klasma.github.io/Logging_0883/kartor/A 10768-2025 karta.png", "A 10768-2025")</f>
        <v/>
      </c>
      <c r="V203">
        <f>HYPERLINK("https://klasma.github.io/Logging_0883/klagomål/A 10768-2025 FSC-klagomål.docx", "A 10768-2025")</f>
        <v/>
      </c>
      <c r="W203">
        <f>HYPERLINK("https://klasma.github.io/Logging_0883/klagomålsmail/A 10768-2025 FSC-klagomål mail.docx", "A 10768-2025")</f>
        <v/>
      </c>
      <c r="X203">
        <f>HYPERLINK("https://klasma.github.io/Logging_0883/tillsyn/A 10768-2025 tillsynsbegäran.docx", "A 10768-2025")</f>
        <v/>
      </c>
      <c r="Y203">
        <f>HYPERLINK("https://klasma.github.io/Logging_0883/tillsynsmail/A 10768-2025 tillsynsbegäran mail.docx", "A 10768-2025")</f>
        <v/>
      </c>
      <c r="Z203">
        <f>HYPERLINK("https://klasma.github.io/Logging_0883/fåglar/A 10768-2025 prioriterade fågelarter.docx", "A 10768-2025")</f>
        <v/>
      </c>
    </row>
    <row r="204" ht="15" customHeight="1">
      <c r="A204" t="inlineStr">
        <is>
          <t>A 24048-2021</t>
        </is>
      </c>
      <c r="B204" s="1" t="n">
        <v>44336</v>
      </c>
      <c r="C204" s="1" t="n">
        <v>45929</v>
      </c>
      <c r="D204" t="inlineStr">
        <is>
          <t>KALMAR LÄN</t>
        </is>
      </c>
      <c r="E204" t="inlineStr">
        <is>
          <t>VÄSTERVIK</t>
        </is>
      </c>
      <c r="G204" t="n">
        <v>3.5</v>
      </c>
      <c r="H204" t="n">
        <v>1</v>
      </c>
      <c r="I204" t="n">
        <v>0</v>
      </c>
      <c r="J204" t="n">
        <v>0</v>
      </c>
      <c r="K204" t="n">
        <v>1</v>
      </c>
      <c r="L204" t="n">
        <v>0</v>
      </c>
      <c r="M204" t="n">
        <v>0</v>
      </c>
      <c r="N204" t="n">
        <v>0</v>
      </c>
      <c r="O204" t="n">
        <v>1</v>
      </c>
      <c r="P204" t="n">
        <v>1</v>
      </c>
      <c r="Q204" t="n">
        <v>1</v>
      </c>
      <c r="R204" s="2" t="inlineStr">
        <is>
          <t>Knärot</t>
        </is>
      </c>
      <c r="S204">
        <f>HYPERLINK("https://klasma.github.io/Logging_0883/artfynd/A 24048-2021 artfynd.xlsx", "A 24048-2021")</f>
        <v/>
      </c>
      <c r="T204">
        <f>HYPERLINK("https://klasma.github.io/Logging_0883/kartor/A 24048-2021 karta.png", "A 24048-2021")</f>
        <v/>
      </c>
      <c r="U204">
        <f>HYPERLINK("https://klasma.github.io/Logging_0883/knärot/A 24048-2021 karta knärot.png", "A 24048-2021")</f>
        <v/>
      </c>
      <c r="V204">
        <f>HYPERLINK("https://klasma.github.io/Logging_0883/klagomål/A 24048-2021 FSC-klagomål.docx", "A 24048-2021")</f>
        <v/>
      </c>
      <c r="W204">
        <f>HYPERLINK("https://klasma.github.io/Logging_0883/klagomålsmail/A 24048-2021 FSC-klagomål mail.docx", "A 24048-2021")</f>
        <v/>
      </c>
      <c r="X204">
        <f>HYPERLINK("https://klasma.github.io/Logging_0883/tillsyn/A 24048-2021 tillsynsbegäran.docx", "A 24048-2021")</f>
        <v/>
      </c>
      <c r="Y204">
        <f>HYPERLINK("https://klasma.github.io/Logging_0883/tillsynsmail/A 24048-2021 tillsynsbegäran mail.docx", "A 24048-2021")</f>
        <v/>
      </c>
    </row>
    <row r="205" ht="15" customHeight="1">
      <c r="A205" t="inlineStr">
        <is>
          <t>A 59178-2022</t>
        </is>
      </c>
      <c r="B205" s="1" t="n">
        <v>44904</v>
      </c>
      <c r="C205" s="1" t="n">
        <v>45929</v>
      </c>
      <c r="D205" t="inlineStr">
        <is>
          <t>KALMAR LÄN</t>
        </is>
      </c>
      <c r="E205" t="inlineStr">
        <is>
          <t>VÄSTERVIK</t>
        </is>
      </c>
      <c r="G205" t="n">
        <v>3.3</v>
      </c>
      <c r="H205" t="n">
        <v>0</v>
      </c>
      <c r="I205" t="n">
        <v>0</v>
      </c>
      <c r="J205" t="n">
        <v>1</v>
      </c>
      <c r="K205" t="n">
        <v>0</v>
      </c>
      <c r="L205" t="n">
        <v>0</v>
      </c>
      <c r="M205" t="n">
        <v>0</v>
      </c>
      <c r="N205" t="n">
        <v>0</v>
      </c>
      <c r="O205" t="n">
        <v>1</v>
      </c>
      <c r="P205" t="n">
        <v>0</v>
      </c>
      <c r="Q205" t="n">
        <v>1</v>
      </c>
      <c r="R205" s="2" t="inlineStr">
        <is>
          <t>Tallticka</t>
        </is>
      </c>
      <c r="S205">
        <f>HYPERLINK("https://klasma.github.io/Logging_0883/artfynd/A 59178-2022 artfynd.xlsx", "A 59178-2022")</f>
        <v/>
      </c>
      <c r="T205">
        <f>HYPERLINK("https://klasma.github.io/Logging_0883/kartor/A 59178-2022 karta.png", "A 59178-2022")</f>
        <v/>
      </c>
      <c r="V205">
        <f>HYPERLINK("https://klasma.github.io/Logging_0883/klagomål/A 59178-2022 FSC-klagomål.docx", "A 59178-2022")</f>
        <v/>
      </c>
      <c r="W205">
        <f>HYPERLINK("https://klasma.github.io/Logging_0883/klagomålsmail/A 59178-2022 FSC-klagomål mail.docx", "A 59178-2022")</f>
        <v/>
      </c>
      <c r="X205">
        <f>HYPERLINK("https://klasma.github.io/Logging_0883/tillsyn/A 59178-2022 tillsynsbegäran.docx", "A 59178-2022")</f>
        <v/>
      </c>
      <c r="Y205">
        <f>HYPERLINK("https://klasma.github.io/Logging_0883/tillsynsmail/A 59178-2022 tillsynsbegäran mail.docx", "A 59178-2022")</f>
        <v/>
      </c>
    </row>
    <row r="206" ht="15" customHeight="1">
      <c r="A206" t="inlineStr">
        <is>
          <t>A 14089-2025</t>
        </is>
      </c>
      <c r="B206" s="1" t="n">
        <v>45740.44363425926</v>
      </c>
      <c r="C206" s="1" t="n">
        <v>45929</v>
      </c>
      <c r="D206" t="inlineStr">
        <is>
          <t>KALMAR LÄN</t>
        </is>
      </c>
      <c r="E206" t="inlineStr">
        <is>
          <t>VÄSTERVIK</t>
        </is>
      </c>
      <c r="F206" t="inlineStr">
        <is>
          <t>Sveaskog</t>
        </is>
      </c>
      <c r="G206" t="n">
        <v>1.3</v>
      </c>
      <c r="H206" t="n">
        <v>1</v>
      </c>
      <c r="I206" t="n">
        <v>0</v>
      </c>
      <c r="J206" t="n">
        <v>1</v>
      </c>
      <c r="K206" t="n">
        <v>0</v>
      </c>
      <c r="L206" t="n">
        <v>0</v>
      </c>
      <c r="M206" t="n">
        <v>0</v>
      </c>
      <c r="N206" t="n">
        <v>0</v>
      </c>
      <c r="O206" t="n">
        <v>1</v>
      </c>
      <c r="P206" t="n">
        <v>0</v>
      </c>
      <c r="Q206" t="n">
        <v>1</v>
      </c>
      <c r="R206" s="2" t="inlineStr">
        <is>
          <t>Spillkråka</t>
        </is>
      </c>
      <c r="S206">
        <f>HYPERLINK("https://klasma.github.io/Logging_0883/artfynd/A 14089-2025 artfynd.xlsx", "A 14089-2025")</f>
        <v/>
      </c>
      <c r="T206">
        <f>HYPERLINK("https://klasma.github.io/Logging_0883/kartor/A 14089-2025 karta.png", "A 14089-2025")</f>
        <v/>
      </c>
      <c r="V206">
        <f>HYPERLINK("https://klasma.github.io/Logging_0883/klagomål/A 14089-2025 FSC-klagomål.docx", "A 14089-2025")</f>
        <v/>
      </c>
      <c r="W206">
        <f>HYPERLINK("https://klasma.github.io/Logging_0883/klagomålsmail/A 14089-2025 FSC-klagomål mail.docx", "A 14089-2025")</f>
        <v/>
      </c>
      <c r="X206">
        <f>HYPERLINK("https://klasma.github.io/Logging_0883/tillsyn/A 14089-2025 tillsynsbegäran.docx", "A 14089-2025")</f>
        <v/>
      </c>
      <c r="Y206">
        <f>HYPERLINK("https://klasma.github.io/Logging_0883/tillsynsmail/A 14089-2025 tillsynsbegäran mail.docx", "A 14089-2025")</f>
        <v/>
      </c>
      <c r="Z206">
        <f>HYPERLINK("https://klasma.github.io/Logging_0883/fåglar/A 14089-2025 prioriterade fågelarter.docx", "A 14089-2025")</f>
        <v/>
      </c>
    </row>
    <row r="207" ht="15" customHeight="1">
      <c r="A207" t="inlineStr">
        <is>
          <t>A 12662-2022</t>
        </is>
      </c>
      <c r="B207" s="1" t="n">
        <v>44641</v>
      </c>
      <c r="C207" s="1" t="n">
        <v>45929</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12662-2022 artfynd.xlsx", "A 12662-2022")</f>
        <v/>
      </c>
      <c r="T207">
        <f>HYPERLINK("https://klasma.github.io/Logging_0883/kartor/A 12662-2022 karta.png", "A 12662-2022")</f>
        <v/>
      </c>
      <c r="V207">
        <f>HYPERLINK("https://klasma.github.io/Logging_0883/klagomål/A 12662-2022 FSC-klagomål.docx", "A 12662-2022")</f>
        <v/>
      </c>
      <c r="W207">
        <f>HYPERLINK("https://klasma.github.io/Logging_0883/klagomålsmail/A 12662-2022 FSC-klagomål mail.docx", "A 12662-2022")</f>
        <v/>
      </c>
      <c r="X207">
        <f>HYPERLINK("https://klasma.github.io/Logging_0883/tillsyn/A 12662-2022 tillsynsbegäran.docx", "A 12662-2022")</f>
        <v/>
      </c>
      <c r="Y207">
        <f>HYPERLINK("https://klasma.github.io/Logging_0883/tillsynsmail/A 12662-2022 tillsynsbegäran mail.docx", "A 12662-2022")</f>
        <v/>
      </c>
    </row>
    <row r="208" ht="15" customHeight="1">
      <c r="A208" t="inlineStr">
        <is>
          <t>A 5575-2021</t>
        </is>
      </c>
      <c r="B208" s="1" t="n">
        <v>44230</v>
      </c>
      <c r="C208" s="1" t="n">
        <v>45929</v>
      </c>
      <c r="D208" t="inlineStr">
        <is>
          <t>KALMAR LÄN</t>
        </is>
      </c>
      <c r="E208" t="inlineStr">
        <is>
          <t>VÄSTERVIK</t>
        </is>
      </c>
      <c r="G208" t="n">
        <v>2.6</v>
      </c>
      <c r="H208" t="n">
        <v>1</v>
      </c>
      <c r="I208" t="n">
        <v>1</v>
      </c>
      <c r="J208" t="n">
        <v>0</v>
      </c>
      <c r="K208" t="n">
        <v>0</v>
      </c>
      <c r="L208" t="n">
        <v>0</v>
      </c>
      <c r="M208" t="n">
        <v>0</v>
      </c>
      <c r="N208" t="n">
        <v>0</v>
      </c>
      <c r="O208" t="n">
        <v>0</v>
      </c>
      <c r="P208" t="n">
        <v>0</v>
      </c>
      <c r="Q208" t="n">
        <v>1</v>
      </c>
      <c r="R208" s="2" t="inlineStr">
        <is>
          <t>Ekoxe</t>
        </is>
      </c>
      <c r="S208">
        <f>HYPERLINK("https://klasma.github.io/Logging_0883/artfynd/A 5575-2021 artfynd.xlsx", "A 5575-2021")</f>
        <v/>
      </c>
      <c r="T208">
        <f>HYPERLINK("https://klasma.github.io/Logging_0883/kartor/A 5575-2021 karta.png", "A 5575-2021")</f>
        <v/>
      </c>
      <c r="V208">
        <f>HYPERLINK("https://klasma.github.io/Logging_0883/klagomål/A 5575-2021 FSC-klagomål.docx", "A 5575-2021")</f>
        <v/>
      </c>
      <c r="W208">
        <f>HYPERLINK("https://klasma.github.io/Logging_0883/klagomålsmail/A 5575-2021 FSC-klagomål mail.docx", "A 5575-2021")</f>
        <v/>
      </c>
      <c r="X208">
        <f>HYPERLINK("https://klasma.github.io/Logging_0883/tillsyn/A 5575-2021 tillsynsbegäran.docx", "A 5575-2021")</f>
        <v/>
      </c>
      <c r="Y208">
        <f>HYPERLINK("https://klasma.github.io/Logging_0883/tillsynsmail/A 5575-2021 tillsynsbegäran mail.docx", "A 5575-2021")</f>
        <v/>
      </c>
    </row>
    <row r="209" ht="15" customHeight="1">
      <c r="A209" t="inlineStr">
        <is>
          <t>A 4750-2025</t>
        </is>
      </c>
      <c r="B209" s="1" t="n">
        <v>45688</v>
      </c>
      <c r="C209" s="1" t="n">
        <v>45929</v>
      </c>
      <c r="D209" t="inlineStr">
        <is>
          <t>KALMAR LÄN</t>
        </is>
      </c>
      <c r="E209" t="inlineStr">
        <is>
          <t>VÄSTERVIK</t>
        </is>
      </c>
      <c r="F209" t="inlineStr">
        <is>
          <t>Holmen skog AB</t>
        </is>
      </c>
      <c r="G209" t="n">
        <v>0.9</v>
      </c>
      <c r="H209" t="n">
        <v>1</v>
      </c>
      <c r="I209" t="n">
        <v>0</v>
      </c>
      <c r="J209" t="n">
        <v>1</v>
      </c>
      <c r="K209" t="n">
        <v>0</v>
      </c>
      <c r="L209" t="n">
        <v>0</v>
      </c>
      <c r="M209" t="n">
        <v>0</v>
      </c>
      <c r="N209" t="n">
        <v>0</v>
      </c>
      <c r="O209" t="n">
        <v>1</v>
      </c>
      <c r="P209" t="n">
        <v>0</v>
      </c>
      <c r="Q209" t="n">
        <v>1</v>
      </c>
      <c r="R209" s="2" t="inlineStr">
        <is>
          <t>Talltita</t>
        </is>
      </c>
      <c r="S209">
        <f>HYPERLINK("https://klasma.github.io/Logging_0883/artfynd/A 4750-2025 artfynd.xlsx", "A 4750-2025")</f>
        <v/>
      </c>
      <c r="T209">
        <f>HYPERLINK("https://klasma.github.io/Logging_0883/kartor/A 4750-2025 karta.png", "A 4750-2025")</f>
        <v/>
      </c>
      <c r="V209">
        <f>HYPERLINK("https://klasma.github.io/Logging_0883/klagomål/A 4750-2025 FSC-klagomål.docx", "A 4750-2025")</f>
        <v/>
      </c>
      <c r="W209">
        <f>HYPERLINK("https://klasma.github.io/Logging_0883/klagomålsmail/A 4750-2025 FSC-klagomål mail.docx", "A 4750-2025")</f>
        <v/>
      </c>
      <c r="X209">
        <f>HYPERLINK("https://klasma.github.io/Logging_0883/tillsyn/A 4750-2025 tillsynsbegäran.docx", "A 4750-2025")</f>
        <v/>
      </c>
      <c r="Y209">
        <f>HYPERLINK("https://klasma.github.io/Logging_0883/tillsynsmail/A 4750-2025 tillsynsbegäran mail.docx", "A 4750-2025")</f>
        <v/>
      </c>
      <c r="Z209">
        <f>HYPERLINK("https://klasma.github.io/Logging_0883/fåglar/A 4750-2025 prioriterade fågelarter.docx", "A 4750-2025")</f>
        <v/>
      </c>
    </row>
    <row r="210" ht="15" customHeight="1">
      <c r="A210" t="inlineStr">
        <is>
          <t>A 6657-2025</t>
        </is>
      </c>
      <c r="B210" s="1" t="n">
        <v>45700</v>
      </c>
      <c r="C210" s="1" t="n">
        <v>45929</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51514-2024</t>
        </is>
      </c>
      <c r="B211" s="1" t="n">
        <v>45604.5640625</v>
      </c>
      <c r="C211" s="1" t="n">
        <v>45929</v>
      </c>
      <c r="D211" t="inlineStr">
        <is>
          <t>KALMAR LÄN</t>
        </is>
      </c>
      <c r="E211" t="inlineStr">
        <is>
          <t>VÄSTERVIK</t>
        </is>
      </c>
      <c r="F211" t="inlineStr">
        <is>
          <t>Övriga Aktiebolag</t>
        </is>
      </c>
      <c r="G211" t="n">
        <v>2.4</v>
      </c>
      <c r="H211" t="n">
        <v>1</v>
      </c>
      <c r="I211" t="n">
        <v>0</v>
      </c>
      <c r="J211" t="n">
        <v>1</v>
      </c>
      <c r="K211" t="n">
        <v>0</v>
      </c>
      <c r="L211" t="n">
        <v>0</v>
      </c>
      <c r="M211" t="n">
        <v>0</v>
      </c>
      <c r="N211" t="n">
        <v>0</v>
      </c>
      <c r="O211" t="n">
        <v>1</v>
      </c>
      <c r="P211" t="n">
        <v>0</v>
      </c>
      <c r="Q211" t="n">
        <v>1</v>
      </c>
      <c r="R211" s="2" t="inlineStr">
        <is>
          <t>Havsörn</t>
        </is>
      </c>
      <c r="S211">
        <f>HYPERLINK("https://klasma.github.io/Logging_0883/artfynd/A 51514-2024 artfynd.xlsx", "A 51514-2024")</f>
        <v/>
      </c>
      <c r="T211">
        <f>HYPERLINK("https://klasma.github.io/Logging_0883/kartor/A 51514-2024 karta.png", "A 51514-2024")</f>
        <v/>
      </c>
      <c r="V211">
        <f>HYPERLINK("https://klasma.github.io/Logging_0883/klagomål/A 51514-2024 FSC-klagomål.docx", "A 51514-2024")</f>
        <v/>
      </c>
      <c r="W211">
        <f>HYPERLINK("https://klasma.github.io/Logging_0883/klagomålsmail/A 51514-2024 FSC-klagomål mail.docx", "A 51514-2024")</f>
        <v/>
      </c>
      <c r="X211">
        <f>HYPERLINK("https://klasma.github.io/Logging_0883/tillsyn/A 51514-2024 tillsynsbegäran.docx", "A 51514-2024")</f>
        <v/>
      </c>
      <c r="Y211">
        <f>HYPERLINK("https://klasma.github.io/Logging_0883/tillsynsmail/A 51514-2024 tillsynsbegäran mail.docx", "A 51514-2024")</f>
        <v/>
      </c>
      <c r="Z211">
        <f>HYPERLINK("https://klasma.github.io/Logging_0883/fåglar/A 51514-2024 prioriterade fågelarter.docx", "A 51514-2024")</f>
        <v/>
      </c>
    </row>
    <row r="212" ht="15" customHeight="1">
      <c r="A212" t="inlineStr">
        <is>
          <t>A 975-2023</t>
        </is>
      </c>
      <c r="B212" s="1" t="n">
        <v>44935</v>
      </c>
      <c r="C212" s="1" t="n">
        <v>45929</v>
      </c>
      <c r="D212" t="inlineStr">
        <is>
          <t>KALMAR LÄN</t>
        </is>
      </c>
      <c r="E212" t="inlineStr">
        <is>
          <t>VÄSTERVIK</t>
        </is>
      </c>
      <c r="G212" t="n">
        <v>1.7</v>
      </c>
      <c r="H212" t="n">
        <v>1</v>
      </c>
      <c r="I212" t="n">
        <v>0</v>
      </c>
      <c r="J212" t="n">
        <v>0</v>
      </c>
      <c r="K212" t="n">
        <v>1</v>
      </c>
      <c r="L212" t="n">
        <v>0</v>
      </c>
      <c r="M212" t="n">
        <v>0</v>
      </c>
      <c r="N212" t="n">
        <v>0</v>
      </c>
      <c r="O212" t="n">
        <v>1</v>
      </c>
      <c r="P212" t="n">
        <v>1</v>
      </c>
      <c r="Q212" t="n">
        <v>1</v>
      </c>
      <c r="R212" s="2" t="inlineStr">
        <is>
          <t>Läderbagge</t>
        </is>
      </c>
      <c r="S212">
        <f>HYPERLINK("https://klasma.github.io/Logging_0883/artfynd/A 975-2023 artfynd.xlsx", "A 975-2023")</f>
        <v/>
      </c>
      <c r="T212">
        <f>HYPERLINK("https://klasma.github.io/Logging_0883/kartor/A 975-2023 karta.png", "A 975-2023")</f>
        <v/>
      </c>
      <c r="V212">
        <f>HYPERLINK("https://klasma.github.io/Logging_0883/klagomål/A 975-2023 FSC-klagomål.docx", "A 975-2023")</f>
        <v/>
      </c>
      <c r="W212">
        <f>HYPERLINK("https://klasma.github.io/Logging_0883/klagomålsmail/A 975-2023 FSC-klagomål mail.docx", "A 975-2023")</f>
        <v/>
      </c>
      <c r="X212">
        <f>HYPERLINK("https://klasma.github.io/Logging_0883/tillsyn/A 975-2023 tillsynsbegäran.docx", "A 975-2023")</f>
        <v/>
      </c>
      <c r="Y212">
        <f>HYPERLINK("https://klasma.github.io/Logging_0883/tillsynsmail/A 975-2023 tillsynsbegäran mail.docx", "A 975-2023")</f>
        <v/>
      </c>
    </row>
    <row r="213" ht="15" customHeight="1">
      <c r="A213" t="inlineStr">
        <is>
          <t>A 14131-2025</t>
        </is>
      </c>
      <c r="B213" s="1" t="n">
        <v>45740.47480324074</v>
      </c>
      <c r="C213" s="1" t="n">
        <v>45929</v>
      </c>
      <c r="D213" t="inlineStr">
        <is>
          <t>KALMAR LÄN</t>
        </is>
      </c>
      <c r="E213" t="inlineStr">
        <is>
          <t>VÄSTERVIK</t>
        </is>
      </c>
      <c r="F213" t="inlineStr">
        <is>
          <t>Sveaskog</t>
        </is>
      </c>
      <c r="G213" t="n">
        <v>0.7</v>
      </c>
      <c r="H213" t="n">
        <v>1</v>
      </c>
      <c r="I213" t="n">
        <v>0</v>
      </c>
      <c r="J213" t="n">
        <v>0</v>
      </c>
      <c r="K213" t="n">
        <v>0</v>
      </c>
      <c r="L213" t="n">
        <v>0</v>
      </c>
      <c r="M213" t="n">
        <v>0</v>
      </c>
      <c r="N213" t="n">
        <v>0</v>
      </c>
      <c r="O213" t="n">
        <v>0</v>
      </c>
      <c r="P213" t="n">
        <v>0</v>
      </c>
      <c r="Q213" t="n">
        <v>1</v>
      </c>
      <c r="R213" s="2" t="inlineStr">
        <is>
          <t>Blåsippa</t>
        </is>
      </c>
      <c r="S213">
        <f>HYPERLINK("https://klasma.github.io/Logging_0883/artfynd/A 14131-2025 artfynd.xlsx", "A 14131-2025")</f>
        <v/>
      </c>
      <c r="T213">
        <f>HYPERLINK("https://klasma.github.io/Logging_0883/kartor/A 14131-2025 karta.png", "A 14131-2025")</f>
        <v/>
      </c>
      <c r="V213">
        <f>HYPERLINK("https://klasma.github.io/Logging_0883/klagomål/A 14131-2025 FSC-klagomål.docx", "A 14131-2025")</f>
        <v/>
      </c>
      <c r="W213">
        <f>HYPERLINK("https://klasma.github.io/Logging_0883/klagomålsmail/A 14131-2025 FSC-klagomål mail.docx", "A 14131-2025")</f>
        <v/>
      </c>
      <c r="X213">
        <f>HYPERLINK("https://klasma.github.io/Logging_0883/tillsyn/A 14131-2025 tillsynsbegäran.docx", "A 14131-2025")</f>
        <v/>
      </c>
      <c r="Y213">
        <f>HYPERLINK("https://klasma.github.io/Logging_0883/tillsynsmail/A 14131-2025 tillsynsbegäran mail.docx", "A 14131-2025")</f>
        <v/>
      </c>
    </row>
    <row r="214" ht="15" customHeight="1">
      <c r="A214" t="inlineStr">
        <is>
          <t>A 61319-2021</t>
        </is>
      </c>
      <c r="B214" s="1" t="n">
        <v>44498</v>
      </c>
      <c r="C214" s="1" t="n">
        <v>45929</v>
      </c>
      <c r="D214" t="inlineStr">
        <is>
          <t>KALMAR LÄN</t>
        </is>
      </c>
      <c r="E214" t="inlineStr">
        <is>
          <t>VÄSTERVIK</t>
        </is>
      </c>
      <c r="G214" t="n">
        <v>2.2</v>
      </c>
      <c r="H214" t="n">
        <v>1</v>
      </c>
      <c r="I214" t="n">
        <v>1</v>
      </c>
      <c r="J214" t="n">
        <v>0</v>
      </c>
      <c r="K214" t="n">
        <v>0</v>
      </c>
      <c r="L214" t="n">
        <v>0</v>
      </c>
      <c r="M214" t="n">
        <v>0</v>
      </c>
      <c r="N214" t="n">
        <v>0</v>
      </c>
      <c r="O214" t="n">
        <v>0</v>
      </c>
      <c r="P214" t="n">
        <v>0</v>
      </c>
      <c r="Q214" t="n">
        <v>1</v>
      </c>
      <c r="R214" s="2" t="inlineStr">
        <is>
          <t>Ekoxe</t>
        </is>
      </c>
      <c r="S214">
        <f>HYPERLINK("https://klasma.github.io/Logging_0883/artfynd/A 61319-2021 artfynd.xlsx", "A 61319-2021")</f>
        <v/>
      </c>
      <c r="T214">
        <f>HYPERLINK("https://klasma.github.io/Logging_0883/kartor/A 61319-2021 karta.png", "A 61319-2021")</f>
        <v/>
      </c>
      <c r="V214">
        <f>HYPERLINK("https://klasma.github.io/Logging_0883/klagomål/A 61319-2021 FSC-klagomål.docx", "A 61319-2021")</f>
        <v/>
      </c>
      <c r="W214">
        <f>HYPERLINK("https://klasma.github.io/Logging_0883/klagomålsmail/A 61319-2021 FSC-klagomål mail.docx", "A 61319-2021")</f>
        <v/>
      </c>
      <c r="X214">
        <f>HYPERLINK("https://klasma.github.io/Logging_0883/tillsyn/A 61319-2021 tillsynsbegäran.docx", "A 61319-2021")</f>
        <v/>
      </c>
      <c r="Y214">
        <f>HYPERLINK("https://klasma.github.io/Logging_0883/tillsynsmail/A 61319-2021 tillsynsbegäran mail.docx", "A 61319-2021")</f>
        <v/>
      </c>
    </row>
    <row r="215" ht="15" customHeight="1">
      <c r="A215" t="inlineStr">
        <is>
          <t>A 9265-2025</t>
        </is>
      </c>
      <c r="B215" s="1" t="n">
        <v>45714.61153935185</v>
      </c>
      <c r="C215" s="1" t="n">
        <v>45929</v>
      </c>
      <c r="D215" t="inlineStr">
        <is>
          <t>KALMAR LÄN</t>
        </is>
      </c>
      <c r="E215" t="inlineStr">
        <is>
          <t>VÄSTERVIK</t>
        </is>
      </c>
      <c r="F215" t="inlineStr">
        <is>
          <t>Sveaskog</t>
        </is>
      </c>
      <c r="G215" t="n">
        <v>2.2</v>
      </c>
      <c r="H215" t="n">
        <v>1</v>
      </c>
      <c r="I215" t="n">
        <v>0</v>
      </c>
      <c r="J215" t="n">
        <v>1</v>
      </c>
      <c r="K215" t="n">
        <v>0</v>
      </c>
      <c r="L215" t="n">
        <v>0</v>
      </c>
      <c r="M215" t="n">
        <v>0</v>
      </c>
      <c r="N215" t="n">
        <v>0</v>
      </c>
      <c r="O215" t="n">
        <v>1</v>
      </c>
      <c r="P215" t="n">
        <v>0</v>
      </c>
      <c r="Q215" t="n">
        <v>1</v>
      </c>
      <c r="R215" s="2" t="inlineStr">
        <is>
          <t>Havsörn</t>
        </is>
      </c>
      <c r="S215">
        <f>HYPERLINK("https://klasma.github.io/Logging_0883/artfynd/A 9265-2025 artfynd.xlsx", "A 9265-2025")</f>
        <v/>
      </c>
      <c r="T215">
        <f>HYPERLINK("https://klasma.github.io/Logging_0883/kartor/A 9265-2025 karta.png", "A 9265-2025")</f>
        <v/>
      </c>
      <c r="V215">
        <f>HYPERLINK("https://klasma.github.io/Logging_0883/klagomål/A 9265-2025 FSC-klagomål.docx", "A 9265-2025")</f>
        <v/>
      </c>
      <c r="W215">
        <f>HYPERLINK("https://klasma.github.io/Logging_0883/klagomålsmail/A 9265-2025 FSC-klagomål mail.docx", "A 9265-2025")</f>
        <v/>
      </c>
      <c r="X215">
        <f>HYPERLINK("https://klasma.github.io/Logging_0883/tillsyn/A 9265-2025 tillsynsbegäran.docx", "A 9265-2025")</f>
        <v/>
      </c>
      <c r="Y215">
        <f>HYPERLINK("https://klasma.github.io/Logging_0883/tillsynsmail/A 9265-2025 tillsynsbegäran mail.docx", "A 9265-2025")</f>
        <v/>
      </c>
      <c r="Z215">
        <f>HYPERLINK("https://klasma.github.io/Logging_0883/fåglar/A 9265-2025 prioriterade fågelarter.docx", "A 9265-2025")</f>
        <v/>
      </c>
    </row>
    <row r="216" ht="15" customHeight="1">
      <c r="A216" t="inlineStr">
        <is>
          <t>A 56439-2024</t>
        </is>
      </c>
      <c r="B216" s="1" t="n">
        <v>45625.4175</v>
      </c>
      <c r="C216" s="1" t="n">
        <v>45929</v>
      </c>
      <c r="D216" t="inlineStr">
        <is>
          <t>KALMAR LÄN</t>
        </is>
      </c>
      <c r="E216" t="inlineStr">
        <is>
          <t>VÄSTERVIK</t>
        </is>
      </c>
      <c r="F216" t="inlineStr">
        <is>
          <t>Övriga Aktiebolag</t>
        </is>
      </c>
      <c r="G216" t="n">
        <v>3.3</v>
      </c>
      <c r="H216" t="n">
        <v>0</v>
      </c>
      <c r="I216" t="n">
        <v>1</v>
      </c>
      <c r="J216" t="n">
        <v>0</v>
      </c>
      <c r="K216" t="n">
        <v>0</v>
      </c>
      <c r="L216" t="n">
        <v>0</v>
      </c>
      <c r="M216" t="n">
        <v>0</v>
      </c>
      <c r="N216" t="n">
        <v>0</v>
      </c>
      <c r="O216" t="n">
        <v>0</v>
      </c>
      <c r="P216" t="n">
        <v>0</v>
      </c>
      <c r="Q216" t="n">
        <v>1</v>
      </c>
      <c r="R216" s="2" t="inlineStr">
        <is>
          <t>Hasselticka</t>
        </is>
      </c>
      <c r="S216">
        <f>HYPERLINK("https://klasma.github.io/Logging_0883/artfynd/A 56439-2024 artfynd.xlsx", "A 56439-2024")</f>
        <v/>
      </c>
      <c r="T216">
        <f>HYPERLINK("https://klasma.github.io/Logging_0883/kartor/A 56439-2024 karta.png", "A 56439-2024")</f>
        <v/>
      </c>
      <c r="V216">
        <f>HYPERLINK("https://klasma.github.io/Logging_0883/klagomål/A 56439-2024 FSC-klagomål.docx", "A 56439-2024")</f>
        <v/>
      </c>
      <c r="W216">
        <f>HYPERLINK("https://klasma.github.io/Logging_0883/klagomålsmail/A 56439-2024 FSC-klagomål mail.docx", "A 56439-2024")</f>
        <v/>
      </c>
      <c r="X216">
        <f>HYPERLINK("https://klasma.github.io/Logging_0883/tillsyn/A 56439-2024 tillsynsbegäran.docx", "A 56439-2024")</f>
        <v/>
      </c>
      <c r="Y216">
        <f>HYPERLINK("https://klasma.github.io/Logging_0883/tillsynsmail/A 56439-2024 tillsynsbegäran mail.docx", "A 56439-2024")</f>
        <v/>
      </c>
    </row>
    <row r="217" ht="15" customHeight="1">
      <c r="A217" t="inlineStr">
        <is>
          <t>A 16695-2025</t>
        </is>
      </c>
      <c r="B217" s="1" t="n">
        <v>45754.46579861111</v>
      </c>
      <c r="C217" s="1" t="n">
        <v>45929</v>
      </c>
      <c r="D217" t="inlineStr">
        <is>
          <t>KALMAR LÄN</t>
        </is>
      </c>
      <c r="E217" t="inlineStr">
        <is>
          <t>VÄSTERVIK</t>
        </is>
      </c>
      <c r="F217" t="inlineStr">
        <is>
          <t>Sveaskog</t>
        </is>
      </c>
      <c r="G217" t="n">
        <v>1.8</v>
      </c>
      <c r="H217" t="n">
        <v>1</v>
      </c>
      <c r="I217" t="n">
        <v>0</v>
      </c>
      <c r="J217" t="n">
        <v>0</v>
      </c>
      <c r="K217" t="n">
        <v>0</v>
      </c>
      <c r="L217" t="n">
        <v>0</v>
      </c>
      <c r="M217" t="n">
        <v>0</v>
      </c>
      <c r="N217" t="n">
        <v>0</v>
      </c>
      <c r="O217" t="n">
        <v>0</v>
      </c>
      <c r="P217" t="n">
        <v>0</v>
      </c>
      <c r="Q217" t="n">
        <v>1</v>
      </c>
      <c r="R217" s="2" t="inlineStr">
        <is>
          <t>Kungsfågel</t>
        </is>
      </c>
      <c r="S217">
        <f>HYPERLINK("https://klasma.github.io/Logging_0883/artfynd/A 16695-2025 artfynd.xlsx", "A 16695-2025")</f>
        <v/>
      </c>
      <c r="T217">
        <f>HYPERLINK("https://klasma.github.io/Logging_0883/kartor/A 16695-2025 karta.png", "A 16695-2025")</f>
        <v/>
      </c>
      <c r="V217">
        <f>HYPERLINK("https://klasma.github.io/Logging_0883/klagomål/A 16695-2025 FSC-klagomål.docx", "A 16695-2025")</f>
        <v/>
      </c>
      <c r="W217">
        <f>HYPERLINK("https://klasma.github.io/Logging_0883/klagomålsmail/A 16695-2025 FSC-klagomål mail.docx", "A 16695-2025")</f>
        <v/>
      </c>
      <c r="X217">
        <f>HYPERLINK("https://klasma.github.io/Logging_0883/tillsyn/A 16695-2025 tillsynsbegäran.docx", "A 16695-2025")</f>
        <v/>
      </c>
      <c r="Y217">
        <f>HYPERLINK("https://klasma.github.io/Logging_0883/tillsynsmail/A 16695-2025 tillsynsbegäran mail.docx", "A 16695-2025")</f>
        <v/>
      </c>
      <c r="Z217">
        <f>HYPERLINK("https://klasma.github.io/Logging_0883/fåglar/A 16695-2025 prioriterade fågelarter.docx", "A 16695-2025")</f>
        <v/>
      </c>
    </row>
    <row r="218" ht="15" customHeight="1">
      <c r="A218" t="inlineStr">
        <is>
          <t>A 16697-2025</t>
        </is>
      </c>
      <c r="B218" s="1" t="n">
        <v>45754.46709490741</v>
      </c>
      <c r="C218" s="1" t="n">
        <v>45929</v>
      </c>
      <c r="D218" t="inlineStr">
        <is>
          <t>KALMAR LÄN</t>
        </is>
      </c>
      <c r="E218" t="inlineStr">
        <is>
          <t>VÄSTERVIK</t>
        </is>
      </c>
      <c r="F218" t="inlineStr">
        <is>
          <t>Sveaskog</t>
        </is>
      </c>
      <c r="G218" t="n">
        <v>1.3</v>
      </c>
      <c r="H218" t="n">
        <v>1</v>
      </c>
      <c r="I218" t="n">
        <v>0</v>
      </c>
      <c r="J218" t="n">
        <v>1</v>
      </c>
      <c r="K218" t="n">
        <v>0</v>
      </c>
      <c r="L218" t="n">
        <v>0</v>
      </c>
      <c r="M218" t="n">
        <v>0</v>
      </c>
      <c r="N218" t="n">
        <v>0</v>
      </c>
      <c r="O218" t="n">
        <v>1</v>
      </c>
      <c r="P218" t="n">
        <v>0</v>
      </c>
      <c r="Q218" t="n">
        <v>1</v>
      </c>
      <c r="R218" s="2" t="inlineStr">
        <is>
          <t>Spillkråka</t>
        </is>
      </c>
      <c r="S218">
        <f>HYPERLINK("https://klasma.github.io/Logging_0883/artfynd/A 16697-2025 artfynd.xlsx", "A 16697-2025")</f>
        <v/>
      </c>
      <c r="T218">
        <f>HYPERLINK("https://klasma.github.io/Logging_0883/kartor/A 16697-2025 karta.png", "A 16697-2025")</f>
        <v/>
      </c>
      <c r="V218">
        <f>HYPERLINK("https://klasma.github.io/Logging_0883/klagomål/A 16697-2025 FSC-klagomål.docx", "A 16697-2025")</f>
        <v/>
      </c>
      <c r="W218">
        <f>HYPERLINK("https://klasma.github.io/Logging_0883/klagomålsmail/A 16697-2025 FSC-klagomål mail.docx", "A 16697-2025")</f>
        <v/>
      </c>
      <c r="X218">
        <f>HYPERLINK("https://klasma.github.io/Logging_0883/tillsyn/A 16697-2025 tillsynsbegäran.docx", "A 16697-2025")</f>
        <v/>
      </c>
      <c r="Y218">
        <f>HYPERLINK("https://klasma.github.io/Logging_0883/tillsynsmail/A 16697-2025 tillsynsbegäran mail.docx", "A 16697-2025")</f>
        <v/>
      </c>
      <c r="Z218">
        <f>HYPERLINK("https://klasma.github.io/Logging_0883/fåglar/A 16697-2025 prioriterade fågelarter.docx", "A 16697-2025")</f>
        <v/>
      </c>
    </row>
    <row r="219" ht="15" customHeight="1">
      <c r="A219" t="inlineStr">
        <is>
          <t>A 28495-2023</t>
        </is>
      </c>
      <c r="B219" s="1" t="n">
        <v>45103</v>
      </c>
      <c r="C219" s="1" t="n">
        <v>45929</v>
      </c>
      <c r="D219" t="inlineStr">
        <is>
          <t>KALMAR LÄN</t>
        </is>
      </c>
      <c r="E219" t="inlineStr">
        <is>
          <t>VÄSTERVIK</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HYPERLINK("https://klasma.github.io/Logging_0883/artfynd/A 28495-2023 artfynd.xlsx", "A 28495-2023")</f>
        <v/>
      </c>
      <c r="T219">
        <f>HYPERLINK("https://klasma.github.io/Logging_0883/kartor/A 28495-2023 karta.png", "A 28495-2023")</f>
        <v/>
      </c>
      <c r="U219">
        <f>HYPERLINK("https://klasma.github.io/Logging_0883/knärot/A 28495-2023 karta knärot.png", "A 28495-2023")</f>
        <v/>
      </c>
      <c r="V219">
        <f>HYPERLINK("https://klasma.github.io/Logging_0883/klagomål/A 28495-2023 FSC-klagomål.docx", "A 28495-2023")</f>
        <v/>
      </c>
      <c r="W219">
        <f>HYPERLINK("https://klasma.github.io/Logging_0883/klagomålsmail/A 28495-2023 FSC-klagomål mail.docx", "A 28495-2023")</f>
        <v/>
      </c>
      <c r="X219">
        <f>HYPERLINK("https://klasma.github.io/Logging_0883/tillsyn/A 28495-2023 tillsynsbegäran.docx", "A 28495-2023")</f>
        <v/>
      </c>
      <c r="Y219">
        <f>HYPERLINK("https://klasma.github.io/Logging_0883/tillsynsmail/A 28495-2023 tillsynsbegäran mail.docx", "A 28495-2023")</f>
        <v/>
      </c>
    </row>
    <row r="220" ht="15" customHeight="1">
      <c r="A220" t="inlineStr">
        <is>
          <t>A 14103-2025</t>
        </is>
      </c>
      <c r="B220" s="1" t="n">
        <v>45740.45232638889</v>
      </c>
      <c r="C220" s="1" t="n">
        <v>45929</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59368-2023</t>
        </is>
      </c>
      <c r="B221" s="1" t="n">
        <v>45253</v>
      </c>
      <c r="C221" s="1" t="n">
        <v>45929</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59368-2023 artfynd.xlsx", "A 59368-2023")</f>
        <v/>
      </c>
      <c r="T221">
        <f>HYPERLINK("https://klasma.github.io/Logging_0883/kartor/A 59368-2023 karta.png", "A 59368-2023")</f>
        <v/>
      </c>
      <c r="U221">
        <f>HYPERLINK("https://klasma.github.io/Logging_0883/knärot/A 59368-2023 karta knärot.png", "A 59368-2023")</f>
        <v/>
      </c>
      <c r="V221">
        <f>HYPERLINK("https://klasma.github.io/Logging_0883/klagomål/A 59368-2023 FSC-klagomål.docx", "A 59368-2023")</f>
        <v/>
      </c>
      <c r="W221">
        <f>HYPERLINK("https://klasma.github.io/Logging_0883/klagomålsmail/A 59368-2023 FSC-klagomål mail.docx", "A 59368-2023")</f>
        <v/>
      </c>
      <c r="X221">
        <f>HYPERLINK("https://klasma.github.io/Logging_0883/tillsyn/A 59368-2023 tillsynsbegäran.docx", "A 59368-2023")</f>
        <v/>
      </c>
      <c r="Y221">
        <f>HYPERLINK("https://klasma.github.io/Logging_0883/tillsynsmail/A 59368-2023 tillsynsbegäran mail.docx", "A 59368-2023")</f>
        <v/>
      </c>
    </row>
    <row r="222" ht="15" customHeight="1">
      <c r="A222" t="inlineStr">
        <is>
          <t>A 17952-2025</t>
        </is>
      </c>
      <c r="B222" s="1" t="n">
        <v>45760.85842592592</v>
      </c>
      <c r="C222" s="1" t="n">
        <v>45929</v>
      </c>
      <c r="D222" t="inlineStr">
        <is>
          <t>KALMAR LÄN</t>
        </is>
      </c>
      <c r="E222" t="inlineStr">
        <is>
          <t>VÄSTERVIK</t>
        </is>
      </c>
      <c r="G222" t="n">
        <v>3.3</v>
      </c>
      <c r="H222" t="n">
        <v>1</v>
      </c>
      <c r="I222" t="n">
        <v>0</v>
      </c>
      <c r="J222" t="n">
        <v>0</v>
      </c>
      <c r="K222" t="n">
        <v>0</v>
      </c>
      <c r="L222" t="n">
        <v>0</v>
      </c>
      <c r="M222" t="n">
        <v>0</v>
      </c>
      <c r="N222" t="n">
        <v>0</v>
      </c>
      <c r="O222" t="n">
        <v>0</v>
      </c>
      <c r="P222" t="n">
        <v>0</v>
      </c>
      <c r="Q222" t="n">
        <v>1</v>
      </c>
      <c r="R222" s="2" t="inlineStr">
        <is>
          <t>Revlummer</t>
        </is>
      </c>
      <c r="S222">
        <f>HYPERLINK("https://klasma.github.io/Logging_0883/artfynd/A 17952-2025 artfynd.xlsx", "A 17952-2025")</f>
        <v/>
      </c>
      <c r="T222">
        <f>HYPERLINK("https://klasma.github.io/Logging_0883/kartor/A 17952-2025 karta.png", "A 17952-2025")</f>
        <v/>
      </c>
      <c r="V222">
        <f>HYPERLINK("https://klasma.github.io/Logging_0883/klagomål/A 17952-2025 FSC-klagomål.docx", "A 17952-2025")</f>
        <v/>
      </c>
      <c r="W222">
        <f>HYPERLINK("https://klasma.github.io/Logging_0883/klagomålsmail/A 17952-2025 FSC-klagomål mail.docx", "A 17952-2025")</f>
        <v/>
      </c>
      <c r="X222">
        <f>HYPERLINK("https://klasma.github.io/Logging_0883/tillsyn/A 17952-2025 tillsynsbegäran.docx", "A 17952-2025")</f>
        <v/>
      </c>
      <c r="Y222">
        <f>HYPERLINK("https://klasma.github.io/Logging_0883/tillsynsmail/A 17952-2025 tillsynsbegäran mail.docx", "A 17952-2025")</f>
        <v/>
      </c>
    </row>
    <row r="223" ht="15" customHeight="1">
      <c r="A223" t="inlineStr">
        <is>
          <t>A 21409-2025</t>
        </is>
      </c>
      <c r="B223" s="1" t="n">
        <v>45782</v>
      </c>
      <c r="C223" s="1" t="n">
        <v>45929</v>
      </c>
      <c r="D223" t="inlineStr">
        <is>
          <t>KALMAR LÄN</t>
        </is>
      </c>
      <c r="E223" t="inlineStr">
        <is>
          <t>VÄSTERVIK</t>
        </is>
      </c>
      <c r="G223" t="n">
        <v>2.5</v>
      </c>
      <c r="H223" t="n">
        <v>1</v>
      </c>
      <c r="I223" t="n">
        <v>0</v>
      </c>
      <c r="J223" t="n">
        <v>0</v>
      </c>
      <c r="K223" t="n">
        <v>0</v>
      </c>
      <c r="L223" t="n">
        <v>0</v>
      </c>
      <c r="M223" t="n">
        <v>0</v>
      </c>
      <c r="N223" t="n">
        <v>0</v>
      </c>
      <c r="O223" t="n">
        <v>0</v>
      </c>
      <c r="P223" t="n">
        <v>0</v>
      </c>
      <c r="Q223" t="n">
        <v>1</v>
      </c>
      <c r="R223" s="2" t="inlineStr">
        <is>
          <t>Grönvit nattviol</t>
        </is>
      </c>
      <c r="S223">
        <f>HYPERLINK("https://klasma.github.io/Logging_0883/artfynd/A 21409-2025 artfynd.xlsx", "A 21409-2025")</f>
        <v/>
      </c>
      <c r="T223">
        <f>HYPERLINK("https://klasma.github.io/Logging_0883/kartor/A 21409-2025 karta.png", "A 21409-2025")</f>
        <v/>
      </c>
      <c r="V223">
        <f>HYPERLINK("https://klasma.github.io/Logging_0883/klagomål/A 21409-2025 FSC-klagomål.docx", "A 21409-2025")</f>
        <v/>
      </c>
      <c r="W223">
        <f>HYPERLINK("https://klasma.github.io/Logging_0883/klagomålsmail/A 21409-2025 FSC-klagomål mail.docx", "A 21409-2025")</f>
        <v/>
      </c>
      <c r="X223">
        <f>HYPERLINK("https://klasma.github.io/Logging_0883/tillsyn/A 21409-2025 tillsynsbegäran.docx", "A 21409-2025")</f>
        <v/>
      </c>
      <c r="Y223">
        <f>HYPERLINK("https://klasma.github.io/Logging_0883/tillsynsmail/A 21409-2025 tillsynsbegäran mail.docx", "A 21409-2025")</f>
        <v/>
      </c>
    </row>
    <row r="224" ht="15" customHeight="1">
      <c r="A224" t="inlineStr">
        <is>
          <t>A 21653-2025</t>
        </is>
      </c>
      <c r="B224" s="1" t="n">
        <v>45783.45039351852</v>
      </c>
      <c r="C224" s="1" t="n">
        <v>45929</v>
      </c>
      <c r="D224" t="inlineStr">
        <is>
          <t>KALMAR LÄN</t>
        </is>
      </c>
      <c r="E224" t="inlineStr">
        <is>
          <t>VÄSTERVIK</t>
        </is>
      </c>
      <c r="F224" t="inlineStr">
        <is>
          <t>Sveaskog</t>
        </is>
      </c>
      <c r="G224" t="n">
        <v>2.8</v>
      </c>
      <c r="H224" t="n">
        <v>1</v>
      </c>
      <c r="I224" t="n">
        <v>0</v>
      </c>
      <c r="J224" t="n">
        <v>1</v>
      </c>
      <c r="K224" t="n">
        <v>0</v>
      </c>
      <c r="L224" t="n">
        <v>0</v>
      </c>
      <c r="M224" t="n">
        <v>0</v>
      </c>
      <c r="N224" t="n">
        <v>0</v>
      </c>
      <c r="O224" t="n">
        <v>1</v>
      </c>
      <c r="P224" t="n">
        <v>0</v>
      </c>
      <c r="Q224" t="n">
        <v>1</v>
      </c>
      <c r="R224" s="2" t="inlineStr">
        <is>
          <t>Entita</t>
        </is>
      </c>
      <c r="S224">
        <f>HYPERLINK("https://klasma.github.io/Logging_0883/artfynd/A 21653-2025 artfynd.xlsx", "A 21653-2025")</f>
        <v/>
      </c>
      <c r="T224">
        <f>HYPERLINK("https://klasma.github.io/Logging_0883/kartor/A 21653-2025 karta.png", "A 21653-2025")</f>
        <v/>
      </c>
      <c r="V224">
        <f>HYPERLINK("https://klasma.github.io/Logging_0883/klagomål/A 21653-2025 FSC-klagomål.docx", "A 21653-2025")</f>
        <v/>
      </c>
      <c r="W224">
        <f>HYPERLINK("https://klasma.github.io/Logging_0883/klagomålsmail/A 21653-2025 FSC-klagomål mail.docx", "A 21653-2025")</f>
        <v/>
      </c>
      <c r="X224">
        <f>HYPERLINK("https://klasma.github.io/Logging_0883/tillsyn/A 21653-2025 tillsynsbegäran.docx", "A 21653-2025")</f>
        <v/>
      </c>
      <c r="Y224">
        <f>HYPERLINK("https://klasma.github.io/Logging_0883/tillsynsmail/A 21653-2025 tillsynsbegäran mail.docx", "A 21653-2025")</f>
        <v/>
      </c>
      <c r="Z224">
        <f>HYPERLINK("https://klasma.github.io/Logging_0883/fåglar/A 21653-2025 prioriterade fågelarter.docx", "A 21653-2025")</f>
        <v/>
      </c>
    </row>
    <row r="225" ht="15" customHeight="1">
      <c r="A225" t="inlineStr">
        <is>
          <t>A 44635-2021</t>
        </is>
      </c>
      <c r="B225" s="1" t="n">
        <v>44437</v>
      </c>
      <c r="C225" s="1" t="n">
        <v>45929</v>
      </c>
      <c r="D225" t="inlineStr">
        <is>
          <t>KALMAR LÄN</t>
        </is>
      </c>
      <c r="E225" t="inlineStr">
        <is>
          <t>VÄSTERVIK</t>
        </is>
      </c>
      <c r="G225" t="n">
        <v>0.9</v>
      </c>
      <c r="H225" t="n">
        <v>0</v>
      </c>
      <c r="I225" t="n">
        <v>1</v>
      </c>
      <c r="J225" t="n">
        <v>0</v>
      </c>
      <c r="K225" t="n">
        <v>0</v>
      </c>
      <c r="L225" t="n">
        <v>0</v>
      </c>
      <c r="M225" t="n">
        <v>0</v>
      </c>
      <c r="N225" t="n">
        <v>0</v>
      </c>
      <c r="O225" t="n">
        <v>0</v>
      </c>
      <c r="P225" t="n">
        <v>0</v>
      </c>
      <c r="Q225" t="n">
        <v>1</v>
      </c>
      <c r="R225" s="2" t="inlineStr">
        <is>
          <t>Brandticka</t>
        </is>
      </c>
      <c r="S225">
        <f>HYPERLINK("https://klasma.github.io/Logging_0883/artfynd/A 44635-2021 artfynd.xlsx", "A 44635-2021")</f>
        <v/>
      </c>
      <c r="T225">
        <f>HYPERLINK("https://klasma.github.io/Logging_0883/kartor/A 44635-2021 karta.png", "A 44635-2021")</f>
        <v/>
      </c>
      <c r="V225">
        <f>HYPERLINK("https://klasma.github.io/Logging_0883/klagomål/A 44635-2021 FSC-klagomål.docx", "A 44635-2021")</f>
        <v/>
      </c>
      <c r="W225">
        <f>HYPERLINK("https://klasma.github.io/Logging_0883/klagomålsmail/A 44635-2021 FSC-klagomål mail.docx", "A 44635-2021")</f>
        <v/>
      </c>
      <c r="X225">
        <f>HYPERLINK("https://klasma.github.io/Logging_0883/tillsyn/A 44635-2021 tillsynsbegäran.docx", "A 44635-2021")</f>
        <v/>
      </c>
      <c r="Y225">
        <f>HYPERLINK("https://klasma.github.io/Logging_0883/tillsynsmail/A 44635-2021 tillsynsbegäran mail.docx", "A 44635-2021")</f>
        <v/>
      </c>
    </row>
    <row r="226" ht="15" customHeight="1">
      <c r="A226" t="inlineStr">
        <is>
          <t>A 6025-2024</t>
        </is>
      </c>
      <c r="B226" s="1" t="n">
        <v>45336</v>
      </c>
      <c r="C226" s="1" t="n">
        <v>45929</v>
      </c>
      <c r="D226" t="inlineStr">
        <is>
          <t>KALMAR LÄN</t>
        </is>
      </c>
      <c r="E226" t="inlineStr">
        <is>
          <t>VÄSTERVIK</t>
        </is>
      </c>
      <c r="G226" t="n">
        <v>2.8</v>
      </c>
      <c r="H226" t="n">
        <v>0</v>
      </c>
      <c r="I226" t="n">
        <v>0</v>
      </c>
      <c r="J226" t="n">
        <v>1</v>
      </c>
      <c r="K226" t="n">
        <v>0</v>
      </c>
      <c r="L226" t="n">
        <v>0</v>
      </c>
      <c r="M226" t="n">
        <v>0</v>
      </c>
      <c r="N226" t="n">
        <v>0</v>
      </c>
      <c r="O226" t="n">
        <v>1</v>
      </c>
      <c r="P226" t="n">
        <v>0</v>
      </c>
      <c r="Q226" t="n">
        <v>1</v>
      </c>
      <c r="R226" s="2" t="inlineStr">
        <is>
          <t>Tallticka</t>
        </is>
      </c>
      <c r="S226">
        <f>HYPERLINK("https://klasma.github.io/Logging_0883/artfynd/A 6025-2024 artfynd.xlsx", "A 6025-2024")</f>
        <v/>
      </c>
      <c r="T226">
        <f>HYPERLINK("https://klasma.github.io/Logging_0883/kartor/A 6025-2024 karta.png", "A 6025-2024")</f>
        <v/>
      </c>
      <c r="V226">
        <f>HYPERLINK("https://klasma.github.io/Logging_0883/klagomål/A 6025-2024 FSC-klagomål.docx", "A 6025-2024")</f>
        <v/>
      </c>
      <c r="W226">
        <f>HYPERLINK("https://klasma.github.io/Logging_0883/klagomålsmail/A 6025-2024 FSC-klagomål mail.docx", "A 6025-2024")</f>
        <v/>
      </c>
      <c r="X226">
        <f>HYPERLINK("https://klasma.github.io/Logging_0883/tillsyn/A 6025-2024 tillsynsbegäran.docx", "A 6025-2024")</f>
        <v/>
      </c>
      <c r="Y226">
        <f>HYPERLINK("https://klasma.github.io/Logging_0883/tillsynsmail/A 6025-2024 tillsynsbegäran mail.docx", "A 6025-2024")</f>
        <v/>
      </c>
    </row>
    <row r="227" ht="15" customHeight="1">
      <c r="A227" t="inlineStr">
        <is>
          <t>A 11729-2023</t>
        </is>
      </c>
      <c r="B227" s="1" t="n">
        <v>44994</v>
      </c>
      <c r="C227" s="1" t="n">
        <v>45929</v>
      </c>
      <c r="D227" t="inlineStr">
        <is>
          <t>KALMAR LÄN</t>
        </is>
      </c>
      <c r="E227" t="inlineStr">
        <is>
          <t>VÄSTERVIK</t>
        </is>
      </c>
      <c r="F227" t="inlineStr">
        <is>
          <t>Sveaskog</t>
        </is>
      </c>
      <c r="G227" t="n">
        <v>4.1</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HYPERLINK("https://klasma.github.io/Logging_0883/artfynd/A 11729-2023 artfynd.xlsx", "A 11729-2023")</f>
        <v/>
      </c>
      <c r="T227">
        <f>HYPERLINK("https://klasma.github.io/Logging_0883/kartor/A 11729-2023 karta.png", "A 11729-2023")</f>
        <v/>
      </c>
      <c r="V227">
        <f>HYPERLINK("https://klasma.github.io/Logging_0883/klagomål/A 11729-2023 FSC-klagomål.docx", "A 11729-2023")</f>
        <v/>
      </c>
      <c r="W227">
        <f>HYPERLINK("https://klasma.github.io/Logging_0883/klagomålsmail/A 11729-2023 FSC-klagomål mail.docx", "A 11729-2023")</f>
        <v/>
      </c>
      <c r="X227">
        <f>HYPERLINK("https://klasma.github.io/Logging_0883/tillsyn/A 11729-2023 tillsynsbegäran.docx", "A 11729-2023")</f>
        <v/>
      </c>
      <c r="Y227">
        <f>HYPERLINK("https://klasma.github.io/Logging_0883/tillsynsmail/A 11729-2023 tillsynsbegäran mail.docx", "A 11729-2023")</f>
        <v/>
      </c>
    </row>
    <row r="228" ht="15" customHeight="1">
      <c r="A228" t="inlineStr">
        <is>
          <t>A 23186-2025</t>
        </is>
      </c>
      <c r="B228" s="1" t="n">
        <v>45791.44415509259</v>
      </c>
      <c r="C228" s="1" t="n">
        <v>45929</v>
      </c>
      <c r="D228" t="inlineStr">
        <is>
          <t>KALMAR LÄN</t>
        </is>
      </c>
      <c r="E228" t="inlineStr">
        <is>
          <t>VÄSTERVIK</t>
        </is>
      </c>
      <c r="G228" t="n">
        <v>1.4</v>
      </c>
      <c r="H228" t="n">
        <v>0</v>
      </c>
      <c r="I228" t="n">
        <v>0</v>
      </c>
      <c r="J228" t="n">
        <v>1</v>
      </c>
      <c r="K228" t="n">
        <v>0</v>
      </c>
      <c r="L228" t="n">
        <v>0</v>
      </c>
      <c r="M228" t="n">
        <v>0</v>
      </c>
      <c r="N228" t="n">
        <v>0</v>
      </c>
      <c r="O228" t="n">
        <v>1</v>
      </c>
      <c r="P228" t="n">
        <v>0</v>
      </c>
      <c r="Q228" t="n">
        <v>1</v>
      </c>
      <c r="R228" s="2" t="inlineStr">
        <is>
          <t>Krusfrö</t>
        </is>
      </c>
      <c r="S228">
        <f>HYPERLINK("https://klasma.github.io/Logging_0883/artfynd/A 23186-2025 artfynd.xlsx", "A 23186-2025")</f>
        <v/>
      </c>
      <c r="T228">
        <f>HYPERLINK("https://klasma.github.io/Logging_0883/kartor/A 23186-2025 karta.png", "A 23186-2025")</f>
        <v/>
      </c>
      <c r="V228">
        <f>HYPERLINK("https://klasma.github.io/Logging_0883/klagomål/A 23186-2025 FSC-klagomål.docx", "A 23186-2025")</f>
        <v/>
      </c>
      <c r="W228">
        <f>HYPERLINK("https://klasma.github.io/Logging_0883/klagomålsmail/A 23186-2025 FSC-klagomål mail.docx", "A 23186-2025")</f>
        <v/>
      </c>
      <c r="X228">
        <f>HYPERLINK("https://klasma.github.io/Logging_0883/tillsyn/A 23186-2025 tillsynsbegäran.docx", "A 23186-2025")</f>
        <v/>
      </c>
      <c r="Y228">
        <f>HYPERLINK("https://klasma.github.io/Logging_0883/tillsynsmail/A 23186-2025 tillsynsbegäran mail.docx", "A 23186-2025")</f>
        <v/>
      </c>
    </row>
    <row r="229" ht="15" customHeight="1">
      <c r="A229" t="inlineStr">
        <is>
          <t>A 23192-2025</t>
        </is>
      </c>
      <c r="B229" s="1" t="n">
        <v>45791.45371527778</v>
      </c>
      <c r="C229" s="1" t="n">
        <v>45929</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23192-2025 artfynd.xlsx", "A 23192-2025")</f>
        <v/>
      </c>
      <c r="T229">
        <f>HYPERLINK("https://klasma.github.io/Logging_0883/kartor/A 23192-2025 karta.png", "A 23192-2025")</f>
        <v/>
      </c>
      <c r="V229">
        <f>HYPERLINK("https://klasma.github.io/Logging_0883/klagomål/A 23192-2025 FSC-klagomål.docx", "A 23192-2025")</f>
        <v/>
      </c>
      <c r="W229">
        <f>HYPERLINK("https://klasma.github.io/Logging_0883/klagomålsmail/A 23192-2025 FSC-klagomål mail.docx", "A 23192-2025")</f>
        <v/>
      </c>
      <c r="X229">
        <f>HYPERLINK("https://klasma.github.io/Logging_0883/tillsyn/A 23192-2025 tillsynsbegäran.docx", "A 23192-2025")</f>
        <v/>
      </c>
      <c r="Y229">
        <f>HYPERLINK("https://klasma.github.io/Logging_0883/tillsynsmail/A 23192-2025 tillsynsbegäran mail.docx", "A 23192-2025")</f>
        <v/>
      </c>
      <c r="Z229">
        <f>HYPERLINK("https://klasma.github.io/Logging_0883/fåglar/A 23192-2025 prioriterade fågelarter.docx", "A 23192-2025")</f>
        <v/>
      </c>
    </row>
    <row r="230" ht="15" customHeight="1">
      <c r="A230" t="inlineStr">
        <is>
          <t>A 32653-2023</t>
        </is>
      </c>
      <c r="B230" s="1" t="n">
        <v>45121</v>
      </c>
      <c r="C230" s="1" t="n">
        <v>45929</v>
      </c>
      <c r="D230" t="inlineStr">
        <is>
          <t>KALMAR LÄN</t>
        </is>
      </c>
      <c r="E230" t="inlineStr">
        <is>
          <t>VÄSTERVIK</t>
        </is>
      </c>
      <c r="G230" t="n">
        <v>1.4</v>
      </c>
      <c r="H230" t="n">
        <v>1</v>
      </c>
      <c r="I230" t="n">
        <v>0</v>
      </c>
      <c r="J230" t="n">
        <v>0</v>
      </c>
      <c r="K230" t="n">
        <v>1</v>
      </c>
      <c r="L230" t="n">
        <v>0</v>
      </c>
      <c r="M230" t="n">
        <v>0</v>
      </c>
      <c r="N230" t="n">
        <v>0</v>
      </c>
      <c r="O230" t="n">
        <v>1</v>
      </c>
      <c r="P230" t="n">
        <v>1</v>
      </c>
      <c r="Q230" t="n">
        <v>1</v>
      </c>
      <c r="R230" s="2" t="inlineStr">
        <is>
          <t>Knärot</t>
        </is>
      </c>
      <c r="S230">
        <f>HYPERLINK("https://klasma.github.io/Logging_0883/artfynd/A 32653-2023 artfynd.xlsx", "A 32653-2023")</f>
        <v/>
      </c>
      <c r="T230">
        <f>HYPERLINK("https://klasma.github.io/Logging_0883/kartor/A 32653-2023 karta.png", "A 32653-2023")</f>
        <v/>
      </c>
      <c r="U230">
        <f>HYPERLINK("https://klasma.github.io/Logging_0883/knärot/A 32653-2023 karta knärot.png", "A 32653-2023")</f>
        <v/>
      </c>
      <c r="V230">
        <f>HYPERLINK("https://klasma.github.io/Logging_0883/klagomål/A 32653-2023 FSC-klagomål.docx", "A 32653-2023")</f>
        <v/>
      </c>
      <c r="W230">
        <f>HYPERLINK("https://klasma.github.io/Logging_0883/klagomålsmail/A 32653-2023 FSC-klagomål mail.docx", "A 32653-2023")</f>
        <v/>
      </c>
      <c r="X230">
        <f>HYPERLINK("https://klasma.github.io/Logging_0883/tillsyn/A 32653-2023 tillsynsbegäran.docx", "A 32653-2023")</f>
        <v/>
      </c>
      <c r="Y230">
        <f>HYPERLINK("https://klasma.github.io/Logging_0883/tillsynsmail/A 32653-2023 tillsynsbegäran mail.docx", "A 32653-2023")</f>
        <v/>
      </c>
    </row>
    <row r="231" ht="15" customHeight="1">
      <c r="A231" t="inlineStr">
        <is>
          <t>A 23199-2025</t>
        </is>
      </c>
      <c r="B231" s="1" t="n">
        <v>45791.45887731481</v>
      </c>
      <c r="C231" s="1" t="n">
        <v>45929</v>
      </c>
      <c r="D231" t="inlineStr">
        <is>
          <t>KALMAR LÄN</t>
        </is>
      </c>
      <c r="E231" t="inlineStr">
        <is>
          <t>VÄSTERVIK</t>
        </is>
      </c>
      <c r="G231" t="n">
        <v>2.1</v>
      </c>
      <c r="H231" t="n">
        <v>0</v>
      </c>
      <c r="I231" t="n">
        <v>1</v>
      </c>
      <c r="J231" t="n">
        <v>0</v>
      </c>
      <c r="K231" t="n">
        <v>0</v>
      </c>
      <c r="L231" t="n">
        <v>0</v>
      </c>
      <c r="M231" t="n">
        <v>0</v>
      </c>
      <c r="N231" t="n">
        <v>0</v>
      </c>
      <c r="O231" t="n">
        <v>0</v>
      </c>
      <c r="P231" t="n">
        <v>0</v>
      </c>
      <c r="Q231" t="n">
        <v>1</v>
      </c>
      <c r="R231" s="2" t="inlineStr">
        <is>
          <t>Blåmossa</t>
        </is>
      </c>
      <c r="S231">
        <f>HYPERLINK("https://klasma.github.io/Logging_0883/artfynd/A 23199-2025 artfynd.xlsx", "A 23199-2025")</f>
        <v/>
      </c>
      <c r="T231">
        <f>HYPERLINK("https://klasma.github.io/Logging_0883/kartor/A 23199-2025 karta.png", "A 23199-2025")</f>
        <v/>
      </c>
      <c r="V231">
        <f>HYPERLINK("https://klasma.github.io/Logging_0883/klagomål/A 23199-2025 FSC-klagomål.docx", "A 23199-2025")</f>
        <v/>
      </c>
      <c r="W231">
        <f>HYPERLINK("https://klasma.github.io/Logging_0883/klagomålsmail/A 23199-2025 FSC-klagomål mail.docx", "A 23199-2025")</f>
        <v/>
      </c>
      <c r="X231">
        <f>HYPERLINK("https://klasma.github.io/Logging_0883/tillsyn/A 23199-2025 tillsynsbegäran.docx", "A 23199-2025")</f>
        <v/>
      </c>
      <c r="Y231">
        <f>HYPERLINK("https://klasma.github.io/Logging_0883/tillsynsmail/A 23199-2025 tillsynsbegäran mail.docx", "A 23199-2025")</f>
        <v/>
      </c>
    </row>
    <row r="232" ht="15" customHeight="1">
      <c r="A232" t="inlineStr">
        <is>
          <t>A 24884-2025</t>
        </is>
      </c>
      <c r="B232" s="1" t="n">
        <v>45799.50620370371</v>
      </c>
      <c r="C232" s="1" t="n">
        <v>45929</v>
      </c>
      <c r="D232" t="inlineStr">
        <is>
          <t>KALMAR LÄN</t>
        </is>
      </c>
      <c r="E232" t="inlineStr">
        <is>
          <t>VÄSTERVIK</t>
        </is>
      </c>
      <c r="F232" t="inlineStr">
        <is>
          <t>Holmen skog AB</t>
        </is>
      </c>
      <c r="G232" t="n">
        <v>5.1</v>
      </c>
      <c r="H232" t="n">
        <v>0</v>
      </c>
      <c r="I232" t="n">
        <v>1</v>
      </c>
      <c r="J232" t="n">
        <v>0</v>
      </c>
      <c r="K232" t="n">
        <v>0</v>
      </c>
      <c r="L232" t="n">
        <v>0</v>
      </c>
      <c r="M232" t="n">
        <v>0</v>
      </c>
      <c r="N232" t="n">
        <v>0</v>
      </c>
      <c r="O232" t="n">
        <v>0</v>
      </c>
      <c r="P232" t="n">
        <v>0</v>
      </c>
      <c r="Q232" t="n">
        <v>1</v>
      </c>
      <c r="R232" s="2" t="inlineStr">
        <is>
          <t>Strävlosta</t>
        </is>
      </c>
      <c r="S232">
        <f>HYPERLINK("https://klasma.github.io/Logging_0883/artfynd/A 24884-2025 artfynd.xlsx", "A 24884-2025")</f>
        <v/>
      </c>
      <c r="T232">
        <f>HYPERLINK("https://klasma.github.io/Logging_0883/kartor/A 24884-2025 karta.png", "A 24884-2025")</f>
        <v/>
      </c>
      <c r="V232">
        <f>HYPERLINK("https://klasma.github.io/Logging_0883/klagomål/A 24884-2025 FSC-klagomål.docx", "A 24884-2025")</f>
        <v/>
      </c>
      <c r="W232">
        <f>HYPERLINK("https://klasma.github.io/Logging_0883/klagomålsmail/A 24884-2025 FSC-klagomål mail.docx", "A 24884-2025")</f>
        <v/>
      </c>
      <c r="X232">
        <f>HYPERLINK("https://klasma.github.io/Logging_0883/tillsyn/A 24884-2025 tillsynsbegäran.docx", "A 24884-2025")</f>
        <v/>
      </c>
      <c r="Y232">
        <f>HYPERLINK("https://klasma.github.io/Logging_0883/tillsynsmail/A 24884-2025 tillsynsbegäran mail.docx", "A 24884-2025")</f>
        <v/>
      </c>
    </row>
    <row r="233" ht="15" customHeight="1">
      <c r="A233" t="inlineStr">
        <is>
          <t>A 26516-2025</t>
        </is>
      </c>
      <c r="B233" s="1" t="n">
        <v>45807.55402777778</v>
      </c>
      <c r="C233" s="1" t="n">
        <v>45929</v>
      </c>
      <c r="D233" t="inlineStr">
        <is>
          <t>KALMAR LÄN</t>
        </is>
      </c>
      <c r="E233" t="inlineStr">
        <is>
          <t>VÄSTERVIK</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HYPERLINK("https://klasma.github.io/Logging_0883/artfynd/A 26516-2025 artfynd.xlsx", "A 26516-2025")</f>
        <v/>
      </c>
      <c r="T233">
        <f>HYPERLINK("https://klasma.github.io/Logging_0883/kartor/A 26516-2025 karta.png", "A 26516-2025")</f>
        <v/>
      </c>
      <c r="V233">
        <f>HYPERLINK("https://klasma.github.io/Logging_0883/klagomål/A 26516-2025 FSC-klagomål.docx", "A 26516-2025")</f>
        <v/>
      </c>
      <c r="W233">
        <f>HYPERLINK("https://klasma.github.io/Logging_0883/klagomålsmail/A 26516-2025 FSC-klagomål mail.docx", "A 26516-2025")</f>
        <v/>
      </c>
      <c r="X233">
        <f>HYPERLINK("https://klasma.github.io/Logging_0883/tillsyn/A 26516-2025 tillsynsbegäran.docx", "A 26516-2025")</f>
        <v/>
      </c>
      <c r="Y233">
        <f>HYPERLINK("https://klasma.github.io/Logging_0883/tillsynsmail/A 26516-2025 tillsynsbegäran mail.docx", "A 26516-2025")</f>
        <v/>
      </c>
      <c r="Z233">
        <f>HYPERLINK("https://klasma.github.io/Logging_0883/fåglar/A 26516-2025 prioriterade fågelarter.docx", "A 26516-2025")</f>
        <v/>
      </c>
    </row>
    <row r="234" ht="15" customHeight="1">
      <c r="A234" t="inlineStr">
        <is>
          <t>A 33815-2023</t>
        </is>
      </c>
      <c r="B234" s="1" t="n">
        <v>45133.59306712963</v>
      </c>
      <c r="C234" s="1" t="n">
        <v>45929</v>
      </c>
      <c r="D234" t="inlineStr">
        <is>
          <t>KALMAR LÄN</t>
        </is>
      </c>
      <c r="E234" t="inlineStr">
        <is>
          <t>VÄSTERVIK</t>
        </is>
      </c>
      <c r="G234" t="n">
        <v>3.4</v>
      </c>
      <c r="H234" t="n">
        <v>0</v>
      </c>
      <c r="I234" t="n">
        <v>1</v>
      </c>
      <c r="J234" t="n">
        <v>0</v>
      </c>
      <c r="K234" t="n">
        <v>0</v>
      </c>
      <c r="L234" t="n">
        <v>0</v>
      </c>
      <c r="M234" t="n">
        <v>0</v>
      </c>
      <c r="N234" t="n">
        <v>0</v>
      </c>
      <c r="O234" t="n">
        <v>0</v>
      </c>
      <c r="P234" t="n">
        <v>0</v>
      </c>
      <c r="Q234" t="n">
        <v>1</v>
      </c>
      <c r="R234" s="2" t="inlineStr">
        <is>
          <t>Grönpyrola</t>
        </is>
      </c>
      <c r="S234">
        <f>HYPERLINK("https://klasma.github.io/Logging_0883/artfynd/A 33815-2023 artfynd.xlsx", "A 33815-2023")</f>
        <v/>
      </c>
      <c r="T234">
        <f>HYPERLINK("https://klasma.github.io/Logging_0883/kartor/A 33815-2023 karta.png", "A 33815-2023")</f>
        <v/>
      </c>
      <c r="V234">
        <f>HYPERLINK("https://klasma.github.io/Logging_0883/klagomål/A 33815-2023 FSC-klagomål.docx", "A 33815-2023")</f>
        <v/>
      </c>
      <c r="W234">
        <f>HYPERLINK("https://klasma.github.io/Logging_0883/klagomålsmail/A 33815-2023 FSC-klagomål mail.docx", "A 33815-2023")</f>
        <v/>
      </c>
      <c r="X234">
        <f>HYPERLINK("https://klasma.github.io/Logging_0883/tillsyn/A 33815-2023 tillsynsbegäran.docx", "A 33815-2023")</f>
        <v/>
      </c>
      <c r="Y234">
        <f>HYPERLINK("https://klasma.github.io/Logging_0883/tillsynsmail/A 33815-2023 tillsynsbegäran mail.docx", "A 33815-2023")</f>
        <v/>
      </c>
    </row>
    <row r="235" ht="15" customHeight="1">
      <c r="A235" t="inlineStr">
        <is>
          <t>A 33816-2023</t>
        </is>
      </c>
      <c r="B235" s="1" t="n">
        <v>45133.59490740741</v>
      </c>
      <c r="C235" s="1" t="n">
        <v>45929</v>
      </c>
      <c r="D235" t="inlineStr">
        <is>
          <t>KALMAR LÄN</t>
        </is>
      </c>
      <c r="E235" t="inlineStr">
        <is>
          <t>VÄSTERVIK</t>
        </is>
      </c>
      <c r="G235" t="n">
        <v>4.9</v>
      </c>
      <c r="H235" t="n">
        <v>0</v>
      </c>
      <c r="I235" t="n">
        <v>0</v>
      </c>
      <c r="J235" t="n">
        <v>1</v>
      </c>
      <c r="K235" t="n">
        <v>0</v>
      </c>
      <c r="L235" t="n">
        <v>0</v>
      </c>
      <c r="M235" t="n">
        <v>0</v>
      </c>
      <c r="N235" t="n">
        <v>0</v>
      </c>
      <c r="O235" t="n">
        <v>1</v>
      </c>
      <c r="P235" t="n">
        <v>0</v>
      </c>
      <c r="Q235" t="n">
        <v>1</v>
      </c>
      <c r="R235" s="2" t="inlineStr">
        <is>
          <t>Tallticka</t>
        </is>
      </c>
      <c r="S235">
        <f>HYPERLINK("https://klasma.github.io/Logging_0883/artfynd/A 33816-2023 artfynd.xlsx", "A 33816-2023")</f>
        <v/>
      </c>
      <c r="T235">
        <f>HYPERLINK("https://klasma.github.io/Logging_0883/kartor/A 33816-2023 karta.png", "A 33816-2023")</f>
        <v/>
      </c>
      <c r="V235">
        <f>HYPERLINK("https://klasma.github.io/Logging_0883/klagomål/A 33816-2023 FSC-klagomål.docx", "A 33816-2023")</f>
        <v/>
      </c>
      <c r="W235">
        <f>HYPERLINK("https://klasma.github.io/Logging_0883/klagomålsmail/A 33816-2023 FSC-klagomål mail.docx", "A 33816-2023")</f>
        <v/>
      </c>
      <c r="X235">
        <f>HYPERLINK("https://klasma.github.io/Logging_0883/tillsyn/A 33816-2023 tillsynsbegäran.docx", "A 33816-2023")</f>
        <v/>
      </c>
      <c r="Y235">
        <f>HYPERLINK("https://klasma.github.io/Logging_0883/tillsynsmail/A 33816-2023 tillsynsbegäran mail.docx", "A 33816-2023")</f>
        <v/>
      </c>
    </row>
    <row r="236" ht="15" customHeight="1">
      <c r="A236" t="inlineStr">
        <is>
          <t>A 1775-2025</t>
        </is>
      </c>
      <c r="B236" s="1" t="n">
        <v>45671.44059027778</v>
      </c>
      <c r="C236" s="1" t="n">
        <v>45929</v>
      </c>
      <c r="D236" t="inlineStr">
        <is>
          <t>KALMAR LÄN</t>
        </is>
      </c>
      <c r="E236" t="inlineStr">
        <is>
          <t>VÄSTERVIK</t>
        </is>
      </c>
      <c r="G236" t="n">
        <v>0.9</v>
      </c>
      <c r="H236" t="n">
        <v>1</v>
      </c>
      <c r="I236" t="n">
        <v>0</v>
      </c>
      <c r="J236" t="n">
        <v>0</v>
      </c>
      <c r="K236" t="n">
        <v>0</v>
      </c>
      <c r="L236" t="n">
        <v>0</v>
      </c>
      <c r="M236" t="n">
        <v>0</v>
      </c>
      <c r="N236" t="n">
        <v>0</v>
      </c>
      <c r="O236" t="n">
        <v>0</v>
      </c>
      <c r="P236" t="n">
        <v>0</v>
      </c>
      <c r="Q236" t="n">
        <v>1</v>
      </c>
      <c r="R236" s="2" t="inlineStr">
        <is>
          <t>Kungsfågel</t>
        </is>
      </c>
      <c r="S236">
        <f>HYPERLINK("https://klasma.github.io/Logging_0883/artfynd/A 1775-2025 artfynd.xlsx", "A 1775-2025")</f>
        <v/>
      </c>
      <c r="T236">
        <f>HYPERLINK("https://klasma.github.io/Logging_0883/kartor/A 1775-2025 karta.png", "A 1775-2025")</f>
        <v/>
      </c>
      <c r="V236">
        <f>HYPERLINK("https://klasma.github.io/Logging_0883/klagomål/A 1775-2025 FSC-klagomål.docx", "A 1775-2025")</f>
        <v/>
      </c>
      <c r="W236">
        <f>HYPERLINK("https://klasma.github.io/Logging_0883/klagomålsmail/A 1775-2025 FSC-klagomål mail.docx", "A 1775-2025")</f>
        <v/>
      </c>
      <c r="X236">
        <f>HYPERLINK("https://klasma.github.io/Logging_0883/tillsyn/A 1775-2025 tillsynsbegäran.docx", "A 1775-2025")</f>
        <v/>
      </c>
      <c r="Y236">
        <f>HYPERLINK("https://klasma.github.io/Logging_0883/tillsynsmail/A 1775-2025 tillsynsbegäran mail.docx", "A 1775-2025")</f>
        <v/>
      </c>
      <c r="Z236">
        <f>HYPERLINK("https://klasma.github.io/Logging_0883/fåglar/A 1775-2025 prioriterade fågelarter.docx", "A 1775-2025")</f>
        <v/>
      </c>
    </row>
    <row r="237" ht="15" customHeight="1">
      <c r="A237" t="inlineStr">
        <is>
          <t>A 43788-2023</t>
        </is>
      </c>
      <c r="B237" s="1" t="n">
        <v>45187.53707175926</v>
      </c>
      <c r="C237" s="1" t="n">
        <v>45929</v>
      </c>
      <c r="D237" t="inlineStr">
        <is>
          <t>KALMAR LÄN</t>
        </is>
      </c>
      <c r="E237" t="inlineStr">
        <is>
          <t>VÄSTERVIK</t>
        </is>
      </c>
      <c r="G237" t="n">
        <v>4.5</v>
      </c>
      <c r="H237" t="n">
        <v>0</v>
      </c>
      <c r="I237" t="n">
        <v>0</v>
      </c>
      <c r="J237" t="n">
        <v>1</v>
      </c>
      <c r="K237" t="n">
        <v>0</v>
      </c>
      <c r="L237" t="n">
        <v>0</v>
      </c>
      <c r="M237" t="n">
        <v>0</v>
      </c>
      <c r="N237" t="n">
        <v>0</v>
      </c>
      <c r="O237" t="n">
        <v>1</v>
      </c>
      <c r="P237" t="n">
        <v>0</v>
      </c>
      <c r="Q237" t="n">
        <v>1</v>
      </c>
      <c r="R237" s="2" t="inlineStr">
        <is>
          <t>Motaggsvamp</t>
        </is>
      </c>
      <c r="S237">
        <f>HYPERLINK("https://klasma.github.io/Logging_0883/artfynd/A 43788-2023 artfynd.xlsx", "A 43788-2023")</f>
        <v/>
      </c>
      <c r="T237">
        <f>HYPERLINK("https://klasma.github.io/Logging_0883/kartor/A 43788-2023 karta.png", "A 43788-2023")</f>
        <v/>
      </c>
      <c r="V237">
        <f>HYPERLINK("https://klasma.github.io/Logging_0883/klagomål/A 43788-2023 FSC-klagomål.docx", "A 43788-2023")</f>
        <v/>
      </c>
      <c r="W237">
        <f>HYPERLINK("https://klasma.github.io/Logging_0883/klagomålsmail/A 43788-2023 FSC-klagomål mail.docx", "A 43788-2023")</f>
        <v/>
      </c>
      <c r="X237">
        <f>HYPERLINK("https://klasma.github.io/Logging_0883/tillsyn/A 43788-2023 tillsynsbegäran.docx", "A 43788-2023")</f>
        <v/>
      </c>
      <c r="Y237">
        <f>HYPERLINK("https://klasma.github.io/Logging_0883/tillsynsmail/A 43788-2023 tillsynsbegäran mail.docx", "A 43788-2023")</f>
        <v/>
      </c>
    </row>
    <row r="238" ht="15" customHeight="1">
      <c r="A238" t="inlineStr">
        <is>
          <t>A 27426-2025</t>
        </is>
      </c>
      <c r="B238" s="1" t="n">
        <v>45813</v>
      </c>
      <c r="C238" s="1" t="n">
        <v>45929</v>
      </c>
      <c r="D238" t="inlineStr">
        <is>
          <t>KALMAR LÄN</t>
        </is>
      </c>
      <c r="E238" t="inlineStr">
        <is>
          <t>VÄSTERVIK</t>
        </is>
      </c>
      <c r="G238" t="n">
        <v>2</v>
      </c>
      <c r="H238" t="n">
        <v>0</v>
      </c>
      <c r="I238" t="n">
        <v>1</v>
      </c>
      <c r="J238" t="n">
        <v>0</v>
      </c>
      <c r="K238" t="n">
        <v>0</v>
      </c>
      <c r="L238" t="n">
        <v>0</v>
      </c>
      <c r="M238" t="n">
        <v>0</v>
      </c>
      <c r="N238" t="n">
        <v>0</v>
      </c>
      <c r="O238" t="n">
        <v>0</v>
      </c>
      <c r="P238" t="n">
        <v>0</v>
      </c>
      <c r="Q238" t="n">
        <v>1</v>
      </c>
      <c r="R238" s="2" t="inlineStr">
        <is>
          <t>Vätteros</t>
        </is>
      </c>
      <c r="S238">
        <f>HYPERLINK("https://klasma.github.io/Logging_0883/artfynd/A 27426-2025 artfynd.xlsx", "A 27426-2025")</f>
        <v/>
      </c>
      <c r="T238">
        <f>HYPERLINK("https://klasma.github.io/Logging_0883/kartor/A 27426-2025 karta.png", "A 27426-2025")</f>
        <v/>
      </c>
      <c r="V238">
        <f>HYPERLINK("https://klasma.github.io/Logging_0883/klagomål/A 27426-2025 FSC-klagomål.docx", "A 27426-2025")</f>
        <v/>
      </c>
      <c r="W238">
        <f>HYPERLINK("https://klasma.github.io/Logging_0883/klagomålsmail/A 27426-2025 FSC-klagomål mail.docx", "A 27426-2025")</f>
        <v/>
      </c>
      <c r="X238">
        <f>HYPERLINK("https://klasma.github.io/Logging_0883/tillsyn/A 27426-2025 tillsynsbegäran.docx", "A 27426-2025")</f>
        <v/>
      </c>
      <c r="Y238">
        <f>HYPERLINK("https://klasma.github.io/Logging_0883/tillsynsmail/A 27426-2025 tillsynsbegäran mail.docx", "A 27426-2025")</f>
        <v/>
      </c>
    </row>
    <row r="239" ht="15" customHeight="1">
      <c r="A239" t="inlineStr">
        <is>
          <t>A 51488-2024</t>
        </is>
      </c>
      <c r="B239" s="1" t="n">
        <v>45604</v>
      </c>
      <c r="C239" s="1" t="n">
        <v>45929</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30794-2025</t>
        </is>
      </c>
      <c r="B240" s="1" t="n">
        <v>45831.63834490741</v>
      </c>
      <c r="C240" s="1" t="n">
        <v>45929</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14082-2025</t>
        </is>
      </c>
      <c r="B241" s="1" t="n">
        <v>45740.43934027778</v>
      </c>
      <c r="C241" s="1" t="n">
        <v>45929</v>
      </c>
      <c r="D241" t="inlineStr">
        <is>
          <t>KALMAR LÄN</t>
        </is>
      </c>
      <c r="E241" t="inlineStr">
        <is>
          <t>VÄSTERVIK</t>
        </is>
      </c>
      <c r="F241" t="inlineStr">
        <is>
          <t>Sveaskog</t>
        </is>
      </c>
      <c r="G241" t="n">
        <v>1.2</v>
      </c>
      <c r="H241" t="n">
        <v>0</v>
      </c>
      <c r="I241" t="n">
        <v>0</v>
      </c>
      <c r="J241" t="n">
        <v>1</v>
      </c>
      <c r="K241" t="n">
        <v>0</v>
      </c>
      <c r="L241" t="n">
        <v>0</v>
      </c>
      <c r="M241" t="n">
        <v>0</v>
      </c>
      <c r="N241" t="n">
        <v>0</v>
      </c>
      <c r="O241" t="n">
        <v>1</v>
      </c>
      <c r="P241" t="n">
        <v>0</v>
      </c>
      <c r="Q241" t="n">
        <v>1</v>
      </c>
      <c r="R241" s="2" t="inlineStr">
        <is>
          <t>Bredbrämad bastardsvärmare</t>
        </is>
      </c>
      <c r="S241">
        <f>HYPERLINK("https://klasma.github.io/Logging_0883/artfynd/A 14082-2025 artfynd.xlsx", "A 14082-2025")</f>
        <v/>
      </c>
      <c r="T241">
        <f>HYPERLINK("https://klasma.github.io/Logging_0883/kartor/A 14082-2025 karta.png", "A 14082-2025")</f>
        <v/>
      </c>
      <c r="V241">
        <f>HYPERLINK("https://klasma.github.io/Logging_0883/klagomål/A 14082-2025 FSC-klagomål.docx", "A 14082-2025")</f>
        <v/>
      </c>
      <c r="W241">
        <f>HYPERLINK("https://klasma.github.io/Logging_0883/klagomålsmail/A 14082-2025 FSC-klagomål mail.docx", "A 14082-2025")</f>
        <v/>
      </c>
      <c r="X241">
        <f>HYPERLINK("https://klasma.github.io/Logging_0883/tillsyn/A 14082-2025 tillsynsbegäran.docx", "A 14082-2025")</f>
        <v/>
      </c>
      <c r="Y241">
        <f>HYPERLINK("https://klasma.github.io/Logging_0883/tillsynsmail/A 14082-2025 tillsynsbegäran mail.docx", "A 14082-2025")</f>
        <v/>
      </c>
    </row>
    <row r="242" ht="15" customHeight="1">
      <c r="A242" t="inlineStr">
        <is>
          <t>A 33916-2025</t>
        </is>
      </c>
      <c r="B242" s="1" t="n">
        <v>45842.61306712963</v>
      </c>
      <c r="C242" s="1" t="n">
        <v>45929</v>
      </c>
      <c r="D242" t="inlineStr">
        <is>
          <t>KALMAR LÄN</t>
        </is>
      </c>
      <c r="E242" t="inlineStr">
        <is>
          <t>VÄSTERVIK</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HYPERLINK("https://klasma.github.io/Logging_0883/artfynd/A 33916-2025 artfynd.xlsx", "A 33916-2025")</f>
        <v/>
      </c>
      <c r="T242">
        <f>HYPERLINK("https://klasma.github.io/Logging_0883/kartor/A 33916-2025 karta.png", "A 33916-2025")</f>
        <v/>
      </c>
      <c r="V242">
        <f>HYPERLINK("https://klasma.github.io/Logging_0883/klagomål/A 33916-2025 FSC-klagomål.docx", "A 33916-2025")</f>
        <v/>
      </c>
      <c r="W242">
        <f>HYPERLINK("https://klasma.github.io/Logging_0883/klagomålsmail/A 33916-2025 FSC-klagomål mail.docx", "A 33916-2025")</f>
        <v/>
      </c>
      <c r="X242">
        <f>HYPERLINK("https://klasma.github.io/Logging_0883/tillsyn/A 33916-2025 tillsynsbegäran.docx", "A 33916-2025")</f>
        <v/>
      </c>
      <c r="Y242">
        <f>HYPERLINK("https://klasma.github.io/Logging_0883/tillsynsmail/A 33916-2025 tillsynsbegäran mail.docx", "A 33916-2025")</f>
        <v/>
      </c>
      <c r="Z242">
        <f>HYPERLINK("https://klasma.github.io/Logging_0883/fåglar/A 33916-2025 prioriterade fågelarter.docx", "A 33916-2025")</f>
        <v/>
      </c>
    </row>
    <row r="243" ht="15" customHeight="1">
      <c r="A243" t="inlineStr">
        <is>
          <t>A 11165-2024</t>
        </is>
      </c>
      <c r="B243" s="1" t="n">
        <v>45371</v>
      </c>
      <c r="C243" s="1" t="n">
        <v>45929</v>
      </c>
      <c r="D243" t="inlineStr">
        <is>
          <t>KALMAR LÄN</t>
        </is>
      </c>
      <c r="E243" t="inlineStr">
        <is>
          <t>VÄSTERVIK</t>
        </is>
      </c>
      <c r="G243" t="n">
        <v>3.7</v>
      </c>
      <c r="H243" t="n">
        <v>1</v>
      </c>
      <c r="I243" t="n">
        <v>0</v>
      </c>
      <c r="J243" t="n">
        <v>1</v>
      </c>
      <c r="K243" t="n">
        <v>0</v>
      </c>
      <c r="L243" t="n">
        <v>0</v>
      </c>
      <c r="M243" t="n">
        <v>0</v>
      </c>
      <c r="N243" t="n">
        <v>0</v>
      </c>
      <c r="O243" t="n">
        <v>1</v>
      </c>
      <c r="P243" t="n">
        <v>0</v>
      </c>
      <c r="Q243" t="n">
        <v>1</v>
      </c>
      <c r="R243" s="2" t="inlineStr">
        <is>
          <t>Spillkråka</t>
        </is>
      </c>
      <c r="S243">
        <f>HYPERLINK("https://klasma.github.io/Logging_0883/artfynd/A 11165-2024 artfynd.xlsx", "A 11165-2024")</f>
        <v/>
      </c>
      <c r="T243">
        <f>HYPERLINK("https://klasma.github.io/Logging_0883/kartor/A 11165-2024 karta.png", "A 11165-2024")</f>
        <v/>
      </c>
      <c r="V243">
        <f>HYPERLINK("https://klasma.github.io/Logging_0883/klagomål/A 11165-2024 FSC-klagomål.docx", "A 11165-2024")</f>
        <v/>
      </c>
      <c r="W243">
        <f>HYPERLINK("https://klasma.github.io/Logging_0883/klagomålsmail/A 11165-2024 FSC-klagomål mail.docx", "A 11165-2024")</f>
        <v/>
      </c>
      <c r="X243">
        <f>HYPERLINK("https://klasma.github.io/Logging_0883/tillsyn/A 11165-2024 tillsynsbegäran.docx", "A 11165-2024")</f>
        <v/>
      </c>
      <c r="Y243">
        <f>HYPERLINK("https://klasma.github.io/Logging_0883/tillsynsmail/A 11165-2024 tillsynsbegäran mail.docx", "A 11165-2024")</f>
        <v/>
      </c>
      <c r="Z243">
        <f>HYPERLINK("https://klasma.github.io/Logging_0883/fåglar/A 11165-2024 prioriterade fågelarter.docx", "A 11165-2024")</f>
        <v/>
      </c>
    </row>
    <row r="244" ht="15" customHeight="1">
      <c r="A244" t="inlineStr">
        <is>
          <t>A 40924-2022</t>
        </is>
      </c>
      <c r="B244" s="1" t="n">
        <v>44825</v>
      </c>
      <c r="C244" s="1" t="n">
        <v>45929</v>
      </c>
      <c r="D244" t="inlineStr">
        <is>
          <t>KALMAR LÄN</t>
        </is>
      </c>
      <c r="E244" t="inlineStr">
        <is>
          <t>VÄSTERVIK</t>
        </is>
      </c>
      <c r="F244" t="inlineStr">
        <is>
          <t>Sveaskog</t>
        </is>
      </c>
      <c r="G244" t="n">
        <v>0.5</v>
      </c>
      <c r="H244" t="n">
        <v>1</v>
      </c>
      <c r="I244" t="n">
        <v>0</v>
      </c>
      <c r="J244" t="n">
        <v>1</v>
      </c>
      <c r="K244" t="n">
        <v>0</v>
      </c>
      <c r="L244" t="n">
        <v>0</v>
      </c>
      <c r="M244" t="n">
        <v>0</v>
      </c>
      <c r="N244" t="n">
        <v>0</v>
      </c>
      <c r="O244" t="n">
        <v>1</v>
      </c>
      <c r="P244" t="n">
        <v>0</v>
      </c>
      <c r="Q244" t="n">
        <v>1</v>
      </c>
      <c r="R244" s="2" t="inlineStr">
        <is>
          <t>Barbastell</t>
        </is>
      </c>
      <c r="S244">
        <f>HYPERLINK("https://klasma.github.io/Logging_0883/artfynd/A 40924-2022 artfynd.xlsx", "A 40924-2022")</f>
        <v/>
      </c>
      <c r="T244">
        <f>HYPERLINK("https://klasma.github.io/Logging_0883/kartor/A 40924-2022 karta.png", "A 40924-2022")</f>
        <v/>
      </c>
      <c r="V244">
        <f>HYPERLINK("https://klasma.github.io/Logging_0883/klagomål/A 40924-2022 FSC-klagomål.docx", "A 40924-2022")</f>
        <v/>
      </c>
      <c r="W244">
        <f>HYPERLINK("https://klasma.github.io/Logging_0883/klagomålsmail/A 40924-2022 FSC-klagomål mail.docx", "A 40924-2022")</f>
        <v/>
      </c>
      <c r="X244">
        <f>HYPERLINK("https://klasma.github.io/Logging_0883/tillsyn/A 40924-2022 tillsynsbegäran.docx", "A 40924-2022")</f>
        <v/>
      </c>
      <c r="Y244">
        <f>HYPERLINK("https://klasma.github.io/Logging_0883/tillsynsmail/A 40924-2022 tillsynsbegäran mail.docx", "A 40924-2022")</f>
        <v/>
      </c>
    </row>
    <row r="245" ht="15" customHeight="1">
      <c r="A245" t="inlineStr">
        <is>
          <t>A 34168-2025</t>
        </is>
      </c>
      <c r="B245" s="1" t="n">
        <v>45845.58349537037</v>
      </c>
      <c r="C245" s="1" t="n">
        <v>45929</v>
      </c>
      <c r="D245" t="inlineStr">
        <is>
          <t>KALMAR LÄN</t>
        </is>
      </c>
      <c r="E245" t="inlineStr">
        <is>
          <t>VÄSTERVIK</t>
        </is>
      </c>
      <c r="G245" t="n">
        <v>2.7</v>
      </c>
      <c r="H245" t="n">
        <v>1</v>
      </c>
      <c r="I245" t="n">
        <v>0</v>
      </c>
      <c r="J245" t="n">
        <v>1</v>
      </c>
      <c r="K245" t="n">
        <v>0</v>
      </c>
      <c r="L245" t="n">
        <v>0</v>
      </c>
      <c r="M245" t="n">
        <v>0</v>
      </c>
      <c r="N245" t="n">
        <v>0</v>
      </c>
      <c r="O245" t="n">
        <v>1</v>
      </c>
      <c r="P245" t="n">
        <v>0</v>
      </c>
      <c r="Q245" t="n">
        <v>1</v>
      </c>
      <c r="R245" s="2" t="inlineStr">
        <is>
          <t>Grönsångare</t>
        </is>
      </c>
      <c r="S245">
        <f>HYPERLINK("https://klasma.github.io/Logging_0883/artfynd/A 34168-2025 artfynd.xlsx", "A 34168-2025")</f>
        <v/>
      </c>
      <c r="T245">
        <f>HYPERLINK("https://klasma.github.io/Logging_0883/kartor/A 34168-2025 karta.png", "A 34168-2025")</f>
        <v/>
      </c>
      <c r="V245">
        <f>HYPERLINK("https://klasma.github.io/Logging_0883/klagomål/A 34168-2025 FSC-klagomål.docx", "A 34168-2025")</f>
        <v/>
      </c>
      <c r="W245">
        <f>HYPERLINK("https://klasma.github.io/Logging_0883/klagomålsmail/A 34168-2025 FSC-klagomål mail.docx", "A 34168-2025")</f>
        <v/>
      </c>
      <c r="X245">
        <f>HYPERLINK("https://klasma.github.io/Logging_0883/tillsyn/A 34168-2025 tillsynsbegäran.docx", "A 34168-2025")</f>
        <v/>
      </c>
      <c r="Y245">
        <f>HYPERLINK("https://klasma.github.io/Logging_0883/tillsynsmail/A 34168-2025 tillsynsbegäran mail.docx", "A 34168-2025")</f>
        <v/>
      </c>
      <c r="Z245">
        <f>HYPERLINK("https://klasma.github.io/Logging_0883/fåglar/A 34168-2025 prioriterade fågelarter.docx", "A 34168-2025")</f>
        <v/>
      </c>
    </row>
    <row r="246" ht="15" customHeight="1">
      <c r="A246" t="inlineStr">
        <is>
          <t>A 34166-2025</t>
        </is>
      </c>
      <c r="B246" s="1" t="n">
        <v>45845.5819675926</v>
      </c>
      <c r="C246" s="1" t="n">
        <v>45929</v>
      </c>
      <c r="D246" t="inlineStr">
        <is>
          <t>KALMAR LÄN</t>
        </is>
      </c>
      <c r="E246" t="inlineStr">
        <is>
          <t>VÄSTERVIK</t>
        </is>
      </c>
      <c r="G246" t="n">
        <v>3.5</v>
      </c>
      <c r="H246" t="n">
        <v>0</v>
      </c>
      <c r="I246" t="n">
        <v>0</v>
      </c>
      <c r="J246" t="n">
        <v>0</v>
      </c>
      <c r="K246" t="n">
        <v>0</v>
      </c>
      <c r="L246" t="n">
        <v>0</v>
      </c>
      <c r="M246" t="n">
        <v>1</v>
      </c>
      <c r="N246" t="n">
        <v>0</v>
      </c>
      <c r="O246" t="n">
        <v>1</v>
      </c>
      <c r="P246" t="n">
        <v>1</v>
      </c>
      <c r="Q246" t="n">
        <v>1</v>
      </c>
      <c r="R246" s="2" t="inlineStr">
        <is>
          <t>Skogsalm</t>
        </is>
      </c>
      <c r="S246">
        <f>HYPERLINK("https://klasma.github.io/Logging_0883/artfynd/A 34166-2025 artfynd.xlsx", "A 34166-2025")</f>
        <v/>
      </c>
      <c r="T246">
        <f>HYPERLINK("https://klasma.github.io/Logging_0883/kartor/A 34166-2025 karta.png", "A 34166-2025")</f>
        <v/>
      </c>
      <c r="V246">
        <f>HYPERLINK("https://klasma.github.io/Logging_0883/klagomål/A 34166-2025 FSC-klagomål.docx", "A 34166-2025")</f>
        <v/>
      </c>
      <c r="W246">
        <f>HYPERLINK("https://klasma.github.io/Logging_0883/klagomålsmail/A 34166-2025 FSC-klagomål mail.docx", "A 34166-2025")</f>
        <v/>
      </c>
      <c r="X246">
        <f>HYPERLINK("https://klasma.github.io/Logging_0883/tillsyn/A 34166-2025 tillsynsbegäran.docx", "A 34166-2025")</f>
        <v/>
      </c>
      <c r="Y246">
        <f>HYPERLINK("https://klasma.github.io/Logging_0883/tillsynsmail/A 34166-2025 tillsynsbegäran mail.docx", "A 34166-2025")</f>
        <v/>
      </c>
    </row>
    <row r="247" ht="15" customHeight="1">
      <c r="A247" t="inlineStr">
        <is>
          <t>A 34212-2025</t>
        </is>
      </c>
      <c r="B247" s="1" t="n">
        <v>45845.64383101852</v>
      </c>
      <c r="C247" s="1" t="n">
        <v>45929</v>
      </c>
      <c r="D247" t="inlineStr">
        <is>
          <t>KALMAR LÄN</t>
        </is>
      </c>
      <c r="E247" t="inlineStr">
        <is>
          <t>VÄSTERVIK</t>
        </is>
      </c>
      <c r="G247" t="n">
        <v>6.4</v>
      </c>
      <c r="H247" t="n">
        <v>0</v>
      </c>
      <c r="I247" t="n">
        <v>1</v>
      </c>
      <c r="J247" t="n">
        <v>0</v>
      </c>
      <c r="K247" t="n">
        <v>0</v>
      </c>
      <c r="L247" t="n">
        <v>0</v>
      </c>
      <c r="M247" t="n">
        <v>0</v>
      </c>
      <c r="N247" t="n">
        <v>0</v>
      </c>
      <c r="O247" t="n">
        <v>0</v>
      </c>
      <c r="P247" t="n">
        <v>0</v>
      </c>
      <c r="Q247" t="n">
        <v>1</v>
      </c>
      <c r="R247" s="2" t="inlineStr">
        <is>
          <t>Blåmossa</t>
        </is>
      </c>
      <c r="S247">
        <f>HYPERLINK("https://klasma.github.io/Logging_0883/artfynd/A 34212-2025 artfynd.xlsx", "A 34212-2025")</f>
        <v/>
      </c>
      <c r="T247">
        <f>HYPERLINK("https://klasma.github.io/Logging_0883/kartor/A 34212-2025 karta.png", "A 34212-2025")</f>
        <v/>
      </c>
      <c r="V247">
        <f>HYPERLINK("https://klasma.github.io/Logging_0883/klagomål/A 34212-2025 FSC-klagomål.docx", "A 34212-2025")</f>
        <v/>
      </c>
      <c r="W247">
        <f>HYPERLINK("https://klasma.github.io/Logging_0883/klagomålsmail/A 34212-2025 FSC-klagomål mail.docx", "A 34212-2025")</f>
        <v/>
      </c>
      <c r="X247">
        <f>HYPERLINK("https://klasma.github.io/Logging_0883/tillsyn/A 34212-2025 tillsynsbegäran.docx", "A 34212-2025")</f>
        <v/>
      </c>
      <c r="Y247">
        <f>HYPERLINK("https://klasma.github.io/Logging_0883/tillsynsmail/A 34212-2025 tillsynsbegäran mail.docx", "A 34212-2025")</f>
        <v/>
      </c>
    </row>
    <row r="248" ht="15" customHeight="1">
      <c r="A248" t="inlineStr">
        <is>
          <t>A 55360-2024</t>
        </is>
      </c>
      <c r="B248" s="1" t="n">
        <v>45621.8252199074</v>
      </c>
      <c r="C248" s="1" t="n">
        <v>45929</v>
      </c>
      <c r="D248" t="inlineStr">
        <is>
          <t>KALMAR LÄN</t>
        </is>
      </c>
      <c r="E248" t="inlineStr">
        <is>
          <t>VÄSTERVIK</t>
        </is>
      </c>
      <c r="F248" t="inlineStr">
        <is>
          <t>Sveaskog</t>
        </is>
      </c>
      <c r="G248" t="n">
        <v>11.1</v>
      </c>
      <c r="H248" t="n">
        <v>0</v>
      </c>
      <c r="I248" t="n">
        <v>0</v>
      </c>
      <c r="J248" t="n">
        <v>1</v>
      </c>
      <c r="K248" t="n">
        <v>0</v>
      </c>
      <c r="L248" t="n">
        <v>0</v>
      </c>
      <c r="M248" t="n">
        <v>0</v>
      </c>
      <c r="N248" t="n">
        <v>0</v>
      </c>
      <c r="O248" t="n">
        <v>1</v>
      </c>
      <c r="P248" t="n">
        <v>0</v>
      </c>
      <c r="Q248" t="n">
        <v>1</v>
      </c>
      <c r="R248" s="2" t="inlineStr">
        <is>
          <t>Vårstarr</t>
        </is>
      </c>
      <c r="S248">
        <f>HYPERLINK("https://klasma.github.io/Logging_0883/artfynd/A 55360-2024 artfynd.xlsx", "A 55360-2024")</f>
        <v/>
      </c>
      <c r="T248">
        <f>HYPERLINK("https://klasma.github.io/Logging_0883/kartor/A 55360-2024 karta.png", "A 55360-2024")</f>
        <v/>
      </c>
      <c r="V248">
        <f>HYPERLINK("https://klasma.github.io/Logging_0883/klagomål/A 55360-2024 FSC-klagomål.docx", "A 55360-2024")</f>
        <v/>
      </c>
      <c r="W248">
        <f>HYPERLINK("https://klasma.github.io/Logging_0883/klagomålsmail/A 55360-2024 FSC-klagomål mail.docx", "A 55360-2024")</f>
        <v/>
      </c>
      <c r="X248">
        <f>HYPERLINK("https://klasma.github.io/Logging_0883/tillsyn/A 55360-2024 tillsynsbegäran.docx", "A 55360-2024")</f>
        <v/>
      </c>
      <c r="Y248">
        <f>HYPERLINK("https://klasma.github.io/Logging_0883/tillsynsmail/A 55360-2024 tillsynsbegäran mail.docx", "A 55360-2024")</f>
        <v/>
      </c>
    </row>
    <row r="249" ht="15" customHeight="1">
      <c r="A249" t="inlineStr">
        <is>
          <t>A 11195-2024</t>
        </is>
      </c>
      <c r="B249" s="1" t="n">
        <v>45371</v>
      </c>
      <c r="C249" s="1" t="n">
        <v>45929</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9571-2025</t>
        </is>
      </c>
      <c r="B250" s="1" t="n">
        <v>45715.61996527778</v>
      </c>
      <c r="C250" s="1" t="n">
        <v>45929</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6634-2025</t>
        </is>
      </c>
      <c r="B251" s="1" t="n">
        <v>45700.38141203704</v>
      </c>
      <c r="C251" s="1" t="n">
        <v>45929</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46722-2023</t>
        </is>
      </c>
      <c r="B252" s="1" t="n">
        <v>45194</v>
      </c>
      <c r="C252" s="1" t="n">
        <v>45929</v>
      </c>
      <c r="D252" t="inlineStr">
        <is>
          <t>KALMAR LÄN</t>
        </is>
      </c>
      <c r="E252" t="inlineStr">
        <is>
          <t>VÄSTERVIK</t>
        </is>
      </c>
      <c r="G252" t="n">
        <v>0.9</v>
      </c>
      <c r="H252" t="n">
        <v>1</v>
      </c>
      <c r="I252" t="n">
        <v>0</v>
      </c>
      <c r="J252" t="n">
        <v>0</v>
      </c>
      <c r="K252" t="n">
        <v>1</v>
      </c>
      <c r="L252" t="n">
        <v>0</v>
      </c>
      <c r="M252" t="n">
        <v>0</v>
      </c>
      <c r="N252" t="n">
        <v>0</v>
      </c>
      <c r="O252" t="n">
        <v>1</v>
      </c>
      <c r="P252" t="n">
        <v>1</v>
      </c>
      <c r="Q252" t="n">
        <v>1</v>
      </c>
      <c r="R252" s="2" t="inlineStr">
        <is>
          <t>Knärot</t>
        </is>
      </c>
      <c r="S252">
        <f>HYPERLINK("https://klasma.github.io/Logging_0883/artfynd/A 46722-2023 artfynd.xlsx", "A 46722-2023")</f>
        <v/>
      </c>
      <c r="T252">
        <f>HYPERLINK("https://klasma.github.io/Logging_0883/kartor/A 46722-2023 karta.png", "A 46722-2023")</f>
        <v/>
      </c>
      <c r="U252">
        <f>HYPERLINK("https://klasma.github.io/Logging_0883/knärot/A 46722-2023 karta knärot.png", "A 46722-2023")</f>
        <v/>
      </c>
      <c r="V252">
        <f>HYPERLINK("https://klasma.github.io/Logging_0883/klagomål/A 46722-2023 FSC-klagomål.docx", "A 46722-2023")</f>
        <v/>
      </c>
      <c r="W252">
        <f>HYPERLINK("https://klasma.github.io/Logging_0883/klagomålsmail/A 46722-2023 FSC-klagomål mail.docx", "A 46722-2023")</f>
        <v/>
      </c>
      <c r="X252">
        <f>HYPERLINK("https://klasma.github.io/Logging_0883/tillsyn/A 46722-2023 tillsynsbegäran.docx", "A 46722-2023")</f>
        <v/>
      </c>
      <c r="Y252">
        <f>HYPERLINK("https://klasma.github.io/Logging_0883/tillsynsmail/A 46722-2023 tillsynsbegäran mail.docx", "A 46722-2023")</f>
        <v/>
      </c>
    </row>
    <row r="253" ht="15" customHeight="1">
      <c r="A253" t="inlineStr">
        <is>
          <t>A 3600-2025</t>
        </is>
      </c>
      <c r="B253" s="1" t="n">
        <v>45681.34420138889</v>
      </c>
      <c r="C253" s="1" t="n">
        <v>45929</v>
      </c>
      <c r="D253" t="inlineStr">
        <is>
          <t>KALMAR LÄN</t>
        </is>
      </c>
      <c r="E253" t="inlineStr">
        <is>
          <t>VÄSTERVIK</t>
        </is>
      </c>
      <c r="G253" t="n">
        <v>1</v>
      </c>
      <c r="H253" t="n">
        <v>1</v>
      </c>
      <c r="I253" t="n">
        <v>0</v>
      </c>
      <c r="J253" t="n">
        <v>1</v>
      </c>
      <c r="K253" t="n">
        <v>0</v>
      </c>
      <c r="L253" t="n">
        <v>0</v>
      </c>
      <c r="M253" t="n">
        <v>0</v>
      </c>
      <c r="N253" t="n">
        <v>0</v>
      </c>
      <c r="O253" t="n">
        <v>1</v>
      </c>
      <c r="P253" t="n">
        <v>0</v>
      </c>
      <c r="Q253" t="n">
        <v>1</v>
      </c>
      <c r="R253" s="2" t="inlineStr">
        <is>
          <t>Spillkråka</t>
        </is>
      </c>
      <c r="S253">
        <f>HYPERLINK("https://klasma.github.io/Logging_0883/artfynd/A 3600-2025 artfynd.xlsx", "A 3600-2025")</f>
        <v/>
      </c>
      <c r="T253">
        <f>HYPERLINK("https://klasma.github.io/Logging_0883/kartor/A 3600-2025 karta.png", "A 3600-2025")</f>
        <v/>
      </c>
      <c r="V253">
        <f>HYPERLINK("https://klasma.github.io/Logging_0883/klagomål/A 3600-2025 FSC-klagomål.docx", "A 3600-2025")</f>
        <v/>
      </c>
      <c r="W253">
        <f>HYPERLINK("https://klasma.github.io/Logging_0883/klagomålsmail/A 3600-2025 FSC-klagomål mail.docx", "A 3600-2025")</f>
        <v/>
      </c>
      <c r="X253">
        <f>HYPERLINK("https://klasma.github.io/Logging_0883/tillsyn/A 3600-2025 tillsynsbegäran.docx", "A 3600-2025")</f>
        <v/>
      </c>
      <c r="Y253">
        <f>HYPERLINK("https://klasma.github.io/Logging_0883/tillsynsmail/A 3600-2025 tillsynsbegäran mail.docx", "A 3600-2025")</f>
        <v/>
      </c>
      <c r="Z253">
        <f>HYPERLINK("https://klasma.github.io/Logging_0883/fåglar/A 3600-2025 prioriterade fågelarter.docx", "A 3600-2025")</f>
        <v/>
      </c>
    </row>
    <row r="254" ht="15" customHeight="1">
      <c r="A254" t="inlineStr">
        <is>
          <t>A 20233-2021</t>
        </is>
      </c>
      <c r="B254" s="1" t="n">
        <v>44314</v>
      </c>
      <c r="C254" s="1" t="n">
        <v>45929</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3673-2025</t>
        </is>
      </c>
      <c r="B255" s="1" t="n">
        <v>45681.43706018518</v>
      </c>
      <c r="C255" s="1" t="n">
        <v>45929</v>
      </c>
      <c r="D255" t="inlineStr">
        <is>
          <t>KALMAR LÄN</t>
        </is>
      </c>
      <c r="E255" t="inlineStr">
        <is>
          <t>VÄSTERVIK</t>
        </is>
      </c>
      <c r="G255" t="n">
        <v>1.1</v>
      </c>
      <c r="H255" t="n">
        <v>0</v>
      </c>
      <c r="I255" t="n">
        <v>1</v>
      </c>
      <c r="J255" t="n">
        <v>0</v>
      </c>
      <c r="K255" t="n">
        <v>0</v>
      </c>
      <c r="L255" t="n">
        <v>0</v>
      </c>
      <c r="M255" t="n">
        <v>0</v>
      </c>
      <c r="N255" t="n">
        <v>0</v>
      </c>
      <c r="O255" t="n">
        <v>0</v>
      </c>
      <c r="P255" t="n">
        <v>0</v>
      </c>
      <c r="Q255" t="n">
        <v>1</v>
      </c>
      <c r="R255" s="2" t="inlineStr">
        <is>
          <t>Blodticka</t>
        </is>
      </c>
      <c r="S255">
        <f>HYPERLINK("https://klasma.github.io/Logging_0883/artfynd/A 3673-2025 artfynd.xlsx", "A 3673-2025")</f>
        <v/>
      </c>
      <c r="T255">
        <f>HYPERLINK("https://klasma.github.io/Logging_0883/kartor/A 3673-2025 karta.png", "A 3673-2025")</f>
        <v/>
      </c>
      <c r="V255">
        <f>HYPERLINK("https://klasma.github.io/Logging_0883/klagomål/A 3673-2025 FSC-klagomål.docx", "A 3673-2025")</f>
        <v/>
      </c>
      <c r="W255">
        <f>HYPERLINK("https://klasma.github.io/Logging_0883/klagomålsmail/A 3673-2025 FSC-klagomål mail.docx", "A 3673-2025")</f>
        <v/>
      </c>
      <c r="X255">
        <f>HYPERLINK("https://klasma.github.io/Logging_0883/tillsyn/A 3673-2025 tillsynsbegäran.docx", "A 3673-2025")</f>
        <v/>
      </c>
      <c r="Y255">
        <f>HYPERLINK("https://klasma.github.io/Logging_0883/tillsynsmail/A 3673-2025 tillsynsbegäran mail.docx", "A 3673-2025")</f>
        <v/>
      </c>
    </row>
    <row r="256" ht="15" customHeight="1">
      <c r="A256" t="inlineStr">
        <is>
          <t>A 1176-2024</t>
        </is>
      </c>
      <c r="B256" s="1" t="n">
        <v>45302</v>
      </c>
      <c r="C256" s="1" t="n">
        <v>45929</v>
      </c>
      <c r="D256" t="inlineStr">
        <is>
          <t>KALMAR LÄN</t>
        </is>
      </c>
      <c r="E256" t="inlineStr">
        <is>
          <t>VÄSTERVIK</t>
        </is>
      </c>
      <c r="G256" t="n">
        <v>2.5</v>
      </c>
      <c r="H256" t="n">
        <v>0</v>
      </c>
      <c r="I256" t="n">
        <v>0</v>
      </c>
      <c r="J256" t="n">
        <v>1</v>
      </c>
      <c r="K256" t="n">
        <v>0</v>
      </c>
      <c r="L256" t="n">
        <v>0</v>
      </c>
      <c r="M256" t="n">
        <v>0</v>
      </c>
      <c r="N256" t="n">
        <v>0</v>
      </c>
      <c r="O256" t="n">
        <v>1</v>
      </c>
      <c r="P256" t="n">
        <v>0</v>
      </c>
      <c r="Q256" t="n">
        <v>1</v>
      </c>
      <c r="R256" s="2" t="inlineStr">
        <is>
          <t>Tallticka</t>
        </is>
      </c>
      <c r="S256">
        <f>HYPERLINK("https://klasma.github.io/Logging_0883/artfynd/A 1176-2024 artfynd.xlsx", "A 1176-2024")</f>
        <v/>
      </c>
      <c r="T256">
        <f>HYPERLINK("https://klasma.github.io/Logging_0883/kartor/A 1176-2024 karta.png", "A 1176-2024")</f>
        <v/>
      </c>
      <c r="V256">
        <f>HYPERLINK("https://klasma.github.io/Logging_0883/klagomål/A 1176-2024 FSC-klagomål.docx", "A 1176-2024")</f>
        <v/>
      </c>
      <c r="W256">
        <f>HYPERLINK("https://klasma.github.io/Logging_0883/klagomålsmail/A 1176-2024 FSC-klagomål mail.docx", "A 1176-2024")</f>
        <v/>
      </c>
      <c r="X256">
        <f>HYPERLINK("https://klasma.github.io/Logging_0883/tillsyn/A 1176-2024 tillsynsbegäran.docx", "A 1176-2024")</f>
        <v/>
      </c>
      <c r="Y256">
        <f>HYPERLINK("https://klasma.github.io/Logging_0883/tillsynsmail/A 1176-2024 tillsynsbegäran mail.docx", "A 1176-2024")</f>
        <v/>
      </c>
    </row>
    <row r="257" ht="15" customHeight="1">
      <c r="A257" t="inlineStr">
        <is>
          <t>A 35028-2024</t>
        </is>
      </c>
      <c r="B257" s="1" t="n">
        <v>45527.60524305556</v>
      </c>
      <c r="C257" s="1" t="n">
        <v>45929</v>
      </c>
      <c r="D257" t="inlineStr">
        <is>
          <t>KALMAR LÄN</t>
        </is>
      </c>
      <c r="E257" t="inlineStr">
        <is>
          <t>VÄSTERVIK</t>
        </is>
      </c>
      <c r="G257" t="n">
        <v>1.3</v>
      </c>
      <c r="H257" t="n">
        <v>0</v>
      </c>
      <c r="I257" t="n">
        <v>1</v>
      </c>
      <c r="J257" t="n">
        <v>0</v>
      </c>
      <c r="K257" t="n">
        <v>0</v>
      </c>
      <c r="L257" t="n">
        <v>0</v>
      </c>
      <c r="M257" t="n">
        <v>0</v>
      </c>
      <c r="N257" t="n">
        <v>0</v>
      </c>
      <c r="O257" t="n">
        <v>0</v>
      </c>
      <c r="P257" t="n">
        <v>0</v>
      </c>
      <c r="Q257" t="n">
        <v>1</v>
      </c>
      <c r="R257" s="2" t="inlineStr">
        <is>
          <t>Blomkålssvamp</t>
        </is>
      </c>
      <c r="S257">
        <f>HYPERLINK("https://klasma.github.io/Logging_0883/artfynd/A 35028-2024 artfynd.xlsx", "A 35028-2024")</f>
        <v/>
      </c>
      <c r="T257">
        <f>HYPERLINK("https://klasma.github.io/Logging_0883/kartor/A 35028-2024 karta.png", "A 35028-2024")</f>
        <v/>
      </c>
      <c r="V257">
        <f>HYPERLINK("https://klasma.github.io/Logging_0883/klagomål/A 35028-2024 FSC-klagomål.docx", "A 35028-2024")</f>
        <v/>
      </c>
      <c r="W257">
        <f>HYPERLINK("https://klasma.github.io/Logging_0883/klagomålsmail/A 35028-2024 FSC-klagomål mail.docx", "A 35028-2024")</f>
        <v/>
      </c>
      <c r="X257">
        <f>HYPERLINK("https://klasma.github.io/Logging_0883/tillsyn/A 35028-2024 tillsynsbegäran.docx", "A 35028-2024")</f>
        <v/>
      </c>
      <c r="Y257">
        <f>HYPERLINK("https://klasma.github.io/Logging_0883/tillsynsmail/A 35028-2024 tillsynsbegäran mail.docx", "A 35028-2024")</f>
        <v/>
      </c>
    </row>
    <row r="258" ht="15" customHeight="1">
      <c r="A258" t="inlineStr">
        <is>
          <t>A 1959-2021</t>
        </is>
      </c>
      <c r="B258" s="1" t="n">
        <v>44210.65167824074</v>
      </c>
      <c r="C258" s="1" t="n">
        <v>45929</v>
      </c>
      <c r="D258" t="inlineStr">
        <is>
          <t>KALMAR LÄN</t>
        </is>
      </c>
      <c r="E258" t="inlineStr">
        <is>
          <t>VÄSTERVIK</t>
        </is>
      </c>
      <c r="G258" t="n">
        <v>0.8</v>
      </c>
      <c r="H258" t="n">
        <v>0</v>
      </c>
      <c r="I258" t="n">
        <v>0</v>
      </c>
      <c r="J258" t="n">
        <v>0</v>
      </c>
      <c r="K258" t="n">
        <v>0</v>
      </c>
      <c r="L258" t="n">
        <v>0</v>
      </c>
      <c r="M258" t="n">
        <v>0</v>
      </c>
      <c r="N258" t="n">
        <v>0</v>
      </c>
      <c r="O258" t="n">
        <v>0</v>
      </c>
      <c r="P258" t="n">
        <v>0</v>
      </c>
      <c r="Q258" t="n">
        <v>0</v>
      </c>
      <c r="R258" s="2" t="inlineStr"/>
    </row>
    <row r="259" ht="15" customHeight="1">
      <c r="A259" t="inlineStr">
        <is>
          <t>A 8074-2021</t>
        </is>
      </c>
      <c r="B259" s="1" t="n">
        <v>44243.6503125</v>
      </c>
      <c r="C259" s="1" t="n">
        <v>45929</v>
      </c>
      <c r="D259" t="inlineStr">
        <is>
          <t>KALMAR LÄN</t>
        </is>
      </c>
      <c r="E259" t="inlineStr">
        <is>
          <t>VÄSTERVIK</t>
        </is>
      </c>
      <c r="G259" t="n">
        <v>0.7</v>
      </c>
      <c r="H259" t="n">
        <v>0</v>
      </c>
      <c r="I259" t="n">
        <v>0</v>
      </c>
      <c r="J259" t="n">
        <v>0</v>
      </c>
      <c r="K259" t="n">
        <v>0</v>
      </c>
      <c r="L259" t="n">
        <v>0</v>
      </c>
      <c r="M259" t="n">
        <v>0</v>
      </c>
      <c r="N259" t="n">
        <v>0</v>
      </c>
      <c r="O259" t="n">
        <v>0</v>
      </c>
      <c r="P259" t="n">
        <v>0</v>
      </c>
      <c r="Q259" t="n">
        <v>0</v>
      </c>
      <c r="R259" s="2" t="inlineStr"/>
    </row>
    <row r="260" ht="15" customHeight="1">
      <c r="A260" t="inlineStr">
        <is>
          <t>A 57065-2020</t>
        </is>
      </c>
      <c r="B260" s="1" t="n">
        <v>44138</v>
      </c>
      <c r="C260" s="1" t="n">
        <v>45929</v>
      </c>
      <c r="D260" t="inlineStr">
        <is>
          <t>KALMAR LÄN</t>
        </is>
      </c>
      <c r="E260" t="inlineStr">
        <is>
          <t>VÄSTERVIK</t>
        </is>
      </c>
      <c r="G260" t="n">
        <v>3.7</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45929</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23626-2021</t>
        </is>
      </c>
      <c r="B262" s="1" t="n">
        <v>44334</v>
      </c>
      <c r="C262" s="1" t="n">
        <v>45929</v>
      </c>
      <c r="D262" t="inlineStr">
        <is>
          <t>KALMAR LÄN</t>
        </is>
      </c>
      <c r="E262" t="inlineStr">
        <is>
          <t>VÄSTERVIK</t>
        </is>
      </c>
      <c r="G262" t="n">
        <v>9</v>
      </c>
      <c r="H262" t="n">
        <v>0</v>
      </c>
      <c r="I262" t="n">
        <v>0</v>
      </c>
      <c r="J262" t="n">
        <v>0</v>
      </c>
      <c r="K262" t="n">
        <v>0</v>
      </c>
      <c r="L262" t="n">
        <v>0</v>
      </c>
      <c r="M262" t="n">
        <v>0</v>
      </c>
      <c r="N262" t="n">
        <v>0</v>
      </c>
      <c r="O262" t="n">
        <v>0</v>
      </c>
      <c r="P262" t="n">
        <v>0</v>
      </c>
      <c r="Q262" t="n">
        <v>0</v>
      </c>
      <c r="R262" s="2" t="inlineStr"/>
    </row>
    <row r="263" ht="15" customHeight="1">
      <c r="A263" t="inlineStr">
        <is>
          <t>A 14317-2021</t>
        </is>
      </c>
      <c r="B263" s="1" t="n">
        <v>44278</v>
      </c>
      <c r="C263" s="1" t="n">
        <v>45929</v>
      </c>
      <c r="D263" t="inlineStr">
        <is>
          <t>KALMAR LÄN</t>
        </is>
      </c>
      <c r="E263" t="inlineStr">
        <is>
          <t>VÄSTERVIK</t>
        </is>
      </c>
      <c r="G263" t="n">
        <v>2.1</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45929</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61696-2020</t>
        </is>
      </c>
      <c r="B265" s="1" t="n">
        <v>44158</v>
      </c>
      <c r="C265" s="1" t="n">
        <v>45929</v>
      </c>
      <c r="D265" t="inlineStr">
        <is>
          <t>KALMAR LÄN</t>
        </is>
      </c>
      <c r="E265" t="inlineStr">
        <is>
          <t>VÄSTERVIK</t>
        </is>
      </c>
      <c r="G265" t="n">
        <v>1.7</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45929</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16728-2021</t>
        </is>
      </c>
      <c r="B267" s="1" t="n">
        <v>44294.68079861111</v>
      </c>
      <c r="C267" s="1" t="n">
        <v>45929</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45929</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45929</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45929</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3145-2022</t>
        </is>
      </c>
      <c r="B271" s="1" t="n">
        <v>44582.5518287037</v>
      </c>
      <c r="C271" s="1" t="n">
        <v>45929</v>
      </c>
      <c r="D271" t="inlineStr">
        <is>
          <t>KALMAR LÄN</t>
        </is>
      </c>
      <c r="E271" t="inlineStr">
        <is>
          <t>VÄSTERVIK</t>
        </is>
      </c>
      <c r="G271" t="n">
        <v>0.8</v>
      </c>
      <c r="H271" t="n">
        <v>0</v>
      </c>
      <c r="I271" t="n">
        <v>0</v>
      </c>
      <c r="J271" t="n">
        <v>0</v>
      </c>
      <c r="K271" t="n">
        <v>0</v>
      </c>
      <c r="L271" t="n">
        <v>0</v>
      </c>
      <c r="M271" t="n">
        <v>0</v>
      </c>
      <c r="N271" t="n">
        <v>0</v>
      </c>
      <c r="O271" t="n">
        <v>0</v>
      </c>
      <c r="P271" t="n">
        <v>0</v>
      </c>
      <c r="Q271" t="n">
        <v>0</v>
      </c>
      <c r="R271" s="2" t="inlineStr"/>
    </row>
    <row r="272" ht="15" customHeight="1">
      <c r="A272" t="inlineStr">
        <is>
          <t>A 17953-2022</t>
        </is>
      </c>
      <c r="B272" s="1" t="n">
        <v>44683.64341435185</v>
      </c>
      <c r="C272" s="1" t="n">
        <v>45929</v>
      </c>
      <c r="D272" t="inlineStr">
        <is>
          <t>KALMAR LÄN</t>
        </is>
      </c>
      <c r="E272" t="inlineStr">
        <is>
          <t>VÄSTERVIK</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42131-2021</t>
        </is>
      </c>
      <c r="B273" s="1" t="n">
        <v>44426</v>
      </c>
      <c r="C273" s="1" t="n">
        <v>45929</v>
      </c>
      <c r="D273" t="inlineStr">
        <is>
          <t>KALMAR LÄN</t>
        </is>
      </c>
      <c r="E273" t="inlineStr">
        <is>
          <t>VÄSTERVIK</t>
        </is>
      </c>
      <c r="G273" t="n">
        <v>2.3</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45929</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40062-2022</t>
        </is>
      </c>
      <c r="B275" s="1" t="n">
        <v>44820</v>
      </c>
      <c r="C275" s="1" t="n">
        <v>45929</v>
      </c>
      <c r="D275" t="inlineStr">
        <is>
          <t>KALMAR LÄN</t>
        </is>
      </c>
      <c r="E275" t="inlineStr">
        <is>
          <t>VÄSTERVIK</t>
        </is>
      </c>
      <c r="G275" t="n">
        <v>0.7</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45929</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45929</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64822-2021</t>
        </is>
      </c>
      <c r="B278" s="1" t="n">
        <v>44512</v>
      </c>
      <c r="C278" s="1" t="n">
        <v>45929</v>
      </c>
      <c r="D278" t="inlineStr">
        <is>
          <t>KALMAR LÄN</t>
        </is>
      </c>
      <c r="E278" t="inlineStr">
        <is>
          <t>VÄSTERVIK</t>
        </is>
      </c>
      <c r="G278" t="n">
        <v>0.6</v>
      </c>
      <c r="H278" t="n">
        <v>0</v>
      </c>
      <c r="I278" t="n">
        <v>0</v>
      </c>
      <c r="J278" t="n">
        <v>0</v>
      </c>
      <c r="K278" t="n">
        <v>0</v>
      </c>
      <c r="L278" t="n">
        <v>0</v>
      </c>
      <c r="M278" t="n">
        <v>0</v>
      </c>
      <c r="N278" t="n">
        <v>0</v>
      </c>
      <c r="O278" t="n">
        <v>0</v>
      </c>
      <c r="P278" t="n">
        <v>0</v>
      </c>
      <c r="Q278" t="n">
        <v>0</v>
      </c>
      <c r="R278" s="2" t="inlineStr"/>
    </row>
    <row r="279" ht="15" customHeight="1">
      <c r="A279" t="inlineStr">
        <is>
          <t>A 64399-2020</t>
        </is>
      </c>
      <c r="B279" s="1" t="n">
        <v>44168.64150462963</v>
      </c>
      <c r="C279" s="1" t="n">
        <v>45929</v>
      </c>
      <c r="D279" t="inlineStr">
        <is>
          <t>KALMAR LÄN</t>
        </is>
      </c>
      <c r="E279" t="inlineStr">
        <is>
          <t>VÄSTERVIK</t>
        </is>
      </c>
      <c r="G279" t="n">
        <v>1.1</v>
      </c>
      <c r="H279" t="n">
        <v>0</v>
      </c>
      <c r="I279" t="n">
        <v>0</v>
      </c>
      <c r="J279" t="n">
        <v>0</v>
      </c>
      <c r="K279" t="n">
        <v>0</v>
      </c>
      <c r="L279" t="n">
        <v>0</v>
      </c>
      <c r="M279" t="n">
        <v>0</v>
      </c>
      <c r="N279" t="n">
        <v>0</v>
      </c>
      <c r="O279" t="n">
        <v>0</v>
      </c>
      <c r="P279" t="n">
        <v>0</v>
      </c>
      <c r="Q279" t="n">
        <v>0</v>
      </c>
      <c r="R279" s="2" t="inlineStr"/>
    </row>
    <row r="280" ht="15" customHeight="1">
      <c r="A280" t="inlineStr">
        <is>
          <t>A 48018-2021</t>
        </is>
      </c>
      <c r="B280" s="1" t="n">
        <v>44449.37518518518</v>
      </c>
      <c r="C280" s="1" t="n">
        <v>45929</v>
      </c>
      <c r="D280" t="inlineStr">
        <is>
          <t>KALMAR LÄN</t>
        </is>
      </c>
      <c r="E280" t="inlineStr">
        <is>
          <t>VÄSTERVIK</t>
        </is>
      </c>
      <c r="G280" t="n">
        <v>1.3</v>
      </c>
      <c r="H280" t="n">
        <v>0</v>
      </c>
      <c r="I280" t="n">
        <v>0</v>
      </c>
      <c r="J280" t="n">
        <v>0</v>
      </c>
      <c r="K280" t="n">
        <v>0</v>
      </c>
      <c r="L280" t="n">
        <v>0</v>
      </c>
      <c r="M280" t="n">
        <v>0</v>
      </c>
      <c r="N280" t="n">
        <v>0</v>
      </c>
      <c r="O280" t="n">
        <v>0</v>
      </c>
      <c r="P280" t="n">
        <v>0</v>
      </c>
      <c r="Q280" t="n">
        <v>0</v>
      </c>
      <c r="R280" s="2" t="inlineStr"/>
    </row>
    <row r="281" ht="15" customHeight="1">
      <c r="A281" t="inlineStr">
        <is>
          <t>A 57808-2021</t>
        </is>
      </c>
      <c r="B281" s="1" t="n">
        <v>44484</v>
      </c>
      <c r="C281" s="1" t="n">
        <v>45929</v>
      </c>
      <c r="D281" t="inlineStr">
        <is>
          <t>KALMAR LÄN</t>
        </is>
      </c>
      <c r="E281" t="inlineStr">
        <is>
          <t>VÄSTERVIK</t>
        </is>
      </c>
      <c r="G281" t="n">
        <v>1</v>
      </c>
      <c r="H281" t="n">
        <v>0</v>
      </c>
      <c r="I281" t="n">
        <v>0</v>
      </c>
      <c r="J281" t="n">
        <v>0</v>
      </c>
      <c r="K281" t="n">
        <v>0</v>
      </c>
      <c r="L281" t="n">
        <v>0</v>
      </c>
      <c r="M281" t="n">
        <v>0</v>
      </c>
      <c r="N281" t="n">
        <v>0</v>
      </c>
      <c r="O281" t="n">
        <v>0</v>
      </c>
      <c r="P281" t="n">
        <v>0</v>
      </c>
      <c r="Q281" t="n">
        <v>0</v>
      </c>
      <c r="R281" s="2" t="inlineStr"/>
    </row>
    <row r="282" ht="15" customHeight="1">
      <c r="A282" t="inlineStr">
        <is>
          <t>A 13626-2021</t>
        </is>
      </c>
      <c r="B282" s="1" t="n">
        <v>44274.39513888889</v>
      </c>
      <c r="C282" s="1" t="n">
        <v>45929</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45929</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45929</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45929</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45929</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45929</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45929</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45929</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45929</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45929</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58555-2021</t>
        </is>
      </c>
      <c r="B292" s="1" t="n">
        <v>44488</v>
      </c>
      <c r="C292" s="1" t="n">
        <v>45929</v>
      </c>
      <c r="D292" t="inlineStr">
        <is>
          <t>KALMAR LÄN</t>
        </is>
      </c>
      <c r="E292" t="inlineStr">
        <is>
          <t>VÄSTERVIK</t>
        </is>
      </c>
      <c r="G292" t="n">
        <v>2.2</v>
      </c>
      <c r="H292" t="n">
        <v>0</v>
      </c>
      <c r="I292" t="n">
        <v>0</v>
      </c>
      <c r="J292" t="n">
        <v>0</v>
      </c>
      <c r="K292" t="n">
        <v>0</v>
      </c>
      <c r="L292" t="n">
        <v>0</v>
      </c>
      <c r="M292" t="n">
        <v>0</v>
      </c>
      <c r="N292" t="n">
        <v>0</v>
      </c>
      <c r="O292" t="n">
        <v>0</v>
      </c>
      <c r="P292" t="n">
        <v>0</v>
      </c>
      <c r="Q292" t="n">
        <v>0</v>
      </c>
      <c r="R292" s="2" t="inlineStr"/>
    </row>
    <row r="293" ht="15" customHeight="1">
      <c r="A293" t="inlineStr">
        <is>
          <t>A 37545-2021</t>
        </is>
      </c>
      <c r="B293" s="1" t="n">
        <v>44399</v>
      </c>
      <c r="C293" s="1" t="n">
        <v>45929</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43808-2021</t>
        </is>
      </c>
      <c r="B294" s="1" t="n">
        <v>44433</v>
      </c>
      <c r="C294" s="1" t="n">
        <v>45929</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42137-2021</t>
        </is>
      </c>
      <c r="B295" s="1" t="n">
        <v>44426</v>
      </c>
      <c r="C295" s="1" t="n">
        <v>45929</v>
      </c>
      <c r="D295" t="inlineStr">
        <is>
          <t>KALMAR LÄN</t>
        </is>
      </c>
      <c r="E295" t="inlineStr">
        <is>
          <t>VÄSTERVIK</t>
        </is>
      </c>
      <c r="G295" t="n">
        <v>1.2</v>
      </c>
      <c r="H295" t="n">
        <v>0</v>
      </c>
      <c r="I295" t="n">
        <v>0</v>
      </c>
      <c r="J295" t="n">
        <v>0</v>
      </c>
      <c r="K295" t="n">
        <v>0</v>
      </c>
      <c r="L295" t="n">
        <v>0</v>
      </c>
      <c r="M295" t="n">
        <v>0</v>
      </c>
      <c r="N295" t="n">
        <v>0</v>
      </c>
      <c r="O295" t="n">
        <v>0</v>
      </c>
      <c r="P295" t="n">
        <v>0</v>
      </c>
      <c r="Q295" t="n">
        <v>0</v>
      </c>
      <c r="R295" s="2" t="inlineStr"/>
    </row>
    <row r="296" ht="15" customHeight="1">
      <c r="A296" t="inlineStr">
        <is>
          <t>A 48021-2021</t>
        </is>
      </c>
      <c r="B296" s="1" t="n">
        <v>44449</v>
      </c>
      <c r="C296" s="1" t="n">
        <v>45929</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50977-2021</t>
        </is>
      </c>
      <c r="B297" s="1" t="n">
        <v>44460.68069444445</v>
      </c>
      <c r="C297" s="1" t="n">
        <v>45929</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43805-2021</t>
        </is>
      </c>
      <c r="B298" s="1" t="n">
        <v>44433</v>
      </c>
      <c r="C298" s="1" t="n">
        <v>45929</v>
      </c>
      <c r="D298" t="inlineStr">
        <is>
          <t>KALMAR LÄN</t>
        </is>
      </c>
      <c r="E298" t="inlineStr">
        <is>
          <t>VÄSTERVIK</t>
        </is>
      </c>
      <c r="G298" t="n">
        <v>0.9</v>
      </c>
      <c r="H298" t="n">
        <v>0</v>
      </c>
      <c r="I298" t="n">
        <v>0</v>
      </c>
      <c r="J298" t="n">
        <v>0</v>
      </c>
      <c r="K298" t="n">
        <v>0</v>
      </c>
      <c r="L298" t="n">
        <v>0</v>
      </c>
      <c r="M298" t="n">
        <v>0</v>
      </c>
      <c r="N298" t="n">
        <v>0</v>
      </c>
      <c r="O298" t="n">
        <v>0</v>
      </c>
      <c r="P298" t="n">
        <v>0</v>
      </c>
      <c r="Q298" t="n">
        <v>0</v>
      </c>
      <c r="R298" s="2" t="inlineStr"/>
    </row>
    <row r="299" ht="15" customHeight="1">
      <c r="A299" t="inlineStr">
        <is>
          <t>A 43810-2021</t>
        </is>
      </c>
      <c r="B299" s="1" t="n">
        <v>44433</v>
      </c>
      <c r="C299" s="1" t="n">
        <v>45929</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8788-2021</t>
        </is>
      </c>
      <c r="B300" s="1" t="n">
        <v>44246</v>
      </c>
      <c r="C300" s="1" t="n">
        <v>45929</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42150-2021</t>
        </is>
      </c>
      <c r="B301" s="1" t="n">
        <v>44426</v>
      </c>
      <c r="C301" s="1" t="n">
        <v>45929</v>
      </c>
      <c r="D301" t="inlineStr">
        <is>
          <t>KALMAR LÄN</t>
        </is>
      </c>
      <c r="E301" t="inlineStr">
        <is>
          <t>VÄSTERVIK</t>
        </is>
      </c>
      <c r="G301" t="n">
        <v>0.3</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45929</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45929</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72733-2021</t>
        </is>
      </c>
      <c r="B304" s="1" t="n">
        <v>44546</v>
      </c>
      <c r="C304" s="1" t="n">
        <v>45929</v>
      </c>
      <c r="D304" t="inlineStr">
        <is>
          <t>KALMAR LÄN</t>
        </is>
      </c>
      <c r="E304" t="inlineStr">
        <is>
          <t>VÄSTERVIK</t>
        </is>
      </c>
      <c r="G304" t="n">
        <v>1.2</v>
      </c>
      <c r="H304" t="n">
        <v>0</v>
      </c>
      <c r="I304" t="n">
        <v>0</v>
      </c>
      <c r="J304" t="n">
        <v>0</v>
      </c>
      <c r="K304" t="n">
        <v>0</v>
      </c>
      <c r="L304" t="n">
        <v>0</v>
      </c>
      <c r="M304" t="n">
        <v>0</v>
      </c>
      <c r="N304" t="n">
        <v>0</v>
      </c>
      <c r="O304" t="n">
        <v>0</v>
      </c>
      <c r="P304" t="n">
        <v>0</v>
      </c>
      <c r="Q304" t="n">
        <v>0</v>
      </c>
      <c r="R304" s="2" t="inlineStr"/>
    </row>
    <row r="305" ht="15" customHeight="1">
      <c r="A305" t="inlineStr">
        <is>
          <t>A 46781-2022</t>
        </is>
      </c>
      <c r="B305" s="1" t="n">
        <v>44851.49836805555</v>
      </c>
      <c r="C305" s="1" t="n">
        <v>45929</v>
      </c>
      <c r="D305" t="inlineStr">
        <is>
          <t>KALMAR LÄN</t>
        </is>
      </c>
      <c r="E305" t="inlineStr">
        <is>
          <t>VÄSTERVIK</t>
        </is>
      </c>
      <c r="G305" t="n">
        <v>13.2</v>
      </c>
      <c r="H305" t="n">
        <v>0</v>
      </c>
      <c r="I305" t="n">
        <v>0</v>
      </c>
      <c r="J305" t="n">
        <v>0</v>
      </c>
      <c r="K305" t="n">
        <v>0</v>
      </c>
      <c r="L305" t="n">
        <v>0</v>
      </c>
      <c r="M305" t="n">
        <v>0</v>
      </c>
      <c r="N305" t="n">
        <v>0</v>
      </c>
      <c r="O305" t="n">
        <v>0</v>
      </c>
      <c r="P305" t="n">
        <v>0</v>
      </c>
      <c r="Q305" t="n">
        <v>0</v>
      </c>
      <c r="R305" s="2" t="inlineStr"/>
    </row>
    <row r="306" ht="15" customHeight="1">
      <c r="A306" t="inlineStr">
        <is>
          <t>A 38613-2021</t>
        </is>
      </c>
      <c r="B306" s="1" t="n">
        <v>44409</v>
      </c>
      <c r="C306" s="1" t="n">
        <v>45929</v>
      </c>
      <c r="D306" t="inlineStr">
        <is>
          <t>KALMAR LÄN</t>
        </is>
      </c>
      <c r="E306" t="inlineStr">
        <is>
          <t>VÄSTERVIK</t>
        </is>
      </c>
      <c r="G306" t="n">
        <v>7</v>
      </c>
      <c r="H306" t="n">
        <v>0</v>
      </c>
      <c r="I306" t="n">
        <v>0</v>
      </c>
      <c r="J306" t="n">
        <v>0</v>
      </c>
      <c r="K306" t="n">
        <v>0</v>
      </c>
      <c r="L306" t="n">
        <v>0</v>
      </c>
      <c r="M306" t="n">
        <v>0</v>
      </c>
      <c r="N306" t="n">
        <v>0</v>
      </c>
      <c r="O306" t="n">
        <v>0</v>
      </c>
      <c r="P306" t="n">
        <v>0</v>
      </c>
      <c r="Q306" t="n">
        <v>0</v>
      </c>
      <c r="R306" s="2" t="inlineStr"/>
    </row>
    <row r="307" ht="15" customHeight="1">
      <c r="A307" t="inlineStr">
        <is>
          <t>A 15834-2021</t>
        </is>
      </c>
      <c r="B307" s="1" t="n">
        <v>44286</v>
      </c>
      <c r="C307" s="1" t="n">
        <v>45929</v>
      </c>
      <c r="D307" t="inlineStr">
        <is>
          <t>KALMAR LÄN</t>
        </is>
      </c>
      <c r="E307" t="inlineStr">
        <is>
          <t>VÄSTERVIK</t>
        </is>
      </c>
      <c r="F307" t="inlineStr">
        <is>
          <t>Holmen skog AB</t>
        </is>
      </c>
      <c r="G307" t="n">
        <v>0.6</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45929</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45929</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53108-2022</t>
        </is>
      </c>
      <c r="B310" s="1" t="n">
        <v>44876.43712962963</v>
      </c>
      <c r="C310" s="1" t="n">
        <v>45929</v>
      </c>
      <c r="D310" t="inlineStr">
        <is>
          <t>KALMAR LÄN</t>
        </is>
      </c>
      <c r="E310" t="inlineStr">
        <is>
          <t>VÄSTERVIK</t>
        </is>
      </c>
      <c r="G310" t="n">
        <v>1</v>
      </c>
      <c r="H310" t="n">
        <v>0</v>
      </c>
      <c r="I310" t="n">
        <v>0</v>
      </c>
      <c r="J310" t="n">
        <v>0</v>
      </c>
      <c r="K310" t="n">
        <v>0</v>
      </c>
      <c r="L310" t="n">
        <v>0</v>
      </c>
      <c r="M310" t="n">
        <v>0</v>
      </c>
      <c r="N310" t="n">
        <v>0</v>
      </c>
      <c r="O310" t="n">
        <v>0</v>
      </c>
      <c r="P310" t="n">
        <v>0</v>
      </c>
      <c r="Q310" t="n">
        <v>0</v>
      </c>
      <c r="R310" s="2" t="inlineStr"/>
    </row>
    <row r="311" ht="15" customHeight="1">
      <c r="A311" t="inlineStr">
        <is>
          <t>A 23628-2021</t>
        </is>
      </c>
      <c r="B311" s="1" t="n">
        <v>44334</v>
      </c>
      <c r="C311" s="1" t="n">
        <v>45929</v>
      </c>
      <c r="D311" t="inlineStr">
        <is>
          <t>KALMAR LÄN</t>
        </is>
      </c>
      <c r="E311" t="inlineStr">
        <is>
          <t>VÄSTERVIK</t>
        </is>
      </c>
      <c r="G311" t="n">
        <v>1.5</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44673.48178240741</v>
      </c>
      <c r="C312" s="1" t="n">
        <v>45929</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65647-2020</t>
        </is>
      </c>
      <c r="B313" s="1" t="n">
        <v>44174.32638888889</v>
      </c>
      <c r="C313" s="1" t="n">
        <v>45929</v>
      </c>
      <c r="D313" t="inlineStr">
        <is>
          <t>KALMAR LÄN</t>
        </is>
      </c>
      <c r="E313" t="inlineStr">
        <is>
          <t>VÄSTERVIK</t>
        </is>
      </c>
      <c r="G313" t="n">
        <v>1.1</v>
      </c>
      <c r="H313" t="n">
        <v>0</v>
      </c>
      <c r="I313" t="n">
        <v>0</v>
      </c>
      <c r="J313" t="n">
        <v>0</v>
      </c>
      <c r="K313" t="n">
        <v>0</v>
      </c>
      <c r="L313" t="n">
        <v>0</v>
      </c>
      <c r="M313" t="n">
        <v>0</v>
      </c>
      <c r="N313" t="n">
        <v>0</v>
      </c>
      <c r="O313" t="n">
        <v>0</v>
      </c>
      <c r="P313" t="n">
        <v>0</v>
      </c>
      <c r="Q313" t="n">
        <v>0</v>
      </c>
      <c r="R313" s="2" t="inlineStr"/>
    </row>
    <row r="314" ht="15" customHeight="1">
      <c r="A314" t="inlineStr">
        <is>
          <t>A 33206-2022</t>
        </is>
      </c>
      <c r="B314" s="1" t="n">
        <v>44785</v>
      </c>
      <c r="C314" s="1" t="n">
        <v>45929</v>
      </c>
      <c r="D314" t="inlineStr">
        <is>
          <t>KALMAR LÄN</t>
        </is>
      </c>
      <c r="E314" t="inlineStr">
        <is>
          <t>VÄSTERVIK</t>
        </is>
      </c>
      <c r="G314" t="n">
        <v>1.8</v>
      </c>
      <c r="H314" t="n">
        <v>0</v>
      </c>
      <c r="I314" t="n">
        <v>0</v>
      </c>
      <c r="J314" t="n">
        <v>0</v>
      </c>
      <c r="K314" t="n">
        <v>0</v>
      </c>
      <c r="L314" t="n">
        <v>0</v>
      </c>
      <c r="M314" t="n">
        <v>0</v>
      </c>
      <c r="N314" t="n">
        <v>0</v>
      </c>
      <c r="O314" t="n">
        <v>0</v>
      </c>
      <c r="P314" t="n">
        <v>0</v>
      </c>
      <c r="Q314" t="n">
        <v>0</v>
      </c>
      <c r="R314" s="2" t="inlineStr"/>
    </row>
    <row r="315" ht="15" customHeight="1">
      <c r="A315" t="inlineStr">
        <is>
          <t>A 58041-2020</t>
        </is>
      </c>
      <c r="B315" s="1" t="n">
        <v>44140</v>
      </c>
      <c r="C315" s="1" t="n">
        <v>45929</v>
      </c>
      <c r="D315" t="inlineStr">
        <is>
          <t>KALMAR LÄN</t>
        </is>
      </c>
      <c r="E315" t="inlineStr">
        <is>
          <t>VÄSTERVIK</t>
        </is>
      </c>
      <c r="F315" t="inlineStr">
        <is>
          <t>Övriga Aktiebolag</t>
        </is>
      </c>
      <c r="G315" t="n">
        <v>1.9</v>
      </c>
      <c r="H315" t="n">
        <v>0</v>
      </c>
      <c r="I315" t="n">
        <v>0</v>
      </c>
      <c r="J315" t="n">
        <v>0</v>
      </c>
      <c r="K315" t="n">
        <v>0</v>
      </c>
      <c r="L315" t="n">
        <v>0</v>
      </c>
      <c r="M315" t="n">
        <v>0</v>
      </c>
      <c r="N315" t="n">
        <v>0</v>
      </c>
      <c r="O315" t="n">
        <v>0</v>
      </c>
      <c r="P315" t="n">
        <v>0</v>
      </c>
      <c r="Q315" t="n">
        <v>0</v>
      </c>
      <c r="R315" s="2" t="inlineStr"/>
    </row>
    <row r="316" ht="15" customHeight="1">
      <c r="A316" t="inlineStr">
        <is>
          <t>A 46783-2022</t>
        </is>
      </c>
      <c r="B316" s="1" t="n">
        <v>44851.50041666667</v>
      </c>
      <c r="C316" s="1" t="n">
        <v>45929</v>
      </c>
      <c r="D316" t="inlineStr">
        <is>
          <t>KALMAR LÄN</t>
        </is>
      </c>
      <c r="E316" t="inlineStr">
        <is>
          <t>VÄSTERVIK</t>
        </is>
      </c>
      <c r="G316" t="n">
        <v>2</v>
      </c>
      <c r="H316" t="n">
        <v>0</v>
      </c>
      <c r="I316" t="n">
        <v>0</v>
      </c>
      <c r="J316" t="n">
        <v>0</v>
      </c>
      <c r="K316" t="n">
        <v>0</v>
      </c>
      <c r="L316" t="n">
        <v>0</v>
      </c>
      <c r="M316" t="n">
        <v>0</v>
      </c>
      <c r="N316" t="n">
        <v>0</v>
      </c>
      <c r="O316" t="n">
        <v>0</v>
      </c>
      <c r="P316" t="n">
        <v>0</v>
      </c>
      <c r="Q316" t="n">
        <v>0</v>
      </c>
      <c r="R316" s="2" t="inlineStr"/>
    </row>
    <row r="317" ht="15" customHeight="1">
      <c r="A317" t="inlineStr">
        <is>
          <t>A 62930-2021</t>
        </is>
      </c>
      <c r="B317" s="1" t="n">
        <v>44504</v>
      </c>
      <c r="C317" s="1" t="n">
        <v>45929</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15598-2021</t>
        </is>
      </c>
      <c r="B318" s="1" t="n">
        <v>44285.67078703704</v>
      </c>
      <c r="C318" s="1" t="n">
        <v>45929</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32583-2021</t>
        </is>
      </c>
      <c r="B319" s="1" t="n">
        <v>44375</v>
      </c>
      <c r="C319" s="1" t="n">
        <v>45929</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13761-2021</t>
        </is>
      </c>
      <c r="B320" s="1" t="n">
        <v>44274.71607638889</v>
      </c>
      <c r="C320" s="1" t="n">
        <v>45929</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31545-2021</t>
        </is>
      </c>
      <c r="B321" s="1" t="n">
        <v>44369</v>
      </c>
      <c r="C321" s="1" t="n">
        <v>45929</v>
      </c>
      <c r="D321" t="inlineStr">
        <is>
          <t>KALMAR LÄN</t>
        </is>
      </c>
      <c r="E321" t="inlineStr">
        <is>
          <t>VÄSTERVIK</t>
        </is>
      </c>
      <c r="G321" t="n">
        <v>0.8</v>
      </c>
      <c r="H321" t="n">
        <v>0</v>
      </c>
      <c r="I321" t="n">
        <v>0</v>
      </c>
      <c r="J321" t="n">
        <v>0</v>
      </c>
      <c r="K321" t="n">
        <v>0</v>
      </c>
      <c r="L321" t="n">
        <v>0</v>
      </c>
      <c r="M321" t="n">
        <v>0</v>
      </c>
      <c r="N321" t="n">
        <v>0</v>
      </c>
      <c r="O321" t="n">
        <v>0</v>
      </c>
      <c r="P321" t="n">
        <v>0</v>
      </c>
      <c r="Q321" t="n">
        <v>0</v>
      </c>
      <c r="R321" s="2" t="inlineStr"/>
    </row>
    <row r="322" ht="15" customHeight="1">
      <c r="A322" t="inlineStr">
        <is>
          <t>A 35906-2021</t>
        </is>
      </c>
      <c r="B322" s="1" t="n">
        <v>44387.67591435185</v>
      </c>
      <c r="C322" s="1" t="n">
        <v>45929</v>
      </c>
      <c r="D322" t="inlineStr">
        <is>
          <t>KALMAR LÄN</t>
        </is>
      </c>
      <c r="E322" t="inlineStr">
        <is>
          <t>VÄSTERVIK</t>
        </is>
      </c>
      <c r="G322" t="n">
        <v>2.5</v>
      </c>
      <c r="H322" t="n">
        <v>0</v>
      </c>
      <c r="I322" t="n">
        <v>0</v>
      </c>
      <c r="J322" t="n">
        <v>0</v>
      </c>
      <c r="K322" t="n">
        <v>0</v>
      </c>
      <c r="L322" t="n">
        <v>0</v>
      </c>
      <c r="M322" t="n">
        <v>0</v>
      </c>
      <c r="N322" t="n">
        <v>0</v>
      </c>
      <c r="O322" t="n">
        <v>0</v>
      </c>
      <c r="P322" t="n">
        <v>0</v>
      </c>
      <c r="Q322" t="n">
        <v>0</v>
      </c>
      <c r="R322" s="2" t="inlineStr"/>
    </row>
    <row r="323" ht="15" customHeight="1">
      <c r="A323" t="inlineStr">
        <is>
          <t>A 18013-2021</t>
        </is>
      </c>
      <c r="B323" s="1" t="n">
        <v>44302</v>
      </c>
      <c r="C323" s="1" t="n">
        <v>45929</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45929</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3669-2021</t>
        </is>
      </c>
      <c r="B325" s="1" t="n">
        <v>44221</v>
      </c>
      <c r="C325" s="1" t="n">
        <v>45929</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45929</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809-2021</t>
        </is>
      </c>
      <c r="B327" s="1" t="n">
        <v>44204</v>
      </c>
      <c r="C327" s="1" t="n">
        <v>45929</v>
      </c>
      <c r="D327" t="inlineStr">
        <is>
          <t>KALMAR LÄN</t>
        </is>
      </c>
      <c r="E327" t="inlineStr">
        <is>
          <t>VÄSTERVIK</t>
        </is>
      </c>
      <c r="F327" t="inlineStr">
        <is>
          <t>Övriga Aktiebolag</t>
        </is>
      </c>
      <c r="G327" t="n">
        <v>2.8</v>
      </c>
      <c r="H327" t="n">
        <v>0</v>
      </c>
      <c r="I327" t="n">
        <v>0</v>
      </c>
      <c r="J327" t="n">
        <v>0</v>
      </c>
      <c r="K327" t="n">
        <v>0</v>
      </c>
      <c r="L327" t="n">
        <v>0</v>
      </c>
      <c r="M327" t="n">
        <v>0</v>
      </c>
      <c r="N327" t="n">
        <v>0</v>
      </c>
      <c r="O327" t="n">
        <v>0</v>
      </c>
      <c r="P327" t="n">
        <v>0</v>
      </c>
      <c r="Q327" t="n">
        <v>0</v>
      </c>
      <c r="R327" s="2" t="inlineStr"/>
    </row>
    <row r="328" ht="15" customHeight="1">
      <c r="A328" t="inlineStr">
        <is>
          <t>A 49377-2022</t>
        </is>
      </c>
      <c r="B328" s="1" t="n">
        <v>44861.60849537037</v>
      </c>
      <c r="C328" s="1" t="n">
        <v>45929</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578-2021</t>
        </is>
      </c>
      <c r="B329" s="1" t="n">
        <v>44203</v>
      </c>
      <c r="C329" s="1" t="n">
        <v>45929</v>
      </c>
      <c r="D329" t="inlineStr">
        <is>
          <t>KALMAR LÄN</t>
        </is>
      </c>
      <c r="E329" t="inlineStr">
        <is>
          <t>VÄSTERVIK</t>
        </is>
      </c>
      <c r="G329" t="n">
        <v>3.5</v>
      </c>
      <c r="H329" t="n">
        <v>0</v>
      </c>
      <c r="I329" t="n">
        <v>0</v>
      </c>
      <c r="J329" t="n">
        <v>0</v>
      </c>
      <c r="K329" t="n">
        <v>0</v>
      </c>
      <c r="L329" t="n">
        <v>0</v>
      </c>
      <c r="M329" t="n">
        <v>0</v>
      </c>
      <c r="N329" t="n">
        <v>0</v>
      </c>
      <c r="O329" t="n">
        <v>0</v>
      </c>
      <c r="P329" t="n">
        <v>0</v>
      </c>
      <c r="Q329" t="n">
        <v>0</v>
      </c>
      <c r="R329" s="2" t="inlineStr"/>
    </row>
    <row r="330" ht="15" customHeight="1">
      <c r="A330" t="inlineStr">
        <is>
          <t>A 50800-2020</t>
        </is>
      </c>
      <c r="B330" s="1" t="n">
        <v>44111</v>
      </c>
      <c r="C330" s="1" t="n">
        <v>45929</v>
      </c>
      <c r="D330" t="inlineStr">
        <is>
          <t>KALMAR LÄN</t>
        </is>
      </c>
      <c r="E330" t="inlineStr">
        <is>
          <t>VÄSTERVIK</t>
        </is>
      </c>
      <c r="G330" t="n">
        <v>0.4</v>
      </c>
      <c r="H330" t="n">
        <v>0</v>
      </c>
      <c r="I330" t="n">
        <v>0</v>
      </c>
      <c r="J330" t="n">
        <v>0</v>
      </c>
      <c r="K330" t="n">
        <v>0</v>
      </c>
      <c r="L330" t="n">
        <v>0</v>
      </c>
      <c r="M330" t="n">
        <v>0</v>
      </c>
      <c r="N330" t="n">
        <v>0</v>
      </c>
      <c r="O330" t="n">
        <v>0</v>
      </c>
      <c r="P330" t="n">
        <v>0</v>
      </c>
      <c r="Q330" t="n">
        <v>0</v>
      </c>
      <c r="R330" s="2" t="inlineStr"/>
    </row>
    <row r="331" ht="15" customHeight="1">
      <c r="A331" t="inlineStr">
        <is>
          <t>A 50821-2020</t>
        </is>
      </c>
      <c r="B331" s="1" t="n">
        <v>44111</v>
      </c>
      <c r="C331" s="1" t="n">
        <v>45929</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45929</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45929</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45929</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166-2022</t>
        </is>
      </c>
      <c r="B335" s="1" t="n">
        <v>44564</v>
      </c>
      <c r="C335" s="1" t="n">
        <v>45929</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34953-2021</t>
        </is>
      </c>
      <c r="B336" s="1" t="n">
        <v>44383</v>
      </c>
      <c r="C336" s="1" t="n">
        <v>45929</v>
      </c>
      <c r="D336" t="inlineStr">
        <is>
          <t>KALMAR LÄN</t>
        </is>
      </c>
      <c r="E336" t="inlineStr">
        <is>
          <t>VÄSTERVIK</t>
        </is>
      </c>
      <c r="G336" t="n">
        <v>4.4</v>
      </c>
      <c r="H336" t="n">
        <v>0</v>
      </c>
      <c r="I336" t="n">
        <v>0</v>
      </c>
      <c r="J336" t="n">
        <v>0</v>
      </c>
      <c r="K336" t="n">
        <v>0</v>
      </c>
      <c r="L336" t="n">
        <v>0</v>
      </c>
      <c r="M336" t="n">
        <v>0</v>
      </c>
      <c r="N336" t="n">
        <v>0</v>
      </c>
      <c r="O336" t="n">
        <v>0</v>
      </c>
      <c r="P336" t="n">
        <v>0</v>
      </c>
      <c r="Q336" t="n">
        <v>0</v>
      </c>
      <c r="R336" s="2" t="inlineStr"/>
    </row>
    <row r="337" ht="15" customHeight="1">
      <c r="A337" t="inlineStr">
        <is>
          <t>A 47525-2021</t>
        </is>
      </c>
      <c r="B337" s="1" t="n">
        <v>44447</v>
      </c>
      <c r="C337" s="1" t="n">
        <v>45929</v>
      </c>
      <c r="D337" t="inlineStr">
        <is>
          <t>KALMAR LÄN</t>
        </is>
      </c>
      <c r="E337" t="inlineStr">
        <is>
          <t>VÄSTERVIK</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17124-2021</t>
        </is>
      </c>
      <c r="B338" s="1" t="n">
        <v>44298</v>
      </c>
      <c r="C338" s="1" t="n">
        <v>45929</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64558-2021</t>
        </is>
      </c>
      <c r="B339" s="1" t="n">
        <v>44511</v>
      </c>
      <c r="C339" s="1" t="n">
        <v>45929</v>
      </c>
      <c r="D339" t="inlineStr">
        <is>
          <t>KALMAR LÄN</t>
        </is>
      </c>
      <c r="E339" t="inlineStr">
        <is>
          <t>VÄSTERVIK</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24570-2021</t>
        </is>
      </c>
      <c r="B340" s="1" t="n">
        <v>44339</v>
      </c>
      <c r="C340" s="1" t="n">
        <v>45929</v>
      </c>
      <c r="D340" t="inlineStr">
        <is>
          <t>KALMAR LÄN</t>
        </is>
      </c>
      <c r="E340" t="inlineStr">
        <is>
          <t>VÄSTERVIK</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45929</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45929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40925-2022</t>
        </is>
      </c>
      <c r="B343" s="1" t="n">
        <v>44825.41880787037</v>
      </c>
      <c r="C343" s="1" t="n">
        <v>45929</v>
      </c>
      <c r="D343" t="inlineStr">
        <is>
          <t>KALMAR LÄN</t>
        </is>
      </c>
      <c r="E343" t="inlineStr">
        <is>
          <t>VÄSTERVIK</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31317-2021</t>
        </is>
      </c>
      <c r="B344" s="1" t="n">
        <v>44368.90879629629</v>
      </c>
      <c r="C344" s="1" t="n">
        <v>45929</v>
      </c>
      <c r="D344" t="inlineStr">
        <is>
          <t>KALMAR LÄN</t>
        </is>
      </c>
      <c r="E344" t="inlineStr">
        <is>
          <t>VÄSTERVIK</t>
        </is>
      </c>
      <c r="G344" t="n">
        <v>2.3</v>
      </c>
      <c r="H344" t="n">
        <v>0</v>
      </c>
      <c r="I344" t="n">
        <v>0</v>
      </c>
      <c r="J344" t="n">
        <v>0</v>
      </c>
      <c r="K344" t="n">
        <v>0</v>
      </c>
      <c r="L344" t="n">
        <v>0</v>
      </c>
      <c r="M344" t="n">
        <v>0</v>
      </c>
      <c r="N344" t="n">
        <v>0</v>
      </c>
      <c r="O344" t="n">
        <v>0</v>
      </c>
      <c r="P344" t="n">
        <v>0</v>
      </c>
      <c r="Q344" t="n">
        <v>0</v>
      </c>
      <c r="R344" s="2" t="inlineStr"/>
    </row>
    <row r="345" ht="15" customHeight="1">
      <c r="A345" t="inlineStr">
        <is>
          <t>A 56619-2021</t>
        </is>
      </c>
      <c r="B345" s="1" t="n">
        <v>44480.82696759259</v>
      </c>
      <c r="C345" s="1" t="n">
        <v>45929</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66888-2020</t>
        </is>
      </c>
      <c r="B346" s="1" t="n">
        <v>44179</v>
      </c>
      <c r="C346" s="1" t="n">
        <v>45929</v>
      </c>
      <c r="D346" t="inlineStr">
        <is>
          <t>KALMAR LÄN</t>
        </is>
      </c>
      <c r="E346" t="inlineStr">
        <is>
          <t>VÄSTERVIK</t>
        </is>
      </c>
      <c r="G346" t="n">
        <v>0.3</v>
      </c>
      <c r="H346" t="n">
        <v>0</v>
      </c>
      <c r="I346" t="n">
        <v>0</v>
      </c>
      <c r="J346" t="n">
        <v>0</v>
      </c>
      <c r="K346" t="n">
        <v>0</v>
      </c>
      <c r="L346" t="n">
        <v>0</v>
      </c>
      <c r="M346" t="n">
        <v>0</v>
      </c>
      <c r="N346" t="n">
        <v>0</v>
      </c>
      <c r="O346" t="n">
        <v>0</v>
      </c>
      <c r="P346" t="n">
        <v>0</v>
      </c>
      <c r="Q346" t="n">
        <v>0</v>
      </c>
      <c r="R346" s="2" t="inlineStr"/>
    </row>
    <row r="347" ht="15" customHeight="1">
      <c r="A347" t="inlineStr">
        <is>
          <t>A 410-2021</t>
        </is>
      </c>
      <c r="B347" s="1" t="n">
        <v>44201.63928240741</v>
      </c>
      <c r="C347" s="1" t="n">
        <v>45929</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63635-2020</t>
        </is>
      </c>
      <c r="B348" s="1" t="n">
        <v>44162</v>
      </c>
      <c r="C348" s="1" t="n">
        <v>45929</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55240-2020</t>
        </is>
      </c>
      <c r="B349" s="1" t="n">
        <v>44130.63965277778</v>
      </c>
      <c r="C349" s="1" t="n">
        <v>45929</v>
      </c>
      <c r="D349" t="inlineStr">
        <is>
          <t>KALMAR LÄN</t>
        </is>
      </c>
      <c r="E349" t="inlineStr">
        <is>
          <t>VÄSTERVIK</t>
        </is>
      </c>
      <c r="G349" t="n">
        <v>1.2</v>
      </c>
      <c r="H349" t="n">
        <v>0</v>
      </c>
      <c r="I349" t="n">
        <v>0</v>
      </c>
      <c r="J349" t="n">
        <v>0</v>
      </c>
      <c r="K349" t="n">
        <v>0</v>
      </c>
      <c r="L349" t="n">
        <v>0</v>
      </c>
      <c r="M349" t="n">
        <v>0</v>
      </c>
      <c r="N349" t="n">
        <v>0</v>
      </c>
      <c r="O349" t="n">
        <v>0</v>
      </c>
      <c r="P349" t="n">
        <v>0</v>
      </c>
      <c r="Q349" t="n">
        <v>0</v>
      </c>
      <c r="R349" s="2" t="inlineStr"/>
    </row>
    <row r="350" ht="15" customHeight="1">
      <c r="A350" t="inlineStr">
        <is>
          <t>A 61799-2020</t>
        </is>
      </c>
      <c r="B350" s="1" t="n">
        <v>44158</v>
      </c>
      <c r="C350" s="1" t="n">
        <v>45929</v>
      </c>
      <c r="D350" t="inlineStr">
        <is>
          <t>KALMAR LÄN</t>
        </is>
      </c>
      <c r="E350" t="inlineStr">
        <is>
          <t>VÄSTERVIK</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320-2022</t>
        </is>
      </c>
      <c r="B351" s="1" t="n">
        <v>44565</v>
      </c>
      <c r="C351" s="1" t="n">
        <v>45929</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13230-2021</t>
        </is>
      </c>
      <c r="B352" s="1" t="n">
        <v>44272</v>
      </c>
      <c r="C352" s="1" t="n">
        <v>45929</v>
      </c>
      <c r="D352" t="inlineStr">
        <is>
          <t>KALMAR LÄN</t>
        </is>
      </c>
      <c r="E352" t="inlineStr">
        <is>
          <t>VÄSTERVIK</t>
        </is>
      </c>
      <c r="G352" t="n">
        <v>7.2</v>
      </c>
      <c r="H352" t="n">
        <v>0</v>
      </c>
      <c r="I352" t="n">
        <v>0</v>
      </c>
      <c r="J352" t="n">
        <v>0</v>
      </c>
      <c r="K352" t="n">
        <v>0</v>
      </c>
      <c r="L352" t="n">
        <v>0</v>
      </c>
      <c r="M352" t="n">
        <v>0</v>
      </c>
      <c r="N352" t="n">
        <v>0</v>
      </c>
      <c r="O352" t="n">
        <v>0</v>
      </c>
      <c r="P352" t="n">
        <v>0</v>
      </c>
      <c r="Q352" t="n">
        <v>0</v>
      </c>
      <c r="R352" s="2" t="inlineStr"/>
    </row>
    <row r="353" ht="15" customHeight="1">
      <c r="A353" t="inlineStr">
        <is>
          <t>A 49404-2021</t>
        </is>
      </c>
      <c r="B353" s="1" t="n">
        <v>44454.63494212963</v>
      </c>
      <c r="C353" s="1" t="n">
        <v>45929</v>
      </c>
      <c r="D353" t="inlineStr">
        <is>
          <t>KALMAR LÄN</t>
        </is>
      </c>
      <c r="E353" t="inlineStr">
        <is>
          <t>VÄSTERVIK</t>
        </is>
      </c>
      <c r="G353" t="n">
        <v>0.5</v>
      </c>
      <c r="H353" t="n">
        <v>0</v>
      </c>
      <c r="I353" t="n">
        <v>0</v>
      </c>
      <c r="J353" t="n">
        <v>0</v>
      </c>
      <c r="K353" t="n">
        <v>0</v>
      </c>
      <c r="L353" t="n">
        <v>0</v>
      </c>
      <c r="M353" t="n">
        <v>0</v>
      </c>
      <c r="N353" t="n">
        <v>0</v>
      </c>
      <c r="O353" t="n">
        <v>0</v>
      </c>
      <c r="P353" t="n">
        <v>0</v>
      </c>
      <c r="Q353" t="n">
        <v>0</v>
      </c>
      <c r="R353" s="2" t="inlineStr"/>
    </row>
    <row r="354" ht="15" customHeight="1">
      <c r="A354" t="inlineStr">
        <is>
          <t>A 49407-2021</t>
        </is>
      </c>
      <c r="B354" s="1" t="n">
        <v>44454.63644675926</v>
      </c>
      <c r="C354" s="1" t="n">
        <v>45929</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61317-2021</t>
        </is>
      </c>
      <c r="B355" s="1" t="n">
        <v>44498.65975694444</v>
      </c>
      <c r="C355" s="1" t="n">
        <v>45929</v>
      </c>
      <c r="D355" t="inlineStr">
        <is>
          <t>KALMAR LÄN</t>
        </is>
      </c>
      <c r="E355" t="inlineStr">
        <is>
          <t>VÄSTERVIK</t>
        </is>
      </c>
      <c r="G355" t="n">
        <v>0.6</v>
      </c>
      <c r="H355" t="n">
        <v>0</v>
      </c>
      <c r="I355" t="n">
        <v>0</v>
      </c>
      <c r="J355" t="n">
        <v>0</v>
      </c>
      <c r="K355" t="n">
        <v>0</v>
      </c>
      <c r="L355" t="n">
        <v>0</v>
      </c>
      <c r="M355" t="n">
        <v>0</v>
      </c>
      <c r="N355" t="n">
        <v>0</v>
      </c>
      <c r="O355" t="n">
        <v>0</v>
      </c>
      <c r="P355" t="n">
        <v>0</v>
      </c>
      <c r="Q355" t="n">
        <v>0</v>
      </c>
      <c r="R355" s="2" t="inlineStr"/>
    </row>
    <row r="356" ht="15" customHeight="1">
      <c r="A356" t="inlineStr">
        <is>
          <t>A 56127-2020</t>
        </is>
      </c>
      <c r="B356" s="1" t="n">
        <v>44132</v>
      </c>
      <c r="C356" s="1" t="n">
        <v>45929</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10517-2021</t>
        </is>
      </c>
      <c r="B357" s="1" t="n">
        <v>44258</v>
      </c>
      <c r="C357" s="1" t="n">
        <v>45929</v>
      </c>
      <c r="D357" t="inlineStr">
        <is>
          <t>KALMAR LÄN</t>
        </is>
      </c>
      <c r="E357" t="inlineStr">
        <is>
          <t>VÄSTERVIK</t>
        </is>
      </c>
      <c r="G357" t="n">
        <v>3.6</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45929</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56620-2021</t>
        </is>
      </c>
      <c r="B359" s="1" t="n">
        <v>44480.82778935185</v>
      </c>
      <c r="C359" s="1" t="n">
        <v>45929</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43759-2021</t>
        </is>
      </c>
      <c r="B360" s="1" t="n">
        <v>44433</v>
      </c>
      <c r="C360" s="1" t="n">
        <v>45929</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43826-2021</t>
        </is>
      </c>
      <c r="B361" s="1" t="n">
        <v>44433</v>
      </c>
      <c r="C361" s="1" t="n">
        <v>45929</v>
      </c>
      <c r="D361" t="inlineStr">
        <is>
          <t>KALMAR LÄN</t>
        </is>
      </c>
      <c r="E361" t="inlineStr">
        <is>
          <t>VÄSTERVIK</t>
        </is>
      </c>
      <c r="G361" t="n">
        <v>4.2</v>
      </c>
      <c r="H361" t="n">
        <v>0</v>
      </c>
      <c r="I361" t="n">
        <v>0</v>
      </c>
      <c r="J361" t="n">
        <v>0</v>
      </c>
      <c r="K361" t="n">
        <v>0</v>
      </c>
      <c r="L361" t="n">
        <v>0</v>
      </c>
      <c r="M361" t="n">
        <v>0</v>
      </c>
      <c r="N361" t="n">
        <v>0</v>
      </c>
      <c r="O361" t="n">
        <v>0</v>
      </c>
      <c r="P361" t="n">
        <v>0</v>
      </c>
      <c r="Q361" t="n">
        <v>0</v>
      </c>
      <c r="R361" s="2" t="inlineStr"/>
    </row>
    <row r="362" ht="15" customHeight="1">
      <c r="A362" t="inlineStr">
        <is>
          <t>A 19660-2021</t>
        </is>
      </c>
      <c r="B362" s="1" t="n">
        <v>44312</v>
      </c>
      <c r="C362" s="1" t="n">
        <v>45929</v>
      </c>
      <c r="D362" t="inlineStr">
        <is>
          <t>KALMAR LÄN</t>
        </is>
      </c>
      <c r="E362" t="inlineStr">
        <is>
          <t>VÄSTERVIK</t>
        </is>
      </c>
      <c r="G362" t="n">
        <v>2.3</v>
      </c>
      <c r="H362" t="n">
        <v>0</v>
      </c>
      <c r="I362" t="n">
        <v>0</v>
      </c>
      <c r="J362" t="n">
        <v>0</v>
      </c>
      <c r="K362" t="n">
        <v>0</v>
      </c>
      <c r="L362" t="n">
        <v>0</v>
      </c>
      <c r="M362" t="n">
        <v>0</v>
      </c>
      <c r="N362" t="n">
        <v>0</v>
      </c>
      <c r="O362" t="n">
        <v>0</v>
      </c>
      <c r="P362" t="n">
        <v>0</v>
      </c>
      <c r="Q362" t="n">
        <v>0</v>
      </c>
      <c r="R362" s="2" t="inlineStr"/>
    </row>
    <row r="363" ht="15" customHeight="1">
      <c r="A363" t="inlineStr">
        <is>
          <t>A 63212-2020</t>
        </is>
      </c>
      <c r="B363" s="1" t="n">
        <v>44163</v>
      </c>
      <c r="C363" s="1" t="n">
        <v>45929</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61682-2020</t>
        </is>
      </c>
      <c r="B364" s="1" t="n">
        <v>44154</v>
      </c>
      <c r="C364" s="1" t="n">
        <v>45929</v>
      </c>
      <c r="D364" t="inlineStr">
        <is>
          <t>KALMAR LÄN</t>
        </is>
      </c>
      <c r="E364" t="inlineStr">
        <is>
          <t>VÄSTERVIK</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66757-2020</t>
        </is>
      </c>
      <c r="B365" s="1" t="n">
        <v>44175</v>
      </c>
      <c r="C365" s="1" t="n">
        <v>45929</v>
      </c>
      <c r="D365" t="inlineStr">
        <is>
          <t>KALMAR LÄN</t>
        </is>
      </c>
      <c r="E365" t="inlineStr">
        <is>
          <t>VÄSTERVIK</t>
        </is>
      </c>
      <c r="G365" t="n">
        <v>1.1</v>
      </c>
      <c r="H365" t="n">
        <v>0</v>
      </c>
      <c r="I365" t="n">
        <v>0</v>
      </c>
      <c r="J365" t="n">
        <v>0</v>
      </c>
      <c r="K365" t="n">
        <v>0</v>
      </c>
      <c r="L365" t="n">
        <v>0</v>
      </c>
      <c r="M365" t="n">
        <v>0</v>
      </c>
      <c r="N365" t="n">
        <v>0</v>
      </c>
      <c r="O365" t="n">
        <v>0</v>
      </c>
      <c r="P365" t="n">
        <v>0</v>
      </c>
      <c r="Q365" t="n">
        <v>0</v>
      </c>
      <c r="R365" s="2" t="inlineStr"/>
    </row>
    <row r="366" ht="15" customHeight="1">
      <c r="A366" t="inlineStr">
        <is>
          <t>A 10119-2022</t>
        </is>
      </c>
      <c r="B366" s="1" t="n">
        <v>44621.91652777778</v>
      </c>
      <c r="C366" s="1" t="n">
        <v>45929</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46527-2022</t>
        </is>
      </c>
      <c r="B367" s="1" t="n">
        <v>44848.59880787037</v>
      </c>
      <c r="C367" s="1" t="n">
        <v>45929</v>
      </c>
      <c r="D367" t="inlineStr">
        <is>
          <t>KALMAR LÄN</t>
        </is>
      </c>
      <c r="E367" t="inlineStr">
        <is>
          <t>VÄSTERVIK</t>
        </is>
      </c>
      <c r="G367" t="n">
        <v>1.7</v>
      </c>
      <c r="H367" t="n">
        <v>0</v>
      </c>
      <c r="I367" t="n">
        <v>0</v>
      </c>
      <c r="J367" t="n">
        <v>0</v>
      </c>
      <c r="K367" t="n">
        <v>0</v>
      </c>
      <c r="L367" t="n">
        <v>0</v>
      </c>
      <c r="M367" t="n">
        <v>0</v>
      </c>
      <c r="N367" t="n">
        <v>0</v>
      </c>
      <c r="O367" t="n">
        <v>0</v>
      </c>
      <c r="P367" t="n">
        <v>0</v>
      </c>
      <c r="Q367" t="n">
        <v>0</v>
      </c>
      <c r="R367" s="2" t="inlineStr"/>
    </row>
    <row r="368" ht="15" customHeight="1">
      <c r="A368" t="inlineStr">
        <is>
          <t>A 959-2022</t>
        </is>
      </c>
      <c r="B368" s="1" t="n">
        <v>44571</v>
      </c>
      <c r="C368" s="1" t="n">
        <v>45929</v>
      </c>
      <c r="D368" t="inlineStr">
        <is>
          <t>KALMAR LÄN</t>
        </is>
      </c>
      <c r="E368" t="inlineStr">
        <is>
          <t>VÄSTERVIK</t>
        </is>
      </c>
      <c r="G368" t="n">
        <v>2.5</v>
      </c>
      <c r="H368" t="n">
        <v>0</v>
      </c>
      <c r="I368" t="n">
        <v>0</v>
      </c>
      <c r="J368" t="n">
        <v>0</v>
      </c>
      <c r="K368" t="n">
        <v>0</v>
      </c>
      <c r="L368" t="n">
        <v>0</v>
      </c>
      <c r="M368" t="n">
        <v>0</v>
      </c>
      <c r="N368" t="n">
        <v>0</v>
      </c>
      <c r="O368" t="n">
        <v>0</v>
      </c>
      <c r="P368" t="n">
        <v>0</v>
      </c>
      <c r="Q368" t="n">
        <v>0</v>
      </c>
      <c r="R368" s="2" t="inlineStr"/>
    </row>
    <row r="369" ht="15" customHeight="1">
      <c r="A369" t="inlineStr">
        <is>
          <t>A 68811-2020</t>
        </is>
      </c>
      <c r="B369" s="1" t="n">
        <v>44187</v>
      </c>
      <c r="C369" s="1" t="n">
        <v>45929</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34836-2022</t>
        </is>
      </c>
      <c r="B370" s="1" t="n">
        <v>44796</v>
      </c>
      <c r="C370" s="1" t="n">
        <v>45929</v>
      </c>
      <c r="D370" t="inlineStr">
        <is>
          <t>KALMAR LÄN</t>
        </is>
      </c>
      <c r="E370" t="inlineStr">
        <is>
          <t>VÄSTERVIK</t>
        </is>
      </c>
      <c r="G370" t="n">
        <v>1.3</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45929</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45929</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34118-2021</t>
        </is>
      </c>
      <c r="B373" s="1" t="n">
        <v>44379.45400462963</v>
      </c>
      <c r="C373" s="1" t="n">
        <v>45929</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34125-2021</t>
        </is>
      </c>
      <c r="B374" s="1" t="n">
        <v>44379.4646875</v>
      </c>
      <c r="C374" s="1" t="n">
        <v>45929</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37753-2021</t>
        </is>
      </c>
      <c r="B375" s="1" t="n">
        <v>44400.63810185185</v>
      </c>
      <c r="C375" s="1" t="n">
        <v>45929</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34493-2021</t>
        </is>
      </c>
      <c r="B376" s="1" t="n">
        <v>44382</v>
      </c>
      <c r="C376" s="1" t="n">
        <v>45929</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45929</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46018-2022</t>
        </is>
      </c>
      <c r="B378" s="1" t="n">
        <v>44846</v>
      </c>
      <c r="C378" s="1" t="n">
        <v>45929</v>
      </c>
      <c r="D378" t="inlineStr">
        <is>
          <t>KALMAR LÄN</t>
        </is>
      </c>
      <c r="E378" t="inlineStr">
        <is>
          <t>VÄSTERVIK</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45929</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31319-2021</t>
        </is>
      </c>
      <c r="B380" s="1" t="n">
        <v>44368.91321759259</v>
      </c>
      <c r="C380" s="1" t="n">
        <v>45929</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69064-2020</t>
        </is>
      </c>
      <c r="B381" s="1" t="n">
        <v>44188.47537037037</v>
      </c>
      <c r="C381" s="1" t="n">
        <v>45929</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45929</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55053-2024</t>
        </is>
      </c>
      <c r="B383" s="1" t="n">
        <v>45621.39938657408</v>
      </c>
      <c r="C383" s="1" t="n">
        <v>45929</v>
      </c>
      <c r="D383" t="inlineStr">
        <is>
          <t>KALMAR LÄN</t>
        </is>
      </c>
      <c r="E383" t="inlineStr">
        <is>
          <t>VÄSTERVIK</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43759-2023</t>
        </is>
      </c>
      <c r="B384" s="1" t="n">
        <v>45187</v>
      </c>
      <c r="C384" s="1" t="n">
        <v>45929</v>
      </c>
      <c r="D384" t="inlineStr">
        <is>
          <t>KALMAR LÄN</t>
        </is>
      </c>
      <c r="E384" t="inlineStr">
        <is>
          <t>VÄSTERVIK</t>
        </is>
      </c>
      <c r="G384" t="n">
        <v>3.3</v>
      </c>
      <c r="H384" t="n">
        <v>0</v>
      </c>
      <c r="I384" t="n">
        <v>0</v>
      </c>
      <c r="J384" t="n">
        <v>0</v>
      </c>
      <c r="K384" t="n">
        <v>0</v>
      </c>
      <c r="L384" t="n">
        <v>0</v>
      </c>
      <c r="M384" t="n">
        <v>0</v>
      </c>
      <c r="N384" t="n">
        <v>0</v>
      </c>
      <c r="O384" t="n">
        <v>0</v>
      </c>
      <c r="P384" t="n">
        <v>0</v>
      </c>
      <c r="Q384" t="n">
        <v>0</v>
      </c>
      <c r="R384" s="2" t="inlineStr"/>
    </row>
    <row r="385" ht="15" customHeight="1">
      <c r="A385" t="inlineStr">
        <is>
          <t>A 44705-2023</t>
        </is>
      </c>
      <c r="B385" s="1" t="n">
        <v>45190</v>
      </c>
      <c r="C385" s="1" t="n">
        <v>45929</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12333-2025</t>
        </is>
      </c>
      <c r="B386" s="1" t="n">
        <v>45730</v>
      </c>
      <c r="C386" s="1" t="n">
        <v>45929</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45450-2023</t>
        </is>
      </c>
      <c r="B387" s="1" t="n">
        <v>45194</v>
      </c>
      <c r="C387" s="1" t="n">
        <v>45929</v>
      </c>
      <c r="D387" t="inlineStr">
        <is>
          <t>KALMAR LÄN</t>
        </is>
      </c>
      <c r="E387" t="inlineStr">
        <is>
          <t>VÄSTERVIK</t>
        </is>
      </c>
      <c r="F387" t="inlineStr">
        <is>
          <t>Holmen skog AB</t>
        </is>
      </c>
      <c r="G387" t="n">
        <v>1.5</v>
      </c>
      <c r="H387" t="n">
        <v>0</v>
      </c>
      <c r="I387" t="n">
        <v>0</v>
      </c>
      <c r="J387" t="n">
        <v>0</v>
      </c>
      <c r="K387" t="n">
        <v>0</v>
      </c>
      <c r="L387" t="n">
        <v>0</v>
      </c>
      <c r="M387" t="n">
        <v>0</v>
      </c>
      <c r="N387" t="n">
        <v>0</v>
      </c>
      <c r="O387" t="n">
        <v>0</v>
      </c>
      <c r="P387" t="n">
        <v>0</v>
      </c>
      <c r="Q387" t="n">
        <v>0</v>
      </c>
      <c r="R387" s="2" t="inlineStr"/>
    </row>
    <row r="388" ht="15" customHeight="1">
      <c r="A388" t="inlineStr">
        <is>
          <t>A 45474-2023</t>
        </is>
      </c>
      <c r="B388" s="1" t="n">
        <v>45194</v>
      </c>
      <c r="C388" s="1" t="n">
        <v>45929</v>
      </c>
      <c r="D388" t="inlineStr">
        <is>
          <t>KALMAR LÄN</t>
        </is>
      </c>
      <c r="E388" t="inlineStr">
        <is>
          <t>VÄSTERVIK</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4520-2024</t>
        </is>
      </c>
      <c r="B389" s="1" t="n">
        <v>45327</v>
      </c>
      <c r="C389" s="1" t="n">
        <v>45929</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45929</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45929</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66149-2020</t>
        </is>
      </c>
      <c r="B392" s="1" t="n">
        <v>44173</v>
      </c>
      <c r="C392" s="1" t="n">
        <v>45929</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47363-2023</t>
        </is>
      </c>
      <c r="B393" s="1" t="n">
        <v>45202.59584490741</v>
      </c>
      <c r="C393" s="1" t="n">
        <v>45929</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29909-2022</t>
        </is>
      </c>
      <c r="B394" s="1" t="n">
        <v>44756</v>
      </c>
      <c r="C394" s="1" t="n">
        <v>45929</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5355-2024</t>
        </is>
      </c>
      <c r="B395" s="1" t="n">
        <v>45331</v>
      </c>
      <c r="C395" s="1" t="n">
        <v>45929</v>
      </c>
      <c r="D395" t="inlineStr">
        <is>
          <t>KALMAR LÄN</t>
        </is>
      </c>
      <c r="E395" t="inlineStr">
        <is>
          <t>VÄSTERVIK</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45929</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45929</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17216-2021</t>
        </is>
      </c>
      <c r="B398" s="1" t="n">
        <v>44298.49047453704</v>
      </c>
      <c r="C398" s="1" t="n">
        <v>45929</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45929</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21255-2021</t>
        </is>
      </c>
      <c r="B400" s="1" t="n">
        <v>44320.5672337963</v>
      </c>
      <c r="C400" s="1" t="n">
        <v>45929</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8619-2024</t>
        </is>
      </c>
      <c r="B401" s="1" t="n">
        <v>45355.73599537037</v>
      </c>
      <c r="C401" s="1" t="n">
        <v>45929</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562-2023</t>
        </is>
      </c>
      <c r="B402" s="1" t="n">
        <v>44930</v>
      </c>
      <c r="C402" s="1" t="n">
        <v>45929</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31558-2021</t>
        </is>
      </c>
      <c r="B403" s="1" t="n">
        <v>44369</v>
      </c>
      <c r="C403" s="1" t="n">
        <v>45929</v>
      </c>
      <c r="D403" t="inlineStr">
        <is>
          <t>KALMAR LÄN</t>
        </is>
      </c>
      <c r="E403" t="inlineStr">
        <is>
          <t>VÄSTERVIK</t>
        </is>
      </c>
      <c r="G403" t="n">
        <v>22.9</v>
      </c>
      <c r="H403" t="n">
        <v>0</v>
      </c>
      <c r="I403" t="n">
        <v>0</v>
      </c>
      <c r="J403" t="n">
        <v>0</v>
      </c>
      <c r="K403" t="n">
        <v>0</v>
      </c>
      <c r="L403" t="n">
        <v>0</v>
      </c>
      <c r="M403" t="n">
        <v>0</v>
      </c>
      <c r="N403" t="n">
        <v>0</v>
      </c>
      <c r="O403" t="n">
        <v>0</v>
      </c>
      <c r="P403" t="n">
        <v>0</v>
      </c>
      <c r="Q403" t="n">
        <v>0</v>
      </c>
      <c r="R403" s="2" t="inlineStr"/>
    </row>
    <row r="404" ht="15" customHeight="1">
      <c r="A404" t="inlineStr">
        <is>
          <t>A 12433-2024</t>
        </is>
      </c>
      <c r="B404" s="1" t="n">
        <v>45379.44450231481</v>
      </c>
      <c r="C404" s="1" t="n">
        <v>45929</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17650-2023</t>
        </is>
      </c>
      <c r="B405" s="1" t="n">
        <v>45036.70215277778</v>
      </c>
      <c r="C405" s="1" t="n">
        <v>45929</v>
      </c>
      <c r="D405" t="inlineStr">
        <is>
          <t>KALMAR LÄN</t>
        </is>
      </c>
      <c r="E405" t="inlineStr">
        <is>
          <t>VÄSTERVIK</t>
        </is>
      </c>
      <c r="G405" t="n">
        <v>0.3</v>
      </c>
      <c r="H405" t="n">
        <v>0</v>
      </c>
      <c r="I405" t="n">
        <v>0</v>
      </c>
      <c r="J405" t="n">
        <v>0</v>
      </c>
      <c r="K405" t="n">
        <v>0</v>
      </c>
      <c r="L405" t="n">
        <v>0</v>
      </c>
      <c r="M405" t="n">
        <v>0</v>
      </c>
      <c r="N405" t="n">
        <v>0</v>
      </c>
      <c r="O405" t="n">
        <v>0</v>
      </c>
      <c r="P405" t="n">
        <v>0</v>
      </c>
      <c r="Q405" t="n">
        <v>0</v>
      </c>
      <c r="R405" s="2" t="inlineStr"/>
    </row>
    <row r="406" ht="15" customHeight="1">
      <c r="A406" t="inlineStr">
        <is>
          <t>A 72378-2021</t>
        </is>
      </c>
      <c r="B406" s="1" t="n">
        <v>44545.56285879629</v>
      </c>
      <c r="C406" s="1" t="n">
        <v>45929</v>
      </c>
      <c r="D406" t="inlineStr">
        <is>
          <t>KALMAR LÄN</t>
        </is>
      </c>
      <c r="E406" t="inlineStr">
        <is>
          <t>VÄSTERVIK</t>
        </is>
      </c>
      <c r="G406" t="n">
        <v>4.4</v>
      </c>
      <c r="H406" t="n">
        <v>0</v>
      </c>
      <c r="I406" t="n">
        <v>0</v>
      </c>
      <c r="J406" t="n">
        <v>0</v>
      </c>
      <c r="K406" t="n">
        <v>0</v>
      </c>
      <c r="L406" t="n">
        <v>0</v>
      </c>
      <c r="M406" t="n">
        <v>0</v>
      </c>
      <c r="N406" t="n">
        <v>0</v>
      </c>
      <c r="O406" t="n">
        <v>0</v>
      </c>
      <c r="P406" t="n">
        <v>0</v>
      </c>
      <c r="Q406" t="n">
        <v>0</v>
      </c>
      <c r="R406" s="2" t="inlineStr"/>
    </row>
    <row r="407" ht="15" customHeight="1">
      <c r="A407" t="inlineStr">
        <is>
          <t>A 50691-2022</t>
        </is>
      </c>
      <c r="B407" s="1" t="n">
        <v>44867</v>
      </c>
      <c r="C407" s="1" t="n">
        <v>45929</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46267-2022</t>
        </is>
      </c>
      <c r="B408" s="1" t="n">
        <v>44847</v>
      </c>
      <c r="C408" s="1" t="n">
        <v>45929</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47530-2021</t>
        </is>
      </c>
      <c r="B409" s="1" t="n">
        <v>44447</v>
      </c>
      <c r="C409" s="1" t="n">
        <v>45929</v>
      </c>
      <c r="D409" t="inlineStr">
        <is>
          <t>KALMAR LÄN</t>
        </is>
      </c>
      <c r="E409" t="inlineStr">
        <is>
          <t>VÄSTERVIK</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31952-2021</t>
        </is>
      </c>
      <c r="B410" s="1" t="n">
        <v>44370</v>
      </c>
      <c r="C410" s="1" t="n">
        <v>45929</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46560-2022</t>
        </is>
      </c>
      <c r="B411" s="1" t="n">
        <v>44848</v>
      </c>
      <c r="C411" s="1" t="n">
        <v>45929</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57922-2020</t>
        </is>
      </c>
      <c r="B412" s="1" t="n">
        <v>44141</v>
      </c>
      <c r="C412" s="1" t="n">
        <v>45929</v>
      </c>
      <c r="D412" t="inlineStr">
        <is>
          <t>KALMAR LÄN</t>
        </is>
      </c>
      <c r="E412" t="inlineStr">
        <is>
          <t>VÄSTERVIK</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2106-2021</t>
        </is>
      </c>
      <c r="B413" s="1" t="n">
        <v>44211</v>
      </c>
      <c r="C413" s="1" t="n">
        <v>45929</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13836-2024</t>
        </is>
      </c>
      <c r="B414" s="1" t="n">
        <v>45391.44385416667</v>
      </c>
      <c r="C414" s="1" t="n">
        <v>45929</v>
      </c>
      <c r="D414" t="inlineStr">
        <is>
          <t>KALMAR LÄN</t>
        </is>
      </c>
      <c r="E414" t="inlineStr">
        <is>
          <t>VÄSTERVIK</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18837-2021</t>
        </is>
      </c>
      <c r="B415" s="1" t="n">
        <v>44307</v>
      </c>
      <c r="C415" s="1" t="n">
        <v>45929</v>
      </c>
      <c r="D415" t="inlineStr">
        <is>
          <t>KALMAR LÄN</t>
        </is>
      </c>
      <c r="E415" t="inlineStr">
        <is>
          <t>VÄSTERVIK</t>
        </is>
      </c>
      <c r="G415" t="n">
        <v>1.6</v>
      </c>
      <c r="H415" t="n">
        <v>0</v>
      </c>
      <c r="I415" t="n">
        <v>0</v>
      </c>
      <c r="J415" t="n">
        <v>0</v>
      </c>
      <c r="K415" t="n">
        <v>0</v>
      </c>
      <c r="L415" t="n">
        <v>0</v>
      </c>
      <c r="M415" t="n">
        <v>0</v>
      </c>
      <c r="N415" t="n">
        <v>0</v>
      </c>
      <c r="O415" t="n">
        <v>0</v>
      </c>
      <c r="P415" t="n">
        <v>0</v>
      </c>
      <c r="Q415" t="n">
        <v>0</v>
      </c>
      <c r="R415" s="2" t="inlineStr"/>
    </row>
    <row r="416" ht="15" customHeight="1">
      <c r="A416" t="inlineStr">
        <is>
          <t>A 64920-2021</t>
        </is>
      </c>
      <c r="B416" s="1" t="n">
        <v>44512</v>
      </c>
      <c r="C416" s="1" t="n">
        <v>45929</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c r="U416">
        <f>HYPERLINK("https://klasma.github.io/Logging_0883/knärot/A 64920-2021 karta knärot.png", "A 64920-2021")</f>
        <v/>
      </c>
      <c r="V416">
        <f>HYPERLINK("https://klasma.github.io/Logging_0883/klagomål/A 64920-2021 FSC-klagomål.docx", "A 64920-2021")</f>
        <v/>
      </c>
      <c r="W416">
        <f>HYPERLINK("https://klasma.github.io/Logging_0883/klagomålsmail/A 64920-2021 FSC-klagomål mail.docx", "A 64920-2021")</f>
        <v/>
      </c>
      <c r="X416">
        <f>HYPERLINK("https://klasma.github.io/Logging_0883/tillsyn/A 64920-2021 tillsynsbegäran.docx", "A 64920-2021")</f>
        <v/>
      </c>
      <c r="Y416">
        <f>HYPERLINK("https://klasma.github.io/Logging_0883/tillsynsmail/A 64920-2021 tillsynsbegäran mail.docx", "A 64920-2021")</f>
        <v/>
      </c>
    </row>
    <row r="417" ht="15" customHeight="1">
      <c r="A417" t="inlineStr">
        <is>
          <t>A 51264-2020</t>
        </is>
      </c>
      <c r="B417" s="1" t="n">
        <v>44112</v>
      </c>
      <c r="C417" s="1" t="n">
        <v>45929</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15591-2021</t>
        </is>
      </c>
      <c r="B418" s="1" t="n">
        <v>44285.66303240741</v>
      </c>
      <c r="C418" s="1" t="n">
        <v>45929</v>
      </c>
      <c r="D418" t="inlineStr">
        <is>
          <t>KALMAR LÄN</t>
        </is>
      </c>
      <c r="E418" t="inlineStr">
        <is>
          <t>VÄSTERVIK</t>
        </is>
      </c>
      <c r="G418" t="n">
        <v>2.1</v>
      </c>
      <c r="H418" t="n">
        <v>0</v>
      </c>
      <c r="I418" t="n">
        <v>0</v>
      </c>
      <c r="J418" t="n">
        <v>0</v>
      </c>
      <c r="K418" t="n">
        <v>0</v>
      </c>
      <c r="L418" t="n">
        <v>0</v>
      </c>
      <c r="M418" t="n">
        <v>0</v>
      </c>
      <c r="N418" t="n">
        <v>0</v>
      </c>
      <c r="O418" t="n">
        <v>0</v>
      </c>
      <c r="P418" t="n">
        <v>0</v>
      </c>
      <c r="Q418" t="n">
        <v>0</v>
      </c>
      <c r="R418" s="2" t="inlineStr"/>
    </row>
    <row r="419" ht="15" customHeight="1">
      <c r="A419" t="inlineStr">
        <is>
          <t>A 34644-2022</t>
        </is>
      </c>
      <c r="B419" s="1" t="n">
        <v>44795</v>
      </c>
      <c r="C419" s="1" t="n">
        <v>45929</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16689-2025</t>
        </is>
      </c>
      <c r="B420" s="1" t="n">
        <v>45754.45739583333</v>
      </c>
      <c r="C420" s="1" t="n">
        <v>45929</v>
      </c>
      <c r="D420" t="inlineStr">
        <is>
          <t>KALMAR LÄN</t>
        </is>
      </c>
      <c r="E420" t="inlineStr">
        <is>
          <t>VÄSTERVIK</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16693-2025</t>
        </is>
      </c>
      <c r="B421" s="1" t="n">
        <v>45754.4644675926</v>
      </c>
      <c r="C421" s="1" t="n">
        <v>45929</v>
      </c>
      <c r="D421" t="inlineStr">
        <is>
          <t>KALMAR LÄN</t>
        </is>
      </c>
      <c r="E421" t="inlineStr">
        <is>
          <t>VÄSTERVIK</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49398-2021</t>
        </is>
      </c>
      <c r="B422" s="1" t="n">
        <v>44454.63141203704</v>
      </c>
      <c r="C422" s="1" t="n">
        <v>45929</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789-2021</t>
        </is>
      </c>
      <c r="B423" s="1" t="n">
        <v>44204</v>
      </c>
      <c r="C423" s="1" t="n">
        <v>45929</v>
      </c>
      <c r="D423" t="inlineStr">
        <is>
          <t>KALMAR LÄN</t>
        </is>
      </c>
      <c r="E423" t="inlineStr">
        <is>
          <t>VÄSTERVIK</t>
        </is>
      </c>
      <c r="G423" t="n">
        <v>1.8</v>
      </c>
      <c r="H423" t="n">
        <v>0</v>
      </c>
      <c r="I423" t="n">
        <v>0</v>
      </c>
      <c r="J423" t="n">
        <v>0</v>
      </c>
      <c r="K423" t="n">
        <v>0</v>
      </c>
      <c r="L423" t="n">
        <v>0</v>
      </c>
      <c r="M423" t="n">
        <v>0</v>
      </c>
      <c r="N423" t="n">
        <v>0</v>
      </c>
      <c r="O423" t="n">
        <v>0</v>
      </c>
      <c r="P423" t="n">
        <v>0</v>
      </c>
      <c r="Q423" t="n">
        <v>0</v>
      </c>
      <c r="R423" s="2" t="inlineStr"/>
    </row>
    <row r="424" ht="15" customHeight="1">
      <c r="A424" t="inlineStr">
        <is>
          <t>A 43807-2021</t>
        </is>
      </c>
      <c r="B424" s="1" t="n">
        <v>44433</v>
      </c>
      <c r="C424" s="1" t="n">
        <v>45929</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40920-2022</t>
        </is>
      </c>
      <c r="B425" s="1" t="n">
        <v>44825.40943287037</v>
      </c>
      <c r="C425" s="1" t="n">
        <v>45929</v>
      </c>
      <c r="D425" t="inlineStr">
        <is>
          <t>KALMAR LÄN</t>
        </is>
      </c>
      <c r="E425" t="inlineStr">
        <is>
          <t>VÄSTERVIK</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12643-2024</t>
        </is>
      </c>
      <c r="B426" s="1" t="n">
        <v>45379</v>
      </c>
      <c r="C426" s="1" t="n">
        <v>45929</v>
      </c>
      <c r="D426" t="inlineStr">
        <is>
          <t>KALMAR LÄN</t>
        </is>
      </c>
      <c r="E426" t="inlineStr">
        <is>
          <t>VÄSTERVIK</t>
        </is>
      </c>
      <c r="F426" t="inlineStr">
        <is>
          <t>Kommuner</t>
        </is>
      </c>
      <c r="G426" t="n">
        <v>2.1</v>
      </c>
      <c r="H426" t="n">
        <v>0</v>
      </c>
      <c r="I426" t="n">
        <v>0</v>
      </c>
      <c r="J426" t="n">
        <v>0</v>
      </c>
      <c r="K426" t="n">
        <v>0</v>
      </c>
      <c r="L426" t="n">
        <v>0</v>
      </c>
      <c r="M426" t="n">
        <v>0</v>
      </c>
      <c r="N426" t="n">
        <v>0</v>
      </c>
      <c r="O426" t="n">
        <v>0</v>
      </c>
      <c r="P426" t="n">
        <v>0</v>
      </c>
      <c r="Q426" t="n">
        <v>0</v>
      </c>
      <c r="R426" s="2" t="inlineStr"/>
    </row>
    <row r="427" ht="15" customHeight="1">
      <c r="A427" t="inlineStr">
        <is>
          <t>A 928-2024</t>
        </is>
      </c>
      <c r="B427" s="1" t="n">
        <v>45301</v>
      </c>
      <c r="C427" s="1" t="n">
        <v>45929</v>
      </c>
      <c r="D427" t="inlineStr">
        <is>
          <t>KALMAR LÄN</t>
        </is>
      </c>
      <c r="E427" t="inlineStr">
        <is>
          <t>VÄSTERVIK</t>
        </is>
      </c>
      <c r="G427" t="n">
        <v>4.8</v>
      </c>
      <c r="H427" t="n">
        <v>0</v>
      </c>
      <c r="I427" t="n">
        <v>0</v>
      </c>
      <c r="J427" t="n">
        <v>0</v>
      </c>
      <c r="K427" t="n">
        <v>0</v>
      </c>
      <c r="L427" t="n">
        <v>0</v>
      </c>
      <c r="M427" t="n">
        <v>0</v>
      </c>
      <c r="N427" t="n">
        <v>0</v>
      </c>
      <c r="O427" t="n">
        <v>0</v>
      </c>
      <c r="P427" t="n">
        <v>0</v>
      </c>
      <c r="Q427" t="n">
        <v>0</v>
      </c>
      <c r="R427" s="2" t="inlineStr"/>
    </row>
    <row r="428" ht="15" customHeight="1">
      <c r="A428" t="inlineStr">
        <is>
          <t>A 1096-2024</t>
        </is>
      </c>
      <c r="B428" s="1" t="n">
        <v>45302</v>
      </c>
      <c r="C428" s="1" t="n">
        <v>45929</v>
      </c>
      <c r="D428" t="inlineStr">
        <is>
          <t>KALMAR LÄN</t>
        </is>
      </c>
      <c r="E428" t="inlineStr">
        <is>
          <t>VÄSTERVIK</t>
        </is>
      </c>
      <c r="G428" t="n">
        <v>2.6</v>
      </c>
      <c r="H428" t="n">
        <v>0</v>
      </c>
      <c r="I428" t="n">
        <v>0</v>
      </c>
      <c r="J428" t="n">
        <v>0</v>
      </c>
      <c r="K428" t="n">
        <v>0</v>
      </c>
      <c r="L428" t="n">
        <v>0</v>
      </c>
      <c r="M428" t="n">
        <v>0</v>
      </c>
      <c r="N428" t="n">
        <v>0</v>
      </c>
      <c r="O428" t="n">
        <v>0</v>
      </c>
      <c r="P428" t="n">
        <v>0</v>
      </c>
      <c r="Q428" t="n">
        <v>0</v>
      </c>
      <c r="R428" s="2" t="inlineStr"/>
    </row>
    <row r="429" ht="15" customHeight="1">
      <c r="A429" t="inlineStr">
        <is>
          <t>A 27982-2025</t>
        </is>
      </c>
      <c r="B429" s="1" t="n">
        <v>45817.57549768518</v>
      </c>
      <c r="C429" s="1" t="n">
        <v>45929</v>
      </c>
      <c r="D429" t="inlineStr">
        <is>
          <t>KALMAR LÄN</t>
        </is>
      </c>
      <c r="E429" t="inlineStr">
        <is>
          <t>VÄSTERVIK</t>
        </is>
      </c>
      <c r="G429" t="n">
        <v>2.5</v>
      </c>
      <c r="H429" t="n">
        <v>0</v>
      </c>
      <c r="I429" t="n">
        <v>0</v>
      </c>
      <c r="J429" t="n">
        <v>0</v>
      </c>
      <c r="K429" t="n">
        <v>0</v>
      </c>
      <c r="L429" t="n">
        <v>0</v>
      </c>
      <c r="M429" t="n">
        <v>0</v>
      </c>
      <c r="N429" t="n">
        <v>0</v>
      </c>
      <c r="O429" t="n">
        <v>0</v>
      </c>
      <c r="P429" t="n">
        <v>0</v>
      </c>
      <c r="Q429" t="n">
        <v>0</v>
      </c>
      <c r="R429" s="2" t="inlineStr"/>
    </row>
    <row r="430" ht="15" customHeight="1">
      <c r="A430" t="inlineStr">
        <is>
          <t>A 24567-2024</t>
        </is>
      </c>
      <c r="B430" s="1" t="n">
        <v>45460.44732638889</v>
      </c>
      <c r="C430" s="1" t="n">
        <v>45929</v>
      </c>
      <c r="D430" t="inlineStr">
        <is>
          <t>KALMAR LÄN</t>
        </is>
      </c>
      <c r="E430" t="inlineStr">
        <is>
          <t>VÄSTERVIK</t>
        </is>
      </c>
      <c r="G430" t="n">
        <v>5.1</v>
      </c>
      <c r="H430" t="n">
        <v>0</v>
      </c>
      <c r="I430" t="n">
        <v>0</v>
      </c>
      <c r="J430" t="n">
        <v>0</v>
      </c>
      <c r="K430" t="n">
        <v>0</v>
      </c>
      <c r="L430" t="n">
        <v>0</v>
      </c>
      <c r="M430" t="n">
        <v>0</v>
      </c>
      <c r="N430" t="n">
        <v>0</v>
      </c>
      <c r="O430" t="n">
        <v>0</v>
      </c>
      <c r="P430" t="n">
        <v>0</v>
      </c>
      <c r="Q430" t="n">
        <v>0</v>
      </c>
      <c r="R430" s="2" t="inlineStr"/>
    </row>
    <row r="431" ht="15" customHeight="1">
      <c r="A431" t="inlineStr">
        <is>
          <t>A 25561-2024</t>
        </is>
      </c>
      <c r="B431" s="1" t="n">
        <v>45463.58467592593</v>
      </c>
      <c r="C431" s="1" t="n">
        <v>45929</v>
      </c>
      <c r="D431" t="inlineStr">
        <is>
          <t>KALMAR LÄN</t>
        </is>
      </c>
      <c r="E431" t="inlineStr">
        <is>
          <t>VÄSTERVIK</t>
        </is>
      </c>
      <c r="F431" t="inlineStr">
        <is>
          <t>Holmen skog AB</t>
        </is>
      </c>
      <c r="G431" t="n">
        <v>7.2</v>
      </c>
      <c r="H431" t="n">
        <v>0</v>
      </c>
      <c r="I431" t="n">
        <v>0</v>
      </c>
      <c r="J431" t="n">
        <v>0</v>
      </c>
      <c r="K431" t="n">
        <v>0</v>
      </c>
      <c r="L431" t="n">
        <v>0</v>
      </c>
      <c r="M431" t="n">
        <v>0</v>
      </c>
      <c r="N431" t="n">
        <v>0</v>
      </c>
      <c r="O431" t="n">
        <v>0</v>
      </c>
      <c r="P431" t="n">
        <v>0</v>
      </c>
      <c r="Q431" t="n">
        <v>0</v>
      </c>
      <c r="R431" s="2" t="inlineStr"/>
    </row>
    <row r="432" ht="15" customHeight="1">
      <c r="A432" t="inlineStr">
        <is>
          <t>A 40038-2025</t>
        </is>
      </c>
      <c r="B432" s="1" t="n">
        <v>45894.39395833333</v>
      </c>
      <c r="C432" s="1" t="n">
        <v>45929</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18143-2024</t>
        </is>
      </c>
      <c r="B433" s="1" t="n">
        <v>45420</v>
      </c>
      <c r="C433" s="1" t="n">
        <v>45929</v>
      </c>
      <c r="D433" t="inlineStr">
        <is>
          <t>KALMAR LÄN</t>
        </is>
      </c>
      <c r="E433" t="inlineStr">
        <is>
          <t>VÄSTERVIK</t>
        </is>
      </c>
      <c r="G433" t="n">
        <v>3</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45929</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7925-2023</t>
        </is>
      </c>
      <c r="B435" s="1" t="n">
        <v>44973.64606481481</v>
      </c>
      <c r="C435" s="1" t="n">
        <v>45929</v>
      </c>
      <c r="D435" t="inlineStr">
        <is>
          <t>KALMAR LÄN</t>
        </is>
      </c>
      <c r="E435" t="inlineStr">
        <is>
          <t>VÄSTERVIK</t>
        </is>
      </c>
      <c r="G435" t="n">
        <v>4.9</v>
      </c>
      <c r="H435" t="n">
        <v>0</v>
      </c>
      <c r="I435" t="n">
        <v>0</v>
      </c>
      <c r="J435" t="n">
        <v>0</v>
      </c>
      <c r="K435" t="n">
        <v>0</v>
      </c>
      <c r="L435" t="n">
        <v>0</v>
      </c>
      <c r="M435" t="n">
        <v>0</v>
      </c>
      <c r="N435" t="n">
        <v>0</v>
      </c>
      <c r="O435" t="n">
        <v>0</v>
      </c>
      <c r="P435" t="n">
        <v>0</v>
      </c>
      <c r="Q435" t="n">
        <v>0</v>
      </c>
      <c r="R435" s="2" t="inlineStr"/>
    </row>
    <row r="436" ht="15" customHeight="1">
      <c r="A436" t="inlineStr">
        <is>
          <t>A 51510-2024</t>
        </is>
      </c>
      <c r="B436" s="1" t="n">
        <v>45604.55837962963</v>
      </c>
      <c r="C436" s="1" t="n">
        <v>45929</v>
      </c>
      <c r="D436" t="inlineStr">
        <is>
          <t>KALMAR LÄN</t>
        </is>
      </c>
      <c r="E436" t="inlineStr">
        <is>
          <t>VÄSTERVIK</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944-2024</t>
        </is>
      </c>
      <c r="B437" s="1" t="n">
        <v>45301.54230324074</v>
      </c>
      <c r="C437" s="1" t="n">
        <v>45929</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946-2024</t>
        </is>
      </c>
      <c r="B438" s="1" t="n">
        <v>45301.54412037037</v>
      </c>
      <c r="C438" s="1" t="n">
        <v>45929</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63812-2021</t>
        </is>
      </c>
      <c r="B439" s="1" t="n">
        <v>44509.56346064815</v>
      </c>
      <c r="C439" s="1" t="n">
        <v>45929</v>
      </c>
      <c r="D439" t="inlineStr">
        <is>
          <t>KALMAR LÄN</t>
        </is>
      </c>
      <c r="E439" t="inlineStr">
        <is>
          <t>VÄSTERVIK</t>
        </is>
      </c>
      <c r="G439" t="n">
        <v>2.1</v>
      </c>
      <c r="H439" t="n">
        <v>0</v>
      </c>
      <c r="I439" t="n">
        <v>0</v>
      </c>
      <c r="J439" t="n">
        <v>0</v>
      </c>
      <c r="K439" t="n">
        <v>0</v>
      </c>
      <c r="L439" t="n">
        <v>0</v>
      </c>
      <c r="M439" t="n">
        <v>0</v>
      </c>
      <c r="N439" t="n">
        <v>0</v>
      </c>
      <c r="O439" t="n">
        <v>0</v>
      </c>
      <c r="P439" t="n">
        <v>0</v>
      </c>
      <c r="Q439" t="n">
        <v>0</v>
      </c>
      <c r="R439" s="2" t="inlineStr"/>
    </row>
    <row r="440" ht="15" customHeight="1">
      <c r="A440" t="inlineStr">
        <is>
          <t>A 59196-2024</t>
        </is>
      </c>
      <c r="B440" s="1" t="n">
        <v>45637.54589120371</v>
      </c>
      <c r="C440" s="1" t="n">
        <v>45929</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57924-2024</t>
        </is>
      </c>
      <c r="B441" s="1" t="n">
        <v>45631.51325231481</v>
      </c>
      <c r="C441" s="1" t="n">
        <v>45929</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1699-2023</t>
        </is>
      </c>
      <c r="B442" s="1" t="n">
        <v>44935</v>
      </c>
      <c r="C442" s="1" t="n">
        <v>45929</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44973.88759259259</v>
      </c>
      <c r="C443" s="1" t="n">
        <v>45929</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31318-2021</t>
        </is>
      </c>
      <c r="B444" s="1" t="n">
        <v>44368</v>
      </c>
      <c r="C444" s="1" t="n">
        <v>45929</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35207-2025</t>
        </is>
      </c>
      <c r="B445" s="1" t="n">
        <v>45853.43320601852</v>
      </c>
      <c r="C445" s="1" t="n">
        <v>45929</v>
      </c>
      <c r="D445" t="inlineStr">
        <is>
          <t>KALMAR LÄN</t>
        </is>
      </c>
      <c r="E445" t="inlineStr">
        <is>
          <t>VÄSTERVIK</t>
        </is>
      </c>
      <c r="G445" t="n">
        <v>7</v>
      </c>
      <c r="H445" t="n">
        <v>0</v>
      </c>
      <c r="I445" t="n">
        <v>0</v>
      </c>
      <c r="J445" t="n">
        <v>0</v>
      </c>
      <c r="K445" t="n">
        <v>0</v>
      </c>
      <c r="L445" t="n">
        <v>0</v>
      </c>
      <c r="M445" t="n">
        <v>0</v>
      </c>
      <c r="N445" t="n">
        <v>0</v>
      </c>
      <c r="O445" t="n">
        <v>0</v>
      </c>
      <c r="P445" t="n">
        <v>0</v>
      </c>
      <c r="Q445" t="n">
        <v>0</v>
      </c>
      <c r="R445" s="2" t="inlineStr"/>
    </row>
    <row r="446" ht="15" customHeight="1">
      <c r="A446" t="inlineStr">
        <is>
          <t>A 48035-2024</t>
        </is>
      </c>
      <c r="B446" s="1" t="n">
        <v>45589.49168981481</v>
      </c>
      <c r="C446" s="1" t="n">
        <v>45929</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35187-2025</t>
        </is>
      </c>
      <c r="B447" s="1" t="n">
        <v>45853.31940972222</v>
      </c>
      <c r="C447" s="1" t="n">
        <v>45929</v>
      </c>
      <c r="D447" t="inlineStr">
        <is>
          <t>KALMAR LÄN</t>
        </is>
      </c>
      <c r="E447" t="inlineStr">
        <is>
          <t>VÄSTERVIK</t>
        </is>
      </c>
      <c r="G447" t="n">
        <v>1.6</v>
      </c>
      <c r="H447" t="n">
        <v>0</v>
      </c>
      <c r="I447" t="n">
        <v>0</v>
      </c>
      <c r="J447" t="n">
        <v>0</v>
      </c>
      <c r="K447" t="n">
        <v>0</v>
      </c>
      <c r="L447" t="n">
        <v>0</v>
      </c>
      <c r="M447" t="n">
        <v>0</v>
      </c>
      <c r="N447" t="n">
        <v>0</v>
      </c>
      <c r="O447" t="n">
        <v>0</v>
      </c>
      <c r="P447" t="n">
        <v>0</v>
      </c>
      <c r="Q447" t="n">
        <v>0</v>
      </c>
      <c r="R447" s="2" t="inlineStr"/>
    </row>
    <row r="448" ht="15" customHeight="1">
      <c r="A448" t="inlineStr">
        <is>
          <t>A 21752-2024</t>
        </is>
      </c>
      <c r="B448" s="1" t="n">
        <v>45442.58048611111</v>
      </c>
      <c r="C448" s="1" t="n">
        <v>45929</v>
      </c>
      <c r="D448" t="inlineStr">
        <is>
          <t>KALMAR LÄN</t>
        </is>
      </c>
      <c r="E448" t="inlineStr">
        <is>
          <t>VÄSTERVIK</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58217-2022</t>
        </is>
      </c>
      <c r="B449" s="1" t="n">
        <v>44901.36453703704</v>
      </c>
      <c r="C449" s="1" t="n">
        <v>45929</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13837-2024</t>
        </is>
      </c>
      <c r="B450" s="1" t="n">
        <v>45391.4450462963</v>
      </c>
      <c r="C450" s="1" t="n">
        <v>45929</v>
      </c>
      <c r="D450" t="inlineStr">
        <is>
          <t>KALMAR LÄN</t>
        </is>
      </c>
      <c r="E450" t="inlineStr">
        <is>
          <t>VÄSTERVIK</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13839-2024</t>
        </is>
      </c>
      <c r="B451" s="1" t="n">
        <v>45391.44789351852</v>
      </c>
      <c r="C451" s="1" t="n">
        <v>45929</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1874-2025</t>
        </is>
      </c>
      <c r="B452" s="1" t="n">
        <v>45671.61953703704</v>
      </c>
      <c r="C452" s="1" t="n">
        <v>45929</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49452-2023</t>
        </is>
      </c>
      <c r="B453" s="1" t="n">
        <v>45211.49424768519</v>
      </c>
      <c r="C453" s="1" t="n">
        <v>45929</v>
      </c>
      <c r="D453" t="inlineStr">
        <is>
          <t>KALMAR LÄN</t>
        </is>
      </c>
      <c r="E453" t="inlineStr">
        <is>
          <t>VÄSTERVIK</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59871-2022</t>
        </is>
      </c>
      <c r="B454" s="1" t="n">
        <v>44908</v>
      </c>
      <c r="C454" s="1" t="n">
        <v>45929</v>
      </c>
      <c r="D454" t="inlineStr">
        <is>
          <t>KALMAR LÄN</t>
        </is>
      </c>
      <c r="E454" t="inlineStr">
        <is>
          <t>VÄSTERVIK</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16834-2023</t>
        </is>
      </c>
      <c r="B455" s="1" t="n">
        <v>45033</v>
      </c>
      <c r="C455" s="1" t="n">
        <v>45929</v>
      </c>
      <c r="D455" t="inlineStr">
        <is>
          <t>KALMAR LÄN</t>
        </is>
      </c>
      <c r="E455" t="inlineStr">
        <is>
          <t>VÄSTERVIK</t>
        </is>
      </c>
      <c r="G455" t="n">
        <v>1.4</v>
      </c>
      <c r="H455" t="n">
        <v>0</v>
      </c>
      <c r="I455" t="n">
        <v>0</v>
      </c>
      <c r="J455" t="n">
        <v>0</v>
      </c>
      <c r="K455" t="n">
        <v>0</v>
      </c>
      <c r="L455" t="n">
        <v>0</v>
      </c>
      <c r="M455" t="n">
        <v>0</v>
      </c>
      <c r="N455" t="n">
        <v>0</v>
      </c>
      <c r="O455" t="n">
        <v>0</v>
      </c>
      <c r="P455" t="n">
        <v>0</v>
      </c>
      <c r="Q455" t="n">
        <v>0</v>
      </c>
      <c r="R455" s="2" t="inlineStr"/>
    </row>
    <row r="456" ht="15" customHeight="1">
      <c r="A456" t="inlineStr">
        <is>
          <t>A 59170-2022</t>
        </is>
      </c>
      <c r="B456" s="1" t="n">
        <v>44904.48152777777</v>
      </c>
      <c r="C456" s="1" t="n">
        <v>45929</v>
      </c>
      <c r="D456" t="inlineStr">
        <is>
          <t>KALMAR LÄN</t>
        </is>
      </c>
      <c r="E456" t="inlineStr">
        <is>
          <t>VÄSTERVIK</t>
        </is>
      </c>
      <c r="G456" t="n">
        <v>1.3</v>
      </c>
      <c r="H456" t="n">
        <v>0</v>
      </c>
      <c r="I456" t="n">
        <v>0</v>
      </c>
      <c r="J456" t="n">
        <v>0</v>
      </c>
      <c r="K456" t="n">
        <v>0</v>
      </c>
      <c r="L456" t="n">
        <v>0</v>
      </c>
      <c r="M456" t="n">
        <v>0</v>
      </c>
      <c r="N456" t="n">
        <v>0</v>
      </c>
      <c r="O456" t="n">
        <v>0</v>
      </c>
      <c r="P456" t="n">
        <v>0</v>
      </c>
      <c r="Q456" t="n">
        <v>0</v>
      </c>
      <c r="R456" s="2" t="inlineStr"/>
    </row>
    <row r="457" ht="15" customHeight="1">
      <c r="A457" t="inlineStr">
        <is>
          <t>A 59212-2022</t>
        </is>
      </c>
      <c r="B457" s="1" t="n">
        <v>44904.52560185185</v>
      </c>
      <c r="C457" s="1" t="n">
        <v>45929</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59227-2022</t>
        </is>
      </c>
      <c r="B458" s="1" t="n">
        <v>44904</v>
      </c>
      <c r="C458" s="1" t="n">
        <v>45929</v>
      </c>
      <c r="D458" t="inlineStr">
        <is>
          <t>KALMAR LÄN</t>
        </is>
      </c>
      <c r="E458" t="inlineStr">
        <is>
          <t>VÄSTERVIK</t>
        </is>
      </c>
      <c r="G458" t="n">
        <v>6</v>
      </c>
      <c r="H458" t="n">
        <v>0</v>
      </c>
      <c r="I458" t="n">
        <v>0</v>
      </c>
      <c r="J458" t="n">
        <v>0</v>
      </c>
      <c r="K458" t="n">
        <v>0</v>
      </c>
      <c r="L458" t="n">
        <v>0</v>
      </c>
      <c r="M458" t="n">
        <v>0</v>
      </c>
      <c r="N458" t="n">
        <v>0</v>
      </c>
      <c r="O458" t="n">
        <v>0</v>
      </c>
      <c r="P458" t="n">
        <v>0</v>
      </c>
      <c r="Q458" t="n">
        <v>0</v>
      </c>
      <c r="R458" s="2" t="inlineStr"/>
    </row>
    <row r="459" ht="15" customHeight="1">
      <c r="A459" t="inlineStr">
        <is>
          <t>A 31686-2023</t>
        </is>
      </c>
      <c r="B459" s="1" t="n">
        <v>45117</v>
      </c>
      <c r="C459" s="1" t="n">
        <v>45929</v>
      </c>
      <c r="D459" t="inlineStr">
        <is>
          <t>KALMAR LÄN</t>
        </is>
      </c>
      <c r="E459" t="inlineStr">
        <is>
          <t>VÄSTERVIK</t>
        </is>
      </c>
      <c r="G459" t="n">
        <v>1.7</v>
      </c>
      <c r="H459" t="n">
        <v>0</v>
      </c>
      <c r="I459" t="n">
        <v>0</v>
      </c>
      <c r="J459" t="n">
        <v>0</v>
      </c>
      <c r="K459" t="n">
        <v>0</v>
      </c>
      <c r="L459" t="n">
        <v>0</v>
      </c>
      <c r="M459" t="n">
        <v>0</v>
      </c>
      <c r="N459" t="n">
        <v>0</v>
      </c>
      <c r="O459" t="n">
        <v>0</v>
      </c>
      <c r="P459" t="n">
        <v>0</v>
      </c>
      <c r="Q459" t="n">
        <v>0</v>
      </c>
      <c r="R459" s="2" t="inlineStr"/>
    </row>
    <row r="460" ht="15" customHeight="1">
      <c r="A460" t="inlineStr">
        <is>
          <t>A 11183-2024</t>
        </is>
      </c>
      <c r="B460" s="1" t="n">
        <v>45371.53141203704</v>
      </c>
      <c r="C460" s="1" t="n">
        <v>45929</v>
      </c>
      <c r="D460" t="inlineStr">
        <is>
          <t>KALMAR LÄN</t>
        </is>
      </c>
      <c r="E460" t="inlineStr">
        <is>
          <t>VÄSTERVIK</t>
        </is>
      </c>
      <c r="G460" t="n">
        <v>4.5</v>
      </c>
      <c r="H460" t="n">
        <v>0</v>
      </c>
      <c r="I460" t="n">
        <v>0</v>
      </c>
      <c r="J460" t="n">
        <v>0</v>
      </c>
      <c r="K460" t="n">
        <v>0</v>
      </c>
      <c r="L460" t="n">
        <v>0</v>
      </c>
      <c r="M460" t="n">
        <v>0</v>
      </c>
      <c r="N460" t="n">
        <v>0</v>
      </c>
      <c r="O460" t="n">
        <v>0</v>
      </c>
      <c r="P460" t="n">
        <v>0</v>
      </c>
      <c r="Q460" t="n">
        <v>0</v>
      </c>
      <c r="R460" s="2" t="inlineStr"/>
    </row>
    <row r="461" ht="15" customHeight="1">
      <c r="A461" t="inlineStr">
        <is>
          <t>A 28291-2024</t>
        </is>
      </c>
      <c r="B461" s="1" t="n">
        <v>45477</v>
      </c>
      <c r="C461" s="1" t="n">
        <v>45929</v>
      </c>
      <c r="D461" t="inlineStr">
        <is>
          <t>KALMAR LÄN</t>
        </is>
      </c>
      <c r="E461" t="inlineStr">
        <is>
          <t>VÄSTERVIK</t>
        </is>
      </c>
      <c r="G461" t="n">
        <v>3.2</v>
      </c>
      <c r="H461" t="n">
        <v>0</v>
      </c>
      <c r="I461" t="n">
        <v>0</v>
      </c>
      <c r="J461" t="n">
        <v>0</v>
      </c>
      <c r="K461" t="n">
        <v>0</v>
      </c>
      <c r="L461" t="n">
        <v>0</v>
      </c>
      <c r="M461" t="n">
        <v>0</v>
      </c>
      <c r="N461" t="n">
        <v>0</v>
      </c>
      <c r="O461" t="n">
        <v>0</v>
      </c>
      <c r="P461" t="n">
        <v>0</v>
      </c>
      <c r="Q461" t="n">
        <v>0</v>
      </c>
      <c r="R461" s="2" t="inlineStr"/>
    </row>
    <row r="462" ht="15" customHeight="1">
      <c r="A462" t="inlineStr">
        <is>
          <t>A 25180-2023</t>
        </is>
      </c>
      <c r="B462" s="1" t="n">
        <v>45086</v>
      </c>
      <c r="C462" s="1" t="n">
        <v>45929</v>
      </c>
      <c r="D462" t="inlineStr">
        <is>
          <t>KALMAR LÄN</t>
        </is>
      </c>
      <c r="E462" t="inlineStr">
        <is>
          <t>VÄSTERVIK</t>
        </is>
      </c>
      <c r="G462" t="n">
        <v>0.5</v>
      </c>
      <c r="H462" t="n">
        <v>0</v>
      </c>
      <c r="I462" t="n">
        <v>0</v>
      </c>
      <c r="J462" t="n">
        <v>0</v>
      </c>
      <c r="K462" t="n">
        <v>0</v>
      </c>
      <c r="L462" t="n">
        <v>0</v>
      </c>
      <c r="M462" t="n">
        <v>0</v>
      </c>
      <c r="N462" t="n">
        <v>0</v>
      </c>
      <c r="O462" t="n">
        <v>0</v>
      </c>
      <c r="P462" t="n">
        <v>0</v>
      </c>
      <c r="Q462" t="n">
        <v>0</v>
      </c>
      <c r="R462" s="2" t="inlineStr"/>
    </row>
    <row r="463" ht="15" customHeight="1">
      <c r="A463" t="inlineStr">
        <is>
          <t>A 41312-2025</t>
        </is>
      </c>
      <c r="B463" s="1" t="n">
        <v>45898.80314814814</v>
      </c>
      <c r="C463" s="1" t="n">
        <v>45929</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23626-2024</t>
        </is>
      </c>
      <c r="B464" s="1" t="n">
        <v>45454</v>
      </c>
      <c r="C464" s="1" t="n">
        <v>45929</v>
      </c>
      <c r="D464" t="inlineStr">
        <is>
          <t>KALMAR LÄN</t>
        </is>
      </c>
      <c r="E464" t="inlineStr">
        <is>
          <t>VÄSTERVIK</t>
        </is>
      </c>
      <c r="G464" t="n">
        <v>2.1</v>
      </c>
      <c r="H464" t="n">
        <v>0</v>
      </c>
      <c r="I464" t="n">
        <v>0</v>
      </c>
      <c r="J464" t="n">
        <v>0</v>
      </c>
      <c r="K464" t="n">
        <v>0</v>
      </c>
      <c r="L464" t="n">
        <v>0</v>
      </c>
      <c r="M464" t="n">
        <v>0</v>
      </c>
      <c r="N464" t="n">
        <v>0</v>
      </c>
      <c r="O464" t="n">
        <v>0</v>
      </c>
      <c r="P464" t="n">
        <v>0</v>
      </c>
      <c r="Q464" t="n">
        <v>0</v>
      </c>
      <c r="R464" s="2" t="inlineStr"/>
    </row>
    <row r="465" ht="15" customHeight="1">
      <c r="A465" t="inlineStr">
        <is>
          <t>A 26140-2024</t>
        </is>
      </c>
      <c r="B465" s="1" t="n">
        <v>45468</v>
      </c>
      <c r="C465" s="1" t="n">
        <v>45929</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13840-2024</t>
        </is>
      </c>
      <c r="B466" s="1" t="n">
        <v>45391.44885416667</v>
      </c>
      <c r="C466" s="1" t="n">
        <v>45929</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34471-2024</t>
        </is>
      </c>
      <c r="B467" s="1" t="n">
        <v>45525.59111111111</v>
      </c>
      <c r="C467" s="1" t="n">
        <v>45929</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45929</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61580-2022</t>
        </is>
      </c>
      <c r="B469" s="1" t="n">
        <v>44916.62880787037</v>
      </c>
      <c r="C469" s="1" t="n">
        <v>45929</v>
      </c>
      <c r="D469" t="inlineStr">
        <is>
          <t>KALMAR LÄN</t>
        </is>
      </c>
      <c r="E469" t="inlineStr">
        <is>
          <t>VÄSTERVIK</t>
        </is>
      </c>
      <c r="G469" t="n">
        <v>3.5</v>
      </c>
      <c r="H469" t="n">
        <v>0</v>
      </c>
      <c r="I469" t="n">
        <v>0</v>
      </c>
      <c r="J469" t="n">
        <v>0</v>
      </c>
      <c r="K469" t="n">
        <v>0</v>
      </c>
      <c r="L469" t="n">
        <v>0</v>
      </c>
      <c r="M469" t="n">
        <v>0</v>
      </c>
      <c r="N469" t="n">
        <v>0</v>
      </c>
      <c r="O469" t="n">
        <v>0</v>
      </c>
      <c r="P469" t="n">
        <v>0</v>
      </c>
      <c r="Q469" t="n">
        <v>0</v>
      </c>
      <c r="R469" s="2" t="inlineStr"/>
    </row>
    <row r="470" ht="15" customHeight="1">
      <c r="A470" t="inlineStr">
        <is>
          <t>A 60848-2020</t>
        </is>
      </c>
      <c r="B470" s="1" t="n">
        <v>44152</v>
      </c>
      <c r="C470" s="1" t="n">
        <v>45929</v>
      </c>
      <c r="D470" t="inlineStr">
        <is>
          <t>KALMAR LÄN</t>
        </is>
      </c>
      <c r="E470" t="inlineStr">
        <is>
          <t>VÄSTERVIK</t>
        </is>
      </c>
      <c r="G470" t="n">
        <v>2.7</v>
      </c>
      <c r="H470" t="n">
        <v>0</v>
      </c>
      <c r="I470" t="n">
        <v>0</v>
      </c>
      <c r="J470" t="n">
        <v>0</v>
      </c>
      <c r="K470" t="n">
        <v>0</v>
      </c>
      <c r="L470" t="n">
        <v>0</v>
      </c>
      <c r="M470" t="n">
        <v>0</v>
      </c>
      <c r="N470" t="n">
        <v>0</v>
      </c>
      <c r="O470" t="n">
        <v>0</v>
      </c>
      <c r="P470" t="n">
        <v>0</v>
      </c>
      <c r="Q470" t="n">
        <v>0</v>
      </c>
      <c r="R470" s="2" t="inlineStr"/>
    </row>
    <row r="471" ht="15" customHeight="1">
      <c r="A471" t="inlineStr">
        <is>
          <t>A 7255-2023</t>
        </is>
      </c>
      <c r="B471" s="1" t="n">
        <v>44970</v>
      </c>
      <c r="C471" s="1" t="n">
        <v>45929</v>
      </c>
      <c r="D471" t="inlineStr">
        <is>
          <t>KALMAR LÄN</t>
        </is>
      </c>
      <c r="E471" t="inlineStr">
        <is>
          <t>VÄSTERVIK</t>
        </is>
      </c>
      <c r="F471" t="inlineStr">
        <is>
          <t>Naturvårdsverket</t>
        </is>
      </c>
      <c r="G471" t="n">
        <v>0.6</v>
      </c>
      <c r="H471" t="n">
        <v>0</v>
      </c>
      <c r="I471" t="n">
        <v>0</v>
      </c>
      <c r="J471" t="n">
        <v>0</v>
      </c>
      <c r="K471" t="n">
        <v>0</v>
      </c>
      <c r="L471" t="n">
        <v>0</v>
      </c>
      <c r="M471" t="n">
        <v>0</v>
      </c>
      <c r="N471" t="n">
        <v>0</v>
      </c>
      <c r="O471" t="n">
        <v>0</v>
      </c>
      <c r="P471" t="n">
        <v>0</v>
      </c>
      <c r="Q471" t="n">
        <v>0</v>
      </c>
      <c r="R471" s="2" t="inlineStr"/>
      <c r="U471">
        <f>HYPERLINK("https://klasma.github.io/Logging_0883/knärot/A 7255-2023 karta knärot.png", "A 7255-2023")</f>
        <v/>
      </c>
      <c r="V471">
        <f>HYPERLINK("https://klasma.github.io/Logging_0883/klagomål/A 7255-2023 FSC-klagomål.docx", "A 7255-2023")</f>
        <v/>
      </c>
      <c r="W471">
        <f>HYPERLINK("https://klasma.github.io/Logging_0883/klagomålsmail/A 7255-2023 FSC-klagomål mail.docx", "A 7255-2023")</f>
        <v/>
      </c>
      <c r="X471">
        <f>HYPERLINK("https://klasma.github.io/Logging_0883/tillsyn/A 7255-2023 tillsynsbegäran.docx", "A 7255-2023")</f>
        <v/>
      </c>
      <c r="Y471">
        <f>HYPERLINK("https://klasma.github.io/Logging_0883/tillsynsmail/A 7255-2023 tillsynsbegäran mail.docx", "A 7255-2023")</f>
        <v/>
      </c>
    </row>
    <row r="472" ht="15" customHeight="1">
      <c r="A472" t="inlineStr">
        <is>
          <t>A 36050-2024</t>
        </is>
      </c>
      <c r="B472" s="1" t="n">
        <v>45533.620625</v>
      </c>
      <c r="C472" s="1" t="n">
        <v>45929</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56188-2023</t>
        </is>
      </c>
      <c r="B473" s="1" t="n">
        <v>45240.65173611111</v>
      </c>
      <c r="C473" s="1" t="n">
        <v>45929</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45463-2024</t>
        </is>
      </c>
      <c r="B474" s="1" t="n">
        <v>45576.69753472223</v>
      </c>
      <c r="C474" s="1" t="n">
        <v>45929</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56610-2022</t>
        </is>
      </c>
      <c r="B475" s="1" t="n">
        <v>44893.5862037037</v>
      </c>
      <c r="C475" s="1" t="n">
        <v>45929</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9025-2022</t>
        </is>
      </c>
      <c r="B476" s="1" t="n">
        <v>44615</v>
      </c>
      <c r="C476" s="1" t="n">
        <v>45929</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49286-2022</t>
        </is>
      </c>
      <c r="B477" s="1" t="n">
        <v>44861.45876157407</v>
      </c>
      <c r="C477" s="1" t="n">
        <v>45929</v>
      </c>
      <c r="D477" t="inlineStr">
        <is>
          <t>KALMAR LÄN</t>
        </is>
      </c>
      <c r="E477" t="inlineStr">
        <is>
          <t>VÄSTERVIK</t>
        </is>
      </c>
      <c r="G477" t="n">
        <v>2.6</v>
      </c>
      <c r="H477" t="n">
        <v>0</v>
      </c>
      <c r="I477" t="n">
        <v>0</v>
      </c>
      <c r="J477" t="n">
        <v>0</v>
      </c>
      <c r="K477" t="n">
        <v>0</v>
      </c>
      <c r="L477" t="n">
        <v>0</v>
      </c>
      <c r="M477" t="n">
        <v>0</v>
      </c>
      <c r="N477" t="n">
        <v>0</v>
      </c>
      <c r="O477" t="n">
        <v>0</v>
      </c>
      <c r="P477" t="n">
        <v>0</v>
      </c>
      <c r="Q477" t="n">
        <v>0</v>
      </c>
      <c r="R477" s="2" t="inlineStr"/>
    </row>
    <row r="478" ht="15" customHeight="1">
      <c r="A478" t="inlineStr">
        <is>
          <t>A 6312-2024</t>
        </is>
      </c>
      <c r="B478" s="1" t="n">
        <v>45338</v>
      </c>
      <c r="C478" s="1" t="n">
        <v>45929</v>
      </c>
      <c r="D478" t="inlineStr">
        <is>
          <t>KALMAR LÄN</t>
        </is>
      </c>
      <c r="E478" t="inlineStr">
        <is>
          <t>VÄSTERVIK</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8005-2023</t>
        </is>
      </c>
      <c r="B479" s="1" t="n">
        <v>44973.88452546296</v>
      </c>
      <c r="C479" s="1" t="n">
        <v>45929</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15106-2023</t>
        </is>
      </c>
      <c r="B480" s="1" t="n">
        <v>45016.41767361111</v>
      </c>
      <c r="C480" s="1" t="n">
        <v>45929</v>
      </c>
      <c r="D480" t="inlineStr">
        <is>
          <t>KALMAR LÄN</t>
        </is>
      </c>
      <c r="E480" t="inlineStr">
        <is>
          <t>VÄSTERVIK</t>
        </is>
      </c>
      <c r="G480" t="n">
        <v>0.4</v>
      </c>
      <c r="H480" t="n">
        <v>0</v>
      </c>
      <c r="I480" t="n">
        <v>0</v>
      </c>
      <c r="J480" t="n">
        <v>0</v>
      </c>
      <c r="K480" t="n">
        <v>0</v>
      </c>
      <c r="L480" t="n">
        <v>0</v>
      </c>
      <c r="M480" t="n">
        <v>0</v>
      </c>
      <c r="N480" t="n">
        <v>0</v>
      </c>
      <c r="O480" t="n">
        <v>0</v>
      </c>
      <c r="P480" t="n">
        <v>0</v>
      </c>
      <c r="Q480" t="n">
        <v>0</v>
      </c>
      <c r="R480" s="2" t="inlineStr"/>
    </row>
    <row r="481" ht="15" customHeight="1">
      <c r="A481" t="inlineStr">
        <is>
          <t>A 46596-2022</t>
        </is>
      </c>
      <c r="B481" s="1" t="n">
        <v>44848.8315625</v>
      </c>
      <c r="C481" s="1" t="n">
        <v>45929</v>
      </c>
      <c r="D481" t="inlineStr">
        <is>
          <t>KALMAR LÄN</t>
        </is>
      </c>
      <c r="E481" t="inlineStr">
        <is>
          <t>VÄSTERVIK</t>
        </is>
      </c>
      <c r="G481" t="n">
        <v>3.9</v>
      </c>
      <c r="H481" t="n">
        <v>0</v>
      </c>
      <c r="I481" t="n">
        <v>0</v>
      </c>
      <c r="J481" t="n">
        <v>0</v>
      </c>
      <c r="K481" t="n">
        <v>0</v>
      </c>
      <c r="L481" t="n">
        <v>0</v>
      </c>
      <c r="M481" t="n">
        <v>0</v>
      </c>
      <c r="N481" t="n">
        <v>0</v>
      </c>
      <c r="O481" t="n">
        <v>0</v>
      </c>
      <c r="P481" t="n">
        <v>0</v>
      </c>
      <c r="Q481" t="n">
        <v>0</v>
      </c>
      <c r="R481" s="2" t="inlineStr"/>
    </row>
    <row r="482" ht="15" customHeight="1">
      <c r="A482" t="inlineStr">
        <is>
          <t>A 28588-2022</t>
        </is>
      </c>
      <c r="B482" s="1" t="n">
        <v>44748</v>
      </c>
      <c r="C482" s="1" t="n">
        <v>45929</v>
      </c>
      <c r="D482" t="inlineStr">
        <is>
          <t>KALMAR LÄN</t>
        </is>
      </c>
      <c r="E482" t="inlineStr">
        <is>
          <t>VÄSTERVIK</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59696-2023</t>
        </is>
      </c>
      <c r="B483" s="1" t="n">
        <v>45256.85211805555</v>
      </c>
      <c r="C483" s="1" t="n">
        <v>45929</v>
      </c>
      <c r="D483" t="inlineStr">
        <is>
          <t>KALMAR LÄN</t>
        </is>
      </c>
      <c r="E483" t="inlineStr">
        <is>
          <t>VÄSTERVIK</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30148-2024</t>
        </is>
      </c>
      <c r="B484" s="1" t="n">
        <v>45489.60528935185</v>
      </c>
      <c r="C484" s="1" t="n">
        <v>45929</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41993-2025</t>
        </is>
      </c>
      <c r="B485" s="1" t="n">
        <v>45903.54821759259</v>
      </c>
      <c r="C485" s="1" t="n">
        <v>45929</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60056-2023</t>
        </is>
      </c>
      <c r="B486" s="1" t="n">
        <v>45258</v>
      </c>
      <c r="C486" s="1" t="n">
        <v>45929</v>
      </c>
      <c r="D486" t="inlineStr">
        <is>
          <t>KALMAR LÄN</t>
        </is>
      </c>
      <c r="E486" t="inlineStr">
        <is>
          <t>VÄSTERVIK</t>
        </is>
      </c>
      <c r="G486" t="n">
        <v>0.4</v>
      </c>
      <c r="H486" t="n">
        <v>0</v>
      </c>
      <c r="I486" t="n">
        <v>0</v>
      </c>
      <c r="J486" t="n">
        <v>0</v>
      </c>
      <c r="K486" t="n">
        <v>0</v>
      </c>
      <c r="L486" t="n">
        <v>0</v>
      </c>
      <c r="M486" t="n">
        <v>0</v>
      </c>
      <c r="N486" t="n">
        <v>0</v>
      </c>
      <c r="O486" t="n">
        <v>0</v>
      </c>
      <c r="P486" t="n">
        <v>0</v>
      </c>
      <c r="Q486" t="n">
        <v>0</v>
      </c>
      <c r="R486" s="2" t="inlineStr"/>
    </row>
    <row r="487" ht="15" customHeight="1">
      <c r="A487" t="inlineStr">
        <is>
          <t>A 23148-2025</t>
        </is>
      </c>
      <c r="B487" s="1" t="n">
        <v>45791.40225694444</v>
      </c>
      <c r="C487" s="1" t="n">
        <v>45929</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15553-2024</t>
        </is>
      </c>
      <c r="B488" s="1" t="n">
        <v>45401.63736111111</v>
      </c>
      <c r="C488" s="1" t="n">
        <v>45929</v>
      </c>
      <c r="D488" t="inlineStr">
        <is>
          <t>KALMAR LÄN</t>
        </is>
      </c>
      <c r="E488" t="inlineStr">
        <is>
          <t>VÄSTERVIK</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19608-2025</t>
        </is>
      </c>
      <c r="B489" s="1" t="n">
        <v>45770.60177083333</v>
      </c>
      <c r="C489" s="1" t="n">
        <v>45929</v>
      </c>
      <c r="D489" t="inlineStr">
        <is>
          <t>KALMAR LÄN</t>
        </is>
      </c>
      <c r="E489" t="inlineStr">
        <is>
          <t>VÄSTERVIK</t>
        </is>
      </c>
      <c r="G489" t="n">
        <v>3.5</v>
      </c>
      <c r="H489" t="n">
        <v>0</v>
      </c>
      <c r="I489" t="n">
        <v>0</v>
      </c>
      <c r="J489" t="n">
        <v>0</v>
      </c>
      <c r="K489" t="n">
        <v>0</v>
      </c>
      <c r="L489" t="n">
        <v>0</v>
      </c>
      <c r="M489" t="n">
        <v>0</v>
      </c>
      <c r="N489" t="n">
        <v>0</v>
      </c>
      <c r="O489" t="n">
        <v>0</v>
      </c>
      <c r="P489" t="n">
        <v>0</v>
      </c>
      <c r="Q489" t="n">
        <v>0</v>
      </c>
      <c r="R489" s="2" t="inlineStr"/>
    </row>
    <row r="490" ht="15" customHeight="1">
      <c r="A490" t="inlineStr">
        <is>
          <t>A 21660-2025</t>
        </is>
      </c>
      <c r="B490" s="1" t="n">
        <v>45783.45542824074</v>
      </c>
      <c r="C490" s="1" t="n">
        <v>45929</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27568-2024</t>
        </is>
      </c>
      <c r="B491" s="1" t="n">
        <v>45474</v>
      </c>
      <c r="C491" s="1" t="n">
        <v>45929</v>
      </c>
      <c r="D491" t="inlineStr">
        <is>
          <t>KALMAR LÄN</t>
        </is>
      </c>
      <c r="E491" t="inlineStr">
        <is>
          <t>VÄSTERVIK</t>
        </is>
      </c>
      <c r="G491" t="n">
        <v>7.7</v>
      </c>
      <c r="H491" t="n">
        <v>0</v>
      </c>
      <c r="I491" t="n">
        <v>0</v>
      </c>
      <c r="J491" t="n">
        <v>0</v>
      </c>
      <c r="K491" t="n">
        <v>0</v>
      </c>
      <c r="L491" t="n">
        <v>0</v>
      </c>
      <c r="M491" t="n">
        <v>0</v>
      </c>
      <c r="N491" t="n">
        <v>0</v>
      </c>
      <c r="O491" t="n">
        <v>0</v>
      </c>
      <c r="P491" t="n">
        <v>0</v>
      </c>
      <c r="Q491" t="n">
        <v>0</v>
      </c>
      <c r="R491" s="2" t="inlineStr"/>
    </row>
    <row r="492" ht="15" customHeight="1">
      <c r="A492" t="inlineStr">
        <is>
          <t>A 13957-2025</t>
        </is>
      </c>
      <c r="B492" s="1" t="n">
        <v>45737.85231481482</v>
      </c>
      <c r="C492" s="1" t="n">
        <v>45929</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27094-2024</t>
        </is>
      </c>
      <c r="B493" s="1" t="n">
        <v>45471</v>
      </c>
      <c r="C493" s="1" t="n">
        <v>45929</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c r="U493">
        <f>HYPERLINK("https://klasma.github.io/Logging_0883/knärot/A 27094-2024 karta knärot.png", "A 27094-2024")</f>
        <v/>
      </c>
      <c r="V493">
        <f>HYPERLINK("https://klasma.github.io/Logging_0883/klagomål/A 27094-2024 FSC-klagomål.docx", "A 27094-2024")</f>
        <v/>
      </c>
      <c r="W493">
        <f>HYPERLINK("https://klasma.github.io/Logging_0883/klagomålsmail/A 27094-2024 FSC-klagomål mail.docx", "A 27094-2024")</f>
        <v/>
      </c>
      <c r="X493">
        <f>HYPERLINK("https://klasma.github.io/Logging_0883/tillsyn/A 27094-2024 tillsynsbegäran.docx", "A 27094-2024")</f>
        <v/>
      </c>
      <c r="Y493">
        <f>HYPERLINK("https://klasma.github.io/Logging_0883/tillsynsmail/A 27094-2024 tillsynsbegäran mail.docx", "A 27094-2024")</f>
        <v/>
      </c>
    </row>
    <row r="494" ht="15" customHeight="1">
      <c r="A494" t="inlineStr">
        <is>
          <t>A 32388-2024</t>
        </is>
      </c>
      <c r="B494" s="1" t="n">
        <v>45512.63465277778</v>
      </c>
      <c r="C494" s="1" t="n">
        <v>45929</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32389-2024</t>
        </is>
      </c>
      <c r="B495" s="1" t="n">
        <v>45512.63642361111</v>
      </c>
      <c r="C495" s="1" t="n">
        <v>45929</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59202-2022</t>
        </is>
      </c>
      <c r="B496" s="1" t="n">
        <v>44904</v>
      </c>
      <c r="C496" s="1" t="n">
        <v>45929</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59210-2022</t>
        </is>
      </c>
      <c r="B497" s="1" t="n">
        <v>44904.51767361111</v>
      </c>
      <c r="C497" s="1" t="n">
        <v>45929</v>
      </c>
      <c r="D497" t="inlineStr">
        <is>
          <t>KALMAR LÄN</t>
        </is>
      </c>
      <c r="E497" t="inlineStr">
        <is>
          <t>VÄSTERVIK</t>
        </is>
      </c>
      <c r="G497" t="n">
        <v>21.2</v>
      </c>
      <c r="H497" t="n">
        <v>0</v>
      </c>
      <c r="I497" t="n">
        <v>0</v>
      </c>
      <c r="J497" t="n">
        <v>0</v>
      </c>
      <c r="K497" t="n">
        <v>0</v>
      </c>
      <c r="L497" t="n">
        <v>0</v>
      </c>
      <c r="M497" t="n">
        <v>0</v>
      </c>
      <c r="N497" t="n">
        <v>0</v>
      </c>
      <c r="O497" t="n">
        <v>0</v>
      </c>
      <c r="P497" t="n">
        <v>0</v>
      </c>
      <c r="Q497" t="n">
        <v>0</v>
      </c>
      <c r="R497" s="2" t="inlineStr"/>
    </row>
    <row r="498" ht="15" customHeight="1">
      <c r="A498" t="inlineStr">
        <is>
          <t>A 59220-2022</t>
        </is>
      </c>
      <c r="B498" s="1" t="n">
        <v>44904.53423611111</v>
      </c>
      <c r="C498" s="1" t="n">
        <v>45929</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34463-2024</t>
        </is>
      </c>
      <c r="B499" s="1" t="n">
        <v>45525.57712962963</v>
      </c>
      <c r="C499" s="1" t="n">
        <v>45929</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29722-2025</t>
        </is>
      </c>
      <c r="B500" s="1" t="n">
        <v>45825.57524305556</v>
      </c>
      <c r="C500" s="1" t="n">
        <v>45929</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54190-2022</t>
        </is>
      </c>
      <c r="B501" s="1" t="n">
        <v>44881.68282407407</v>
      </c>
      <c r="C501" s="1" t="n">
        <v>45929</v>
      </c>
      <c r="D501" t="inlineStr">
        <is>
          <t>KALMAR LÄN</t>
        </is>
      </c>
      <c r="E501" t="inlineStr">
        <is>
          <t>VÄSTERVIK</t>
        </is>
      </c>
      <c r="G501" t="n">
        <v>7.4</v>
      </c>
      <c r="H501" t="n">
        <v>0</v>
      </c>
      <c r="I501" t="n">
        <v>0</v>
      </c>
      <c r="J501" t="n">
        <v>0</v>
      </c>
      <c r="K501" t="n">
        <v>0</v>
      </c>
      <c r="L501" t="n">
        <v>0</v>
      </c>
      <c r="M501" t="n">
        <v>0</v>
      </c>
      <c r="N501" t="n">
        <v>0</v>
      </c>
      <c r="O501" t="n">
        <v>0</v>
      </c>
      <c r="P501" t="n">
        <v>0</v>
      </c>
      <c r="Q501" t="n">
        <v>0</v>
      </c>
      <c r="R501" s="2" t="inlineStr"/>
    </row>
    <row r="502" ht="15" customHeight="1">
      <c r="A502" t="inlineStr">
        <is>
          <t>A 23580-2023</t>
        </is>
      </c>
      <c r="B502" s="1" t="n">
        <v>45077</v>
      </c>
      <c r="C502" s="1" t="n">
        <v>45929</v>
      </c>
      <c r="D502" t="inlineStr">
        <is>
          <t>KALMAR LÄN</t>
        </is>
      </c>
      <c r="E502" t="inlineStr">
        <is>
          <t>VÄSTERVIK</t>
        </is>
      </c>
      <c r="G502" t="n">
        <v>1.9</v>
      </c>
      <c r="H502" t="n">
        <v>0</v>
      </c>
      <c r="I502" t="n">
        <v>0</v>
      </c>
      <c r="J502" t="n">
        <v>0</v>
      </c>
      <c r="K502" t="n">
        <v>0</v>
      </c>
      <c r="L502" t="n">
        <v>0</v>
      </c>
      <c r="M502" t="n">
        <v>0</v>
      </c>
      <c r="N502" t="n">
        <v>0</v>
      </c>
      <c r="O502" t="n">
        <v>0</v>
      </c>
      <c r="P502" t="n">
        <v>0</v>
      </c>
      <c r="Q502" t="n">
        <v>0</v>
      </c>
      <c r="R502" s="2" t="inlineStr"/>
    </row>
    <row r="503" ht="15" customHeight="1">
      <c r="A503" t="inlineStr">
        <is>
          <t>A 11584-2023</t>
        </is>
      </c>
      <c r="B503" s="1" t="n">
        <v>44994.35707175926</v>
      </c>
      <c r="C503" s="1" t="n">
        <v>45929</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36725-2024</t>
        </is>
      </c>
      <c r="B504" s="1" t="n">
        <v>45537.90300925926</v>
      </c>
      <c r="C504" s="1" t="n">
        <v>45929</v>
      </c>
      <c r="D504" t="inlineStr">
        <is>
          <t>KALMAR LÄN</t>
        </is>
      </c>
      <c r="E504" t="inlineStr">
        <is>
          <t>VÄSTERVIK</t>
        </is>
      </c>
      <c r="G504" t="n">
        <v>10.1</v>
      </c>
      <c r="H504" t="n">
        <v>0</v>
      </c>
      <c r="I504" t="n">
        <v>0</v>
      </c>
      <c r="J504" t="n">
        <v>0</v>
      </c>
      <c r="K504" t="n">
        <v>0</v>
      </c>
      <c r="L504" t="n">
        <v>0</v>
      </c>
      <c r="M504" t="n">
        <v>0</v>
      </c>
      <c r="N504" t="n">
        <v>0</v>
      </c>
      <c r="O504" t="n">
        <v>0</v>
      </c>
      <c r="P504" t="n">
        <v>0</v>
      </c>
      <c r="Q504" t="n">
        <v>0</v>
      </c>
      <c r="R504" s="2" t="inlineStr"/>
    </row>
    <row r="505" ht="15" customHeight="1">
      <c r="A505" t="inlineStr">
        <is>
          <t>A 41342-2023</t>
        </is>
      </c>
      <c r="B505" s="1" t="n">
        <v>45174.72416666667</v>
      </c>
      <c r="C505" s="1" t="n">
        <v>45929</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13490-2022</t>
        </is>
      </c>
      <c r="B506" s="1" t="n">
        <v>44646</v>
      </c>
      <c r="C506" s="1" t="n">
        <v>45929</v>
      </c>
      <c r="D506" t="inlineStr">
        <is>
          <t>KALMAR LÄN</t>
        </is>
      </c>
      <c r="E506" t="inlineStr">
        <is>
          <t>VÄSTERVIK</t>
        </is>
      </c>
      <c r="G506" t="n">
        <v>2.4</v>
      </c>
      <c r="H506" t="n">
        <v>0</v>
      </c>
      <c r="I506" t="n">
        <v>0</v>
      </c>
      <c r="J506" t="n">
        <v>0</v>
      </c>
      <c r="K506" t="n">
        <v>0</v>
      </c>
      <c r="L506" t="n">
        <v>0</v>
      </c>
      <c r="M506" t="n">
        <v>0</v>
      </c>
      <c r="N506" t="n">
        <v>0</v>
      </c>
      <c r="O506" t="n">
        <v>0</v>
      </c>
      <c r="P506" t="n">
        <v>0</v>
      </c>
      <c r="Q506" t="n">
        <v>0</v>
      </c>
      <c r="R506" s="2" t="inlineStr"/>
    </row>
    <row r="507" ht="15" customHeight="1">
      <c r="A507" t="inlineStr">
        <is>
          <t>A 42868-2025</t>
        </is>
      </c>
      <c r="B507" s="1" t="n">
        <v>45908.62329861111</v>
      </c>
      <c r="C507" s="1" t="n">
        <v>45929</v>
      </c>
      <c r="D507" t="inlineStr">
        <is>
          <t>KALMAR LÄN</t>
        </is>
      </c>
      <c r="E507" t="inlineStr">
        <is>
          <t>VÄSTERVIK</t>
        </is>
      </c>
      <c r="F507" t="inlineStr">
        <is>
          <t>Holmen skog AB</t>
        </is>
      </c>
      <c r="G507" t="n">
        <v>3.7</v>
      </c>
      <c r="H507" t="n">
        <v>0</v>
      </c>
      <c r="I507" t="n">
        <v>0</v>
      </c>
      <c r="J507" t="n">
        <v>0</v>
      </c>
      <c r="K507" t="n">
        <v>0</v>
      </c>
      <c r="L507" t="n">
        <v>0</v>
      </c>
      <c r="M507" t="n">
        <v>0</v>
      </c>
      <c r="N507" t="n">
        <v>0</v>
      </c>
      <c r="O507" t="n">
        <v>0</v>
      </c>
      <c r="P507" t="n">
        <v>0</v>
      </c>
      <c r="Q507" t="n">
        <v>0</v>
      </c>
      <c r="R507" s="2" t="inlineStr"/>
      <c r="U507">
        <f>HYPERLINK("https://klasma.github.io/Logging_0883/knärot/A 42868-2025 karta knärot.png", "A 42868-2025")</f>
        <v/>
      </c>
      <c r="V507">
        <f>HYPERLINK("https://klasma.github.io/Logging_0883/klagomål/A 42868-2025 FSC-klagomål.docx", "A 42868-2025")</f>
        <v/>
      </c>
      <c r="W507">
        <f>HYPERLINK("https://klasma.github.io/Logging_0883/klagomålsmail/A 42868-2025 FSC-klagomål mail.docx", "A 42868-2025")</f>
        <v/>
      </c>
      <c r="X507">
        <f>HYPERLINK("https://klasma.github.io/Logging_0883/tillsyn/A 42868-2025 tillsynsbegäran.docx", "A 42868-2025")</f>
        <v/>
      </c>
      <c r="Y507">
        <f>HYPERLINK("https://klasma.github.io/Logging_0883/tillsynsmail/A 42868-2025 tillsynsbegäran mail.docx", "A 42868-2025")</f>
        <v/>
      </c>
    </row>
    <row r="508" ht="15" customHeight="1">
      <c r="A508" t="inlineStr">
        <is>
          <t>A 5684-2023</t>
        </is>
      </c>
      <c r="B508" s="1" t="n">
        <v>44960.73170138889</v>
      </c>
      <c r="C508" s="1" t="n">
        <v>45929</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56617-2021</t>
        </is>
      </c>
      <c r="B509" s="1" t="n">
        <v>44480</v>
      </c>
      <c r="C509" s="1" t="n">
        <v>45929</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8593-2023</t>
        </is>
      </c>
      <c r="B510" s="1" t="n">
        <v>44977</v>
      </c>
      <c r="C510" s="1" t="n">
        <v>45929</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66328-2020</t>
        </is>
      </c>
      <c r="B511" s="1" t="n">
        <v>44176</v>
      </c>
      <c r="C511" s="1" t="n">
        <v>45929</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3492-2021</t>
        </is>
      </c>
      <c r="B512" s="1" t="n">
        <v>44218.60984953704</v>
      </c>
      <c r="C512" s="1" t="n">
        <v>45929</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7100-2023</t>
        </is>
      </c>
      <c r="B513" s="1" t="n">
        <v>44970.37244212963</v>
      </c>
      <c r="C513" s="1" t="n">
        <v>45929</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11198-2024</t>
        </is>
      </c>
      <c r="B514" s="1" t="n">
        <v>45371</v>
      </c>
      <c r="C514" s="1" t="n">
        <v>45929</v>
      </c>
      <c r="D514" t="inlineStr">
        <is>
          <t>KALMAR LÄN</t>
        </is>
      </c>
      <c r="E514" t="inlineStr">
        <is>
          <t>VÄSTERVIK</t>
        </is>
      </c>
      <c r="G514" t="n">
        <v>4.1</v>
      </c>
      <c r="H514" t="n">
        <v>0</v>
      </c>
      <c r="I514" t="n">
        <v>0</v>
      </c>
      <c r="J514" t="n">
        <v>0</v>
      </c>
      <c r="K514" t="n">
        <v>0</v>
      </c>
      <c r="L514" t="n">
        <v>0</v>
      </c>
      <c r="M514" t="n">
        <v>0</v>
      </c>
      <c r="N514" t="n">
        <v>0</v>
      </c>
      <c r="O514" t="n">
        <v>0</v>
      </c>
      <c r="P514" t="n">
        <v>0</v>
      </c>
      <c r="Q514" t="n">
        <v>0</v>
      </c>
      <c r="R514" s="2" t="inlineStr"/>
    </row>
    <row r="515" ht="15" customHeight="1">
      <c r="A515" t="inlineStr">
        <is>
          <t>A 942-2024</t>
        </is>
      </c>
      <c r="B515" s="1" t="n">
        <v>45301.53930555555</v>
      </c>
      <c r="C515" s="1" t="n">
        <v>45929</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29405-2024</t>
        </is>
      </c>
      <c r="B516" s="1" t="n">
        <v>45483</v>
      </c>
      <c r="C516" s="1" t="n">
        <v>45929</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55023-2021</t>
        </is>
      </c>
      <c r="B517" s="1" t="n">
        <v>44474</v>
      </c>
      <c r="C517" s="1" t="n">
        <v>45929</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3190-2023</t>
        </is>
      </c>
      <c r="B518" s="1" t="n">
        <v>44946.61086805556</v>
      </c>
      <c r="C518" s="1" t="n">
        <v>45929</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24881-2023</t>
        </is>
      </c>
      <c r="B519" s="1" t="n">
        <v>45085</v>
      </c>
      <c r="C519" s="1" t="n">
        <v>45929</v>
      </c>
      <c r="D519" t="inlineStr">
        <is>
          <t>KALMAR LÄN</t>
        </is>
      </c>
      <c r="E519" t="inlineStr">
        <is>
          <t>VÄSTERVIK</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25403-2023</t>
        </is>
      </c>
      <c r="B520" s="1" t="n">
        <v>45079</v>
      </c>
      <c r="C520" s="1" t="n">
        <v>45929</v>
      </c>
      <c r="D520" t="inlineStr">
        <is>
          <t>KALMAR LÄN</t>
        </is>
      </c>
      <c r="E520" t="inlineStr">
        <is>
          <t>VÄSTERVIK</t>
        </is>
      </c>
      <c r="G520" t="n">
        <v>4.3</v>
      </c>
      <c r="H520" t="n">
        <v>0</v>
      </c>
      <c r="I520" t="n">
        <v>0</v>
      </c>
      <c r="J520" t="n">
        <v>0</v>
      </c>
      <c r="K520" t="n">
        <v>0</v>
      </c>
      <c r="L520" t="n">
        <v>0</v>
      </c>
      <c r="M520" t="n">
        <v>0</v>
      </c>
      <c r="N520" t="n">
        <v>0</v>
      </c>
      <c r="O520" t="n">
        <v>0</v>
      </c>
      <c r="P520" t="n">
        <v>0</v>
      </c>
      <c r="Q520" t="n">
        <v>0</v>
      </c>
      <c r="R520" s="2" t="inlineStr"/>
    </row>
    <row r="521" ht="15" customHeight="1">
      <c r="A521" t="inlineStr">
        <is>
          <t>A 34655-2023</t>
        </is>
      </c>
      <c r="B521" s="1" t="n">
        <v>45140</v>
      </c>
      <c r="C521" s="1" t="n">
        <v>45929</v>
      </c>
      <c r="D521" t="inlineStr">
        <is>
          <t>KALMAR LÄN</t>
        </is>
      </c>
      <c r="E521" t="inlineStr">
        <is>
          <t>VÄSTERVIK</t>
        </is>
      </c>
      <c r="G521" t="n">
        <v>3.6</v>
      </c>
      <c r="H521" t="n">
        <v>0</v>
      </c>
      <c r="I521" t="n">
        <v>0</v>
      </c>
      <c r="J521" t="n">
        <v>0</v>
      </c>
      <c r="K521" t="n">
        <v>0</v>
      </c>
      <c r="L521" t="n">
        <v>0</v>
      </c>
      <c r="M521" t="n">
        <v>0</v>
      </c>
      <c r="N521" t="n">
        <v>0</v>
      </c>
      <c r="O521" t="n">
        <v>0</v>
      </c>
      <c r="P521" t="n">
        <v>0</v>
      </c>
      <c r="Q521" t="n">
        <v>0</v>
      </c>
      <c r="R521" s="2" t="inlineStr"/>
    </row>
    <row r="522" ht="15" customHeight="1">
      <c r="A522" t="inlineStr">
        <is>
          <t>A 10419-2023</t>
        </is>
      </c>
      <c r="B522" s="1" t="n">
        <v>44987</v>
      </c>
      <c r="C522" s="1" t="n">
        <v>45929</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10406-2022</t>
        </is>
      </c>
      <c r="B523" s="1" t="n">
        <v>44623</v>
      </c>
      <c r="C523" s="1" t="n">
        <v>45929</v>
      </c>
      <c r="D523" t="inlineStr">
        <is>
          <t>KALMAR LÄN</t>
        </is>
      </c>
      <c r="E523" t="inlineStr">
        <is>
          <t>VÄSTERVIK</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61649-2022</t>
        </is>
      </c>
      <c r="B524" s="1" t="n">
        <v>44916.90010416666</v>
      </c>
      <c r="C524" s="1" t="n">
        <v>45929</v>
      </c>
      <c r="D524" t="inlineStr">
        <is>
          <t>KALMAR LÄN</t>
        </is>
      </c>
      <c r="E524" t="inlineStr">
        <is>
          <t>VÄSTERVIK</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55047-2024</t>
        </is>
      </c>
      <c r="B525" s="1" t="n">
        <v>45621.39516203704</v>
      </c>
      <c r="C525" s="1" t="n">
        <v>45929</v>
      </c>
      <c r="D525" t="inlineStr">
        <is>
          <t>KALMAR LÄN</t>
        </is>
      </c>
      <c r="E525" t="inlineStr">
        <is>
          <t>VÄSTERVIK</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6616-2021</t>
        </is>
      </c>
      <c r="B526" s="1" t="n">
        <v>44236</v>
      </c>
      <c r="C526" s="1" t="n">
        <v>45929</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35162-2024</t>
        </is>
      </c>
      <c r="B527" s="1" t="n">
        <v>45530.40025462963</v>
      </c>
      <c r="C527" s="1" t="n">
        <v>45929</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5769-2023</t>
        </is>
      </c>
      <c r="B528" s="1" t="n">
        <v>44963.37194444444</v>
      </c>
      <c r="C528" s="1" t="n">
        <v>45929</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14151-2021</t>
        </is>
      </c>
      <c r="B529" s="1" t="n">
        <v>44278.41052083333</v>
      </c>
      <c r="C529" s="1" t="n">
        <v>45929</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32647-2023</t>
        </is>
      </c>
      <c r="B530" s="1" t="n">
        <v>45121</v>
      </c>
      <c r="C530" s="1" t="n">
        <v>45929</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1785-2025</t>
        </is>
      </c>
      <c r="B531" s="1" t="n">
        <v>45671.45061342593</v>
      </c>
      <c r="C531" s="1" t="n">
        <v>45929</v>
      </c>
      <c r="D531" t="inlineStr">
        <is>
          <t>KALMAR LÄN</t>
        </is>
      </c>
      <c r="E531" t="inlineStr">
        <is>
          <t>VÄSTERVIK</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59695-2023</t>
        </is>
      </c>
      <c r="B532" s="1" t="n">
        <v>45256.85107638889</v>
      </c>
      <c r="C532" s="1" t="n">
        <v>45929</v>
      </c>
      <c r="D532" t="inlineStr">
        <is>
          <t>KALMAR LÄN</t>
        </is>
      </c>
      <c r="E532" t="inlineStr">
        <is>
          <t>VÄSTERVIK</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52645-2021</t>
        </is>
      </c>
      <c r="B533" s="1" t="n">
        <v>44466</v>
      </c>
      <c r="C533" s="1" t="n">
        <v>45929</v>
      </c>
      <c r="D533" t="inlineStr">
        <is>
          <t>KALMAR LÄN</t>
        </is>
      </c>
      <c r="E533" t="inlineStr">
        <is>
          <t>VÄSTERVIK</t>
        </is>
      </c>
      <c r="G533" t="n">
        <v>5</v>
      </c>
      <c r="H533" t="n">
        <v>0</v>
      </c>
      <c r="I533" t="n">
        <v>0</v>
      </c>
      <c r="J533" t="n">
        <v>0</v>
      </c>
      <c r="K533" t="n">
        <v>0</v>
      </c>
      <c r="L533" t="n">
        <v>0</v>
      </c>
      <c r="M533" t="n">
        <v>0</v>
      </c>
      <c r="N533" t="n">
        <v>0</v>
      </c>
      <c r="O533" t="n">
        <v>0</v>
      </c>
      <c r="P533" t="n">
        <v>0</v>
      </c>
      <c r="Q533" t="n">
        <v>0</v>
      </c>
      <c r="R533" s="2" t="inlineStr"/>
    </row>
    <row r="534" ht="15" customHeight="1">
      <c r="A534" t="inlineStr">
        <is>
          <t>A 1568-2023</t>
        </is>
      </c>
      <c r="B534" s="1" t="n">
        <v>44937</v>
      </c>
      <c r="C534" s="1" t="n">
        <v>45929</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45721-2022</t>
        </is>
      </c>
      <c r="B535" s="1" t="n">
        <v>44845</v>
      </c>
      <c r="C535" s="1" t="n">
        <v>45929</v>
      </c>
      <c r="D535" t="inlineStr">
        <is>
          <t>KALMAR LÄN</t>
        </is>
      </c>
      <c r="E535" t="inlineStr">
        <is>
          <t>VÄSTERVIK</t>
        </is>
      </c>
      <c r="F535" t="inlineStr">
        <is>
          <t>Holmen skog AB</t>
        </is>
      </c>
      <c r="G535" t="n">
        <v>3.3</v>
      </c>
      <c r="H535" t="n">
        <v>0</v>
      </c>
      <c r="I535" t="n">
        <v>0</v>
      </c>
      <c r="J535" t="n">
        <v>0</v>
      </c>
      <c r="K535" t="n">
        <v>0</v>
      </c>
      <c r="L535" t="n">
        <v>0</v>
      </c>
      <c r="M535" t="n">
        <v>0</v>
      </c>
      <c r="N535" t="n">
        <v>0</v>
      </c>
      <c r="O535" t="n">
        <v>0</v>
      </c>
      <c r="P535" t="n">
        <v>0</v>
      </c>
      <c r="Q535" t="n">
        <v>0</v>
      </c>
      <c r="R535" s="2" t="inlineStr"/>
      <c r="U535">
        <f>HYPERLINK("https://klasma.github.io/Logging_0883/knärot/A 45721-2022 karta knärot.png", "A 45721-2022")</f>
        <v/>
      </c>
      <c r="V535">
        <f>HYPERLINK("https://klasma.github.io/Logging_0883/klagomål/A 45721-2022 FSC-klagomål.docx", "A 45721-2022")</f>
        <v/>
      </c>
      <c r="W535">
        <f>HYPERLINK("https://klasma.github.io/Logging_0883/klagomålsmail/A 45721-2022 FSC-klagomål mail.docx", "A 45721-2022")</f>
        <v/>
      </c>
      <c r="X535">
        <f>HYPERLINK("https://klasma.github.io/Logging_0883/tillsyn/A 45721-2022 tillsynsbegäran.docx", "A 45721-2022")</f>
        <v/>
      </c>
      <c r="Y535">
        <f>HYPERLINK("https://klasma.github.io/Logging_0883/tillsynsmail/A 45721-2022 tillsynsbegäran mail.docx", "A 45721-2022")</f>
        <v/>
      </c>
    </row>
    <row r="536" ht="15" customHeight="1">
      <c r="A536" t="inlineStr">
        <is>
          <t>A 43651-2025</t>
        </is>
      </c>
      <c r="B536" s="1" t="n">
        <v>45912.32259259259</v>
      </c>
      <c r="C536" s="1" t="n">
        <v>45929</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7090-2024</t>
        </is>
      </c>
      <c r="B537" s="1" t="n">
        <v>45343.80621527778</v>
      </c>
      <c r="C537" s="1" t="n">
        <v>45929</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24584-2024</t>
        </is>
      </c>
      <c r="B538" s="1" t="n">
        <v>45460</v>
      </c>
      <c r="C538" s="1" t="n">
        <v>45929</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2738-2023</t>
        </is>
      </c>
      <c r="B539" s="1" t="n">
        <v>44944</v>
      </c>
      <c r="C539" s="1" t="n">
        <v>45929</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57178-2024</t>
        </is>
      </c>
      <c r="B540" s="1" t="n">
        <v>45629.43973379629</v>
      </c>
      <c r="C540" s="1" t="n">
        <v>45929</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170-2022</t>
        </is>
      </c>
      <c r="B541" s="1" t="n">
        <v>44564.62540509259</v>
      </c>
      <c r="C541" s="1" t="n">
        <v>45929</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174-2022</t>
        </is>
      </c>
      <c r="B542" s="1" t="n">
        <v>44564.62763888889</v>
      </c>
      <c r="C542" s="1" t="n">
        <v>45929</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32764-2022</t>
        </is>
      </c>
      <c r="B543" s="1" t="n">
        <v>44783</v>
      </c>
      <c r="C543" s="1" t="n">
        <v>45929</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47945-2023</t>
        </is>
      </c>
      <c r="B544" s="1" t="n">
        <v>45204.5684837963</v>
      </c>
      <c r="C544" s="1" t="n">
        <v>45929</v>
      </c>
      <c r="D544" t="inlineStr">
        <is>
          <t>KALMAR LÄN</t>
        </is>
      </c>
      <c r="E544" t="inlineStr">
        <is>
          <t>VÄSTERVIK</t>
        </is>
      </c>
      <c r="G544" t="n">
        <v>2</v>
      </c>
      <c r="H544" t="n">
        <v>0</v>
      </c>
      <c r="I544" t="n">
        <v>0</v>
      </c>
      <c r="J544" t="n">
        <v>0</v>
      </c>
      <c r="K544" t="n">
        <v>0</v>
      </c>
      <c r="L544" t="n">
        <v>0</v>
      </c>
      <c r="M544" t="n">
        <v>0</v>
      </c>
      <c r="N544" t="n">
        <v>0</v>
      </c>
      <c r="O544" t="n">
        <v>0</v>
      </c>
      <c r="P544" t="n">
        <v>0</v>
      </c>
      <c r="Q544" t="n">
        <v>0</v>
      </c>
      <c r="R544" s="2" t="inlineStr"/>
    </row>
    <row r="545" ht="15" customHeight="1">
      <c r="A545" t="inlineStr">
        <is>
          <t>A 4624-2023</t>
        </is>
      </c>
      <c r="B545" s="1" t="n">
        <v>44956</v>
      </c>
      <c r="C545" s="1" t="n">
        <v>45929</v>
      </c>
      <c r="D545" t="inlineStr">
        <is>
          <t>KALMAR LÄN</t>
        </is>
      </c>
      <c r="E545" t="inlineStr">
        <is>
          <t>VÄSTERVIK</t>
        </is>
      </c>
      <c r="F545" t="inlineStr">
        <is>
          <t>Holmen skog AB</t>
        </is>
      </c>
      <c r="G545" t="n">
        <v>7.1</v>
      </c>
      <c r="H545" t="n">
        <v>0</v>
      </c>
      <c r="I545" t="n">
        <v>0</v>
      </c>
      <c r="J545" t="n">
        <v>0</v>
      </c>
      <c r="K545" t="n">
        <v>0</v>
      </c>
      <c r="L545" t="n">
        <v>0</v>
      </c>
      <c r="M545" t="n">
        <v>0</v>
      </c>
      <c r="N545" t="n">
        <v>0</v>
      </c>
      <c r="O545" t="n">
        <v>0</v>
      </c>
      <c r="P545" t="n">
        <v>0</v>
      </c>
      <c r="Q545" t="n">
        <v>0</v>
      </c>
      <c r="R545" s="2" t="inlineStr"/>
    </row>
    <row r="546" ht="15" customHeight="1">
      <c r="A546" t="inlineStr">
        <is>
          <t>A 58731-2024</t>
        </is>
      </c>
      <c r="B546" s="1" t="n">
        <v>45635.67120370371</v>
      </c>
      <c r="C546" s="1" t="n">
        <v>45929</v>
      </c>
      <c r="D546" t="inlineStr">
        <is>
          <t>KALMAR LÄN</t>
        </is>
      </c>
      <c r="E546" t="inlineStr">
        <is>
          <t>VÄSTERVIK</t>
        </is>
      </c>
      <c r="G546" t="n">
        <v>2.3</v>
      </c>
      <c r="H546" t="n">
        <v>0</v>
      </c>
      <c r="I546" t="n">
        <v>0</v>
      </c>
      <c r="J546" t="n">
        <v>0</v>
      </c>
      <c r="K546" t="n">
        <v>0</v>
      </c>
      <c r="L546" t="n">
        <v>0</v>
      </c>
      <c r="M546" t="n">
        <v>0</v>
      </c>
      <c r="N546" t="n">
        <v>0</v>
      </c>
      <c r="O546" t="n">
        <v>0</v>
      </c>
      <c r="P546" t="n">
        <v>0</v>
      </c>
      <c r="Q546" t="n">
        <v>0</v>
      </c>
      <c r="R546" s="2" t="inlineStr"/>
    </row>
    <row r="547" ht="15" customHeight="1">
      <c r="A547" t="inlineStr">
        <is>
          <t>A 4463-2022</t>
        </is>
      </c>
      <c r="B547" s="1" t="n">
        <v>44589</v>
      </c>
      <c r="C547" s="1" t="n">
        <v>45929</v>
      </c>
      <c r="D547" t="inlineStr">
        <is>
          <t>KALMAR LÄN</t>
        </is>
      </c>
      <c r="E547" t="inlineStr">
        <is>
          <t>VÄSTERVIK</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9549-2024</t>
        </is>
      </c>
      <c r="B548" s="1" t="n">
        <v>45359.87989583334</v>
      </c>
      <c r="C548" s="1" t="n">
        <v>45929</v>
      </c>
      <c r="D548" t="inlineStr">
        <is>
          <t>KALMAR LÄN</t>
        </is>
      </c>
      <c r="E548" t="inlineStr">
        <is>
          <t>VÄSTERVIK</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5510-2021</t>
        </is>
      </c>
      <c r="B549" s="1" t="n">
        <v>44230</v>
      </c>
      <c r="C549" s="1" t="n">
        <v>45929</v>
      </c>
      <c r="D549" t="inlineStr">
        <is>
          <t>KALMAR LÄN</t>
        </is>
      </c>
      <c r="E549" t="inlineStr">
        <is>
          <t>VÄSTERVIK</t>
        </is>
      </c>
      <c r="G549" t="n">
        <v>3.2</v>
      </c>
      <c r="H549" t="n">
        <v>0</v>
      </c>
      <c r="I549" t="n">
        <v>0</v>
      </c>
      <c r="J549" t="n">
        <v>0</v>
      </c>
      <c r="K549" t="n">
        <v>0</v>
      </c>
      <c r="L549" t="n">
        <v>0</v>
      </c>
      <c r="M549" t="n">
        <v>0</v>
      </c>
      <c r="N549" t="n">
        <v>0</v>
      </c>
      <c r="O549" t="n">
        <v>0</v>
      </c>
      <c r="P549" t="n">
        <v>0</v>
      </c>
      <c r="Q549" t="n">
        <v>0</v>
      </c>
      <c r="R549" s="2" t="inlineStr"/>
    </row>
    <row r="550" ht="15" customHeight="1">
      <c r="A550" t="inlineStr">
        <is>
          <t>A 3185-2023</t>
        </is>
      </c>
      <c r="B550" s="1" t="n">
        <v>44946.60753472222</v>
      </c>
      <c r="C550" s="1" t="n">
        <v>45929</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20483-2025</t>
        </is>
      </c>
      <c r="B551" s="1" t="n">
        <v>45775.55954861111</v>
      </c>
      <c r="C551" s="1" t="n">
        <v>45929</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36754-2025</t>
        </is>
      </c>
      <c r="B552" s="1" t="n">
        <v>45873.5591087963</v>
      </c>
      <c r="C552" s="1" t="n">
        <v>45929</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59221-2022</t>
        </is>
      </c>
      <c r="B553" s="1" t="n">
        <v>44904.53858796296</v>
      </c>
      <c r="C553" s="1" t="n">
        <v>45929</v>
      </c>
      <c r="D553" t="inlineStr">
        <is>
          <t>KALMAR LÄN</t>
        </is>
      </c>
      <c r="E553" t="inlineStr">
        <is>
          <t>VÄSTERVIK</t>
        </is>
      </c>
      <c r="G553" t="n">
        <v>6.1</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45929</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36757-2025</t>
        </is>
      </c>
      <c r="B555" s="1" t="n">
        <v>45873.56483796296</v>
      </c>
      <c r="C555" s="1" t="n">
        <v>45929</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14068-2025</t>
        </is>
      </c>
      <c r="B556" s="1" t="n">
        <v>45740.42127314815</v>
      </c>
      <c r="C556" s="1" t="n">
        <v>45929</v>
      </c>
      <c r="D556" t="inlineStr">
        <is>
          <t>KALMAR LÄN</t>
        </is>
      </c>
      <c r="E556" t="inlineStr">
        <is>
          <t>VÄSTERVIK</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14071-2025</t>
        </is>
      </c>
      <c r="B557" s="1" t="n">
        <v>45740.42738425926</v>
      </c>
      <c r="C557" s="1" t="n">
        <v>45929</v>
      </c>
      <c r="D557" t="inlineStr">
        <is>
          <t>KALMAR LÄN</t>
        </is>
      </c>
      <c r="E557" t="inlineStr">
        <is>
          <t>VÄSTERVIK</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46561-2022</t>
        </is>
      </c>
      <c r="B558" s="1" t="n">
        <v>44848</v>
      </c>
      <c r="C558" s="1" t="n">
        <v>45929</v>
      </c>
      <c r="D558" t="inlineStr">
        <is>
          <t>KALMAR LÄN</t>
        </is>
      </c>
      <c r="E558" t="inlineStr">
        <is>
          <t>VÄSTERVIK</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24578-2024</t>
        </is>
      </c>
      <c r="B559" s="1" t="n">
        <v>45460</v>
      </c>
      <c r="C559" s="1" t="n">
        <v>45929</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18884-2025</t>
        </is>
      </c>
      <c r="B560" s="1" t="n">
        <v>45764.4417824074</v>
      </c>
      <c r="C560" s="1" t="n">
        <v>45929</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2098-2023</t>
        </is>
      </c>
      <c r="B561" s="1" t="n">
        <v>44939</v>
      </c>
      <c r="C561" s="1" t="n">
        <v>45929</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36400-2024</t>
        </is>
      </c>
      <c r="B562" s="1" t="n">
        <v>45535.67180555555</v>
      </c>
      <c r="C562" s="1" t="n">
        <v>45929</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3776-2024</t>
        </is>
      </c>
      <c r="B563" s="1" t="n">
        <v>45321.58569444445</v>
      </c>
      <c r="C563" s="1" t="n">
        <v>45929</v>
      </c>
      <c r="D563" t="inlineStr">
        <is>
          <t>KALMAR LÄN</t>
        </is>
      </c>
      <c r="E563" t="inlineStr">
        <is>
          <t>VÄSTERVIK</t>
        </is>
      </c>
      <c r="G563" t="n">
        <v>4.8</v>
      </c>
      <c r="H563" t="n">
        <v>0</v>
      </c>
      <c r="I563" t="n">
        <v>0</v>
      </c>
      <c r="J563" t="n">
        <v>0</v>
      </c>
      <c r="K563" t="n">
        <v>0</v>
      </c>
      <c r="L563" t="n">
        <v>0</v>
      </c>
      <c r="M563" t="n">
        <v>0</v>
      </c>
      <c r="N563" t="n">
        <v>0</v>
      </c>
      <c r="O563" t="n">
        <v>0</v>
      </c>
      <c r="P563" t="n">
        <v>0</v>
      </c>
      <c r="Q563" t="n">
        <v>0</v>
      </c>
      <c r="R563" s="2" t="inlineStr"/>
    </row>
    <row r="564" ht="15" customHeight="1">
      <c r="A564" t="inlineStr">
        <is>
          <t>A 58927-2022</t>
        </is>
      </c>
      <c r="B564" s="1" t="n">
        <v>44896</v>
      </c>
      <c r="C564" s="1" t="n">
        <v>45929</v>
      </c>
      <c r="D564" t="inlineStr">
        <is>
          <t>KALMAR LÄN</t>
        </is>
      </c>
      <c r="E564" t="inlineStr">
        <is>
          <t>VÄSTERVIK</t>
        </is>
      </c>
      <c r="G564" t="n">
        <v>2.5</v>
      </c>
      <c r="H564" t="n">
        <v>0</v>
      </c>
      <c r="I564" t="n">
        <v>0</v>
      </c>
      <c r="J564" t="n">
        <v>0</v>
      </c>
      <c r="K564" t="n">
        <v>0</v>
      </c>
      <c r="L564" t="n">
        <v>0</v>
      </c>
      <c r="M564" t="n">
        <v>0</v>
      </c>
      <c r="N564" t="n">
        <v>0</v>
      </c>
      <c r="O564" t="n">
        <v>0</v>
      </c>
      <c r="P564" t="n">
        <v>0</v>
      </c>
      <c r="Q564" t="n">
        <v>0</v>
      </c>
      <c r="R564" s="2" t="inlineStr"/>
    </row>
    <row r="565" ht="15" customHeight="1">
      <c r="A565" t="inlineStr">
        <is>
          <t>A 63606-2023</t>
        </is>
      </c>
      <c r="B565" s="1" t="n">
        <v>45275</v>
      </c>
      <c r="C565" s="1" t="n">
        <v>45929</v>
      </c>
      <c r="D565" t="inlineStr">
        <is>
          <t>KALMAR LÄN</t>
        </is>
      </c>
      <c r="E565" t="inlineStr">
        <is>
          <t>VÄSTERVIK</t>
        </is>
      </c>
      <c r="G565" t="n">
        <v>2.9</v>
      </c>
      <c r="H565" t="n">
        <v>0</v>
      </c>
      <c r="I565" t="n">
        <v>0</v>
      </c>
      <c r="J565" t="n">
        <v>0</v>
      </c>
      <c r="K565" t="n">
        <v>0</v>
      </c>
      <c r="L565" t="n">
        <v>0</v>
      </c>
      <c r="M565" t="n">
        <v>0</v>
      </c>
      <c r="N565" t="n">
        <v>0</v>
      </c>
      <c r="O565" t="n">
        <v>0</v>
      </c>
      <c r="P565" t="n">
        <v>0</v>
      </c>
      <c r="Q565" t="n">
        <v>0</v>
      </c>
      <c r="R565" s="2" t="inlineStr"/>
    </row>
    <row r="566" ht="15" customHeight="1">
      <c r="A566" t="inlineStr">
        <is>
          <t>A 55042-2024</t>
        </is>
      </c>
      <c r="B566" s="1" t="n">
        <v>45621.39081018518</v>
      </c>
      <c r="C566" s="1" t="n">
        <v>45929</v>
      </c>
      <c r="D566" t="inlineStr">
        <is>
          <t>KALMAR LÄN</t>
        </is>
      </c>
      <c r="E566" t="inlineStr">
        <is>
          <t>VÄSTERVIK</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51883-2021</t>
        </is>
      </c>
      <c r="B567" s="1" t="n">
        <v>44462.80449074074</v>
      </c>
      <c r="C567" s="1" t="n">
        <v>45929</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51884-2021</t>
        </is>
      </c>
      <c r="B568" s="1" t="n">
        <v>44462.806875</v>
      </c>
      <c r="C568" s="1" t="n">
        <v>45929</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61728-2023</t>
        </is>
      </c>
      <c r="B569" s="1" t="n">
        <v>45265</v>
      </c>
      <c r="C569" s="1" t="n">
        <v>45929</v>
      </c>
      <c r="D569" t="inlineStr">
        <is>
          <t>KALMAR LÄN</t>
        </is>
      </c>
      <c r="E569" t="inlineStr">
        <is>
          <t>VÄSTERVIK</t>
        </is>
      </c>
      <c r="G569" t="n">
        <v>1.9</v>
      </c>
      <c r="H569" t="n">
        <v>0</v>
      </c>
      <c r="I569" t="n">
        <v>0</v>
      </c>
      <c r="J569" t="n">
        <v>0</v>
      </c>
      <c r="K569" t="n">
        <v>0</v>
      </c>
      <c r="L569" t="n">
        <v>0</v>
      </c>
      <c r="M569" t="n">
        <v>0</v>
      </c>
      <c r="N569" t="n">
        <v>0</v>
      </c>
      <c r="O569" t="n">
        <v>0</v>
      </c>
      <c r="P569" t="n">
        <v>0</v>
      </c>
      <c r="Q569" t="n">
        <v>0</v>
      </c>
      <c r="R569" s="2" t="inlineStr"/>
    </row>
    <row r="570" ht="15" customHeight="1">
      <c r="A570" t="inlineStr">
        <is>
          <t>A 35655-2023</t>
        </is>
      </c>
      <c r="B570" s="1" t="n">
        <v>45147.59408564815</v>
      </c>
      <c r="C570" s="1" t="n">
        <v>45929</v>
      </c>
      <c r="D570" t="inlineStr">
        <is>
          <t>KALMAR LÄN</t>
        </is>
      </c>
      <c r="E570" t="inlineStr">
        <is>
          <t>VÄSTERVIK</t>
        </is>
      </c>
      <c r="G570" t="n">
        <v>3.3</v>
      </c>
      <c r="H570" t="n">
        <v>0</v>
      </c>
      <c r="I570" t="n">
        <v>0</v>
      </c>
      <c r="J570" t="n">
        <v>0</v>
      </c>
      <c r="K570" t="n">
        <v>0</v>
      </c>
      <c r="L570" t="n">
        <v>0</v>
      </c>
      <c r="M570" t="n">
        <v>0</v>
      </c>
      <c r="N570" t="n">
        <v>0</v>
      </c>
      <c r="O570" t="n">
        <v>0</v>
      </c>
      <c r="P570" t="n">
        <v>0</v>
      </c>
      <c r="Q570" t="n">
        <v>0</v>
      </c>
      <c r="R570" s="2" t="inlineStr"/>
    </row>
    <row r="571" ht="15" customHeight="1">
      <c r="A571" t="inlineStr">
        <is>
          <t>A 60710-2022</t>
        </is>
      </c>
      <c r="B571" s="1" t="n">
        <v>44912</v>
      </c>
      <c r="C571" s="1" t="n">
        <v>45929</v>
      </c>
      <c r="D571" t="inlineStr">
        <is>
          <t>KALMAR LÄN</t>
        </is>
      </c>
      <c r="E571" t="inlineStr">
        <is>
          <t>VÄSTERVIK</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60713-2022</t>
        </is>
      </c>
      <c r="B572" s="1" t="n">
        <v>44912</v>
      </c>
      <c r="C572" s="1" t="n">
        <v>45929</v>
      </c>
      <c r="D572" t="inlineStr">
        <is>
          <t>KALMAR LÄN</t>
        </is>
      </c>
      <c r="E572" t="inlineStr">
        <is>
          <t>VÄSTERVIK</t>
        </is>
      </c>
      <c r="F572" t="inlineStr">
        <is>
          <t>Övriga Aktiebolag</t>
        </is>
      </c>
      <c r="G572" t="n">
        <v>2.6</v>
      </c>
      <c r="H572" t="n">
        <v>0</v>
      </c>
      <c r="I572" t="n">
        <v>0</v>
      </c>
      <c r="J572" t="n">
        <v>0</v>
      </c>
      <c r="K572" t="n">
        <v>0</v>
      </c>
      <c r="L572" t="n">
        <v>0</v>
      </c>
      <c r="M572" t="n">
        <v>0</v>
      </c>
      <c r="N572" t="n">
        <v>0</v>
      </c>
      <c r="O572" t="n">
        <v>0</v>
      </c>
      <c r="P572" t="n">
        <v>0</v>
      </c>
      <c r="Q572" t="n">
        <v>0</v>
      </c>
      <c r="R572" s="2" t="inlineStr"/>
    </row>
    <row r="573" ht="15" customHeight="1">
      <c r="A573" t="inlineStr">
        <is>
          <t>A 44981-2025</t>
        </is>
      </c>
      <c r="B573" s="1" t="n">
        <v>45918.64869212963</v>
      </c>
      <c r="C573" s="1" t="n">
        <v>45929</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44848-2025</t>
        </is>
      </c>
      <c r="B574" s="1" t="n">
        <v>45918.44344907408</v>
      </c>
      <c r="C574" s="1" t="n">
        <v>45929</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45929</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2357-2025</t>
        </is>
      </c>
      <c r="B576" s="1" t="n">
        <v>45673.68859953704</v>
      </c>
      <c r="C576" s="1" t="n">
        <v>45929</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18081-2023</t>
        </is>
      </c>
      <c r="B577" s="1" t="n">
        <v>45040</v>
      </c>
      <c r="C577" s="1" t="n">
        <v>45929</v>
      </c>
      <c r="D577" t="inlineStr">
        <is>
          <t>KALMAR LÄN</t>
        </is>
      </c>
      <c r="E577" t="inlineStr">
        <is>
          <t>VÄSTERVIK</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28895-2023</t>
        </is>
      </c>
      <c r="B578" s="1" t="n">
        <v>45104</v>
      </c>
      <c r="C578" s="1" t="n">
        <v>45929</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56440-2024</t>
        </is>
      </c>
      <c r="B579" s="1" t="n">
        <v>45625.41949074074</v>
      </c>
      <c r="C579" s="1" t="n">
        <v>45929</v>
      </c>
      <c r="D579" t="inlineStr">
        <is>
          <t>KALMAR LÄN</t>
        </is>
      </c>
      <c r="E579" t="inlineStr">
        <is>
          <t>VÄSTERVIK</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58090-2021</t>
        </is>
      </c>
      <c r="B580" s="1" t="n">
        <v>44487.50277777778</v>
      </c>
      <c r="C580" s="1" t="n">
        <v>45929</v>
      </c>
      <c r="D580" t="inlineStr">
        <is>
          <t>KALMAR LÄN</t>
        </is>
      </c>
      <c r="E580" t="inlineStr">
        <is>
          <t>VÄSTERVIK</t>
        </is>
      </c>
      <c r="G580" t="n">
        <v>2.9</v>
      </c>
      <c r="H580" t="n">
        <v>0</v>
      </c>
      <c r="I580" t="n">
        <v>0</v>
      </c>
      <c r="J580" t="n">
        <v>0</v>
      </c>
      <c r="K580" t="n">
        <v>0</v>
      </c>
      <c r="L580" t="n">
        <v>0</v>
      </c>
      <c r="M580" t="n">
        <v>0</v>
      </c>
      <c r="N580" t="n">
        <v>0</v>
      </c>
      <c r="O580" t="n">
        <v>0</v>
      </c>
      <c r="P580" t="n">
        <v>0</v>
      </c>
      <c r="Q580" t="n">
        <v>0</v>
      </c>
      <c r="R580" s="2" t="inlineStr"/>
    </row>
    <row r="581" ht="15" customHeight="1">
      <c r="A581" t="inlineStr">
        <is>
          <t>A 12386-2025</t>
        </is>
      </c>
      <c r="B581" s="1" t="n">
        <v>45730</v>
      </c>
      <c r="C581" s="1" t="n">
        <v>45929</v>
      </c>
      <c r="D581" t="inlineStr">
        <is>
          <t>KALMAR LÄN</t>
        </is>
      </c>
      <c r="E581" t="inlineStr">
        <is>
          <t>VÄSTERVIK</t>
        </is>
      </c>
      <c r="G581" t="n">
        <v>4.4</v>
      </c>
      <c r="H581" t="n">
        <v>0</v>
      </c>
      <c r="I581" t="n">
        <v>0</v>
      </c>
      <c r="J581" t="n">
        <v>0</v>
      </c>
      <c r="K581" t="n">
        <v>0</v>
      </c>
      <c r="L581" t="n">
        <v>0</v>
      </c>
      <c r="M581" t="n">
        <v>0</v>
      </c>
      <c r="N581" t="n">
        <v>0</v>
      </c>
      <c r="O581" t="n">
        <v>0</v>
      </c>
      <c r="P581" t="n">
        <v>0</v>
      </c>
      <c r="Q581" t="n">
        <v>0</v>
      </c>
      <c r="R581" s="2" t="inlineStr"/>
    </row>
    <row r="582" ht="15" customHeight="1">
      <c r="A582" t="inlineStr">
        <is>
          <t>A 31825-2022</t>
        </is>
      </c>
      <c r="B582" s="1" t="n">
        <v>44776.74908564815</v>
      </c>
      <c r="C582" s="1" t="n">
        <v>45929</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53266-2021</t>
        </is>
      </c>
      <c r="B583" s="1" t="n">
        <v>44468.48255787037</v>
      </c>
      <c r="C583" s="1" t="n">
        <v>45929</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44792-2025</t>
        </is>
      </c>
      <c r="B584" s="1" t="n">
        <v>45918.31287037037</v>
      </c>
      <c r="C584" s="1" t="n">
        <v>45929</v>
      </c>
      <c r="D584" t="inlineStr">
        <is>
          <t>KALMAR LÄN</t>
        </is>
      </c>
      <c r="E584" t="inlineStr">
        <is>
          <t>VÄSTERVIK</t>
        </is>
      </c>
      <c r="G584" t="n">
        <v>3.9</v>
      </c>
      <c r="H584" t="n">
        <v>0</v>
      </c>
      <c r="I584" t="n">
        <v>0</v>
      </c>
      <c r="J584" t="n">
        <v>0</v>
      </c>
      <c r="K584" t="n">
        <v>0</v>
      </c>
      <c r="L584" t="n">
        <v>0</v>
      </c>
      <c r="M584" t="n">
        <v>0</v>
      </c>
      <c r="N584" t="n">
        <v>0</v>
      </c>
      <c r="O584" t="n">
        <v>0</v>
      </c>
      <c r="P584" t="n">
        <v>0</v>
      </c>
      <c r="Q584" t="n">
        <v>0</v>
      </c>
      <c r="R584" s="2" t="inlineStr"/>
    </row>
    <row r="585" ht="15" customHeight="1">
      <c r="A585" t="inlineStr">
        <is>
          <t>A 50911-2022</t>
        </is>
      </c>
      <c r="B585" s="1" t="n">
        <v>44867.62262731481</v>
      </c>
      <c r="C585" s="1" t="n">
        <v>45929</v>
      </c>
      <c r="D585" t="inlineStr">
        <is>
          <t>KALMAR LÄN</t>
        </is>
      </c>
      <c r="E585" t="inlineStr">
        <is>
          <t>VÄSTERVIK</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57366-2023</t>
        </is>
      </c>
      <c r="B586" s="1" t="n">
        <v>45245</v>
      </c>
      <c r="C586" s="1" t="n">
        <v>45929</v>
      </c>
      <c r="D586" t="inlineStr">
        <is>
          <t>KALMAR LÄN</t>
        </is>
      </c>
      <c r="E586" t="inlineStr">
        <is>
          <t>VÄSTERVIK</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44849-2025</t>
        </is>
      </c>
      <c r="B587" s="1" t="n">
        <v>45918.44545138889</v>
      </c>
      <c r="C587" s="1" t="n">
        <v>45929</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44853-2025</t>
        </is>
      </c>
      <c r="B588" s="1" t="n">
        <v>45918.44818287037</v>
      </c>
      <c r="C588" s="1" t="n">
        <v>45929</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36906-2024</t>
        </is>
      </c>
      <c r="B589" s="1" t="n">
        <v>45538</v>
      </c>
      <c r="C589" s="1" t="n">
        <v>45929</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12595-2023</t>
        </is>
      </c>
      <c r="B590" s="1" t="n">
        <v>45000.43240740741</v>
      </c>
      <c r="C590" s="1" t="n">
        <v>45929</v>
      </c>
      <c r="D590" t="inlineStr">
        <is>
          <t>KALMAR LÄN</t>
        </is>
      </c>
      <c r="E590" t="inlineStr">
        <is>
          <t>VÄSTERVIK</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23411-2022</t>
        </is>
      </c>
      <c r="B591" s="1" t="n">
        <v>44720.70361111111</v>
      </c>
      <c r="C591" s="1" t="n">
        <v>45929</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6042-2023</t>
        </is>
      </c>
      <c r="B592" s="1" t="n">
        <v>44964</v>
      </c>
      <c r="C592" s="1" t="n">
        <v>45929</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15765-2023</t>
        </is>
      </c>
      <c r="B593" s="1" t="n">
        <v>45021</v>
      </c>
      <c r="C593" s="1" t="n">
        <v>45929</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14055-2025</t>
        </is>
      </c>
      <c r="B594" s="1" t="n">
        <v>45740.39541666667</v>
      </c>
      <c r="C594" s="1" t="n">
        <v>45929</v>
      </c>
      <c r="D594" t="inlineStr">
        <is>
          <t>KALMAR LÄN</t>
        </is>
      </c>
      <c r="E594" t="inlineStr">
        <is>
          <t>VÄSTERVIK</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37774-2025</t>
        </is>
      </c>
      <c r="B595" s="1" t="n">
        <v>45880</v>
      </c>
      <c r="C595" s="1" t="n">
        <v>45929</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45929</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43828-2021</t>
        </is>
      </c>
      <c r="B597" s="1" t="n">
        <v>44433</v>
      </c>
      <c r="C597" s="1" t="n">
        <v>45929</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4508-2023</t>
        </is>
      </c>
      <c r="B598" s="1" t="n">
        <v>44956</v>
      </c>
      <c r="C598" s="1" t="n">
        <v>45929</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51645-2023</t>
        </is>
      </c>
      <c r="B599" s="1" t="n">
        <v>45222.55333333334</v>
      </c>
      <c r="C599" s="1" t="n">
        <v>45929</v>
      </c>
      <c r="D599" t="inlineStr">
        <is>
          <t>KALMAR LÄN</t>
        </is>
      </c>
      <c r="E599" t="inlineStr">
        <is>
          <t>VÄSTERVIK</t>
        </is>
      </c>
      <c r="G599" t="n">
        <v>3.7</v>
      </c>
      <c r="H599" t="n">
        <v>0</v>
      </c>
      <c r="I599" t="n">
        <v>0</v>
      </c>
      <c r="J599" t="n">
        <v>0</v>
      </c>
      <c r="K599" t="n">
        <v>0</v>
      </c>
      <c r="L599" t="n">
        <v>0</v>
      </c>
      <c r="M599" t="n">
        <v>0</v>
      </c>
      <c r="N599" t="n">
        <v>0</v>
      </c>
      <c r="O599" t="n">
        <v>0</v>
      </c>
      <c r="P599" t="n">
        <v>0</v>
      </c>
      <c r="Q599" t="n">
        <v>0</v>
      </c>
      <c r="R599" s="2" t="inlineStr"/>
    </row>
    <row r="600" ht="15" customHeight="1">
      <c r="A600" t="inlineStr">
        <is>
          <t>A 69702-2021</t>
        </is>
      </c>
      <c r="B600" s="1" t="n">
        <v>44532.48237268518</v>
      </c>
      <c r="C600" s="1" t="n">
        <v>45929</v>
      </c>
      <c r="D600" t="inlineStr">
        <is>
          <t>KALMAR LÄN</t>
        </is>
      </c>
      <c r="E600" t="inlineStr">
        <is>
          <t>VÄSTERVIK</t>
        </is>
      </c>
      <c r="G600" t="n">
        <v>4.4</v>
      </c>
      <c r="H600" t="n">
        <v>0</v>
      </c>
      <c r="I600" t="n">
        <v>0</v>
      </c>
      <c r="J600" t="n">
        <v>0</v>
      </c>
      <c r="K600" t="n">
        <v>0</v>
      </c>
      <c r="L600" t="n">
        <v>0</v>
      </c>
      <c r="M600" t="n">
        <v>0</v>
      </c>
      <c r="N600" t="n">
        <v>0</v>
      </c>
      <c r="O600" t="n">
        <v>0</v>
      </c>
      <c r="P600" t="n">
        <v>0</v>
      </c>
      <c r="Q600" t="n">
        <v>0</v>
      </c>
      <c r="R600" s="2" t="inlineStr"/>
    </row>
    <row r="601" ht="15" customHeight="1">
      <c r="A601" t="inlineStr">
        <is>
          <t>A 6126-2023</t>
        </is>
      </c>
      <c r="B601" s="1" t="n">
        <v>44964.61592592593</v>
      </c>
      <c r="C601" s="1" t="n">
        <v>45929</v>
      </c>
      <c r="D601" t="inlineStr">
        <is>
          <t>KALMAR LÄN</t>
        </is>
      </c>
      <c r="E601" t="inlineStr">
        <is>
          <t>VÄSTERVIK</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37523-2025</t>
        </is>
      </c>
      <c r="B602" s="1" t="n">
        <v>45877</v>
      </c>
      <c r="C602" s="1" t="n">
        <v>45929</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15099-2023</t>
        </is>
      </c>
      <c r="B603" s="1" t="n">
        <v>45016.39048611111</v>
      </c>
      <c r="C603" s="1" t="n">
        <v>45929</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37526-2025</t>
        </is>
      </c>
      <c r="B604" s="1" t="n">
        <v>45877</v>
      </c>
      <c r="C604" s="1" t="n">
        <v>45929</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71114-2021</t>
        </is>
      </c>
      <c r="B605" s="1" t="n">
        <v>44539.37123842593</v>
      </c>
      <c r="C605" s="1" t="n">
        <v>45929</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13838-2024</t>
        </is>
      </c>
      <c r="B606" s="1" t="n">
        <v>45391.44646990741</v>
      </c>
      <c r="C606" s="1" t="n">
        <v>45929</v>
      </c>
      <c r="D606" t="inlineStr">
        <is>
          <t>KALMAR LÄN</t>
        </is>
      </c>
      <c r="E606" t="inlineStr">
        <is>
          <t>VÄSTERVIK</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62921-2023</t>
        </is>
      </c>
      <c r="B607" s="1" t="n">
        <v>45272</v>
      </c>
      <c r="C607" s="1" t="n">
        <v>45929</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62422-2022</t>
        </is>
      </c>
      <c r="B608" s="1" t="n">
        <v>44924</v>
      </c>
      <c r="C608" s="1" t="n">
        <v>45929</v>
      </c>
      <c r="D608" t="inlineStr">
        <is>
          <t>KALMAR LÄN</t>
        </is>
      </c>
      <c r="E608" t="inlineStr">
        <is>
          <t>VÄSTERVIK</t>
        </is>
      </c>
      <c r="G608" t="n">
        <v>4.9</v>
      </c>
      <c r="H608" t="n">
        <v>0</v>
      </c>
      <c r="I608" t="n">
        <v>0</v>
      </c>
      <c r="J608" t="n">
        <v>0</v>
      </c>
      <c r="K608" t="n">
        <v>0</v>
      </c>
      <c r="L608" t="n">
        <v>0</v>
      </c>
      <c r="M608" t="n">
        <v>0</v>
      </c>
      <c r="N608" t="n">
        <v>0</v>
      </c>
      <c r="O608" t="n">
        <v>0</v>
      </c>
      <c r="P608" t="n">
        <v>0</v>
      </c>
      <c r="Q608" t="n">
        <v>0</v>
      </c>
      <c r="R608" s="2" t="inlineStr"/>
    </row>
    <row r="609" ht="15" customHeight="1">
      <c r="A609" t="inlineStr">
        <is>
          <t>A 2872-2025</t>
        </is>
      </c>
      <c r="B609" s="1" t="n">
        <v>45677.68357638889</v>
      </c>
      <c r="C609" s="1" t="n">
        <v>45929</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5982-2023</t>
        </is>
      </c>
      <c r="B610" s="1" t="n">
        <v>44964.35730324074</v>
      </c>
      <c r="C610" s="1" t="n">
        <v>45929</v>
      </c>
      <c r="D610" t="inlineStr">
        <is>
          <t>KALMAR LÄN</t>
        </is>
      </c>
      <c r="E610" t="inlineStr">
        <is>
          <t>VÄSTERVIK</t>
        </is>
      </c>
      <c r="G610" t="n">
        <v>2.8</v>
      </c>
      <c r="H610" t="n">
        <v>0</v>
      </c>
      <c r="I610" t="n">
        <v>0</v>
      </c>
      <c r="J610" t="n">
        <v>0</v>
      </c>
      <c r="K610" t="n">
        <v>0</v>
      </c>
      <c r="L610" t="n">
        <v>0</v>
      </c>
      <c r="M610" t="n">
        <v>0</v>
      </c>
      <c r="N610" t="n">
        <v>0</v>
      </c>
      <c r="O610" t="n">
        <v>0</v>
      </c>
      <c r="P610" t="n">
        <v>0</v>
      </c>
      <c r="Q610" t="n">
        <v>0</v>
      </c>
      <c r="R610" s="2" t="inlineStr"/>
    </row>
    <row r="611" ht="15" customHeight="1">
      <c r="A611" t="inlineStr">
        <is>
          <t>A 60147-2024</t>
        </is>
      </c>
      <c r="B611" s="1" t="n">
        <v>45642.61109953704</v>
      </c>
      <c r="C611" s="1" t="n">
        <v>45929</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16617-2023</t>
        </is>
      </c>
      <c r="B612" s="1" t="n">
        <v>45030</v>
      </c>
      <c r="C612" s="1" t="n">
        <v>45929</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46161-2025</t>
        </is>
      </c>
      <c r="B613" s="1" t="n">
        <v>45924.63733796297</v>
      </c>
      <c r="C613" s="1" t="n">
        <v>45929</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10020-2021</t>
        </is>
      </c>
      <c r="B614" s="1" t="n">
        <v>44256</v>
      </c>
      <c r="C614" s="1" t="n">
        <v>45929</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7163-2025</t>
        </is>
      </c>
      <c r="B615" s="1" t="n">
        <v>45702.3918287037</v>
      </c>
      <c r="C615" s="1" t="n">
        <v>45929</v>
      </c>
      <c r="D615" t="inlineStr">
        <is>
          <t>KALMAR LÄN</t>
        </is>
      </c>
      <c r="E615" t="inlineStr">
        <is>
          <t>VÄSTERVIK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35417-2022</t>
        </is>
      </c>
      <c r="B616" s="1" t="n">
        <v>44798</v>
      </c>
      <c r="C616" s="1" t="n">
        <v>45929</v>
      </c>
      <c r="D616" t="inlineStr">
        <is>
          <t>KALMAR LÄN</t>
        </is>
      </c>
      <c r="E616" t="inlineStr">
        <is>
          <t>VÄSTERVIK</t>
        </is>
      </c>
      <c r="G616" t="n">
        <v>5.2</v>
      </c>
      <c r="H616" t="n">
        <v>0</v>
      </c>
      <c r="I616" t="n">
        <v>0</v>
      </c>
      <c r="J616" t="n">
        <v>0</v>
      </c>
      <c r="K616" t="n">
        <v>0</v>
      </c>
      <c r="L616" t="n">
        <v>0</v>
      </c>
      <c r="M616" t="n">
        <v>0</v>
      </c>
      <c r="N616" t="n">
        <v>0</v>
      </c>
      <c r="O616" t="n">
        <v>0</v>
      </c>
      <c r="P616" t="n">
        <v>0</v>
      </c>
      <c r="Q616" t="n">
        <v>0</v>
      </c>
      <c r="R616" s="2" t="inlineStr"/>
    </row>
    <row r="617" ht="15" customHeight="1">
      <c r="A617" t="inlineStr">
        <is>
          <t>A 64762-2023</t>
        </is>
      </c>
      <c r="B617" s="1" t="n">
        <v>45282.27841435185</v>
      </c>
      <c r="C617" s="1" t="n">
        <v>45929</v>
      </c>
      <c r="D617" t="inlineStr">
        <is>
          <t>KALMAR LÄN</t>
        </is>
      </c>
      <c r="E617" t="inlineStr">
        <is>
          <t>VÄSTERVIK</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64763-2023</t>
        </is>
      </c>
      <c r="B618" s="1" t="n">
        <v>45282.28041666667</v>
      </c>
      <c r="C618" s="1" t="n">
        <v>45929</v>
      </c>
      <c r="D618" t="inlineStr">
        <is>
          <t>KALMAR LÄN</t>
        </is>
      </c>
      <c r="E618" t="inlineStr">
        <is>
          <t>VÄSTERVIK</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37326-2024</t>
        </is>
      </c>
      <c r="B619" s="1" t="n">
        <v>45540</v>
      </c>
      <c r="C619" s="1" t="n">
        <v>45929</v>
      </c>
      <c r="D619" t="inlineStr">
        <is>
          <t>KALMAR LÄN</t>
        </is>
      </c>
      <c r="E619" t="inlineStr">
        <is>
          <t>VÄSTERVIK</t>
        </is>
      </c>
      <c r="F619" t="inlineStr">
        <is>
          <t>Holmen skog AB</t>
        </is>
      </c>
      <c r="G619" t="n">
        <v>6</v>
      </c>
      <c r="H619" t="n">
        <v>0</v>
      </c>
      <c r="I619" t="n">
        <v>0</v>
      </c>
      <c r="J619" t="n">
        <v>0</v>
      </c>
      <c r="K619" t="n">
        <v>0</v>
      </c>
      <c r="L619" t="n">
        <v>0</v>
      </c>
      <c r="M619" t="n">
        <v>0</v>
      </c>
      <c r="N619" t="n">
        <v>0</v>
      </c>
      <c r="O619" t="n">
        <v>0</v>
      </c>
      <c r="P619" t="n">
        <v>0</v>
      </c>
      <c r="Q619" t="n">
        <v>0</v>
      </c>
      <c r="R619" s="2" t="inlineStr"/>
    </row>
    <row r="620" ht="15" customHeight="1">
      <c r="A620" t="inlineStr">
        <is>
          <t>A 25238-2021</t>
        </is>
      </c>
      <c r="B620" s="1" t="n">
        <v>44342</v>
      </c>
      <c r="C620" s="1" t="n">
        <v>45929</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60453-2024</t>
        </is>
      </c>
      <c r="B621" s="1" t="n">
        <v>45643.60487268519</v>
      </c>
      <c r="C621" s="1" t="n">
        <v>45929</v>
      </c>
      <c r="D621" t="inlineStr">
        <is>
          <t>KALMAR LÄN</t>
        </is>
      </c>
      <c r="E621" t="inlineStr">
        <is>
          <t>VÄSTERVIK</t>
        </is>
      </c>
      <c r="G621" t="n">
        <v>7.1</v>
      </c>
      <c r="H621" t="n">
        <v>0</v>
      </c>
      <c r="I621" t="n">
        <v>0</v>
      </c>
      <c r="J621" t="n">
        <v>0</v>
      </c>
      <c r="K621" t="n">
        <v>0</v>
      </c>
      <c r="L621" t="n">
        <v>0</v>
      </c>
      <c r="M621" t="n">
        <v>0</v>
      </c>
      <c r="N621" t="n">
        <v>0</v>
      </c>
      <c r="O621" t="n">
        <v>0</v>
      </c>
      <c r="P621" t="n">
        <v>0</v>
      </c>
      <c r="Q621" t="n">
        <v>0</v>
      </c>
      <c r="R621" s="2" t="inlineStr"/>
    </row>
    <row r="622" ht="15" customHeight="1">
      <c r="A622" t="inlineStr">
        <is>
          <t>A 2830-2025</t>
        </is>
      </c>
      <c r="B622" s="1" t="n">
        <v>45677.62704861111</v>
      </c>
      <c r="C622" s="1" t="n">
        <v>45929</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8440-2023</t>
        </is>
      </c>
      <c r="B623" s="1" t="n">
        <v>44977.46979166667</v>
      </c>
      <c r="C623" s="1" t="n">
        <v>45929</v>
      </c>
      <c r="D623" t="inlineStr">
        <is>
          <t>KALMAR LÄN</t>
        </is>
      </c>
      <c r="E623" t="inlineStr">
        <is>
          <t>VÄSTERVIK</t>
        </is>
      </c>
      <c r="G623" t="n">
        <v>5.5</v>
      </c>
      <c r="H623" t="n">
        <v>0</v>
      </c>
      <c r="I623" t="n">
        <v>0</v>
      </c>
      <c r="J623" t="n">
        <v>0</v>
      </c>
      <c r="K623" t="n">
        <v>0</v>
      </c>
      <c r="L623" t="n">
        <v>0</v>
      </c>
      <c r="M623" t="n">
        <v>0</v>
      </c>
      <c r="N623" t="n">
        <v>0</v>
      </c>
      <c r="O623" t="n">
        <v>0</v>
      </c>
      <c r="P623" t="n">
        <v>0</v>
      </c>
      <c r="Q623" t="n">
        <v>0</v>
      </c>
      <c r="R623" s="2" t="inlineStr"/>
    </row>
    <row r="624" ht="15" customHeight="1">
      <c r="A624" t="inlineStr">
        <is>
          <t>A 8513-2023</t>
        </is>
      </c>
      <c r="B624" s="1" t="n">
        <v>44977.56759259259</v>
      </c>
      <c r="C624" s="1" t="n">
        <v>45929</v>
      </c>
      <c r="D624" t="inlineStr">
        <is>
          <t>KALMAR LÄN</t>
        </is>
      </c>
      <c r="E624" t="inlineStr">
        <is>
          <t>VÄSTERVIK</t>
        </is>
      </c>
      <c r="G624" t="n">
        <v>2</v>
      </c>
      <c r="H624" t="n">
        <v>0</v>
      </c>
      <c r="I624" t="n">
        <v>0</v>
      </c>
      <c r="J624" t="n">
        <v>0</v>
      </c>
      <c r="K624" t="n">
        <v>0</v>
      </c>
      <c r="L624" t="n">
        <v>0</v>
      </c>
      <c r="M624" t="n">
        <v>0</v>
      </c>
      <c r="N624" t="n">
        <v>0</v>
      </c>
      <c r="O624" t="n">
        <v>0</v>
      </c>
      <c r="P624" t="n">
        <v>0</v>
      </c>
      <c r="Q624" t="n">
        <v>0</v>
      </c>
      <c r="R624" s="2" t="inlineStr"/>
    </row>
    <row r="625" ht="15" customHeight="1">
      <c r="A625" t="inlineStr">
        <is>
          <t>A 46157-2025</t>
        </is>
      </c>
      <c r="B625" s="1" t="n">
        <v>45924.63246527778</v>
      </c>
      <c r="C625" s="1" t="n">
        <v>45929</v>
      </c>
      <c r="D625" t="inlineStr">
        <is>
          <t>KALMAR LÄN</t>
        </is>
      </c>
      <c r="E625" t="inlineStr">
        <is>
          <t>VÄSTERVIK</t>
        </is>
      </c>
      <c r="G625" t="n">
        <v>3.1</v>
      </c>
      <c r="H625" t="n">
        <v>0</v>
      </c>
      <c r="I625" t="n">
        <v>0</v>
      </c>
      <c r="J625" t="n">
        <v>0</v>
      </c>
      <c r="K625" t="n">
        <v>0</v>
      </c>
      <c r="L625" t="n">
        <v>0</v>
      </c>
      <c r="M625" t="n">
        <v>0</v>
      </c>
      <c r="N625" t="n">
        <v>0</v>
      </c>
      <c r="O625" t="n">
        <v>0</v>
      </c>
      <c r="P625" t="n">
        <v>0</v>
      </c>
      <c r="Q625" t="n">
        <v>0</v>
      </c>
      <c r="R625" s="2" t="inlineStr"/>
    </row>
    <row r="626" ht="15" customHeight="1">
      <c r="A626" t="inlineStr">
        <is>
          <t>A 46158-2025</t>
        </is>
      </c>
      <c r="B626" s="1" t="n">
        <v>45924.63511574074</v>
      </c>
      <c r="C626" s="1" t="n">
        <v>45929</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14685-2025</t>
        </is>
      </c>
      <c r="B627" s="1" t="n">
        <v>45742.57653935185</v>
      </c>
      <c r="C627" s="1" t="n">
        <v>45929</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11791-2024</t>
        </is>
      </c>
      <c r="B628" s="1" t="n">
        <v>45374.97038194445</v>
      </c>
      <c r="C628" s="1" t="n">
        <v>45929</v>
      </c>
      <c r="D628" t="inlineStr">
        <is>
          <t>KALMAR LÄN</t>
        </is>
      </c>
      <c r="E628" t="inlineStr">
        <is>
          <t>VÄSTERVIK</t>
        </is>
      </c>
      <c r="G628" t="n">
        <v>3.4</v>
      </c>
      <c r="H628" t="n">
        <v>0</v>
      </c>
      <c r="I628" t="n">
        <v>0</v>
      </c>
      <c r="J628" t="n">
        <v>0</v>
      </c>
      <c r="K628" t="n">
        <v>0</v>
      </c>
      <c r="L628" t="n">
        <v>0</v>
      </c>
      <c r="M628" t="n">
        <v>0</v>
      </c>
      <c r="N628" t="n">
        <v>0</v>
      </c>
      <c r="O628" t="n">
        <v>0</v>
      </c>
      <c r="P628" t="n">
        <v>0</v>
      </c>
      <c r="Q628" t="n">
        <v>0</v>
      </c>
      <c r="R628" s="2" t="inlineStr"/>
    </row>
    <row r="629" ht="15" customHeight="1">
      <c r="A629" t="inlineStr">
        <is>
          <t>A 3679-2025</t>
        </is>
      </c>
      <c r="B629" s="1" t="n">
        <v>45681.44637731482</v>
      </c>
      <c r="C629" s="1" t="n">
        <v>45929</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16683-2025</t>
        </is>
      </c>
      <c r="B630" s="1" t="n">
        <v>45754.45234953704</v>
      </c>
      <c r="C630" s="1" t="n">
        <v>45929</v>
      </c>
      <c r="D630" t="inlineStr">
        <is>
          <t>KALMAR LÄN</t>
        </is>
      </c>
      <c r="E630" t="inlineStr">
        <is>
          <t>VÄSTERVIK</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16686-2025</t>
        </is>
      </c>
      <c r="B631" s="1" t="n">
        <v>45754.45355324074</v>
      </c>
      <c r="C631" s="1" t="n">
        <v>45929</v>
      </c>
      <c r="D631" t="inlineStr">
        <is>
          <t>KALMAR LÄN</t>
        </is>
      </c>
      <c r="E631" t="inlineStr">
        <is>
          <t>VÄSTERVIK</t>
        </is>
      </c>
      <c r="F631" t="inlineStr">
        <is>
          <t>Sveaskog</t>
        </is>
      </c>
      <c r="G631" t="n">
        <v>3.9</v>
      </c>
      <c r="H631" t="n">
        <v>0</v>
      </c>
      <c r="I631" t="n">
        <v>0</v>
      </c>
      <c r="J631" t="n">
        <v>0</v>
      </c>
      <c r="K631" t="n">
        <v>0</v>
      </c>
      <c r="L631" t="n">
        <v>0</v>
      </c>
      <c r="M631" t="n">
        <v>0</v>
      </c>
      <c r="N631" t="n">
        <v>0</v>
      </c>
      <c r="O631" t="n">
        <v>0</v>
      </c>
      <c r="P631" t="n">
        <v>0</v>
      </c>
      <c r="Q631" t="n">
        <v>0</v>
      </c>
      <c r="R631" s="2" t="inlineStr"/>
    </row>
    <row r="632" ht="15" customHeight="1">
      <c r="A632" t="inlineStr">
        <is>
          <t>A 5079-2025</t>
        </is>
      </c>
      <c r="B632" s="1" t="n">
        <v>45691.50069444445</v>
      </c>
      <c r="C632" s="1" t="n">
        <v>45929</v>
      </c>
      <c r="D632" t="inlineStr">
        <is>
          <t>KALMAR LÄN</t>
        </is>
      </c>
      <c r="E632" t="inlineStr">
        <is>
          <t>VÄSTERVIK</t>
        </is>
      </c>
      <c r="F632" t="inlineStr">
        <is>
          <t>Holmen skog AB</t>
        </is>
      </c>
      <c r="G632" t="n">
        <v>3.3</v>
      </c>
      <c r="H632" t="n">
        <v>0</v>
      </c>
      <c r="I632" t="n">
        <v>0</v>
      </c>
      <c r="J632" t="n">
        <v>0</v>
      </c>
      <c r="K632" t="n">
        <v>0</v>
      </c>
      <c r="L632" t="n">
        <v>0</v>
      </c>
      <c r="M632" t="n">
        <v>0</v>
      </c>
      <c r="N632" t="n">
        <v>0</v>
      </c>
      <c r="O632" t="n">
        <v>0</v>
      </c>
      <c r="P632" t="n">
        <v>0</v>
      </c>
      <c r="Q632" t="n">
        <v>0</v>
      </c>
      <c r="R632" s="2" t="inlineStr"/>
    </row>
    <row r="633" ht="15" customHeight="1">
      <c r="A633" t="inlineStr">
        <is>
          <t>A 29420-2024</t>
        </is>
      </c>
      <c r="B633" s="1" t="n">
        <v>45483</v>
      </c>
      <c r="C633" s="1" t="n">
        <v>45929</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45877-2025</t>
        </is>
      </c>
      <c r="B634" s="1" t="n">
        <v>45923.65804398148</v>
      </c>
      <c r="C634" s="1" t="n">
        <v>45929</v>
      </c>
      <c r="D634" t="inlineStr">
        <is>
          <t>KALMAR LÄN</t>
        </is>
      </c>
      <c r="E634" t="inlineStr">
        <is>
          <t>VÄSTERVIK</t>
        </is>
      </c>
      <c r="G634" t="n">
        <v>5.6</v>
      </c>
      <c r="H634" t="n">
        <v>0</v>
      </c>
      <c r="I634" t="n">
        <v>0</v>
      </c>
      <c r="J634" t="n">
        <v>0</v>
      </c>
      <c r="K634" t="n">
        <v>0</v>
      </c>
      <c r="L634" t="n">
        <v>0</v>
      </c>
      <c r="M634" t="n">
        <v>0</v>
      </c>
      <c r="N634" t="n">
        <v>0</v>
      </c>
      <c r="O634" t="n">
        <v>0</v>
      </c>
      <c r="P634" t="n">
        <v>0</v>
      </c>
      <c r="Q634" t="n">
        <v>0</v>
      </c>
      <c r="R634" s="2" t="inlineStr"/>
    </row>
    <row r="635" ht="15" customHeight="1">
      <c r="A635" t="inlineStr">
        <is>
          <t>A 38048-2023</t>
        </is>
      </c>
      <c r="B635" s="1" t="n">
        <v>45160.67677083334</v>
      </c>
      <c r="C635" s="1" t="n">
        <v>45929</v>
      </c>
      <c r="D635" t="inlineStr">
        <is>
          <t>KALMAR LÄN</t>
        </is>
      </c>
      <c r="E635" t="inlineStr">
        <is>
          <t>VÄSTERVIK</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17648-2023</t>
        </is>
      </c>
      <c r="B636" s="1" t="n">
        <v>45036</v>
      </c>
      <c r="C636" s="1" t="n">
        <v>45929</v>
      </c>
      <c r="D636" t="inlineStr">
        <is>
          <t>KALMAR LÄN</t>
        </is>
      </c>
      <c r="E636" t="inlineStr">
        <is>
          <t>VÄSTERVIK</t>
        </is>
      </c>
      <c r="G636" t="n">
        <v>0.4</v>
      </c>
      <c r="H636" t="n">
        <v>0</v>
      </c>
      <c r="I636" t="n">
        <v>0</v>
      </c>
      <c r="J636" t="n">
        <v>0</v>
      </c>
      <c r="K636" t="n">
        <v>0</v>
      </c>
      <c r="L636" t="n">
        <v>0</v>
      </c>
      <c r="M636" t="n">
        <v>0</v>
      </c>
      <c r="N636" t="n">
        <v>0</v>
      </c>
      <c r="O636" t="n">
        <v>0</v>
      </c>
      <c r="P636" t="n">
        <v>0</v>
      </c>
      <c r="Q636" t="n">
        <v>0</v>
      </c>
      <c r="R636" s="2" t="inlineStr"/>
    </row>
    <row r="637" ht="15" customHeight="1">
      <c r="A637" t="inlineStr">
        <is>
          <t>A 32137-2024</t>
        </is>
      </c>
      <c r="B637" s="1" t="n">
        <v>45511</v>
      </c>
      <c r="C637" s="1" t="n">
        <v>45929</v>
      </c>
      <c r="D637" t="inlineStr">
        <is>
          <t>KALMAR LÄN</t>
        </is>
      </c>
      <c r="E637" t="inlineStr">
        <is>
          <t>VÄSTERVIK</t>
        </is>
      </c>
      <c r="F637" t="inlineStr">
        <is>
          <t>Övriga Aktiebolag</t>
        </is>
      </c>
      <c r="G637" t="n">
        <v>1.4</v>
      </c>
      <c r="H637" t="n">
        <v>0</v>
      </c>
      <c r="I637" t="n">
        <v>0</v>
      </c>
      <c r="J637" t="n">
        <v>0</v>
      </c>
      <c r="K637" t="n">
        <v>0</v>
      </c>
      <c r="L637" t="n">
        <v>0</v>
      </c>
      <c r="M637" t="n">
        <v>0</v>
      </c>
      <c r="N637" t="n">
        <v>0</v>
      </c>
      <c r="O637" t="n">
        <v>0</v>
      </c>
      <c r="P637" t="n">
        <v>0</v>
      </c>
      <c r="Q637" t="n">
        <v>0</v>
      </c>
      <c r="R637" s="2" t="inlineStr"/>
    </row>
    <row r="638" ht="15" customHeight="1">
      <c r="A638" t="inlineStr">
        <is>
          <t>A 49708-2024</t>
        </is>
      </c>
      <c r="B638" s="1" t="n">
        <v>45596.69846064815</v>
      </c>
      <c r="C638" s="1" t="n">
        <v>45929</v>
      </c>
      <c r="D638" t="inlineStr">
        <is>
          <t>KALMAR LÄN</t>
        </is>
      </c>
      <c r="E638" t="inlineStr">
        <is>
          <t>VÄSTERVIK</t>
        </is>
      </c>
      <c r="G638" t="n">
        <v>1.6</v>
      </c>
      <c r="H638" t="n">
        <v>0</v>
      </c>
      <c r="I638" t="n">
        <v>0</v>
      </c>
      <c r="J638" t="n">
        <v>0</v>
      </c>
      <c r="K638" t="n">
        <v>0</v>
      </c>
      <c r="L638" t="n">
        <v>0</v>
      </c>
      <c r="M638" t="n">
        <v>0</v>
      </c>
      <c r="N638" t="n">
        <v>0</v>
      </c>
      <c r="O638" t="n">
        <v>0</v>
      </c>
      <c r="P638" t="n">
        <v>0</v>
      </c>
      <c r="Q638" t="n">
        <v>0</v>
      </c>
      <c r="R638" s="2" t="inlineStr"/>
    </row>
    <row r="639" ht="15" customHeight="1">
      <c r="A639" t="inlineStr">
        <is>
          <t>A 28952-2023</t>
        </is>
      </c>
      <c r="B639" s="1" t="n">
        <v>45104</v>
      </c>
      <c r="C639" s="1" t="n">
        <v>45929</v>
      </c>
      <c r="D639" t="inlineStr">
        <is>
          <t>KALMAR LÄN</t>
        </is>
      </c>
      <c r="E639" t="inlineStr">
        <is>
          <t>VÄSTERVIK</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12520-2021</t>
        </is>
      </c>
      <c r="B640" s="1" t="n">
        <v>44269</v>
      </c>
      <c r="C640" s="1" t="n">
        <v>45929</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5450-2022</t>
        </is>
      </c>
      <c r="B641" s="1" t="n">
        <v>44595</v>
      </c>
      <c r="C641" s="1" t="n">
        <v>45929</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37986-2023</t>
        </is>
      </c>
      <c r="B642" s="1" t="n">
        <v>45160.60331018519</v>
      </c>
      <c r="C642" s="1" t="n">
        <v>45929</v>
      </c>
      <c r="D642" t="inlineStr">
        <is>
          <t>KALMAR LÄN</t>
        </is>
      </c>
      <c r="E642" t="inlineStr">
        <is>
          <t>VÄSTERVIK</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61448-2023</t>
        </is>
      </c>
      <c r="B643" s="1" t="n">
        <v>45264.81439814815</v>
      </c>
      <c r="C643" s="1" t="n">
        <v>45929</v>
      </c>
      <c r="D643" t="inlineStr">
        <is>
          <t>KALMAR LÄN</t>
        </is>
      </c>
      <c r="E643" t="inlineStr">
        <is>
          <t>VÄSTERVIK</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61449-2023</t>
        </is>
      </c>
      <c r="B644" s="1" t="n">
        <v>45264.81490740741</v>
      </c>
      <c r="C644" s="1" t="n">
        <v>45929</v>
      </c>
      <c r="D644" t="inlineStr">
        <is>
          <t>KALMAR LÄN</t>
        </is>
      </c>
      <c r="E644" t="inlineStr">
        <is>
          <t>VÄSTERVIK</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9760-2024</t>
        </is>
      </c>
      <c r="B645" s="1" t="n">
        <v>45362</v>
      </c>
      <c r="C645" s="1" t="n">
        <v>45929</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24877-2023</t>
        </is>
      </c>
      <c r="B646" s="1" t="n">
        <v>45085.43271990741</v>
      </c>
      <c r="C646" s="1" t="n">
        <v>45929</v>
      </c>
      <c r="D646" t="inlineStr">
        <is>
          <t>KALMAR LÄN</t>
        </is>
      </c>
      <c r="E646" t="inlineStr">
        <is>
          <t>VÄSTERVIK</t>
        </is>
      </c>
      <c r="G646" t="n">
        <v>3.8</v>
      </c>
      <c r="H646" t="n">
        <v>0</v>
      </c>
      <c r="I646" t="n">
        <v>0</v>
      </c>
      <c r="J646" t="n">
        <v>0</v>
      </c>
      <c r="K646" t="n">
        <v>0</v>
      </c>
      <c r="L646" t="n">
        <v>0</v>
      </c>
      <c r="M646" t="n">
        <v>0</v>
      </c>
      <c r="N646" t="n">
        <v>0</v>
      </c>
      <c r="O646" t="n">
        <v>0</v>
      </c>
      <c r="P646" t="n">
        <v>0</v>
      </c>
      <c r="Q646" t="n">
        <v>0</v>
      </c>
      <c r="R646" s="2" t="inlineStr"/>
    </row>
    <row r="647" ht="15" customHeight="1">
      <c r="A647" t="inlineStr">
        <is>
          <t>A 16586-2022</t>
        </is>
      </c>
      <c r="B647" s="1" t="n">
        <v>44672.47105324074</v>
      </c>
      <c r="C647" s="1" t="n">
        <v>45929</v>
      </c>
      <c r="D647" t="inlineStr">
        <is>
          <t>KALMAR LÄN</t>
        </is>
      </c>
      <c r="E647" t="inlineStr">
        <is>
          <t>VÄSTERVIK</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29789-2024</t>
        </is>
      </c>
      <c r="B648" s="1" t="n">
        <v>45485.46721064814</v>
      </c>
      <c r="C648" s="1" t="n">
        <v>45929</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6940-2025</t>
        </is>
      </c>
      <c r="B649" s="1" t="n">
        <v>45701.46581018518</v>
      </c>
      <c r="C649" s="1" t="n">
        <v>45929</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47939-2023</t>
        </is>
      </c>
      <c r="B650" s="1" t="n">
        <v>45204.56195601852</v>
      </c>
      <c r="C650" s="1" t="n">
        <v>45929</v>
      </c>
      <c r="D650" t="inlineStr">
        <is>
          <t>KALMAR LÄN</t>
        </is>
      </c>
      <c r="E650" t="inlineStr">
        <is>
          <t>VÄSTERVIK</t>
        </is>
      </c>
      <c r="G650" t="n">
        <v>3.7</v>
      </c>
      <c r="H650" t="n">
        <v>0</v>
      </c>
      <c r="I650" t="n">
        <v>0</v>
      </c>
      <c r="J650" t="n">
        <v>0</v>
      </c>
      <c r="K650" t="n">
        <v>0</v>
      </c>
      <c r="L650" t="n">
        <v>0</v>
      </c>
      <c r="M650" t="n">
        <v>0</v>
      </c>
      <c r="N650" t="n">
        <v>0</v>
      </c>
      <c r="O650" t="n">
        <v>0</v>
      </c>
      <c r="P650" t="n">
        <v>0</v>
      </c>
      <c r="Q650" t="n">
        <v>0</v>
      </c>
      <c r="R650" s="2" t="inlineStr"/>
    </row>
    <row r="651" ht="15" customHeight="1">
      <c r="A651" t="inlineStr">
        <is>
          <t>A 1867-2025</t>
        </is>
      </c>
      <c r="B651" s="1" t="n">
        <v>45671.61569444444</v>
      </c>
      <c r="C651" s="1" t="n">
        <v>45929</v>
      </c>
      <c r="D651" t="inlineStr">
        <is>
          <t>KALMAR LÄN</t>
        </is>
      </c>
      <c r="E651" t="inlineStr">
        <is>
          <t>VÄSTERVIK</t>
        </is>
      </c>
      <c r="G651" t="n">
        <v>1.8</v>
      </c>
      <c r="H651" t="n">
        <v>0</v>
      </c>
      <c r="I651" t="n">
        <v>0</v>
      </c>
      <c r="J651" t="n">
        <v>0</v>
      </c>
      <c r="K651" t="n">
        <v>0</v>
      </c>
      <c r="L651" t="n">
        <v>0</v>
      </c>
      <c r="M651" t="n">
        <v>0</v>
      </c>
      <c r="N651" t="n">
        <v>0</v>
      </c>
      <c r="O651" t="n">
        <v>0</v>
      </c>
      <c r="P651" t="n">
        <v>0</v>
      </c>
      <c r="Q651" t="n">
        <v>0</v>
      </c>
      <c r="R651" s="2" t="inlineStr"/>
    </row>
    <row r="652" ht="15" customHeight="1">
      <c r="A652" t="inlineStr">
        <is>
          <t>A 52774-2024</t>
        </is>
      </c>
      <c r="B652" s="1" t="n">
        <v>45610.53413194444</v>
      </c>
      <c r="C652" s="1" t="n">
        <v>45929</v>
      </c>
      <c r="D652" t="inlineStr">
        <is>
          <t>KALMAR LÄN</t>
        </is>
      </c>
      <c r="E652" t="inlineStr">
        <is>
          <t>VÄSTERVIK</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35652-2023</t>
        </is>
      </c>
      <c r="B653" s="1" t="n">
        <v>45147.59215277778</v>
      </c>
      <c r="C653" s="1" t="n">
        <v>45929</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352-2023</t>
        </is>
      </c>
      <c r="B654" s="1" t="n">
        <v>44929.51619212963</v>
      </c>
      <c r="C654" s="1" t="n">
        <v>45929</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13843-2024</t>
        </is>
      </c>
      <c r="B655" s="1" t="n">
        <v>45391.45087962963</v>
      </c>
      <c r="C655" s="1" t="n">
        <v>45929</v>
      </c>
      <c r="D655" t="inlineStr">
        <is>
          <t>KALMAR LÄN</t>
        </is>
      </c>
      <c r="E655" t="inlineStr">
        <is>
          <t>VÄSTERVIK</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57804-2021</t>
        </is>
      </c>
      <c r="B656" s="1" t="n">
        <v>44484</v>
      </c>
      <c r="C656" s="1" t="n">
        <v>45929</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59675-2022</t>
        </is>
      </c>
      <c r="B657" s="1" t="n">
        <v>44908</v>
      </c>
      <c r="C657" s="1" t="n">
        <v>45929</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6938-2025</t>
        </is>
      </c>
      <c r="B658" s="1" t="n">
        <v>45701.46288194445</v>
      </c>
      <c r="C658" s="1" t="n">
        <v>45929</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row>
    <row r="659" ht="15" customHeight="1">
      <c r="A659" t="inlineStr">
        <is>
          <t>A 35108-2024</t>
        </is>
      </c>
      <c r="B659" s="1" t="n">
        <v>45529.64638888889</v>
      </c>
      <c r="C659" s="1" t="n">
        <v>45929</v>
      </c>
      <c r="D659" t="inlineStr">
        <is>
          <t>KALMAR LÄN</t>
        </is>
      </c>
      <c r="E659" t="inlineStr">
        <is>
          <t>VÄSTERVIK</t>
        </is>
      </c>
      <c r="G659" t="n">
        <v>10.5</v>
      </c>
      <c r="H659" t="n">
        <v>0</v>
      </c>
      <c r="I659" t="n">
        <v>0</v>
      </c>
      <c r="J659" t="n">
        <v>0</v>
      </c>
      <c r="K659" t="n">
        <v>0</v>
      </c>
      <c r="L659" t="n">
        <v>0</v>
      </c>
      <c r="M659" t="n">
        <v>0</v>
      </c>
      <c r="N659" t="n">
        <v>0</v>
      </c>
      <c r="O659" t="n">
        <v>0</v>
      </c>
      <c r="P659" t="n">
        <v>0</v>
      </c>
      <c r="Q659" t="n">
        <v>0</v>
      </c>
      <c r="R659" s="2" t="inlineStr"/>
    </row>
    <row r="660" ht="15" customHeight="1">
      <c r="A660" t="inlineStr">
        <is>
          <t>A 55050-2024</t>
        </is>
      </c>
      <c r="B660" s="1" t="n">
        <v>45621.39759259259</v>
      </c>
      <c r="C660" s="1" t="n">
        <v>45929</v>
      </c>
      <c r="D660" t="inlineStr">
        <is>
          <t>KALMAR LÄN</t>
        </is>
      </c>
      <c r="E660" t="inlineStr">
        <is>
          <t>VÄSTERVIK</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21942-2023</t>
        </is>
      </c>
      <c r="B661" s="1" t="n">
        <v>45068</v>
      </c>
      <c r="C661" s="1" t="n">
        <v>45929</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47527-2021</t>
        </is>
      </c>
      <c r="B662" s="1" t="n">
        <v>44447</v>
      </c>
      <c r="C662" s="1" t="n">
        <v>45929</v>
      </c>
      <c r="D662" t="inlineStr">
        <is>
          <t>KALMAR LÄN</t>
        </is>
      </c>
      <c r="E662" t="inlineStr">
        <is>
          <t>VÄSTERVIK</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2314-2023</t>
        </is>
      </c>
      <c r="B663" s="1" t="n">
        <v>44942</v>
      </c>
      <c r="C663" s="1" t="n">
        <v>45929</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1115-2025</t>
        </is>
      </c>
      <c r="B664" s="1" t="n">
        <v>45666.65664351852</v>
      </c>
      <c r="C664" s="1" t="n">
        <v>45929</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10766-2025</t>
        </is>
      </c>
      <c r="B665" s="1" t="n">
        <v>45722.4630787037</v>
      </c>
      <c r="C665" s="1" t="n">
        <v>45929</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38040-2023</t>
        </is>
      </c>
      <c r="B666" s="1" t="n">
        <v>45160.66336805555</v>
      </c>
      <c r="C666" s="1" t="n">
        <v>45929</v>
      </c>
      <c r="D666" t="inlineStr">
        <is>
          <t>KALMAR LÄN</t>
        </is>
      </c>
      <c r="E666" t="inlineStr">
        <is>
          <t>VÄSTERVIK</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35456-2024</t>
        </is>
      </c>
      <c r="B667" s="1" t="n">
        <v>45531</v>
      </c>
      <c r="C667" s="1" t="n">
        <v>45929</v>
      </c>
      <c r="D667" t="inlineStr">
        <is>
          <t>KALMAR LÄN</t>
        </is>
      </c>
      <c r="E667" t="inlineStr">
        <is>
          <t>VÄSTERVIK</t>
        </is>
      </c>
      <c r="G667" t="n">
        <v>5.8</v>
      </c>
      <c r="H667" t="n">
        <v>0</v>
      </c>
      <c r="I667" t="n">
        <v>0</v>
      </c>
      <c r="J667" t="n">
        <v>0</v>
      </c>
      <c r="K667" t="n">
        <v>0</v>
      </c>
      <c r="L667" t="n">
        <v>0</v>
      </c>
      <c r="M667" t="n">
        <v>0</v>
      </c>
      <c r="N667" t="n">
        <v>0</v>
      </c>
      <c r="O667" t="n">
        <v>0</v>
      </c>
      <c r="P667" t="n">
        <v>0</v>
      </c>
      <c r="Q667" t="n">
        <v>0</v>
      </c>
      <c r="R667" s="2" t="inlineStr"/>
    </row>
    <row r="668" ht="15" customHeight="1">
      <c r="A668" t="inlineStr">
        <is>
          <t>A 55609-2024</t>
        </is>
      </c>
      <c r="B668" s="1" t="n">
        <v>45622.58350694444</v>
      </c>
      <c r="C668" s="1" t="n">
        <v>45929</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33208-2022</t>
        </is>
      </c>
      <c r="B669" s="1" t="n">
        <v>44785</v>
      </c>
      <c r="C669" s="1" t="n">
        <v>45929</v>
      </c>
      <c r="D669" t="inlineStr">
        <is>
          <t>KALMAR LÄN</t>
        </is>
      </c>
      <c r="E669" t="inlineStr">
        <is>
          <t>VÄSTERVIK</t>
        </is>
      </c>
      <c r="G669" t="n">
        <v>2.6</v>
      </c>
      <c r="H669" t="n">
        <v>0</v>
      </c>
      <c r="I669" t="n">
        <v>0</v>
      </c>
      <c r="J669" t="n">
        <v>0</v>
      </c>
      <c r="K669" t="n">
        <v>0</v>
      </c>
      <c r="L669" t="n">
        <v>0</v>
      </c>
      <c r="M669" t="n">
        <v>0</v>
      </c>
      <c r="N669" t="n">
        <v>0</v>
      </c>
      <c r="O669" t="n">
        <v>0</v>
      </c>
      <c r="P669" t="n">
        <v>0</v>
      </c>
      <c r="Q669" t="n">
        <v>0</v>
      </c>
      <c r="R669" s="2" t="inlineStr"/>
    </row>
    <row r="670" ht="15" customHeight="1">
      <c r="A670" t="inlineStr">
        <is>
          <t>A 9770-2023</t>
        </is>
      </c>
      <c r="B670" s="1" t="n">
        <v>44984</v>
      </c>
      <c r="C670" s="1" t="n">
        <v>45929</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9792-2023</t>
        </is>
      </c>
      <c r="B671" s="1" t="n">
        <v>44984.64269675926</v>
      </c>
      <c r="C671" s="1" t="n">
        <v>45929</v>
      </c>
      <c r="D671" t="inlineStr">
        <is>
          <t>KALMAR LÄN</t>
        </is>
      </c>
      <c r="E671" t="inlineStr">
        <is>
          <t>VÄSTERVIK</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31691-2023</t>
        </is>
      </c>
      <c r="B672" s="1" t="n">
        <v>45117.72543981481</v>
      </c>
      <c r="C672" s="1" t="n">
        <v>45929</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52035-2023</t>
        </is>
      </c>
      <c r="B673" s="1" t="n">
        <v>45216</v>
      </c>
      <c r="C673" s="1" t="n">
        <v>45929</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12652-2022</t>
        </is>
      </c>
      <c r="B674" s="1" t="n">
        <v>44641</v>
      </c>
      <c r="C674" s="1" t="n">
        <v>45929</v>
      </c>
      <c r="D674" t="inlineStr">
        <is>
          <t>KALMAR LÄN</t>
        </is>
      </c>
      <c r="E674" t="inlineStr">
        <is>
          <t>VÄSTERVIK</t>
        </is>
      </c>
      <c r="F674" t="inlineStr">
        <is>
          <t>Holmen skog AB</t>
        </is>
      </c>
      <c r="G674" t="n">
        <v>1.1</v>
      </c>
      <c r="H674" t="n">
        <v>0</v>
      </c>
      <c r="I674" t="n">
        <v>0</v>
      </c>
      <c r="J674" t="n">
        <v>0</v>
      </c>
      <c r="K674" t="n">
        <v>0</v>
      </c>
      <c r="L674" t="n">
        <v>0</v>
      </c>
      <c r="M674" t="n">
        <v>0</v>
      </c>
      <c r="N674" t="n">
        <v>0</v>
      </c>
      <c r="O674" t="n">
        <v>0</v>
      </c>
      <c r="P674" t="n">
        <v>0</v>
      </c>
      <c r="Q674" t="n">
        <v>0</v>
      </c>
      <c r="R674" s="2" t="inlineStr"/>
    </row>
    <row r="675" ht="15" customHeight="1">
      <c r="A675" t="inlineStr">
        <is>
          <t>A 10803-2025</t>
        </is>
      </c>
      <c r="B675" s="1" t="n">
        <v>45722.52284722222</v>
      </c>
      <c r="C675" s="1" t="n">
        <v>45929</v>
      </c>
      <c r="D675" t="inlineStr">
        <is>
          <t>KALMAR LÄN</t>
        </is>
      </c>
      <c r="E675" t="inlineStr">
        <is>
          <t>VÄSTERVIK</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28390-2024</t>
        </is>
      </c>
      <c r="B676" s="1" t="n">
        <v>45477</v>
      </c>
      <c r="C676" s="1" t="n">
        <v>45929</v>
      </c>
      <c r="D676" t="inlineStr">
        <is>
          <t>KALMAR LÄN</t>
        </is>
      </c>
      <c r="E676" t="inlineStr">
        <is>
          <t>VÄSTERVIK</t>
        </is>
      </c>
      <c r="F676" t="inlineStr">
        <is>
          <t>Holmen skog AB</t>
        </is>
      </c>
      <c r="G676" t="n">
        <v>1.4</v>
      </c>
      <c r="H676" t="n">
        <v>0</v>
      </c>
      <c r="I676" t="n">
        <v>0</v>
      </c>
      <c r="J676" t="n">
        <v>0</v>
      </c>
      <c r="K676" t="n">
        <v>0</v>
      </c>
      <c r="L676" t="n">
        <v>0</v>
      </c>
      <c r="M676" t="n">
        <v>0</v>
      </c>
      <c r="N676" t="n">
        <v>0</v>
      </c>
      <c r="O676" t="n">
        <v>0</v>
      </c>
      <c r="P676" t="n">
        <v>0</v>
      </c>
      <c r="Q676" t="n">
        <v>0</v>
      </c>
      <c r="R676" s="2" t="inlineStr"/>
    </row>
    <row r="677" ht="15" customHeight="1">
      <c r="A677" t="inlineStr">
        <is>
          <t>A 34650-2023</t>
        </is>
      </c>
      <c r="B677" s="1" t="n">
        <v>45140</v>
      </c>
      <c r="C677" s="1" t="n">
        <v>45929</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9249-2024</t>
        </is>
      </c>
      <c r="B678" s="1" t="n">
        <v>45358.59056712963</v>
      </c>
      <c r="C678" s="1" t="n">
        <v>45929</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17307-2023</t>
        </is>
      </c>
      <c r="B679" s="1" t="n">
        <v>45035.53497685185</v>
      </c>
      <c r="C679" s="1" t="n">
        <v>45929</v>
      </c>
      <c r="D679" t="inlineStr">
        <is>
          <t>KALMAR LÄN</t>
        </is>
      </c>
      <c r="E679" t="inlineStr">
        <is>
          <t>VÄSTERVIK</t>
        </is>
      </c>
      <c r="G679" t="n">
        <v>0</v>
      </c>
      <c r="H679" t="n">
        <v>0</v>
      </c>
      <c r="I679" t="n">
        <v>0</v>
      </c>
      <c r="J679" t="n">
        <v>0</v>
      </c>
      <c r="K679" t="n">
        <v>0</v>
      </c>
      <c r="L679" t="n">
        <v>0</v>
      </c>
      <c r="M679" t="n">
        <v>0</v>
      </c>
      <c r="N679" t="n">
        <v>0</v>
      </c>
      <c r="O679" t="n">
        <v>0</v>
      </c>
      <c r="P679" t="n">
        <v>0</v>
      </c>
      <c r="Q679" t="n">
        <v>0</v>
      </c>
      <c r="R679" s="2" t="inlineStr"/>
    </row>
    <row r="680" ht="15" customHeight="1">
      <c r="A680" t="inlineStr">
        <is>
          <t>A 12435-2024</t>
        </is>
      </c>
      <c r="B680" s="1" t="n">
        <v>45379.4459375</v>
      </c>
      <c r="C680" s="1" t="n">
        <v>45929</v>
      </c>
      <c r="D680" t="inlineStr">
        <is>
          <t>KALMAR LÄN</t>
        </is>
      </c>
      <c r="E680" t="inlineStr">
        <is>
          <t>VÄSTERVIK</t>
        </is>
      </c>
      <c r="G680" t="n">
        <v>0.4</v>
      </c>
      <c r="H680" t="n">
        <v>0</v>
      </c>
      <c r="I680" t="n">
        <v>0</v>
      </c>
      <c r="J680" t="n">
        <v>0</v>
      </c>
      <c r="K680" t="n">
        <v>0</v>
      </c>
      <c r="L680" t="n">
        <v>0</v>
      </c>
      <c r="M680" t="n">
        <v>0</v>
      </c>
      <c r="N680" t="n">
        <v>0</v>
      </c>
      <c r="O680" t="n">
        <v>0</v>
      </c>
      <c r="P680" t="n">
        <v>0</v>
      </c>
      <c r="Q680" t="n">
        <v>0</v>
      </c>
      <c r="R680" s="2" t="inlineStr"/>
    </row>
    <row r="681" ht="15" customHeight="1">
      <c r="A681" t="inlineStr">
        <is>
          <t>A 3828-2024</t>
        </is>
      </c>
      <c r="B681" s="1" t="n">
        <v>45321</v>
      </c>
      <c r="C681" s="1" t="n">
        <v>45929</v>
      </c>
      <c r="D681" t="inlineStr">
        <is>
          <t>KALMAR LÄN</t>
        </is>
      </c>
      <c r="E681" t="inlineStr">
        <is>
          <t>VÄSTERVIK</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23992-2021</t>
        </is>
      </c>
      <c r="B682" s="1" t="n">
        <v>44335</v>
      </c>
      <c r="C682" s="1" t="n">
        <v>45929</v>
      </c>
      <c r="D682" t="inlineStr">
        <is>
          <t>KALMAR LÄN</t>
        </is>
      </c>
      <c r="E682" t="inlineStr">
        <is>
          <t>VÄSTERVIK</t>
        </is>
      </c>
      <c r="G682" t="n">
        <v>3.1</v>
      </c>
      <c r="H682" t="n">
        <v>0</v>
      </c>
      <c r="I682" t="n">
        <v>0</v>
      </c>
      <c r="J682" t="n">
        <v>0</v>
      </c>
      <c r="K682" t="n">
        <v>0</v>
      </c>
      <c r="L682" t="n">
        <v>0</v>
      </c>
      <c r="M682" t="n">
        <v>0</v>
      </c>
      <c r="N682" t="n">
        <v>0</v>
      </c>
      <c r="O682" t="n">
        <v>0</v>
      </c>
      <c r="P682" t="n">
        <v>0</v>
      </c>
      <c r="Q682" t="n">
        <v>0</v>
      </c>
      <c r="R682" s="2" t="inlineStr"/>
    </row>
    <row r="683" ht="15" customHeight="1">
      <c r="A683" t="inlineStr">
        <is>
          <t>A 59331-2023</t>
        </is>
      </c>
      <c r="B683" s="1" t="n">
        <v>45253</v>
      </c>
      <c r="C683" s="1" t="n">
        <v>45929</v>
      </c>
      <c r="D683" t="inlineStr">
        <is>
          <t>KALMAR LÄN</t>
        </is>
      </c>
      <c r="E683" t="inlineStr">
        <is>
          <t>VÄSTERVIK</t>
        </is>
      </c>
      <c r="G683" t="n">
        <v>3.9</v>
      </c>
      <c r="H683" t="n">
        <v>0</v>
      </c>
      <c r="I683" t="n">
        <v>0</v>
      </c>
      <c r="J683" t="n">
        <v>0</v>
      </c>
      <c r="K683" t="n">
        <v>0</v>
      </c>
      <c r="L683" t="n">
        <v>0</v>
      </c>
      <c r="M683" t="n">
        <v>0</v>
      </c>
      <c r="N683" t="n">
        <v>0</v>
      </c>
      <c r="O683" t="n">
        <v>0</v>
      </c>
      <c r="P683" t="n">
        <v>0</v>
      </c>
      <c r="Q683" t="n">
        <v>0</v>
      </c>
      <c r="R683" s="2" t="inlineStr"/>
    </row>
    <row r="684" ht="15" customHeight="1">
      <c r="A684" t="inlineStr">
        <is>
          <t>A 64741-2020</t>
        </is>
      </c>
      <c r="B684" s="1" t="n">
        <v>44169</v>
      </c>
      <c r="C684" s="1" t="n">
        <v>45929</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39193-2024</t>
        </is>
      </c>
      <c r="B685" s="1" t="n">
        <v>45548.68</v>
      </c>
      <c r="C685" s="1" t="n">
        <v>45929</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35667-2023</t>
        </is>
      </c>
      <c r="B686" s="1" t="n">
        <v>45147.60667824074</v>
      </c>
      <c r="C686" s="1" t="n">
        <v>45929</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15875-2023</t>
        </is>
      </c>
      <c r="B687" s="1" t="n">
        <v>45022.41916666667</v>
      </c>
      <c r="C687" s="1" t="n">
        <v>45929</v>
      </c>
      <c r="D687" t="inlineStr">
        <is>
          <t>KALMAR LÄN</t>
        </is>
      </c>
      <c r="E687" t="inlineStr">
        <is>
          <t>VÄSTERVIK</t>
        </is>
      </c>
      <c r="F687" t="inlineStr">
        <is>
          <t>Kyrkan</t>
        </is>
      </c>
      <c r="G687" t="n">
        <v>3.2</v>
      </c>
      <c r="H687" t="n">
        <v>0</v>
      </c>
      <c r="I687" t="n">
        <v>0</v>
      </c>
      <c r="J687" t="n">
        <v>0</v>
      </c>
      <c r="K687" t="n">
        <v>0</v>
      </c>
      <c r="L687" t="n">
        <v>0</v>
      </c>
      <c r="M687" t="n">
        <v>0</v>
      </c>
      <c r="N687" t="n">
        <v>0</v>
      </c>
      <c r="O687" t="n">
        <v>0</v>
      </c>
      <c r="P687" t="n">
        <v>0</v>
      </c>
      <c r="Q687" t="n">
        <v>0</v>
      </c>
      <c r="R687" s="2" t="inlineStr"/>
    </row>
    <row r="688" ht="15" customHeight="1">
      <c r="A688" t="inlineStr">
        <is>
          <t>A 60478-2024</t>
        </is>
      </c>
      <c r="B688" s="1" t="n">
        <v>45643</v>
      </c>
      <c r="C688" s="1" t="n">
        <v>45929</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14385-2023</t>
        </is>
      </c>
      <c r="B689" s="1" t="n">
        <v>45012</v>
      </c>
      <c r="C689" s="1" t="n">
        <v>45929</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48446-2024</t>
        </is>
      </c>
      <c r="B690" s="1" t="n">
        <v>45590.69163194444</v>
      </c>
      <c r="C690" s="1" t="n">
        <v>45929</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23873-2024</t>
        </is>
      </c>
      <c r="B691" s="1" t="n">
        <v>45455</v>
      </c>
      <c r="C691" s="1" t="n">
        <v>45929</v>
      </c>
      <c r="D691" t="inlineStr">
        <is>
          <t>KALMAR LÄN</t>
        </is>
      </c>
      <c r="E691" t="inlineStr">
        <is>
          <t>VÄSTERVIK</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29784-2024</t>
        </is>
      </c>
      <c r="B692" s="1" t="n">
        <v>45485.46129629629</v>
      </c>
      <c r="C692" s="1" t="n">
        <v>45929</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24562-2024</t>
        </is>
      </c>
      <c r="B693" s="1" t="n">
        <v>45460</v>
      </c>
      <c r="C693" s="1" t="n">
        <v>45929</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10807-2023</t>
        </is>
      </c>
      <c r="B694" s="1" t="n">
        <v>44989.64261574074</v>
      </c>
      <c r="C694" s="1" t="n">
        <v>45929</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7381-2025</t>
        </is>
      </c>
      <c r="B695" s="1" t="n">
        <v>45705.32234953704</v>
      </c>
      <c r="C695" s="1" t="n">
        <v>45929</v>
      </c>
      <c r="D695" t="inlineStr">
        <is>
          <t>KALMAR LÄN</t>
        </is>
      </c>
      <c r="E695" t="inlineStr">
        <is>
          <t>VÄSTERVIK</t>
        </is>
      </c>
      <c r="F695" t="inlineStr">
        <is>
          <t>Kyrkan</t>
        </is>
      </c>
      <c r="G695" t="n">
        <v>4.1</v>
      </c>
      <c r="H695" t="n">
        <v>0</v>
      </c>
      <c r="I695" t="n">
        <v>0</v>
      </c>
      <c r="J695" t="n">
        <v>0</v>
      </c>
      <c r="K695" t="n">
        <v>0</v>
      </c>
      <c r="L695" t="n">
        <v>0</v>
      </c>
      <c r="M695" t="n">
        <v>0</v>
      </c>
      <c r="N695" t="n">
        <v>0</v>
      </c>
      <c r="O695" t="n">
        <v>0</v>
      </c>
      <c r="P695" t="n">
        <v>0</v>
      </c>
      <c r="Q695" t="n">
        <v>0</v>
      </c>
      <c r="R695" s="2" t="inlineStr"/>
    </row>
    <row r="696" ht="15" customHeight="1">
      <c r="A696" t="inlineStr">
        <is>
          <t>A 9110-2023</t>
        </is>
      </c>
      <c r="B696" s="1" t="n">
        <v>44979</v>
      </c>
      <c r="C696" s="1" t="n">
        <v>45929</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9112-2023</t>
        </is>
      </c>
      <c r="B697" s="1" t="n">
        <v>44979</v>
      </c>
      <c r="C697" s="1" t="n">
        <v>45929</v>
      </c>
      <c r="D697" t="inlineStr">
        <is>
          <t>KALMAR LÄN</t>
        </is>
      </c>
      <c r="E697" t="inlineStr">
        <is>
          <t>VÄSTERVIK</t>
        </is>
      </c>
      <c r="G697" t="n">
        <v>1.8</v>
      </c>
      <c r="H697" t="n">
        <v>0</v>
      </c>
      <c r="I697" t="n">
        <v>0</v>
      </c>
      <c r="J697" t="n">
        <v>0</v>
      </c>
      <c r="K697" t="n">
        <v>0</v>
      </c>
      <c r="L697" t="n">
        <v>0</v>
      </c>
      <c r="M697" t="n">
        <v>0</v>
      </c>
      <c r="N697" t="n">
        <v>0</v>
      </c>
      <c r="O697" t="n">
        <v>0</v>
      </c>
      <c r="P697" t="n">
        <v>0</v>
      </c>
      <c r="Q697" t="n">
        <v>0</v>
      </c>
      <c r="R697" s="2" t="inlineStr"/>
    </row>
    <row r="698" ht="15" customHeight="1">
      <c r="A698" t="inlineStr">
        <is>
          <t>A 17315-2023</t>
        </is>
      </c>
      <c r="B698" s="1" t="n">
        <v>45035.54475694444</v>
      </c>
      <c r="C698" s="1" t="n">
        <v>45929</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22740-2024</t>
        </is>
      </c>
      <c r="B699" s="1" t="n">
        <v>45448.39869212963</v>
      </c>
      <c r="C699" s="1" t="n">
        <v>45929</v>
      </c>
      <c r="D699" t="inlineStr">
        <is>
          <t>KALMAR LÄN</t>
        </is>
      </c>
      <c r="E699" t="inlineStr">
        <is>
          <t>VÄSTERVIK</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32763-2022</t>
        </is>
      </c>
      <c r="B700" s="1" t="n">
        <v>44783</v>
      </c>
      <c r="C700" s="1" t="n">
        <v>45929</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24829-2022</t>
        </is>
      </c>
      <c r="B701" s="1" t="n">
        <v>44728.45674768519</v>
      </c>
      <c r="C701" s="1" t="n">
        <v>45929</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14529-2022</t>
        </is>
      </c>
      <c r="B702" s="1" t="n">
        <v>44655</v>
      </c>
      <c r="C702" s="1" t="n">
        <v>45929</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4461-2025</t>
        </is>
      </c>
      <c r="B703" s="1" t="n">
        <v>45686</v>
      </c>
      <c r="C703" s="1" t="n">
        <v>45929</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c r="U703">
        <f>HYPERLINK("https://klasma.github.io/Logging_0883/knärot/A 4461-2025 karta knärot.png", "A 4461-2025")</f>
        <v/>
      </c>
      <c r="V703">
        <f>HYPERLINK("https://klasma.github.io/Logging_0883/klagomål/A 4461-2025 FSC-klagomål.docx", "A 4461-2025")</f>
        <v/>
      </c>
      <c r="W703">
        <f>HYPERLINK("https://klasma.github.io/Logging_0883/klagomålsmail/A 4461-2025 FSC-klagomål mail.docx", "A 4461-2025")</f>
        <v/>
      </c>
      <c r="X703">
        <f>HYPERLINK("https://klasma.github.io/Logging_0883/tillsyn/A 4461-2025 tillsynsbegäran.docx", "A 4461-2025")</f>
        <v/>
      </c>
      <c r="Y703">
        <f>HYPERLINK("https://klasma.github.io/Logging_0883/tillsynsmail/A 4461-2025 tillsynsbegäran mail.docx", "A 4461-2025")</f>
        <v/>
      </c>
    </row>
    <row r="704" ht="15" customHeight="1">
      <c r="A704" t="inlineStr">
        <is>
          <t>A 38442-2025</t>
        </is>
      </c>
      <c r="B704" s="1" t="n">
        <v>45883</v>
      </c>
      <c r="C704" s="1" t="n">
        <v>45929</v>
      </c>
      <c r="D704" t="inlineStr">
        <is>
          <t>KALMAR LÄN</t>
        </is>
      </c>
      <c r="E704" t="inlineStr">
        <is>
          <t>VÄSTERVIK</t>
        </is>
      </c>
      <c r="G704" t="n">
        <v>3.5</v>
      </c>
      <c r="H704" t="n">
        <v>0</v>
      </c>
      <c r="I704" t="n">
        <v>0</v>
      </c>
      <c r="J704" t="n">
        <v>0</v>
      </c>
      <c r="K704" t="n">
        <v>0</v>
      </c>
      <c r="L704" t="n">
        <v>0</v>
      </c>
      <c r="M704" t="n">
        <v>0</v>
      </c>
      <c r="N704" t="n">
        <v>0</v>
      </c>
      <c r="O704" t="n">
        <v>0</v>
      </c>
      <c r="P704" t="n">
        <v>0</v>
      </c>
      <c r="Q704" t="n">
        <v>0</v>
      </c>
      <c r="R704" s="2" t="inlineStr"/>
    </row>
    <row r="705" ht="15" customHeight="1">
      <c r="A705" t="inlineStr">
        <is>
          <t>A 10778-2025</t>
        </is>
      </c>
      <c r="B705" s="1" t="n">
        <v>45722</v>
      </c>
      <c r="C705" s="1" t="n">
        <v>45929</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34958-2021</t>
        </is>
      </c>
      <c r="B706" s="1" t="n">
        <v>44383</v>
      </c>
      <c r="C706" s="1" t="n">
        <v>45929</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34672-2022</t>
        </is>
      </c>
      <c r="B707" s="1" t="n">
        <v>44795.48444444445</v>
      </c>
      <c r="C707" s="1" t="n">
        <v>45929</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2866-2025</t>
        </is>
      </c>
      <c r="B708" s="1" t="n">
        <v>45677.67711805556</v>
      </c>
      <c r="C708" s="1" t="n">
        <v>45929</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42130-2022</t>
        </is>
      </c>
      <c r="B709" s="1" t="n">
        <v>44830</v>
      </c>
      <c r="C709" s="1" t="n">
        <v>45929</v>
      </c>
      <c r="D709" t="inlineStr">
        <is>
          <t>KALMAR LÄN</t>
        </is>
      </c>
      <c r="E709" t="inlineStr">
        <is>
          <t>VÄSTERVIK</t>
        </is>
      </c>
      <c r="G709" t="n">
        <v>1.8</v>
      </c>
      <c r="H709" t="n">
        <v>0</v>
      </c>
      <c r="I709" t="n">
        <v>0</v>
      </c>
      <c r="J709" t="n">
        <v>0</v>
      </c>
      <c r="K709" t="n">
        <v>0</v>
      </c>
      <c r="L709" t="n">
        <v>0</v>
      </c>
      <c r="M709" t="n">
        <v>0</v>
      </c>
      <c r="N709" t="n">
        <v>0</v>
      </c>
      <c r="O709" t="n">
        <v>0</v>
      </c>
      <c r="P709" t="n">
        <v>0</v>
      </c>
      <c r="Q709" t="n">
        <v>0</v>
      </c>
      <c r="R709" s="2" t="inlineStr"/>
    </row>
    <row r="710" ht="15" customHeight="1">
      <c r="A710" t="inlineStr">
        <is>
          <t>A 2951-2025</t>
        </is>
      </c>
      <c r="B710" s="1" t="n">
        <v>45678</v>
      </c>
      <c r="C710" s="1" t="n">
        <v>45929</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12455-2025</t>
        </is>
      </c>
      <c r="B711" s="1" t="n">
        <v>45730</v>
      </c>
      <c r="C711" s="1" t="n">
        <v>45929</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47267-2023</t>
        </is>
      </c>
      <c r="B712" s="1" t="n">
        <v>45202.42667824074</v>
      </c>
      <c r="C712" s="1" t="n">
        <v>45929</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57802-2024</t>
        </is>
      </c>
      <c r="B713" s="1" t="n">
        <v>45631.34590277778</v>
      </c>
      <c r="C713" s="1" t="n">
        <v>45929</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29404-2024</t>
        </is>
      </c>
      <c r="B714" s="1" t="n">
        <v>45483</v>
      </c>
      <c r="C714" s="1" t="n">
        <v>45929</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17214-2024</t>
        </is>
      </c>
      <c r="B715" s="1" t="n">
        <v>45414</v>
      </c>
      <c r="C715" s="1" t="n">
        <v>45929</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15021-2025</t>
        </is>
      </c>
      <c r="B716" s="1" t="n">
        <v>45743.64482638889</v>
      </c>
      <c r="C716" s="1" t="n">
        <v>45929</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45148.85041666667</v>
      </c>
      <c r="C717" s="1" t="n">
        <v>45929</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4496-2022</t>
        </is>
      </c>
      <c r="B718" s="1" t="n">
        <v>44589.67060185185</v>
      </c>
      <c r="C718" s="1" t="n">
        <v>45929</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69098-2020</t>
        </is>
      </c>
      <c r="B719" s="1" t="n">
        <v>44187</v>
      </c>
      <c r="C719" s="1" t="n">
        <v>45929</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10808-2025</t>
        </is>
      </c>
      <c r="B720" s="1" t="n">
        <v>45722.53427083333</v>
      </c>
      <c r="C720" s="1" t="n">
        <v>45929</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14080-2025</t>
        </is>
      </c>
      <c r="B721" s="1" t="n">
        <v>45740.43785879629</v>
      </c>
      <c r="C721" s="1" t="n">
        <v>45929</v>
      </c>
      <c r="D721" t="inlineStr">
        <is>
          <t>KALMAR LÄN</t>
        </is>
      </c>
      <c r="E721" t="inlineStr">
        <is>
          <t>VÄSTERVIK</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43199-2024</t>
        </is>
      </c>
      <c r="B722" s="1" t="n">
        <v>45567.68774305555</v>
      </c>
      <c r="C722" s="1" t="n">
        <v>45929</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56046-2023</t>
        </is>
      </c>
      <c r="B723" s="1" t="n">
        <v>45240.45217592592</v>
      </c>
      <c r="C723" s="1" t="n">
        <v>45929</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6346-2023</t>
        </is>
      </c>
      <c r="B724" s="1" t="n">
        <v>44960</v>
      </c>
      <c r="C724" s="1" t="n">
        <v>45929</v>
      </c>
      <c r="D724" t="inlineStr">
        <is>
          <t>KALMAR LÄN</t>
        </is>
      </c>
      <c r="E724" t="inlineStr">
        <is>
          <t>VÄSTERVIK</t>
        </is>
      </c>
      <c r="G724" t="n">
        <v>4.5</v>
      </c>
      <c r="H724" t="n">
        <v>0</v>
      </c>
      <c r="I724" t="n">
        <v>0</v>
      </c>
      <c r="J724" t="n">
        <v>0</v>
      </c>
      <c r="K724" t="n">
        <v>0</v>
      </c>
      <c r="L724" t="n">
        <v>0</v>
      </c>
      <c r="M724" t="n">
        <v>0</v>
      </c>
      <c r="N724" t="n">
        <v>0</v>
      </c>
      <c r="O724" t="n">
        <v>0</v>
      </c>
      <c r="P724" t="n">
        <v>0</v>
      </c>
      <c r="Q724" t="n">
        <v>0</v>
      </c>
      <c r="R724" s="2" t="inlineStr"/>
    </row>
    <row r="725" ht="15" customHeight="1">
      <c r="A725" t="inlineStr">
        <is>
          <t>A 47124-2023</t>
        </is>
      </c>
      <c r="B725" s="1" t="n">
        <v>45201</v>
      </c>
      <c r="C725" s="1" t="n">
        <v>45929</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26285-2024</t>
        </is>
      </c>
      <c r="B726" s="1" t="n">
        <v>45468.70357638889</v>
      </c>
      <c r="C726" s="1" t="n">
        <v>45929</v>
      </c>
      <c r="D726" t="inlineStr">
        <is>
          <t>KALMAR LÄN</t>
        </is>
      </c>
      <c r="E726" t="inlineStr">
        <is>
          <t>VÄSTERVIK</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9037-2023</t>
        </is>
      </c>
      <c r="B727" s="1" t="n">
        <v>44979.65015046296</v>
      </c>
      <c r="C727" s="1" t="n">
        <v>45929</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50086-2023</t>
        </is>
      </c>
      <c r="B728" s="1" t="n">
        <v>45215.59601851852</v>
      </c>
      <c r="C728" s="1" t="n">
        <v>45929</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13275-2023</t>
        </is>
      </c>
      <c r="B729" s="1" t="n">
        <v>45003</v>
      </c>
      <c r="C729" s="1" t="n">
        <v>45929</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c r="U729">
        <f>HYPERLINK("https://klasma.github.io/Logging_0883/knärot/A 13275-2023 karta knärot.png", "A 13275-2023")</f>
        <v/>
      </c>
      <c r="V729">
        <f>HYPERLINK("https://klasma.github.io/Logging_0883/klagomål/A 13275-2023 FSC-klagomål.docx", "A 13275-2023")</f>
        <v/>
      </c>
      <c r="W729">
        <f>HYPERLINK("https://klasma.github.io/Logging_0883/klagomålsmail/A 13275-2023 FSC-klagomål mail.docx", "A 13275-2023")</f>
        <v/>
      </c>
      <c r="X729">
        <f>HYPERLINK("https://klasma.github.io/Logging_0883/tillsyn/A 13275-2023 tillsynsbegäran.docx", "A 13275-2023")</f>
        <v/>
      </c>
      <c r="Y729">
        <f>HYPERLINK("https://klasma.github.io/Logging_0883/tillsynsmail/A 13275-2023 tillsynsbegäran mail.docx", "A 13275-2023")</f>
        <v/>
      </c>
    </row>
    <row r="730" ht="15" customHeight="1">
      <c r="A730" t="inlineStr">
        <is>
          <t>A 17200-2021</t>
        </is>
      </c>
      <c r="B730" s="1" t="n">
        <v>44298.47847222222</v>
      </c>
      <c r="C730" s="1" t="n">
        <v>45929</v>
      </c>
      <c r="D730" t="inlineStr">
        <is>
          <t>KALMAR LÄN</t>
        </is>
      </c>
      <c r="E730" t="inlineStr">
        <is>
          <t>VÄSTERVIK</t>
        </is>
      </c>
      <c r="G730" t="n">
        <v>3.4</v>
      </c>
      <c r="H730" t="n">
        <v>0</v>
      </c>
      <c r="I730" t="n">
        <v>0</v>
      </c>
      <c r="J730" t="n">
        <v>0</v>
      </c>
      <c r="K730" t="n">
        <v>0</v>
      </c>
      <c r="L730" t="n">
        <v>0</v>
      </c>
      <c r="M730" t="n">
        <v>0</v>
      </c>
      <c r="N730" t="n">
        <v>0</v>
      </c>
      <c r="O730" t="n">
        <v>0</v>
      </c>
      <c r="P730" t="n">
        <v>0</v>
      </c>
      <c r="Q730" t="n">
        <v>0</v>
      </c>
      <c r="R730" s="2" t="inlineStr"/>
    </row>
    <row r="731" ht="15" customHeight="1">
      <c r="A731" t="inlineStr">
        <is>
          <t>A 46790-2022</t>
        </is>
      </c>
      <c r="B731" s="1" t="n">
        <v>44851</v>
      </c>
      <c r="C731" s="1" t="n">
        <v>45929</v>
      </c>
      <c r="D731" t="inlineStr">
        <is>
          <t>KALMAR LÄN</t>
        </is>
      </c>
      <c r="E731" t="inlineStr">
        <is>
          <t>VÄSTERVIK</t>
        </is>
      </c>
      <c r="G731" t="n">
        <v>9.9</v>
      </c>
      <c r="H731" t="n">
        <v>0</v>
      </c>
      <c r="I731" t="n">
        <v>0</v>
      </c>
      <c r="J731" t="n">
        <v>0</v>
      </c>
      <c r="K731" t="n">
        <v>0</v>
      </c>
      <c r="L731" t="n">
        <v>0</v>
      </c>
      <c r="M731" t="n">
        <v>0</v>
      </c>
      <c r="N731" t="n">
        <v>0</v>
      </c>
      <c r="O731" t="n">
        <v>0</v>
      </c>
      <c r="P731" t="n">
        <v>0</v>
      </c>
      <c r="Q731" t="n">
        <v>0</v>
      </c>
      <c r="R731" s="2" t="inlineStr"/>
    </row>
    <row r="732" ht="15" customHeight="1">
      <c r="A732" t="inlineStr">
        <is>
          <t>A 9042-2023</t>
        </is>
      </c>
      <c r="B732" s="1" t="n">
        <v>44979</v>
      </c>
      <c r="C732" s="1" t="n">
        <v>45929</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782-2024</t>
        </is>
      </c>
      <c r="B733" s="1" t="n">
        <v>45300.55188657407</v>
      </c>
      <c r="C733" s="1" t="n">
        <v>45929</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50127-2023</t>
        </is>
      </c>
      <c r="B734" s="1" t="n">
        <v>45215.65043981482</v>
      </c>
      <c r="C734" s="1" t="n">
        <v>45929</v>
      </c>
      <c r="D734" t="inlineStr">
        <is>
          <t>KALMAR LÄN</t>
        </is>
      </c>
      <c r="E734" t="inlineStr">
        <is>
          <t>VÄSTERVIK</t>
        </is>
      </c>
      <c r="G734" t="n">
        <v>1.2</v>
      </c>
      <c r="H734" t="n">
        <v>0</v>
      </c>
      <c r="I734" t="n">
        <v>0</v>
      </c>
      <c r="J734" t="n">
        <v>0</v>
      </c>
      <c r="K734" t="n">
        <v>0</v>
      </c>
      <c r="L734" t="n">
        <v>0</v>
      </c>
      <c r="M734" t="n">
        <v>0</v>
      </c>
      <c r="N734" t="n">
        <v>0</v>
      </c>
      <c r="O734" t="n">
        <v>0</v>
      </c>
      <c r="P734" t="n">
        <v>0</v>
      </c>
      <c r="Q734" t="n">
        <v>0</v>
      </c>
      <c r="R734" s="2" t="inlineStr"/>
    </row>
    <row r="735" ht="15" customHeight="1">
      <c r="A735" t="inlineStr">
        <is>
          <t>A 15379-2025</t>
        </is>
      </c>
      <c r="B735" s="1" t="n">
        <v>45747.40813657407</v>
      </c>
      <c r="C735" s="1" t="n">
        <v>45929</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69753-2021</t>
        </is>
      </c>
      <c r="B736" s="1" t="n">
        <v>44532.56175925926</v>
      </c>
      <c r="C736" s="1" t="n">
        <v>45929</v>
      </c>
      <c r="D736" t="inlineStr">
        <is>
          <t>KALMAR LÄN</t>
        </is>
      </c>
      <c r="E736" t="inlineStr">
        <is>
          <t>VÄSTERVIK</t>
        </is>
      </c>
      <c r="G736" t="n">
        <v>3.2</v>
      </c>
      <c r="H736" t="n">
        <v>0</v>
      </c>
      <c r="I736" t="n">
        <v>0</v>
      </c>
      <c r="J736" t="n">
        <v>0</v>
      </c>
      <c r="K736" t="n">
        <v>0</v>
      </c>
      <c r="L736" t="n">
        <v>0</v>
      </c>
      <c r="M736" t="n">
        <v>0</v>
      </c>
      <c r="N736" t="n">
        <v>0</v>
      </c>
      <c r="O736" t="n">
        <v>0</v>
      </c>
      <c r="P736" t="n">
        <v>0</v>
      </c>
      <c r="Q736" t="n">
        <v>0</v>
      </c>
      <c r="R736" s="2" t="inlineStr"/>
    </row>
    <row r="737" ht="15" customHeight="1">
      <c r="A737" t="inlineStr">
        <is>
          <t>A 62304-2022</t>
        </is>
      </c>
      <c r="B737" s="1" t="n">
        <v>44923.46215277778</v>
      </c>
      <c r="C737" s="1" t="n">
        <v>45929</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62306-2022</t>
        </is>
      </c>
      <c r="B738" s="1" t="n">
        <v>44923</v>
      </c>
      <c r="C738" s="1" t="n">
        <v>45929</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808-2023</t>
        </is>
      </c>
      <c r="B739" s="1" t="n">
        <v>44931</v>
      </c>
      <c r="C739" s="1" t="n">
        <v>45929</v>
      </c>
      <c r="D739" t="inlineStr">
        <is>
          <t>KALMAR LÄN</t>
        </is>
      </c>
      <c r="E739" t="inlineStr">
        <is>
          <t>VÄSTERVIK</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23080-2023</t>
        </is>
      </c>
      <c r="B740" s="1" t="n">
        <v>45075</v>
      </c>
      <c r="C740" s="1" t="n">
        <v>45929</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33204-2022</t>
        </is>
      </c>
      <c r="B741" s="1" t="n">
        <v>44785</v>
      </c>
      <c r="C741" s="1" t="n">
        <v>45929</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39983-2024</t>
        </is>
      </c>
      <c r="B742" s="1" t="n">
        <v>45553.61674768518</v>
      </c>
      <c r="C742" s="1" t="n">
        <v>45929</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20204-2021</t>
        </is>
      </c>
      <c r="B743" s="1" t="n">
        <v>44314</v>
      </c>
      <c r="C743" s="1" t="n">
        <v>45929</v>
      </c>
      <c r="D743" t="inlineStr">
        <is>
          <t>KALMAR LÄN</t>
        </is>
      </c>
      <c r="E743" t="inlineStr">
        <is>
          <t>VÄSTERVIK</t>
        </is>
      </c>
      <c r="F743" t="inlineStr">
        <is>
          <t>Holmen skog AB</t>
        </is>
      </c>
      <c r="G743" t="n">
        <v>12.1</v>
      </c>
      <c r="H743" t="n">
        <v>0</v>
      </c>
      <c r="I743" t="n">
        <v>0</v>
      </c>
      <c r="J743" t="n">
        <v>0</v>
      </c>
      <c r="K743" t="n">
        <v>0</v>
      </c>
      <c r="L743" t="n">
        <v>0</v>
      </c>
      <c r="M743" t="n">
        <v>0</v>
      </c>
      <c r="N743" t="n">
        <v>0</v>
      </c>
      <c r="O743" t="n">
        <v>0</v>
      </c>
      <c r="P743" t="n">
        <v>0</v>
      </c>
      <c r="Q743" t="n">
        <v>0</v>
      </c>
      <c r="R743" s="2" t="inlineStr"/>
    </row>
    <row r="744" ht="15" customHeight="1">
      <c r="A744" t="inlineStr">
        <is>
          <t>A 11167-2024</t>
        </is>
      </c>
      <c r="B744" s="1" t="n">
        <v>45371.4966087963</v>
      </c>
      <c r="C744" s="1" t="n">
        <v>45929</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11741-2023</t>
        </is>
      </c>
      <c r="B745" s="1" t="n">
        <v>44994.58689814815</v>
      </c>
      <c r="C745" s="1" t="n">
        <v>45929</v>
      </c>
      <c r="D745" t="inlineStr">
        <is>
          <t>KALMAR LÄN</t>
        </is>
      </c>
      <c r="E745" t="inlineStr">
        <is>
          <t>VÄSTERVIK</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55828-2022</t>
        </is>
      </c>
      <c r="B746" s="1" t="n">
        <v>44888</v>
      </c>
      <c r="C746" s="1" t="n">
        <v>45929</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3555-2021</t>
        </is>
      </c>
      <c r="B747" s="1" t="n">
        <v>44218</v>
      </c>
      <c r="C747" s="1" t="n">
        <v>45929</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11120-2025</t>
        </is>
      </c>
      <c r="B748" s="1" t="n">
        <v>45723.63655092593</v>
      </c>
      <c r="C748" s="1" t="n">
        <v>45929</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11122-2025</t>
        </is>
      </c>
      <c r="B749" s="1" t="n">
        <v>45723.63827546296</v>
      </c>
      <c r="C749" s="1" t="n">
        <v>45929</v>
      </c>
      <c r="D749" t="inlineStr">
        <is>
          <t>KALMAR LÄN</t>
        </is>
      </c>
      <c r="E749" t="inlineStr">
        <is>
          <t>VÄSTERVIK</t>
        </is>
      </c>
      <c r="G749" t="n">
        <v>0.3</v>
      </c>
      <c r="H749" t="n">
        <v>0</v>
      </c>
      <c r="I749" t="n">
        <v>0</v>
      </c>
      <c r="J749" t="n">
        <v>0</v>
      </c>
      <c r="K749" t="n">
        <v>0</v>
      </c>
      <c r="L749" t="n">
        <v>0</v>
      </c>
      <c r="M749" t="n">
        <v>0</v>
      </c>
      <c r="N749" t="n">
        <v>0</v>
      </c>
      <c r="O749" t="n">
        <v>0</v>
      </c>
      <c r="P749" t="n">
        <v>0</v>
      </c>
      <c r="Q749" t="n">
        <v>0</v>
      </c>
      <c r="R749" s="2" t="inlineStr"/>
    </row>
    <row r="750" ht="15" customHeight="1">
      <c r="A750" t="inlineStr">
        <is>
          <t>A 16680-2025</t>
        </is>
      </c>
      <c r="B750" s="1" t="n">
        <v>45754.44952546297</v>
      </c>
      <c r="C750" s="1" t="n">
        <v>45929</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16691-2025</t>
        </is>
      </c>
      <c r="B751" s="1" t="n">
        <v>45754.46086805555</v>
      </c>
      <c r="C751" s="1" t="n">
        <v>45929</v>
      </c>
      <c r="D751" t="inlineStr">
        <is>
          <t>KALMAR LÄN</t>
        </is>
      </c>
      <c r="E751" t="inlineStr">
        <is>
          <t>VÄSTERVIK</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53077-2024</t>
        </is>
      </c>
      <c r="B752" s="1" t="n">
        <v>45611.49178240741</v>
      </c>
      <c r="C752" s="1" t="n">
        <v>45929</v>
      </c>
      <c r="D752" t="inlineStr">
        <is>
          <t>KALMAR LÄN</t>
        </is>
      </c>
      <c r="E752" t="inlineStr">
        <is>
          <t>VÄSTERVIK</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8597-2023</t>
        </is>
      </c>
      <c r="B753" s="1" t="n">
        <v>44977</v>
      </c>
      <c r="C753" s="1" t="n">
        <v>45929</v>
      </c>
      <c r="D753" t="inlineStr">
        <is>
          <t>KALMAR LÄN</t>
        </is>
      </c>
      <c r="E753" t="inlineStr">
        <is>
          <t>VÄSTERVIK</t>
        </is>
      </c>
      <c r="G753" t="n">
        <v>0.2</v>
      </c>
      <c r="H753" t="n">
        <v>0</v>
      </c>
      <c r="I753" t="n">
        <v>0</v>
      </c>
      <c r="J753" t="n">
        <v>0</v>
      </c>
      <c r="K753" t="n">
        <v>0</v>
      </c>
      <c r="L753" t="n">
        <v>0</v>
      </c>
      <c r="M753" t="n">
        <v>0</v>
      </c>
      <c r="N753" t="n">
        <v>0</v>
      </c>
      <c r="O753" t="n">
        <v>0</v>
      </c>
      <c r="P753" t="n">
        <v>0</v>
      </c>
      <c r="Q753" t="n">
        <v>0</v>
      </c>
      <c r="R753" s="2" t="inlineStr"/>
    </row>
    <row r="754" ht="15" customHeight="1">
      <c r="A754" t="inlineStr">
        <is>
          <t>A 28222-2024</t>
        </is>
      </c>
      <c r="B754" s="1" t="n">
        <v>45477.36993055556</v>
      </c>
      <c r="C754" s="1" t="n">
        <v>45929</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21831-2023</t>
        </is>
      </c>
      <c r="B755" s="1" t="n">
        <v>45068</v>
      </c>
      <c r="C755" s="1" t="n">
        <v>45929</v>
      </c>
      <c r="D755" t="inlineStr">
        <is>
          <t>KALMAR LÄN</t>
        </is>
      </c>
      <c r="E755" t="inlineStr">
        <is>
          <t>VÄSTERVIK</t>
        </is>
      </c>
      <c r="G755" t="n">
        <v>0.4</v>
      </c>
      <c r="H755" t="n">
        <v>0</v>
      </c>
      <c r="I755" t="n">
        <v>0</v>
      </c>
      <c r="J755" t="n">
        <v>0</v>
      </c>
      <c r="K755" t="n">
        <v>0</v>
      </c>
      <c r="L755" t="n">
        <v>0</v>
      </c>
      <c r="M755" t="n">
        <v>0</v>
      </c>
      <c r="N755" t="n">
        <v>0</v>
      </c>
      <c r="O755" t="n">
        <v>0</v>
      </c>
      <c r="P755" t="n">
        <v>0</v>
      </c>
      <c r="Q755" t="n">
        <v>0</v>
      </c>
      <c r="R755" s="2" t="inlineStr"/>
    </row>
    <row r="756" ht="15" customHeight="1">
      <c r="A756" t="inlineStr">
        <is>
          <t>A 7165-2025</t>
        </is>
      </c>
      <c r="B756" s="1" t="n">
        <v>45702.39491898148</v>
      </c>
      <c r="C756" s="1" t="n">
        <v>45929</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33969-2024</t>
        </is>
      </c>
      <c r="B757" s="1" t="n">
        <v>45523.49450231482</v>
      </c>
      <c r="C757" s="1" t="n">
        <v>45929</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23316-2023</t>
        </is>
      </c>
      <c r="B758" s="1" t="n">
        <v>45076.02563657407</v>
      </c>
      <c r="C758" s="1" t="n">
        <v>45929</v>
      </c>
      <c r="D758" t="inlineStr">
        <is>
          <t>KALMAR LÄN</t>
        </is>
      </c>
      <c r="E758" t="inlineStr">
        <is>
          <t>VÄSTERVIK</t>
        </is>
      </c>
      <c r="G758" t="n">
        <v>3.6</v>
      </c>
      <c r="H758" t="n">
        <v>0</v>
      </c>
      <c r="I758" t="n">
        <v>0</v>
      </c>
      <c r="J758" t="n">
        <v>0</v>
      </c>
      <c r="K758" t="n">
        <v>0</v>
      </c>
      <c r="L758" t="n">
        <v>0</v>
      </c>
      <c r="M758" t="n">
        <v>0</v>
      </c>
      <c r="N758" t="n">
        <v>0</v>
      </c>
      <c r="O758" t="n">
        <v>0</v>
      </c>
      <c r="P758" t="n">
        <v>0</v>
      </c>
      <c r="Q758" t="n">
        <v>0</v>
      </c>
      <c r="R758" s="2" t="inlineStr"/>
    </row>
    <row r="759" ht="15" customHeight="1">
      <c r="A759" t="inlineStr">
        <is>
          <t>A 29952-2022</t>
        </is>
      </c>
      <c r="B759" s="1" t="n">
        <v>44756.62649305556</v>
      </c>
      <c r="C759" s="1" t="n">
        <v>45929</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9269-2025</t>
        </is>
      </c>
      <c r="B760" s="1" t="n">
        <v>45714.61543981481</v>
      </c>
      <c r="C760" s="1" t="n">
        <v>45929</v>
      </c>
      <c r="D760" t="inlineStr">
        <is>
          <t>KALMAR LÄN</t>
        </is>
      </c>
      <c r="E760" t="inlineStr">
        <is>
          <t>VÄSTERVIK</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63361-2023</t>
        </is>
      </c>
      <c r="B761" s="1" t="n">
        <v>45274.46324074074</v>
      </c>
      <c r="C761" s="1" t="n">
        <v>45929</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9267-2025</t>
        </is>
      </c>
      <c r="B762" s="1" t="n">
        <v>45714.61418981481</v>
      </c>
      <c r="C762" s="1" t="n">
        <v>45929</v>
      </c>
      <c r="D762" t="inlineStr">
        <is>
          <t>KALMAR LÄN</t>
        </is>
      </c>
      <c r="E762" t="inlineStr">
        <is>
          <t>VÄSTERVIK</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5348-2024</t>
        </is>
      </c>
      <c r="B763" s="1" t="n">
        <v>45331</v>
      </c>
      <c r="C763" s="1" t="n">
        <v>45929</v>
      </c>
      <c r="D763" t="inlineStr">
        <is>
          <t>KALMAR LÄN</t>
        </is>
      </c>
      <c r="E763" t="inlineStr">
        <is>
          <t>VÄSTERVIK</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46562-2022</t>
        </is>
      </c>
      <c r="B764" s="1" t="n">
        <v>44848</v>
      </c>
      <c r="C764" s="1" t="n">
        <v>45929</v>
      </c>
      <c r="D764" t="inlineStr">
        <is>
          <t>KALMAR LÄN</t>
        </is>
      </c>
      <c r="E764" t="inlineStr">
        <is>
          <t>VÄSTERVIK</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32822-2021</t>
        </is>
      </c>
      <c r="B765" s="1" t="n">
        <v>44375</v>
      </c>
      <c r="C765" s="1" t="n">
        <v>45929</v>
      </c>
      <c r="D765" t="inlineStr">
        <is>
          <t>KALMAR LÄN</t>
        </is>
      </c>
      <c r="E765" t="inlineStr">
        <is>
          <t>VÄSTERVIK</t>
        </is>
      </c>
      <c r="G765" t="n">
        <v>5.1</v>
      </c>
      <c r="H765" t="n">
        <v>0</v>
      </c>
      <c r="I765" t="n">
        <v>0</v>
      </c>
      <c r="J765" t="n">
        <v>0</v>
      </c>
      <c r="K765" t="n">
        <v>0</v>
      </c>
      <c r="L765" t="n">
        <v>0</v>
      </c>
      <c r="M765" t="n">
        <v>0</v>
      </c>
      <c r="N765" t="n">
        <v>0</v>
      </c>
      <c r="O765" t="n">
        <v>0</v>
      </c>
      <c r="P765" t="n">
        <v>0</v>
      </c>
      <c r="Q765" t="n">
        <v>0</v>
      </c>
      <c r="R765" s="2" t="inlineStr"/>
    </row>
    <row r="766" ht="15" customHeight="1">
      <c r="A766" t="inlineStr">
        <is>
          <t>A 16692-2025</t>
        </is>
      </c>
      <c r="B766" s="1" t="n">
        <v>45754.4621412037</v>
      </c>
      <c r="C766" s="1" t="n">
        <v>45929</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54569-2023</t>
        </is>
      </c>
      <c r="B767" s="1" t="n">
        <v>45233.65532407408</v>
      </c>
      <c r="C767" s="1" t="n">
        <v>45929</v>
      </c>
      <c r="D767" t="inlineStr">
        <is>
          <t>KALMAR LÄN</t>
        </is>
      </c>
      <c r="E767" t="inlineStr">
        <is>
          <t>VÄSTERVIK</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10725-2023</t>
        </is>
      </c>
      <c r="B768" s="1" t="n">
        <v>44988.66966435185</v>
      </c>
      <c r="C768" s="1" t="n">
        <v>45929</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18880-2025</t>
        </is>
      </c>
      <c r="B769" s="1" t="n">
        <v>45764.43959490741</v>
      </c>
      <c r="C769" s="1" t="n">
        <v>45929</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7360-2023</t>
        </is>
      </c>
      <c r="B770" s="1" t="n">
        <v>44971</v>
      </c>
      <c r="C770" s="1" t="n">
        <v>45929</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17306-2023</t>
        </is>
      </c>
      <c r="B771" s="1" t="n">
        <v>45035</v>
      </c>
      <c r="C771" s="1" t="n">
        <v>45929</v>
      </c>
      <c r="D771" t="inlineStr">
        <is>
          <t>KALMAR LÄN</t>
        </is>
      </c>
      <c r="E771" t="inlineStr">
        <is>
          <t>VÄSTERVIK</t>
        </is>
      </c>
      <c r="G771" t="n">
        <v>4.3</v>
      </c>
      <c r="H771" t="n">
        <v>0</v>
      </c>
      <c r="I771" t="n">
        <v>0</v>
      </c>
      <c r="J771" t="n">
        <v>0</v>
      </c>
      <c r="K771" t="n">
        <v>0</v>
      </c>
      <c r="L771" t="n">
        <v>0</v>
      </c>
      <c r="M771" t="n">
        <v>0</v>
      </c>
      <c r="N771" t="n">
        <v>0</v>
      </c>
      <c r="O771" t="n">
        <v>0</v>
      </c>
      <c r="P771" t="n">
        <v>0</v>
      </c>
      <c r="Q771" t="n">
        <v>0</v>
      </c>
      <c r="R771" s="2" t="inlineStr"/>
    </row>
    <row r="772" ht="15" customHeight="1">
      <c r="A772" t="inlineStr">
        <is>
          <t>A 23317-2023</t>
        </is>
      </c>
      <c r="B772" s="1" t="n">
        <v>45076</v>
      </c>
      <c r="C772" s="1" t="n">
        <v>45929</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5691-2025</t>
        </is>
      </c>
      <c r="B773" s="1" t="n">
        <v>45694.37447916667</v>
      </c>
      <c r="C773" s="1" t="n">
        <v>45929</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17652-2023</t>
        </is>
      </c>
      <c r="B774" s="1" t="n">
        <v>45036.70626157407</v>
      </c>
      <c r="C774" s="1" t="n">
        <v>45929</v>
      </c>
      <c r="D774" t="inlineStr">
        <is>
          <t>KALMAR LÄN</t>
        </is>
      </c>
      <c r="E774" t="inlineStr">
        <is>
          <t>VÄSTERVIK</t>
        </is>
      </c>
      <c r="G774" t="n">
        <v>0.2</v>
      </c>
      <c r="H774" t="n">
        <v>0</v>
      </c>
      <c r="I774" t="n">
        <v>0</v>
      </c>
      <c r="J774" t="n">
        <v>0</v>
      </c>
      <c r="K774" t="n">
        <v>0</v>
      </c>
      <c r="L774" t="n">
        <v>0</v>
      </c>
      <c r="M774" t="n">
        <v>0</v>
      </c>
      <c r="N774" t="n">
        <v>0</v>
      </c>
      <c r="O774" t="n">
        <v>0</v>
      </c>
      <c r="P774" t="n">
        <v>0</v>
      </c>
      <c r="Q774" t="n">
        <v>0</v>
      </c>
      <c r="R774" s="2" t="inlineStr"/>
    </row>
    <row r="775" ht="15" customHeight="1">
      <c r="A775" t="inlineStr">
        <is>
          <t>A 2543-2024</t>
        </is>
      </c>
      <c r="B775" s="1" t="n">
        <v>45313</v>
      </c>
      <c r="C775" s="1" t="n">
        <v>45929</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49706-2024</t>
        </is>
      </c>
      <c r="B776" s="1" t="n">
        <v>45596.69706018519</v>
      </c>
      <c r="C776" s="1" t="n">
        <v>45929</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9220-2023</t>
        </is>
      </c>
      <c r="B777" s="1" t="n">
        <v>44980.52182870371</v>
      </c>
      <c r="C777" s="1" t="n">
        <v>45929</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19950-2025</t>
        </is>
      </c>
      <c r="B778" s="1" t="n">
        <v>45771.65724537037</v>
      </c>
      <c r="C778" s="1" t="n">
        <v>45929</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5060-2025</t>
        </is>
      </c>
      <c r="B779" s="1" t="n">
        <v>45691.47354166667</v>
      </c>
      <c r="C779" s="1" t="n">
        <v>45929</v>
      </c>
      <c r="D779" t="inlineStr">
        <is>
          <t>KALMAR LÄN</t>
        </is>
      </c>
      <c r="E779" t="inlineStr">
        <is>
          <t>VÄSTERVIK</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36418-2023</t>
        </is>
      </c>
      <c r="B780" s="1" t="n">
        <v>45152</v>
      </c>
      <c r="C780" s="1" t="n">
        <v>45929</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c r="U780">
        <f>HYPERLINK("https://klasma.github.io/Logging_0883/knärot/A 36418-2023 karta knärot.png", "A 36418-2023")</f>
        <v/>
      </c>
      <c r="V780">
        <f>HYPERLINK("https://klasma.github.io/Logging_0883/klagomål/A 36418-2023 FSC-klagomål.docx", "A 36418-2023")</f>
        <v/>
      </c>
      <c r="W780">
        <f>HYPERLINK("https://klasma.github.io/Logging_0883/klagomålsmail/A 36418-2023 FSC-klagomål mail.docx", "A 36418-2023")</f>
        <v/>
      </c>
      <c r="X780">
        <f>HYPERLINK("https://klasma.github.io/Logging_0883/tillsyn/A 36418-2023 tillsynsbegäran.docx", "A 36418-2023")</f>
        <v/>
      </c>
      <c r="Y780">
        <f>HYPERLINK("https://klasma.github.io/Logging_0883/tillsynsmail/A 36418-2023 tillsynsbegäran mail.docx", "A 36418-2023")</f>
        <v/>
      </c>
    </row>
    <row r="781" ht="15" customHeight="1">
      <c r="A781" t="inlineStr">
        <is>
          <t>A 57019-2023</t>
        </is>
      </c>
      <c r="B781" s="1" t="n">
        <v>45244</v>
      </c>
      <c r="C781" s="1" t="n">
        <v>45929</v>
      </c>
      <c r="D781" t="inlineStr">
        <is>
          <t>KALMAR LÄN</t>
        </is>
      </c>
      <c r="E781" t="inlineStr">
        <is>
          <t>VÄSTERVIK</t>
        </is>
      </c>
      <c r="G781" t="n">
        <v>2.2</v>
      </c>
      <c r="H781" t="n">
        <v>0</v>
      </c>
      <c r="I781" t="n">
        <v>0</v>
      </c>
      <c r="J781" t="n">
        <v>0</v>
      </c>
      <c r="K781" t="n">
        <v>0</v>
      </c>
      <c r="L781" t="n">
        <v>0</v>
      </c>
      <c r="M781" t="n">
        <v>0</v>
      </c>
      <c r="N781" t="n">
        <v>0</v>
      </c>
      <c r="O781" t="n">
        <v>0</v>
      </c>
      <c r="P781" t="n">
        <v>0</v>
      </c>
      <c r="Q781" t="n">
        <v>0</v>
      </c>
      <c r="R781" s="2" t="inlineStr"/>
    </row>
    <row r="782" ht="15" customHeight="1">
      <c r="A782" t="inlineStr">
        <is>
          <t>A 34646-2023</t>
        </is>
      </c>
      <c r="B782" s="1" t="n">
        <v>45140</v>
      </c>
      <c r="C782" s="1" t="n">
        <v>45929</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6941-2025</t>
        </is>
      </c>
      <c r="B783" s="1" t="n">
        <v>45701.46835648148</v>
      </c>
      <c r="C783" s="1" t="n">
        <v>45929</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37033-2021</t>
        </is>
      </c>
      <c r="B784" s="1" t="n">
        <v>44393</v>
      </c>
      <c r="C784" s="1" t="n">
        <v>45929</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37858-2023</t>
        </is>
      </c>
      <c r="B785" s="1" t="n">
        <v>45160.40577546296</v>
      </c>
      <c r="C785" s="1" t="n">
        <v>45929</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58707-2022</t>
        </is>
      </c>
      <c r="B786" s="1" t="n">
        <v>44902.80462962963</v>
      </c>
      <c r="C786" s="1" t="n">
        <v>45929</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65-2023</t>
        </is>
      </c>
      <c r="B787" s="1" t="n">
        <v>44928.44431712963</v>
      </c>
      <c r="C787" s="1" t="n">
        <v>45929</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14092-2025</t>
        </is>
      </c>
      <c r="B788" s="1" t="n">
        <v>45740.44686342592</v>
      </c>
      <c r="C788" s="1" t="n">
        <v>45929</v>
      </c>
      <c r="D788" t="inlineStr">
        <is>
          <t>KALMAR LÄN</t>
        </is>
      </c>
      <c r="E788" t="inlineStr">
        <is>
          <t>VÄSTERVIK</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25714-2023</t>
        </is>
      </c>
      <c r="B789" s="1" t="n">
        <v>45089</v>
      </c>
      <c r="C789" s="1" t="n">
        <v>45929</v>
      </c>
      <c r="D789" t="inlineStr">
        <is>
          <t>KALMAR LÄN</t>
        </is>
      </c>
      <c r="E789" t="inlineStr">
        <is>
          <t>VÄSTERVIK</t>
        </is>
      </c>
      <c r="G789" t="n">
        <v>10.5</v>
      </c>
      <c r="H789" t="n">
        <v>0</v>
      </c>
      <c r="I789" t="n">
        <v>0</v>
      </c>
      <c r="J789" t="n">
        <v>0</v>
      </c>
      <c r="K789" t="n">
        <v>0</v>
      </c>
      <c r="L789" t="n">
        <v>0</v>
      </c>
      <c r="M789" t="n">
        <v>0</v>
      </c>
      <c r="N789" t="n">
        <v>0</v>
      </c>
      <c r="O789" t="n">
        <v>0</v>
      </c>
      <c r="P789" t="n">
        <v>0</v>
      </c>
      <c r="Q789" t="n">
        <v>0</v>
      </c>
      <c r="R789" s="2" t="inlineStr"/>
    </row>
    <row r="790" ht="15" customHeight="1">
      <c r="A790" t="inlineStr">
        <is>
          <t>A 14072-2025</t>
        </is>
      </c>
      <c r="B790" s="1" t="n">
        <v>45740.42978009259</v>
      </c>
      <c r="C790" s="1" t="n">
        <v>45929</v>
      </c>
      <c r="D790" t="inlineStr">
        <is>
          <t>KALMAR LÄN</t>
        </is>
      </c>
      <c r="E790" t="inlineStr">
        <is>
          <t>VÄSTERVIK</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14075-2025</t>
        </is>
      </c>
      <c r="B791" s="1" t="n">
        <v>45740.43222222223</v>
      </c>
      <c r="C791" s="1" t="n">
        <v>45929</v>
      </c>
      <c r="D791" t="inlineStr">
        <is>
          <t>KALMAR LÄN</t>
        </is>
      </c>
      <c r="E791" t="inlineStr">
        <is>
          <t>VÄSTERVIK</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949-2024</t>
        </is>
      </c>
      <c r="B792" s="1" t="n">
        <v>45301</v>
      </c>
      <c r="C792" s="1" t="n">
        <v>45929</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29786-2024</t>
        </is>
      </c>
      <c r="B793" s="1" t="n">
        <v>45485.46388888889</v>
      </c>
      <c r="C793" s="1" t="n">
        <v>45929</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39278-2024</t>
        </is>
      </c>
      <c r="B794" s="1" t="n">
        <v>45551.35216435185</v>
      </c>
      <c r="C794" s="1" t="n">
        <v>45929</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21015-2025</t>
        </is>
      </c>
      <c r="B795" s="1" t="n">
        <v>45777.50200231482</v>
      </c>
      <c r="C795" s="1" t="n">
        <v>45929</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21503-2025</t>
        </is>
      </c>
      <c r="B796" s="1" t="n">
        <v>45782.61456018518</v>
      </c>
      <c r="C796" s="1" t="n">
        <v>45929</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45202-2023</t>
        </is>
      </c>
      <c r="B797" s="1" t="n">
        <v>45191</v>
      </c>
      <c r="C797" s="1" t="n">
        <v>45929</v>
      </c>
      <c r="D797" t="inlineStr">
        <is>
          <t>KALMAR LÄN</t>
        </is>
      </c>
      <c r="E797" t="inlineStr">
        <is>
          <t>VÄSTERVIK</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21657-2025</t>
        </is>
      </c>
      <c r="B798" s="1" t="n">
        <v>45783.45325231482</v>
      </c>
      <c r="C798" s="1" t="n">
        <v>45929</v>
      </c>
      <c r="D798" t="inlineStr">
        <is>
          <t>KALMAR LÄN</t>
        </is>
      </c>
      <c r="E798" t="inlineStr">
        <is>
          <t>VÄSTERVIK</t>
        </is>
      </c>
      <c r="F798" t="inlineStr">
        <is>
          <t>Sveaskog</t>
        </is>
      </c>
      <c r="G798" t="n">
        <v>5.8</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45929</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52845-2023</t>
        </is>
      </c>
      <c r="B800" s="1" t="n">
        <v>45226.43667824074</v>
      </c>
      <c r="C800" s="1" t="n">
        <v>45929</v>
      </c>
      <c r="D800" t="inlineStr">
        <is>
          <t>KALMAR LÄN</t>
        </is>
      </c>
      <c r="E800" t="inlineStr">
        <is>
          <t>VÄSTERVIK</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14114-2025</t>
        </is>
      </c>
      <c r="B801" s="1" t="n">
        <v>45740.45964120371</v>
      </c>
      <c r="C801" s="1" t="n">
        <v>45929</v>
      </c>
      <c r="D801" t="inlineStr">
        <is>
          <t>KALMAR LÄN</t>
        </is>
      </c>
      <c r="E801" t="inlineStr">
        <is>
          <t>VÄSTERVIK</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21661-2025</t>
        </is>
      </c>
      <c r="B802" s="1" t="n">
        <v>45783.45644675926</v>
      </c>
      <c r="C802" s="1" t="n">
        <v>45929</v>
      </c>
      <c r="D802" t="inlineStr">
        <is>
          <t>KALMAR LÄN</t>
        </is>
      </c>
      <c r="E802" t="inlineStr">
        <is>
          <t>VÄSTERVIK</t>
        </is>
      </c>
      <c r="G802" t="n">
        <v>3.5</v>
      </c>
      <c r="H802" t="n">
        <v>0</v>
      </c>
      <c r="I802" t="n">
        <v>0</v>
      </c>
      <c r="J802" t="n">
        <v>0</v>
      </c>
      <c r="K802" t="n">
        <v>0</v>
      </c>
      <c r="L802" t="n">
        <v>0</v>
      </c>
      <c r="M802" t="n">
        <v>0</v>
      </c>
      <c r="N802" t="n">
        <v>0</v>
      </c>
      <c r="O802" t="n">
        <v>0</v>
      </c>
      <c r="P802" t="n">
        <v>0</v>
      </c>
      <c r="Q802" t="n">
        <v>0</v>
      </c>
      <c r="R802" s="2" t="inlineStr"/>
    </row>
    <row r="803" ht="15" customHeight="1">
      <c r="A803" t="inlineStr">
        <is>
          <t>A 8402-2025</t>
        </is>
      </c>
      <c r="B803" s="1" t="n">
        <v>45709.38065972222</v>
      </c>
      <c r="C803" s="1" t="n">
        <v>45929</v>
      </c>
      <c r="D803" t="inlineStr">
        <is>
          <t>KALMAR LÄN</t>
        </is>
      </c>
      <c r="E803" t="inlineStr">
        <is>
          <t>VÄSTERVIK</t>
        </is>
      </c>
      <c r="G803" t="n">
        <v>4.3</v>
      </c>
      <c r="H803" t="n">
        <v>0</v>
      </c>
      <c r="I803" t="n">
        <v>0</v>
      </c>
      <c r="J803" t="n">
        <v>0</v>
      </c>
      <c r="K803" t="n">
        <v>0</v>
      </c>
      <c r="L803" t="n">
        <v>0</v>
      </c>
      <c r="M803" t="n">
        <v>0</v>
      </c>
      <c r="N803" t="n">
        <v>0</v>
      </c>
      <c r="O803" t="n">
        <v>0</v>
      </c>
      <c r="P803" t="n">
        <v>0</v>
      </c>
      <c r="Q803" t="n">
        <v>0</v>
      </c>
      <c r="R803" s="2" t="inlineStr"/>
    </row>
    <row r="804" ht="15" customHeight="1">
      <c r="A804" t="inlineStr">
        <is>
          <t>A 25488-2023</t>
        </is>
      </c>
      <c r="B804" s="1" t="n">
        <v>45089</v>
      </c>
      <c r="C804" s="1" t="n">
        <v>45929</v>
      </c>
      <c r="D804" t="inlineStr">
        <is>
          <t>KALMAR LÄN</t>
        </is>
      </c>
      <c r="E804" t="inlineStr">
        <is>
          <t>VÄSTERVIK</t>
        </is>
      </c>
      <c r="G804" t="n">
        <v>2.3</v>
      </c>
      <c r="H804" t="n">
        <v>0</v>
      </c>
      <c r="I804" t="n">
        <v>0</v>
      </c>
      <c r="J804" t="n">
        <v>0</v>
      </c>
      <c r="K804" t="n">
        <v>0</v>
      </c>
      <c r="L804" t="n">
        <v>0</v>
      </c>
      <c r="M804" t="n">
        <v>0</v>
      </c>
      <c r="N804" t="n">
        <v>0</v>
      </c>
      <c r="O804" t="n">
        <v>0</v>
      </c>
      <c r="P804" t="n">
        <v>0</v>
      </c>
      <c r="Q804" t="n">
        <v>0</v>
      </c>
      <c r="R804" s="2" t="inlineStr"/>
    </row>
    <row r="805" ht="15" customHeight="1">
      <c r="A805" t="inlineStr">
        <is>
          <t>A 14212-2022</t>
        </is>
      </c>
      <c r="B805" s="1" t="n">
        <v>44651</v>
      </c>
      <c r="C805" s="1" t="n">
        <v>45929</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14105-2025</t>
        </is>
      </c>
      <c r="B806" s="1" t="n">
        <v>45740.45425925926</v>
      </c>
      <c r="C806" s="1" t="n">
        <v>45929</v>
      </c>
      <c r="D806" t="inlineStr">
        <is>
          <t>KALMAR LÄN</t>
        </is>
      </c>
      <c r="E806" t="inlineStr">
        <is>
          <t>VÄSTERVIK</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14109-2025</t>
        </is>
      </c>
      <c r="B807" s="1" t="n">
        <v>45740.45748842593</v>
      </c>
      <c r="C807" s="1" t="n">
        <v>45929</v>
      </c>
      <c r="D807" t="inlineStr">
        <is>
          <t>KALMAR LÄN</t>
        </is>
      </c>
      <c r="E807" t="inlineStr">
        <is>
          <t>VÄSTERVIK</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28037-2024</t>
        </is>
      </c>
      <c r="B808" s="1" t="n">
        <v>45476</v>
      </c>
      <c r="C808" s="1" t="n">
        <v>45929</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6731-2024</t>
        </is>
      </c>
      <c r="B809" s="1" t="n">
        <v>45342.38787037037</v>
      </c>
      <c r="C809" s="1" t="n">
        <v>45929</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28894-2023</t>
        </is>
      </c>
      <c r="B810" s="1" t="n">
        <v>45104.49659722222</v>
      </c>
      <c r="C810" s="1" t="n">
        <v>45929</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19333-2023</t>
        </is>
      </c>
      <c r="B811" s="1" t="n">
        <v>45049.566875</v>
      </c>
      <c r="C811" s="1" t="n">
        <v>45929</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15097-2023</t>
        </is>
      </c>
      <c r="B812" s="1" t="n">
        <v>45016</v>
      </c>
      <c r="C812" s="1" t="n">
        <v>45929</v>
      </c>
      <c r="D812" t="inlineStr">
        <is>
          <t>KALMAR LÄN</t>
        </is>
      </c>
      <c r="E812" t="inlineStr">
        <is>
          <t>VÄSTERVIK</t>
        </is>
      </c>
      <c r="G812" t="n">
        <v>5.9</v>
      </c>
      <c r="H812" t="n">
        <v>0</v>
      </c>
      <c r="I812" t="n">
        <v>0</v>
      </c>
      <c r="J812" t="n">
        <v>0</v>
      </c>
      <c r="K812" t="n">
        <v>0</v>
      </c>
      <c r="L812" t="n">
        <v>0</v>
      </c>
      <c r="M812" t="n">
        <v>0</v>
      </c>
      <c r="N812" t="n">
        <v>0</v>
      </c>
      <c r="O812" t="n">
        <v>0</v>
      </c>
      <c r="P812" t="n">
        <v>0</v>
      </c>
      <c r="Q812" t="n">
        <v>0</v>
      </c>
      <c r="R812" s="2" t="inlineStr"/>
    </row>
    <row r="813" ht="15" customHeight="1">
      <c r="A813" t="inlineStr">
        <is>
          <t>A 56377-2024</t>
        </is>
      </c>
      <c r="B813" s="1" t="n">
        <v>45625.33342592593</v>
      </c>
      <c r="C813" s="1" t="n">
        <v>45929</v>
      </c>
      <c r="D813" t="inlineStr">
        <is>
          <t>KALMAR LÄN</t>
        </is>
      </c>
      <c r="E813" t="inlineStr">
        <is>
          <t>VÄSTERVIK</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46070-2023</t>
        </is>
      </c>
      <c r="B814" s="1" t="n">
        <v>45196</v>
      </c>
      <c r="C814" s="1" t="n">
        <v>45929</v>
      </c>
      <c r="D814" t="inlineStr">
        <is>
          <t>KALMAR LÄN</t>
        </is>
      </c>
      <c r="E814" t="inlineStr">
        <is>
          <t>VÄSTERVIK</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51496-2024</t>
        </is>
      </c>
      <c r="B815" s="1" t="n">
        <v>45604.54060185186</v>
      </c>
      <c r="C815" s="1" t="n">
        <v>45929</v>
      </c>
      <c r="D815" t="inlineStr">
        <is>
          <t>KALMAR LÄN</t>
        </is>
      </c>
      <c r="E815" t="inlineStr">
        <is>
          <t>VÄSTERVIK</t>
        </is>
      </c>
      <c r="F815" t="inlineStr">
        <is>
          <t>Övriga Aktiebolag</t>
        </is>
      </c>
      <c r="G815" t="n">
        <v>4.6</v>
      </c>
      <c r="H815" t="n">
        <v>0</v>
      </c>
      <c r="I815" t="n">
        <v>0</v>
      </c>
      <c r="J815" t="n">
        <v>0</v>
      </c>
      <c r="K815" t="n">
        <v>0</v>
      </c>
      <c r="L815" t="n">
        <v>0</v>
      </c>
      <c r="M815" t="n">
        <v>0</v>
      </c>
      <c r="N815" t="n">
        <v>0</v>
      </c>
      <c r="O815" t="n">
        <v>0</v>
      </c>
      <c r="P815" t="n">
        <v>0</v>
      </c>
      <c r="Q815" t="n">
        <v>0</v>
      </c>
      <c r="R815" s="2" t="inlineStr"/>
    </row>
    <row r="816" ht="15" customHeight="1">
      <c r="A816" t="inlineStr">
        <is>
          <t>A 38174-2023</t>
        </is>
      </c>
      <c r="B816" s="1" t="n">
        <v>45161</v>
      </c>
      <c r="C816" s="1" t="n">
        <v>45929</v>
      </c>
      <c r="D816" t="inlineStr">
        <is>
          <t>KALMAR LÄN</t>
        </is>
      </c>
      <c r="E816" t="inlineStr">
        <is>
          <t>VÄSTERVIK</t>
        </is>
      </c>
      <c r="G816" t="n">
        <v>3.4</v>
      </c>
      <c r="H816" t="n">
        <v>0</v>
      </c>
      <c r="I816" t="n">
        <v>0</v>
      </c>
      <c r="J816" t="n">
        <v>0</v>
      </c>
      <c r="K816" t="n">
        <v>0</v>
      </c>
      <c r="L816" t="n">
        <v>0</v>
      </c>
      <c r="M816" t="n">
        <v>0</v>
      </c>
      <c r="N816" t="n">
        <v>0</v>
      </c>
      <c r="O816" t="n">
        <v>0</v>
      </c>
      <c r="P816" t="n">
        <v>0</v>
      </c>
      <c r="Q816" t="n">
        <v>0</v>
      </c>
      <c r="R816" s="2" t="inlineStr"/>
    </row>
    <row r="817" ht="15" customHeight="1">
      <c r="A817" t="inlineStr">
        <is>
          <t>A 37716-2023</t>
        </is>
      </c>
      <c r="B817" s="1" t="n">
        <v>45159</v>
      </c>
      <c r="C817" s="1" t="n">
        <v>45929</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58216-2022</t>
        </is>
      </c>
      <c r="B818" s="1" t="n">
        <v>44901.36292824074</v>
      </c>
      <c r="C818" s="1" t="n">
        <v>45929</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6406-2024</t>
        </is>
      </c>
      <c r="B819" s="1" t="n">
        <v>45338</v>
      </c>
      <c r="C819" s="1" t="n">
        <v>45929</v>
      </c>
      <c r="D819" t="inlineStr">
        <is>
          <t>KALMAR LÄN</t>
        </is>
      </c>
      <c r="E819" t="inlineStr">
        <is>
          <t>VÄSTERVIK</t>
        </is>
      </c>
      <c r="G819" t="n">
        <v>5.5</v>
      </c>
      <c r="H819" t="n">
        <v>0</v>
      </c>
      <c r="I819" t="n">
        <v>0</v>
      </c>
      <c r="J819" t="n">
        <v>0</v>
      </c>
      <c r="K819" t="n">
        <v>0</v>
      </c>
      <c r="L819" t="n">
        <v>0</v>
      </c>
      <c r="M819" t="n">
        <v>0</v>
      </c>
      <c r="N819" t="n">
        <v>0</v>
      </c>
      <c r="O819" t="n">
        <v>0</v>
      </c>
      <c r="P819" t="n">
        <v>0</v>
      </c>
      <c r="Q819" t="n">
        <v>0</v>
      </c>
      <c r="R819" s="2" t="inlineStr"/>
      <c r="U819">
        <f>HYPERLINK("https://klasma.github.io/Logging_0883/knärot/A 6406-2024 karta knärot.png", "A 6406-2024")</f>
        <v/>
      </c>
      <c r="V819">
        <f>HYPERLINK("https://klasma.github.io/Logging_0883/klagomål/A 6406-2024 FSC-klagomål.docx", "A 6406-2024")</f>
        <v/>
      </c>
      <c r="W819">
        <f>HYPERLINK("https://klasma.github.io/Logging_0883/klagomålsmail/A 6406-2024 FSC-klagomål mail.docx", "A 6406-2024")</f>
        <v/>
      </c>
      <c r="X819">
        <f>HYPERLINK("https://klasma.github.io/Logging_0883/tillsyn/A 6406-2024 tillsynsbegäran.docx", "A 6406-2024")</f>
        <v/>
      </c>
      <c r="Y819">
        <f>HYPERLINK("https://klasma.github.io/Logging_0883/tillsynsmail/A 6406-2024 tillsynsbegäran mail.docx", "A 6406-2024")</f>
        <v/>
      </c>
    </row>
    <row r="820" ht="15" customHeight="1">
      <c r="A820" t="inlineStr">
        <is>
          <t>A 22891-2025</t>
        </is>
      </c>
      <c r="B820" s="1" t="n">
        <v>45790.39267361111</v>
      </c>
      <c r="C820" s="1" t="n">
        <v>45929</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22893-2025</t>
        </is>
      </c>
      <c r="B821" s="1" t="n">
        <v>45790.39622685185</v>
      </c>
      <c r="C821" s="1" t="n">
        <v>45929</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23042-2025</t>
        </is>
      </c>
      <c r="B822" s="1" t="n">
        <v>45790.67273148148</v>
      </c>
      <c r="C822" s="1" t="n">
        <v>45929</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5234-2024</t>
        </is>
      </c>
      <c r="B823" s="1" t="n">
        <v>45330.80729166666</v>
      </c>
      <c r="C823" s="1" t="n">
        <v>45929</v>
      </c>
      <c r="D823" t="inlineStr">
        <is>
          <t>KALMAR LÄN</t>
        </is>
      </c>
      <c r="E823" t="inlineStr">
        <is>
          <t>VÄSTERVIK</t>
        </is>
      </c>
      <c r="G823" t="n">
        <v>1.3</v>
      </c>
      <c r="H823" t="n">
        <v>0</v>
      </c>
      <c r="I823" t="n">
        <v>0</v>
      </c>
      <c r="J823" t="n">
        <v>0</v>
      </c>
      <c r="K823" t="n">
        <v>0</v>
      </c>
      <c r="L823" t="n">
        <v>0</v>
      </c>
      <c r="M823" t="n">
        <v>0</v>
      </c>
      <c r="N823" t="n">
        <v>0</v>
      </c>
      <c r="O823" t="n">
        <v>0</v>
      </c>
      <c r="P823" t="n">
        <v>0</v>
      </c>
      <c r="Q823" t="n">
        <v>0</v>
      </c>
      <c r="R823" s="2" t="inlineStr"/>
    </row>
    <row r="824" ht="15" customHeight="1">
      <c r="A824" t="inlineStr">
        <is>
          <t>A 13748-2024</t>
        </is>
      </c>
      <c r="B824" s="1" t="n">
        <v>45390</v>
      </c>
      <c r="C824" s="1" t="n">
        <v>45929</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36888-2024</t>
        </is>
      </c>
      <c r="B825" s="1" t="n">
        <v>45538</v>
      </c>
      <c r="C825" s="1" t="n">
        <v>45929</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2746-2023</t>
        </is>
      </c>
      <c r="B826" s="1" t="n">
        <v>44944</v>
      </c>
      <c r="C826" s="1" t="n">
        <v>45929</v>
      </c>
      <c r="D826" t="inlineStr">
        <is>
          <t>KALMAR LÄN</t>
        </is>
      </c>
      <c r="E826" t="inlineStr">
        <is>
          <t>VÄSTERVIK</t>
        </is>
      </c>
      <c r="G826" t="n">
        <v>5.5</v>
      </c>
      <c r="H826" t="n">
        <v>0</v>
      </c>
      <c r="I826" t="n">
        <v>0</v>
      </c>
      <c r="J826" t="n">
        <v>0</v>
      </c>
      <c r="K826" t="n">
        <v>0</v>
      </c>
      <c r="L826" t="n">
        <v>0</v>
      </c>
      <c r="M826" t="n">
        <v>0</v>
      </c>
      <c r="N826" t="n">
        <v>0</v>
      </c>
      <c r="O826" t="n">
        <v>0</v>
      </c>
      <c r="P826" t="n">
        <v>0</v>
      </c>
      <c r="Q826" t="n">
        <v>0</v>
      </c>
      <c r="R826" s="2" t="inlineStr"/>
    </row>
    <row r="827" ht="15" customHeight="1">
      <c r="A827" t="inlineStr">
        <is>
          <t>A 58209-2022</t>
        </is>
      </c>
      <c r="B827" s="1" t="n">
        <v>44901</v>
      </c>
      <c r="C827" s="1" t="n">
        <v>45929</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52155-2021</t>
        </is>
      </c>
      <c r="B828" s="1" t="n">
        <v>44463</v>
      </c>
      <c r="C828" s="1" t="n">
        <v>45929</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1877-2025</t>
        </is>
      </c>
      <c r="B829" s="1" t="n">
        <v>45671.62141203704</v>
      </c>
      <c r="C829" s="1" t="n">
        <v>45929</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4583-2023</t>
        </is>
      </c>
      <c r="B830" s="1" t="n">
        <v>44956</v>
      </c>
      <c r="C830" s="1" t="n">
        <v>45929</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11848-2024</t>
        </is>
      </c>
      <c r="B831" s="1" t="n">
        <v>45376.41653935185</v>
      </c>
      <c r="C831" s="1" t="n">
        <v>45929</v>
      </c>
      <c r="D831" t="inlineStr">
        <is>
          <t>KALMAR LÄN</t>
        </is>
      </c>
      <c r="E831" t="inlineStr">
        <is>
          <t>VÄSTERVIK</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47120-2023</t>
        </is>
      </c>
      <c r="B832" s="1" t="n">
        <v>45201</v>
      </c>
      <c r="C832" s="1" t="n">
        <v>45929</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47123-2023</t>
        </is>
      </c>
      <c r="B833" s="1" t="n">
        <v>45201.68075231482</v>
      </c>
      <c r="C833" s="1" t="n">
        <v>45929</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46718-2023</t>
        </is>
      </c>
      <c r="B834" s="1" t="n">
        <v>45198</v>
      </c>
      <c r="C834" s="1" t="n">
        <v>45929</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60263-2022</t>
        </is>
      </c>
      <c r="B835" s="1" t="n">
        <v>44910.48520833333</v>
      </c>
      <c r="C835" s="1" t="n">
        <v>45929</v>
      </c>
      <c r="D835" t="inlineStr">
        <is>
          <t>KALMAR LÄN</t>
        </is>
      </c>
      <c r="E835" t="inlineStr">
        <is>
          <t>VÄSTERVIK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1798-2023</t>
        </is>
      </c>
      <c r="B836" s="1" t="n">
        <v>44938</v>
      </c>
      <c r="C836" s="1" t="n">
        <v>45929</v>
      </c>
      <c r="D836" t="inlineStr">
        <is>
          <t>KALMAR LÄN</t>
        </is>
      </c>
      <c r="E836" t="inlineStr">
        <is>
          <t>VÄSTERVIK</t>
        </is>
      </c>
      <c r="G836" t="n">
        <v>3.9</v>
      </c>
      <c r="H836" t="n">
        <v>0</v>
      </c>
      <c r="I836" t="n">
        <v>0</v>
      </c>
      <c r="J836" t="n">
        <v>0</v>
      </c>
      <c r="K836" t="n">
        <v>0</v>
      </c>
      <c r="L836" t="n">
        <v>0</v>
      </c>
      <c r="M836" t="n">
        <v>0</v>
      </c>
      <c r="N836" t="n">
        <v>0</v>
      </c>
      <c r="O836" t="n">
        <v>0</v>
      </c>
      <c r="P836" t="n">
        <v>0</v>
      </c>
      <c r="Q836" t="n">
        <v>0</v>
      </c>
      <c r="R836" s="2" t="inlineStr"/>
    </row>
    <row r="837" ht="15" customHeight="1">
      <c r="A837" t="inlineStr">
        <is>
          <t>A 26776-2023</t>
        </is>
      </c>
      <c r="B837" s="1" t="n">
        <v>45093</v>
      </c>
      <c r="C837" s="1" t="n">
        <v>45929</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23745-2025</t>
        </is>
      </c>
      <c r="B838" s="1" t="n">
        <v>45793.44484953704</v>
      </c>
      <c r="C838" s="1" t="n">
        <v>45929</v>
      </c>
      <c r="D838" t="inlineStr">
        <is>
          <t>KALMAR LÄN</t>
        </is>
      </c>
      <c r="E838" t="inlineStr">
        <is>
          <t>VÄSTERVIK</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23739-2025</t>
        </is>
      </c>
      <c r="B839" s="1" t="n">
        <v>45793.42939814815</v>
      </c>
      <c r="C839" s="1" t="n">
        <v>45929</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23859-2025</t>
        </is>
      </c>
      <c r="B840" s="1" t="n">
        <v>45793.65996527778</v>
      </c>
      <c r="C840" s="1" t="n">
        <v>45929</v>
      </c>
      <c r="D840" t="inlineStr">
        <is>
          <t>KALMAR LÄN</t>
        </is>
      </c>
      <c r="E840" t="inlineStr">
        <is>
          <t>VÄSTERVIK</t>
        </is>
      </c>
      <c r="F840" t="inlineStr">
        <is>
          <t>Holmen skog AB</t>
        </is>
      </c>
      <c r="G840" t="n">
        <v>17.7</v>
      </c>
      <c r="H840" t="n">
        <v>0</v>
      </c>
      <c r="I840" t="n">
        <v>0</v>
      </c>
      <c r="J840" t="n">
        <v>0</v>
      </c>
      <c r="K840" t="n">
        <v>0</v>
      </c>
      <c r="L840" t="n">
        <v>0</v>
      </c>
      <c r="M840" t="n">
        <v>0</v>
      </c>
      <c r="N840" t="n">
        <v>0</v>
      </c>
      <c r="O840" t="n">
        <v>0</v>
      </c>
      <c r="P840" t="n">
        <v>0</v>
      </c>
      <c r="Q840" t="n">
        <v>0</v>
      </c>
      <c r="R840" s="2" t="inlineStr"/>
    </row>
    <row r="841" ht="15" customHeight="1">
      <c r="A841" t="inlineStr">
        <is>
          <t>A 73640-2021</t>
        </is>
      </c>
      <c r="B841" s="1" t="n">
        <v>44552.43644675926</v>
      </c>
      <c r="C841" s="1" t="n">
        <v>45929</v>
      </c>
      <c r="D841" t="inlineStr">
        <is>
          <t>KALMAR LÄN</t>
        </is>
      </c>
      <c r="E841" t="inlineStr">
        <is>
          <t>VÄSTERVIK</t>
        </is>
      </c>
      <c r="G841" t="n">
        <v>1.9</v>
      </c>
      <c r="H841" t="n">
        <v>0</v>
      </c>
      <c r="I841" t="n">
        <v>0</v>
      </c>
      <c r="J841" t="n">
        <v>0</v>
      </c>
      <c r="K841" t="n">
        <v>0</v>
      </c>
      <c r="L841" t="n">
        <v>0</v>
      </c>
      <c r="M841" t="n">
        <v>0</v>
      </c>
      <c r="N841" t="n">
        <v>0</v>
      </c>
      <c r="O841" t="n">
        <v>0</v>
      </c>
      <c r="P841" t="n">
        <v>0</v>
      </c>
      <c r="Q841" t="n">
        <v>0</v>
      </c>
      <c r="R841" s="2" t="inlineStr"/>
    </row>
    <row r="842" ht="15" customHeight="1">
      <c r="A842" t="inlineStr">
        <is>
          <t>A 40050-2022</t>
        </is>
      </c>
      <c r="B842" s="1" t="n">
        <v>44820.44106481481</v>
      </c>
      <c r="C842" s="1" t="n">
        <v>45929</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23022-2025</t>
        </is>
      </c>
      <c r="B843" s="1" t="n">
        <v>45790.65489583334</v>
      </c>
      <c r="C843" s="1" t="n">
        <v>45929</v>
      </c>
      <c r="D843" t="inlineStr">
        <is>
          <t>KALMAR LÄN</t>
        </is>
      </c>
      <c r="E843" t="inlineStr">
        <is>
          <t>VÄSTERVIK</t>
        </is>
      </c>
      <c r="G843" t="n">
        <v>3.3</v>
      </c>
      <c r="H843" t="n">
        <v>0</v>
      </c>
      <c r="I843" t="n">
        <v>0</v>
      </c>
      <c r="J843" t="n">
        <v>0</v>
      </c>
      <c r="K843" t="n">
        <v>0</v>
      </c>
      <c r="L843" t="n">
        <v>0</v>
      </c>
      <c r="M843" t="n">
        <v>0</v>
      </c>
      <c r="N843" t="n">
        <v>0</v>
      </c>
      <c r="O843" t="n">
        <v>0</v>
      </c>
      <c r="P843" t="n">
        <v>0</v>
      </c>
      <c r="Q843" t="n">
        <v>0</v>
      </c>
      <c r="R843" s="2" t="inlineStr"/>
    </row>
    <row r="844" ht="15" customHeight="1">
      <c r="A844" t="inlineStr">
        <is>
          <t>A 39980-2024</t>
        </is>
      </c>
      <c r="B844" s="1" t="n">
        <v>45553.61098379629</v>
      </c>
      <c r="C844" s="1" t="n">
        <v>45929</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39982-2024</t>
        </is>
      </c>
      <c r="B845" s="1" t="n">
        <v>45553.61355324074</v>
      </c>
      <c r="C845" s="1" t="n">
        <v>45929</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1568-2024</t>
        </is>
      </c>
      <c r="B846" s="1" t="n">
        <v>45306.53221064815</v>
      </c>
      <c r="C846" s="1" t="n">
        <v>45929</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1572-2024</t>
        </is>
      </c>
      <c r="B847" s="1" t="n">
        <v>45306</v>
      </c>
      <c r="C847" s="1" t="n">
        <v>45929</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7934-2023</t>
        </is>
      </c>
      <c r="B848" s="1" t="n">
        <v>44973.65422453704</v>
      </c>
      <c r="C848" s="1" t="n">
        <v>45929</v>
      </c>
      <c r="D848" t="inlineStr">
        <is>
          <t>KALMAR LÄN</t>
        </is>
      </c>
      <c r="E848" t="inlineStr">
        <is>
          <t>VÄSTERVIK</t>
        </is>
      </c>
      <c r="G848" t="n">
        <v>4.1</v>
      </c>
      <c r="H848" t="n">
        <v>0</v>
      </c>
      <c r="I848" t="n">
        <v>0</v>
      </c>
      <c r="J848" t="n">
        <v>0</v>
      </c>
      <c r="K848" t="n">
        <v>0</v>
      </c>
      <c r="L848" t="n">
        <v>0</v>
      </c>
      <c r="M848" t="n">
        <v>0</v>
      </c>
      <c r="N848" t="n">
        <v>0</v>
      </c>
      <c r="O848" t="n">
        <v>0</v>
      </c>
      <c r="P848" t="n">
        <v>0</v>
      </c>
      <c r="Q848" t="n">
        <v>0</v>
      </c>
      <c r="R848" s="2" t="inlineStr"/>
    </row>
    <row r="849" ht="15" customHeight="1">
      <c r="A849" t="inlineStr">
        <is>
          <t>A 7840-2025</t>
        </is>
      </c>
      <c r="B849" s="1" t="n">
        <v>45706.65895833333</v>
      </c>
      <c r="C849" s="1" t="n">
        <v>45929</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24819-2025</t>
        </is>
      </c>
      <c r="B850" s="1" t="n">
        <v>45799.45109953704</v>
      </c>
      <c r="C850" s="1" t="n">
        <v>45929</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16080-2025</t>
        </is>
      </c>
      <c r="B851" s="1" t="n">
        <v>45749.72953703703</v>
      </c>
      <c r="C851" s="1" t="n">
        <v>45929</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41926-2024</t>
        </is>
      </c>
      <c r="B852" s="1" t="n">
        <v>45561</v>
      </c>
      <c r="C852" s="1" t="n">
        <v>45929</v>
      </c>
      <c r="D852" t="inlineStr">
        <is>
          <t>KALMAR LÄN</t>
        </is>
      </c>
      <c r="E852" t="inlineStr">
        <is>
          <t>VÄSTERVIK</t>
        </is>
      </c>
      <c r="F852" t="inlineStr">
        <is>
          <t>Kyrkan</t>
        </is>
      </c>
      <c r="G852" t="n">
        <v>10</v>
      </c>
      <c r="H852" t="n">
        <v>0</v>
      </c>
      <c r="I852" t="n">
        <v>0</v>
      </c>
      <c r="J852" t="n">
        <v>0</v>
      </c>
      <c r="K852" t="n">
        <v>0</v>
      </c>
      <c r="L852" t="n">
        <v>0</v>
      </c>
      <c r="M852" t="n">
        <v>0</v>
      </c>
      <c r="N852" t="n">
        <v>0</v>
      </c>
      <c r="O852" t="n">
        <v>0</v>
      </c>
      <c r="P852" t="n">
        <v>0</v>
      </c>
      <c r="Q852" t="n">
        <v>0</v>
      </c>
      <c r="R852" s="2" t="inlineStr"/>
    </row>
    <row r="853" ht="15" customHeight="1">
      <c r="A853" t="inlineStr">
        <is>
          <t>A 14237-2024</t>
        </is>
      </c>
      <c r="B853" s="1" t="n">
        <v>45393.47158564815</v>
      </c>
      <c r="C853" s="1" t="n">
        <v>45929</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4579-2023</t>
        </is>
      </c>
      <c r="B854" s="1" t="n">
        <v>44956.72383101852</v>
      </c>
      <c r="C854" s="1" t="n">
        <v>45929</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45929</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25819-2025</t>
        </is>
      </c>
      <c r="B856" s="1" t="n">
        <v>45804.43547453704</v>
      </c>
      <c r="C856" s="1" t="n">
        <v>45929</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25827-2025</t>
        </is>
      </c>
      <c r="B857" s="1" t="n">
        <v>45804.443125</v>
      </c>
      <c r="C857" s="1" t="n">
        <v>45929</v>
      </c>
      <c r="D857" t="inlineStr">
        <is>
          <t>KALMAR LÄN</t>
        </is>
      </c>
      <c r="E857" t="inlineStr">
        <is>
          <t>VÄSTERVIK</t>
        </is>
      </c>
      <c r="G857" t="n">
        <v>1.8</v>
      </c>
      <c r="H857" t="n">
        <v>0</v>
      </c>
      <c r="I857" t="n">
        <v>0</v>
      </c>
      <c r="J857" t="n">
        <v>0</v>
      </c>
      <c r="K857" t="n">
        <v>0</v>
      </c>
      <c r="L857" t="n">
        <v>0</v>
      </c>
      <c r="M857" t="n">
        <v>0</v>
      </c>
      <c r="N857" t="n">
        <v>0</v>
      </c>
      <c r="O857" t="n">
        <v>0</v>
      </c>
      <c r="P857" t="n">
        <v>0</v>
      </c>
      <c r="Q857" t="n">
        <v>0</v>
      </c>
      <c r="R857" s="2" t="inlineStr"/>
    </row>
    <row r="858" ht="15" customHeight="1">
      <c r="A858" t="inlineStr">
        <is>
          <t>A 17314-2023</t>
        </is>
      </c>
      <c r="B858" s="1" t="n">
        <v>45035</v>
      </c>
      <c r="C858" s="1" t="n">
        <v>45929</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8594-2023</t>
        </is>
      </c>
      <c r="B859" s="1" t="n">
        <v>44977</v>
      </c>
      <c r="C859" s="1" t="n">
        <v>45929</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28344-2024</t>
        </is>
      </c>
      <c r="B860" s="1" t="n">
        <v>45477.55280092593</v>
      </c>
      <c r="C860" s="1" t="n">
        <v>45929</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26633-2025</t>
        </is>
      </c>
      <c r="B861" s="1" t="n">
        <v>45810.35262731482</v>
      </c>
      <c r="C861" s="1" t="n">
        <v>45929</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42746-2024</t>
        </is>
      </c>
      <c r="B862" s="1" t="n">
        <v>45566.48361111111</v>
      </c>
      <c r="C862" s="1" t="n">
        <v>45929</v>
      </c>
      <c r="D862" t="inlineStr">
        <is>
          <t>KALMAR LÄN</t>
        </is>
      </c>
      <c r="E862" t="inlineStr">
        <is>
          <t>VÄSTERVIK</t>
        </is>
      </c>
      <c r="G862" t="n">
        <v>2</v>
      </c>
      <c r="H862" t="n">
        <v>0</v>
      </c>
      <c r="I862" t="n">
        <v>0</v>
      </c>
      <c r="J862" t="n">
        <v>0</v>
      </c>
      <c r="K862" t="n">
        <v>0</v>
      </c>
      <c r="L862" t="n">
        <v>0</v>
      </c>
      <c r="M862" t="n">
        <v>0</v>
      </c>
      <c r="N862" t="n">
        <v>0</v>
      </c>
      <c r="O862" t="n">
        <v>0</v>
      </c>
      <c r="P862" t="n">
        <v>0</v>
      </c>
      <c r="Q862" t="n">
        <v>0</v>
      </c>
      <c r="R862" s="2" t="inlineStr"/>
    </row>
    <row r="863" ht="15" customHeight="1">
      <c r="A863" t="inlineStr">
        <is>
          <t>A 26566-2025</t>
        </is>
      </c>
      <c r="B863" s="1" t="n">
        <v>45807.66685185185</v>
      </c>
      <c r="C863" s="1" t="n">
        <v>45929</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26569-2025</t>
        </is>
      </c>
      <c r="B864" s="1" t="n">
        <v>45807.67638888889</v>
      </c>
      <c r="C864" s="1" t="n">
        <v>45929</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26572-2025</t>
        </is>
      </c>
      <c r="B865" s="1" t="n">
        <v>45807.68232638889</v>
      </c>
      <c r="C865" s="1" t="n">
        <v>45929</v>
      </c>
      <c r="D865" t="inlineStr">
        <is>
          <t>KALMAR LÄN</t>
        </is>
      </c>
      <c r="E865" t="inlineStr">
        <is>
          <t>VÄSTERVIK</t>
        </is>
      </c>
      <c r="G865" t="n">
        <v>2.9</v>
      </c>
      <c r="H865" t="n">
        <v>0</v>
      </c>
      <c r="I865" t="n">
        <v>0</v>
      </c>
      <c r="J865" t="n">
        <v>0</v>
      </c>
      <c r="K865" t="n">
        <v>0</v>
      </c>
      <c r="L865" t="n">
        <v>0</v>
      </c>
      <c r="M865" t="n">
        <v>0</v>
      </c>
      <c r="N865" t="n">
        <v>0</v>
      </c>
      <c r="O865" t="n">
        <v>0</v>
      </c>
      <c r="P865" t="n">
        <v>0</v>
      </c>
      <c r="Q865" t="n">
        <v>0</v>
      </c>
      <c r="R865" s="2" t="inlineStr"/>
    </row>
    <row r="866" ht="15" customHeight="1">
      <c r="A866" t="inlineStr">
        <is>
          <t>A 61529-2022</t>
        </is>
      </c>
      <c r="B866" s="1" t="n">
        <v>44910</v>
      </c>
      <c r="C866" s="1" t="n">
        <v>45929</v>
      </c>
      <c r="D866" t="inlineStr">
        <is>
          <t>KALMAR LÄN</t>
        </is>
      </c>
      <c r="E866" t="inlineStr">
        <is>
          <t>VÄSTERVIK</t>
        </is>
      </c>
      <c r="G866" t="n">
        <v>6.5</v>
      </c>
      <c r="H866" t="n">
        <v>0</v>
      </c>
      <c r="I866" t="n">
        <v>0</v>
      </c>
      <c r="J866" t="n">
        <v>0</v>
      </c>
      <c r="K866" t="n">
        <v>0</v>
      </c>
      <c r="L866" t="n">
        <v>0</v>
      </c>
      <c r="M866" t="n">
        <v>0</v>
      </c>
      <c r="N866" t="n">
        <v>0</v>
      </c>
      <c r="O866" t="n">
        <v>0</v>
      </c>
      <c r="P866" t="n">
        <v>0</v>
      </c>
      <c r="Q866" t="n">
        <v>0</v>
      </c>
      <c r="R866" s="2" t="inlineStr"/>
    </row>
    <row r="867" ht="15" customHeight="1">
      <c r="A867" t="inlineStr">
        <is>
          <t>A 53259-2021</t>
        </is>
      </c>
      <c r="B867" s="1" t="n">
        <v>44468.47153935185</v>
      </c>
      <c r="C867" s="1" t="n">
        <v>45929</v>
      </c>
      <c r="D867" t="inlineStr">
        <is>
          <t>KALMAR LÄN</t>
        </is>
      </c>
      <c r="E867" t="inlineStr">
        <is>
          <t>VÄSTERVIK</t>
        </is>
      </c>
      <c r="G867" t="n">
        <v>2.8</v>
      </c>
      <c r="H867" t="n">
        <v>0</v>
      </c>
      <c r="I867" t="n">
        <v>0</v>
      </c>
      <c r="J867" t="n">
        <v>0</v>
      </c>
      <c r="K867" t="n">
        <v>0</v>
      </c>
      <c r="L867" t="n">
        <v>0</v>
      </c>
      <c r="M867" t="n">
        <v>0</v>
      </c>
      <c r="N867" t="n">
        <v>0</v>
      </c>
      <c r="O867" t="n">
        <v>0</v>
      </c>
      <c r="P867" t="n">
        <v>0</v>
      </c>
      <c r="Q867" t="n">
        <v>0</v>
      </c>
      <c r="R867" s="2" t="inlineStr"/>
    </row>
    <row r="868" ht="15" customHeight="1">
      <c r="A868" t="inlineStr">
        <is>
          <t>A 10116-2022</t>
        </is>
      </c>
      <c r="B868" s="1" t="n">
        <v>44621</v>
      </c>
      <c r="C868" s="1" t="n">
        <v>45929</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45929</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45929</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54629-2024</t>
        </is>
      </c>
      <c r="B871" s="1" t="n">
        <v>45617.85399305556</v>
      </c>
      <c r="C871" s="1" t="n">
        <v>45929</v>
      </c>
      <c r="D871" t="inlineStr">
        <is>
          <t>KALMAR LÄN</t>
        </is>
      </c>
      <c r="E871" t="inlineStr">
        <is>
          <t>VÄSTERVIK</t>
        </is>
      </c>
      <c r="F871" t="inlineStr">
        <is>
          <t>Sveaskog</t>
        </is>
      </c>
      <c r="G871" t="n">
        <v>6.7</v>
      </c>
      <c r="H871" t="n">
        <v>0</v>
      </c>
      <c r="I871" t="n">
        <v>0</v>
      </c>
      <c r="J871" t="n">
        <v>0</v>
      </c>
      <c r="K871" t="n">
        <v>0</v>
      </c>
      <c r="L871" t="n">
        <v>0</v>
      </c>
      <c r="M871" t="n">
        <v>0</v>
      </c>
      <c r="N871" t="n">
        <v>0</v>
      </c>
      <c r="O871" t="n">
        <v>0</v>
      </c>
      <c r="P871" t="n">
        <v>0</v>
      </c>
      <c r="Q871" t="n">
        <v>0</v>
      </c>
      <c r="R871" s="2" t="inlineStr"/>
    </row>
    <row r="872" ht="15" customHeight="1">
      <c r="A872" t="inlineStr">
        <is>
          <t>A 29557-2024</t>
        </is>
      </c>
      <c r="B872" s="1" t="n">
        <v>45484.52023148148</v>
      </c>
      <c r="C872" s="1" t="n">
        <v>45929</v>
      </c>
      <c r="D872" t="inlineStr">
        <is>
          <t>KALMAR LÄN</t>
        </is>
      </c>
      <c r="E872" t="inlineStr">
        <is>
          <t>VÄSTERVIK</t>
        </is>
      </c>
      <c r="G872" t="n">
        <v>5.9</v>
      </c>
      <c r="H872" t="n">
        <v>0</v>
      </c>
      <c r="I872" t="n">
        <v>0</v>
      </c>
      <c r="J872" t="n">
        <v>0</v>
      </c>
      <c r="K872" t="n">
        <v>0</v>
      </c>
      <c r="L872" t="n">
        <v>0</v>
      </c>
      <c r="M872" t="n">
        <v>0</v>
      </c>
      <c r="N872" t="n">
        <v>0</v>
      </c>
      <c r="O872" t="n">
        <v>0</v>
      </c>
      <c r="P872" t="n">
        <v>0</v>
      </c>
      <c r="Q872" t="n">
        <v>0</v>
      </c>
      <c r="R872" s="2" t="inlineStr"/>
    </row>
    <row r="873" ht="15" customHeight="1">
      <c r="A873" t="inlineStr">
        <is>
          <t>A 8382-2023</t>
        </is>
      </c>
      <c r="B873" s="1" t="n">
        <v>44977.40112268519</v>
      </c>
      <c r="C873" s="1" t="n">
        <v>45929</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35959-2023</t>
        </is>
      </c>
      <c r="B874" s="1" t="n">
        <v>45148.84875</v>
      </c>
      <c r="C874" s="1" t="n">
        <v>45929</v>
      </c>
      <c r="D874" t="inlineStr">
        <is>
          <t>KALMAR LÄN</t>
        </is>
      </c>
      <c r="E874" t="inlineStr">
        <is>
          <t>VÄSTERVIK</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60685-2024</t>
        </is>
      </c>
      <c r="B875" s="1" t="n">
        <v>45644.46804398148</v>
      </c>
      <c r="C875" s="1" t="n">
        <v>45929</v>
      </c>
      <c r="D875" t="inlineStr">
        <is>
          <t>KALMAR LÄN</t>
        </is>
      </c>
      <c r="E875" t="inlineStr">
        <is>
          <t>VÄSTERVIK</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33814-2023</t>
        </is>
      </c>
      <c r="B876" s="1" t="n">
        <v>45133.59230324074</v>
      </c>
      <c r="C876" s="1" t="n">
        <v>45929</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1787-2025</t>
        </is>
      </c>
      <c r="B877" s="1" t="n">
        <v>45671.45357638889</v>
      </c>
      <c r="C877" s="1" t="n">
        <v>45929</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40674-2023</t>
        </is>
      </c>
      <c r="B878" s="1" t="n">
        <v>45170.59288194445</v>
      </c>
      <c r="C878" s="1" t="n">
        <v>45929</v>
      </c>
      <c r="D878" t="inlineStr">
        <is>
          <t>KALMAR LÄN</t>
        </is>
      </c>
      <c r="E878" t="inlineStr">
        <is>
          <t>VÄSTERVIK</t>
        </is>
      </c>
      <c r="G878" t="n">
        <v>4.2</v>
      </c>
      <c r="H878" t="n">
        <v>0</v>
      </c>
      <c r="I878" t="n">
        <v>0</v>
      </c>
      <c r="J878" t="n">
        <v>0</v>
      </c>
      <c r="K878" t="n">
        <v>0</v>
      </c>
      <c r="L878" t="n">
        <v>0</v>
      </c>
      <c r="M878" t="n">
        <v>0</v>
      </c>
      <c r="N878" t="n">
        <v>0</v>
      </c>
      <c r="O878" t="n">
        <v>0</v>
      </c>
      <c r="P878" t="n">
        <v>0</v>
      </c>
      <c r="Q878" t="n">
        <v>0</v>
      </c>
      <c r="R878" s="2" t="inlineStr"/>
    </row>
    <row r="879" ht="15" customHeight="1">
      <c r="A879" t="inlineStr">
        <is>
          <t>A 40677-2023</t>
        </is>
      </c>
      <c r="B879" s="1" t="n">
        <v>45170.59443287037</v>
      </c>
      <c r="C879" s="1" t="n">
        <v>45929</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57688-2024</t>
        </is>
      </c>
      <c r="B880" s="1" t="n">
        <v>45630.65180555556</v>
      </c>
      <c r="C880" s="1" t="n">
        <v>45929</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5923-2024</t>
        </is>
      </c>
      <c r="B881" s="1" t="n">
        <v>45335</v>
      </c>
      <c r="C881" s="1" t="n">
        <v>45929</v>
      </c>
      <c r="D881" t="inlineStr">
        <is>
          <t>KALMAR LÄN</t>
        </is>
      </c>
      <c r="E881" t="inlineStr">
        <is>
          <t>VÄSTERVIK</t>
        </is>
      </c>
      <c r="F881" t="inlineStr">
        <is>
          <t>Holmen skog AB</t>
        </is>
      </c>
      <c r="G881" t="n">
        <v>2.7</v>
      </c>
      <c r="H881" t="n">
        <v>0</v>
      </c>
      <c r="I881" t="n">
        <v>0</v>
      </c>
      <c r="J881" t="n">
        <v>0</v>
      </c>
      <c r="K881" t="n">
        <v>0</v>
      </c>
      <c r="L881" t="n">
        <v>0</v>
      </c>
      <c r="M881" t="n">
        <v>0</v>
      </c>
      <c r="N881" t="n">
        <v>0</v>
      </c>
      <c r="O881" t="n">
        <v>0</v>
      </c>
      <c r="P881" t="n">
        <v>0</v>
      </c>
      <c r="Q881" t="n">
        <v>0</v>
      </c>
      <c r="R881" s="2" t="inlineStr"/>
    </row>
    <row r="882" ht="15" customHeight="1">
      <c r="A882" t="inlineStr">
        <is>
          <t>A 55359-2024</t>
        </is>
      </c>
      <c r="B882" s="1" t="n">
        <v>45621.82230324074</v>
      </c>
      <c r="C882" s="1" t="n">
        <v>45929</v>
      </c>
      <c r="D882" t="inlineStr">
        <is>
          <t>KALMAR LÄN</t>
        </is>
      </c>
      <c r="E882" t="inlineStr">
        <is>
          <t>VÄSTERVIK</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27446-2025</t>
        </is>
      </c>
      <c r="B883" s="1" t="n">
        <v>45813.32667824074</v>
      </c>
      <c r="C883" s="1" t="n">
        <v>45929</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27980-2025</t>
        </is>
      </c>
      <c r="B884" s="1" t="n">
        <v>45817.57395833333</v>
      </c>
      <c r="C884" s="1" t="n">
        <v>45929</v>
      </c>
      <c r="D884" t="inlineStr">
        <is>
          <t>KALMAR LÄN</t>
        </is>
      </c>
      <c r="E884" t="inlineStr">
        <is>
          <t>VÄSTERVIK</t>
        </is>
      </c>
      <c r="F884" t="inlineStr">
        <is>
          <t>Sveaskog</t>
        </is>
      </c>
      <c r="G884" t="n">
        <v>7.2</v>
      </c>
      <c r="H884" t="n">
        <v>0</v>
      </c>
      <c r="I884" t="n">
        <v>0</v>
      </c>
      <c r="J884" t="n">
        <v>0</v>
      </c>
      <c r="K884" t="n">
        <v>0</v>
      </c>
      <c r="L884" t="n">
        <v>0</v>
      </c>
      <c r="M884" t="n">
        <v>0</v>
      </c>
      <c r="N884" t="n">
        <v>0</v>
      </c>
      <c r="O884" t="n">
        <v>0</v>
      </c>
      <c r="P884" t="n">
        <v>0</v>
      </c>
      <c r="Q884" t="n">
        <v>0</v>
      </c>
      <c r="R884" s="2" t="inlineStr"/>
    </row>
    <row r="885" ht="15" customHeight="1">
      <c r="A885" t="inlineStr">
        <is>
          <t>A 27978-2025</t>
        </is>
      </c>
      <c r="B885" s="1" t="n">
        <v>45817.57153935185</v>
      </c>
      <c r="C885" s="1" t="n">
        <v>45929</v>
      </c>
      <c r="D885" t="inlineStr">
        <is>
          <t>KALMAR LÄN</t>
        </is>
      </c>
      <c r="E885" t="inlineStr">
        <is>
          <t>VÄSTERVIK</t>
        </is>
      </c>
      <c r="F885" t="inlineStr">
        <is>
          <t>Sveaskog</t>
        </is>
      </c>
      <c r="G885" t="n">
        <v>10.8</v>
      </c>
      <c r="H885" t="n">
        <v>0</v>
      </c>
      <c r="I885" t="n">
        <v>0</v>
      </c>
      <c r="J885" t="n">
        <v>0</v>
      </c>
      <c r="K885" t="n">
        <v>0</v>
      </c>
      <c r="L885" t="n">
        <v>0</v>
      </c>
      <c r="M885" t="n">
        <v>0</v>
      </c>
      <c r="N885" t="n">
        <v>0</v>
      </c>
      <c r="O885" t="n">
        <v>0</v>
      </c>
      <c r="P885" t="n">
        <v>0</v>
      </c>
      <c r="Q885" t="n">
        <v>0</v>
      </c>
      <c r="R885" s="2" t="inlineStr"/>
    </row>
    <row r="886" ht="15" customHeight="1">
      <c r="A886" t="inlineStr">
        <is>
          <t>A 9263-2025</t>
        </is>
      </c>
      <c r="B886" s="1" t="n">
        <v>45714.60927083333</v>
      </c>
      <c r="C886" s="1" t="n">
        <v>45929</v>
      </c>
      <c r="D886" t="inlineStr">
        <is>
          <t>KALMAR LÄN</t>
        </is>
      </c>
      <c r="E886" t="inlineStr">
        <is>
          <t>VÄSTERVIK</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38045-2023</t>
        </is>
      </c>
      <c r="B887" s="1" t="n">
        <v>45160.67251157408</v>
      </c>
      <c r="C887" s="1" t="n">
        <v>45929</v>
      </c>
      <c r="D887" t="inlineStr">
        <is>
          <t>KALMAR LÄN</t>
        </is>
      </c>
      <c r="E887" t="inlineStr">
        <is>
          <t>VÄSTERVIK</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28203-2025</t>
        </is>
      </c>
      <c r="B888" s="1" t="n">
        <v>45818.44662037037</v>
      </c>
      <c r="C888" s="1" t="n">
        <v>45929</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36555-2024</t>
        </is>
      </c>
      <c r="B889" s="1" t="n">
        <v>45537</v>
      </c>
      <c r="C889" s="1" t="n">
        <v>45929</v>
      </c>
      <c r="D889" t="inlineStr">
        <is>
          <t>KALMAR LÄN</t>
        </is>
      </c>
      <c r="E889" t="inlineStr">
        <is>
          <t>VÄSTERVIK</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27974-2025</t>
        </is>
      </c>
      <c r="B890" s="1" t="n">
        <v>45817.56891203704</v>
      </c>
      <c r="C890" s="1" t="n">
        <v>45929</v>
      </c>
      <c r="D890" t="inlineStr">
        <is>
          <t>KALMAR LÄN</t>
        </is>
      </c>
      <c r="E890" t="inlineStr">
        <is>
          <t>VÄSTERVIK</t>
        </is>
      </c>
      <c r="F890" t="inlineStr">
        <is>
          <t>Sveaskog</t>
        </is>
      </c>
      <c r="G890" t="n">
        <v>5</v>
      </c>
      <c r="H890" t="n">
        <v>0</v>
      </c>
      <c r="I890" t="n">
        <v>0</v>
      </c>
      <c r="J890" t="n">
        <v>0</v>
      </c>
      <c r="K890" t="n">
        <v>0</v>
      </c>
      <c r="L890" t="n">
        <v>0</v>
      </c>
      <c r="M890" t="n">
        <v>0</v>
      </c>
      <c r="N890" t="n">
        <v>0</v>
      </c>
      <c r="O890" t="n">
        <v>0</v>
      </c>
      <c r="P890" t="n">
        <v>0</v>
      </c>
      <c r="Q890" t="n">
        <v>0</v>
      </c>
      <c r="R890" s="2" t="inlineStr"/>
    </row>
    <row r="891" ht="15" customHeight="1">
      <c r="A891" t="inlineStr">
        <is>
          <t>A 28096-2025</t>
        </is>
      </c>
      <c r="B891" s="1" t="n">
        <v>45817.81831018518</v>
      </c>
      <c r="C891" s="1" t="n">
        <v>45929</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28696-2025</t>
        </is>
      </c>
      <c r="B892" s="1" t="n">
        <v>45819.91342592592</v>
      </c>
      <c r="C892" s="1" t="n">
        <v>45929</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29678-2025</t>
        </is>
      </c>
      <c r="B893" s="1" t="n">
        <v>45825.50804398148</v>
      </c>
      <c r="C893" s="1" t="n">
        <v>45929</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55361-2024</t>
        </is>
      </c>
      <c r="B894" s="1" t="n">
        <v>45621.83300925926</v>
      </c>
      <c r="C894" s="1" t="n">
        <v>45929</v>
      </c>
      <c r="D894" t="inlineStr">
        <is>
          <t>KALMAR LÄN</t>
        </is>
      </c>
      <c r="E894" t="inlineStr">
        <is>
          <t>VÄSTERVIK</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55362-2024</t>
        </is>
      </c>
      <c r="B895" s="1" t="n">
        <v>45621.83461805555</v>
      </c>
      <c r="C895" s="1" t="n">
        <v>45929</v>
      </c>
      <c r="D895" t="inlineStr">
        <is>
          <t>KALMAR LÄN</t>
        </is>
      </c>
      <c r="E895" t="inlineStr">
        <is>
          <t>VÄSTERVIK</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3041-2025</t>
        </is>
      </c>
      <c r="B896" s="1" t="n">
        <v>45678.60493055556</v>
      </c>
      <c r="C896" s="1" t="n">
        <v>45929</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c r="U896">
        <f>HYPERLINK("https://klasma.github.io/Logging_0883/knärot/A 3041-2025 karta knärot.png", "A 3041-2025")</f>
        <v/>
      </c>
      <c r="V896">
        <f>HYPERLINK("https://klasma.github.io/Logging_0883/klagomål/A 3041-2025 FSC-klagomål.docx", "A 3041-2025")</f>
        <v/>
      </c>
      <c r="W896">
        <f>HYPERLINK("https://klasma.github.io/Logging_0883/klagomålsmail/A 3041-2025 FSC-klagomål mail.docx", "A 3041-2025")</f>
        <v/>
      </c>
      <c r="X896">
        <f>HYPERLINK("https://klasma.github.io/Logging_0883/tillsyn/A 3041-2025 tillsynsbegäran.docx", "A 3041-2025")</f>
        <v/>
      </c>
      <c r="Y896">
        <f>HYPERLINK("https://klasma.github.io/Logging_0883/tillsynsmail/A 3041-2025 tillsynsbegäran mail.docx", "A 3041-2025")</f>
        <v/>
      </c>
    </row>
    <row r="897" ht="15" customHeight="1">
      <c r="A897" t="inlineStr">
        <is>
          <t>A 2360-2025</t>
        </is>
      </c>
      <c r="B897" s="1" t="n">
        <v>45673.69037037037</v>
      </c>
      <c r="C897" s="1" t="n">
        <v>45929</v>
      </c>
      <c r="D897" t="inlineStr">
        <is>
          <t>KALMAR LÄN</t>
        </is>
      </c>
      <c r="E897" t="inlineStr">
        <is>
          <t>VÄSTERVIK</t>
        </is>
      </c>
      <c r="G897" t="n">
        <v>3</v>
      </c>
      <c r="H897" t="n">
        <v>0</v>
      </c>
      <c r="I897" t="n">
        <v>0</v>
      </c>
      <c r="J897" t="n">
        <v>0</v>
      </c>
      <c r="K897" t="n">
        <v>0</v>
      </c>
      <c r="L897" t="n">
        <v>0</v>
      </c>
      <c r="M897" t="n">
        <v>0</v>
      </c>
      <c r="N897" t="n">
        <v>0</v>
      </c>
      <c r="O897" t="n">
        <v>0</v>
      </c>
      <c r="P897" t="n">
        <v>0</v>
      </c>
      <c r="Q897" t="n">
        <v>0</v>
      </c>
      <c r="R897" s="2" t="inlineStr"/>
    </row>
    <row r="898" ht="15" customHeight="1">
      <c r="A898" t="inlineStr">
        <is>
          <t>A 42816-2024</t>
        </is>
      </c>
      <c r="B898" s="1" t="n">
        <v>45566</v>
      </c>
      <c r="C898" s="1" t="n">
        <v>45929</v>
      </c>
      <c r="D898" t="inlineStr">
        <is>
          <t>KALMAR LÄN</t>
        </is>
      </c>
      <c r="E898" t="inlineStr">
        <is>
          <t>VÄSTERVIK</t>
        </is>
      </c>
      <c r="G898" t="n">
        <v>0.1</v>
      </c>
      <c r="H898" t="n">
        <v>0</v>
      </c>
      <c r="I898" t="n">
        <v>0</v>
      </c>
      <c r="J898" t="n">
        <v>0</v>
      </c>
      <c r="K898" t="n">
        <v>0</v>
      </c>
      <c r="L898" t="n">
        <v>0</v>
      </c>
      <c r="M898" t="n">
        <v>0</v>
      </c>
      <c r="N898" t="n">
        <v>0</v>
      </c>
      <c r="O898" t="n">
        <v>0</v>
      </c>
      <c r="P898" t="n">
        <v>0</v>
      </c>
      <c r="Q898" t="n">
        <v>0</v>
      </c>
      <c r="R898" s="2" t="inlineStr"/>
    </row>
    <row r="899" ht="15" customHeight="1">
      <c r="A899" t="inlineStr">
        <is>
          <t>A 30644-2025</t>
        </is>
      </c>
      <c r="B899" s="1" t="n">
        <v>45831</v>
      </c>
      <c r="C899" s="1" t="n">
        <v>45929</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30811-2025</t>
        </is>
      </c>
      <c r="B900" s="1" t="n">
        <v>45831.65712962963</v>
      </c>
      <c r="C900" s="1" t="n">
        <v>45929</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30800-2025</t>
        </is>
      </c>
      <c r="B901" s="1" t="n">
        <v>45831.65177083333</v>
      </c>
      <c r="C901" s="1" t="n">
        <v>45929</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30789-2025</t>
        </is>
      </c>
      <c r="B902" s="1" t="n">
        <v>45831.63174768518</v>
      </c>
      <c r="C902" s="1" t="n">
        <v>45929</v>
      </c>
      <c r="D902" t="inlineStr">
        <is>
          <t>KALMAR LÄN</t>
        </is>
      </c>
      <c r="E902" t="inlineStr">
        <is>
          <t>VÄSTERVIK</t>
        </is>
      </c>
      <c r="G902" t="n">
        <v>7</v>
      </c>
      <c r="H902" t="n">
        <v>0</v>
      </c>
      <c r="I902" t="n">
        <v>0</v>
      </c>
      <c r="J902" t="n">
        <v>0</v>
      </c>
      <c r="K902" t="n">
        <v>0</v>
      </c>
      <c r="L902" t="n">
        <v>0</v>
      </c>
      <c r="M902" t="n">
        <v>0</v>
      </c>
      <c r="N902" t="n">
        <v>0</v>
      </c>
      <c r="O902" t="n">
        <v>0</v>
      </c>
      <c r="P902" t="n">
        <v>0</v>
      </c>
      <c r="Q902" t="n">
        <v>0</v>
      </c>
      <c r="R902" s="2" t="inlineStr"/>
    </row>
    <row r="903" ht="15" customHeight="1">
      <c r="A903" t="inlineStr">
        <is>
          <t>A 30690-2025</t>
        </is>
      </c>
      <c r="B903" s="1" t="n">
        <v>45831.53775462963</v>
      </c>
      <c r="C903" s="1" t="n">
        <v>45929</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30648-2025</t>
        </is>
      </c>
      <c r="B904" s="1" t="n">
        <v>45831</v>
      </c>
      <c r="C904" s="1" t="n">
        <v>45929</v>
      </c>
      <c r="D904" t="inlineStr">
        <is>
          <t>KALMAR LÄN</t>
        </is>
      </c>
      <c r="E904" t="inlineStr">
        <is>
          <t>VÄSTERVIK</t>
        </is>
      </c>
      <c r="G904" t="n">
        <v>3</v>
      </c>
      <c r="H904" t="n">
        <v>0</v>
      </c>
      <c r="I904" t="n">
        <v>0</v>
      </c>
      <c r="J904" t="n">
        <v>0</v>
      </c>
      <c r="K904" t="n">
        <v>0</v>
      </c>
      <c r="L904" t="n">
        <v>0</v>
      </c>
      <c r="M904" t="n">
        <v>0</v>
      </c>
      <c r="N904" t="n">
        <v>0</v>
      </c>
      <c r="O904" t="n">
        <v>0</v>
      </c>
      <c r="P904" t="n">
        <v>0</v>
      </c>
      <c r="Q904" t="n">
        <v>0</v>
      </c>
      <c r="R904" s="2" t="inlineStr"/>
    </row>
    <row r="905" ht="15" customHeight="1">
      <c r="A905" t="inlineStr">
        <is>
          <t>A 21824-2023</t>
        </is>
      </c>
      <c r="B905" s="1" t="n">
        <v>45068</v>
      </c>
      <c r="C905" s="1" t="n">
        <v>45929</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31576-2025</t>
        </is>
      </c>
      <c r="B906" s="1" t="n">
        <v>45833.67266203704</v>
      </c>
      <c r="C906" s="1" t="n">
        <v>45929</v>
      </c>
      <c r="D906" t="inlineStr">
        <is>
          <t>KALMAR LÄN</t>
        </is>
      </c>
      <c r="E906" t="inlineStr">
        <is>
          <t>VÄSTERVIK</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31826-2025</t>
        </is>
      </c>
      <c r="B907" s="1" t="n">
        <v>45834.58306712963</v>
      </c>
      <c r="C907" s="1" t="n">
        <v>45929</v>
      </c>
      <c r="D907" t="inlineStr">
        <is>
          <t>KALMAR LÄN</t>
        </is>
      </c>
      <c r="E907" t="inlineStr">
        <is>
          <t>VÄSTERVIK</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31843-2025</t>
        </is>
      </c>
      <c r="B908" s="1" t="n">
        <v>45834.5984375</v>
      </c>
      <c r="C908" s="1" t="n">
        <v>45929</v>
      </c>
      <c r="D908" t="inlineStr">
        <is>
          <t>KALMAR LÄN</t>
        </is>
      </c>
      <c r="E908" t="inlineStr">
        <is>
          <t>VÄSTERVIK</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31857-2025</t>
        </is>
      </c>
      <c r="B909" s="1" t="n">
        <v>45834.62629629629</v>
      </c>
      <c r="C909" s="1" t="n">
        <v>45929</v>
      </c>
      <c r="D909" t="inlineStr">
        <is>
          <t>KALMAR LÄN</t>
        </is>
      </c>
      <c r="E909" t="inlineStr">
        <is>
          <t>VÄSTERVIK</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1788-2025</t>
        </is>
      </c>
      <c r="B910" s="1" t="n">
        <v>45671.45521990741</v>
      </c>
      <c r="C910" s="1" t="n">
        <v>45929</v>
      </c>
      <c r="D910" t="inlineStr">
        <is>
          <t>KALMAR LÄN</t>
        </is>
      </c>
      <c r="E910" t="inlineStr">
        <is>
          <t>VÄSTERVIK</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55565-2024</t>
        </is>
      </c>
      <c r="B911" s="1" t="n">
        <v>45622.54515046296</v>
      </c>
      <c r="C911" s="1" t="n">
        <v>45929</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31419-2025</t>
        </is>
      </c>
      <c r="B912" s="1" t="n">
        <v>45833.48370370371</v>
      </c>
      <c r="C912" s="1" t="n">
        <v>45929</v>
      </c>
      <c r="D912" t="inlineStr">
        <is>
          <t>KALMAR LÄN</t>
        </is>
      </c>
      <c r="E912" t="inlineStr">
        <is>
          <t>VÄSTERVIK</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10771-2025</t>
        </is>
      </c>
      <c r="B913" s="1" t="n">
        <v>45722.46953703704</v>
      </c>
      <c r="C913" s="1" t="n">
        <v>45929</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45929</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23706-2025</t>
        </is>
      </c>
      <c r="B915" s="1" t="n">
        <v>45793.36922453704</v>
      </c>
      <c r="C915" s="1" t="n">
        <v>45929</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31886-2025</t>
        </is>
      </c>
      <c r="B916" s="1" t="n">
        <v>45834.65864583333</v>
      </c>
      <c r="C916" s="1" t="n">
        <v>45929</v>
      </c>
      <c r="D916" t="inlineStr">
        <is>
          <t>KALMAR LÄN</t>
        </is>
      </c>
      <c r="E916" t="inlineStr">
        <is>
          <t>VÄSTERVIK</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26061-2024</t>
        </is>
      </c>
      <c r="B917" s="1" t="n">
        <v>45468.35030092593</v>
      </c>
      <c r="C917" s="1" t="n">
        <v>45929</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26066-2024</t>
        </is>
      </c>
      <c r="B918" s="1" t="n">
        <v>45468.35390046296</v>
      </c>
      <c r="C918" s="1" t="n">
        <v>45929</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31600-2025</t>
        </is>
      </c>
      <c r="B919" s="1" t="n">
        <v>45833.72505787037</v>
      </c>
      <c r="C919" s="1" t="n">
        <v>45929</v>
      </c>
      <c r="D919" t="inlineStr">
        <is>
          <t>KALMAR LÄN</t>
        </is>
      </c>
      <c r="E919" t="inlineStr">
        <is>
          <t>VÄSTERVIK</t>
        </is>
      </c>
      <c r="F919" t="inlineStr">
        <is>
          <t>Holmen skog AB</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58764-2024</t>
        </is>
      </c>
      <c r="B920" s="1" t="n">
        <v>45635.72293981481</v>
      </c>
      <c r="C920" s="1" t="n">
        <v>45929</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13489-2022</t>
        </is>
      </c>
      <c r="B921" s="1" t="n">
        <v>44646</v>
      </c>
      <c r="C921" s="1" t="n">
        <v>45929</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45929</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32018-2025</t>
        </is>
      </c>
      <c r="B923" s="1" t="n">
        <v>45835.40452546296</v>
      </c>
      <c r="C923" s="1" t="n">
        <v>45929</v>
      </c>
      <c r="D923" t="inlineStr">
        <is>
          <t>KALMAR LÄN</t>
        </is>
      </c>
      <c r="E923" t="inlineStr">
        <is>
          <t>VÄSTERVIK</t>
        </is>
      </c>
      <c r="G923" t="n">
        <v>0.8</v>
      </c>
      <c r="H923" t="n">
        <v>0</v>
      </c>
      <c r="I923" t="n">
        <v>0</v>
      </c>
      <c r="J923" t="n">
        <v>0</v>
      </c>
      <c r="K923" t="n">
        <v>0</v>
      </c>
      <c r="L923" t="n">
        <v>0</v>
      </c>
      <c r="M923" t="n">
        <v>0</v>
      </c>
      <c r="N923" t="n">
        <v>0</v>
      </c>
      <c r="O923" t="n">
        <v>0</v>
      </c>
      <c r="P923" t="n">
        <v>0</v>
      </c>
      <c r="Q923" t="n">
        <v>0</v>
      </c>
      <c r="R923" s="2" t="inlineStr"/>
    </row>
    <row r="924" ht="15" customHeight="1">
      <c r="A924" t="inlineStr">
        <is>
          <t>A 32495-2025</t>
        </is>
      </c>
      <c r="B924" s="1" t="n">
        <v>45838.4546875</v>
      </c>
      <c r="C924" s="1" t="n">
        <v>45929</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32778-2025</t>
        </is>
      </c>
      <c r="B925" s="1" t="n">
        <v>45839.46924768519</v>
      </c>
      <c r="C925" s="1" t="n">
        <v>45929</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32400-2025</t>
        </is>
      </c>
      <c r="B926" s="1" t="n">
        <v>45838.25818287037</v>
      </c>
      <c r="C926" s="1" t="n">
        <v>45929</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33922-2025</t>
        </is>
      </c>
      <c r="B927" s="1" t="n">
        <v>45842.61993055556</v>
      </c>
      <c r="C927" s="1" t="n">
        <v>45929</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33928-2025</t>
        </is>
      </c>
      <c r="B928" s="1" t="n">
        <v>45842.62488425926</v>
      </c>
      <c r="C928" s="1" t="n">
        <v>45929</v>
      </c>
      <c r="D928" t="inlineStr">
        <is>
          <t>KALMAR LÄN</t>
        </is>
      </c>
      <c r="E928" t="inlineStr">
        <is>
          <t>VÄSTERVIK</t>
        </is>
      </c>
      <c r="G928" t="n">
        <v>2.4</v>
      </c>
      <c r="H928" t="n">
        <v>0</v>
      </c>
      <c r="I928" t="n">
        <v>0</v>
      </c>
      <c r="J928" t="n">
        <v>0</v>
      </c>
      <c r="K928" t="n">
        <v>0</v>
      </c>
      <c r="L928" t="n">
        <v>0</v>
      </c>
      <c r="M928" t="n">
        <v>0</v>
      </c>
      <c r="N928" t="n">
        <v>0</v>
      </c>
      <c r="O928" t="n">
        <v>0</v>
      </c>
      <c r="P928" t="n">
        <v>0</v>
      </c>
      <c r="Q928" t="n">
        <v>0</v>
      </c>
      <c r="R928" s="2" t="inlineStr"/>
    </row>
    <row r="929" ht="15" customHeight="1">
      <c r="A929" t="inlineStr">
        <is>
          <t>A 33903-2025</t>
        </is>
      </c>
      <c r="B929" s="1" t="n">
        <v>45842.59581018519</v>
      </c>
      <c r="C929" s="1" t="n">
        <v>45929</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33924-2025</t>
        </is>
      </c>
      <c r="B930" s="1" t="n">
        <v>45842.62152777778</v>
      </c>
      <c r="C930" s="1" t="n">
        <v>45929</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33921-2025</t>
        </is>
      </c>
      <c r="B931" s="1" t="n">
        <v>45842.61626157408</v>
      </c>
      <c r="C931" s="1" t="n">
        <v>45929</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33842-2025</t>
        </is>
      </c>
      <c r="B932" s="1" t="n">
        <v>45842.48217592593</v>
      </c>
      <c r="C932" s="1" t="n">
        <v>45929</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33931-2025</t>
        </is>
      </c>
      <c r="B933" s="1" t="n">
        <v>45842.63288194445</v>
      </c>
      <c r="C933" s="1" t="n">
        <v>45929</v>
      </c>
      <c r="D933" t="inlineStr">
        <is>
          <t>KALMAR LÄN</t>
        </is>
      </c>
      <c r="E933" t="inlineStr">
        <is>
          <t>VÄSTERVIK</t>
        </is>
      </c>
      <c r="G933" t="n">
        <v>1.6</v>
      </c>
      <c r="H933" t="n">
        <v>0</v>
      </c>
      <c r="I933" t="n">
        <v>0</v>
      </c>
      <c r="J933" t="n">
        <v>0</v>
      </c>
      <c r="K933" t="n">
        <v>0</v>
      </c>
      <c r="L933" t="n">
        <v>0</v>
      </c>
      <c r="M933" t="n">
        <v>0</v>
      </c>
      <c r="N933" t="n">
        <v>0</v>
      </c>
      <c r="O933" t="n">
        <v>0</v>
      </c>
      <c r="P933" t="n">
        <v>0</v>
      </c>
      <c r="Q933" t="n">
        <v>0</v>
      </c>
      <c r="R933" s="2" t="inlineStr"/>
    </row>
    <row r="934" ht="15" customHeight="1">
      <c r="A934" t="inlineStr">
        <is>
          <t>A 33907-2025</t>
        </is>
      </c>
      <c r="B934" s="1" t="n">
        <v>45842.59880787037</v>
      </c>
      <c r="C934" s="1" t="n">
        <v>45929</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23024-2025</t>
        </is>
      </c>
      <c r="B935" s="1" t="n">
        <v>45790.65615740741</v>
      </c>
      <c r="C935" s="1" t="n">
        <v>45929</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2859-2025</t>
        </is>
      </c>
      <c r="B936" s="1" t="n">
        <v>45677.67003472222</v>
      </c>
      <c r="C936" s="1" t="n">
        <v>45929</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2870-2025</t>
        </is>
      </c>
      <c r="B937" s="1" t="n">
        <v>45677.68149305556</v>
      </c>
      <c r="C937" s="1" t="n">
        <v>45929</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34162-2025</t>
        </is>
      </c>
      <c r="B938" s="1" t="n">
        <v>45845.57983796296</v>
      </c>
      <c r="C938" s="1" t="n">
        <v>45929</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34289-2025</t>
        </is>
      </c>
      <c r="B939" s="1" t="n">
        <v>45846.334375</v>
      </c>
      <c r="C939" s="1" t="n">
        <v>45929</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34397-2025</t>
        </is>
      </c>
      <c r="B940" s="1" t="n">
        <v>45846.59813657407</v>
      </c>
      <c r="C940" s="1" t="n">
        <v>45929</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34160-2025</t>
        </is>
      </c>
      <c r="B941" s="1" t="n">
        <v>45845.57701388889</v>
      </c>
      <c r="C941" s="1" t="n">
        <v>45929</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45929</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55032-2024</t>
        </is>
      </c>
      <c r="B943" s="1" t="n">
        <v>45621.38190972222</v>
      </c>
      <c r="C943" s="1" t="n">
        <v>45929</v>
      </c>
      <c r="D943" t="inlineStr">
        <is>
          <t>KALMAR LÄN</t>
        </is>
      </c>
      <c r="E943" t="inlineStr">
        <is>
          <t>VÄSTERVIK</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55037-2024</t>
        </is>
      </c>
      <c r="B944" s="1" t="n">
        <v>45621.38459490741</v>
      </c>
      <c r="C944" s="1" t="n">
        <v>45929</v>
      </c>
      <c r="D944" t="inlineStr">
        <is>
          <t>KALMAR LÄN</t>
        </is>
      </c>
      <c r="E944" t="inlineStr">
        <is>
          <t>VÄSTERVIK</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34617-2025</t>
        </is>
      </c>
      <c r="B945" s="1" t="n">
        <v>45847</v>
      </c>
      <c r="C945" s="1" t="n">
        <v>45929</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34618-2025</t>
        </is>
      </c>
      <c r="B946" s="1" t="n">
        <v>45847</v>
      </c>
      <c r="C946" s="1" t="n">
        <v>45929</v>
      </c>
      <c r="D946" t="inlineStr">
        <is>
          <t>KALMAR LÄN</t>
        </is>
      </c>
      <c r="E946" t="inlineStr">
        <is>
          <t>VÄSTERVIK</t>
        </is>
      </c>
      <c r="G946" t="n">
        <v>2.6</v>
      </c>
      <c r="H946" t="n">
        <v>0</v>
      </c>
      <c r="I946" t="n">
        <v>0</v>
      </c>
      <c r="J946" t="n">
        <v>0</v>
      </c>
      <c r="K946" t="n">
        <v>0</v>
      </c>
      <c r="L946" t="n">
        <v>0</v>
      </c>
      <c r="M946" t="n">
        <v>0</v>
      </c>
      <c r="N946" t="n">
        <v>0</v>
      </c>
      <c r="O946" t="n">
        <v>0</v>
      </c>
      <c r="P946" t="n">
        <v>0</v>
      </c>
      <c r="Q946" t="n">
        <v>0</v>
      </c>
      <c r="R946" s="2" t="inlineStr"/>
    </row>
    <row r="947" ht="15" customHeight="1">
      <c r="A947" t="inlineStr">
        <is>
          <t>A 34639-2025</t>
        </is>
      </c>
      <c r="B947" s="1" t="n">
        <v>45848</v>
      </c>
      <c r="C947" s="1" t="n">
        <v>45929</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39425-2025</t>
        </is>
      </c>
      <c r="B948" s="1" t="n">
        <v>45889.67297453704</v>
      </c>
      <c r="C948" s="1" t="n">
        <v>45929</v>
      </c>
      <c r="D948" t="inlineStr">
        <is>
          <t>KALMAR LÄN</t>
        </is>
      </c>
      <c r="E948" t="inlineStr">
        <is>
          <t>VÄSTERVIK</t>
        </is>
      </c>
      <c r="G948" t="n">
        <v>6.7</v>
      </c>
      <c r="H948" t="n">
        <v>0</v>
      </c>
      <c r="I948" t="n">
        <v>0</v>
      </c>
      <c r="J948" t="n">
        <v>0</v>
      </c>
      <c r="K948" t="n">
        <v>0</v>
      </c>
      <c r="L948" t="n">
        <v>0</v>
      </c>
      <c r="M948" t="n">
        <v>0</v>
      </c>
      <c r="N948" t="n">
        <v>0</v>
      </c>
      <c r="O948" t="n">
        <v>0</v>
      </c>
      <c r="P948" t="n">
        <v>0</v>
      </c>
      <c r="Q948" t="n">
        <v>0</v>
      </c>
      <c r="R948" s="2" t="inlineStr"/>
    </row>
    <row r="949" ht="15" customHeight="1">
      <c r="A949" t="inlineStr">
        <is>
          <t>A 39430-2025</t>
        </is>
      </c>
      <c r="B949" s="1" t="n">
        <v>45889.67606481481</v>
      </c>
      <c r="C949" s="1" t="n">
        <v>45929</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34531-2025</t>
        </is>
      </c>
      <c r="B950" s="1" t="n">
        <v>45847.50152777778</v>
      </c>
      <c r="C950" s="1" t="n">
        <v>45929</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55358-2024</t>
        </is>
      </c>
      <c r="B951" s="1" t="n">
        <v>45621.82039351852</v>
      </c>
      <c r="C951" s="1" t="n">
        <v>45929</v>
      </c>
      <c r="D951" t="inlineStr">
        <is>
          <t>KALMAR LÄN</t>
        </is>
      </c>
      <c r="E951" t="inlineStr">
        <is>
          <t>VÄSTERVIK</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19551-2023</t>
        </is>
      </c>
      <c r="B952" s="1" t="n">
        <v>45049</v>
      </c>
      <c r="C952" s="1" t="n">
        <v>45929</v>
      </c>
      <c r="D952" t="inlineStr">
        <is>
          <t>KALMAR LÄN</t>
        </is>
      </c>
      <c r="E952" t="inlineStr">
        <is>
          <t>VÄSTERVIK</t>
        </is>
      </c>
      <c r="G952" t="n">
        <v>3.2</v>
      </c>
      <c r="H952" t="n">
        <v>0</v>
      </c>
      <c r="I952" t="n">
        <v>0</v>
      </c>
      <c r="J952" t="n">
        <v>0</v>
      </c>
      <c r="K952" t="n">
        <v>0</v>
      </c>
      <c r="L952" t="n">
        <v>0</v>
      </c>
      <c r="M952" t="n">
        <v>0</v>
      </c>
      <c r="N952" t="n">
        <v>0</v>
      </c>
      <c r="O952" t="n">
        <v>0</v>
      </c>
      <c r="P952" t="n">
        <v>0</v>
      </c>
      <c r="Q952" t="n">
        <v>0</v>
      </c>
      <c r="R952" s="2" t="inlineStr"/>
    </row>
    <row r="953" ht="15" customHeight="1">
      <c r="A953" t="inlineStr">
        <is>
          <t>A 32394-2021</t>
        </is>
      </c>
      <c r="B953" s="1" t="n">
        <v>44371.63414351852</v>
      </c>
      <c r="C953" s="1" t="n">
        <v>45929</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34619-2025</t>
        </is>
      </c>
      <c r="B954" s="1" t="n">
        <v>45847</v>
      </c>
      <c r="C954" s="1" t="n">
        <v>45929</v>
      </c>
      <c r="D954" t="inlineStr">
        <is>
          <t>KALMAR LÄN</t>
        </is>
      </c>
      <c r="E954" t="inlineStr">
        <is>
          <t>VÄSTERVIK</t>
        </is>
      </c>
      <c r="G954" t="n">
        <v>3</v>
      </c>
      <c r="H954" t="n">
        <v>0</v>
      </c>
      <c r="I954" t="n">
        <v>0</v>
      </c>
      <c r="J954" t="n">
        <v>0</v>
      </c>
      <c r="K954" t="n">
        <v>0</v>
      </c>
      <c r="L954" t="n">
        <v>0</v>
      </c>
      <c r="M954" t="n">
        <v>0</v>
      </c>
      <c r="N954" t="n">
        <v>0</v>
      </c>
      <c r="O954" t="n">
        <v>0</v>
      </c>
      <c r="P954" t="n">
        <v>0</v>
      </c>
      <c r="Q954" t="n">
        <v>0</v>
      </c>
      <c r="R954" s="2" t="inlineStr"/>
    </row>
    <row r="955" ht="15" customHeight="1">
      <c r="A955" t="inlineStr">
        <is>
          <t>A 39442-2025</t>
        </is>
      </c>
      <c r="B955" s="1" t="n">
        <v>45889.6947337963</v>
      </c>
      <c r="C955" s="1" t="n">
        <v>45929</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17052-2025</t>
        </is>
      </c>
      <c r="B956" s="1" t="n">
        <v>45755.60236111111</v>
      </c>
      <c r="C956" s="1" t="n">
        <v>45929</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17054-2025</t>
        </is>
      </c>
      <c r="B957" s="1" t="n">
        <v>45755.60278935185</v>
      </c>
      <c r="C957" s="1" t="n">
        <v>45929</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34643-2025</t>
        </is>
      </c>
      <c r="B958" s="1" t="n">
        <v>45848.32959490741</v>
      </c>
      <c r="C958" s="1" t="n">
        <v>45929</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26770-2023</t>
        </is>
      </c>
      <c r="B959" s="1" t="n">
        <v>45093</v>
      </c>
      <c r="C959" s="1" t="n">
        <v>45929</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26772-2023</t>
        </is>
      </c>
      <c r="B960" s="1" t="n">
        <v>45093</v>
      </c>
      <c r="C960" s="1" t="n">
        <v>45929</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26773-2023</t>
        </is>
      </c>
      <c r="B961" s="1" t="n">
        <v>45093</v>
      </c>
      <c r="C961" s="1" t="n">
        <v>45929</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46130-2023</t>
        </is>
      </c>
      <c r="B962" s="1" t="n">
        <v>45196.55849537037</v>
      </c>
      <c r="C962" s="1" t="n">
        <v>45929</v>
      </c>
      <c r="D962" t="inlineStr">
        <is>
          <t>KALMAR LÄN</t>
        </is>
      </c>
      <c r="E962" t="inlineStr">
        <is>
          <t>VÄSTERVIK</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16207-2022</t>
        </is>
      </c>
      <c r="B963" s="1" t="n">
        <v>44669</v>
      </c>
      <c r="C963" s="1" t="n">
        <v>45929</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11189-2024</t>
        </is>
      </c>
      <c r="B964" s="1" t="n">
        <v>45371</v>
      </c>
      <c r="C964" s="1" t="n">
        <v>45929</v>
      </c>
      <c r="D964" t="inlineStr">
        <is>
          <t>KALMAR LÄN</t>
        </is>
      </c>
      <c r="E964" t="inlineStr">
        <is>
          <t>VÄSTERVIK</t>
        </is>
      </c>
      <c r="G964" t="n">
        <v>5.2</v>
      </c>
      <c r="H964" t="n">
        <v>0</v>
      </c>
      <c r="I964" t="n">
        <v>0</v>
      </c>
      <c r="J964" t="n">
        <v>0</v>
      </c>
      <c r="K964" t="n">
        <v>0</v>
      </c>
      <c r="L964" t="n">
        <v>0</v>
      </c>
      <c r="M964" t="n">
        <v>0</v>
      </c>
      <c r="N964" t="n">
        <v>0</v>
      </c>
      <c r="O964" t="n">
        <v>0</v>
      </c>
      <c r="P964" t="n">
        <v>0</v>
      </c>
      <c r="Q964" t="n">
        <v>0</v>
      </c>
      <c r="R964" s="2" t="inlineStr"/>
    </row>
    <row r="965" ht="15" customHeight="1">
      <c r="A965" t="inlineStr">
        <is>
          <t>A 39428-2025</t>
        </is>
      </c>
      <c r="B965" s="1" t="n">
        <v>45889.67436342593</v>
      </c>
      <c r="C965" s="1" t="n">
        <v>45929</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34916-2025</t>
        </is>
      </c>
      <c r="B966" s="1" t="n">
        <v>45849.54420138889</v>
      </c>
      <c r="C966" s="1" t="n">
        <v>45929</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54164-2020</t>
        </is>
      </c>
      <c r="B967" s="1" t="n">
        <v>44125</v>
      </c>
      <c r="C967" s="1" t="n">
        <v>45929</v>
      </c>
      <c r="D967" t="inlineStr">
        <is>
          <t>KALMAR LÄN</t>
        </is>
      </c>
      <c r="E967" t="inlineStr">
        <is>
          <t>VÄSTERVIK</t>
        </is>
      </c>
      <c r="F967" t="inlineStr">
        <is>
          <t>Sveaskog</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10012-2025</t>
        </is>
      </c>
      <c r="B968" s="1" t="n">
        <v>45719.46681712963</v>
      </c>
      <c r="C968" s="1" t="n">
        <v>45929</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19694-2025</t>
        </is>
      </c>
      <c r="B969" s="1" t="n">
        <v>45771.30550925926</v>
      </c>
      <c r="C969" s="1" t="n">
        <v>45929</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40165-2025</t>
        </is>
      </c>
      <c r="B970" s="1" t="n">
        <v>45894.62219907407</v>
      </c>
      <c r="C970" s="1" t="n">
        <v>45929</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40168-2025</t>
        </is>
      </c>
      <c r="B971" s="1" t="n">
        <v>45894.62775462963</v>
      </c>
      <c r="C971" s="1" t="n">
        <v>45929</v>
      </c>
      <c r="D971" t="inlineStr">
        <is>
          <t>KALMAR LÄN</t>
        </is>
      </c>
      <c r="E971" t="inlineStr">
        <is>
          <t>VÄSTERVIK</t>
        </is>
      </c>
      <c r="G971" t="n">
        <v>0.3</v>
      </c>
      <c r="H971" t="n">
        <v>0</v>
      </c>
      <c r="I971" t="n">
        <v>0</v>
      </c>
      <c r="J971" t="n">
        <v>0</v>
      </c>
      <c r="K971" t="n">
        <v>0</v>
      </c>
      <c r="L971" t="n">
        <v>0</v>
      </c>
      <c r="M971" t="n">
        <v>0</v>
      </c>
      <c r="N971" t="n">
        <v>0</v>
      </c>
      <c r="O971" t="n">
        <v>0</v>
      </c>
      <c r="P971" t="n">
        <v>0</v>
      </c>
      <c r="Q971" t="n">
        <v>0</v>
      </c>
      <c r="R971" s="2" t="inlineStr"/>
    </row>
    <row r="972" ht="15" customHeight="1">
      <c r="A972" t="inlineStr">
        <is>
          <t>A 56042-2023</t>
        </is>
      </c>
      <c r="B972" s="1" t="n">
        <v>45240.44670138889</v>
      </c>
      <c r="C972" s="1" t="n">
        <v>45929</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35662-2023</t>
        </is>
      </c>
      <c r="B973" s="1" t="n">
        <v>45147</v>
      </c>
      <c r="C973" s="1" t="n">
        <v>45929</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7164-2025</t>
        </is>
      </c>
      <c r="B974" s="1" t="n">
        <v>45702.39331018519</v>
      </c>
      <c r="C974" s="1" t="n">
        <v>45929</v>
      </c>
      <c r="D974" t="inlineStr">
        <is>
          <t>KALMAR LÄN</t>
        </is>
      </c>
      <c r="E974" t="inlineStr">
        <is>
          <t>VÄSTERVIK</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1585-2022</t>
        </is>
      </c>
      <c r="B975" s="1" t="n">
        <v>44573</v>
      </c>
      <c r="C975" s="1" t="n">
        <v>45929</v>
      </c>
      <c r="D975" t="inlineStr">
        <is>
          <t>KALMAR LÄN</t>
        </is>
      </c>
      <c r="E975" t="inlineStr">
        <is>
          <t>VÄSTERVIK</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56077-2024</t>
        </is>
      </c>
      <c r="B976" s="1" t="n">
        <v>45624.38690972222</v>
      </c>
      <c r="C976" s="1" t="n">
        <v>45929</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11856-2024</t>
        </is>
      </c>
      <c r="B977" s="1" t="n">
        <v>45376.43302083333</v>
      </c>
      <c r="C977" s="1" t="n">
        <v>45929</v>
      </c>
      <c r="D977" t="inlineStr">
        <is>
          <t>KALMAR LÄN</t>
        </is>
      </c>
      <c r="E977" t="inlineStr">
        <is>
          <t>VÄSTERVIK</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57367-2023</t>
        </is>
      </c>
      <c r="B978" s="1" t="n">
        <v>45245</v>
      </c>
      <c r="C978" s="1" t="n">
        <v>45929</v>
      </c>
      <c r="D978" t="inlineStr">
        <is>
          <t>KALMAR LÄN</t>
        </is>
      </c>
      <c r="E978" t="inlineStr">
        <is>
          <t>VÄSTERVIK</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35960-2023</t>
        </is>
      </c>
      <c r="B979" s="1" t="n">
        <v>45148.84990740741</v>
      </c>
      <c r="C979" s="1" t="n">
        <v>45929</v>
      </c>
      <c r="D979" t="inlineStr">
        <is>
          <t>KALMAR LÄN</t>
        </is>
      </c>
      <c r="E979" t="inlineStr">
        <is>
          <t>VÄSTERVIK</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35962-2023</t>
        </is>
      </c>
      <c r="B980" s="1" t="n">
        <v>45148</v>
      </c>
      <c r="C980" s="1" t="n">
        <v>45929</v>
      </c>
      <c r="D980" t="inlineStr">
        <is>
          <t>KALMAR LÄN</t>
        </is>
      </c>
      <c r="E980" t="inlineStr">
        <is>
          <t>VÄSTERVIK</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10441-2022</t>
        </is>
      </c>
      <c r="B981" s="1" t="n">
        <v>44623</v>
      </c>
      <c r="C981" s="1" t="n">
        <v>45929</v>
      </c>
      <c r="D981" t="inlineStr">
        <is>
          <t>KALMAR LÄN</t>
        </is>
      </c>
      <c r="E981" t="inlineStr">
        <is>
          <t>VÄSTERVIK</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11988-2022</t>
        </is>
      </c>
      <c r="B982" s="1" t="n">
        <v>44635.68771990741</v>
      </c>
      <c r="C982" s="1" t="n">
        <v>45929</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55866-2023</t>
        </is>
      </c>
      <c r="B983" s="1" t="n">
        <v>45239</v>
      </c>
      <c r="C983" s="1" t="n">
        <v>45929</v>
      </c>
      <c r="D983" t="inlineStr">
        <is>
          <t>KALMAR LÄN</t>
        </is>
      </c>
      <c r="E983" t="inlineStr">
        <is>
          <t>VÄSTERVIK</t>
        </is>
      </c>
      <c r="G983" t="n">
        <v>1.3</v>
      </c>
      <c r="H983" t="n">
        <v>0</v>
      </c>
      <c r="I983" t="n">
        <v>0</v>
      </c>
      <c r="J983" t="n">
        <v>0</v>
      </c>
      <c r="K983" t="n">
        <v>0</v>
      </c>
      <c r="L983" t="n">
        <v>0</v>
      </c>
      <c r="M983" t="n">
        <v>0</v>
      </c>
      <c r="N983" t="n">
        <v>0</v>
      </c>
      <c r="O983" t="n">
        <v>0</v>
      </c>
      <c r="P983" t="n">
        <v>0</v>
      </c>
      <c r="Q983" t="n">
        <v>0</v>
      </c>
      <c r="R983" s="2" t="inlineStr"/>
    </row>
    <row r="984" ht="15" customHeight="1">
      <c r="A984" t="inlineStr">
        <is>
          <t>A 35770-2023</t>
        </is>
      </c>
      <c r="B984" s="1" t="n">
        <v>45147</v>
      </c>
      <c r="C984" s="1" t="n">
        <v>45929</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36643-2023</t>
        </is>
      </c>
      <c r="B985" s="1" t="n">
        <v>45153</v>
      </c>
      <c r="C985" s="1" t="n">
        <v>45929</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54784-2023</t>
        </is>
      </c>
      <c r="B986" s="1" t="n">
        <v>45236.4803587963</v>
      </c>
      <c r="C986" s="1" t="n">
        <v>45929</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67133-2020</t>
        </is>
      </c>
      <c r="B987" s="1" t="n">
        <v>44180</v>
      </c>
      <c r="C987" s="1" t="n">
        <v>45929</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49507-2023</t>
        </is>
      </c>
      <c r="B988" s="1" t="n">
        <v>45211.5790625</v>
      </c>
      <c r="C988" s="1" t="n">
        <v>45929</v>
      </c>
      <c r="D988" t="inlineStr">
        <is>
          <t>KALMAR LÄN</t>
        </is>
      </c>
      <c r="E988" t="inlineStr">
        <is>
          <t>VÄSTERVIK</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58703-2023</t>
        </is>
      </c>
      <c r="B989" s="1" t="n">
        <v>45251</v>
      </c>
      <c r="C989" s="1" t="n">
        <v>45929</v>
      </c>
      <c r="D989" t="inlineStr">
        <is>
          <t>KALMAR LÄN</t>
        </is>
      </c>
      <c r="E989" t="inlineStr">
        <is>
          <t>VÄSTERVIK</t>
        </is>
      </c>
      <c r="F989" t="inlineStr">
        <is>
          <t>Övriga Aktiebolag</t>
        </is>
      </c>
      <c r="G989" t="n">
        <v>2.7</v>
      </c>
      <c r="H989" t="n">
        <v>0</v>
      </c>
      <c r="I989" t="n">
        <v>0</v>
      </c>
      <c r="J989" t="n">
        <v>0</v>
      </c>
      <c r="K989" t="n">
        <v>0</v>
      </c>
      <c r="L989" t="n">
        <v>0</v>
      </c>
      <c r="M989" t="n">
        <v>0</v>
      </c>
      <c r="N989" t="n">
        <v>0</v>
      </c>
      <c r="O989" t="n">
        <v>0</v>
      </c>
      <c r="P989" t="n">
        <v>0</v>
      </c>
      <c r="Q989" t="n">
        <v>0</v>
      </c>
      <c r="R989" s="2" t="inlineStr"/>
    </row>
    <row r="990" ht="15" customHeight="1">
      <c r="A990" t="inlineStr">
        <is>
          <t>A 16395-2024</t>
        </is>
      </c>
      <c r="B990" s="1" t="n">
        <v>45407.62733796296</v>
      </c>
      <c r="C990" s="1" t="n">
        <v>45929</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c r="U990">
        <f>HYPERLINK("https://klasma.github.io/Logging_0883/knärot/A 16395-2024 karta knärot.png", "A 16395-2024")</f>
        <v/>
      </c>
      <c r="V990">
        <f>HYPERLINK("https://klasma.github.io/Logging_0883/klagomål/A 16395-2024 FSC-klagomål.docx", "A 16395-2024")</f>
        <v/>
      </c>
      <c r="W990">
        <f>HYPERLINK("https://klasma.github.io/Logging_0883/klagomålsmail/A 16395-2024 FSC-klagomål mail.docx", "A 16395-2024")</f>
        <v/>
      </c>
      <c r="X990">
        <f>HYPERLINK("https://klasma.github.io/Logging_0883/tillsyn/A 16395-2024 tillsynsbegäran.docx", "A 16395-2024")</f>
        <v/>
      </c>
      <c r="Y990">
        <f>HYPERLINK("https://klasma.github.io/Logging_0883/tillsynsmail/A 16395-2024 tillsynsbegäran mail.docx", "A 16395-2024")</f>
        <v/>
      </c>
    </row>
    <row r="991" ht="15" customHeight="1">
      <c r="A991" t="inlineStr">
        <is>
          <t>A 55958-2023</t>
        </is>
      </c>
      <c r="B991" s="1" t="n">
        <v>45240.34900462963</v>
      </c>
      <c r="C991" s="1" t="n">
        <v>45929</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10774-2025</t>
        </is>
      </c>
      <c r="B992" s="1" t="n">
        <v>45722.47424768518</v>
      </c>
      <c r="C992" s="1" t="n">
        <v>45929</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40977-2023</t>
        </is>
      </c>
      <c r="B993" s="1" t="n">
        <v>45173</v>
      </c>
      <c r="C993" s="1" t="n">
        <v>45929</v>
      </c>
      <c r="D993" t="inlineStr">
        <is>
          <t>KALMAR LÄN</t>
        </is>
      </c>
      <c r="E993" t="inlineStr">
        <is>
          <t>VÄSTERVIK</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23743-2022</t>
        </is>
      </c>
      <c r="B994" s="1" t="n">
        <v>44722.35611111111</v>
      </c>
      <c r="C994" s="1" t="n">
        <v>45929</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37642-2023</t>
        </is>
      </c>
      <c r="B995" s="1" t="n">
        <v>45159.47940972223</v>
      </c>
      <c r="C995" s="1" t="n">
        <v>45929</v>
      </c>
      <c r="D995" t="inlineStr">
        <is>
          <t>KALMAR LÄN</t>
        </is>
      </c>
      <c r="E995" t="inlineStr">
        <is>
          <t>VÄSTERVIK</t>
        </is>
      </c>
      <c r="G995" t="n">
        <v>0.6</v>
      </c>
      <c r="H995" t="n">
        <v>0</v>
      </c>
      <c r="I995" t="n">
        <v>0</v>
      </c>
      <c r="J995" t="n">
        <v>0</v>
      </c>
      <c r="K995" t="n">
        <v>0</v>
      </c>
      <c r="L995" t="n">
        <v>0</v>
      </c>
      <c r="M995" t="n">
        <v>0</v>
      </c>
      <c r="N995" t="n">
        <v>0</v>
      </c>
      <c r="O995" t="n">
        <v>0</v>
      </c>
      <c r="P995" t="n">
        <v>0</v>
      </c>
      <c r="Q995" t="n">
        <v>0</v>
      </c>
      <c r="R995" s="2" t="inlineStr"/>
    </row>
    <row r="996" ht="15" customHeight="1">
      <c r="A996" t="inlineStr">
        <is>
          <t>A 54951-2023</t>
        </is>
      </c>
      <c r="B996" s="1" t="n">
        <v>45236.82902777778</v>
      </c>
      <c r="C996" s="1" t="n">
        <v>45929</v>
      </c>
      <c r="D996" t="inlineStr">
        <is>
          <t>KALMAR LÄN</t>
        </is>
      </c>
      <c r="E996" t="inlineStr">
        <is>
          <t>VÄSTERVIK</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52049-2023</t>
        </is>
      </c>
      <c r="B997" s="1" t="n">
        <v>45216</v>
      </c>
      <c r="C997" s="1" t="n">
        <v>45929</v>
      </c>
      <c r="D997" t="inlineStr">
        <is>
          <t>KALMAR LÄN</t>
        </is>
      </c>
      <c r="E997" t="inlineStr">
        <is>
          <t>VÄSTERVIK</t>
        </is>
      </c>
      <c r="G997" t="n">
        <v>4.4</v>
      </c>
      <c r="H997" t="n">
        <v>0</v>
      </c>
      <c r="I997" t="n">
        <v>0</v>
      </c>
      <c r="J997" t="n">
        <v>0</v>
      </c>
      <c r="K997" t="n">
        <v>0</v>
      </c>
      <c r="L997" t="n">
        <v>0</v>
      </c>
      <c r="M997" t="n">
        <v>0</v>
      </c>
      <c r="N997" t="n">
        <v>0</v>
      </c>
      <c r="O997" t="n">
        <v>0</v>
      </c>
      <c r="P997" t="n">
        <v>0</v>
      </c>
      <c r="Q997" t="n">
        <v>0</v>
      </c>
      <c r="R997" s="2" t="inlineStr"/>
    </row>
    <row r="998" ht="15" customHeight="1">
      <c r="A998" t="inlineStr">
        <is>
          <t>A 30035-2023</t>
        </is>
      </c>
      <c r="B998" s="1" t="n">
        <v>45110</v>
      </c>
      <c r="C998" s="1" t="n">
        <v>45929</v>
      </c>
      <c r="D998" t="inlineStr">
        <is>
          <t>KALMAR LÄN</t>
        </is>
      </c>
      <c r="E998" t="inlineStr">
        <is>
          <t>VÄSTERVIK</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61556-2023</t>
        </is>
      </c>
      <c r="B999" s="1" t="n">
        <v>45261</v>
      </c>
      <c r="C999" s="1" t="n">
        <v>45929</v>
      </c>
      <c r="D999" t="inlineStr">
        <is>
          <t>KALMAR LÄN</t>
        </is>
      </c>
      <c r="E999" t="inlineStr">
        <is>
          <t>VÄSTERVIK</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34420-2024</t>
        </is>
      </c>
      <c r="B1000" s="1" t="n">
        <v>45525.49710648148</v>
      </c>
      <c r="C1000" s="1" t="n">
        <v>45929</v>
      </c>
      <c r="D1000" t="inlineStr">
        <is>
          <t>KALMAR LÄN</t>
        </is>
      </c>
      <c r="E1000" t="inlineStr">
        <is>
          <t>VÄSTERVIK</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63018-2023</t>
        </is>
      </c>
      <c r="B1001" s="1" t="n">
        <v>45272</v>
      </c>
      <c r="C1001" s="1" t="n">
        <v>45929</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3467-2025</t>
        </is>
      </c>
      <c r="B1002" s="1" t="n">
        <v>45680.50885416667</v>
      </c>
      <c r="C1002" s="1" t="n">
        <v>45929</v>
      </c>
      <c r="D1002" t="inlineStr">
        <is>
          <t>KALMAR LÄN</t>
        </is>
      </c>
      <c r="E1002" t="inlineStr">
        <is>
          <t>VÄSTERVIK</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6021-2024</t>
        </is>
      </c>
      <c r="B1003" s="1" t="n">
        <v>45336.62131944444</v>
      </c>
      <c r="C1003" s="1" t="n">
        <v>45929</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55287-2023</t>
        </is>
      </c>
      <c r="B1004" s="1" t="n">
        <v>45237.75578703704</v>
      </c>
      <c r="C1004" s="1" t="n">
        <v>45929</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2168-2024</t>
        </is>
      </c>
      <c r="B1005" s="1" t="n">
        <v>45309.61756944445</v>
      </c>
      <c r="C1005" s="1" t="n">
        <v>45929</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10688-2024</t>
        </is>
      </c>
      <c r="B1006" s="1" t="n">
        <v>45369.39894675926</v>
      </c>
      <c r="C1006" s="1" t="n">
        <v>45929</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37936-2022</t>
        </is>
      </c>
      <c r="B1007" s="1" t="n">
        <v>44811.46958333333</v>
      </c>
      <c r="C1007" s="1" t="n">
        <v>45929</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55289-2023</t>
        </is>
      </c>
      <c r="B1008" s="1" t="n">
        <v>45237.76106481482</v>
      </c>
      <c r="C1008" s="1" t="n">
        <v>45929</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33207-2022</t>
        </is>
      </c>
      <c r="B1009" s="1" t="n">
        <v>44785.72373842593</v>
      </c>
      <c r="C1009" s="1" t="n">
        <v>45929</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33210-2022</t>
        </is>
      </c>
      <c r="B1010" s="1" t="n">
        <v>44785.74811342593</v>
      </c>
      <c r="C1010" s="1" t="n">
        <v>45929</v>
      </c>
      <c r="D1010" t="inlineStr">
        <is>
          <t>KALMAR LÄN</t>
        </is>
      </c>
      <c r="E1010" t="inlineStr">
        <is>
          <t>VÄSTERVIK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10515-2024</t>
        </is>
      </c>
      <c r="B1011" s="1" t="n">
        <v>45366</v>
      </c>
      <c r="C1011" s="1" t="n">
        <v>45929</v>
      </c>
      <c r="D1011" t="inlineStr">
        <is>
          <t>KALMAR LÄN</t>
        </is>
      </c>
      <c r="E1011" t="inlineStr">
        <is>
          <t>VÄSTERVIK</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46088-2023</t>
        </is>
      </c>
      <c r="B1012" s="1" t="n">
        <v>45196.50065972222</v>
      </c>
      <c r="C1012" s="1" t="n">
        <v>45929</v>
      </c>
      <c r="D1012" t="inlineStr">
        <is>
          <t>KALMAR LÄN</t>
        </is>
      </c>
      <c r="E1012" t="inlineStr">
        <is>
          <t>VÄSTERVIK</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46121-2023</t>
        </is>
      </c>
      <c r="B1013" s="1" t="n">
        <v>45196.55392361111</v>
      </c>
      <c r="C1013" s="1" t="n">
        <v>45929</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61450-2023</t>
        </is>
      </c>
      <c r="B1014" s="1" t="n">
        <v>45264.8162037037</v>
      </c>
      <c r="C1014" s="1" t="n">
        <v>45929</v>
      </c>
      <c r="D1014" t="inlineStr">
        <is>
          <t>KALMAR LÄN</t>
        </is>
      </c>
      <c r="E1014" t="inlineStr">
        <is>
          <t>VÄSTERVIK</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56033-2023</t>
        </is>
      </c>
      <c r="B1015" s="1" t="n">
        <v>45240.43778935185</v>
      </c>
      <c r="C1015" s="1" t="n">
        <v>45929</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28404-2024</t>
        </is>
      </c>
      <c r="B1016" s="1" t="n">
        <v>45477.61552083334</v>
      </c>
      <c r="C1016" s="1" t="n">
        <v>45929</v>
      </c>
      <c r="D1016" t="inlineStr">
        <is>
          <t>KALMAR LÄN</t>
        </is>
      </c>
      <c r="E1016" t="inlineStr">
        <is>
          <t>VÄSTERVIK</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28415-2024</t>
        </is>
      </c>
      <c r="B1017" s="1" t="n">
        <v>45477.62924768519</v>
      </c>
      <c r="C1017" s="1" t="n">
        <v>45929</v>
      </c>
      <c r="D1017" t="inlineStr">
        <is>
          <t>KALMAR LÄN</t>
        </is>
      </c>
      <c r="E1017" t="inlineStr">
        <is>
          <t>VÄSTERVIK</t>
        </is>
      </c>
      <c r="F1017" t="inlineStr">
        <is>
          <t>Holmen skog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934-2024</t>
        </is>
      </c>
      <c r="B1018" s="1" t="n">
        <v>45301.51439814815</v>
      </c>
      <c r="C1018" s="1" t="n">
        <v>45929</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936-2024</t>
        </is>
      </c>
      <c r="B1019" s="1" t="n">
        <v>45301.51950231481</v>
      </c>
      <c r="C1019" s="1" t="n">
        <v>45929</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25434-2023</t>
        </is>
      </c>
      <c r="B1020" s="1" t="n">
        <v>45089.41912037037</v>
      </c>
      <c r="C1020" s="1" t="n">
        <v>45929</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18068-2023</t>
        </is>
      </c>
      <c r="B1021" s="1" t="n">
        <v>45040</v>
      </c>
      <c r="C1021" s="1" t="n">
        <v>45929</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45929</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33277-2023</t>
        </is>
      </c>
      <c r="B1023" s="1" t="n">
        <v>45114</v>
      </c>
      <c r="C1023" s="1" t="n">
        <v>45929</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c r="A1024" t="inlineStr">
        <is>
          <t>A 63890-2023</t>
        </is>
      </c>
      <c r="B1024" s="1" t="n">
        <v>45278</v>
      </c>
      <c r="C1024" s="1" t="n">
        <v>45929</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2025-09-29T12:14:29Z</dcterms:created>
  <dcterms:modified xmlns:dcterms="http://purl.org/dc/terms/" xmlns:xsi="http://www.w3.org/2001/XMLSchema-instance" xsi:type="dcterms:W3CDTF">2025-09-29T12:14:30Z</dcterms:modified>
</cp:coreProperties>
</file>