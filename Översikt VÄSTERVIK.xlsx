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45842</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45842</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45842</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45842</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45842</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45842</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45842</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45842</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45842</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45842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45842</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45842</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45842</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45842</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45842</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45842</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45842</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45842</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45842</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45842</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45842</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45842</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45842</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45842</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45842</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45842</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45842</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45842</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45842</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45842</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45842</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45842</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45842</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45842</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45842</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45842</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45842</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45842</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45842</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45842</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45842</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45842</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45842</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45842</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45842</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45842</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45842</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45842</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45842</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45842</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45842</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45842</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45842</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45842</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45842</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45842</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45842</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45842</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45842</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45842</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45842</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45842</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45842</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45842</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45842</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45842</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45842</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45842</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45842</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45842</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45842</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45842</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45842</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45842</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45842</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45842</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45842</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45842</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45842</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45842</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45842</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45842</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45842</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45842</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45842</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45842</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45842</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45842</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45842</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45842</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45842</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45842</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45842</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45842</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45842</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45842</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45842</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45842</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45842</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45842</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45842</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45842</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45842</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45842</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45842</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45842</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45842</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45842</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45842</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45842</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45842</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45842</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45842</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45842</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45842</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45842</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45842</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9097-2021</t>
        </is>
      </c>
      <c r="B119" s="1" t="n">
        <v>44249</v>
      </c>
      <c r="C119" s="1" t="n">
        <v>45842</v>
      </c>
      <c r="D119" t="inlineStr">
        <is>
          <t>KALMAR LÄN</t>
        </is>
      </c>
      <c r="E119" t="inlineStr">
        <is>
          <t>VÄSTERVIK</t>
        </is>
      </c>
      <c r="F119" t="inlineStr">
        <is>
          <t>Sveaskog</t>
        </is>
      </c>
      <c r="G119" t="n">
        <v>1.9</v>
      </c>
      <c r="H119" t="n">
        <v>0</v>
      </c>
      <c r="I119" t="n">
        <v>1</v>
      </c>
      <c r="J119" t="n">
        <v>2</v>
      </c>
      <c r="K119" t="n">
        <v>0</v>
      </c>
      <c r="L119" t="n">
        <v>0</v>
      </c>
      <c r="M119" t="n">
        <v>0</v>
      </c>
      <c r="N119" t="n">
        <v>0</v>
      </c>
      <c r="O119" t="n">
        <v>2</v>
      </c>
      <c r="P119" t="n">
        <v>0</v>
      </c>
      <c r="Q119" t="n">
        <v>3</v>
      </c>
      <c r="R119" s="2" t="inlineStr">
        <is>
          <t>Tallticka
Vedskivlav
Vätteros</t>
        </is>
      </c>
      <c r="S119">
        <f>HYPERLINK("https://klasma.github.io/Logging_0883/artfynd/A 9097-2021 artfynd.xlsx", "A 9097-2021")</f>
        <v/>
      </c>
      <c r="T119">
        <f>HYPERLINK("https://klasma.github.io/Logging_0883/kartor/A 9097-2021 karta.png", "A 9097-2021")</f>
        <v/>
      </c>
      <c r="V119">
        <f>HYPERLINK("https://klasma.github.io/Logging_0883/klagomål/A 9097-2021 FSC-klagomål.docx", "A 9097-2021")</f>
        <v/>
      </c>
      <c r="W119">
        <f>HYPERLINK("https://klasma.github.io/Logging_0883/klagomålsmail/A 9097-2021 FSC-klagomål mail.docx", "A 9097-2021")</f>
        <v/>
      </c>
      <c r="X119">
        <f>HYPERLINK("https://klasma.github.io/Logging_0883/tillsyn/A 9097-2021 tillsynsbegäran.docx", "A 9097-2021")</f>
        <v/>
      </c>
      <c r="Y119">
        <f>HYPERLINK("https://klasma.github.io/Logging_0883/tillsynsmail/A 9097-2021 tillsynsbegäran mail.docx", "A 9097-2021")</f>
        <v/>
      </c>
    </row>
    <row r="120" ht="15" customHeight="1">
      <c r="A120" t="inlineStr">
        <is>
          <t>A 63813-2021</t>
        </is>
      </c>
      <c r="B120" s="1" t="n">
        <v>44505</v>
      </c>
      <c r="C120" s="1" t="n">
        <v>45842</v>
      </c>
      <c r="D120" t="inlineStr">
        <is>
          <t>KALMAR LÄN</t>
        </is>
      </c>
      <c r="E120" t="inlineStr">
        <is>
          <t>VÄSTERVIK</t>
        </is>
      </c>
      <c r="G120" t="n">
        <v>4.4</v>
      </c>
      <c r="H120" t="n">
        <v>1</v>
      </c>
      <c r="I120" t="n">
        <v>1</v>
      </c>
      <c r="J120" t="n">
        <v>2</v>
      </c>
      <c r="K120" t="n">
        <v>0</v>
      </c>
      <c r="L120" t="n">
        <v>0</v>
      </c>
      <c r="M120" t="n">
        <v>0</v>
      </c>
      <c r="N120" t="n">
        <v>0</v>
      </c>
      <c r="O120" t="n">
        <v>2</v>
      </c>
      <c r="P120" t="n">
        <v>0</v>
      </c>
      <c r="Q120" t="n">
        <v>3</v>
      </c>
      <c r="R120" s="2" t="inlineStr">
        <is>
          <t>Tallticka
Talltita
Grovticka</t>
        </is>
      </c>
      <c r="S120">
        <f>HYPERLINK("https://klasma.github.io/Logging_0883/artfynd/A 63813-2021 artfynd.xlsx", "A 63813-2021")</f>
        <v/>
      </c>
      <c r="T120">
        <f>HYPERLINK("https://klasma.github.io/Logging_0883/kartor/A 63813-2021 karta.png", "A 63813-2021")</f>
        <v/>
      </c>
      <c r="U120">
        <f>HYPERLINK("https://klasma.github.io/Logging_0883/knärot/A 63813-2021 karta knärot.png", "A 63813-2021")</f>
        <v/>
      </c>
      <c r="V120">
        <f>HYPERLINK("https://klasma.github.io/Logging_0883/klagomål/A 63813-2021 FSC-klagomål.docx", "A 63813-2021")</f>
        <v/>
      </c>
      <c r="W120">
        <f>HYPERLINK("https://klasma.github.io/Logging_0883/klagomålsmail/A 63813-2021 FSC-klagomål mail.docx", "A 63813-2021")</f>
        <v/>
      </c>
      <c r="X120">
        <f>HYPERLINK("https://klasma.github.io/Logging_0883/tillsyn/A 63813-2021 tillsynsbegäran.docx", "A 63813-2021")</f>
        <v/>
      </c>
      <c r="Y120">
        <f>HYPERLINK("https://klasma.github.io/Logging_0883/tillsynsmail/A 63813-2021 tillsynsbegäran mail.docx", "A 63813-2021")</f>
        <v/>
      </c>
      <c r="Z120">
        <f>HYPERLINK("https://klasma.github.io/Logging_0883/fåglar/A 63813-2021 prioriterade fågelarter.docx", "A 63813-2021")</f>
        <v/>
      </c>
    </row>
    <row r="121" ht="15" customHeight="1">
      <c r="A121" t="inlineStr">
        <is>
          <t>A 68416-2021</t>
        </is>
      </c>
      <c r="B121" s="1" t="n">
        <v>44529</v>
      </c>
      <c r="C121" s="1" t="n">
        <v>45842</v>
      </c>
      <c r="D121" t="inlineStr">
        <is>
          <t>KALMAR LÄN</t>
        </is>
      </c>
      <c r="E121" t="inlineStr">
        <is>
          <t>VÄSTERVIK</t>
        </is>
      </c>
      <c r="F121" t="inlineStr">
        <is>
          <t>Kyrkan</t>
        </is>
      </c>
      <c r="G121" t="n">
        <v>10.5</v>
      </c>
      <c r="H121" t="n">
        <v>2</v>
      </c>
      <c r="I121" t="n">
        <v>0</v>
      </c>
      <c r="J121" t="n">
        <v>2</v>
      </c>
      <c r="K121" t="n">
        <v>1</v>
      </c>
      <c r="L121" t="n">
        <v>0</v>
      </c>
      <c r="M121" t="n">
        <v>0</v>
      </c>
      <c r="N121" t="n">
        <v>0</v>
      </c>
      <c r="O121" t="n">
        <v>3</v>
      </c>
      <c r="P121" t="n">
        <v>1</v>
      </c>
      <c r="Q121" t="n">
        <v>3</v>
      </c>
      <c r="R121" s="2" t="inlineStr">
        <is>
          <t>Knärot
Tallticka
Talltita</t>
        </is>
      </c>
      <c r="S121">
        <f>HYPERLINK("https://klasma.github.io/Logging_0883/artfynd/A 68416-2021 artfynd.xlsx", "A 68416-2021")</f>
        <v/>
      </c>
      <c r="T121">
        <f>HYPERLINK("https://klasma.github.io/Logging_0883/kartor/A 68416-2021 karta.png", "A 68416-2021")</f>
        <v/>
      </c>
      <c r="U121">
        <f>HYPERLINK("https://klasma.github.io/Logging_0883/knärot/A 68416-2021 karta knärot.png", "A 68416-2021")</f>
        <v/>
      </c>
      <c r="V121">
        <f>HYPERLINK("https://klasma.github.io/Logging_0883/klagomål/A 68416-2021 FSC-klagomål.docx", "A 68416-2021")</f>
        <v/>
      </c>
      <c r="W121">
        <f>HYPERLINK("https://klasma.github.io/Logging_0883/klagomålsmail/A 68416-2021 FSC-klagomål mail.docx", "A 68416-2021")</f>
        <v/>
      </c>
      <c r="X121">
        <f>HYPERLINK("https://klasma.github.io/Logging_0883/tillsyn/A 68416-2021 tillsynsbegäran.docx", "A 68416-2021")</f>
        <v/>
      </c>
      <c r="Y121">
        <f>HYPERLINK("https://klasma.github.io/Logging_0883/tillsynsmail/A 68416-2021 tillsynsbegäran mail.docx", "A 68416-2021")</f>
        <v/>
      </c>
      <c r="Z121">
        <f>HYPERLINK("https://klasma.github.io/Logging_0883/fåglar/A 68416-2021 prioriterade fågelarter.docx", "A 68416-2021")</f>
        <v/>
      </c>
    </row>
    <row r="122" ht="15" customHeight="1">
      <c r="A122" t="inlineStr">
        <is>
          <t>A 55506-2022</t>
        </is>
      </c>
      <c r="B122" s="1" t="n">
        <v>44887</v>
      </c>
      <c r="C122" s="1" t="n">
        <v>45842</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804-2023</t>
        </is>
      </c>
      <c r="B123" s="1" t="n">
        <v>44931</v>
      </c>
      <c r="C123" s="1" t="n">
        <v>45842</v>
      </c>
      <c r="D123" t="inlineStr">
        <is>
          <t>KALMAR LÄN</t>
        </is>
      </c>
      <c r="E123" t="inlineStr">
        <is>
          <t>VÄSTERVIK</t>
        </is>
      </c>
      <c r="F123" t="inlineStr">
        <is>
          <t>Holmen skog AB</t>
        </is>
      </c>
      <c r="G123" t="n">
        <v>5.2</v>
      </c>
      <c r="H123" t="n">
        <v>1</v>
      </c>
      <c r="I123" t="n">
        <v>1</v>
      </c>
      <c r="J123" t="n">
        <v>1</v>
      </c>
      <c r="K123" t="n">
        <v>1</v>
      </c>
      <c r="L123" t="n">
        <v>0</v>
      </c>
      <c r="M123" t="n">
        <v>0</v>
      </c>
      <c r="N123" t="n">
        <v>0</v>
      </c>
      <c r="O123" t="n">
        <v>2</v>
      </c>
      <c r="P123" t="n">
        <v>1</v>
      </c>
      <c r="Q123" t="n">
        <v>3</v>
      </c>
      <c r="R123" s="2" t="inlineStr">
        <is>
          <t>Violett fingersvamp
Ekticka
Ekoxe</t>
        </is>
      </c>
      <c r="S123">
        <f>HYPERLINK("https://klasma.github.io/Logging_0883/artfynd/A 804-2023 artfynd.xlsx", "A 804-2023")</f>
        <v/>
      </c>
      <c r="T123">
        <f>HYPERLINK("https://klasma.github.io/Logging_0883/kartor/A 804-2023 karta.png", "A 804-2023")</f>
        <v/>
      </c>
      <c r="V123">
        <f>HYPERLINK("https://klasma.github.io/Logging_0883/klagomål/A 804-2023 FSC-klagomål.docx", "A 804-2023")</f>
        <v/>
      </c>
      <c r="W123">
        <f>HYPERLINK("https://klasma.github.io/Logging_0883/klagomålsmail/A 804-2023 FSC-klagomål mail.docx", "A 804-2023")</f>
        <v/>
      </c>
      <c r="X123">
        <f>HYPERLINK("https://klasma.github.io/Logging_0883/tillsyn/A 804-2023 tillsynsbegäran.docx", "A 804-2023")</f>
        <v/>
      </c>
      <c r="Y123">
        <f>HYPERLINK("https://klasma.github.io/Logging_0883/tillsynsmail/A 804-2023 tillsynsbegäran mail.docx", "A 804-2023")</f>
        <v/>
      </c>
    </row>
    <row r="124" ht="15" customHeight="1">
      <c r="A124" t="inlineStr">
        <is>
          <t>A 12708-2023</t>
        </is>
      </c>
      <c r="B124" s="1" t="n">
        <v>45000</v>
      </c>
      <c r="C124" s="1" t="n">
        <v>45842</v>
      </c>
      <c r="D124" t="inlineStr">
        <is>
          <t>KALMAR LÄN</t>
        </is>
      </c>
      <c r="E124" t="inlineStr">
        <is>
          <t>VÄSTERVIK</t>
        </is>
      </c>
      <c r="G124" t="n">
        <v>8.6</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12708-2023 artfynd.xlsx", "A 12708-2023")</f>
        <v/>
      </c>
      <c r="T124">
        <f>HYPERLINK("https://klasma.github.io/Logging_0883/kartor/A 12708-2023 karta.png", "A 12708-2023")</f>
        <v/>
      </c>
      <c r="U124">
        <f>HYPERLINK("https://klasma.github.io/Logging_0883/knärot/A 12708-2023 karta knärot.png", "A 12708-2023")</f>
        <v/>
      </c>
      <c r="V124">
        <f>HYPERLINK("https://klasma.github.io/Logging_0883/klagomål/A 12708-2023 FSC-klagomål.docx", "A 12708-2023")</f>
        <v/>
      </c>
      <c r="W124">
        <f>HYPERLINK("https://klasma.github.io/Logging_0883/klagomålsmail/A 12708-2023 FSC-klagomål mail.docx", "A 12708-2023")</f>
        <v/>
      </c>
      <c r="X124">
        <f>HYPERLINK("https://klasma.github.io/Logging_0883/tillsyn/A 12708-2023 tillsynsbegäran.docx", "A 12708-2023")</f>
        <v/>
      </c>
      <c r="Y124">
        <f>HYPERLINK("https://klasma.github.io/Logging_0883/tillsynsmail/A 12708-2023 tillsynsbegäran mail.docx", "A 12708-2023")</f>
        <v/>
      </c>
      <c r="Z124">
        <f>HYPERLINK("https://klasma.github.io/Logging_0883/fåglar/A 12708-2023 prioriterade fågelarter.docx", "A 12708-2023")</f>
        <v/>
      </c>
    </row>
    <row r="125" ht="15" customHeight="1">
      <c r="A125" t="inlineStr">
        <is>
          <t>A 30194-2023</t>
        </is>
      </c>
      <c r="B125" s="1" t="n">
        <v>45110</v>
      </c>
      <c r="C125" s="1" t="n">
        <v>45842</v>
      </c>
      <c r="D125" t="inlineStr">
        <is>
          <t>KALMAR LÄN</t>
        </is>
      </c>
      <c r="E125" t="inlineStr">
        <is>
          <t>VÄSTERVIK</t>
        </is>
      </c>
      <c r="F125" t="inlineStr">
        <is>
          <t>Kyrkan</t>
        </is>
      </c>
      <c r="G125" t="n">
        <v>5.8</v>
      </c>
      <c r="H125" t="n">
        <v>1</v>
      </c>
      <c r="I125" t="n">
        <v>2</v>
      </c>
      <c r="J125" t="n">
        <v>0</v>
      </c>
      <c r="K125" t="n">
        <v>1</v>
      </c>
      <c r="L125" t="n">
        <v>0</v>
      </c>
      <c r="M125" t="n">
        <v>0</v>
      </c>
      <c r="N125" t="n">
        <v>0</v>
      </c>
      <c r="O125" t="n">
        <v>1</v>
      </c>
      <c r="P125" t="n">
        <v>1</v>
      </c>
      <c r="Q125" t="n">
        <v>3</v>
      </c>
      <c r="R125" s="2" t="inlineStr">
        <is>
          <t>Knärot
Grovticka
Grönpyrola</t>
        </is>
      </c>
      <c r="S125">
        <f>HYPERLINK("https://klasma.github.io/Logging_0883/artfynd/A 30194-2023 artfynd.xlsx", "A 30194-2023")</f>
        <v/>
      </c>
      <c r="T125">
        <f>HYPERLINK("https://klasma.github.io/Logging_0883/kartor/A 30194-2023 karta.png", "A 30194-2023")</f>
        <v/>
      </c>
      <c r="U125">
        <f>HYPERLINK("https://klasma.github.io/Logging_0883/knärot/A 30194-2023 karta knärot.png", "A 30194-2023")</f>
        <v/>
      </c>
      <c r="V125">
        <f>HYPERLINK("https://klasma.github.io/Logging_0883/klagomål/A 30194-2023 FSC-klagomål.docx", "A 30194-2023")</f>
        <v/>
      </c>
      <c r="W125">
        <f>HYPERLINK("https://klasma.github.io/Logging_0883/klagomålsmail/A 30194-2023 FSC-klagomål mail.docx", "A 30194-2023")</f>
        <v/>
      </c>
      <c r="X125">
        <f>HYPERLINK("https://klasma.github.io/Logging_0883/tillsyn/A 30194-2023 tillsynsbegäran.docx", "A 30194-2023")</f>
        <v/>
      </c>
      <c r="Y125">
        <f>HYPERLINK("https://klasma.github.io/Logging_0883/tillsynsmail/A 30194-2023 tillsynsbegäran mail.docx", "A 30194-2023")</f>
        <v/>
      </c>
    </row>
    <row r="126" ht="15" customHeight="1">
      <c r="A126" t="inlineStr">
        <is>
          <t>A 35480-2023</t>
        </is>
      </c>
      <c r="B126" s="1" t="n">
        <v>45146</v>
      </c>
      <c r="C126" s="1" t="n">
        <v>45842</v>
      </c>
      <c r="D126" t="inlineStr">
        <is>
          <t>KALMAR LÄN</t>
        </is>
      </c>
      <c r="E126" t="inlineStr">
        <is>
          <t>VÄSTERVIK</t>
        </is>
      </c>
      <c r="G126" t="n">
        <v>5.5</v>
      </c>
      <c r="H126" t="n">
        <v>1</v>
      </c>
      <c r="I126" t="n">
        <v>2</v>
      </c>
      <c r="J126" t="n">
        <v>1</v>
      </c>
      <c r="K126" t="n">
        <v>0</v>
      </c>
      <c r="L126" t="n">
        <v>0</v>
      </c>
      <c r="M126" t="n">
        <v>0</v>
      </c>
      <c r="N126" t="n">
        <v>0</v>
      </c>
      <c r="O126" t="n">
        <v>1</v>
      </c>
      <c r="P126" t="n">
        <v>0</v>
      </c>
      <c r="Q126" t="n">
        <v>3</v>
      </c>
      <c r="R126" s="2" t="inlineStr">
        <is>
          <t>Spillkråka
Blåmossa
Tjockfotad fingersvamp</t>
        </is>
      </c>
      <c r="S126">
        <f>HYPERLINK("https://klasma.github.io/Logging_0883/artfynd/A 35480-2023 artfynd.xlsx", "A 35480-2023")</f>
        <v/>
      </c>
      <c r="T126">
        <f>HYPERLINK("https://klasma.github.io/Logging_0883/kartor/A 35480-2023 karta.png", "A 35480-2023")</f>
        <v/>
      </c>
      <c r="V126">
        <f>HYPERLINK("https://klasma.github.io/Logging_0883/klagomål/A 35480-2023 FSC-klagomål.docx", "A 35480-2023")</f>
        <v/>
      </c>
      <c r="W126">
        <f>HYPERLINK("https://klasma.github.io/Logging_0883/klagomålsmail/A 35480-2023 FSC-klagomål mail.docx", "A 35480-2023")</f>
        <v/>
      </c>
      <c r="X126">
        <f>HYPERLINK("https://klasma.github.io/Logging_0883/tillsyn/A 35480-2023 tillsynsbegäran.docx", "A 35480-2023")</f>
        <v/>
      </c>
      <c r="Y126">
        <f>HYPERLINK("https://klasma.github.io/Logging_0883/tillsynsmail/A 35480-2023 tillsynsbegäran mail.docx", "A 35480-2023")</f>
        <v/>
      </c>
      <c r="Z126">
        <f>HYPERLINK("https://klasma.github.io/Logging_0883/fåglar/A 35480-2023 prioriterade fågelarter.docx", "A 35480-2023")</f>
        <v/>
      </c>
    </row>
    <row r="127" ht="15" customHeight="1">
      <c r="A127" t="inlineStr">
        <is>
          <t>A 39904-2023</t>
        </is>
      </c>
      <c r="B127" s="1" t="n">
        <v>45168</v>
      </c>
      <c r="C127" s="1" t="n">
        <v>45842</v>
      </c>
      <c r="D127" t="inlineStr">
        <is>
          <t>KALMAR LÄN</t>
        </is>
      </c>
      <c r="E127" t="inlineStr">
        <is>
          <t>VÄSTERVIK</t>
        </is>
      </c>
      <c r="G127" t="n">
        <v>7.3</v>
      </c>
      <c r="H127" t="n">
        <v>1</v>
      </c>
      <c r="I127" t="n">
        <v>1</v>
      </c>
      <c r="J127" t="n">
        <v>1</v>
      </c>
      <c r="K127" t="n">
        <v>0</v>
      </c>
      <c r="L127" t="n">
        <v>0</v>
      </c>
      <c r="M127" t="n">
        <v>0</v>
      </c>
      <c r="N127" t="n">
        <v>0</v>
      </c>
      <c r="O127" t="n">
        <v>1</v>
      </c>
      <c r="P127" t="n">
        <v>0</v>
      </c>
      <c r="Q127" t="n">
        <v>3</v>
      </c>
      <c r="R127" s="2" t="inlineStr">
        <is>
          <t>Gropticka
Grönpyrola
Revlummer</t>
        </is>
      </c>
      <c r="S127">
        <f>HYPERLINK("https://klasma.github.io/Logging_0883/artfynd/A 39904-2023 artfynd.xlsx", "A 39904-2023")</f>
        <v/>
      </c>
      <c r="T127">
        <f>HYPERLINK("https://klasma.github.io/Logging_0883/kartor/A 39904-2023 karta.png", "A 39904-2023")</f>
        <v/>
      </c>
      <c r="V127">
        <f>HYPERLINK("https://klasma.github.io/Logging_0883/klagomål/A 39904-2023 FSC-klagomål.docx", "A 39904-2023")</f>
        <v/>
      </c>
      <c r="W127">
        <f>HYPERLINK("https://klasma.github.io/Logging_0883/klagomålsmail/A 39904-2023 FSC-klagomål mail.docx", "A 39904-2023")</f>
        <v/>
      </c>
      <c r="X127">
        <f>HYPERLINK("https://klasma.github.io/Logging_0883/tillsyn/A 39904-2023 tillsynsbegäran.docx", "A 39904-2023")</f>
        <v/>
      </c>
      <c r="Y127">
        <f>HYPERLINK("https://klasma.github.io/Logging_0883/tillsynsmail/A 39904-2023 tillsynsbegäran mail.docx", "A 39904-2023")</f>
        <v/>
      </c>
    </row>
    <row r="128" ht="15" customHeight="1">
      <c r="A128" t="inlineStr">
        <is>
          <t>A 39906-2023</t>
        </is>
      </c>
      <c r="B128" s="1" t="n">
        <v>45168</v>
      </c>
      <c r="C128" s="1" t="n">
        <v>45842</v>
      </c>
      <c r="D128" t="inlineStr">
        <is>
          <t>KALMAR LÄN</t>
        </is>
      </c>
      <c r="E128" t="inlineStr">
        <is>
          <t>VÄSTERVIK</t>
        </is>
      </c>
      <c r="G128" t="n">
        <v>5</v>
      </c>
      <c r="H128" t="n">
        <v>2</v>
      </c>
      <c r="I128" t="n">
        <v>1</v>
      </c>
      <c r="J128" t="n">
        <v>0</v>
      </c>
      <c r="K128" t="n">
        <v>1</v>
      </c>
      <c r="L128" t="n">
        <v>0</v>
      </c>
      <c r="M128" t="n">
        <v>0</v>
      </c>
      <c r="N128" t="n">
        <v>0</v>
      </c>
      <c r="O128" t="n">
        <v>1</v>
      </c>
      <c r="P128" t="n">
        <v>1</v>
      </c>
      <c r="Q128" t="n">
        <v>3</v>
      </c>
      <c r="R128" s="2" t="inlineStr">
        <is>
          <t>Knärot
Blåmossa
Revlummer</t>
        </is>
      </c>
      <c r="S128">
        <f>HYPERLINK("https://klasma.github.io/Logging_0883/artfynd/A 39906-2023 artfynd.xlsx", "A 39906-2023")</f>
        <v/>
      </c>
      <c r="T128">
        <f>HYPERLINK("https://klasma.github.io/Logging_0883/kartor/A 39906-2023 karta.png", "A 39906-2023")</f>
        <v/>
      </c>
      <c r="U128">
        <f>HYPERLINK("https://klasma.github.io/Logging_0883/knärot/A 39906-2023 karta knärot.png", "A 39906-2023")</f>
        <v/>
      </c>
      <c r="V128">
        <f>HYPERLINK("https://klasma.github.io/Logging_0883/klagomål/A 39906-2023 FSC-klagomål.docx", "A 39906-2023")</f>
        <v/>
      </c>
      <c r="W128">
        <f>HYPERLINK("https://klasma.github.io/Logging_0883/klagomålsmail/A 39906-2023 FSC-klagomål mail.docx", "A 39906-2023")</f>
        <v/>
      </c>
      <c r="X128">
        <f>HYPERLINK("https://klasma.github.io/Logging_0883/tillsyn/A 39906-2023 tillsynsbegäran.docx", "A 39906-2023")</f>
        <v/>
      </c>
      <c r="Y128">
        <f>HYPERLINK("https://klasma.github.io/Logging_0883/tillsynsmail/A 39906-2023 tillsynsbegäran mail.docx", "A 39906-2023")</f>
        <v/>
      </c>
    </row>
    <row r="129" ht="15" customHeight="1">
      <c r="A129" t="inlineStr">
        <is>
          <t>A 42353-2023</t>
        </is>
      </c>
      <c r="B129" s="1" t="n">
        <v>45180</v>
      </c>
      <c r="C129" s="1" t="n">
        <v>45842</v>
      </c>
      <c r="D129" t="inlineStr">
        <is>
          <t>KALMAR LÄN</t>
        </is>
      </c>
      <c r="E129" t="inlineStr">
        <is>
          <t>VÄSTERVIK</t>
        </is>
      </c>
      <c r="G129" t="n">
        <v>11.3</v>
      </c>
      <c r="H129" t="n">
        <v>1</v>
      </c>
      <c r="I129" t="n">
        <v>1</v>
      </c>
      <c r="J129" t="n">
        <v>1</v>
      </c>
      <c r="K129" t="n">
        <v>1</v>
      </c>
      <c r="L129" t="n">
        <v>0</v>
      </c>
      <c r="M129" t="n">
        <v>0</v>
      </c>
      <c r="N129" t="n">
        <v>0</v>
      </c>
      <c r="O129" t="n">
        <v>2</v>
      </c>
      <c r="P129" t="n">
        <v>1</v>
      </c>
      <c r="Q129" t="n">
        <v>3</v>
      </c>
      <c r="R129" s="2" t="inlineStr">
        <is>
          <t>Knärot
Tallticka
Blomkålssvamp</t>
        </is>
      </c>
      <c r="S129">
        <f>HYPERLINK("https://klasma.github.io/Logging_0883/artfynd/A 42353-2023 artfynd.xlsx", "A 42353-2023")</f>
        <v/>
      </c>
      <c r="T129">
        <f>HYPERLINK("https://klasma.github.io/Logging_0883/kartor/A 42353-2023 karta.png", "A 42353-2023")</f>
        <v/>
      </c>
      <c r="U129">
        <f>HYPERLINK("https://klasma.github.io/Logging_0883/knärot/A 42353-2023 karta knärot.png", "A 42353-2023")</f>
        <v/>
      </c>
      <c r="V129">
        <f>HYPERLINK("https://klasma.github.io/Logging_0883/klagomål/A 42353-2023 FSC-klagomål.docx", "A 42353-2023")</f>
        <v/>
      </c>
      <c r="W129">
        <f>HYPERLINK("https://klasma.github.io/Logging_0883/klagomålsmail/A 42353-2023 FSC-klagomål mail.docx", "A 42353-2023")</f>
        <v/>
      </c>
      <c r="X129">
        <f>HYPERLINK("https://klasma.github.io/Logging_0883/tillsyn/A 42353-2023 tillsynsbegäran.docx", "A 42353-2023")</f>
        <v/>
      </c>
      <c r="Y129">
        <f>HYPERLINK("https://klasma.github.io/Logging_0883/tillsynsmail/A 42353-2023 tillsynsbegäran mail.docx", "A 42353-2023")</f>
        <v/>
      </c>
    </row>
    <row r="130" ht="15" customHeight="1">
      <c r="A130" t="inlineStr">
        <is>
          <t>A 45702-2023</t>
        </is>
      </c>
      <c r="B130" s="1" t="n">
        <v>45195</v>
      </c>
      <c r="C130" s="1" t="n">
        <v>45842</v>
      </c>
      <c r="D130" t="inlineStr">
        <is>
          <t>KALMAR LÄN</t>
        </is>
      </c>
      <c r="E130" t="inlineStr">
        <is>
          <t>VÄSTERVIK</t>
        </is>
      </c>
      <c r="G130" t="n">
        <v>7.3</v>
      </c>
      <c r="H130" t="n">
        <v>0</v>
      </c>
      <c r="I130" t="n">
        <v>1</v>
      </c>
      <c r="J130" t="n">
        <v>2</v>
      </c>
      <c r="K130" t="n">
        <v>0</v>
      </c>
      <c r="L130" t="n">
        <v>0</v>
      </c>
      <c r="M130" t="n">
        <v>0</v>
      </c>
      <c r="N130" t="n">
        <v>0</v>
      </c>
      <c r="O130" t="n">
        <v>2</v>
      </c>
      <c r="P130" t="n">
        <v>0</v>
      </c>
      <c r="Q130" t="n">
        <v>3</v>
      </c>
      <c r="R130" s="2" t="inlineStr">
        <is>
          <t>Reliktbock
Tallticka
Blåmossa</t>
        </is>
      </c>
      <c r="S130">
        <f>HYPERLINK("https://klasma.github.io/Logging_0883/artfynd/A 45702-2023 artfynd.xlsx", "A 45702-2023")</f>
        <v/>
      </c>
      <c r="T130">
        <f>HYPERLINK("https://klasma.github.io/Logging_0883/kartor/A 45702-2023 karta.png", "A 45702-2023")</f>
        <v/>
      </c>
      <c r="V130">
        <f>HYPERLINK("https://klasma.github.io/Logging_0883/klagomål/A 45702-2023 FSC-klagomål.docx", "A 45702-2023")</f>
        <v/>
      </c>
      <c r="W130">
        <f>HYPERLINK("https://klasma.github.io/Logging_0883/klagomålsmail/A 45702-2023 FSC-klagomål mail.docx", "A 45702-2023")</f>
        <v/>
      </c>
      <c r="X130">
        <f>HYPERLINK("https://klasma.github.io/Logging_0883/tillsyn/A 45702-2023 tillsynsbegäran.docx", "A 45702-2023")</f>
        <v/>
      </c>
      <c r="Y130">
        <f>HYPERLINK("https://klasma.github.io/Logging_0883/tillsynsmail/A 45702-2023 tillsynsbegäran mail.docx", "A 45702-2023")</f>
        <v/>
      </c>
    </row>
    <row r="131" ht="15" customHeight="1">
      <c r="A131" t="inlineStr">
        <is>
          <t>A 46090-2023</t>
        </is>
      </c>
      <c r="B131" s="1" t="n">
        <v>45196</v>
      </c>
      <c r="C131" s="1" t="n">
        <v>45842</v>
      </c>
      <c r="D131" t="inlineStr">
        <is>
          <t>KALMAR LÄN</t>
        </is>
      </c>
      <c r="E131" t="inlineStr">
        <is>
          <t>VÄSTERVIK</t>
        </is>
      </c>
      <c r="F131" t="inlineStr">
        <is>
          <t>Sveaskog</t>
        </is>
      </c>
      <c r="G131" t="n">
        <v>3.5</v>
      </c>
      <c r="H131" t="n">
        <v>1</v>
      </c>
      <c r="I131" t="n">
        <v>2</v>
      </c>
      <c r="J131" t="n">
        <v>0</v>
      </c>
      <c r="K131" t="n">
        <v>0</v>
      </c>
      <c r="L131" t="n">
        <v>0</v>
      </c>
      <c r="M131" t="n">
        <v>0</v>
      </c>
      <c r="N131" t="n">
        <v>0</v>
      </c>
      <c r="O131" t="n">
        <v>0</v>
      </c>
      <c r="P131" t="n">
        <v>0</v>
      </c>
      <c r="Q131" t="n">
        <v>3</v>
      </c>
      <c r="R131" s="2" t="inlineStr">
        <is>
          <t>Fällmossa
Platt fjädermossa
Blåsippa</t>
        </is>
      </c>
      <c r="S131">
        <f>HYPERLINK("https://klasma.github.io/Logging_0883/artfynd/A 46090-2023 artfynd.xlsx", "A 46090-2023")</f>
        <v/>
      </c>
      <c r="T131">
        <f>HYPERLINK("https://klasma.github.io/Logging_0883/kartor/A 46090-2023 karta.png", "A 46090-2023")</f>
        <v/>
      </c>
      <c r="V131">
        <f>HYPERLINK("https://klasma.github.io/Logging_0883/klagomål/A 46090-2023 FSC-klagomål.docx", "A 46090-2023")</f>
        <v/>
      </c>
      <c r="W131">
        <f>HYPERLINK("https://klasma.github.io/Logging_0883/klagomålsmail/A 46090-2023 FSC-klagomål mail.docx", "A 46090-2023")</f>
        <v/>
      </c>
      <c r="X131">
        <f>HYPERLINK("https://klasma.github.io/Logging_0883/tillsyn/A 46090-2023 tillsynsbegäran.docx", "A 46090-2023")</f>
        <v/>
      </c>
      <c r="Y131">
        <f>HYPERLINK("https://klasma.github.io/Logging_0883/tillsynsmail/A 46090-2023 tillsynsbegäran mail.docx", "A 46090-2023")</f>
        <v/>
      </c>
    </row>
    <row r="132" ht="15" customHeight="1">
      <c r="A132" t="inlineStr">
        <is>
          <t>A 54265-2023</t>
        </is>
      </c>
      <c r="B132" s="1" t="n">
        <v>45232</v>
      </c>
      <c r="C132" s="1" t="n">
        <v>45842</v>
      </c>
      <c r="D132" t="inlineStr">
        <is>
          <t>KALMAR LÄN</t>
        </is>
      </c>
      <c r="E132" t="inlineStr">
        <is>
          <t>VÄSTERVIK</t>
        </is>
      </c>
      <c r="G132" t="n">
        <v>3.3</v>
      </c>
      <c r="H132" t="n">
        <v>1</v>
      </c>
      <c r="I132" t="n">
        <v>1</v>
      </c>
      <c r="J132" t="n">
        <v>1</v>
      </c>
      <c r="K132" t="n">
        <v>1</v>
      </c>
      <c r="L132" t="n">
        <v>0</v>
      </c>
      <c r="M132" t="n">
        <v>0</v>
      </c>
      <c r="N132" t="n">
        <v>0</v>
      </c>
      <c r="O132" t="n">
        <v>2</v>
      </c>
      <c r="P132" t="n">
        <v>1</v>
      </c>
      <c r="Q132" t="n">
        <v>3</v>
      </c>
      <c r="R132" s="2" t="inlineStr">
        <is>
          <t>Knärot
Tallticka
Blåmossa</t>
        </is>
      </c>
      <c r="S132">
        <f>HYPERLINK("https://klasma.github.io/Logging_0883/artfynd/A 54265-2023 artfynd.xlsx", "A 54265-2023")</f>
        <v/>
      </c>
      <c r="T132">
        <f>HYPERLINK("https://klasma.github.io/Logging_0883/kartor/A 54265-2023 karta.png", "A 54265-2023")</f>
        <v/>
      </c>
      <c r="U132">
        <f>HYPERLINK("https://klasma.github.io/Logging_0883/knärot/A 54265-2023 karta knärot.png", "A 54265-2023")</f>
        <v/>
      </c>
      <c r="V132">
        <f>HYPERLINK("https://klasma.github.io/Logging_0883/klagomål/A 54265-2023 FSC-klagomål.docx", "A 54265-2023")</f>
        <v/>
      </c>
      <c r="W132">
        <f>HYPERLINK("https://klasma.github.io/Logging_0883/klagomålsmail/A 54265-2023 FSC-klagomål mail.docx", "A 54265-2023")</f>
        <v/>
      </c>
      <c r="X132">
        <f>HYPERLINK("https://klasma.github.io/Logging_0883/tillsyn/A 54265-2023 tillsynsbegäran.docx", "A 54265-2023")</f>
        <v/>
      </c>
      <c r="Y132">
        <f>HYPERLINK("https://klasma.github.io/Logging_0883/tillsynsmail/A 54265-2023 tillsynsbegäran mail.docx", "A 54265-2023")</f>
        <v/>
      </c>
    </row>
    <row r="133" ht="15" customHeight="1">
      <c r="A133" t="inlineStr">
        <is>
          <t>A 2657-2024</t>
        </is>
      </c>
      <c r="B133" s="1" t="n">
        <v>45314</v>
      </c>
      <c r="C133" s="1" t="n">
        <v>45842</v>
      </c>
      <c r="D133" t="inlineStr">
        <is>
          <t>KALMAR LÄN</t>
        </is>
      </c>
      <c r="E133" t="inlineStr">
        <is>
          <t>VÄSTERVIK</t>
        </is>
      </c>
      <c r="G133" t="n">
        <v>5.9</v>
      </c>
      <c r="H133" t="n">
        <v>2</v>
      </c>
      <c r="I133" t="n">
        <v>1</v>
      </c>
      <c r="J133" t="n">
        <v>1</v>
      </c>
      <c r="K133" t="n">
        <v>1</v>
      </c>
      <c r="L133" t="n">
        <v>0</v>
      </c>
      <c r="M133" t="n">
        <v>0</v>
      </c>
      <c r="N133" t="n">
        <v>0</v>
      </c>
      <c r="O133" t="n">
        <v>2</v>
      </c>
      <c r="P133" t="n">
        <v>1</v>
      </c>
      <c r="Q133" t="n">
        <v>3</v>
      </c>
      <c r="R133" s="2" t="inlineStr">
        <is>
          <t>Knärot
Spillkråka
Grönpyrola</t>
        </is>
      </c>
      <c r="S133">
        <f>HYPERLINK("https://klasma.github.io/Logging_0883/artfynd/A 2657-2024 artfynd.xlsx", "A 2657-2024")</f>
        <v/>
      </c>
      <c r="T133">
        <f>HYPERLINK("https://klasma.github.io/Logging_0883/kartor/A 2657-2024 karta.png", "A 2657-2024")</f>
        <v/>
      </c>
      <c r="U133">
        <f>HYPERLINK("https://klasma.github.io/Logging_0883/knärot/A 2657-2024 karta knärot.png", "A 2657-2024")</f>
        <v/>
      </c>
      <c r="V133">
        <f>HYPERLINK("https://klasma.github.io/Logging_0883/klagomål/A 2657-2024 FSC-klagomål.docx", "A 2657-2024")</f>
        <v/>
      </c>
      <c r="W133">
        <f>HYPERLINK("https://klasma.github.io/Logging_0883/klagomålsmail/A 2657-2024 FSC-klagomål mail.docx", "A 2657-2024")</f>
        <v/>
      </c>
      <c r="X133">
        <f>HYPERLINK("https://klasma.github.io/Logging_0883/tillsyn/A 2657-2024 tillsynsbegäran.docx", "A 2657-2024")</f>
        <v/>
      </c>
      <c r="Y133">
        <f>HYPERLINK("https://klasma.github.io/Logging_0883/tillsynsmail/A 2657-2024 tillsynsbegäran mail.docx", "A 2657-2024")</f>
        <v/>
      </c>
      <c r="Z133">
        <f>HYPERLINK("https://klasma.github.io/Logging_0883/fåglar/A 2657-2024 prioriterade fågelarter.docx", "A 2657-2024")</f>
        <v/>
      </c>
    </row>
    <row r="134" ht="15" customHeight="1">
      <c r="A134" t="inlineStr">
        <is>
          <t>A 2916-2024</t>
        </is>
      </c>
      <c r="B134" s="1" t="n">
        <v>45315</v>
      </c>
      <c r="C134" s="1" t="n">
        <v>45842</v>
      </c>
      <c r="D134" t="inlineStr">
        <is>
          <t>KALMAR LÄN</t>
        </is>
      </c>
      <c r="E134" t="inlineStr">
        <is>
          <t>VÄSTERVIK</t>
        </is>
      </c>
      <c r="G134" t="n">
        <v>6.3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2916-2024 artfynd.xlsx", "A 2916-2024")</f>
        <v/>
      </c>
      <c r="T134">
        <f>HYPERLINK("https://klasma.github.io/Logging_0883/kartor/A 2916-2024 karta.png", "A 2916-2024")</f>
        <v/>
      </c>
      <c r="U134">
        <f>HYPERLINK("https://klasma.github.io/Logging_0883/knärot/A 2916-2024 karta knärot.png", "A 2916-2024")</f>
        <v/>
      </c>
      <c r="V134">
        <f>HYPERLINK("https://klasma.github.io/Logging_0883/klagomål/A 2916-2024 FSC-klagomål.docx", "A 2916-2024")</f>
        <v/>
      </c>
      <c r="W134">
        <f>HYPERLINK("https://klasma.github.io/Logging_0883/klagomålsmail/A 2916-2024 FSC-klagomål mail.docx", "A 2916-2024")</f>
        <v/>
      </c>
      <c r="X134">
        <f>HYPERLINK("https://klasma.github.io/Logging_0883/tillsyn/A 2916-2024 tillsynsbegäran.docx", "A 2916-2024")</f>
        <v/>
      </c>
      <c r="Y134">
        <f>HYPERLINK("https://klasma.github.io/Logging_0883/tillsynsmail/A 2916-2024 tillsynsbegäran mail.docx", "A 2916-2024")</f>
        <v/>
      </c>
      <c r="Z134">
        <f>HYPERLINK("https://klasma.github.io/Logging_0883/fåglar/A 2916-2024 prioriterade fågelarter.docx", "A 2916-2024")</f>
        <v/>
      </c>
    </row>
    <row r="135" ht="15" customHeight="1">
      <c r="A135" t="inlineStr">
        <is>
          <t>A 3429-2024</t>
        </is>
      </c>
      <c r="B135" s="1" t="n">
        <v>45320</v>
      </c>
      <c r="C135" s="1" t="n">
        <v>45842</v>
      </c>
      <c r="D135" t="inlineStr">
        <is>
          <t>KALMAR LÄN</t>
        </is>
      </c>
      <c r="E135" t="inlineStr">
        <is>
          <t>VÄSTERVIK</t>
        </is>
      </c>
      <c r="G135" t="n">
        <v>4.2</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HYPERLINK("https://klasma.github.io/Logging_0883/artfynd/A 3429-2024 artfynd.xlsx", "A 3429-2024")</f>
        <v/>
      </c>
      <c r="T135">
        <f>HYPERLINK("https://klasma.github.io/Logging_0883/kartor/A 3429-2024 karta.png", "A 3429-2024")</f>
        <v/>
      </c>
      <c r="U135">
        <f>HYPERLINK("https://klasma.github.io/Logging_0883/knärot/A 3429-2024 karta knärot.png", "A 3429-2024")</f>
        <v/>
      </c>
      <c r="V135">
        <f>HYPERLINK("https://klasma.github.io/Logging_0883/klagomål/A 3429-2024 FSC-klagomål.docx", "A 3429-2024")</f>
        <v/>
      </c>
      <c r="W135">
        <f>HYPERLINK("https://klasma.github.io/Logging_0883/klagomålsmail/A 3429-2024 FSC-klagomål mail.docx", "A 3429-2024")</f>
        <v/>
      </c>
      <c r="X135">
        <f>HYPERLINK("https://klasma.github.io/Logging_0883/tillsyn/A 3429-2024 tillsynsbegäran.docx", "A 3429-2024")</f>
        <v/>
      </c>
      <c r="Y135">
        <f>HYPERLINK("https://klasma.github.io/Logging_0883/tillsynsmail/A 3429-2024 tillsynsbegäran mail.docx", "A 3429-2024")</f>
        <v/>
      </c>
    </row>
    <row r="136" ht="15" customHeight="1">
      <c r="A136" t="inlineStr">
        <is>
          <t>A 8620-2024</t>
        </is>
      </c>
      <c r="B136" s="1" t="n">
        <v>45355</v>
      </c>
      <c r="C136" s="1" t="n">
        <v>45842</v>
      </c>
      <c r="D136" t="inlineStr">
        <is>
          <t>KALMAR LÄN</t>
        </is>
      </c>
      <c r="E136" t="inlineStr">
        <is>
          <t>VÄSTERVIK</t>
        </is>
      </c>
      <c r="G136" t="n">
        <v>0.9</v>
      </c>
      <c r="H136" t="n">
        <v>2</v>
      </c>
      <c r="I136" t="n">
        <v>1</v>
      </c>
      <c r="J136" t="n">
        <v>1</v>
      </c>
      <c r="K136" t="n">
        <v>1</v>
      </c>
      <c r="L136" t="n">
        <v>0</v>
      </c>
      <c r="M136" t="n">
        <v>0</v>
      </c>
      <c r="N136" t="n">
        <v>0</v>
      </c>
      <c r="O136" t="n">
        <v>2</v>
      </c>
      <c r="P136" t="n">
        <v>1</v>
      </c>
      <c r="Q136" t="n">
        <v>3</v>
      </c>
      <c r="R136" s="2" t="inlineStr">
        <is>
          <t>Knärot
Talltita
Blodticka</t>
        </is>
      </c>
      <c r="S136">
        <f>HYPERLINK("https://klasma.github.io/Logging_0883/artfynd/A 8620-2024 artfynd.xlsx", "A 8620-2024")</f>
        <v/>
      </c>
      <c r="T136">
        <f>HYPERLINK("https://klasma.github.io/Logging_0883/kartor/A 8620-2024 karta.png", "A 8620-2024")</f>
        <v/>
      </c>
      <c r="U136">
        <f>HYPERLINK("https://klasma.github.io/Logging_0883/knärot/A 8620-2024 karta knärot.png", "A 8620-2024")</f>
        <v/>
      </c>
      <c r="V136">
        <f>HYPERLINK("https://klasma.github.io/Logging_0883/klagomål/A 8620-2024 FSC-klagomål.docx", "A 8620-2024")</f>
        <v/>
      </c>
      <c r="W136">
        <f>HYPERLINK("https://klasma.github.io/Logging_0883/klagomålsmail/A 8620-2024 FSC-klagomål mail.docx", "A 8620-2024")</f>
        <v/>
      </c>
      <c r="X136">
        <f>HYPERLINK("https://klasma.github.io/Logging_0883/tillsyn/A 8620-2024 tillsynsbegäran.docx", "A 8620-2024")</f>
        <v/>
      </c>
      <c r="Y136">
        <f>HYPERLINK("https://klasma.github.io/Logging_0883/tillsynsmail/A 8620-2024 tillsynsbegäran mail.docx", "A 8620-2024")</f>
        <v/>
      </c>
      <c r="Z136">
        <f>HYPERLINK("https://klasma.github.io/Logging_0883/fåglar/A 8620-2024 prioriterade fågelarter.docx", "A 8620-2024")</f>
        <v/>
      </c>
    </row>
    <row r="137" ht="15" customHeight="1">
      <c r="A137" t="inlineStr">
        <is>
          <t>A 13744-2024</t>
        </is>
      </c>
      <c r="B137" s="1" t="n">
        <v>45390</v>
      </c>
      <c r="C137" s="1" t="n">
        <v>45842</v>
      </c>
      <c r="D137" t="inlineStr">
        <is>
          <t>KALMAR LÄN</t>
        </is>
      </c>
      <c r="E137" t="inlineStr">
        <is>
          <t>VÄSTERVIK</t>
        </is>
      </c>
      <c r="F137" t="inlineStr">
        <is>
          <t>Sveaskog</t>
        </is>
      </c>
      <c r="G137" t="n">
        <v>6.3</v>
      </c>
      <c r="H137" t="n">
        <v>3</v>
      </c>
      <c r="I137" t="n">
        <v>0</v>
      </c>
      <c r="J137" t="n">
        <v>1</v>
      </c>
      <c r="K137" t="n">
        <v>1</v>
      </c>
      <c r="L137" t="n">
        <v>0</v>
      </c>
      <c r="M137" t="n">
        <v>0</v>
      </c>
      <c r="N137" t="n">
        <v>0</v>
      </c>
      <c r="O137" t="n">
        <v>2</v>
      </c>
      <c r="P137" t="n">
        <v>1</v>
      </c>
      <c r="Q137" t="n">
        <v>3</v>
      </c>
      <c r="R137" s="2" t="inlineStr">
        <is>
          <t>Knärot
Talltita
Tjäder</t>
        </is>
      </c>
      <c r="S137">
        <f>HYPERLINK("https://klasma.github.io/Logging_0883/artfynd/A 13744-2024 artfynd.xlsx", "A 13744-2024")</f>
        <v/>
      </c>
      <c r="T137">
        <f>HYPERLINK("https://klasma.github.io/Logging_0883/kartor/A 13744-2024 karta.png", "A 13744-2024")</f>
        <v/>
      </c>
      <c r="U137">
        <f>HYPERLINK("https://klasma.github.io/Logging_0883/knärot/A 13744-2024 karta knärot.png", "A 13744-2024")</f>
        <v/>
      </c>
      <c r="V137">
        <f>HYPERLINK("https://klasma.github.io/Logging_0883/klagomål/A 13744-2024 FSC-klagomål.docx", "A 13744-2024")</f>
        <v/>
      </c>
      <c r="W137">
        <f>HYPERLINK("https://klasma.github.io/Logging_0883/klagomålsmail/A 13744-2024 FSC-klagomål mail.docx", "A 13744-2024")</f>
        <v/>
      </c>
      <c r="X137">
        <f>HYPERLINK("https://klasma.github.io/Logging_0883/tillsyn/A 13744-2024 tillsynsbegäran.docx", "A 13744-2024")</f>
        <v/>
      </c>
      <c r="Y137">
        <f>HYPERLINK("https://klasma.github.io/Logging_0883/tillsynsmail/A 13744-2024 tillsynsbegäran mail.docx", "A 13744-2024")</f>
        <v/>
      </c>
      <c r="Z137">
        <f>HYPERLINK("https://klasma.github.io/Logging_0883/fåglar/A 13744-2024 prioriterade fågelarter.docx", "A 13744-2024")</f>
        <v/>
      </c>
    </row>
    <row r="138" ht="15" customHeight="1">
      <c r="A138" t="inlineStr">
        <is>
          <t>A 16948-2024</t>
        </is>
      </c>
      <c r="B138" s="1" t="n">
        <v>45411</v>
      </c>
      <c r="C138" s="1" t="n">
        <v>45842</v>
      </c>
      <c r="D138" t="inlineStr">
        <is>
          <t>KALMAR LÄN</t>
        </is>
      </c>
      <c r="E138" t="inlineStr">
        <is>
          <t>VÄSTERVIK</t>
        </is>
      </c>
      <c r="G138" t="n">
        <v>13.3</v>
      </c>
      <c r="H138" t="n">
        <v>2</v>
      </c>
      <c r="I138" t="n">
        <v>0</v>
      </c>
      <c r="J138" t="n">
        <v>2</v>
      </c>
      <c r="K138" t="n">
        <v>1</v>
      </c>
      <c r="L138" t="n">
        <v>0</v>
      </c>
      <c r="M138" t="n">
        <v>0</v>
      </c>
      <c r="N138" t="n">
        <v>0</v>
      </c>
      <c r="O138" t="n">
        <v>3</v>
      </c>
      <c r="P138" t="n">
        <v>1</v>
      </c>
      <c r="Q138" t="n">
        <v>3</v>
      </c>
      <c r="R138" s="2" t="inlineStr">
        <is>
          <t>Knärot
Spillkråka
Tallticka</t>
        </is>
      </c>
      <c r="S138">
        <f>HYPERLINK("https://klasma.github.io/Logging_0883/artfynd/A 16948-2024 artfynd.xlsx", "A 16948-2024")</f>
        <v/>
      </c>
      <c r="T138">
        <f>HYPERLINK("https://klasma.github.io/Logging_0883/kartor/A 16948-2024 karta.png", "A 16948-2024")</f>
        <v/>
      </c>
      <c r="U138">
        <f>HYPERLINK("https://klasma.github.io/Logging_0883/knärot/A 16948-2024 karta knärot.png", "A 16948-2024")</f>
        <v/>
      </c>
      <c r="V138">
        <f>HYPERLINK("https://klasma.github.io/Logging_0883/klagomål/A 16948-2024 FSC-klagomål.docx", "A 16948-2024")</f>
        <v/>
      </c>
      <c r="W138">
        <f>HYPERLINK("https://klasma.github.io/Logging_0883/klagomålsmail/A 16948-2024 FSC-klagomål mail.docx", "A 16948-2024")</f>
        <v/>
      </c>
      <c r="X138">
        <f>HYPERLINK("https://klasma.github.io/Logging_0883/tillsyn/A 16948-2024 tillsynsbegäran.docx", "A 16948-2024")</f>
        <v/>
      </c>
      <c r="Y138">
        <f>HYPERLINK("https://klasma.github.io/Logging_0883/tillsynsmail/A 16948-2024 tillsynsbegäran mail.docx", "A 16948-2024")</f>
        <v/>
      </c>
      <c r="Z138">
        <f>HYPERLINK("https://klasma.github.io/Logging_0883/fåglar/A 16948-2024 prioriterade fågelarter.docx", "A 16948-2024")</f>
        <v/>
      </c>
    </row>
    <row r="139" ht="15" customHeight="1">
      <c r="A139" t="inlineStr">
        <is>
          <t>A 23219-2024</t>
        </is>
      </c>
      <c r="B139" s="1" t="n">
        <v>45452</v>
      </c>
      <c r="C139" s="1" t="n">
        <v>45842</v>
      </c>
      <c r="D139" t="inlineStr">
        <is>
          <t>KALMAR LÄN</t>
        </is>
      </c>
      <c r="E139" t="inlineStr">
        <is>
          <t>VÄSTERVIK</t>
        </is>
      </c>
      <c r="G139" t="n">
        <v>0.9</v>
      </c>
      <c r="H139" t="n">
        <v>1</v>
      </c>
      <c r="I139" t="n">
        <v>1</v>
      </c>
      <c r="J139" t="n">
        <v>2</v>
      </c>
      <c r="K139" t="n">
        <v>0</v>
      </c>
      <c r="L139" t="n">
        <v>0</v>
      </c>
      <c r="M139" t="n">
        <v>0</v>
      </c>
      <c r="N139" t="n">
        <v>0</v>
      </c>
      <c r="O139" t="n">
        <v>2</v>
      </c>
      <c r="P139" t="n">
        <v>0</v>
      </c>
      <c r="Q139" t="n">
        <v>3</v>
      </c>
      <c r="R139" s="2" t="inlineStr">
        <is>
          <t>Ekticka
Spillkråka
Grönpyrola</t>
        </is>
      </c>
      <c r="S139">
        <f>HYPERLINK("https://klasma.github.io/Logging_0883/artfynd/A 23219-2024 artfynd.xlsx", "A 23219-2024")</f>
        <v/>
      </c>
      <c r="T139">
        <f>HYPERLINK("https://klasma.github.io/Logging_0883/kartor/A 23219-2024 karta.png", "A 23219-2024")</f>
        <v/>
      </c>
      <c r="V139">
        <f>HYPERLINK("https://klasma.github.io/Logging_0883/klagomål/A 23219-2024 FSC-klagomål.docx", "A 23219-2024")</f>
        <v/>
      </c>
      <c r="W139">
        <f>HYPERLINK("https://klasma.github.io/Logging_0883/klagomålsmail/A 23219-2024 FSC-klagomål mail.docx", "A 23219-2024")</f>
        <v/>
      </c>
      <c r="X139">
        <f>HYPERLINK("https://klasma.github.io/Logging_0883/tillsyn/A 23219-2024 tillsynsbegäran.docx", "A 23219-2024")</f>
        <v/>
      </c>
      <c r="Y139">
        <f>HYPERLINK("https://klasma.github.io/Logging_0883/tillsynsmail/A 23219-2024 tillsynsbegäran mail.docx", "A 23219-2024")</f>
        <v/>
      </c>
      <c r="Z139">
        <f>HYPERLINK("https://klasma.github.io/Logging_0883/fåglar/A 23219-2024 prioriterade fågelarter.docx", "A 23219-2024")</f>
        <v/>
      </c>
    </row>
    <row r="140" ht="15" customHeight="1">
      <c r="A140" t="inlineStr">
        <is>
          <t>A 27067-2024</t>
        </is>
      </c>
      <c r="B140" s="1" t="n">
        <v>45471</v>
      </c>
      <c r="C140" s="1" t="n">
        <v>45842</v>
      </c>
      <c r="D140" t="inlineStr">
        <is>
          <t>KALMAR LÄN</t>
        </is>
      </c>
      <c r="E140" t="inlineStr">
        <is>
          <t>VÄSTERVIK</t>
        </is>
      </c>
      <c r="F140" t="inlineStr">
        <is>
          <t>Holmen skog AB</t>
        </is>
      </c>
      <c r="G140" t="n">
        <v>8.4</v>
      </c>
      <c r="H140" t="n">
        <v>2</v>
      </c>
      <c r="I140" t="n">
        <v>0</v>
      </c>
      <c r="J140" t="n">
        <v>3</v>
      </c>
      <c r="K140" t="n">
        <v>0</v>
      </c>
      <c r="L140" t="n">
        <v>0</v>
      </c>
      <c r="M140" t="n">
        <v>0</v>
      </c>
      <c r="N140" t="n">
        <v>0</v>
      </c>
      <c r="O140" t="n">
        <v>3</v>
      </c>
      <c r="P140" t="n">
        <v>0</v>
      </c>
      <c r="Q140" t="n">
        <v>3</v>
      </c>
      <c r="R140" s="2" t="inlineStr">
        <is>
          <t>Ekticka
Spillkråka
Talltita</t>
        </is>
      </c>
      <c r="S140">
        <f>HYPERLINK("https://klasma.github.io/Logging_0883/artfynd/A 27067-2024 artfynd.xlsx", "A 27067-2024")</f>
        <v/>
      </c>
      <c r="T140">
        <f>HYPERLINK("https://klasma.github.io/Logging_0883/kartor/A 27067-2024 karta.png", "A 27067-2024")</f>
        <v/>
      </c>
      <c r="V140">
        <f>HYPERLINK("https://klasma.github.io/Logging_0883/klagomål/A 27067-2024 FSC-klagomål.docx", "A 27067-2024")</f>
        <v/>
      </c>
      <c r="W140">
        <f>HYPERLINK("https://klasma.github.io/Logging_0883/klagomålsmail/A 27067-2024 FSC-klagomål mail.docx", "A 27067-2024")</f>
        <v/>
      </c>
      <c r="X140">
        <f>HYPERLINK("https://klasma.github.io/Logging_0883/tillsyn/A 27067-2024 tillsynsbegäran.docx", "A 27067-2024")</f>
        <v/>
      </c>
      <c r="Y140">
        <f>HYPERLINK("https://klasma.github.io/Logging_0883/tillsynsmail/A 27067-2024 tillsynsbegäran mail.docx", "A 27067-2024")</f>
        <v/>
      </c>
      <c r="Z140">
        <f>HYPERLINK("https://klasma.github.io/Logging_0883/fåglar/A 27067-2024 prioriterade fågelarter.docx", "A 27067-2024")</f>
        <v/>
      </c>
    </row>
    <row r="141" ht="15" customHeight="1">
      <c r="A141" t="inlineStr">
        <is>
          <t>A 27700-2024</t>
        </is>
      </c>
      <c r="B141" s="1" t="n">
        <v>45475</v>
      </c>
      <c r="C141" s="1" t="n">
        <v>45842</v>
      </c>
      <c r="D141" t="inlineStr">
        <is>
          <t>KALMAR LÄN</t>
        </is>
      </c>
      <c r="E141" t="inlineStr">
        <is>
          <t>VÄSTERVIK</t>
        </is>
      </c>
      <c r="F141" t="inlineStr">
        <is>
          <t>Holmen skog AB</t>
        </is>
      </c>
      <c r="G141" t="n">
        <v>1.1</v>
      </c>
      <c r="H141" t="n">
        <v>1</v>
      </c>
      <c r="I141" t="n">
        <v>2</v>
      </c>
      <c r="J141" t="n">
        <v>1</v>
      </c>
      <c r="K141" t="n">
        <v>0</v>
      </c>
      <c r="L141" t="n">
        <v>0</v>
      </c>
      <c r="M141" t="n">
        <v>0</v>
      </c>
      <c r="N141" t="n">
        <v>0</v>
      </c>
      <c r="O141" t="n">
        <v>1</v>
      </c>
      <c r="P141" t="n">
        <v>0</v>
      </c>
      <c r="Q141" t="n">
        <v>3</v>
      </c>
      <c r="R141" s="2" t="inlineStr">
        <is>
          <t>Spillkråka
Blåmossa
Zontaggsvamp</t>
        </is>
      </c>
      <c r="S141">
        <f>HYPERLINK("https://klasma.github.io/Logging_0883/artfynd/A 27700-2024 artfynd.xlsx", "A 27700-2024")</f>
        <v/>
      </c>
      <c r="T141">
        <f>HYPERLINK("https://klasma.github.io/Logging_0883/kartor/A 27700-2024 karta.png", "A 27700-2024")</f>
        <v/>
      </c>
      <c r="V141">
        <f>HYPERLINK("https://klasma.github.io/Logging_0883/klagomål/A 27700-2024 FSC-klagomål.docx", "A 27700-2024")</f>
        <v/>
      </c>
      <c r="W141">
        <f>HYPERLINK("https://klasma.github.io/Logging_0883/klagomålsmail/A 27700-2024 FSC-klagomål mail.docx", "A 27700-2024")</f>
        <v/>
      </c>
      <c r="X141">
        <f>HYPERLINK("https://klasma.github.io/Logging_0883/tillsyn/A 27700-2024 tillsynsbegäran.docx", "A 27700-2024")</f>
        <v/>
      </c>
      <c r="Y141">
        <f>HYPERLINK("https://klasma.github.io/Logging_0883/tillsynsmail/A 27700-2024 tillsynsbegäran mail.docx", "A 27700-2024")</f>
        <v/>
      </c>
      <c r="Z141">
        <f>HYPERLINK("https://klasma.github.io/Logging_0883/fåglar/A 27700-2024 prioriterade fågelarter.docx", "A 27700-2024")</f>
        <v/>
      </c>
    </row>
    <row r="142" ht="15" customHeight="1">
      <c r="A142" t="inlineStr">
        <is>
          <t>A 28368-2024</t>
        </is>
      </c>
      <c r="B142" s="1" t="n">
        <v>45477</v>
      </c>
      <c r="C142" s="1" t="n">
        <v>45842</v>
      </c>
      <c r="D142" t="inlineStr">
        <is>
          <t>KALMAR LÄN</t>
        </is>
      </c>
      <c r="E142" t="inlineStr">
        <is>
          <t>VÄSTERVIK</t>
        </is>
      </c>
      <c r="G142" t="n">
        <v>0.8</v>
      </c>
      <c r="H142" t="n">
        <v>1</v>
      </c>
      <c r="I142" t="n">
        <v>1</v>
      </c>
      <c r="J142" t="n">
        <v>1</v>
      </c>
      <c r="K142" t="n">
        <v>1</v>
      </c>
      <c r="L142" t="n">
        <v>0</v>
      </c>
      <c r="M142" t="n">
        <v>0</v>
      </c>
      <c r="N142" t="n">
        <v>0</v>
      </c>
      <c r="O142" t="n">
        <v>2</v>
      </c>
      <c r="P142" t="n">
        <v>1</v>
      </c>
      <c r="Q142" t="n">
        <v>3</v>
      </c>
      <c r="R142" s="2" t="inlineStr">
        <is>
          <t>Knärot
Orange taggsvamp
Grönpyrola</t>
        </is>
      </c>
      <c r="S142">
        <f>HYPERLINK("https://klasma.github.io/Logging_0883/artfynd/A 28368-2024 artfynd.xlsx", "A 28368-2024")</f>
        <v/>
      </c>
      <c r="T142">
        <f>HYPERLINK("https://klasma.github.io/Logging_0883/kartor/A 28368-2024 karta.png", "A 28368-2024")</f>
        <v/>
      </c>
      <c r="U142">
        <f>HYPERLINK("https://klasma.github.io/Logging_0883/knärot/A 28368-2024 karta knärot.png", "A 28368-2024")</f>
        <v/>
      </c>
      <c r="V142">
        <f>HYPERLINK("https://klasma.github.io/Logging_0883/klagomål/A 28368-2024 FSC-klagomål.docx", "A 28368-2024")</f>
        <v/>
      </c>
      <c r="W142">
        <f>HYPERLINK("https://klasma.github.io/Logging_0883/klagomålsmail/A 28368-2024 FSC-klagomål mail.docx", "A 28368-2024")</f>
        <v/>
      </c>
      <c r="X142">
        <f>HYPERLINK("https://klasma.github.io/Logging_0883/tillsyn/A 28368-2024 tillsynsbegäran.docx", "A 28368-2024")</f>
        <v/>
      </c>
      <c r="Y142">
        <f>HYPERLINK("https://klasma.github.io/Logging_0883/tillsynsmail/A 28368-2024 tillsynsbegäran mail.docx", "A 28368-2024")</f>
        <v/>
      </c>
    </row>
    <row r="143" ht="15" customHeight="1">
      <c r="A143" t="inlineStr">
        <is>
          <t>A 39190-2024</t>
        </is>
      </c>
      <c r="B143" s="1" t="n">
        <v>45548</v>
      </c>
      <c r="C143" s="1" t="n">
        <v>45842</v>
      </c>
      <c r="D143" t="inlineStr">
        <is>
          <t>KALMAR LÄN</t>
        </is>
      </c>
      <c r="E143" t="inlineStr">
        <is>
          <t>VÄSTERVIK</t>
        </is>
      </c>
      <c r="G143" t="n">
        <v>1.7</v>
      </c>
      <c r="H143" t="n">
        <v>2</v>
      </c>
      <c r="I143" t="n">
        <v>0</v>
      </c>
      <c r="J143" t="n">
        <v>2</v>
      </c>
      <c r="K143" t="n">
        <v>1</v>
      </c>
      <c r="L143" t="n">
        <v>0</v>
      </c>
      <c r="M143" t="n">
        <v>0</v>
      </c>
      <c r="N143" t="n">
        <v>0</v>
      </c>
      <c r="O143" t="n">
        <v>3</v>
      </c>
      <c r="P143" t="n">
        <v>1</v>
      </c>
      <c r="Q143" t="n">
        <v>3</v>
      </c>
      <c r="R143" s="2" t="inlineStr">
        <is>
          <t>Knärot
Svart taggsvamp
Talltita</t>
        </is>
      </c>
      <c r="S143">
        <f>HYPERLINK("https://klasma.github.io/Logging_0883/artfynd/A 39190-2024 artfynd.xlsx", "A 39190-2024")</f>
        <v/>
      </c>
      <c r="T143">
        <f>HYPERLINK("https://klasma.github.io/Logging_0883/kartor/A 39190-2024 karta.png", "A 39190-2024")</f>
        <v/>
      </c>
      <c r="U143">
        <f>HYPERLINK("https://klasma.github.io/Logging_0883/knärot/A 39190-2024 karta knärot.png", "A 39190-2024")</f>
        <v/>
      </c>
      <c r="V143">
        <f>HYPERLINK("https://klasma.github.io/Logging_0883/klagomål/A 39190-2024 FSC-klagomål.docx", "A 39190-2024")</f>
        <v/>
      </c>
      <c r="W143">
        <f>HYPERLINK("https://klasma.github.io/Logging_0883/klagomålsmail/A 39190-2024 FSC-klagomål mail.docx", "A 39190-2024")</f>
        <v/>
      </c>
      <c r="X143">
        <f>HYPERLINK("https://klasma.github.io/Logging_0883/tillsyn/A 39190-2024 tillsynsbegäran.docx", "A 39190-2024")</f>
        <v/>
      </c>
      <c r="Y143">
        <f>HYPERLINK("https://klasma.github.io/Logging_0883/tillsynsmail/A 39190-2024 tillsynsbegäran mail.docx", "A 39190-2024")</f>
        <v/>
      </c>
      <c r="Z143">
        <f>HYPERLINK("https://klasma.github.io/Logging_0883/fåglar/A 39190-2024 prioriterade fågelarter.docx", "A 39190-2024")</f>
        <v/>
      </c>
    </row>
    <row r="144" ht="15" customHeight="1">
      <c r="A144" t="inlineStr">
        <is>
          <t>A 39284-2024</t>
        </is>
      </c>
      <c r="B144" s="1" t="n">
        <v>45551</v>
      </c>
      <c r="C144" s="1" t="n">
        <v>45842</v>
      </c>
      <c r="D144" t="inlineStr">
        <is>
          <t>KALMAR LÄN</t>
        </is>
      </c>
      <c r="E144" t="inlineStr">
        <is>
          <t>VÄSTERVIK</t>
        </is>
      </c>
      <c r="G144" t="n">
        <v>4.1</v>
      </c>
      <c r="H144" t="n">
        <v>2</v>
      </c>
      <c r="I144" t="n">
        <v>1</v>
      </c>
      <c r="J144" t="n">
        <v>1</v>
      </c>
      <c r="K144" t="n">
        <v>0</v>
      </c>
      <c r="L144" t="n">
        <v>0</v>
      </c>
      <c r="M144" t="n">
        <v>0</v>
      </c>
      <c r="N144" t="n">
        <v>0</v>
      </c>
      <c r="O144" t="n">
        <v>1</v>
      </c>
      <c r="P144" t="n">
        <v>0</v>
      </c>
      <c r="Q144" t="n">
        <v>3</v>
      </c>
      <c r="R144" s="2" t="inlineStr">
        <is>
          <t>Talltita
Blåmossa
Mattlummer</t>
        </is>
      </c>
      <c r="S144">
        <f>HYPERLINK("https://klasma.github.io/Logging_0883/artfynd/A 39284-2024 artfynd.xlsx", "A 39284-2024")</f>
        <v/>
      </c>
      <c r="T144">
        <f>HYPERLINK("https://klasma.github.io/Logging_0883/kartor/A 39284-2024 karta.png", "A 39284-2024")</f>
        <v/>
      </c>
      <c r="V144">
        <f>HYPERLINK("https://klasma.github.io/Logging_0883/klagomål/A 39284-2024 FSC-klagomål.docx", "A 39284-2024")</f>
        <v/>
      </c>
      <c r="W144">
        <f>HYPERLINK("https://klasma.github.io/Logging_0883/klagomålsmail/A 39284-2024 FSC-klagomål mail.docx", "A 39284-2024")</f>
        <v/>
      </c>
      <c r="X144">
        <f>HYPERLINK("https://klasma.github.io/Logging_0883/tillsyn/A 39284-2024 tillsynsbegäran.docx", "A 39284-2024")</f>
        <v/>
      </c>
      <c r="Y144">
        <f>HYPERLINK("https://klasma.github.io/Logging_0883/tillsynsmail/A 39284-2024 tillsynsbegäran mail.docx", "A 39284-2024")</f>
        <v/>
      </c>
      <c r="Z144">
        <f>HYPERLINK("https://klasma.github.io/Logging_0883/fåglar/A 39284-2024 prioriterade fågelarter.docx", "A 39284-2024")</f>
        <v/>
      </c>
    </row>
    <row r="145" ht="15" customHeight="1">
      <c r="A145" t="inlineStr">
        <is>
          <t>A 39296-2024</t>
        </is>
      </c>
      <c r="B145" s="1" t="n">
        <v>45551</v>
      </c>
      <c r="C145" s="1" t="n">
        <v>45842</v>
      </c>
      <c r="D145" t="inlineStr">
        <is>
          <t>KALMAR LÄN</t>
        </is>
      </c>
      <c r="E145" t="inlineStr">
        <is>
          <t>VÄSTERVIK</t>
        </is>
      </c>
      <c r="G145" t="n">
        <v>0.8</v>
      </c>
      <c r="H145" t="n">
        <v>2</v>
      </c>
      <c r="I145" t="n">
        <v>1</v>
      </c>
      <c r="J145" t="n">
        <v>2</v>
      </c>
      <c r="K145" t="n">
        <v>0</v>
      </c>
      <c r="L145" t="n">
        <v>0</v>
      </c>
      <c r="M145" t="n">
        <v>0</v>
      </c>
      <c r="N145" t="n">
        <v>0</v>
      </c>
      <c r="O145" t="n">
        <v>2</v>
      </c>
      <c r="P145" t="n">
        <v>0</v>
      </c>
      <c r="Q145" t="n">
        <v>3</v>
      </c>
      <c r="R145" s="2" t="inlineStr">
        <is>
          <t>Järpe
Spillkråka
Grönpyrola</t>
        </is>
      </c>
      <c r="S145">
        <f>HYPERLINK("https://klasma.github.io/Logging_0883/artfynd/A 39296-2024 artfynd.xlsx", "A 39296-2024")</f>
        <v/>
      </c>
      <c r="T145">
        <f>HYPERLINK("https://klasma.github.io/Logging_0883/kartor/A 39296-2024 karta.png", "A 39296-2024")</f>
        <v/>
      </c>
      <c r="U145">
        <f>HYPERLINK("https://klasma.github.io/Logging_0883/knärot/A 39296-2024 karta knärot.png", "A 39296-2024")</f>
        <v/>
      </c>
      <c r="V145">
        <f>HYPERLINK("https://klasma.github.io/Logging_0883/klagomål/A 39296-2024 FSC-klagomål.docx", "A 39296-2024")</f>
        <v/>
      </c>
      <c r="W145">
        <f>HYPERLINK("https://klasma.github.io/Logging_0883/klagomålsmail/A 39296-2024 FSC-klagomål mail.docx", "A 39296-2024")</f>
        <v/>
      </c>
      <c r="X145">
        <f>HYPERLINK("https://klasma.github.io/Logging_0883/tillsyn/A 39296-2024 tillsynsbegäran.docx", "A 39296-2024")</f>
        <v/>
      </c>
      <c r="Y145">
        <f>HYPERLINK("https://klasma.github.io/Logging_0883/tillsynsmail/A 39296-2024 tillsynsbegäran mail.docx", "A 39296-2024")</f>
        <v/>
      </c>
      <c r="Z145">
        <f>HYPERLINK("https://klasma.github.io/Logging_0883/fåglar/A 39296-2024 prioriterade fågelarter.docx", "A 39296-2024")</f>
        <v/>
      </c>
    </row>
    <row r="146" ht="15" customHeight="1">
      <c r="A146" t="inlineStr">
        <is>
          <t>A 45639-2024</t>
        </is>
      </c>
      <c r="B146" s="1" t="n">
        <v>45579</v>
      </c>
      <c r="C146" s="1" t="n">
        <v>45842</v>
      </c>
      <c r="D146" t="inlineStr">
        <is>
          <t>KALMAR LÄN</t>
        </is>
      </c>
      <c r="E146" t="inlineStr">
        <is>
          <t>VÄSTERVIK</t>
        </is>
      </c>
      <c r="F146" t="inlineStr">
        <is>
          <t>Kyrkan</t>
        </is>
      </c>
      <c r="G146" t="n">
        <v>6.4</v>
      </c>
      <c r="H146" t="n">
        <v>2</v>
      </c>
      <c r="I146" t="n">
        <v>1</v>
      </c>
      <c r="J146" t="n">
        <v>2</v>
      </c>
      <c r="K146" t="n">
        <v>0</v>
      </c>
      <c r="L146" t="n">
        <v>0</v>
      </c>
      <c r="M146" t="n">
        <v>0</v>
      </c>
      <c r="N146" t="n">
        <v>0</v>
      </c>
      <c r="O146" t="n">
        <v>2</v>
      </c>
      <c r="P146" t="n">
        <v>0</v>
      </c>
      <c r="Q146" t="n">
        <v>3</v>
      </c>
      <c r="R146" s="2" t="inlineStr">
        <is>
          <t>Spillkråka
Talltita
Grovticka</t>
        </is>
      </c>
      <c r="S146">
        <f>HYPERLINK("https://klasma.github.io/Logging_0883/artfynd/A 45639-2024 artfynd.xlsx", "A 45639-2024")</f>
        <v/>
      </c>
      <c r="T146">
        <f>HYPERLINK("https://klasma.github.io/Logging_0883/kartor/A 45639-2024 karta.png", "A 45639-2024")</f>
        <v/>
      </c>
      <c r="V146">
        <f>HYPERLINK("https://klasma.github.io/Logging_0883/klagomål/A 45639-2024 FSC-klagomål.docx", "A 45639-2024")</f>
        <v/>
      </c>
      <c r="W146">
        <f>HYPERLINK("https://klasma.github.io/Logging_0883/klagomålsmail/A 45639-2024 FSC-klagomål mail.docx", "A 45639-2024")</f>
        <v/>
      </c>
      <c r="X146">
        <f>HYPERLINK("https://klasma.github.io/Logging_0883/tillsyn/A 45639-2024 tillsynsbegäran.docx", "A 45639-2024")</f>
        <v/>
      </c>
      <c r="Y146">
        <f>HYPERLINK("https://klasma.github.io/Logging_0883/tillsynsmail/A 45639-2024 tillsynsbegäran mail.docx", "A 45639-2024")</f>
        <v/>
      </c>
      <c r="Z146">
        <f>HYPERLINK("https://klasma.github.io/Logging_0883/fåglar/A 45639-2024 prioriterade fågelarter.docx", "A 45639-2024")</f>
        <v/>
      </c>
    </row>
    <row r="147" ht="15" customHeight="1">
      <c r="A147" t="inlineStr">
        <is>
          <t>A 48318-2024</t>
        </is>
      </c>
      <c r="B147" s="1" t="n">
        <v>45590</v>
      </c>
      <c r="C147" s="1" t="n">
        <v>45842</v>
      </c>
      <c r="D147" t="inlineStr">
        <is>
          <t>KALMAR LÄN</t>
        </is>
      </c>
      <c r="E147" t="inlineStr">
        <is>
          <t>VÄSTERVIK</t>
        </is>
      </c>
      <c r="F147" t="inlineStr">
        <is>
          <t>Holmen skog AB</t>
        </is>
      </c>
      <c r="G147" t="n">
        <v>4</v>
      </c>
      <c r="H147" t="n">
        <v>3</v>
      </c>
      <c r="I147" t="n">
        <v>0</v>
      </c>
      <c r="J147" t="n">
        <v>3</v>
      </c>
      <c r="K147" t="n">
        <v>0</v>
      </c>
      <c r="L147" t="n">
        <v>0</v>
      </c>
      <c r="M147" t="n">
        <v>0</v>
      </c>
      <c r="N147" t="n">
        <v>0</v>
      </c>
      <c r="O147" t="n">
        <v>3</v>
      </c>
      <c r="P147" t="n">
        <v>0</v>
      </c>
      <c r="Q147" t="n">
        <v>3</v>
      </c>
      <c r="R147" s="2" t="inlineStr">
        <is>
          <t>Entita
Spillkråka
Talltita</t>
        </is>
      </c>
      <c r="S147">
        <f>HYPERLINK("https://klasma.github.io/Logging_0883/artfynd/A 48318-2024 artfynd.xlsx", "A 48318-2024")</f>
        <v/>
      </c>
      <c r="T147">
        <f>HYPERLINK("https://klasma.github.io/Logging_0883/kartor/A 48318-2024 karta.png", "A 48318-2024")</f>
        <v/>
      </c>
      <c r="U147">
        <f>HYPERLINK("https://klasma.github.io/Logging_0883/knärot/A 48318-2024 karta knärot.png", "A 48318-2024")</f>
        <v/>
      </c>
      <c r="V147">
        <f>HYPERLINK("https://klasma.github.io/Logging_0883/klagomål/A 48318-2024 FSC-klagomål.docx", "A 48318-2024")</f>
        <v/>
      </c>
      <c r="W147">
        <f>HYPERLINK("https://klasma.github.io/Logging_0883/klagomålsmail/A 48318-2024 FSC-klagomål mail.docx", "A 48318-2024")</f>
        <v/>
      </c>
      <c r="X147">
        <f>HYPERLINK("https://klasma.github.io/Logging_0883/tillsyn/A 48318-2024 tillsynsbegäran.docx", "A 48318-2024")</f>
        <v/>
      </c>
      <c r="Y147">
        <f>HYPERLINK("https://klasma.github.io/Logging_0883/tillsynsmail/A 48318-2024 tillsynsbegäran mail.docx", "A 48318-2024")</f>
        <v/>
      </c>
      <c r="Z147">
        <f>HYPERLINK("https://klasma.github.io/Logging_0883/fåglar/A 48318-2024 prioriterade fågelarter.docx", "A 48318-2024")</f>
        <v/>
      </c>
    </row>
    <row r="148" ht="15" customHeight="1">
      <c r="A148" t="inlineStr">
        <is>
          <t>A 51590-2024</t>
        </is>
      </c>
      <c r="B148" s="1" t="n">
        <v>45604</v>
      </c>
      <c r="C148" s="1" t="n">
        <v>45842</v>
      </c>
      <c r="D148" t="inlineStr">
        <is>
          <t>KALMAR LÄN</t>
        </is>
      </c>
      <c r="E148" t="inlineStr">
        <is>
          <t>VÄSTERVIK</t>
        </is>
      </c>
      <c r="F148" t="inlineStr">
        <is>
          <t>Övriga Aktiebolag</t>
        </is>
      </c>
      <c r="G148" t="n">
        <v>2.3</v>
      </c>
      <c r="H148" t="n">
        <v>3</v>
      </c>
      <c r="I148" t="n">
        <v>0</v>
      </c>
      <c r="J148" t="n">
        <v>2</v>
      </c>
      <c r="K148" t="n">
        <v>1</v>
      </c>
      <c r="L148" t="n">
        <v>0</v>
      </c>
      <c r="M148" t="n">
        <v>0</v>
      </c>
      <c r="N148" t="n">
        <v>0</v>
      </c>
      <c r="O148" t="n">
        <v>3</v>
      </c>
      <c r="P148" t="n">
        <v>1</v>
      </c>
      <c r="Q148" t="n">
        <v>3</v>
      </c>
      <c r="R148" s="2" t="inlineStr">
        <is>
          <t>Knärot
Spillkråka
Talltita</t>
        </is>
      </c>
      <c r="S148">
        <f>HYPERLINK("https://klasma.github.io/Logging_0883/artfynd/A 51590-2024 artfynd.xlsx", "A 51590-2024")</f>
        <v/>
      </c>
      <c r="T148">
        <f>HYPERLINK("https://klasma.github.io/Logging_0883/kartor/A 51590-2024 karta.png", "A 51590-2024")</f>
        <v/>
      </c>
      <c r="U148">
        <f>HYPERLINK("https://klasma.github.io/Logging_0883/knärot/A 51590-2024 karta knärot.png", "A 51590-2024")</f>
        <v/>
      </c>
      <c r="V148">
        <f>HYPERLINK("https://klasma.github.io/Logging_0883/klagomål/A 51590-2024 FSC-klagomål.docx", "A 51590-2024")</f>
        <v/>
      </c>
      <c r="W148">
        <f>HYPERLINK("https://klasma.github.io/Logging_0883/klagomålsmail/A 51590-2024 FSC-klagomål mail.docx", "A 51590-2024")</f>
        <v/>
      </c>
      <c r="X148">
        <f>HYPERLINK("https://klasma.github.io/Logging_0883/tillsyn/A 51590-2024 tillsynsbegäran.docx", "A 51590-2024")</f>
        <v/>
      </c>
      <c r="Y148">
        <f>HYPERLINK("https://klasma.github.io/Logging_0883/tillsynsmail/A 51590-2024 tillsynsbegäran mail.docx", "A 51590-2024")</f>
        <v/>
      </c>
      <c r="Z148">
        <f>HYPERLINK("https://klasma.github.io/Logging_0883/fåglar/A 51590-2024 prioriterade fågelarter.docx", "A 51590-2024")</f>
        <v/>
      </c>
    </row>
    <row r="149" ht="15" customHeight="1">
      <c r="A149" t="inlineStr">
        <is>
          <t>A 52992-2024</t>
        </is>
      </c>
      <c r="B149" s="1" t="n">
        <v>45611</v>
      </c>
      <c r="C149" s="1" t="n">
        <v>45842</v>
      </c>
      <c r="D149" t="inlineStr">
        <is>
          <t>KALMAR LÄN</t>
        </is>
      </c>
      <c r="E149" t="inlineStr">
        <is>
          <t>VÄSTERVIK</t>
        </is>
      </c>
      <c r="F149" t="inlineStr">
        <is>
          <t>Holmen skog AB</t>
        </is>
      </c>
      <c r="G149" t="n">
        <v>5.5</v>
      </c>
      <c r="H149" t="n">
        <v>2</v>
      </c>
      <c r="I149" t="n">
        <v>1</v>
      </c>
      <c r="J149" t="n">
        <v>2</v>
      </c>
      <c r="K149" t="n">
        <v>0</v>
      </c>
      <c r="L149" t="n">
        <v>0</v>
      </c>
      <c r="M149" t="n">
        <v>0</v>
      </c>
      <c r="N149" t="n">
        <v>0</v>
      </c>
      <c r="O149" t="n">
        <v>2</v>
      </c>
      <c r="P149" t="n">
        <v>0</v>
      </c>
      <c r="Q149" t="n">
        <v>3</v>
      </c>
      <c r="R149" s="2" t="inlineStr">
        <is>
          <t>Spillkråka
Talltita
Brandticka</t>
        </is>
      </c>
      <c r="S149">
        <f>HYPERLINK("https://klasma.github.io/Logging_0883/artfynd/A 52992-2024 artfynd.xlsx", "A 52992-2024")</f>
        <v/>
      </c>
      <c r="T149">
        <f>HYPERLINK("https://klasma.github.io/Logging_0883/kartor/A 52992-2024 karta.png", "A 52992-2024")</f>
        <v/>
      </c>
      <c r="V149">
        <f>HYPERLINK("https://klasma.github.io/Logging_0883/klagomål/A 52992-2024 FSC-klagomål.docx", "A 52992-2024")</f>
        <v/>
      </c>
      <c r="W149">
        <f>HYPERLINK("https://klasma.github.io/Logging_0883/klagomålsmail/A 52992-2024 FSC-klagomål mail.docx", "A 52992-2024")</f>
        <v/>
      </c>
      <c r="X149">
        <f>HYPERLINK("https://klasma.github.io/Logging_0883/tillsyn/A 52992-2024 tillsynsbegäran.docx", "A 52992-2024")</f>
        <v/>
      </c>
      <c r="Y149">
        <f>HYPERLINK("https://klasma.github.io/Logging_0883/tillsynsmail/A 52992-2024 tillsynsbegäran mail.docx", "A 52992-2024")</f>
        <v/>
      </c>
      <c r="Z149">
        <f>HYPERLINK("https://klasma.github.io/Logging_0883/fåglar/A 52992-2024 prioriterade fågelarter.docx", "A 52992-2024")</f>
        <v/>
      </c>
    </row>
    <row r="150" ht="15" customHeight="1">
      <c r="A150" t="inlineStr">
        <is>
          <t>A 56032-2024</t>
        </is>
      </c>
      <c r="B150" s="1" t="n">
        <v>45624</v>
      </c>
      <c r="C150" s="1" t="n">
        <v>45842</v>
      </c>
      <c r="D150" t="inlineStr">
        <is>
          <t>KALMAR LÄN</t>
        </is>
      </c>
      <c r="E150" t="inlineStr">
        <is>
          <t>VÄSTERVIK</t>
        </is>
      </c>
      <c r="F150" t="inlineStr">
        <is>
          <t>Kyrkan</t>
        </is>
      </c>
      <c r="G150" t="n">
        <v>5.4</v>
      </c>
      <c r="H150" t="n">
        <v>1</v>
      </c>
      <c r="I150" t="n">
        <v>2</v>
      </c>
      <c r="J150" t="n">
        <v>0</v>
      </c>
      <c r="K150" t="n">
        <v>1</v>
      </c>
      <c r="L150" t="n">
        <v>0</v>
      </c>
      <c r="M150" t="n">
        <v>0</v>
      </c>
      <c r="N150" t="n">
        <v>0</v>
      </c>
      <c r="O150" t="n">
        <v>1</v>
      </c>
      <c r="P150" t="n">
        <v>1</v>
      </c>
      <c r="Q150" t="n">
        <v>3</v>
      </c>
      <c r="R150" s="2" t="inlineStr">
        <is>
          <t>Knärot
Grovticka
Grönpyrola</t>
        </is>
      </c>
      <c r="S150">
        <f>HYPERLINK("https://klasma.github.io/Logging_0883/artfynd/A 56032-2024 artfynd.xlsx", "A 56032-2024")</f>
        <v/>
      </c>
      <c r="T150">
        <f>HYPERLINK("https://klasma.github.io/Logging_0883/kartor/A 56032-2024 karta.png", "A 56032-2024")</f>
        <v/>
      </c>
      <c r="U150">
        <f>HYPERLINK("https://klasma.github.io/Logging_0883/knärot/A 56032-2024 karta knärot.png", "A 56032-2024")</f>
        <v/>
      </c>
      <c r="V150">
        <f>HYPERLINK("https://klasma.github.io/Logging_0883/klagomål/A 56032-2024 FSC-klagomål.docx", "A 56032-2024")</f>
        <v/>
      </c>
      <c r="W150">
        <f>HYPERLINK("https://klasma.github.io/Logging_0883/klagomålsmail/A 56032-2024 FSC-klagomål mail.docx", "A 56032-2024")</f>
        <v/>
      </c>
      <c r="X150">
        <f>HYPERLINK("https://klasma.github.io/Logging_0883/tillsyn/A 56032-2024 tillsynsbegäran.docx", "A 56032-2024")</f>
        <v/>
      </c>
      <c r="Y150">
        <f>HYPERLINK("https://klasma.github.io/Logging_0883/tillsynsmail/A 56032-2024 tillsynsbegäran mail.docx", "A 56032-2024")</f>
        <v/>
      </c>
    </row>
    <row r="151" ht="15" customHeight="1">
      <c r="A151" t="inlineStr">
        <is>
          <t>A 58750-2024</t>
        </is>
      </c>
      <c r="B151" s="1" t="n">
        <v>45635</v>
      </c>
      <c r="C151" s="1" t="n">
        <v>45842</v>
      </c>
      <c r="D151" t="inlineStr">
        <is>
          <t>KALMAR LÄN</t>
        </is>
      </c>
      <c r="E151" t="inlineStr">
        <is>
          <t>VÄSTERVIK</t>
        </is>
      </c>
      <c r="G151" t="n">
        <v>6.7</v>
      </c>
      <c r="H151" t="n">
        <v>1</v>
      </c>
      <c r="I151" t="n">
        <v>1</v>
      </c>
      <c r="J151" t="n">
        <v>1</v>
      </c>
      <c r="K151" t="n">
        <v>1</v>
      </c>
      <c r="L151" t="n">
        <v>0</v>
      </c>
      <c r="M151" t="n">
        <v>0</v>
      </c>
      <c r="N151" t="n">
        <v>0</v>
      </c>
      <c r="O151" t="n">
        <v>2</v>
      </c>
      <c r="P151" t="n">
        <v>1</v>
      </c>
      <c r="Q151" t="n">
        <v>3</v>
      </c>
      <c r="R151" s="2" t="inlineStr">
        <is>
          <t>Knärot
Tallticka
Blåmossa</t>
        </is>
      </c>
      <c r="S151">
        <f>HYPERLINK("https://klasma.github.io/Logging_0883/artfynd/A 58750-2024 artfynd.xlsx", "A 58750-2024")</f>
        <v/>
      </c>
      <c r="T151">
        <f>HYPERLINK("https://klasma.github.io/Logging_0883/kartor/A 58750-2024 karta.png", "A 58750-2024")</f>
        <v/>
      </c>
      <c r="U151">
        <f>HYPERLINK("https://klasma.github.io/Logging_0883/knärot/A 58750-2024 karta knärot.png", "A 58750-2024")</f>
        <v/>
      </c>
      <c r="V151">
        <f>HYPERLINK("https://klasma.github.io/Logging_0883/klagomål/A 58750-2024 FSC-klagomål.docx", "A 58750-2024")</f>
        <v/>
      </c>
      <c r="W151">
        <f>HYPERLINK("https://klasma.github.io/Logging_0883/klagomålsmail/A 58750-2024 FSC-klagomål mail.docx", "A 58750-2024")</f>
        <v/>
      </c>
      <c r="X151">
        <f>HYPERLINK("https://klasma.github.io/Logging_0883/tillsyn/A 58750-2024 tillsynsbegäran.docx", "A 58750-2024")</f>
        <v/>
      </c>
      <c r="Y151">
        <f>HYPERLINK("https://klasma.github.io/Logging_0883/tillsynsmail/A 58750-2024 tillsynsbegäran mail.docx", "A 58750-2024")</f>
        <v/>
      </c>
    </row>
    <row r="152" ht="15" customHeight="1">
      <c r="A152" t="inlineStr">
        <is>
          <t>A 42-2025</t>
        </is>
      </c>
      <c r="B152" s="1" t="n">
        <v>45659</v>
      </c>
      <c r="C152" s="1" t="n">
        <v>45842</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42-2025 artfynd.xlsx", "A 42-2025")</f>
        <v/>
      </c>
      <c r="T152">
        <f>HYPERLINK("https://klasma.github.io/Logging_0883/kartor/A 42-2025 karta.png", "A 42-2025")</f>
        <v/>
      </c>
      <c r="U152">
        <f>HYPERLINK("https://klasma.github.io/Logging_0883/knärot/A 42-2025 karta knärot.png", "A 42-2025")</f>
        <v/>
      </c>
      <c r="V152">
        <f>HYPERLINK("https://klasma.github.io/Logging_0883/klagomål/A 42-2025 FSC-klagomål.docx", "A 42-2025")</f>
        <v/>
      </c>
      <c r="W152">
        <f>HYPERLINK("https://klasma.github.io/Logging_0883/klagomålsmail/A 42-2025 FSC-klagomål mail.docx", "A 42-2025")</f>
        <v/>
      </c>
      <c r="X152">
        <f>HYPERLINK("https://klasma.github.io/Logging_0883/tillsyn/A 42-2025 tillsynsbegäran.docx", "A 42-2025")</f>
        <v/>
      </c>
      <c r="Y152">
        <f>HYPERLINK("https://klasma.github.io/Logging_0883/tillsynsmail/A 42-2025 tillsynsbegäran mail.docx", "A 42-2025")</f>
        <v/>
      </c>
      <c r="Z152">
        <f>HYPERLINK("https://klasma.github.io/Logging_0883/fåglar/A 42-2025 prioriterade fågelarter.docx", "A 42-2025")</f>
        <v/>
      </c>
    </row>
    <row r="153" ht="15" customHeight="1">
      <c r="A153" t="inlineStr">
        <is>
          <t>A 953-2025</t>
        </is>
      </c>
      <c r="B153" s="1" t="n">
        <v>45666</v>
      </c>
      <c r="C153" s="1" t="n">
        <v>45842</v>
      </c>
      <c r="D153" t="inlineStr">
        <is>
          <t>KALMAR LÄN</t>
        </is>
      </c>
      <c r="E153" t="inlineStr">
        <is>
          <t>VÄSTERVIK</t>
        </is>
      </c>
      <c r="G153" t="n">
        <v>2.3</v>
      </c>
      <c r="H153" t="n">
        <v>1</v>
      </c>
      <c r="I153" t="n">
        <v>2</v>
      </c>
      <c r="J153" t="n">
        <v>0</v>
      </c>
      <c r="K153" t="n">
        <v>1</v>
      </c>
      <c r="L153" t="n">
        <v>0</v>
      </c>
      <c r="M153" t="n">
        <v>0</v>
      </c>
      <c r="N153" t="n">
        <v>0</v>
      </c>
      <c r="O153" t="n">
        <v>1</v>
      </c>
      <c r="P153" t="n">
        <v>1</v>
      </c>
      <c r="Q153" t="n">
        <v>3</v>
      </c>
      <c r="R153" s="2" t="inlineStr">
        <is>
          <t>Knärot
Barkticka
Dropptaggsvamp</t>
        </is>
      </c>
      <c r="S153">
        <f>HYPERLINK("https://klasma.github.io/Logging_0883/artfynd/A 953-2025 artfynd.xlsx", "A 953-2025")</f>
        <v/>
      </c>
      <c r="T153">
        <f>HYPERLINK("https://klasma.github.io/Logging_0883/kartor/A 953-2025 karta.png", "A 953-2025")</f>
        <v/>
      </c>
      <c r="U153">
        <f>HYPERLINK("https://klasma.github.io/Logging_0883/knärot/A 953-2025 karta knärot.png", "A 953-2025")</f>
        <v/>
      </c>
      <c r="V153">
        <f>HYPERLINK("https://klasma.github.io/Logging_0883/klagomål/A 953-2025 FSC-klagomål.docx", "A 953-2025")</f>
        <v/>
      </c>
      <c r="W153">
        <f>HYPERLINK("https://klasma.github.io/Logging_0883/klagomålsmail/A 953-2025 FSC-klagomål mail.docx", "A 953-2025")</f>
        <v/>
      </c>
      <c r="X153">
        <f>HYPERLINK("https://klasma.github.io/Logging_0883/tillsyn/A 953-2025 tillsynsbegäran.docx", "A 953-2025")</f>
        <v/>
      </c>
      <c r="Y153">
        <f>HYPERLINK("https://klasma.github.io/Logging_0883/tillsynsmail/A 953-2025 tillsynsbegäran mail.docx", "A 953-2025")</f>
        <v/>
      </c>
    </row>
    <row r="154" ht="15" customHeight="1">
      <c r="A154" t="inlineStr">
        <is>
          <t>A 1763-2025</t>
        </is>
      </c>
      <c r="B154" s="1" t="n">
        <v>45671</v>
      </c>
      <c r="C154" s="1" t="n">
        <v>45842</v>
      </c>
      <c r="D154" t="inlineStr">
        <is>
          <t>KALMAR LÄN</t>
        </is>
      </c>
      <c r="E154" t="inlineStr">
        <is>
          <t>VÄSTERVIK</t>
        </is>
      </c>
      <c r="G154" t="n">
        <v>1.1</v>
      </c>
      <c r="H154" t="n">
        <v>2</v>
      </c>
      <c r="I154" t="n">
        <v>1</v>
      </c>
      <c r="J154" t="n">
        <v>2</v>
      </c>
      <c r="K154" t="n">
        <v>0</v>
      </c>
      <c r="L154" t="n">
        <v>0</v>
      </c>
      <c r="M154" t="n">
        <v>0</v>
      </c>
      <c r="N154" t="n">
        <v>0</v>
      </c>
      <c r="O154" t="n">
        <v>2</v>
      </c>
      <c r="P154" t="n">
        <v>0</v>
      </c>
      <c r="Q154" t="n">
        <v>3</v>
      </c>
      <c r="R154" s="2" t="inlineStr">
        <is>
          <t>Spillkråka
Talltita
Blåmossa</t>
        </is>
      </c>
      <c r="S154">
        <f>HYPERLINK("https://klasma.github.io/Logging_0883/artfynd/A 1763-2025 artfynd.xlsx", "A 1763-2025")</f>
        <v/>
      </c>
      <c r="T154">
        <f>HYPERLINK("https://klasma.github.io/Logging_0883/kartor/A 1763-2025 karta.png", "A 1763-2025")</f>
        <v/>
      </c>
      <c r="V154">
        <f>HYPERLINK("https://klasma.github.io/Logging_0883/klagomål/A 1763-2025 FSC-klagomål.docx", "A 1763-2025")</f>
        <v/>
      </c>
      <c r="W154">
        <f>HYPERLINK("https://klasma.github.io/Logging_0883/klagomålsmail/A 1763-2025 FSC-klagomål mail.docx", "A 1763-2025")</f>
        <v/>
      </c>
      <c r="X154">
        <f>HYPERLINK("https://klasma.github.io/Logging_0883/tillsyn/A 1763-2025 tillsynsbegäran.docx", "A 1763-2025")</f>
        <v/>
      </c>
      <c r="Y154">
        <f>HYPERLINK("https://klasma.github.io/Logging_0883/tillsynsmail/A 1763-2025 tillsynsbegäran mail.docx", "A 1763-2025")</f>
        <v/>
      </c>
      <c r="Z154">
        <f>HYPERLINK("https://klasma.github.io/Logging_0883/fåglar/A 1763-2025 prioriterade fågelarter.docx", "A 1763-2025")</f>
        <v/>
      </c>
    </row>
    <row r="155" ht="15" customHeight="1">
      <c r="A155" t="inlineStr">
        <is>
          <t>A 1764-2025</t>
        </is>
      </c>
      <c r="B155" s="1" t="n">
        <v>45671</v>
      </c>
      <c r="C155" s="1" t="n">
        <v>45842</v>
      </c>
      <c r="D155" t="inlineStr">
        <is>
          <t>KALMAR LÄN</t>
        </is>
      </c>
      <c r="E155" t="inlineStr">
        <is>
          <t>VÄSTERVIK</t>
        </is>
      </c>
      <c r="G155" t="n">
        <v>1.8</v>
      </c>
      <c r="H155" t="n">
        <v>1</v>
      </c>
      <c r="I155" t="n">
        <v>1</v>
      </c>
      <c r="J155" t="n">
        <v>1</v>
      </c>
      <c r="K155" t="n">
        <v>1</v>
      </c>
      <c r="L155" t="n">
        <v>0</v>
      </c>
      <c r="M155" t="n">
        <v>0</v>
      </c>
      <c r="N155" t="n">
        <v>0</v>
      </c>
      <c r="O155" t="n">
        <v>2</v>
      </c>
      <c r="P155" t="n">
        <v>1</v>
      </c>
      <c r="Q155" t="n">
        <v>3</v>
      </c>
      <c r="R155" s="2" t="inlineStr">
        <is>
          <t>Knärot
Ullticka
Grovticka</t>
        </is>
      </c>
      <c r="S155">
        <f>HYPERLINK("https://klasma.github.io/Logging_0883/artfynd/A 1764-2025 artfynd.xlsx", "A 1764-2025")</f>
        <v/>
      </c>
      <c r="T155">
        <f>HYPERLINK("https://klasma.github.io/Logging_0883/kartor/A 1764-2025 karta.png", "A 1764-2025")</f>
        <v/>
      </c>
      <c r="U155">
        <f>HYPERLINK("https://klasma.github.io/Logging_0883/knärot/A 1764-2025 karta knärot.png", "A 1764-2025")</f>
        <v/>
      </c>
      <c r="V155">
        <f>HYPERLINK("https://klasma.github.io/Logging_0883/klagomål/A 1764-2025 FSC-klagomål.docx", "A 1764-2025")</f>
        <v/>
      </c>
      <c r="W155">
        <f>HYPERLINK("https://klasma.github.io/Logging_0883/klagomålsmail/A 1764-2025 FSC-klagomål mail.docx", "A 1764-2025")</f>
        <v/>
      </c>
      <c r="X155">
        <f>HYPERLINK("https://klasma.github.io/Logging_0883/tillsyn/A 1764-2025 tillsynsbegäran.docx", "A 1764-2025")</f>
        <v/>
      </c>
      <c r="Y155">
        <f>HYPERLINK("https://klasma.github.io/Logging_0883/tillsynsmail/A 1764-2025 tillsynsbegäran mail.docx", "A 1764-2025")</f>
        <v/>
      </c>
    </row>
    <row r="156" ht="15" customHeight="1">
      <c r="A156" t="inlineStr">
        <is>
          <t>A 2340-2025</t>
        </is>
      </c>
      <c r="B156" s="1" t="n">
        <v>45673</v>
      </c>
      <c r="C156" s="1" t="n">
        <v>45842</v>
      </c>
      <c r="D156" t="inlineStr">
        <is>
          <t>KALMAR LÄN</t>
        </is>
      </c>
      <c r="E156" t="inlineStr">
        <is>
          <t>VÄSTERVIK</t>
        </is>
      </c>
      <c r="G156" t="n">
        <v>3.5</v>
      </c>
      <c r="H156" t="n">
        <v>3</v>
      </c>
      <c r="I156" t="n">
        <v>0</v>
      </c>
      <c r="J156" t="n">
        <v>2</v>
      </c>
      <c r="K156" t="n">
        <v>0</v>
      </c>
      <c r="L156" t="n">
        <v>0</v>
      </c>
      <c r="M156" t="n">
        <v>0</v>
      </c>
      <c r="N156" t="n">
        <v>0</v>
      </c>
      <c r="O156" t="n">
        <v>2</v>
      </c>
      <c r="P156" t="n">
        <v>0</v>
      </c>
      <c r="Q156" t="n">
        <v>3</v>
      </c>
      <c r="R156" s="2" t="inlineStr">
        <is>
          <t>Spillkråka
Talltita
Kungsfågel</t>
        </is>
      </c>
      <c r="S156">
        <f>HYPERLINK("https://klasma.github.io/Logging_0883/artfynd/A 2340-2025 artfynd.xlsx", "A 2340-2025")</f>
        <v/>
      </c>
      <c r="T156">
        <f>HYPERLINK("https://klasma.github.io/Logging_0883/kartor/A 2340-2025 karta.png", "A 2340-2025")</f>
        <v/>
      </c>
      <c r="U156">
        <f>HYPERLINK("https://klasma.github.io/Logging_0883/knärot/A 2340-2025 karta knärot.png", "A 2340-2025")</f>
        <v/>
      </c>
      <c r="V156">
        <f>HYPERLINK("https://klasma.github.io/Logging_0883/klagomål/A 2340-2025 FSC-klagomål.docx", "A 2340-2025")</f>
        <v/>
      </c>
      <c r="W156">
        <f>HYPERLINK("https://klasma.github.io/Logging_0883/klagomålsmail/A 2340-2025 FSC-klagomål mail.docx", "A 2340-2025")</f>
        <v/>
      </c>
      <c r="X156">
        <f>HYPERLINK("https://klasma.github.io/Logging_0883/tillsyn/A 2340-2025 tillsynsbegäran.docx", "A 2340-2025")</f>
        <v/>
      </c>
      <c r="Y156">
        <f>HYPERLINK("https://klasma.github.io/Logging_0883/tillsynsmail/A 2340-2025 tillsynsbegäran mail.docx", "A 2340-2025")</f>
        <v/>
      </c>
      <c r="Z156">
        <f>HYPERLINK("https://klasma.github.io/Logging_0883/fåglar/A 2340-2025 prioriterade fågelarter.docx", "A 2340-2025")</f>
        <v/>
      </c>
    </row>
    <row r="157" ht="15" customHeight="1">
      <c r="A157" t="inlineStr">
        <is>
          <t>A 4454-2025</t>
        </is>
      </c>
      <c r="B157" s="1" t="n">
        <v>45686</v>
      </c>
      <c r="C157" s="1" t="n">
        <v>45842</v>
      </c>
      <c r="D157" t="inlineStr">
        <is>
          <t>KALMAR LÄN</t>
        </is>
      </c>
      <c r="E157" t="inlineStr">
        <is>
          <t>VÄSTERVIK</t>
        </is>
      </c>
      <c r="G157" t="n">
        <v>1</v>
      </c>
      <c r="H157" t="n">
        <v>2</v>
      </c>
      <c r="I157" t="n">
        <v>1</v>
      </c>
      <c r="J157" t="n">
        <v>0</v>
      </c>
      <c r="K157" t="n">
        <v>1</v>
      </c>
      <c r="L157" t="n">
        <v>0</v>
      </c>
      <c r="M157" t="n">
        <v>0</v>
      </c>
      <c r="N157" t="n">
        <v>0</v>
      </c>
      <c r="O157" t="n">
        <v>1</v>
      </c>
      <c r="P157" t="n">
        <v>1</v>
      </c>
      <c r="Q157" t="n">
        <v>3</v>
      </c>
      <c r="R157" s="2" t="inlineStr">
        <is>
          <t>Knärot
Grönpyrola
Kungsfågel</t>
        </is>
      </c>
      <c r="S157">
        <f>HYPERLINK("https://klasma.github.io/Logging_0883/artfynd/A 4454-2025 artfynd.xlsx", "A 4454-2025")</f>
        <v/>
      </c>
      <c r="T157">
        <f>HYPERLINK("https://klasma.github.io/Logging_0883/kartor/A 4454-2025 karta.png", "A 4454-2025")</f>
        <v/>
      </c>
      <c r="U157">
        <f>HYPERLINK("https://klasma.github.io/Logging_0883/knärot/A 4454-2025 karta knärot.png", "A 4454-2025")</f>
        <v/>
      </c>
      <c r="V157">
        <f>HYPERLINK("https://klasma.github.io/Logging_0883/klagomål/A 4454-2025 FSC-klagomål.docx", "A 4454-2025")</f>
        <v/>
      </c>
      <c r="W157">
        <f>HYPERLINK("https://klasma.github.io/Logging_0883/klagomålsmail/A 4454-2025 FSC-klagomål mail.docx", "A 4454-2025")</f>
        <v/>
      </c>
      <c r="X157">
        <f>HYPERLINK("https://klasma.github.io/Logging_0883/tillsyn/A 4454-2025 tillsynsbegäran.docx", "A 4454-2025")</f>
        <v/>
      </c>
      <c r="Y157">
        <f>HYPERLINK("https://klasma.github.io/Logging_0883/tillsynsmail/A 4454-2025 tillsynsbegäran mail.docx", "A 4454-2025")</f>
        <v/>
      </c>
      <c r="Z157">
        <f>HYPERLINK("https://klasma.github.io/Logging_0883/fåglar/A 4454-2025 prioriterade fågelarter.docx", "A 4454-2025")</f>
        <v/>
      </c>
    </row>
    <row r="158" ht="15" customHeight="1">
      <c r="A158" t="inlineStr">
        <is>
          <t>A 7832-2025</t>
        </is>
      </c>
      <c r="B158" s="1" t="n">
        <v>45706</v>
      </c>
      <c r="C158" s="1" t="n">
        <v>45842</v>
      </c>
      <c r="D158" t="inlineStr">
        <is>
          <t>KALMAR LÄN</t>
        </is>
      </c>
      <c r="E158" t="inlineStr">
        <is>
          <t>VÄSTERVIK</t>
        </is>
      </c>
      <c r="G158" t="n">
        <v>5.5</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HYPERLINK("https://klasma.github.io/Logging_0883/artfynd/A 7832-2025 artfynd.xlsx", "A 7832-2025")</f>
        <v/>
      </c>
      <c r="T158">
        <f>HYPERLINK("https://klasma.github.io/Logging_0883/kartor/A 7832-2025 karta.png", "A 7832-2025")</f>
        <v/>
      </c>
      <c r="U158">
        <f>HYPERLINK("https://klasma.github.io/Logging_0883/knärot/A 7832-2025 karta knärot.png", "A 7832-2025")</f>
        <v/>
      </c>
      <c r="V158">
        <f>HYPERLINK("https://klasma.github.io/Logging_0883/klagomål/A 7832-2025 FSC-klagomål.docx", "A 7832-2025")</f>
        <v/>
      </c>
      <c r="W158">
        <f>HYPERLINK("https://klasma.github.io/Logging_0883/klagomålsmail/A 7832-2025 FSC-klagomål mail.docx", "A 7832-2025")</f>
        <v/>
      </c>
      <c r="X158">
        <f>HYPERLINK("https://klasma.github.io/Logging_0883/tillsyn/A 7832-2025 tillsynsbegäran.docx", "A 7832-2025")</f>
        <v/>
      </c>
      <c r="Y158">
        <f>HYPERLINK("https://klasma.github.io/Logging_0883/tillsynsmail/A 7832-2025 tillsynsbegäran mail.docx", "A 7832-2025")</f>
        <v/>
      </c>
      <c r="Z158">
        <f>HYPERLINK("https://klasma.github.io/Logging_0883/fåglar/A 7832-2025 prioriterade fågelarter.docx", "A 7832-2025")</f>
        <v/>
      </c>
    </row>
    <row r="159" ht="15" customHeight="1">
      <c r="A159" t="inlineStr">
        <is>
          <t>A 13956-2025</t>
        </is>
      </c>
      <c r="B159" s="1" t="n">
        <v>45737</v>
      </c>
      <c r="C159" s="1" t="n">
        <v>45842</v>
      </c>
      <c r="D159" t="inlineStr">
        <is>
          <t>KALMAR LÄN</t>
        </is>
      </c>
      <c r="E159" t="inlineStr">
        <is>
          <t>VÄSTERVIK</t>
        </is>
      </c>
      <c r="G159" t="n">
        <v>2.5</v>
      </c>
      <c r="H159" t="n">
        <v>2</v>
      </c>
      <c r="I159" t="n">
        <v>1</v>
      </c>
      <c r="J159" t="n">
        <v>1</v>
      </c>
      <c r="K159" t="n">
        <v>1</v>
      </c>
      <c r="L159" t="n">
        <v>0</v>
      </c>
      <c r="M159" t="n">
        <v>0</v>
      </c>
      <c r="N159" t="n">
        <v>0</v>
      </c>
      <c r="O159" t="n">
        <v>2</v>
      </c>
      <c r="P159" t="n">
        <v>1</v>
      </c>
      <c r="Q159" t="n">
        <v>3</v>
      </c>
      <c r="R159" s="2" t="inlineStr">
        <is>
          <t>Knärot
Mindre hackspett
Grönpyrola</t>
        </is>
      </c>
      <c r="S159">
        <f>HYPERLINK("https://klasma.github.io/Logging_080883/artfynd/A 13956-2025 artfynd.xlsx", "A 13956-2025")</f>
        <v/>
      </c>
      <c r="T159">
        <f>HYPERLINK("https://klasma.github.io/Logging_080883/kartor/A 13956-2025 karta.png", "A 13956-2025")</f>
        <v/>
      </c>
      <c r="U159">
        <f>HYPERLINK("https://klasma.github.io/Logging_080883/knärot/A 13956-2025 karta knärot.png", "A 13956-2025")</f>
        <v/>
      </c>
      <c r="V159">
        <f>HYPERLINK("https://klasma.github.io/Logging_080883/klagomål/A 13956-2025 FSC-klagomål.docx", "A 13956-2025")</f>
        <v/>
      </c>
      <c r="W159">
        <f>HYPERLINK("https://klasma.github.io/Logging_080883/klagomålsmail/A 13956-2025 FSC-klagomål mail.docx", "A 13956-2025")</f>
        <v/>
      </c>
      <c r="X159">
        <f>HYPERLINK("https://klasma.github.io/Logging_080883/tillsyn/A 13956-2025 tillsynsbegäran.docx", "A 13956-2025")</f>
        <v/>
      </c>
      <c r="Y159">
        <f>HYPERLINK("https://klasma.github.io/Logging_080883/tillsynsmail/A 13956-2025 tillsynsbegäran mail.docx", "A 13956-2025")</f>
        <v/>
      </c>
      <c r="Z159">
        <f>HYPERLINK("https://klasma.github.io/Logging_080883/fåglar/A 13956-2025 prioriterade fågelarter.docx", "A 13956-2025")</f>
        <v/>
      </c>
    </row>
    <row r="160" ht="15" customHeight="1">
      <c r="A160" t="inlineStr">
        <is>
          <t>A 17954-2025</t>
        </is>
      </c>
      <c r="B160" s="1" t="n">
        <v>45760</v>
      </c>
      <c r="C160" s="1" t="n">
        <v>45842</v>
      </c>
      <c r="D160" t="inlineStr">
        <is>
          <t>KALMAR LÄN</t>
        </is>
      </c>
      <c r="E160" t="inlineStr">
        <is>
          <t>VÄSTERVIK</t>
        </is>
      </c>
      <c r="G160" t="n">
        <v>2.9</v>
      </c>
      <c r="H160" t="n">
        <v>2</v>
      </c>
      <c r="I160" t="n">
        <v>1</v>
      </c>
      <c r="J160" t="n">
        <v>1</v>
      </c>
      <c r="K160" t="n">
        <v>0</v>
      </c>
      <c r="L160" t="n">
        <v>0</v>
      </c>
      <c r="M160" t="n">
        <v>0</v>
      </c>
      <c r="N160" t="n">
        <v>0</v>
      </c>
      <c r="O160" t="n">
        <v>1</v>
      </c>
      <c r="P160" t="n">
        <v>0</v>
      </c>
      <c r="Q160" t="n">
        <v>3</v>
      </c>
      <c r="R160" s="2" t="inlineStr">
        <is>
          <t>Talltita
Blåmossa
Tjäder</t>
        </is>
      </c>
      <c r="S160">
        <f>HYPERLINK("https://klasma.github.io/Logging_080883/artfynd/A 17954-2025 artfynd.xlsx", "A 17954-2025")</f>
        <v/>
      </c>
      <c r="T160">
        <f>HYPERLINK("https://klasma.github.io/Logging_080883/kartor/A 17954-2025 karta.png", "A 17954-2025")</f>
        <v/>
      </c>
      <c r="V160">
        <f>HYPERLINK("https://klasma.github.io/Logging_080883/klagomål/A 17954-2025 FSC-klagomål.docx", "A 17954-2025")</f>
        <v/>
      </c>
      <c r="W160">
        <f>HYPERLINK("https://klasma.github.io/Logging_080883/klagomålsmail/A 17954-2025 FSC-klagomål mail.docx", "A 17954-2025")</f>
        <v/>
      </c>
      <c r="X160">
        <f>HYPERLINK("https://klasma.github.io/Logging_080883/tillsyn/A 17954-2025 tillsynsbegäran.docx", "A 17954-2025")</f>
        <v/>
      </c>
      <c r="Y160">
        <f>HYPERLINK("https://klasma.github.io/Logging_080883/tillsynsmail/A 17954-2025 tillsynsbegäran mail.docx", "A 17954-2025")</f>
        <v/>
      </c>
      <c r="Z160">
        <f>HYPERLINK("https://klasma.github.io/Logging_080883/fåglar/A 17954-2025 prioriterade fågelarter.docx", "A 17954-2025")</f>
        <v/>
      </c>
    </row>
    <row r="161" ht="15" customHeight="1">
      <c r="A161" t="inlineStr">
        <is>
          <t>A 21084-2025</t>
        </is>
      </c>
      <c r="B161" s="1" t="n">
        <v>45777</v>
      </c>
      <c r="C161" s="1" t="n">
        <v>45842</v>
      </c>
      <c r="D161" t="inlineStr">
        <is>
          <t>KALMAR LÄN</t>
        </is>
      </c>
      <c r="E161" t="inlineStr">
        <is>
          <t>VÄSTERVIK</t>
        </is>
      </c>
      <c r="G161" t="n">
        <v>0.8</v>
      </c>
      <c r="H161" t="n">
        <v>2</v>
      </c>
      <c r="I161" t="n">
        <v>1</v>
      </c>
      <c r="J161" t="n">
        <v>2</v>
      </c>
      <c r="K161" t="n">
        <v>0</v>
      </c>
      <c r="L161" t="n">
        <v>0</v>
      </c>
      <c r="M161" t="n">
        <v>0</v>
      </c>
      <c r="N161" t="n">
        <v>0</v>
      </c>
      <c r="O161" t="n">
        <v>2</v>
      </c>
      <c r="P161" t="n">
        <v>0</v>
      </c>
      <c r="Q161" t="n">
        <v>3</v>
      </c>
      <c r="R161" s="2" t="inlineStr">
        <is>
          <t>Spillkråka
Talltita
Grönpyrola</t>
        </is>
      </c>
      <c r="S161">
        <f>HYPERLINK("https://klasma.github.io/Logging_080883/artfynd/A 21084-2025 artfynd.xlsx", "A 21084-2025")</f>
        <v/>
      </c>
      <c r="T161">
        <f>HYPERLINK("https://klasma.github.io/Logging_080883/kartor/A 21084-2025 karta.png", "A 21084-2025")</f>
        <v/>
      </c>
      <c r="V161">
        <f>HYPERLINK("https://klasma.github.io/Logging_080883/klagomål/A 21084-2025 FSC-klagomål.docx", "A 21084-2025")</f>
        <v/>
      </c>
      <c r="W161">
        <f>HYPERLINK("https://klasma.github.io/Logging_080883/klagomålsmail/A 21084-2025 FSC-klagomål mail.docx", "A 21084-2025")</f>
        <v/>
      </c>
      <c r="X161">
        <f>HYPERLINK("https://klasma.github.io/Logging_080883/tillsyn/A 21084-2025 tillsynsbegäran.docx", "A 21084-2025")</f>
        <v/>
      </c>
      <c r="Y161">
        <f>HYPERLINK("https://klasma.github.io/Logging_080883/tillsynsmail/A 21084-2025 tillsynsbegäran mail.docx", "A 21084-2025")</f>
        <v/>
      </c>
      <c r="Z161">
        <f>HYPERLINK("https://klasma.github.io/Logging_080883/fåglar/A 21084-2025 prioriterade fågelarter.docx", "A 21084-2025")</f>
        <v/>
      </c>
    </row>
    <row r="162" ht="15" customHeight="1">
      <c r="A162" t="inlineStr">
        <is>
          <t>A 62128-2019</t>
        </is>
      </c>
      <c r="B162" s="1" t="n">
        <v>43782</v>
      </c>
      <c r="C162" s="1" t="n">
        <v>45842</v>
      </c>
      <c r="D162" t="inlineStr">
        <is>
          <t>KALMAR LÄN</t>
        </is>
      </c>
      <c r="E162" t="inlineStr">
        <is>
          <t>VÄSTERVIK</t>
        </is>
      </c>
      <c r="G162" t="n">
        <v>7.5</v>
      </c>
      <c r="H162" t="n">
        <v>0</v>
      </c>
      <c r="I162" t="n">
        <v>1</v>
      </c>
      <c r="J162" t="n">
        <v>1</v>
      </c>
      <c r="K162" t="n">
        <v>0</v>
      </c>
      <c r="L162" t="n">
        <v>0</v>
      </c>
      <c r="M162" t="n">
        <v>0</v>
      </c>
      <c r="N162" t="n">
        <v>0</v>
      </c>
      <c r="O162" t="n">
        <v>1</v>
      </c>
      <c r="P162" t="n">
        <v>0</v>
      </c>
      <c r="Q162" t="n">
        <v>2</v>
      </c>
      <c r="R162" s="2" t="inlineStr">
        <is>
          <t>Ullticka
Kattfotslav</t>
        </is>
      </c>
      <c r="S162">
        <f>HYPERLINK("https://klasma.github.io/Logging_0883/artfynd/A 62128-2019 artfynd.xlsx", "A 62128-2019")</f>
        <v/>
      </c>
      <c r="T162">
        <f>HYPERLINK("https://klasma.github.io/Logging_0883/kartor/A 62128-2019 karta.png", "A 62128-2019")</f>
        <v/>
      </c>
      <c r="V162">
        <f>HYPERLINK("https://klasma.github.io/Logging_0883/klagomål/A 62128-2019 FSC-klagomål.docx", "A 62128-2019")</f>
        <v/>
      </c>
      <c r="W162">
        <f>HYPERLINK("https://klasma.github.io/Logging_0883/klagomålsmail/A 62128-2019 FSC-klagomål mail.docx", "A 62128-2019")</f>
        <v/>
      </c>
      <c r="X162">
        <f>HYPERLINK("https://klasma.github.io/Logging_0883/tillsyn/A 62128-2019 tillsynsbegäran.docx", "A 62128-2019")</f>
        <v/>
      </c>
      <c r="Y162">
        <f>HYPERLINK("https://klasma.github.io/Logging_0883/tillsynsmail/A 62128-2019 tillsynsbegäran mail.docx", "A 62128-2019")</f>
        <v/>
      </c>
    </row>
    <row r="163" ht="15" customHeight="1">
      <c r="A163" t="inlineStr">
        <is>
          <t>A 56180-2020</t>
        </is>
      </c>
      <c r="B163" s="1" t="n">
        <v>44133</v>
      </c>
      <c r="C163" s="1" t="n">
        <v>45842</v>
      </c>
      <c r="D163" t="inlineStr">
        <is>
          <t>KALMAR LÄN</t>
        </is>
      </c>
      <c r="E163" t="inlineStr">
        <is>
          <t>VÄSTERVIK</t>
        </is>
      </c>
      <c r="G163" t="n">
        <v>9.199999999999999</v>
      </c>
      <c r="H163" t="n">
        <v>2</v>
      </c>
      <c r="I163" t="n">
        <v>0</v>
      </c>
      <c r="J163" t="n">
        <v>0</v>
      </c>
      <c r="K163" t="n">
        <v>1</v>
      </c>
      <c r="L163" t="n">
        <v>0</v>
      </c>
      <c r="M163" t="n">
        <v>0</v>
      </c>
      <c r="N163" t="n">
        <v>0</v>
      </c>
      <c r="O163" t="n">
        <v>1</v>
      </c>
      <c r="P163" t="n">
        <v>1</v>
      </c>
      <c r="Q163" t="n">
        <v>2</v>
      </c>
      <c r="R163" s="2" t="inlineStr">
        <is>
          <t>Hasselsnok
Mattlummer</t>
        </is>
      </c>
      <c r="S163">
        <f>HYPERLINK("https://klasma.github.io/Logging_0883/artfynd/A 56180-2020 artfynd.xlsx", "A 56180-2020")</f>
        <v/>
      </c>
      <c r="T163">
        <f>HYPERLINK("https://klasma.github.io/Logging_0883/kartor/A 56180-2020 karta.png", "A 56180-2020")</f>
        <v/>
      </c>
      <c r="V163">
        <f>HYPERLINK("https://klasma.github.io/Logging_0883/klagomål/A 56180-2020 FSC-klagomål.docx", "A 56180-2020")</f>
        <v/>
      </c>
      <c r="W163">
        <f>HYPERLINK("https://klasma.github.io/Logging_0883/klagomålsmail/A 56180-2020 FSC-klagomål mail.docx", "A 56180-2020")</f>
        <v/>
      </c>
      <c r="X163">
        <f>HYPERLINK("https://klasma.github.io/Logging_0883/tillsyn/A 56180-2020 tillsynsbegäran.docx", "A 56180-2020")</f>
        <v/>
      </c>
      <c r="Y163">
        <f>HYPERLINK("https://klasma.github.io/Logging_0883/tillsynsmail/A 56180-2020 tillsynsbegäran mail.docx", "A 56180-2020")</f>
        <v/>
      </c>
    </row>
    <row r="164" ht="15" customHeight="1">
      <c r="A164" t="inlineStr">
        <is>
          <t>A 1955-2021</t>
        </is>
      </c>
      <c r="B164" s="1" t="n">
        <v>44210</v>
      </c>
      <c r="C164" s="1" t="n">
        <v>45842</v>
      </c>
      <c r="D164" t="inlineStr">
        <is>
          <t>KALMAR LÄN</t>
        </is>
      </c>
      <c r="E164" t="inlineStr">
        <is>
          <t>VÄSTERVIK</t>
        </is>
      </c>
      <c r="G164" t="n">
        <v>5.3</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1955-2021 artfynd.xlsx", "A 1955-2021")</f>
        <v/>
      </c>
      <c r="T164">
        <f>HYPERLINK("https://klasma.github.io/Logging_0883/kartor/A 1955-2021 karta.png", "A 1955-2021")</f>
        <v/>
      </c>
      <c r="V164">
        <f>HYPERLINK("https://klasma.github.io/Logging_0883/klagomål/A 1955-2021 FSC-klagomål.docx", "A 1955-2021")</f>
        <v/>
      </c>
      <c r="W164">
        <f>HYPERLINK("https://klasma.github.io/Logging_0883/klagomålsmail/A 1955-2021 FSC-klagomål mail.docx", "A 1955-2021")</f>
        <v/>
      </c>
      <c r="X164">
        <f>HYPERLINK("https://klasma.github.io/Logging_0883/tillsyn/A 1955-2021 tillsynsbegäran.docx", "A 1955-2021")</f>
        <v/>
      </c>
      <c r="Y164">
        <f>HYPERLINK("https://klasma.github.io/Logging_0883/tillsynsmail/A 1955-2021 tillsynsbegäran mail.docx", "A 1955-2021")</f>
        <v/>
      </c>
      <c r="Z164">
        <f>HYPERLINK("https://klasma.github.io/Logging_0883/fåglar/A 1955-2021 prioriterade fågelarter.docx", "A 1955-2021")</f>
        <v/>
      </c>
    </row>
    <row r="165" ht="15" customHeight="1">
      <c r="A165" t="inlineStr">
        <is>
          <t>A 21665-2021</t>
        </is>
      </c>
      <c r="B165" s="1" t="n">
        <v>44322</v>
      </c>
      <c r="C165" s="1" t="n">
        <v>45842</v>
      </c>
      <c r="D165" t="inlineStr">
        <is>
          <t>KALMAR LÄN</t>
        </is>
      </c>
      <c r="E165" t="inlineStr">
        <is>
          <t>VÄSTERVIK</t>
        </is>
      </c>
      <c r="G165" t="n">
        <v>18.9</v>
      </c>
      <c r="H165" t="n">
        <v>0</v>
      </c>
      <c r="I165" t="n">
        <v>0</v>
      </c>
      <c r="J165" t="n">
        <v>2</v>
      </c>
      <c r="K165" t="n">
        <v>0</v>
      </c>
      <c r="L165" t="n">
        <v>0</v>
      </c>
      <c r="M165" t="n">
        <v>0</v>
      </c>
      <c r="N165" t="n">
        <v>0</v>
      </c>
      <c r="O165" t="n">
        <v>2</v>
      </c>
      <c r="P165" t="n">
        <v>0</v>
      </c>
      <c r="Q165" t="n">
        <v>2</v>
      </c>
      <c r="R165" s="2" t="inlineStr">
        <is>
          <t>Klubbsprötad bastardsvärmare
Smalsprötad bastardsvärmare</t>
        </is>
      </c>
      <c r="S165">
        <f>HYPERLINK("https://klasma.github.io/Logging_0883/artfynd/A 21665-2021 artfynd.xlsx", "A 21665-2021")</f>
        <v/>
      </c>
      <c r="T165">
        <f>HYPERLINK("https://klasma.github.io/Logging_0883/kartor/A 21665-2021 karta.png", "A 21665-2021")</f>
        <v/>
      </c>
      <c r="V165">
        <f>HYPERLINK("https://klasma.github.io/Logging_0883/klagomål/A 21665-2021 FSC-klagomål.docx", "A 21665-2021")</f>
        <v/>
      </c>
      <c r="W165">
        <f>HYPERLINK("https://klasma.github.io/Logging_0883/klagomålsmail/A 21665-2021 FSC-klagomål mail.docx", "A 21665-2021")</f>
        <v/>
      </c>
      <c r="X165">
        <f>HYPERLINK("https://klasma.github.io/Logging_0883/tillsyn/A 21665-2021 tillsynsbegäran.docx", "A 21665-2021")</f>
        <v/>
      </c>
      <c r="Y165">
        <f>HYPERLINK("https://klasma.github.io/Logging_0883/tillsynsmail/A 21665-2021 tillsynsbegäran mail.docx", "A 21665-2021")</f>
        <v/>
      </c>
    </row>
    <row r="166" ht="15" customHeight="1">
      <c r="A166" t="inlineStr">
        <is>
          <t>A 25439-2021</t>
        </is>
      </c>
      <c r="B166" s="1" t="n">
        <v>44342</v>
      </c>
      <c r="C166" s="1" t="n">
        <v>45842</v>
      </c>
      <c r="D166" t="inlineStr">
        <is>
          <t>KALMAR LÄN</t>
        </is>
      </c>
      <c r="E166" t="inlineStr">
        <is>
          <t>VÄSTERVIK</t>
        </is>
      </c>
      <c r="F166" t="inlineStr">
        <is>
          <t>Holmen skog AB</t>
        </is>
      </c>
      <c r="G166" t="n">
        <v>2.4</v>
      </c>
      <c r="H166" t="n">
        <v>2</v>
      </c>
      <c r="I166" t="n">
        <v>1</v>
      </c>
      <c r="J166" t="n">
        <v>0</v>
      </c>
      <c r="K166" t="n">
        <v>0</v>
      </c>
      <c r="L166" t="n">
        <v>0</v>
      </c>
      <c r="M166" t="n">
        <v>0</v>
      </c>
      <c r="N166" t="n">
        <v>0</v>
      </c>
      <c r="O166" t="n">
        <v>0</v>
      </c>
      <c r="P166" t="n">
        <v>0</v>
      </c>
      <c r="Q166" t="n">
        <v>2</v>
      </c>
      <c r="R166" s="2" t="inlineStr">
        <is>
          <t>Grön sköldmossa
Röd glada</t>
        </is>
      </c>
      <c r="S166">
        <f>HYPERLINK("https://klasma.github.io/Logging_0883/artfynd/A 25439-2021 artfynd.xlsx", "A 25439-2021")</f>
        <v/>
      </c>
      <c r="T166">
        <f>HYPERLINK("https://klasma.github.io/Logging_0883/kartor/A 25439-2021 karta.png", "A 25439-2021")</f>
        <v/>
      </c>
      <c r="V166">
        <f>HYPERLINK("https://klasma.github.io/Logging_0883/klagomål/A 25439-2021 FSC-klagomål.docx", "A 25439-2021")</f>
        <v/>
      </c>
      <c r="W166">
        <f>HYPERLINK("https://klasma.github.io/Logging_0883/klagomålsmail/A 25439-2021 FSC-klagomål mail.docx", "A 25439-2021")</f>
        <v/>
      </c>
      <c r="X166">
        <f>HYPERLINK("https://klasma.github.io/Logging_0883/tillsyn/A 25439-2021 tillsynsbegäran.docx", "A 25439-2021")</f>
        <v/>
      </c>
      <c r="Y166">
        <f>HYPERLINK("https://klasma.github.io/Logging_0883/tillsynsmail/A 25439-2021 tillsynsbegäran mail.docx", "A 25439-2021")</f>
        <v/>
      </c>
      <c r="Z166">
        <f>HYPERLINK("https://klasma.github.io/Logging_0883/fåglar/A 25439-2021 prioriterade fågelarter.docx", "A 25439-2021")</f>
        <v/>
      </c>
    </row>
    <row r="167" ht="15" customHeight="1">
      <c r="A167" t="inlineStr">
        <is>
          <t>A 44667-2021</t>
        </is>
      </c>
      <c r="B167" s="1" t="n">
        <v>44438</v>
      </c>
      <c r="C167" s="1" t="n">
        <v>45842</v>
      </c>
      <c r="D167" t="inlineStr">
        <is>
          <t>KALMAR LÄN</t>
        </is>
      </c>
      <c r="E167" t="inlineStr">
        <is>
          <t>VÄSTERVIK</t>
        </is>
      </c>
      <c r="G167" t="n">
        <v>1.7</v>
      </c>
      <c r="H167" t="n">
        <v>1</v>
      </c>
      <c r="I167" t="n">
        <v>1</v>
      </c>
      <c r="J167" t="n">
        <v>1</v>
      </c>
      <c r="K167" t="n">
        <v>0</v>
      </c>
      <c r="L167" t="n">
        <v>0</v>
      </c>
      <c r="M167" t="n">
        <v>0</v>
      </c>
      <c r="N167" t="n">
        <v>0</v>
      </c>
      <c r="O167" t="n">
        <v>1</v>
      </c>
      <c r="P167" t="n">
        <v>0</v>
      </c>
      <c r="Q167" t="n">
        <v>2</v>
      </c>
      <c r="R167" s="2" t="inlineStr">
        <is>
          <t>Järpe
Fjällig taggsvamp s.str.</t>
        </is>
      </c>
      <c r="S167">
        <f>HYPERLINK("https://klasma.github.io/Logging_0883/artfynd/A 44667-2021 artfynd.xlsx", "A 44667-2021")</f>
        <v/>
      </c>
      <c r="T167">
        <f>HYPERLINK("https://klasma.github.io/Logging_0883/kartor/A 44667-2021 karta.png", "A 44667-2021")</f>
        <v/>
      </c>
      <c r="V167">
        <f>HYPERLINK("https://klasma.github.io/Logging_0883/klagomål/A 44667-2021 FSC-klagomål.docx", "A 44667-2021")</f>
        <v/>
      </c>
      <c r="W167">
        <f>HYPERLINK("https://klasma.github.io/Logging_0883/klagomålsmail/A 44667-2021 FSC-klagomål mail.docx", "A 44667-2021")</f>
        <v/>
      </c>
      <c r="X167">
        <f>HYPERLINK("https://klasma.github.io/Logging_0883/tillsyn/A 44667-2021 tillsynsbegäran.docx", "A 44667-2021")</f>
        <v/>
      </c>
      <c r="Y167">
        <f>HYPERLINK("https://klasma.github.io/Logging_0883/tillsynsmail/A 44667-2021 tillsynsbegäran mail.docx", "A 44667-2021")</f>
        <v/>
      </c>
      <c r="Z167">
        <f>HYPERLINK("https://klasma.github.io/Logging_0883/fåglar/A 44667-2021 prioriterade fågelarter.docx", "A 44667-2021")</f>
        <v/>
      </c>
    </row>
    <row r="168" ht="15" customHeight="1">
      <c r="A168" t="inlineStr">
        <is>
          <t>A 51833-2021</t>
        </is>
      </c>
      <c r="B168" s="1" t="n">
        <v>44462</v>
      </c>
      <c r="C168" s="1" t="n">
        <v>45842</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53769-2021</t>
        </is>
      </c>
      <c r="B169" s="1" t="n">
        <v>44467</v>
      </c>
      <c r="C169" s="1" t="n">
        <v>45842</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56616-2021</t>
        </is>
      </c>
      <c r="B170" s="1" t="n">
        <v>44480</v>
      </c>
      <c r="C170" s="1" t="n">
        <v>45842</v>
      </c>
      <c r="D170" t="inlineStr">
        <is>
          <t>KALMAR LÄN</t>
        </is>
      </c>
      <c r="E170" t="inlineStr">
        <is>
          <t>VÄSTERVIK</t>
        </is>
      </c>
      <c r="G170" t="n">
        <v>0.7</v>
      </c>
      <c r="H170" t="n">
        <v>0</v>
      </c>
      <c r="I170" t="n">
        <v>0</v>
      </c>
      <c r="J170" t="n">
        <v>2</v>
      </c>
      <c r="K170" t="n">
        <v>0</v>
      </c>
      <c r="L170" t="n">
        <v>0</v>
      </c>
      <c r="M170" t="n">
        <v>0</v>
      </c>
      <c r="N170" t="n">
        <v>0</v>
      </c>
      <c r="O170" t="n">
        <v>2</v>
      </c>
      <c r="P170" t="n">
        <v>0</v>
      </c>
      <c r="Q170" t="n">
        <v>2</v>
      </c>
      <c r="R170" s="2" t="inlineStr">
        <is>
          <t>Gullklöver
Vippärt</t>
        </is>
      </c>
      <c r="S170">
        <f>HYPERLINK("https://klasma.github.io/Logging_0883/artfynd/A 56616-2021 artfynd.xlsx", "A 56616-2021")</f>
        <v/>
      </c>
      <c r="T170">
        <f>HYPERLINK("https://klasma.github.io/Logging_0883/kartor/A 56616-2021 karta.png", "A 56616-2021")</f>
        <v/>
      </c>
      <c r="V170">
        <f>HYPERLINK("https://klasma.github.io/Logging_0883/klagomål/A 56616-2021 FSC-klagomål.docx", "A 56616-2021")</f>
        <v/>
      </c>
      <c r="W170">
        <f>HYPERLINK("https://klasma.github.io/Logging_0883/klagomålsmail/A 56616-2021 FSC-klagomål mail.docx", "A 56616-2021")</f>
        <v/>
      </c>
      <c r="X170">
        <f>HYPERLINK("https://klasma.github.io/Logging_0883/tillsyn/A 56616-2021 tillsynsbegäran.docx", "A 56616-2021")</f>
        <v/>
      </c>
      <c r="Y170">
        <f>HYPERLINK("https://klasma.github.io/Logging_0883/tillsynsmail/A 56616-2021 tillsynsbegäran mail.docx", "A 56616-2021")</f>
        <v/>
      </c>
    </row>
    <row r="171" ht="15" customHeight="1">
      <c r="A171" t="inlineStr">
        <is>
          <t>A 59940-2021</t>
        </is>
      </c>
      <c r="B171" s="1" t="n">
        <v>44494</v>
      </c>
      <c r="C171" s="1" t="n">
        <v>45842</v>
      </c>
      <c r="D171" t="inlineStr">
        <is>
          <t>KALMAR LÄN</t>
        </is>
      </c>
      <c r="E171" t="inlineStr">
        <is>
          <t>VÄSTERVIK</t>
        </is>
      </c>
      <c r="G171" t="n">
        <v>4.3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59940-2021 artfynd.xlsx", "A 59940-2021")</f>
        <v/>
      </c>
      <c r="T171">
        <f>HYPERLINK("https://klasma.github.io/Logging_0883/kartor/A 59940-2021 karta.png", "A 59940-2021")</f>
        <v/>
      </c>
      <c r="U171">
        <f>HYPERLINK("https://klasma.github.io/Logging_0883/knärot/A 59940-2021 karta knärot.png", "A 59940-2021")</f>
        <v/>
      </c>
      <c r="V171">
        <f>HYPERLINK("https://klasma.github.io/Logging_0883/klagomål/A 59940-2021 FSC-klagomål.docx", "A 59940-2021")</f>
        <v/>
      </c>
      <c r="W171">
        <f>HYPERLINK("https://klasma.github.io/Logging_0883/klagomålsmail/A 59940-2021 FSC-klagomål mail.docx", "A 59940-2021")</f>
        <v/>
      </c>
      <c r="X171">
        <f>HYPERLINK("https://klasma.github.io/Logging_0883/tillsyn/A 59940-2021 tillsynsbegäran.docx", "A 59940-2021")</f>
        <v/>
      </c>
      <c r="Y171">
        <f>HYPERLINK("https://klasma.github.io/Logging_0883/tillsynsmail/A 59940-2021 tillsynsbegäran mail.docx", "A 59940-2021")</f>
        <v/>
      </c>
    </row>
    <row r="172" ht="15" customHeight="1">
      <c r="A172" t="inlineStr">
        <is>
          <t>A 72945-2021</t>
        </is>
      </c>
      <c r="B172" s="1" t="n">
        <v>44547</v>
      </c>
      <c r="C172" s="1" t="n">
        <v>45842</v>
      </c>
      <c r="D172" t="inlineStr">
        <is>
          <t>KALMAR LÄN</t>
        </is>
      </c>
      <c r="E172" t="inlineStr">
        <is>
          <t>VÄSTERVIK</t>
        </is>
      </c>
      <c r="G172" t="n">
        <v>1.6</v>
      </c>
      <c r="H172" t="n">
        <v>0</v>
      </c>
      <c r="I172" t="n">
        <v>1</v>
      </c>
      <c r="J172" t="n">
        <v>1</v>
      </c>
      <c r="K172" t="n">
        <v>0</v>
      </c>
      <c r="L172" t="n">
        <v>0</v>
      </c>
      <c r="M172" t="n">
        <v>0</v>
      </c>
      <c r="N172" t="n">
        <v>0</v>
      </c>
      <c r="O172" t="n">
        <v>1</v>
      </c>
      <c r="P172" t="n">
        <v>0</v>
      </c>
      <c r="Q172" t="n">
        <v>2</v>
      </c>
      <c r="R172" s="2" t="inlineStr">
        <is>
          <t>Veckticka
Rävticka</t>
        </is>
      </c>
      <c r="S172">
        <f>HYPERLINK("https://klasma.github.io/Logging_0883/artfynd/A 72945-2021 artfynd.xlsx", "A 72945-2021")</f>
        <v/>
      </c>
      <c r="T172">
        <f>HYPERLINK("https://klasma.github.io/Logging_0883/kartor/A 72945-2021 karta.png", "A 72945-2021")</f>
        <v/>
      </c>
      <c r="V172">
        <f>HYPERLINK("https://klasma.github.io/Logging_0883/klagomål/A 72945-2021 FSC-klagomål.docx", "A 72945-2021")</f>
        <v/>
      </c>
      <c r="W172">
        <f>HYPERLINK("https://klasma.github.io/Logging_0883/klagomålsmail/A 72945-2021 FSC-klagomål mail.docx", "A 72945-2021")</f>
        <v/>
      </c>
      <c r="X172">
        <f>HYPERLINK("https://klasma.github.io/Logging_0883/tillsyn/A 72945-2021 tillsynsbegäran.docx", "A 72945-2021")</f>
        <v/>
      </c>
      <c r="Y172">
        <f>HYPERLINK("https://klasma.github.io/Logging_0883/tillsynsmail/A 72945-2021 tillsynsbegäran mail.docx", "A 72945-2021")</f>
        <v/>
      </c>
    </row>
    <row r="173" ht="15" customHeight="1">
      <c r="A173" t="inlineStr">
        <is>
          <t>A 14927-2022</t>
        </is>
      </c>
      <c r="B173" s="1" t="n">
        <v>44657</v>
      </c>
      <c r="C173" s="1" t="n">
        <v>45842</v>
      </c>
      <c r="D173" t="inlineStr">
        <is>
          <t>KALMAR LÄN</t>
        </is>
      </c>
      <c r="E173" t="inlineStr">
        <is>
          <t>VÄSTERVIK</t>
        </is>
      </c>
      <c r="F173" t="inlineStr">
        <is>
          <t>Holmen skog AB</t>
        </is>
      </c>
      <c r="G173" t="n">
        <v>1.1</v>
      </c>
      <c r="H173" t="n">
        <v>2</v>
      </c>
      <c r="I173" t="n">
        <v>1</v>
      </c>
      <c r="J173" t="n">
        <v>0</v>
      </c>
      <c r="K173" t="n">
        <v>0</v>
      </c>
      <c r="L173" t="n">
        <v>0</v>
      </c>
      <c r="M173" t="n">
        <v>0</v>
      </c>
      <c r="N173" t="n">
        <v>0</v>
      </c>
      <c r="O173" t="n">
        <v>0</v>
      </c>
      <c r="P173" t="n">
        <v>0</v>
      </c>
      <c r="Q173" t="n">
        <v>2</v>
      </c>
      <c r="R173" s="2" t="inlineStr">
        <is>
          <t>Ekoxe
Revlummer</t>
        </is>
      </c>
      <c r="S173">
        <f>HYPERLINK("https://klasma.github.io/Logging_0883/artfynd/A 14927-2022 artfynd.xlsx", "A 14927-2022")</f>
        <v/>
      </c>
      <c r="T173">
        <f>HYPERLINK("https://klasma.github.io/Logging_0883/kartor/A 14927-2022 karta.png", "A 14927-2022")</f>
        <v/>
      </c>
      <c r="V173">
        <f>HYPERLINK("https://klasma.github.io/Logging_0883/klagomål/A 14927-2022 FSC-klagomål.docx", "A 14927-2022")</f>
        <v/>
      </c>
      <c r="W173">
        <f>HYPERLINK("https://klasma.github.io/Logging_0883/klagomålsmail/A 14927-2022 FSC-klagomål mail.docx", "A 14927-2022")</f>
        <v/>
      </c>
      <c r="X173">
        <f>HYPERLINK("https://klasma.github.io/Logging_0883/tillsyn/A 14927-2022 tillsynsbegäran.docx", "A 14927-2022")</f>
        <v/>
      </c>
      <c r="Y173">
        <f>HYPERLINK("https://klasma.github.io/Logging_0883/tillsynsmail/A 14927-2022 tillsynsbegäran mail.docx", "A 14927-2022")</f>
        <v/>
      </c>
    </row>
    <row r="174" ht="15" customHeight="1">
      <c r="A174" t="inlineStr">
        <is>
          <t>A 21024-2022</t>
        </is>
      </c>
      <c r="B174" s="1" t="n">
        <v>44704</v>
      </c>
      <c r="C174" s="1" t="n">
        <v>45842</v>
      </c>
      <c r="D174" t="inlineStr">
        <is>
          <t>KALMAR LÄN</t>
        </is>
      </c>
      <c r="E174" t="inlineStr">
        <is>
          <t>VÄSTERVIK</t>
        </is>
      </c>
      <c r="F174" t="inlineStr">
        <is>
          <t>Sveaskog</t>
        </is>
      </c>
      <c r="G174" t="n">
        <v>4.4</v>
      </c>
      <c r="H174" t="n">
        <v>0</v>
      </c>
      <c r="I174" t="n">
        <v>2</v>
      </c>
      <c r="J174" t="n">
        <v>0</v>
      </c>
      <c r="K174" t="n">
        <v>0</v>
      </c>
      <c r="L174" t="n">
        <v>0</v>
      </c>
      <c r="M174" t="n">
        <v>0</v>
      </c>
      <c r="N174" t="n">
        <v>0</v>
      </c>
      <c r="O174" t="n">
        <v>0</v>
      </c>
      <c r="P174" t="n">
        <v>0</v>
      </c>
      <c r="Q174" t="n">
        <v>2</v>
      </c>
      <c r="R174" s="2" t="inlineStr">
        <is>
          <t>Skogsbräsma
Vätteros</t>
        </is>
      </c>
      <c r="S174">
        <f>HYPERLINK("https://klasma.github.io/Logging_0883/artfynd/A 21024-2022 artfynd.xlsx", "A 21024-2022")</f>
        <v/>
      </c>
      <c r="T174">
        <f>HYPERLINK("https://klasma.github.io/Logging_0883/kartor/A 21024-2022 karta.png", "A 21024-2022")</f>
        <v/>
      </c>
      <c r="V174">
        <f>HYPERLINK("https://klasma.github.io/Logging_0883/klagomål/A 21024-2022 FSC-klagomål.docx", "A 21024-2022")</f>
        <v/>
      </c>
      <c r="W174">
        <f>HYPERLINK("https://klasma.github.io/Logging_0883/klagomålsmail/A 21024-2022 FSC-klagomål mail.docx", "A 21024-2022")</f>
        <v/>
      </c>
      <c r="X174">
        <f>HYPERLINK("https://klasma.github.io/Logging_0883/tillsyn/A 21024-2022 tillsynsbegäran.docx", "A 21024-2022")</f>
        <v/>
      </c>
      <c r="Y174">
        <f>HYPERLINK("https://klasma.github.io/Logging_0883/tillsynsmail/A 21024-2022 tillsynsbegäran mail.docx", "A 21024-2022")</f>
        <v/>
      </c>
    </row>
    <row r="175" ht="15" customHeight="1">
      <c r="A175" t="inlineStr">
        <is>
          <t>A 25145-2022</t>
        </is>
      </c>
      <c r="B175" s="1" t="n">
        <v>44729</v>
      </c>
      <c r="C175" s="1" t="n">
        <v>45842</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38373-2022</t>
        </is>
      </c>
      <c r="B176" s="1" t="n">
        <v>44812</v>
      </c>
      <c r="C176" s="1" t="n">
        <v>45842</v>
      </c>
      <c r="D176" t="inlineStr">
        <is>
          <t>KALMAR LÄN</t>
        </is>
      </c>
      <c r="E176" t="inlineStr">
        <is>
          <t>VÄSTERVIK</t>
        </is>
      </c>
      <c r="G176" t="n">
        <v>3.1</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38373-2022 artfynd.xlsx", "A 38373-2022")</f>
        <v/>
      </c>
      <c r="T176">
        <f>HYPERLINK("https://klasma.github.io/Logging_0883/kartor/A 38373-2022 karta.png", "A 38373-2022")</f>
        <v/>
      </c>
      <c r="U176">
        <f>HYPERLINK("https://klasma.github.io/Logging_0883/knärot/A 38373-2022 karta knärot.png", "A 38373-2022")</f>
        <v/>
      </c>
      <c r="V176">
        <f>HYPERLINK("https://klasma.github.io/Logging_0883/klagomål/A 38373-2022 FSC-klagomål.docx", "A 38373-2022")</f>
        <v/>
      </c>
      <c r="W176">
        <f>HYPERLINK("https://klasma.github.io/Logging_0883/klagomålsmail/A 38373-2022 FSC-klagomål mail.docx", "A 38373-2022")</f>
        <v/>
      </c>
      <c r="X176">
        <f>HYPERLINK("https://klasma.github.io/Logging_0883/tillsyn/A 38373-2022 tillsynsbegäran.docx", "A 38373-2022")</f>
        <v/>
      </c>
      <c r="Y176">
        <f>HYPERLINK("https://klasma.github.io/Logging_0883/tillsynsmail/A 38373-2022 tillsynsbegäran mail.docx", "A 38373-2022")</f>
        <v/>
      </c>
    </row>
    <row r="177" ht="15" customHeight="1">
      <c r="A177" t="inlineStr">
        <is>
          <t>A 46552-2022</t>
        </is>
      </c>
      <c r="B177" s="1" t="n">
        <v>44848</v>
      </c>
      <c r="C177" s="1" t="n">
        <v>45842</v>
      </c>
      <c r="D177" t="inlineStr">
        <is>
          <t>KALMAR LÄN</t>
        </is>
      </c>
      <c r="E177" t="inlineStr">
        <is>
          <t>VÄSTERVIK</t>
        </is>
      </c>
      <c r="F177" t="inlineStr">
        <is>
          <t>Sveaskog</t>
        </is>
      </c>
      <c r="G177" t="n">
        <v>1.7</v>
      </c>
      <c r="H177" t="n">
        <v>0</v>
      </c>
      <c r="I177" t="n">
        <v>1</v>
      </c>
      <c r="J177" t="n">
        <v>1</v>
      </c>
      <c r="K177" t="n">
        <v>0</v>
      </c>
      <c r="L177" t="n">
        <v>0</v>
      </c>
      <c r="M177" t="n">
        <v>0</v>
      </c>
      <c r="N177" t="n">
        <v>0</v>
      </c>
      <c r="O177" t="n">
        <v>1</v>
      </c>
      <c r="P177" t="n">
        <v>0</v>
      </c>
      <c r="Q177" t="n">
        <v>2</v>
      </c>
      <c r="R177" s="2" t="inlineStr">
        <is>
          <t>Motaggsvamp
Sårläka</t>
        </is>
      </c>
      <c r="S177">
        <f>HYPERLINK("https://klasma.github.io/Logging_0883/artfynd/A 46552-2022 artfynd.xlsx", "A 46552-2022")</f>
        <v/>
      </c>
      <c r="T177">
        <f>HYPERLINK("https://klasma.github.io/Logging_0883/kartor/A 46552-2022 karta.png", "A 46552-2022")</f>
        <v/>
      </c>
      <c r="V177">
        <f>HYPERLINK("https://klasma.github.io/Logging_0883/klagomål/A 46552-2022 FSC-klagomål.docx", "A 46552-2022")</f>
        <v/>
      </c>
      <c r="W177">
        <f>HYPERLINK("https://klasma.github.io/Logging_0883/klagomålsmail/A 46552-2022 FSC-klagomål mail.docx", "A 46552-2022")</f>
        <v/>
      </c>
      <c r="X177">
        <f>HYPERLINK("https://klasma.github.io/Logging_0883/tillsyn/A 46552-2022 tillsynsbegäran.docx", "A 46552-2022")</f>
        <v/>
      </c>
      <c r="Y177">
        <f>HYPERLINK("https://klasma.github.io/Logging_0883/tillsynsmail/A 46552-2022 tillsynsbegäran mail.docx", "A 46552-2022")</f>
        <v/>
      </c>
    </row>
    <row r="178" ht="15" customHeight="1">
      <c r="A178" t="inlineStr">
        <is>
          <t>A 46787-2022</t>
        </is>
      </c>
      <c r="B178" s="1" t="n">
        <v>44851</v>
      </c>
      <c r="C178" s="1" t="n">
        <v>45842</v>
      </c>
      <c r="D178" t="inlineStr">
        <is>
          <t>KALMAR LÄN</t>
        </is>
      </c>
      <c r="E178" t="inlineStr">
        <is>
          <t>VÄSTERVIK</t>
        </is>
      </c>
      <c r="G178" t="n">
        <v>4.4</v>
      </c>
      <c r="H178" t="n">
        <v>0</v>
      </c>
      <c r="I178" t="n">
        <v>0</v>
      </c>
      <c r="J178" t="n">
        <v>2</v>
      </c>
      <c r="K178" t="n">
        <v>0</v>
      </c>
      <c r="L178" t="n">
        <v>0</v>
      </c>
      <c r="M178" t="n">
        <v>0</v>
      </c>
      <c r="N178" t="n">
        <v>0</v>
      </c>
      <c r="O178" t="n">
        <v>2</v>
      </c>
      <c r="P178" t="n">
        <v>0</v>
      </c>
      <c r="Q178" t="n">
        <v>2</v>
      </c>
      <c r="R178" s="2" t="inlineStr">
        <is>
          <t>Motaggsvamp
Tallticka</t>
        </is>
      </c>
      <c r="S178">
        <f>HYPERLINK("https://klasma.github.io/Logging_0883/artfynd/A 46787-2022 artfynd.xlsx", "A 46787-2022")</f>
        <v/>
      </c>
      <c r="T178">
        <f>HYPERLINK("https://klasma.github.io/Logging_0883/kartor/A 46787-2022 karta.png", "A 46787-2022")</f>
        <v/>
      </c>
      <c r="V178">
        <f>HYPERLINK("https://klasma.github.io/Logging_0883/klagomål/A 46787-2022 FSC-klagomål.docx", "A 46787-2022")</f>
        <v/>
      </c>
      <c r="W178">
        <f>HYPERLINK("https://klasma.github.io/Logging_0883/klagomålsmail/A 46787-2022 FSC-klagomål mail.docx", "A 46787-2022")</f>
        <v/>
      </c>
      <c r="X178">
        <f>HYPERLINK("https://klasma.github.io/Logging_0883/tillsyn/A 46787-2022 tillsynsbegäran.docx", "A 46787-2022")</f>
        <v/>
      </c>
      <c r="Y178">
        <f>HYPERLINK("https://klasma.github.io/Logging_0883/tillsynsmail/A 46787-2022 tillsynsbegäran mail.docx", "A 46787-2022")</f>
        <v/>
      </c>
    </row>
    <row r="179" ht="15" customHeight="1">
      <c r="A179" t="inlineStr">
        <is>
          <t>A 50989-2022</t>
        </is>
      </c>
      <c r="B179" s="1" t="n">
        <v>44867</v>
      </c>
      <c r="C179" s="1" t="n">
        <v>45842</v>
      </c>
      <c r="D179" t="inlineStr">
        <is>
          <t>KALMAR LÄN</t>
        </is>
      </c>
      <c r="E179" t="inlineStr">
        <is>
          <t>VÄSTERVIK</t>
        </is>
      </c>
      <c r="G179" t="n">
        <v>2</v>
      </c>
      <c r="H179" t="n">
        <v>0</v>
      </c>
      <c r="I179" t="n">
        <v>2</v>
      </c>
      <c r="J179" t="n">
        <v>0</v>
      </c>
      <c r="K179" t="n">
        <v>0</v>
      </c>
      <c r="L179" t="n">
        <v>0</v>
      </c>
      <c r="M179" t="n">
        <v>0</v>
      </c>
      <c r="N179" t="n">
        <v>0</v>
      </c>
      <c r="O179" t="n">
        <v>0</v>
      </c>
      <c r="P179" t="n">
        <v>0</v>
      </c>
      <c r="Q179" t="n">
        <v>2</v>
      </c>
      <c r="R179" s="2" t="inlineStr">
        <is>
          <t>Blomkålssvamp
Vätteros</t>
        </is>
      </c>
      <c r="S179">
        <f>HYPERLINK("https://klasma.github.io/Logging_0883/artfynd/A 50989-2022 artfynd.xlsx", "A 50989-2022")</f>
        <v/>
      </c>
      <c r="T179">
        <f>HYPERLINK("https://klasma.github.io/Logging_0883/kartor/A 50989-2022 karta.png", "A 50989-2022")</f>
        <v/>
      </c>
      <c r="V179">
        <f>HYPERLINK("https://klasma.github.io/Logging_0883/klagomål/A 50989-2022 FSC-klagomål.docx", "A 50989-2022")</f>
        <v/>
      </c>
      <c r="W179">
        <f>HYPERLINK("https://klasma.github.io/Logging_0883/klagomålsmail/A 50989-2022 FSC-klagomål mail.docx", "A 50989-2022")</f>
        <v/>
      </c>
      <c r="X179">
        <f>HYPERLINK("https://klasma.github.io/Logging_0883/tillsyn/A 50989-2022 tillsynsbegäran.docx", "A 50989-2022")</f>
        <v/>
      </c>
      <c r="Y179">
        <f>HYPERLINK("https://klasma.github.io/Logging_0883/tillsynsmail/A 50989-2022 tillsynsbegäran mail.docx", "A 50989-2022")</f>
        <v/>
      </c>
    </row>
    <row r="180" ht="15" customHeight="1">
      <c r="A180" t="inlineStr">
        <is>
          <t>A 59231-2022</t>
        </is>
      </c>
      <c r="B180" s="1" t="n">
        <v>44904</v>
      </c>
      <c r="C180" s="1" t="n">
        <v>45842</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62003-2022</t>
        </is>
      </c>
      <c r="B181" s="1" t="n">
        <v>44918</v>
      </c>
      <c r="C181" s="1" t="n">
        <v>45842</v>
      </c>
      <c r="D181" t="inlineStr">
        <is>
          <t>KALMAR LÄN</t>
        </is>
      </c>
      <c r="E181" t="inlineStr">
        <is>
          <t>VÄSTERVIK</t>
        </is>
      </c>
      <c r="G181" t="n">
        <v>6.2</v>
      </c>
      <c r="H181" t="n">
        <v>1</v>
      </c>
      <c r="I181" t="n">
        <v>0</v>
      </c>
      <c r="J181" t="n">
        <v>1</v>
      </c>
      <c r="K181" t="n">
        <v>1</v>
      </c>
      <c r="L181" t="n">
        <v>0</v>
      </c>
      <c r="M181" t="n">
        <v>0</v>
      </c>
      <c r="N181" t="n">
        <v>0</v>
      </c>
      <c r="O181" t="n">
        <v>2</v>
      </c>
      <c r="P181" t="n">
        <v>1</v>
      </c>
      <c r="Q181" t="n">
        <v>2</v>
      </c>
      <c r="R181" s="2" t="inlineStr">
        <is>
          <t>Knärot
Linmåra/småsnärjmåra</t>
        </is>
      </c>
      <c r="S181">
        <f>HYPERLINK("https://klasma.github.io/Logging_0883/artfynd/A 62003-2022 artfynd.xlsx", "A 62003-2022")</f>
        <v/>
      </c>
      <c r="T181">
        <f>HYPERLINK("https://klasma.github.io/Logging_0883/kartor/A 62003-2022 karta.png", "A 62003-2022")</f>
        <v/>
      </c>
      <c r="U181">
        <f>HYPERLINK("https://klasma.github.io/Logging_0883/knärot/A 62003-2022 karta knärot.png", "A 62003-2022")</f>
        <v/>
      </c>
      <c r="V181">
        <f>HYPERLINK("https://klasma.github.io/Logging_0883/klagomål/A 62003-2022 FSC-klagomål.docx", "A 62003-2022")</f>
        <v/>
      </c>
      <c r="W181">
        <f>HYPERLINK("https://klasma.github.io/Logging_0883/klagomålsmail/A 62003-2022 FSC-klagomål mail.docx", "A 62003-2022")</f>
        <v/>
      </c>
      <c r="X181">
        <f>HYPERLINK("https://klasma.github.io/Logging_0883/tillsyn/A 62003-2022 tillsynsbegäran.docx", "A 62003-2022")</f>
        <v/>
      </c>
      <c r="Y181">
        <f>HYPERLINK("https://klasma.github.io/Logging_0883/tillsynsmail/A 62003-2022 tillsynsbegäran mail.docx", "A 62003-2022")</f>
        <v/>
      </c>
    </row>
    <row r="182" ht="15" customHeight="1">
      <c r="A182" t="inlineStr">
        <is>
          <t>A 765-2023</t>
        </is>
      </c>
      <c r="B182" s="1" t="n">
        <v>44931</v>
      </c>
      <c r="C182" s="1" t="n">
        <v>45842</v>
      </c>
      <c r="D182" t="inlineStr">
        <is>
          <t>KALMAR LÄN</t>
        </is>
      </c>
      <c r="E182" t="inlineStr">
        <is>
          <t>VÄSTERVIK</t>
        </is>
      </c>
      <c r="F182" t="inlineStr">
        <is>
          <t>Holmen skog AB</t>
        </is>
      </c>
      <c r="G182" t="n">
        <v>3.7</v>
      </c>
      <c r="H182" t="n">
        <v>1</v>
      </c>
      <c r="I182" t="n">
        <v>0</v>
      </c>
      <c r="J182" t="n">
        <v>2</v>
      </c>
      <c r="K182" t="n">
        <v>0</v>
      </c>
      <c r="L182" t="n">
        <v>0</v>
      </c>
      <c r="M182" t="n">
        <v>0</v>
      </c>
      <c r="N182" t="n">
        <v>0</v>
      </c>
      <c r="O182" t="n">
        <v>2</v>
      </c>
      <c r="P182" t="n">
        <v>0</v>
      </c>
      <c r="Q182" t="n">
        <v>2</v>
      </c>
      <c r="R182" s="2" t="inlineStr">
        <is>
          <t>Ekticka
Talltita</t>
        </is>
      </c>
      <c r="S182">
        <f>HYPERLINK("https://klasma.github.io/Logging_0883/artfynd/A 765-2023 artfynd.xlsx", "A 765-2023")</f>
        <v/>
      </c>
      <c r="T182">
        <f>HYPERLINK("https://klasma.github.io/Logging_0883/kartor/A 765-2023 karta.png", "A 765-2023")</f>
        <v/>
      </c>
      <c r="V182">
        <f>HYPERLINK("https://klasma.github.io/Logging_0883/klagomål/A 765-2023 FSC-klagomål.docx", "A 765-2023")</f>
        <v/>
      </c>
      <c r="W182">
        <f>HYPERLINK("https://klasma.github.io/Logging_0883/klagomålsmail/A 765-2023 FSC-klagomål mail.docx", "A 765-2023")</f>
        <v/>
      </c>
      <c r="X182">
        <f>HYPERLINK("https://klasma.github.io/Logging_0883/tillsyn/A 765-2023 tillsynsbegäran.docx", "A 765-2023")</f>
        <v/>
      </c>
      <c r="Y182">
        <f>HYPERLINK("https://klasma.github.io/Logging_0883/tillsynsmail/A 765-2023 tillsynsbegäran mail.docx", "A 765-2023")</f>
        <v/>
      </c>
      <c r="Z182">
        <f>HYPERLINK("https://klasma.github.io/Logging_0883/fåglar/A 765-2023 prioriterade fågelarter.docx", "A 765-2023")</f>
        <v/>
      </c>
    </row>
    <row r="183" ht="15" customHeight="1">
      <c r="A183" t="inlineStr">
        <is>
          <t>A 2097-2023</t>
        </is>
      </c>
      <c r="B183" s="1" t="n">
        <v>44939</v>
      </c>
      <c r="C183" s="1" t="n">
        <v>45842</v>
      </c>
      <c r="D183" t="inlineStr">
        <is>
          <t>KALMAR LÄN</t>
        </is>
      </c>
      <c r="E183" t="inlineStr">
        <is>
          <t>VÄSTERVIK</t>
        </is>
      </c>
      <c r="G183" t="n">
        <v>6.9</v>
      </c>
      <c r="H183" t="n">
        <v>1</v>
      </c>
      <c r="I183" t="n">
        <v>1</v>
      </c>
      <c r="J183" t="n">
        <v>0</v>
      </c>
      <c r="K183" t="n">
        <v>1</v>
      </c>
      <c r="L183" t="n">
        <v>0</v>
      </c>
      <c r="M183" t="n">
        <v>0</v>
      </c>
      <c r="N183" t="n">
        <v>0</v>
      </c>
      <c r="O183" t="n">
        <v>1</v>
      </c>
      <c r="P183" t="n">
        <v>1</v>
      </c>
      <c r="Q183" t="n">
        <v>2</v>
      </c>
      <c r="R183" s="2" t="inlineStr">
        <is>
          <t>Knärot
Grovticka</t>
        </is>
      </c>
      <c r="S183">
        <f>HYPERLINK("https://klasma.github.io/Logging_0883/artfynd/A 2097-2023 artfynd.xlsx", "A 2097-2023")</f>
        <v/>
      </c>
      <c r="T183">
        <f>HYPERLINK("https://klasma.github.io/Logging_0883/kartor/A 2097-2023 karta.png", "A 2097-2023")</f>
        <v/>
      </c>
      <c r="U183">
        <f>HYPERLINK("https://klasma.github.io/Logging_0883/knärot/A 2097-2023 karta knärot.png", "A 2097-2023")</f>
        <v/>
      </c>
      <c r="V183">
        <f>HYPERLINK("https://klasma.github.io/Logging_0883/klagomål/A 2097-2023 FSC-klagomål.docx", "A 2097-2023")</f>
        <v/>
      </c>
      <c r="W183">
        <f>HYPERLINK("https://klasma.github.io/Logging_0883/klagomålsmail/A 2097-2023 FSC-klagomål mail.docx", "A 2097-2023")</f>
        <v/>
      </c>
      <c r="X183">
        <f>HYPERLINK("https://klasma.github.io/Logging_0883/tillsyn/A 2097-2023 tillsynsbegäran.docx", "A 2097-2023")</f>
        <v/>
      </c>
      <c r="Y183">
        <f>HYPERLINK("https://klasma.github.io/Logging_0883/tillsynsmail/A 2097-2023 tillsynsbegäran mail.docx", "A 2097-2023")</f>
        <v/>
      </c>
    </row>
    <row r="184" ht="15" customHeight="1">
      <c r="A184" t="inlineStr">
        <is>
          <t>A 2515-2023</t>
        </is>
      </c>
      <c r="B184" s="1" t="n">
        <v>44943</v>
      </c>
      <c r="C184" s="1" t="n">
        <v>45842</v>
      </c>
      <c r="D184" t="inlineStr">
        <is>
          <t>KALMAR LÄN</t>
        </is>
      </c>
      <c r="E184" t="inlineStr">
        <is>
          <t>VÄSTERVIK</t>
        </is>
      </c>
      <c r="G184" t="n">
        <v>1.3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2515-2023 artfynd.xlsx", "A 2515-2023")</f>
        <v/>
      </c>
      <c r="T184">
        <f>HYPERLINK("https://klasma.github.io/Logging_0883/kartor/A 2515-2023 karta.png", "A 2515-2023")</f>
        <v/>
      </c>
      <c r="U184">
        <f>HYPERLINK("https://klasma.github.io/Logging_0883/knärot/A 2515-2023 karta knärot.png", "A 2515-2023")</f>
        <v/>
      </c>
      <c r="V184">
        <f>HYPERLINK("https://klasma.github.io/Logging_0883/klagomål/A 2515-2023 FSC-klagomål.docx", "A 2515-2023")</f>
        <v/>
      </c>
      <c r="W184">
        <f>HYPERLINK("https://klasma.github.io/Logging_0883/klagomålsmail/A 2515-2023 FSC-klagomål mail.docx", "A 2515-2023")</f>
        <v/>
      </c>
      <c r="X184">
        <f>HYPERLINK("https://klasma.github.io/Logging_0883/tillsyn/A 2515-2023 tillsynsbegäran.docx", "A 2515-2023")</f>
        <v/>
      </c>
      <c r="Y184">
        <f>HYPERLINK("https://klasma.github.io/Logging_0883/tillsynsmail/A 2515-2023 tillsynsbegäran mail.docx", "A 2515-2023")</f>
        <v/>
      </c>
    </row>
    <row r="185" ht="15" customHeight="1">
      <c r="A185" t="inlineStr">
        <is>
          <t>A 3173-2023</t>
        </is>
      </c>
      <c r="B185" s="1" t="n">
        <v>44946</v>
      </c>
      <c r="C185" s="1" t="n">
        <v>45842</v>
      </c>
      <c r="D185" t="inlineStr">
        <is>
          <t>KALMAR LÄN</t>
        </is>
      </c>
      <c r="E185" t="inlineStr">
        <is>
          <t>VÄSTERVIK</t>
        </is>
      </c>
      <c r="G185" t="n">
        <v>4</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3173-2023 artfynd.xlsx", "A 3173-2023")</f>
        <v/>
      </c>
      <c r="T185">
        <f>HYPERLINK("https://klasma.github.io/Logging_0883/kartor/A 3173-2023 karta.png", "A 3173-2023")</f>
        <v/>
      </c>
      <c r="U185">
        <f>HYPERLINK("https://klasma.github.io/Logging_0883/knärot/A 3173-2023 karta knärot.png", "A 3173-2023")</f>
        <v/>
      </c>
      <c r="V185">
        <f>HYPERLINK("https://klasma.github.io/Logging_0883/klagomål/A 3173-2023 FSC-klagomål.docx", "A 3173-2023")</f>
        <v/>
      </c>
      <c r="W185">
        <f>HYPERLINK("https://klasma.github.io/Logging_0883/klagomålsmail/A 3173-2023 FSC-klagomål mail.docx", "A 3173-2023")</f>
        <v/>
      </c>
      <c r="X185">
        <f>HYPERLINK("https://klasma.github.io/Logging_0883/tillsyn/A 3173-2023 tillsynsbegäran.docx", "A 3173-2023")</f>
        <v/>
      </c>
      <c r="Y185">
        <f>HYPERLINK("https://klasma.github.io/Logging_0883/tillsynsmail/A 3173-2023 tillsynsbegäran mail.docx", "A 3173-2023")</f>
        <v/>
      </c>
    </row>
    <row r="186" ht="15" customHeight="1">
      <c r="A186" t="inlineStr">
        <is>
          <t>A 9040-2023</t>
        </is>
      </c>
      <c r="B186" s="1" t="n">
        <v>44979</v>
      </c>
      <c r="C186" s="1" t="n">
        <v>45842</v>
      </c>
      <c r="D186" t="inlineStr">
        <is>
          <t>KALMAR LÄN</t>
        </is>
      </c>
      <c r="E186" t="inlineStr">
        <is>
          <t>VÄSTERVIK</t>
        </is>
      </c>
      <c r="G186" t="n">
        <v>5.1</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9040-2023 artfynd.xlsx", "A 9040-2023")</f>
        <v/>
      </c>
      <c r="T186">
        <f>HYPERLINK("https://klasma.github.io/Logging_0883/kartor/A 9040-2023 karta.png", "A 9040-2023")</f>
        <v/>
      </c>
      <c r="U186">
        <f>HYPERLINK("https://klasma.github.io/Logging_0883/knärot/A 9040-2023 karta knärot.png", "A 9040-2023")</f>
        <v/>
      </c>
      <c r="V186">
        <f>HYPERLINK("https://klasma.github.io/Logging_0883/klagomål/A 9040-2023 FSC-klagomål.docx", "A 9040-2023")</f>
        <v/>
      </c>
      <c r="W186">
        <f>HYPERLINK("https://klasma.github.io/Logging_0883/klagomålsmail/A 9040-2023 FSC-klagomål mail.docx", "A 9040-2023")</f>
        <v/>
      </c>
      <c r="X186">
        <f>HYPERLINK("https://klasma.github.io/Logging_0883/tillsyn/A 9040-2023 tillsynsbegäran.docx", "A 9040-2023")</f>
        <v/>
      </c>
      <c r="Y186">
        <f>HYPERLINK("https://klasma.github.io/Logging_0883/tillsynsmail/A 9040-2023 tillsynsbegäran mail.docx", "A 9040-2023")</f>
        <v/>
      </c>
    </row>
    <row r="187" ht="15" customHeight="1">
      <c r="A187" t="inlineStr">
        <is>
          <t>A 10806-2023</t>
        </is>
      </c>
      <c r="B187" s="1" t="n">
        <v>44989</v>
      </c>
      <c r="C187" s="1" t="n">
        <v>45842</v>
      </c>
      <c r="D187" t="inlineStr">
        <is>
          <t>KALMAR LÄN</t>
        </is>
      </c>
      <c r="E187" t="inlineStr">
        <is>
          <t>VÄSTERVIK</t>
        </is>
      </c>
      <c r="G187" t="n">
        <v>3</v>
      </c>
      <c r="H187" t="n">
        <v>2</v>
      </c>
      <c r="I187" t="n">
        <v>0</v>
      </c>
      <c r="J187" t="n">
        <v>0</v>
      </c>
      <c r="K187" t="n">
        <v>1</v>
      </c>
      <c r="L187" t="n">
        <v>0</v>
      </c>
      <c r="M187" t="n">
        <v>0</v>
      </c>
      <c r="N187" t="n">
        <v>0</v>
      </c>
      <c r="O187" t="n">
        <v>1</v>
      </c>
      <c r="P187" t="n">
        <v>1</v>
      </c>
      <c r="Q187" t="n">
        <v>2</v>
      </c>
      <c r="R187" s="2" t="inlineStr">
        <is>
          <t>Knärot
Revlummer</t>
        </is>
      </c>
      <c r="S187">
        <f>HYPERLINK("https://klasma.github.io/Logging_0883/artfynd/A 10806-2023 artfynd.xlsx", "A 10806-2023")</f>
        <v/>
      </c>
      <c r="T187">
        <f>HYPERLINK("https://klasma.github.io/Logging_0883/kartor/A 10806-2023 karta.png", "A 10806-2023")</f>
        <v/>
      </c>
      <c r="U187">
        <f>HYPERLINK("https://klasma.github.io/Logging_0883/knärot/A 10806-2023 karta knärot.png", "A 10806-2023")</f>
        <v/>
      </c>
      <c r="V187">
        <f>HYPERLINK("https://klasma.github.io/Logging_0883/klagomål/A 10806-2023 FSC-klagomål.docx", "A 10806-2023")</f>
        <v/>
      </c>
      <c r="W187">
        <f>HYPERLINK("https://klasma.github.io/Logging_0883/klagomålsmail/A 10806-2023 FSC-klagomål mail.docx", "A 10806-2023")</f>
        <v/>
      </c>
      <c r="X187">
        <f>HYPERLINK("https://klasma.github.io/Logging_0883/tillsyn/A 10806-2023 tillsynsbegäran.docx", "A 10806-2023")</f>
        <v/>
      </c>
      <c r="Y187">
        <f>HYPERLINK("https://klasma.github.io/Logging_0883/tillsynsmail/A 10806-2023 tillsynsbegäran mail.docx", "A 10806-2023")</f>
        <v/>
      </c>
    </row>
    <row r="188" ht="15" customHeight="1">
      <c r="A188" t="inlineStr">
        <is>
          <t>A 14301-2023</t>
        </is>
      </c>
      <c r="B188" s="1" t="n">
        <v>45011</v>
      </c>
      <c r="C188" s="1" t="n">
        <v>45842</v>
      </c>
      <c r="D188" t="inlineStr">
        <is>
          <t>KALMAR LÄN</t>
        </is>
      </c>
      <c r="E188" t="inlineStr">
        <is>
          <t>VÄSTERVIK</t>
        </is>
      </c>
      <c r="G188" t="n">
        <v>4.4</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14301-2023 artfynd.xlsx", "A 14301-2023")</f>
        <v/>
      </c>
      <c r="T188">
        <f>HYPERLINK("https://klasma.github.io/Logging_0883/kartor/A 14301-2023 karta.png", "A 14301-2023")</f>
        <v/>
      </c>
      <c r="U188">
        <f>HYPERLINK("https://klasma.github.io/Logging_0883/knärot/A 14301-2023 karta knärot.png", "A 14301-2023")</f>
        <v/>
      </c>
      <c r="V188">
        <f>HYPERLINK("https://klasma.github.io/Logging_0883/klagomål/A 14301-2023 FSC-klagomål.docx", "A 14301-2023")</f>
        <v/>
      </c>
      <c r="W188">
        <f>HYPERLINK("https://klasma.github.io/Logging_0883/klagomålsmail/A 14301-2023 FSC-klagomål mail.docx", "A 14301-2023")</f>
        <v/>
      </c>
      <c r="X188">
        <f>HYPERLINK("https://klasma.github.io/Logging_0883/tillsyn/A 14301-2023 tillsynsbegäran.docx", "A 14301-2023")</f>
        <v/>
      </c>
      <c r="Y188">
        <f>HYPERLINK("https://klasma.github.io/Logging_0883/tillsynsmail/A 14301-2023 tillsynsbegäran mail.docx", "A 14301-2023")</f>
        <v/>
      </c>
    </row>
    <row r="189" ht="15" customHeight="1">
      <c r="A189" t="inlineStr">
        <is>
          <t>A 25435-2023</t>
        </is>
      </c>
      <c r="B189" s="1" t="n">
        <v>45089</v>
      </c>
      <c r="C189" s="1" t="n">
        <v>45842</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32649-2023</t>
        </is>
      </c>
      <c r="B190" s="1" t="n">
        <v>45121</v>
      </c>
      <c r="C190" s="1" t="n">
        <v>45842</v>
      </c>
      <c r="D190" t="inlineStr">
        <is>
          <t>KALMAR LÄN</t>
        </is>
      </c>
      <c r="E190" t="inlineStr">
        <is>
          <t>VÄSTERVIK</t>
        </is>
      </c>
      <c r="G190" t="n">
        <v>1.7</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32649-2023 artfynd.xlsx", "A 32649-2023")</f>
        <v/>
      </c>
      <c r="T190">
        <f>HYPERLINK("https://klasma.github.io/Logging_0883/kartor/A 32649-2023 karta.png", "A 32649-2023")</f>
        <v/>
      </c>
      <c r="U190">
        <f>HYPERLINK("https://klasma.github.io/Logging_0883/knärot/A 32649-2023 karta knärot.png", "A 32649-2023")</f>
        <v/>
      </c>
      <c r="V190">
        <f>HYPERLINK("https://klasma.github.io/Logging_0883/klagomål/A 32649-2023 FSC-klagomål.docx", "A 32649-2023")</f>
        <v/>
      </c>
      <c r="W190">
        <f>HYPERLINK("https://klasma.github.io/Logging_0883/klagomålsmail/A 32649-2023 FSC-klagomål mail.docx", "A 32649-2023")</f>
        <v/>
      </c>
      <c r="X190">
        <f>HYPERLINK("https://klasma.github.io/Logging_0883/tillsyn/A 32649-2023 tillsynsbegäran.docx", "A 32649-2023")</f>
        <v/>
      </c>
      <c r="Y190">
        <f>HYPERLINK("https://klasma.github.io/Logging_0883/tillsynsmail/A 32649-2023 tillsynsbegäran mail.docx", "A 32649-2023")</f>
        <v/>
      </c>
    </row>
    <row r="191" ht="15" customHeight="1">
      <c r="A191" t="inlineStr">
        <is>
          <t>A 33824-2023</t>
        </is>
      </c>
      <c r="B191" s="1" t="n">
        <v>45133</v>
      </c>
      <c r="C191" s="1" t="n">
        <v>45842</v>
      </c>
      <c r="D191" t="inlineStr">
        <is>
          <t>KALMAR LÄN</t>
        </is>
      </c>
      <c r="E191" t="inlineStr">
        <is>
          <t>VÄSTERVIK</t>
        </is>
      </c>
      <c r="G191" t="n">
        <v>2</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33824-2023 artfynd.xlsx", "A 33824-2023")</f>
        <v/>
      </c>
      <c r="T191">
        <f>HYPERLINK("https://klasma.github.io/Logging_0883/kartor/A 33824-2023 karta.png", "A 33824-2023")</f>
        <v/>
      </c>
      <c r="U191">
        <f>HYPERLINK("https://klasma.github.io/Logging_0883/knärot/A 33824-2023 karta knärot.png", "A 33824-2023")</f>
        <v/>
      </c>
      <c r="V191">
        <f>HYPERLINK("https://klasma.github.io/Logging_0883/klagomål/A 33824-2023 FSC-klagomål.docx", "A 33824-2023")</f>
        <v/>
      </c>
      <c r="W191">
        <f>HYPERLINK("https://klasma.github.io/Logging_0883/klagomålsmail/A 33824-2023 FSC-klagomål mail.docx", "A 33824-2023")</f>
        <v/>
      </c>
      <c r="X191">
        <f>HYPERLINK("https://klasma.github.io/Logging_0883/tillsyn/A 33824-2023 tillsynsbegäran.docx", "A 33824-2023")</f>
        <v/>
      </c>
      <c r="Y191">
        <f>HYPERLINK("https://klasma.github.io/Logging_0883/tillsynsmail/A 33824-2023 tillsynsbegäran mail.docx", "A 33824-2023")</f>
        <v/>
      </c>
    </row>
    <row r="192" ht="15" customHeight="1">
      <c r="A192" t="inlineStr">
        <is>
          <t>A 33825-2023</t>
        </is>
      </c>
      <c r="B192" s="1" t="n">
        <v>45133</v>
      </c>
      <c r="C192" s="1" t="n">
        <v>45842</v>
      </c>
      <c r="D192" t="inlineStr">
        <is>
          <t>KALMAR LÄN</t>
        </is>
      </c>
      <c r="E192" t="inlineStr">
        <is>
          <t>VÄSTERVIK</t>
        </is>
      </c>
      <c r="G192" t="n">
        <v>2.2</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33825-2023 artfynd.xlsx", "A 33825-2023")</f>
        <v/>
      </c>
      <c r="T192">
        <f>HYPERLINK("https://klasma.github.io/Logging_0883/kartor/A 33825-2023 karta.png", "A 33825-2023")</f>
        <v/>
      </c>
      <c r="U192">
        <f>HYPERLINK("https://klasma.github.io/Logging_0883/knärot/A 33825-2023 karta knärot.png", "A 33825-2023")</f>
        <v/>
      </c>
      <c r="V192">
        <f>HYPERLINK("https://klasma.github.io/Logging_0883/klagomål/A 33825-2023 FSC-klagomål.docx", "A 33825-2023")</f>
        <v/>
      </c>
      <c r="W192">
        <f>HYPERLINK("https://klasma.github.io/Logging_0883/klagomålsmail/A 33825-2023 FSC-klagomål mail.docx", "A 33825-2023")</f>
        <v/>
      </c>
      <c r="X192">
        <f>HYPERLINK("https://klasma.github.io/Logging_0883/tillsyn/A 33825-2023 tillsynsbegäran.docx", "A 33825-2023")</f>
        <v/>
      </c>
      <c r="Y192">
        <f>HYPERLINK("https://klasma.github.io/Logging_0883/tillsynsmail/A 33825-2023 tillsynsbegäran mail.docx", "A 33825-2023")</f>
        <v/>
      </c>
      <c r="Z192">
        <f>HYPERLINK("https://klasma.github.io/Logging_0883/fåglar/A 33825-2023 prioriterade fågelarter.docx", "A 33825-2023")</f>
        <v/>
      </c>
    </row>
    <row r="193" ht="15" customHeight="1">
      <c r="A193" t="inlineStr">
        <is>
          <t>A 34120-2023</t>
        </is>
      </c>
      <c r="B193" s="1" t="n">
        <v>45135</v>
      </c>
      <c r="C193" s="1" t="n">
        <v>45842</v>
      </c>
      <c r="D193" t="inlineStr">
        <is>
          <t>KALMAR LÄN</t>
        </is>
      </c>
      <c r="E193" t="inlineStr">
        <is>
          <t>VÄSTERVIK</t>
        </is>
      </c>
      <c r="G193" t="n">
        <v>2.1</v>
      </c>
      <c r="H193" t="n">
        <v>1</v>
      </c>
      <c r="I193" t="n">
        <v>1</v>
      </c>
      <c r="J193" t="n">
        <v>0</v>
      </c>
      <c r="K193" t="n">
        <v>1</v>
      </c>
      <c r="L193" t="n">
        <v>0</v>
      </c>
      <c r="M193" t="n">
        <v>0</v>
      </c>
      <c r="N193" t="n">
        <v>0</v>
      </c>
      <c r="O193" t="n">
        <v>1</v>
      </c>
      <c r="P193" t="n">
        <v>1</v>
      </c>
      <c r="Q193" t="n">
        <v>2</v>
      </c>
      <c r="R193" s="2" t="inlineStr">
        <is>
          <t>Knärot
Blodticka</t>
        </is>
      </c>
      <c r="S193">
        <f>HYPERLINK("https://klasma.github.io/Logging_0883/artfynd/A 34120-2023 artfynd.xlsx", "A 34120-2023")</f>
        <v/>
      </c>
      <c r="T193">
        <f>HYPERLINK("https://klasma.github.io/Logging_0883/kartor/A 34120-2023 karta.png", "A 34120-2023")</f>
        <v/>
      </c>
      <c r="U193">
        <f>HYPERLINK("https://klasma.github.io/Logging_0883/knärot/A 34120-2023 karta knärot.png", "A 34120-2023")</f>
        <v/>
      </c>
      <c r="V193">
        <f>HYPERLINK("https://klasma.github.io/Logging_0883/klagomål/A 34120-2023 FSC-klagomål.docx", "A 34120-2023")</f>
        <v/>
      </c>
      <c r="W193">
        <f>HYPERLINK("https://klasma.github.io/Logging_0883/klagomålsmail/A 34120-2023 FSC-klagomål mail.docx", "A 34120-2023")</f>
        <v/>
      </c>
      <c r="X193">
        <f>HYPERLINK("https://klasma.github.io/Logging_0883/tillsyn/A 34120-2023 tillsynsbegäran.docx", "A 34120-2023")</f>
        <v/>
      </c>
      <c r="Y193">
        <f>HYPERLINK("https://klasma.github.io/Logging_0883/tillsynsmail/A 34120-2023 tillsynsbegäran mail.docx", "A 34120-2023")</f>
        <v/>
      </c>
    </row>
    <row r="194" ht="15" customHeight="1">
      <c r="A194" t="inlineStr">
        <is>
          <t>A 34119-2023</t>
        </is>
      </c>
      <c r="B194" s="1" t="n">
        <v>45135</v>
      </c>
      <c r="C194" s="1" t="n">
        <v>45842</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Blomkålssvamp</t>
        </is>
      </c>
      <c r="S194">
        <f>HYPERLINK("https://klasma.github.io/Logging_0883/artfynd/A 34119-2023 artfynd.xlsx", "A 34119-2023")</f>
        <v/>
      </c>
      <c r="T194">
        <f>HYPERLINK("https://klasma.github.io/Logging_0883/kartor/A 34119-2023 karta.png", "A 34119-2023")</f>
        <v/>
      </c>
      <c r="U194">
        <f>HYPERLINK("https://klasma.github.io/Logging_0883/knärot/A 34119-2023 karta knärot.png", "A 34119-2023")</f>
        <v/>
      </c>
      <c r="V194">
        <f>HYPERLINK("https://klasma.github.io/Logging_0883/klagomål/A 34119-2023 FSC-klagomål.docx", "A 34119-2023")</f>
        <v/>
      </c>
      <c r="W194">
        <f>HYPERLINK("https://klasma.github.io/Logging_0883/klagomålsmail/A 34119-2023 FSC-klagomål mail.docx", "A 34119-2023")</f>
        <v/>
      </c>
      <c r="X194">
        <f>HYPERLINK("https://klasma.github.io/Logging_0883/tillsyn/A 34119-2023 tillsynsbegäran.docx", "A 34119-2023")</f>
        <v/>
      </c>
      <c r="Y194">
        <f>HYPERLINK("https://klasma.github.io/Logging_0883/tillsynsmail/A 34119-2023 tillsynsbegäran mail.docx", "A 34119-2023")</f>
        <v/>
      </c>
    </row>
    <row r="195" ht="15" customHeight="1">
      <c r="A195" t="inlineStr">
        <is>
          <t>A 38036-2023</t>
        </is>
      </c>
      <c r="B195" s="1" t="n">
        <v>45160</v>
      </c>
      <c r="C195" s="1" t="n">
        <v>45842</v>
      </c>
      <c r="D195" t="inlineStr">
        <is>
          <t>KALMAR LÄN</t>
        </is>
      </c>
      <c r="E195" t="inlineStr">
        <is>
          <t>VÄSTERVIK</t>
        </is>
      </c>
      <c r="F195" t="inlineStr">
        <is>
          <t>Sveaskog</t>
        </is>
      </c>
      <c r="G195" t="n">
        <v>4.2</v>
      </c>
      <c r="H195" t="n">
        <v>2</v>
      </c>
      <c r="I195" t="n">
        <v>0</v>
      </c>
      <c r="J195" t="n">
        <v>2</v>
      </c>
      <c r="K195" t="n">
        <v>0</v>
      </c>
      <c r="L195" t="n">
        <v>0</v>
      </c>
      <c r="M195" t="n">
        <v>0</v>
      </c>
      <c r="N195" t="n">
        <v>0</v>
      </c>
      <c r="O195" t="n">
        <v>2</v>
      </c>
      <c r="P195" t="n">
        <v>0</v>
      </c>
      <c r="Q195" t="n">
        <v>2</v>
      </c>
      <c r="R195" s="2" t="inlineStr">
        <is>
          <t>Barbastell
Nordfladdermus</t>
        </is>
      </c>
      <c r="S195">
        <f>HYPERLINK("https://klasma.github.io/Logging_0883/artfynd/A 38036-2023 artfynd.xlsx", "A 38036-2023")</f>
        <v/>
      </c>
      <c r="T195">
        <f>HYPERLINK("https://klasma.github.io/Logging_0883/kartor/A 38036-2023 karta.png", "A 38036-2023")</f>
        <v/>
      </c>
      <c r="V195">
        <f>HYPERLINK("https://klasma.github.io/Logging_0883/klagomål/A 38036-2023 FSC-klagomål.docx", "A 38036-2023")</f>
        <v/>
      </c>
      <c r="W195">
        <f>HYPERLINK("https://klasma.github.io/Logging_0883/klagomålsmail/A 38036-2023 FSC-klagomål mail.docx", "A 38036-2023")</f>
        <v/>
      </c>
      <c r="X195">
        <f>HYPERLINK("https://klasma.github.io/Logging_0883/tillsyn/A 38036-2023 tillsynsbegäran.docx", "A 38036-2023")</f>
        <v/>
      </c>
      <c r="Y195">
        <f>HYPERLINK("https://klasma.github.io/Logging_0883/tillsynsmail/A 38036-2023 tillsynsbegäran mail.docx", "A 38036-2023")</f>
        <v/>
      </c>
    </row>
    <row r="196" ht="15" customHeight="1">
      <c r="A196" t="inlineStr">
        <is>
          <t>A 46089-2023</t>
        </is>
      </c>
      <c r="B196" s="1" t="n">
        <v>45196</v>
      </c>
      <c r="C196" s="1" t="n">
        <v>45842</v>
      </c>
      <c r="D196" t="inlineStr">
        <is>
          <t>KALMAR LÄN</t>
        </is>
      </c>
      <c r="E196" t="inlineStr">
        <is>
          <t>VÄSTERVIK</t>
        </is>
      </c>
      <c r="F196" t="inlineStr">
        <is>
          <t>Sveaskog</t>
        </is>
      </c>
      <c r="G196" t="n">
        <v>1.1</v>
      </c>
      <c r="H196" t="n">
        <v>1</v>
      </c>
      <c r="I196" t="n">
        <v>1</v>
      </c>
      <c r="J196" t="n">
        <v>0</v>
      </c>
      <c r="K196" t="n">
        <v>0</v>
      </c>
      <c r="L196" t="n">
        <v>0</v>
      </c>
      <c r="M196" t="n">
        <v>0</v>
      </c>
      <c r="N196" t="n">
        <v>0</v>
      </c>
      <c r="O196" t="n">
        <v>0</v>
      </c>
      <c r="P196" t="n">
        <v>0</v>
      </c>
      <c r="Q196" t="n">
        <v>2</v>
      </c>
      <c r="R196" s="2" t="inlineStr">
        <is>
          <t>Fällmossa
Blåsippa</t>
        </is>
      </c>
      <c r="S196">
        <f>HYPERLINK("https://klasma.github.io/Logging_0883/artfynd/A 46089-2023 artfynd.xlsx", "A 46089-2023")</f>
        <v/>
      </c>
      <c r="T196">
        <f>HYPERLINK("https://klasma.github.io/Logging_0883/kartor/A 46089-2023 karta.png", "A 46089-2023")</f>
        <v/>
      </c>
      <c r="V196">
        <f>HYPERLINK("https://klasma.github.io/Logging_0883/klagomål/A 46089-2023 FSC-klagomål.docx", "A 46089-2023")</f>
        <v/>
      </c>
      <c r="W196">
        <f>HYPERLINK("https://klasma.github.io/Logging_0883/klagomålsmail/A 46089-2023 FSC-klagomål mail.docx", "A 46089-2023")</f>
        <v/>
      </c>
      <c r="X196">
        <f>HYPERLINK("https://klasma.github.io/Logging_0883/tillsyn/A 46089-2023 tillsynsbegäran.docx", "A 46089-2023")</f>
        <v/>
      </c>
      <c r="Y196">
        <f>HYPERLINK("https://klasma.github.io/Logging_0883/tillsynsmail/A 46089-2023 tillsynsbegäran mail.docx", "A 46089-2023")</f>
        <v/>
      </c>
    </row>
    <row r="197" ht="15" customHeight="1">
      <c r="A197" t="inlineStr">
        <is>
          <t>A 47935-2023</t>
        </is>
      </c>
      <c r="B197" s="1" t="n">
        <v>45204</v>
      </c>
      <c r="C197" s="1" t="n">
        <v>45842</v>
      </c>
      <c r="D197" t="inlineStr">
        <is>
          <t>KALMAR LÄN</t>
        </is>
      </c>
      <c r="E197" t="inlineStr">
        <is>
          <t>VÄSTERVIK</t>
        </is>
      </c>
      <c r="G197" t="n">
        <v>4.3</v>
      </c>
      <c r="H197" t="n">
        <v>0</v>
      </c>
      <c r="I197" t="n">
        <v>1</v>
      </c>
      <c r="J197" t="n">
        <v>1</v>
      </c>
      <c r="K197" t="n">
        <v>0</v>
      </c>
      <c r="L197" t="n">
        <v>0</v>
      </c>
      <c r="M197" t="n">
        <v>0</v>
      </c>
      <c r="N197" t="n">
        <v>0</v>
      </c>
      <c r="O197" t="n">
        <v>1</v>
      </c>
      <c r="P197" t="n">
        <v>0</v>
      </c>
      <c r="Q197" t="n">
        <v>2</v>
      </c>
      <c r="R197" s="2" t="inlineStr">
        <is>
          <t>Tallticka
Blåmossa</t>
        </is>
      </c>
      <c r="S197">
        <f>HYPERLINK("https://klasma.github.io/Logging_0883/artfynd/A 47935-2023 artfynd.xlsx", "A 47935-2023")</f>
        <v/>
      </c>
      <c r="T197">
        <f>HYPERLINK("https://klasma.github.io/Logging_0883/kartor/A 47935-2023 karta.png", "A 47935-2023")</f>
        <v/>
      </c>
      <c r="V197">
        <f>HYPERLINK("https://klasma.github.io/Logging_0883/klagomål/A 47935-2023 FSC-klagomål.docx", "A 47935-2023")</f>
        <v/>
      </c>
      <c r="W197">
        <f>HYPERLINK("https://klasma.github.io/Logging_0883/klagomålsmail/A 47935-2023 FSC-klagomål mail.docx", "A 47935-2023")</f>
        <v/>
      </c>
      <c r="X197">
        <f>HYPERLINK("https://klasma.github.io/Logging_0883/tillsyn/A 47935-2023 tillsynsbegäran.docx", "A 47935-2023")</f>
        <v/>
      </c>
      <c r="Y197">
        <f>HYPERLINK("https://klasma.github.io/Logging_0883/tillsynsmail/A 47935-2023 tillsynsbegäran mail.docx", "A 47935-2023")</f>
        <v/>
      </c>
    </row>
    <row r="198" ht="15" customHeight="1">
      <c r="A198" t="inlineStr">
        <is>
          <t>A 54360-2023</t>
        </is>
      </c>
      <c r="B198" s="1" t="n">
        <v>45233</v>
      </c>
      <c r="C198" s="1" t="n">
        <v>45842</v>
      </c>
      <c r="D198" t="inlineStr">
        <is>
          <t>KALMAR LÄN</t>
        </is>
      </c>
      <c r="E198" t="inlineStr">
        <is>
          <t>VÄSTERVIK</t>
        </is>
      </c>
      <c r="F198" t="inlineStr">
        <is>
          <t>Sveaskog</t>
        </is>
      </c>
      <c r="G198" t="n">
        <v>8.5</v>
      </c>
      <c r="H198" t="n">
        <v>1</v>
      </c>
      <c r="I198" t="n">
        <v>0</v>
      </c>
      <c r="J198" t="n">
        <v>1</v>
      </c>
      <c r="K198" t="n">
        <v>0</v>
      </c>
      <c r="L198" t="n">
        <v>0</v>
      </c>
      <c r="M198" t="n">
        <v>0</v>
      </c>
      <c r="N198" t="n">
        <v>0</v>
      </c>
      <c r="O198" t="n">
        <v>1</v>
      </c>
      <c r="P198" t="n">
        <v>0</v>
      </c>
      <c r="Q198" t="n">
        <v>2</v>
      </c>
      <c r="R198" s="2" t="inlineStr">
        <is>
          <t>Spindelört
Mattlummer</t>
        </is>
      </c>
      <c r="S198">
        <f>HYPERLINK("https://klasma.github.io/Logging_0883/artfynd/A 54360-2023 artfynd.xlsx", "A 54360-2023")</f>
        <v/>
      </c>
      <c r="T198">
        <f>HYPERLINK("https://klasma.github.io/Logging_0883/kartor/A 54360-2023 karta.png", "A 54360-2023")</f>
        <v/>
      </c>
      <c r="V198">
        <f>HYPERLINK("https://klasma.github.io/Logging_0883/klagomål/A 54360-2023 FSC-klagomål.docx", "A 54360-2023")</f>
        <v/>
      </c>
      <c r="W198">
        <f>HYPERLINK("https://klasma.github.io/Logging_0883/klagomålsmail/A 54360-2023 FSC-klagomål mail.docx", "A 54360-2023")</f>
        <v/>
      </c>
      <c r="X198">
        <f>HYPERLINK("https://klasma.github.io/Logging_0883/tillsyn/A 54360-2023 tillsynsbegäran.docx", "A 54360-2023")</f>
        <v/>
      </c>
      <c r="Y198">
        <f>HYPERLINK("https://klasma.github.io/Logging_0883/tillsynsmail/A 54360-2023 tillsynsbegäran mail.docx", "A 54360-2023")</f>
        <v/>
      </c>
    </row>
    <row r="199" ht="15" customHeight="1">
      <c r="A199" t="inlineStr">
        <is>
          <t>A 54800-2023</t>
        </is>
      </c>
      <c r="B199" s="1" t="n">
        <v>45236</v>
      </c>
      <c r="C199" s="1" t="n">
        <v>45842</v>
      </c>
      <c r="D199" t="inlineStr">
        <is>
          <t>KALMAR LÄN</t>
        </is>
      </c>
      <c r="E199" t="inlineStr">
        <is>
          <t>VÄSTERVIK</t>
        </is>
      </c>
      <c r="G199" t="n">
        <v>0.7</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54800-2023 artfynd.xlsx", "A 54800-2023")</f>
        <v/>
      </c>
      <c r="T199">
        <f>HYPERLINK("https://klasma.github.io/Logging_0883/kartor/A 54800-2023 karta.png", "A 54800-2023")</f>
        <v/>
      </c>
      <c r="U199">
        <f>HYPERLINK("https://klasma.github.io/Logging_0883/knärot/A 54800-2023 karta knärot.png", "A 54800-2023")</f>
        <v/>
      </c>
      <c r="V199">
        <f>HYPERLINK("https://klasma.github.io/Logging_0883/klagomål/A 54800-2023 FSC-klagomål.docx", "A 54800-2023")</f>
        <v/>
      </c>
      <c r="W199">
        <f>HYPERLINK("https://klasma.github.io/Logging_0883/klagomålsmail/A 54800-2023 FSC-klagomål mail.docx", "A 54800-2023")</f>
        <v/>
      </c>
      <c r="X199">
        <f>HYPERLINK("https://klasma.github.io/Logging_0883/tillsyn/A 54800-2023 tillsynsbegäran.docx", "A 54800-2023")</f>
        <v/>
      </c>
      <c r="Y199">
        <f>HYPERLINK("https://klasma.github.io/Logging_0883/tillsynsmail/A 54800-2023 tillsynsbegäran mail.docx", "A 54800-2023")</f>
        <v/>
      </c>
      <c r="Z199">
        <f>HYPERLINK("https://klasma.github.io/Logging_0883/fåglar/A 54800-2023 prioriterade fågelarter.docx", "A 54800-2023")</f>
        <v/>
      </c>
    </row>
    <row r="200" ht="15" customHeight="1">
      <c r="A200" t="inlineStr">
        <is>
          <t>A 55408-2023</t>
        </is>
      </c>
      <c r="B200" s="1" t="n">
        <v>45238</v>
      </c>
      <c r="C200" s="1" t="n">
        <v>45842</v>
      </c>
      <c r="D200" t="inlineStr">
        <is>
          <t>KALMAR LÄN</t>
        </is>
      </c>
      <c r="E200" t="inlineStr">
        <is>
          <t>VÄSTERVIK</t>
        </is>
      </c>
      <c r="G200" t="n">
        <v>2.8</v>
      </c>
      <c r="H200" t="n">
        <v>0</v>
      </c>
      <c r="I200" t="n">
        <v>0</v>
      </c>
      <c r="J200" t="n">
        <v>2</v>
      </c>
      <c r="K200" t="n">
        <v>0</v>
      </c>
      <c r="L200" t="n">
        <v>0</v>
      </c>
      <c r="M200" t="n">
        <v>0</v>
      </c>
      <c r="N200" t="n">
        <v>0</v>
      </c>
      <c r="O200" t="n">
        <v>2</v>
      </c>
      <c r="P200" t="n">
        <v>0</v>
      </c>
      <c r="Q200" t="n">
        <v>2</v>
      </c>
      <c r="R200" s="2" t="inlineStr">
        <is>
          <t>Ekticka
Tallticka</t>
        </is>
      </c>
      <c r="S200">
        <f>HYPERLINK("https://klasma.github.io/Logging_0883/artfynd/A 55408-2023 artfynd.xlsx", "A 55408-2023")</f>
        <v/>
      </c>
      <c r="T200">
        <f>HYPERLINK("https://klasma.github.io/Logging_0883/kartor/A 55408-2023 karta.png", "A 55408-2023")</f>
        <v/>
      </c>
      <c r="V200">
        <f>HYPERLINK("https://klasma.github.io/Logging_0883/klagomål/A 55408-2023 FSC-klagomål.docx", "A 55408-2023")</f>
        <v/>
      </c>
      <c r="W200">
        <f>HYPERLINK("https://klasma.github.io/Logging_0883/klagomålsmail/A 55408-2023 FSC-klagomål mail.docx", "A 55408-2023")</f>
        <v/>
      </c>
      <c r="X200">
        <f>HYPERLINK("https://klasma.github.io/Logging_0883/tillsyn/A 55408-2023 tillsynsbegäran.docx", "A 55408-2023")</f>
        <v/>
      </c>
      <c r="Y200">
        <f>HYPERLINK("https://klasma.github.io/Logging_0883/tillsynsmail/A 55408-2023 tillsynsbegäran mail.docx", "A 55408-2023")</f>
        <v/>
      </c>
    </row>
    <row r="201" ht="15" customHeight="1">
      <c r="A201" t="inlineStr">
        <is>
          <t>A 56857-2023</t>
        </is>
      </c>
      <c r="B201" s="1" t="n">
        <v>45244</v>
      </c>
      <c r="C201" s="1" t="n">
        <v>45842</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60631-2023</t>
        </is>
      </c>
      <c r="B202" s="1" t="n">
        <v>45260</v>
      </c>
      <c r="C202" s="1" t="n">
        <v>45842</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Blomkålssvamp
Revlummer</t>
        </is>
      </c>
      <c r="S202">
        <f>HYPERLINK("https://klasma.github.io/Logging_0883/artfynd/A 60631-2023 artfynd.xlsx", "A 60631-2023")</f>
        <v/>
      </c>
      <c r="T202">
        <f>HYPERLINK("https://klasma.github.io/Logging_0883/kartor/A 60631-2023 karta.png", "A 60631-2023")</f>
        <v/>
      </c>
      <c r="V202">
        <f>HYPERLINK("https://klasma.github.io/Logging_0883/klagomål/A 60631-2023 FSC-klagomål.docx", "A 60631-2023")</f>
        <v/>
      </c>
      <c r="W202">
        <f>HYPERLINK("https://klasma.github.io/Logging_0883/klagomålsmail/A 60631-2023 FSC-klagomål mail.docx", "A 60631-2023")</f>
        <v/>
      </c>
      <c r="X202">
        <f>HYPERLINK("https://klasma.github.io/Logging_0883/tillsyn/A 60631-2023 tillsynsbegäran.docx", "A 60631-2023")</f>
        <v/>
      </c>
      <c r="Y202">
        <f>HYPERLINK("https://klasma.github.io/Logging_0883/tillsynsmail/A 60631-2023 tillsynsbegäran mail.docx", "A 60631-2023")</f>
        <v/>
      </c>
    </row>
    <row r="203" ht="15" customHeight="1">
      <c r="A203" t="inlineStr">
        <is>
          <t>A 60920-2023</t>
        </is>
      </c>
      <c r="B203" s="1" t="n">
        <v>45261</v>
      </c>
      <c r="C203" s="1" t="n">
        <v>45842</v>
      </c>
      <c r="D203" t="inlineStr">
        <is>
          <t>KALMAR LÄN</t>
        </is>
      </c>
      <c r="E203" t="inlineStr">
        <is>
          <t>VÄSTERVIK</t>
        </is>
      </c>
      <c r="G203" t="n">
        <v>10.1</v>
      </c>
      <c r="H203" t="n">
        <v>0</v>
      </c>
      <c r="I203" t="n">
        <v>0</v>
      </c>
      <c r="J203" t="n">
        <v>2</v>
      </c>
      <c r="K203" t="n">
        <v>0</v>
      </c>
      <c r="L203" t="n">
        <v>0</v>
      </c>
      <c r="M203" t="n">
        <v>0</v>
      </c>
      <c r="N203" t="n">
        <v>0</v>
      </c>
      <c r="O203" t="n">
        <v>2</v>
      </c>
      <c r="P203" t="n">
        <v>0</v>
      </c>
      <c r="Q203" t="n">
        <v>2</v>
      </c>
      <c r="R203" s="2" t="inlineStr">
        <is>
          <t>Solvända
Spindelört</t>
        </is>
      </c>
      <c r="S203">
        <f>HYPERLINK("https://klasma.github.io/Logging_0883/artfynd/A 60920-2023 artfynd.xlsx", "A 60920-2023")</f>
        <v/>
      </c>
      <c r="T203">
        <f>HYPERLINK("https://klasma.github.io/Logging_0883/kartor/A 60920-2023 karta.png", "A 60920-2023")</f>
        <v/>
      </c>
      <c r="V203">
        <f>HYPERLINK("https://klasma.github.io/Logging_0883/klagomål/A 60920-2023 FSC-klagomål.docx", "A 60920-2023")</f>
        <v/>
      </c>
      <c r="W203">
        <f>HYPERLINK("https://klasma.github.io/Logging_0883/klagomålsmail/A 60920-2023 FSC-klagomål mail.docx", "A 60920-2023")</f>
        <v/>
      </c>
      <c r="X203">
        <f>HYPERLINK("https://klasma.github.io/Logging_0883/tillsyn/A 60920-2023 tillsynsbegäran.docx", "A 60920-2023")</f>
        <v/>
      </c>
      <c r="Y203">
        <f>HYPERLINK("https://klasma.github.io/Logging_0883/tillsynsmail/A 60920-2023 tillsynsbegäran mail.docx", "A 60920-2023")</f>
        <v/>
      </c>
    </row>
    <row r="204" ht="15" customHeight="1">
      <c r="A204" t="inlineStr">
        <is>
          <t>A 61804-2023</t>
        </is>
      </c>
      <c r="B204" s="1" t="n">
        <v>45266</v>
      </c>
      <c r="C204" s="1" t="n">
        <v>45842</v>
      </c>
      <c r="D204" t="inlineStr">
        <is>
          <t>KALMAR LÄN</t>
        </is>
      </c>
      <c r="E204" t="inlineStr">
        <is>
          <t>VÄSTERVIK</t>
        </is>
      </c>
      <c r="G204" t="n">
        <v>2.3</v>
      </c>
      <c r="H204" t="n">
        <v>0</v>
      </c>
      <c r="I204" t="n">
        <v>0</v>
      </c>
      <c r="J204" t="n">
        <v>2</v>
      </c>
      <c r="K204" t="n">
        <v>0</v>
      </c>
      <c r="L204" t="n">
        <v>0</v>
      </c>
      <c r="M204" t="n">
        <v>0</v>
      </c>
      <c r="N204" t="n">
        <v>0</v>
      </c>
      <c r="O204" t="n">
        <v>2</v>
      </c>
      <c r="P204" t="n">
        <v>0</v>
      </c>
      <c r="Q204" t="n">
        <v>2</v>
      </c>
      <c r="R204" s="2" t="inlineStr">
        <is>
          <t>Bredbrämad bastardsvärmare
Smalsprötad bastardsvärmare</t>
        </is>
      </c>
      <c r="S204">
        <f>HYPERLINK("https://klasma.github.io/Logging_0883/artfynd/A 61804-2023 artfynd.xlsx", "A 61804-2023")</f>
        <v/>
      </c>
      <c r="T204">
        <f>HYPERLINK("https://klasma.github.io/Logging_0883/kartor/A 61804-2023 karta.png", "A 61804-2023")</f>
        <v/>
      </c>
      <c r="V204">
        <f>HYPERLINK("https://klasma.github.io/Logging_0883/klagomål/A 61804-2023 FSC-klagomål.docx", "A 61804-2023")</f>
        <v/>
      </c>
      <c r="W204">
        <f>HYPERLINK("https://klasma.github.io/Logging_0883/klagomålsmail/A 61804-2023 FSC-klagomål mail.docx", "A 61804-2023")</f>
        <v/>
      </c>
      <c r="X204">
        <f>HYPERLINK("https://klasma.github.io/Logging_0883/tillsyn/A 61804-2023 tillsynsbegäran.docx", "A 61804-2023")</f>
        <v/>
      </c>
      <c r="Y204">
        <f>HYPERLINK("https://klasma.github.io/Logging_0883/tillsynsmail/A 61804-2023 tillsynsbegäran mail.docx", "A 61804-2023")</f>
        <v/>
      </c>
    </row>
    <row r="205" ht="15" customHeight="1">
      <c r="A205" t="inlineStr">
        <is>
          <t>A 62008-2023</t>
        </is>
      </c>
      <c r="B205" s="1" t="n">
        <v>45266</v>
      </c>
      <c r="C205" s="1" t="n">
        <v>45842</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62029-2023</t>
        </is>
      </c>
      <c r="B206" s="1" t="n">
        <v>45266</v>
      </c>
      <c r="C206" s="1" t="n">
        <v>45842</v>
      </c>
      <c r="D206" t="inlineStr">
        <is>
          <t>KALMAR LÄN</t>
        </is>
      </c>
      <c r="E206" t="inlineStr">
        <is>
          <t>VÄSTERVIK</t>
        </is>
      </c>
      <c r="G206" t="n">
        <v>4.8</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62029-2023 artfynd.xlsx", "A 62029-2023")</f>
        <v/>
      </c>
      <c r="T206">
        <f>HYPERLINK("https://klasma.github.io/Logging_0883/kartor/A 62029-2023 karta.png", "A 62029-2023")</f>
        <v/>
      </c>
      <c r="V206">
        <f>HYPERLINK("https://klasma.github.io/Logging_0883/klagomål/A 62029-2023 FSC-klagomål.docx", "A 62029-2023")</f>
        <v/>
      </c>
      <c r="W206">
        <f>HYPERLINK("https://klasma.github.io/Logging_0883/klagomålsmail/A 62029-2023 FSC-klagomål mail.docx", "A 62029-2023")</f>
        <v/>
      </c>
      <c r="X206">
        <f>HYPERLINK("https://klasma.github.io/Logging_0883/tillsyn/A 62029-2023 tillsynsbegäran.docx", "A 62029-2023")</f>
        <v/>
      </c>
      <c r="Y206">
        <f>HYPERLINK("https://klasma.github.io/Logging_0883/tillsynsmail/A 62029-2023 tillsynsbegäran mail.docx", "A 62029-2023")</f>
        <v/>
      </c>
      <c r="Z206">
        <f>HYPERLINK("https://klasma.github.io/Logging_0883/fåglar/A 62029-2023 prioriterade fågelarter.docx", "A 62029-2023")</f>
        <v/>
      </c>
    </row>
    <row r="207" ht="15" customHeight="1">
      <c r="A207" t="inlineStr">
        <is>
          <t>A 64761-2023</t>
        </is>
      </c>
      <c r="B207" s="1" t="n">
        <v>45282</v>
      </c>
      <c r="C207" s="1" t="n">
        <v>45842</v>
      </c>
      <c r="D207" t="inlineStr">
        <is>
          <t>KALMAR LÄN</t>
        </is>
      </c>
      <c r="E207" t="inlineStr">
        <is>
          <t>VÄSTERVIK</t>
        </is>
      </c>
      <c r="F207" t="inlineStr">
        <is>
          <t>Övriga Aktiebolag</t>
        </is>
      </c>
      <c r="G207" t="n">
        <v>5.8</v>
      </c>
      <c r="H207" t="n">
        <v>2</v>
      </c>
      <c r="I207" t="n">
        <v>0</v>
      </c>
      <c r="J207" t="n">
        <v>1</v>
      </c>
      <c r="K207" t="n">
        <v>1</v>
      </c>
      <c r="L207" t="n">
        <v>0</v>
      </c>
      <c r="M207" t="n">
        <v>0</v>
      </c>
      <c r="N207" t="n">
        <v>0</v>
      </c>
      <c r="O207" t="n">
        <v>2</v>
      </c>
      <c r="P207" t="n">
        <v>1</v>
      </c>
      <c r="Q207" t="n">
        <v>2</v>
      </c>
      <c r="R207" s="2" t="inlineStr">
        <is>
          <t>Knärot
Spillkråka</t>
        </is>
      </c>
      <c r="S207">
        <f>HYPERLINK("https://klasma.github.io/Logging_0883/artfynd/A 64761-2023 artfynd.xlsx", "A 64761-2023")</f>
        <v/>
      </c>
      <c r="T207">
        <f>HYPERLINK("https://klasma.github.io/Logging_0883/kartor/A 64761-2023 karta.png", "A 64761-2023")</f>
        <v/>
      </c>
      <c r="U207">
        <f>HYPERLINK("https://klasma.github.io/Logging_0883/knärot/A 64761-2023 karta knärot.png", "A 64761-2023")</f>
        <v/>
      </c>
      <c r="V207">
        <f>HYPERLINK("https://klasma.github.io/Logging_0883/klagomål/A 64761-2023 FSC-klagomål.docx", "A 64761-2023")</f>
        <v/>
      </c>
      <c r="W207">
        <f>HYPERLINK("https://klasma.github.io/Logging_0883/klagomålsmail/A 64761-2023 FSC-klagomål mail.docx", "A 64761-2023")</f>
        <v/>
      </c>
      <c r="X207">
        <f>HYPERLINK("https://klasma.github.io/Logging_0883/tillsyn/A 64761-2023 tillsynsbegäran.docx", "A 64761-2023")</f>
        <v/>
      </c>
      <c r="Y207">
        <f>HYPERLINK("https://klasma.github.io/Logging_0883/tillsynsmail/A 64761-2023 tillsynsbegäran mail.docx", "A 64761-2023")</f>
        <v/>
      </c>
      <c r="Z207">
        <f>HYPERLINK("https://klasma.github.io/Logging_0883/fåglar/A 64761-2023 prioriterade fågelarter.docx", "A 64761-2023")</f>
        <v/>
      </c>
    </row>
    <row r="208" ht="15" customHeight="1">
      <c r="A208" t="inlineStr">
        <is>
          <t>A 932-2024</t>
        </is>
      </c>
      <c r="B208" s="1" t="n">
        <v>45301</v>
      </c>
      <c r="C208" s="1" t="n">
        <v>45842</v>
      </c>
      <c r="D208" t="inlineStr">
        <is>
          <t>KALMAR LÄN</t>
        </is>
      </c>
      <c r="E208" t="inlineStr">
        <is>
          <t>VÄSTERVIK</t>
        </is>
      </c>
      <c r="G208" t="n">
        <v>3.7</v>
      </c>
      <c r="H208" t="n">
        <v>1</v>
      </c>
      <c r="I208" t="n">
        <v>1</v>
      </c>
      <c r="J208" t="n">
        <v>1</v>
      </c>
      <c r="K208" t="n">
        <v>0</v>
      </c>
      <c r="L208" t="n">
        <v>0</v>
      </c>
      <c r="M208" t="n">
        <v>0</v>
      </c>
      <c r="N208" t="n">
        <v>0</v>
      </c>
      <c r="O208" t="n">
        <v>1</v>
      </c>
      <c r="P208" t="n">
        <v>0</v>
      </c>
      <c r="Q208" t="n">
        <v>2</v>
      </c>
      <c r="R208" s="2" t="inlineStr">
        <is>
          <t>Spillkråka
Grovticka</t>
        </is>
      </c>
      <c r="S208">
        <f>HYPERLINK("https://klasma.github.io/Logging_0883/artfynd/A 932-2024 artfynd.xlsx", "A 932-2024")</f>
        <v/>
      </c>
      <c r="T208">
        <f>HYPERLINK("https://klasma.github.io/Logging_0883/kartor/A 932-2024 karta.png", "A 932-2024")</f>
        <v/>
      </c>
      <c r="V208">
        <f>HYPERLINK("https://klasma.github.io/Logging_0883/klagomål/A 932-2024 FSC-klagomål.docx", "A 932-2024")</f>
        <v/>
      </c>
      <c r="W208">
        <f>HYPERLINK("https://klasma.github.io/Logging_0883/klagomålsmail/A 932-2024 FSC-klagomål mail.docx", "A 932-2024")</f>
        <v/>
      </c>
      <c r="X208">
        <f>HYPERLINK("https://klasma.github.io/Logging_0883/tillsyn/A 932-2024 tillsynsbegäran.docx", "A 932-2024")</f>
        <v/>
      </c>
      <c r="Y208">
        <f>HYPERLINK("https://klasma.github.io/Logging_0883/tillsynsmail/A 932-2024 tillsynsbegäran mail.docx", "A 932-2024")</f>
        <v/>
      </c>
      <c r="Z208">
        <f>HYPERLINK("https://klasma.github.io/Logging_0883/fåglar/A 932-2024 prioriterade fågelarter.docx", "A 932-2024")</f>
        <v/>
      </c>
    </row>
    <row r="209" ht="15" customHeight="1">
      <c r="A209" t="inlineStr">
        <is>
          <t>A 948-2024</t>
        </is>
      </c>
      <c r="B209" s="1" t="n">
        <v>45301</v>
      </c>
      <c r="C209" s="1" t="n">
        <v>45842</v>
      </c>
      <c r="D209" t="inlineStr">
        <is>
          <t>KALMAR LÄN</t>
        </is>
      </c>
      <c r="E209" t="inlineStr">
        <is>
          <t>VÄSTERVIK</t>
        </is>
      </c>
      <c r="G209" t="n">
        <v>4.5</v>
      </c>
      <c r="H209" t="n">
        <v>1</v>
      </c>
      <c r="I209" t="n">
        <v>1</v>
      </c>
      <c r="J209" t="n">
        <v>0</v>
      </c>
      <c r="K209" t="n">
        <v>0</v>
      </c>
      <c r="L209" t="n">
        <v>0</v>
      </c>
      <c r="M209" t="n">
        <v>0</v>
      </c>
      <c r="N209" t="n">
        <v>0</v>
      </c>
      <c r="O209" t="n">
        <v>0</v>
      </c>
      <c r="P209" t="n">
        <v>0</v>
      </c>
      <c r="Q209" t="n">
        <v>2</v>
      </c>
      <c r="R209" s="2" t="inlineStr">
        <is>
          <t>Dropptaggsvamp
Tjäder</t>
        </is>
      </c>
      <c r="S209">
        <f>HYPERLINK("https://klasma.github.io/Logging_0883/artfynd/A 948-2024 artfynd.xlsx", "A 948-2024")</f>
        <v/>
      </c>
      <c r="T209">
        <f>HYPERLINK("https://klasma.github.io/Logging_0883/kartor/A 948-2024 karta.png", "A 948-2024")</f>
        <v/>
      </c>
      <c r="V209">
        <f>HYPERLINK("https://klasma.github.io/Logging_0883/klagomål/A 948-2024 FSC-klagomål.docx", "A 948-2024")</f>
        <v/>
      </c>
      <c r="W209">
        <f>HYPERLINK("https://klasma.github.io/Logging_0883/klagomålsmail/A 948-2024 FSC-klagomål mail.docx", "A 948-2024")</f>
        <v/>
      </c>
      <c r="X209">
        <f>HYPERLINK("https://klasma.github.io/Logging_0883/tillsyn/A 948-2024 tillsynsbegäran.docx", "A 948-2024")</f>
        <v/>
      </c>
      <c r="Y209">
        <f>HYPERLINK("https://klasma.github.io/Logging_0883/tillsynsmail/A 948-2024 tillsynsbegäran mail.docx", "A 948-2024")</f>
        <v/>
      </c>
      <c r="Z209">
        <f>HYPERLINK("https://klasma.github.io/Logging_0883/fåglar/A 948-2024 prioriterade fågelarter.docx", "A 948-2024")</f>
        <v/>
      </c>
    </row>
    <row r="210" ht="15" customHeight="1">
      <c r="A210" t="inlineStr">
        <is>
          <t>A 911-2024</t>
        </is>
      </c>
      <c r="B210" s="1" t="n">
        <v>45301</v>
      </c>
      <c r="C210" s="1" t="n">
        <v>45842</v>
      </c>
      <c r="D210" t="inlineStr">
        <is>
          <t>KALMAR LÄN</t>
        </is>
      </c>
      <c r="E210" t="inlineStr">
        <is>
          <t>VÄSTERVIK</t>
        </is>
      </c>
      <c r="G210" t="n">
        <v>5.6</v>
      </c>
      <c r="H210" t="n">
        <v>1</v>
      </c>
      <c r="I210" t="n">
        <v>1</v>
      </c>
      <c r="J210" t="n">
        <v>1</v>
      </c>
      <c r="K210" t="n">
        <v>0</v>
      </c>
      <c r="L210" t="n">
        <v>0</v>
      </c>
      <c r="M210" t="n">
        <v>0</v>
      </c>
      <c r="N210" t="n">
        <v>0</v>
      </c>
      <c r="O210" t="n">
        <v>1</v>
      </c>
      <c r="P210" t="n">
        <v>0</v>
      </c>
      <c r="Q210" t="n">
        <v>2</v>
      </c>
      <c r="R210" s="2" t="inlineStr">
        <is>
          <t>Talltita
Blodticka</t>
        </is>
      </c>
      <c r="S210">
        <f>HYPERLINK("https://klasma.github.io/Logging_0883/artfynd/A 911-2024 artfynd.xlsx", "A 911-2024")</f>
        <v/>
      </c>
      <c r="T210">
        <f>HYPERLINK("https://klasma.github.io/Logging_0883/kartor/A 911-2024 karta.png", "A 911-2024")</f>
        <v/>
      </c>
      <c r="V210">
        <f>HYPERLINK("https://klasma.github.io/Logging_0883/klagomål/A 911-2024 FSC-klagomål.docx", "A 911-2024")</f>
        <v/>
      </c>
      <c r="W210">
        <f>HYPERLINK("https://klasma.github.io/Logging_0883/klagomålsmail/A 911-2024 FSC-klagomål mail.docx", "A 911-2024")</f>
        <v/>
      </c>
      <c r="X210">
        <f>HYPERLINK("https://klasma.github.io/Logging_0883/tillsyn/A 911-2024 tillsynsbegäran.docx", "A 911-2024")</f>
        <v/>
      </c>
      <c r="Y210">
        <f>HYPERLINK("https://klasma.github.io/Logging_0883/tillsynsmail/A 911-2024 tillsynsbegäran mail.docx", "A 911-2024")</f>
        <v/>
      </c>
      <c r="Z210">
        <f>HYPERLINK("https://klasma.github.io/Logging_0883/fåglar/A 911-2024 prioriterade fågelarter.docx", "A 911-2024")</f>
        <v/>
      </c>
    </row>
    <row r="211" ht="15" customHeight="1">
      <c r="A211" t="inlineStr">
        <is>
          <t>A 941-2024</t>
        </is>
      </c>
      <c r="B211" s="1" t="n">
        <v>45301</v>
      </c>
      <c r="C211" s="1" t="n">
        <v>45842</v>
      </c>
      <c r="D211" t="inlineStr">
        <is>
          <t>KALMAR LÄN</t>
        </is>
      </c>
      <c r="E211" t="inlineStr">
        <is>
          <t>VÄSTERVIK</t>
        </is>
      </c>
      <c r="G211" t="n">
        <v>2.7</v>
      </c>
      <c r="H211" t="n">
        <v>1</v>
      </c>
      <c r="I211" t="n">
        <v>0</v>
      </c>
      <c r="J211" t="n">
        <v>1</v>
      </c>
      <c r="K211" t="n">
        <v>1</v>
      </c>
      <c r="L211" t="n">
        <v>0</v>
      </c>
      <c r="M211" t="n">
        <v>0</v>
      </c>
      <c r="N211" t="n">
        <v>0</v>
      </c>
      <c r="O211" t="n">
        <v>2</v>
      </c>
      <c r="P211" t="n">
        <v>1</v>
      </c>
      <c r="Q211" t="n">
        <v>2</v>
      </c>
      <c r="R211" s="2" t="inlineStr">
        <is>
          <t>Knärot
Svinrot</t>
        </is>
      </c>
      <c r="S211">
        <f>HYPERLINK("https://klasma.github.io/Logging_0883/artfynd/A 941-2024 artfynd.xlsx", "A 941-2024")</f>
        <v/>
      </c>
      <c r="T211">
        <f>HYPERLINK("https://klasma.github.io/Logging_0883/kartor/A 941-2024 karta.png", "A 941-2024")</f>
        <v/>
      </c>
      <c r="U211">
        <f>HYPERLINK("https://klasma.github.io/Logging_0883/knärot/A 941-2024 karta knärot.png", "A 941-2024")</f>
        <v/>
      </c>
      <c r="V211">
        <f>HYPERLINK("https://klasma.github.io/Logging_0883/klagomål/A 941-2024 FSC-klagomål.docx", "A 941-2024")</f>
        <v/>
      </c>
      <c r="W211">
        <f>HYPERLINK("https://klasma.github.io/Logging_0883/klagomålsmail/A 941-2024 FSC-klagomål mail.docx", "A 941-2024")</f>
        <v/>
      </c>
      <c r="X211">
        <f>HYPERLINK("https://klasma.github.io/Logging_0883/tillsyn/A 941-2024 tillsynsbegäran.docx", "A 941-2024")</f>
        <v/>
      </c>
      <c r="Y211">
        <f>HYPERLINK("https://klasma.github.io/Logging_0883/tillsynsmail/A 941-2024 tillsynsbegäran mail.docx", "A 941-2024")</f>
        <v/>
      </c>
    </row>
    <row r="212" ht="15" customHeight="1">
      <c r="A212" t="inlineStr">
        <is>
          <t>A 1373-2024</t>
        </is>
      </c>
      <c r="B212" s="1" t="n">
        <v>45303</v>
      </c>
      <c r="C212" s="1" t="n">
        <v>45842</v>
      </c>
      <c r="D212" t="inlineStr">
        <is>
          <t>KALMAR LÄN</t>
        </is>
      </c>
      <c r="E212" t="inlineStr">
        <is>
          <t>VÄSTERVIK</t>
        </is>
      </c>
      <c r="G212" t="n">
        <v>3.7</v>
      </c>
      <c r="H212" t="n">
        <v>1</v>
      </c>
      <c r="I212" t="n">
        <v>0</v>
      </c>
      <c r="J212" t="n">
        <v>2</v>
      </c>
      <c r="K212" t="n">
        <v>0</v>
      </c>
      <c r="L212" t="n">
        <v>0</v>
      </c>
      <c r="M212" t="n">
        <v>0</v>
      </c>
      <c r="N212" t="n">
        <v>0</v>
      </c>
      <c r="O212" t="n">
        <v>2</v>
      </c>
      <c r="P212" t="n">
        <v>0</v>
      </c>
      <c r="Q212" t="n">
        <v>2</v>
      </c>
      <c r="R212" s="2" t="inlineStr">
        <is>
          <t>Tallticka
Talltita</t>
        </is>
      </c>
      <c r="S212">
        <f>HYPERLINK("https://klasma.github.io/Logging_0883/artfynd/A 1373-2024 artfynd.xlsx", "A 1373-2024")</f>
        <v/>
      </c>
      <c r="T212">
        <f>HYPERLINK("https://klasma.github.io/Logging_0883/kartor/A 1373-2024 karta.png", "A 1373-2024")</f>
        <v/>
      </c>
      <c r="U212">
        <f>HYPERLINK("https://klasma.github.io/Logging_0883/knärot/A 1373-2024 karta knärot.png", "A 1373-2024")</f>
        <v/>
      </c>
      <c r="V212">
        <f>HYPERLINK("https://klasma.github.io/Logging_0883/klagomål/A 1373-2024 FSC-klagomål.docx", "A 1373-2024")</f>
        <v/>
      </c>
      <c r="W212">
        <f>HYPERLINK("https://klasma.github.io/Logging_0883/klagomålsmail/A 1373-2024 FSC-klagomål mail.docx", "A 1373-2024")</f>
        <v/>
      </c>
      <c r="X212">
        <f>HYPERLINK("https://klasma.github.io/Logging_0883/tillsyn/A 1373-2024 tillsynsbegäran.docx", "A 1373-2024")</f>
        <v/>
      </c>
      <c r="Y212">
        <f>HYPERLINK("https://klasma.github.io/Logging_0883/tillsynsmail/A 1373-2024 tillsynsbegäran mail.docx", "A 1373-2024")</f>
        <v/>
      </c>
      <c r="Z212">
        <f>HYPERLINK("https://klasma.github.io/Logging_0883/fåglar/A 1373-2024 prioriterade fågelarter.docx", "A 1373-2024")</f>
        <v/>
      </c>
    </row>
    <row r="213" ht="15" customHeight="1">
      <c r="A213" t="inlineStr">
        <is>
          <t>A 2126-2024</t>
        </is>
      </c>
      <c r="B213" s="1" t="n">
        <v>45309</v>
      </c>
      <c r="C213" s="1" t="n">
        <v>45842</v>
      </c>
      <c r="D213" t="inlineStr">
        <is>
          <t>KALMAR LÄN</t>
        </is>
      </c>
      <c r="E213" t="inlineStr">
        <is>
          <t>VÄSTERVIK</t>
        </is>
      </c>
      <c r="G213" t="n">
        <v>3.8</v>
      </c>
      <c r="H213" t="n">
        <v>2</v>
      </c>
      <c r="I213" t="n">
        <v>0</v>
      </c>
      <c r="J213" t="n">
        <v>1</v>
      </c>
      <c r="K213" t="n">
        <v>1</v>
      </c>
      <c r="L213" t="n">
        <v>0</v>
      </c>
      <c r="M213" t="n">
        <v>0</v>
      </c>
      <c r="N213" t="n">
        <v>0</v>
      </c>
      <c r="O213" t="n">
        <v>2</v>
      </c>
      <c r="P213" t="n">
        <v>1</v>
      </c>
      <c r="Q213" t="n">
        <v>2</v>
      </c>
      <c r="R213" s="2" t="inlineStr">
        <is>
          <t>Knärot
Talltita</t>
        </is>
      </c>
      <c r="S213">
        <f>HYPERLINK("https://klasma.github.io/Logging_0883/artfynd/A 2126-2024 artfynd.xlsx", "A 2126-2024")</f>
        <v/>
      </c>
      <c r="T213">
        <f>HYPERLINK("https://klasma.github.io/Logging_0883/kartor/A 2126-2024 karta.png", "A 2126-2024")</f>
        <v/>
      </c>
      <c r="U213">
        <f>HYPERLINK("https://klasma.github.io/Logging_0883/knärot/A 2126-2024 karta knärot.png", "A 2126-2024")</f>
        <v/>
      </c>
      <c r="V213">
        <f>HYPERLINK("https://klasma.github.io/Logging_0883/klagomål/A 2126-2024 FSC-klagomål.docx", "A 2126-2024")</f>
        <v/>
      </c>
      <c r="W213">
        <f>HYPERLINK("https://klasma.github.io/Logging_0883/klagomålsmail/A 2126-2024 FSC-klagomål mail.docx", "A 2126-2024")</f>
        <v/>
      </c>
      <c r="X213">
        <f>HYPERLINK("https://klasma.github.io/Logging_0883/tillsyn/A 2126-2024 tillsynsbegäran.docx", "A 2126-2024")</f>
        <v/>
      </c>
      <c r="Y213">
        <f>HYPERLINK("https://klasma.github.io/Logging_0883/tillsynsmail/A 2126-2024 tillsynsbegäran mail.docx", "A 2126-2024")</f>
        <v/>
      </c>
      <c r="Z213">
        <f>HYPERLINK("https://klasma.github.io/Logging_0883/fåglar/A 2126-2024 prioriterade fågelarter.docx", "A 2126-2024")</f>
        <v/>
      </c>
    </row>
    <row r="214" ht="15" customHeight="1">
      <c r="A214" t="inlineStr">
        <is>
          <t>A 2809-2024</t>
        </is>
      </c>
      <c r="B214" s="1" t="n">
        <v>45314</v>
      </c>
      <c r="C214" s="1" t="n">
        <v>45842</v>
      </c>
      <c r="D214" t="inlineStr">
        <is>
          <t>KALMAR LÄN</t>
        </is>
      </c>
      <c r="E214" t="inlineStr">
        <is>
          <t>VÄSTERVIK</t>
        </is>
      </c>
      <c r="G214" t="n">
        <v>4.7</v>
      </c>
      <c r="H214" t="n">
        <v>1</v>
      </c>
      <c r="I214" t="n">
        <v>0</v>
      </c>
      <c r="J214" t="n">
        <v>1</v>
      </c>
      <c r="K214" t="n">
        <v>0</v>
      </c>
      <c r="L214" t="n">
        <v>0</v>
      </c>
      <c r="M214" t="n">
        <v>0</v>
      </c>
      <c r="N214" t="n">
        <v>0</v>
      </c>
      <c r="O214" t="n">
        <v>1</v>
      </c>
      <c r="P214" t="n">
        <v>0</v>
      </c>
      <c r="Q214" t="n">
        <v>2</v>
      </c>
      <c r="R214" s="2" t="inlineStr">
        <is>
          <t>Tallticka
Tjäder</t>
        </is>
      </c>
      <c r="S214">
        <f>HYPERLINK("https://klasma.github.io/Logging_0883/artfynd/A 2809-2024 artfynd.xlsx", "A 2809-2024")</f>
        <v/>
      </c>
      <c r="T214">
        <f>HYPERLINK("https://klasma.github.io/Logging_0883/kartor/A 2809-2024 karta.png", "A 2809-2024")</f>
        <v/>
      </c>
      <c r="U214">
        <f>HYPERLINK("https://klasma.github.io/Logging_0883/knärot/A 2809-2024 karta knärot.png", "A 2809-2024")</f>
        <v/>
      </c>
      <c r="V214">
        <f>HYPERLINK("https://klasma.github.io/Logging_0883/klagomål/A 2809-2024 FSC-klagomål.docx", "A 2809-2024")</f>
        <v/>
      </c>
      <c r="W214">
        <f>HYPERLINK("https://klasma.github.io/Logging_0883/klagomålsmail/A 2809-2024 FSC-klagomål mail.docx", "A 2809-2024")</f>
        <v/>
      </c>
      <c r="X214">
        <f>HYPERLINK("https://klasma.github.io/Logging_0883/tillsyn/A 2809-2024 tillsynsbegäran.docx", "A 2809-2024")</f>
        <v/>
      </c>
      <c r="Y214">
        <f>HYPERLINK("https://klasma.github.io/Logging_0883/tillsynsmail/A 2809-2024 tillsynsbegäran mail.docx", "A 2809-2024")</f>
        <v/>
      </c>
      <c r="Z214">
        <f>HYPERLINK("https://klasma.github.io/Logging_0883/fåglar/A 2809-2024 prioriterade fågelarter.docx", "A 2809-2024")</f>
        <v/>
      </c>
    </row>
    <row r="215" ht="15" customHeight="1">
      <c r="A215" t="inlineStr">
        <is>
          <t>A 3264-2024</t>
        </is>
      </c>
      <c r="B215" s="1" t="n">
        <v>45317</v>
      </c>
      <c r="C215" s="1" t="n">
        <v>45842</v>
      </c>
      <c r="D215" t="inlineStr">
        <is>
          <t>KALMAR LÄN</t>
        </is>
      </c>
      <c r="E215" t="inlineStr">
        <is>
          <t>VÄSTERVIK</t>
        </is>
      </c>
      <c r="G215" t="n">
        <v>6.5</v>
      </c>
      <c r="H215" t="n">
        <v>1</v>
      </c>
      <c r="I215" t="n">
        <v>1</v>
      </c>
      <c r="J215" t="n">
        <v>1</v>
      </c>
      <c r="K215" t="n">
        <v>0</v>
      </c>
      <c r="L215" t="n">
        <v>0</v>
      </c>
      <c r="M215" t="n">
        <v>0</v>
      </c>
      <c r="N215" t="n">
        <v>0</v>
      </c>
      <c r="O215" t="n">
        <v>1</v>
      </c>
      <c r="P215" t="n">
        <v>0</v>
      </c>
      <c r="Q215" t="n">
        <v>2</v>
      </c>
      <c r="R215" s="2" t="inlineStr">
        <is>
          <t>Spillkråka
Blåmossa</t>
        </is>
      </c>
      <c r="S215">
        <f>HYPERLINK("https://klasma.github.io/Logging_0883/artfynd/A 3264-2024 artfynd.xlsx", "A 3264-2024")</f>
        <v/>
      </c>
      <c r="T215">
        <f>HYPERLINK("https://klasma.github.io/Logging_0883/kartor/A 3264-2024 karta.png", "A 3264-2024")</f>
        <v/>
      </c>
      <c r="V215">
        <f>HYPERLINK("https://klasma.github.io/Logging_0883/klagomål/A 3264-2024 FSC-klagomål.docx", "A 3264-2024")</f>
        <v/>
      </c>
      <c r="W215">
        <f>HYPERLINK("https://klasma.github.io/Logging_0883/klagomålsmail/A 3264-2024 FSC-klagomål mail.docx", "A 3264-2024")</f>
        <v/>
      </c>
      <c r="X215">
        <f>HYPERLINK("https://klasma.github.io/Logging_0883/tillsyn/A 3264-2024 tillsynsbegäran.docx", "A 3264-2024")</f>
        <v/>
      </c>
      <c r="Y215">
        <f>HYPERLINK("https://klasma.github.io/Logging_0883/tillsynsmail/A 3264-2024 tillsynsbegäran mail.docx", "A 3264-2024")</f>
        <v/>
      </c>
      <c r="Z215">
        <f>HYPERLINK("https://klasma.github.io/Logging_0883/fåglar/A 3264-2024 prioriterade fågelarter.docx", "A 3264-2024")</f>
        <v/>
      </c>
    </row>
    <row r="216" ht="15" customHeight="1">
      <c r="A216" t="inlineStr">
        <is>
          <t>A 3658-2024</t>
        </is>
      </c>
      <c r="B216" s="1" t="n">
        <v>45321</v>
      </c>
      <c r="C216" s="1" t="n">
        <v>45842</v>
      </c>
      <c r="D216" t="inlineStr">
        <is>
          <t>KALMAR LÄN</t>
        </is>
      </c>
      <c r="E216" t="inlineStr">
        <is>
          <t>VÄSTERVIK</t>
        </is>
      </c>
      <c r="G216" t="n">
        <v>2.6</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3658-2024 artfynd.xlsx", "A 3658-2024")</f>
        <v/>
      </c>
      <c r="T216">
        <f>HYPERLINK("https://klasma.github.io/Logging_0883/kartor/A 3658-2024 karta.png", "A 3658-2024")</f>
        <v/>
      </c>
      <c r="U216">
        <f>HYPERLINK("https://klasma.github.io/Logging_0883/knärot/A 3658-2024 karta knärot.png", "A 3658-2024")</f>
        <v/>
      </c>
      <c r="V216">
        <f>HYPERLINK("https://klasma.github.io/Logging_0883/klagomål/A 3658-2024 FSC-klagomål.docx", "A 3658-2024")</f>
        <v/>
      </c>
      <c r="W216">
        <f>HYPERLINK("https://klasma.github.io/Logging_0883/klagomålsmail/A 3658-2024 FSC-klagomål mail.docx", "A 3658-2024")</f>
        <v/>
      </c>
      <c r="X216">
        <f>HYPERLINK("https://klasma.github.io/Logging_0883/tillsyn/A 3658-2024 tillsynsbegäran.docx", "A 3658-2024")</f>
        <v/>
      </c>
      <c r="Y216">
        <f>HYPERLINK("https://klasma.github.io/Logging_0883/tillsynsmail/A 3658-2024 tillsynsbegäran mail.docx", "A 3658-2024")</f>
        <v/>
      </c>
    </row>
    <row r="217" ht="15" customHeight="1">
      <c r="A217" t="inlineStr">
        <is>
          <t>A 8618-2024</t>
        </is>
      </c>
      <c r="B217" s="1" t="n">
        <v>45355</v>
      </c>
      <c r="C217" s="1" t="n">
        <v>45842</v>
      </c>
      <c r="D217" t="inlineStr">
        <is>
          <t>KALMAR LÄN</t>
        </is>
      </c>
      <c r="E217" t="inlineStr">
        <is>
          <t>VÄSTERVIK</t>
        </is>
      </c>
      <c r="G217" t="n">
        <v>4.3</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8618-2024 artfynd.xlsx", "A 8618-2024")</f>
        <v/>
      </c>
      <c r="T217">
        <f>HYPERLINK("https://klasma.github.io/Logging_0883/kartor/A 8618-2024 karta.png", "A 8618-2024")</f>
        <v/>
      </c>
      <c r="U217">
        <f>HYPERLINK("https://klasma.github.io/Logging_0883/knärot/A 8618-2024 karta knärot.png", "A 8618-2024")</f>
        <v/>
      </c>
      <c r="V217">
        <f>HYPERLINK("https://klasma.github.io/Logging_0883/klagomål/A 8618-2024 FSC-klagomål.docx", "A 8618-2024")</f>
        <v/>
      </c>
      <c r="W217">
        <f>HYPERLINK("https://klasma.github.io/Logging_0883/klagomålsmail/A 8618-2024 FSC-klagomål mail.docx", "A 8618-2024")</f>
        <v/>
      </c>
      <c r="X217">
        <f>HYPERLINK("https://klasma.github.io/Logging_0883/tillsyn/A 8618-2024 tillsynsbegäran.docx", "A 8618-2024")</f>
        <v/>
      </c>
      <c r="Y217">
        <f>HYPERLINK("https://klasma.github.io/Logging_0883/tillsynsmail/A 8618-2024 tillsynsbegäran mail.docx", "A 8618-2024")</f>
        <v/>
      </c>
    </row>
    <row r="218" ht="15" customHeight="1">
      <c r="A218" t="inlineStr">
        <is>
          <t>A 9770-2024</t>
        </is>
      </c>
      <c r="B218" s="1" t="n">
        <v>45362</v>
      </c>
      <c r="C218" s="1" t="n">
        <v>45842</v>
      </c>
      <c r="D218" t="inlineStr">
        <is>
          <t>KALMAR LÄN</t>
        </is>
      </c>
      <c r="E218" t="inlineStr">
        <is>
          <t>VÄSTERVIK</t>
        </is>
      </c>
      <c r="G218" t="n">
        <v>2.6</v>
      </c>
      <c r="H218" t="n">
        <v>2</v>
      </c>
      <c r="I218" t="n">
        <v>0</v>
      </c>
      <c r="J218" t="n">
        <v>1</v>
      </c>
      <c r="K218" t="n">
        <v>0</v>
      </c>
      <c r="L218" t="n">
        <v>0</v>
      </c>
      <c r="M218" t="n">
        <v>0</v>
      </c>
      <c r="N218" t="n">
        <v>0</v>
      </c>
      <c r="O218" t="n">
        <v>1</v>
      </c>
      <c r="P218" t="n">
        <v>0</v>
      </c>
      <c r="Q218" t="n">
        <v>2</v>
      </c>
      <c r="R218" s="2" t="inlineStr">
        <is>
          <t>Talltita
Tjäder</t>
        </is>
      </c>
      <c r="S218">
        <f>HYPERLINK("https://klasma.github.io/Logging_0883/artfynd/A 9770-2024 artfynd.xlsx", "A 9770-2024")</f>
        <v/>
      </c>
      <c r="T218">
        <f>HYPERLINK("https://klasma.github.io/Logging_0883/kartor/A 9770-2024 karta.png", "A 9770-2024")</f>
        <v/>
      </c>
      <c r="V218">
        <f>HYPERLINK("https://klasma.github.io/Logging_0883/klagomål/A 9770-2024 FSC-klagomål.docx", "A 9770-2024")</f>
        <v/>
      </c>
      <c r="W218">
        <f>HYPERLINK("https://klasma.github.io/Logging_0883/klagomålsmail/A 9770-2024 FSC-klagomål mail.docx", "A 9770-2024")</f>
        <v/>
      </c>
      <c r="X218">
        <f>HYPERLINK("https://klasma.github.io/Logging_0883/tillsyn/A 9770-2024 tillsynsbegäran.docx", "A 9770-2024")</f>
        <v/>
      </c>
      <c r="Y218">
        <f>HYPERLINK("https://klasma.github.io/Logging_0883/tillsynsmail/A 9770-2024 tillsynsbegäran mail.docx", "A 9770-2024")</f>
        <v/>
      </c>
      <c r="Z218">
        <f>HYPERLINK("https://klasma.github.io/Logging_0883/fåglar/A 9770-2024 prioriterade fågelarter.docx", "A 9770-2024")</f>
        <v/>
      </c>
    </row>
    <row r="219" ht="15" customHeight="1">
      <c r="A219" t="inlineStr">
        <is>
          <t>A 11849-2024</t>
        </is>
      </c>
      <c r="B219" s="1" t="n">
        <v>45376</v>
      </c>
      <c r="C219" s="1" t="n">
        <v>45842</v>
      </c>
      <c r="D219" t="inlineStr">
        <is>
          <t>KALMAR LÄN</t>
        </is>
      </c>
      <c r="E219" t="inlineStr">
        <is>
          <t>VÄSTERVIK</t>
        </is>
      </c>
      <c r="F219" t="inlineStr">
        <is>
          <t>Sveaskog</t>
        </is>
      </c>
      <c r="G219" t="n">
        <v>5.3</v>
      </c>
      <c r="H219" t="n">
        <v>2</v>
      </c>
      <c r="I219" t="n">
        <v>0</v>
      </c>
      <c r="J219" t="n">
        <v>0</v>
      </c>
      <c r="K219" t="n">
        <v>0</v>
      </c>
      <c r="L219" t="n">
        <v>0</v>
      </c>
      <c r="M219" t="n">
        <v>0</v>
      </c>
      <c r="N219" t="n">
        <v>0</v>
      </c>
      <c r="O219" t="n">
        <v>0</v>
      </c>
      <c r="P219" t="n">
        <v>0</v>
      </c>
      <c r="Q219" t="n">
        <v>2</v>
      </c>
      <c r="R219" s="2" t="inlineStr">
        <is>
          <t>Mattlummer
Revlummer</t>
        </is>
      </c>
      <c r="S219">
        <f>HYPERLINK("https://klasma.github.io/Logging_0883/artfynd/A 11849-2024 artfynd.xlsx", "A 11849-2024")</f>
        <v/>
      </c>
      <c r="T219">
        <f>HYPERLINK("https://klasma.github.io/Logging_0883/kartor/A 11849-2024 karta.png", "A 11849-2024")</f>
        <v/>
      </c>
      <c r="V219">
        <f>HYPERLINK("https://klasma.github.io/Logging_0883/klagomål/A 11849-2024 FSC-klagomål.docx", "A 11849-2024")</f>
        <v/>
      </c>
      <c r="W219">
        <f>HYPERLINK("https://klasma.github.io/Logging_0883/klagomålsmail/A 11849-2024 FSC-klagomål mail.docx", "A 11849-2024")</f>
        <v/>
      </c>
      <c r="X219">
        <f>HYPERLINK("https://klasma.github.io/Logging_0883/tillsyn/A 11849-2024 tillsynsbegäran.docx", "A 11849-2024")</f>
        <v/>
      </c>
      <c r="Y219">
        <f>HYPERLINK("https://klasma.github.io/Logging_0883/tillsynsmail/A 11849-2024 tillsynsbegäran mail.docx", "A 11849-2024")</f>
        <v/>
      </c>
    </row>
    <row r="220" ht="15" customHeight="1">
      <c r="A220" t="inlineStr">
        <is>
          <t>A 12212-2024</t>
        </is>
      </c>
      <c r="B220" s="1" t="n">
        <v>45378</v>
      </c>
      <c r="C220" s="1" t="n">
        <v>45842</v>
      </c>
      <c r="D220" t="inlineStr">
        <is>
          <t>KALMAR LÄN</t>
        </is>
      </c>
      <c r="E220" t="inlineStr">
        <is>
          <t>VÄSTERVIK</t>
        </is>
      </c>
      <c r="G220" t="n">
        <v>0.8</v>
      </c>
      <c r="H220" t="n">
        <v>2</v>
      </c>
      <c r="I220" t="n">
        <v>0</v>
      </c>
      <c r="J220" t="n">
        <v>2</v>
      </c>
      <c r="K220" t="n">
        <v>0</v>
      </c>
      <c r="L220" t="n">
        <v>0</v>
      </c>
      <c r="M220" t="n">
        <v>0</v>
      </c>
      <c r="N220" t="n">
        <v>0</v>
      </c>
      <c r="O220" t="n">
        <v>2</v>
      </c>
      <c r="P220" t="n">
        <v>0</v>
      </c>
      <c r="Q220" t="n">
        <v>2</v>
      </c>
      <c r="R220" s="2" t="inlineStr">
        <is>
          <t>Spillkråka
Talltita</t>
        </is>
      </c>
      <c r="S220">
        <f>HYPERLINK("https://klasma.github.io/Logging_0883/artfynd/A 12212-2024 artfynd.xlsx", "A 12212-2024")</f>
        <v/>
      </c>
      <c r="T220">
        <f>HYPERLINK("https://klasma.github.io/Logging_0883/kartor/A 12212-2024 karta.png", "A 12212-2024")</f>
        <v/>
      </c>
      <c r="V220">
        <f>HYPERLINK("https://klasma.github.io/Logging_0883/klagomål/A 12212-2024 FSC-klagomål.docx", "A 12212-2024")</f>
        <v/>
      </c>
      <c r="W220">
        <f>HYPERLINK("https://klasma.github.io/Logging_0883/klagomålsmail/A 12212-2024 FSC-klagomål mail.docx", "A 12212-2024")</f>
        <v/>
      </c>
      <c r="X220">
        <f>HYPERLINK("https://klasma.github.io/Logging_0883/tillsyn/A 12212-2024 tillsynsbegäran.docx", "A 12212-2024")</f>
        <v/>
      </c>
      <c r="Y220">
        <f>HYPERLINK("https://klasma.github.io/Logging_0883/tillsynsmail/A 12212-2024 tillsynsbegäran mail.docx", "A 12212-2024")</f>
        <v/>
      </c>
      <c r="Z220">
        <f>HYPERLINK("https://klasma.github.io/Logging_0883/fåglar/A 12212-2024 prioriterade fågelarter.docx", "A 12212-2024")</f>
        <v/>
      </c>
    </row>
    <row r="221" ht="15" customHeight="1">
      <c r="A221" t="inlineStr">
        <is>
          <t>A 12598-2024</t>
        </is>
      </c>
      <c r="B221" s="1" t="n">
        <v>45380</v>
      </c>
      <c r="C221" s="1" t="n">
        <v>45842</v>
      </c>
      <c r="D221" t="inlineStr">
        <is>
          <t>KALMAR LÄN</t>
        </is>
      </c>
      <c r="E221" t="inlineStr">
        <is>
          <t>VÄSTERVIK</t>
        </is>
      </c>
      <c r="F221" t="inlineStr">
        <is>
          <t>Holmen skog AB</t>
        </is>
      </c>
      <c r="G221" t="n">
        <v>5</v>
      </c>
      <c r="H221" t="n">
        <v>1</v>
      </c>
      <c r="I221" t="n">
        <v>1</v>
      </c>
      <c r="J221" t="n">
        <v>0</v>
      </c>
      <c r="K221" t="n">
        <v>1</v>
      </c>
      <c r="L221" t="n">
        <v>0</v>
      </c>
      <c r="M221" t="n">
        <v>0</v>
      </c>
      <c r="N221" t="n">
        <v>0</v>
      </c>
      <c r="O221" t="n">
        <v>1</v>
      </c>
      <c r="P221" t="n">
        <v>1</v>
      </c>
      <c r="Q221" t="n">
        <v>2</v>
      </c>
      <c r="R221" s="2" t="inlineStr">
        <is>
          <t>Knärot
Grönpyrola</t>
        </is>
      </c>
      <c r="S221">
        <f>HYPERLINK("https://klasma.github.io/Logging_0883/artfynd/A 12598-2024 artfynd.xlsx", "A 12598-2024")</f>
        <v/>
      </c>
      <c r="T221">
        <f>HYPERLINK("https://klasma.github.io/Logging_0883/kartor/A 12598-2024 karta.png", "A 12598-2024")</f>
        <v/>
      </c>
      <c r="U221">
        <f>HYPERLINK("https://klasma.github.io/Logging_0883/knärot/A 12598-2024 karta knärot.png", "A 12598-2024")</f>
        <v/>
      </c>
      <c r="V221">
        <f>HYPERLINK("https://klasma.github.io/Logging_0883/klagomål/A 12598-2024 FSC-klagomål.docx", "A 12598-2024")</f>
        <v/>
      </c>
      <c r="W221">
        <f>HYPERLINK("https://klasma.github.io/Logging_0883/klagomålsmail/A 12598-2024 FSC-klagomål mail.docx", "A 12598-2024")</f>
        <v/>
      </c>
      <c r="X221">
        <f>HYPERLINK("https://klasma.github.io/Logging_0883/tillsyn/A 12598-2024 tillsynsbegäran.docx", "A 12598-2024")</f>
        <v/>
      </c>
      <c r="Y221">
        <f>HYPERLINK("https://klasma.github.io/Logging_0883/tillsynsmail/A 12598-2024 tillsynsbegäran mail.docx", "A 12598-2024")</f>
        <v/>
      </c>
    </row>
    <row r="222" ht="15" customHeight="1">
      <c r="A222" t="inlineStr">
        <is>
          <t>A 15534-2024</t>
        </is>
      </c>
      <c r="B222" s="1" t="n">
        <v>45401</v>
      </c>
      <c r="C222" s="1" t="n">
        <v>45842</v>
      </c>
      <c r="D222" t="inlineStr">
        <is>
          <t>KALMAR LÄN</t>
        </is>
      </c>
      <c r="E222" t="inlineStr">
        <is>
          <t>VÄSTERVIK</t>
        </is>
      </c>
      <c r="F222" t="inlineStr">
        <is>
          <t>Holmen skog AB</t>
        </is>
      </c>
      <c r="G222" t="n">
        <v>5.1</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15534-2024 artfynd.xlsx", "A 15534-2024")</f>
        <v/>
      </c>
      <c r="T222">
        <f>HYPERLINK("https://klasma.github.io/Logging_0883/kartor/A 15534-2024 karta.png", "A 15534-2024")</f>
        <v/>
      </c>
      <c r="U222">
        <f>HYPERLINK("https://klasma.github.io/Logging_0883/knärot/A 15534-2024 karta knärot.png", "A 15534-2024")</f>
        <v/>
      </c>
      <c r="V222">
        <f>HYPERLINK("https://klasma.github.io/Logging_0883/klagomål/A 15534-2024 FSC-klagomål.docx", "A 15534-2024")</f>
        <v/>
      </c>
      <c r="W222">
        <f>HYPERLINK("https://klasma.github.io/Logging_0883/klagomålsmail/A 15534-2024 FSC-klagomål mail.docx", "A 15534-2024")</f>
        <v/>
      </c>
      <c r="X222">
        <f>HYPERLINK("https://klasma.github.io/Logging_0883/tillsyn/A 15534-2024 tillsynsbegäran.docx", "A 15534-2024")</f>
        <v/>
      </c>
      <c r="Y222">
        <f>HYPERLINK("https://klasma.github.io/Logging_0883/tillsynsmail/A 15534-2024 tillsynsbegäran mail.docx", "A 15534-2024")</f>
        <v/>
      </c>
    </row>
    <row r="223" ht="15" customHeight="1">
      <c r="A223" t="inlineStr">
        <is>
          <t>A 16419-2024</t>
        </is>
      </c>
      <c r="B223" s="1" t="n">
        <v>45407</v>
      </c>
      <c r="C223" s="1" t="n">
        <v>45842</v>
      </c>
      <c r="D223" t="inlineStr">
        <is>
          <t>KALMAR LÄN</t>
        </is>
      </c>
      <c r="E223" t="inlineStr">
        <is>
          <t>VÄSTERVIK</t>
        </is>
      </c>
      <c r="F223" t="inlineStr">
        <is>
          <t>Holmen skog AB</t>
        </is>
      </c>
      <c r="G223" t="n">
        <v>1.8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16419-2024 artfynd.xlsx", "A 16419-2024")</f>
        <v/>
      </c>
      <c r="T223">
        <f>HYPERLINK("https://klasma.github.io/Logging_0883/kartor/A 16419-2024 karta.png", "A 16419-2024")</f>
        <v/>
      </c>
      <c r="U223">
        <f>HYPERLINK("https://klasma.github.io/Logging_0883/knärot/A 16419-2024 karta knärot.png", "A 16419-2024")</f>
        <v/>
      </c>
      <c r="V223">
        <f>HYPERLINK("https://klasma.github.io/Logging_0883/klagomål/A 16419-2024 FSC-klagomål.docx", "A 16419-2024")</f>
        <v/>
      </c>
      <c r="W223">
        <f>HYPERLINK("https://klasma.github.io/Logging_0883/klagomålsmail/A 16419-2024 FSC-klagomål mail.docx", "A 16419-2024")</f>
        <v/>
      </c>
      <c r="X223">
        <f>HYPERLINK("https://klasma.github.io/Logging_0883/tillsyn/A 16419-2024 tillsynsbegäran.docx", "A 16419-2024")</f>
        <v/>
      </c>
      <c r="Y223">
        <f>HYPERLINK("https://klasma.github.io/Logging_0883/tillsynsmail/A 16419-2024 tillsynsbegäran mail.docx", "A 16419-2024")</f>
        <v/>
      </c>
      <c r="Z223">
        <f>HYPERLINK("https://klasma.github.io/Logging_0883/fåglar/A 16419-2024 prioriterade fågelarter.docx", "A 16419-2024")</f>
        <v/>
      </c>
    </row>
    <row r="224" ht="15" customHeight="1">
      <c r="A224" t="inlineStr">
        <is>
          <t>A 17438-2024</t>
        </is>
      </c>
      <c r="B224" s="1" t="n">
        <v>45415</v>
      </c>
      <c r="C224" s="1" t="n">
        <v>45842</v>
      </c>
      <c r="D224" t="inlineStr">
        <is>
          <t>KALMAR LÄN</t>
        </is>
      </c>
      <c r="E224" t="inlineStr">
        <is>
          <t>VÄSTERVIK</t>
        </is>
      </c>
      <c r="G224" t="n">
        <v>3.8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17438-2024 artfynd.xlsx", "A 17438-2024")</f>
        <v/>
      </c>
      <c r="T224">
        <f>HYPERLINK("https://klasma.github.io/Logging_0883/kartor/A 17438-2024 karta.png", "A 17438-2024")</f>
        <v/>
      </c>
      <c r="U224">
        <f>HYPERLINK("https://klasma.github.io/Logging_0883/knärot/A 17438-2024 karta knärot.png", "A 17438-2024")</f>
        <v/>
      </c>
      <c r="V224">
        <f>HYPERLINK("https://klasma.github.io/Logging_0883/klagomål/A 17438-2024 FSC-klagomål.docx", "A 17438-2024")</f>
        <v/>
      </c>
      <c r="W224">
        <f>HYPERLINK("https://klasma.github.io/Logging_0883/klagomålsmail/A 17438-2024 FSC-klagomål mail.docx", "A 17438-2024")</f>
        <v/>
      </c>
      <c r="X224">
        <f>HYPERLINK("https://klasma.github.io/Logging_0883/tillsyn/A 17438-2024 tillsynsbegäran.docx", "A 17438-2024")</f>
        <v/>
      </c>
      <c r="Y224">
        <f>HYPERLINK("https://klasma.github.io/Logging_0883/tillsynsmail/A 17438-2024 tillsynsbegäran mail.docx", "A 17438-2024")</f>
        <v/>
      </c>
      <c r="Z224">
        <f>HYPERLINK("https://klasma.github.io/Logging_0883/fåglar/A 17438-2024 prioriterade fågelarter.docx", "A 17438-2024")</f>
        <v/>
      </c>
    </row>
    <row r="225" ht="15" customHeight="1">
      <c r="A225" t="inlineStr">
        <is>
          <t>A 23220-2024</t>
        </is>
      </c>
      <c r="B225" s="1" t="n">
        <v>45452</v>
      </c>
      <c r="C225" s="1" t="n">
        <v>45842</v>
      </c>
      <c r="D225" t="inlineStr">
        <is>
          <t>KALMAR LÄN</t>
        </is>
      </c>
      <c r="E225" t="inlineStr">
        <is>
          <t>VÄSTERVIK</t>
        </is>
      </c>
      <c r="G225" t="n">
        <v>0.9</v>
      </c>
      <c r="H225" t="n">
        <v>0</v>
      </c>
      <c r="I225" t="n">
        <v>2</v>
      </c>
      <c r="J225" t="n">
        <v>0</v>
      </c>
      <c r="K225" t="n">
        <v>0</v>
      </c>
      <c r="L225" t="n">
        <v>0</v>
      </c>
      <c r="M225" t="n">
        <v>0</v>
      </c>
      <c r="N225" t="n">
        <v>0</v>
      </c>
      <c r="O225" t="n">
        <v>0</v>
      </c>
      <c r="P225" t="n">
        <v>0</v>
      </c>
      <c r="Q225" t="n">
        <v>2</v>
      </c>
      <c r="R225" s="2" t="inlineStr">
        <is>
          <t>Blåmossa
Grönpyrola</t>
        </is>
      </c>
      <c r="S225">
        <f>HYPERLINK("https://klasma.github.io/Logging_0883/artfynd/A 23220-2024 artfynd.xlsx", "A 23220-2024")</f>
        <v/>
      </c>
      <c r="T225">
        <f>HYPERLINK("https://klasma.github.io/Logging_0883/kartor/A 23220-2024 karta.png", "A 23220-2024")</f>
        <v/>
      </c>
      <c r="V225">
        <f>HYPERLINK("https://klasma.github.io/Logging_0883/klagomål/A 23220-2024 FSC-klagomål.docx", "A 23220-2024")</f>
        <v/>
      </c>
      <c r="W225">
        <f>HYPERLINK("https://klasma.github.io/Logging_0883/klagomålsmail/A 23220-2024 FSC-klagomål mail.docx", "A 23220-2024")</f>
        <v/>
      </c>
      <c r="X225">
        <f>HYPERLINK("https://klasma.github.io/Logging_0883/tillsyn/A 23220-2024 tillsynsbegäran.docx", "A 23220-2024")</f>
        <v/>
      </c>
      <c r="Y225">
        <f>HYPERLINK("https://klasma.github.io/Logging_0883/tillsynsmail/A 23220-2024 tillsynsbegäran mail.docx", "A 23220-2024")</f>
        <v/>
      </c>
    </row>
    <row r="226" ht="15" customHeight="1">
      <c r="A226" t="inlineStr">
        <is>
          <t>A 23791-2024</t>
        </is>
      </c>
      <c r="B226" s="1" t="n">
        <v>45455</v>
      </c>
      <c r="C226" s="1" t="n">
        <v>45842</v>
      </c>
      <c r="D226" t="inlineStr">
        <is>
          <t>KALMAR LÄN</t>
        </is>
      </c>
      <c r="E226" t="inlineStr">
        <is>
          <t>VÄSTERVIK</t>
        </is>
      </c>
      <c r="G226" t="n">
        <v>1.1</v>
      </c>
      <c r="H226" t="n">
        <v>1</v>
      </c>
      <c r="I226" t="n">
        <v>1</v>
      </c>
      <c r="J226" t="n">
        <v>0</v>
      </c>
      <c r="K226" t="n">
        <v>1</v>
      </c>
      <c r="L226" t="n">
        <v>0</v>
      </c>
      <c r="M226" t="n">
        <v>0</v>
      </c>
      <c r="N226" t="n">
        <v>0</v>
      </c>
      <c r="O226" t="n">
        <v>1</v>
      </c>
      <c r="P226" t="n">
        <v>1</v>
      </c>
      <c r="Q226" t="n">
        <v>2</v>
      </c>
      <c r="R226" s="2" t="inlineStr">
        <is>
          <t>Knärot
Tjockfotad fingersvamp</t>
        </is>
      </c>
      <c r="S226">
        <f>HYPERLINK("https://klasma.github.io/Logging_0883/artfynd/A 23791-2024 artfynd.xlsx", "A 23791-2024")</f>
        <v/>
      </c>
      <c r="T226">
        <f>HYPERLINK("https://klasma.github.io/Logging_0883/kartor/A 23791-2024 karta.png", "A 23791-2024")</f>
        <v/>
      </c>
      <c r="U226">
        <f>HYPERLINK("https://klasma.github.io/Logging_0883/knärot/A 23791-2024 karta knärot.png", "A 23791-2024")</f>
        <v/>
      </c>
      <c r="V226">
        <f>HYPERLINK("https://klasma.github.io/Logging_0883/klagomål/A 23791-2024 FSC-klagomål.docx", "A 23791-2024")</f>
        <v/>
      </c>
      <c r="W226">
        <f>HYPERLINK("https://klasma.github.io/Logging_0883/klagomålsmail/A 23791-2024 FSC-klagomål mail.docx", "A 23791-2024")</f>
        <v/>
      </c>
      <c r="X226">
        <f>HYPERLINK("https://klasma.github.io/Logging_0883/tillsyn/A 23791-2024 tillsynsbegäran.docx", "A 23791-2024")</f>
        <v/>
      </c>
      <c r="Y226">
        <f>HYPERLINK("https://klasma.github.io/Logging_0883/tillsynsmail/A 23791-2024 tillsynsbegäran mail.docx", "A 23791-2024")</f>
        <v/>
      </c>
    </row>
    <row r="227" ht="15" customHeight="1">
      <c r="A227" t="inlineStr">
        <is>
          <t>A 26992-2024</t>
        </is>
      </c>
      <c r="B227" s="1" t="n">
        <v>45471</v>
      </c>
      <c r="C227" s="1" t="n">
        <v>45842</v>
      </c>
      <c r="D227" t="inlineStr">
        <is>
          <t>KALMAR LÄN</t>
        </is>
      </c>
      <c r="E227" t="inlineStr">
        <is>
          <t>VÄSTERVIK</t>
        </is>
      </c>
      <c r="F227" t="inlineStr">
        <is>
          <t>Holmen skog AB</t>
        </is>
      </c>
      <c r="G227" t="n">
        <v>4.6</v>
      </c>
      <c r="H227" t="n">
        <v>2</v>
      </c>
      <c r="I227" t="n">
        <v>0</v>
      </c>
      <c r="J227" t="n">
        <v>2</v>
      </c>
      <c r="K227" t="n">
        <v>0</v>
      </c>
      <c r="L227" t="n">
        <v>0</v>
      </c>
      <c r="M227" t="n">
        <v>0</v>
      </c>
      <c r="N227" t="n">
        <v>0</v>
      </c>
      <c r="O227" t="n">
        <v>2</v>
      </c>
      <c r="P227" t="n">
        <v>0</v>
      </c>
      <c r="Q227" t="n">
        <v>2</v>
      </c>
      <c r="R227" s="2" t="inlineStr">
        <is>
          <t>Mindre hackspett
Talltita</t>
        </is>
      </c>
      <c r="S227">
        <f>HYPERLINK("https://klasma.github.io/Logging_0883/artfynd/A 26992-2024 artfynd.xlsx", "A 26992-2024")</f>
        <v/>
      </c>
      <c r="T227">
        <f>HYPERLINK("https://klasma.github.io/Logging_0883/kartor/A 26992-2024 karta.png", "A 26992-2024")</f>
        <v/>
      </c>
      <c r="V227">
        <f>HYPERLINK("https://klasma.github.io/Logging_0883/klagomål/A 26992-2024 FSC-klagomål.docx", "A 26992-2024")</f>
        <v/>
      </c>
      <c r="W227">
        <f>HYPERLINK("https://klasma.github.io/Logging_0883/klagomålsmail/A 26992-2024 FSC-klagomål mail.docx", "A 26992-2024")</f>
        <v/>
      </c>
      <c r="X227">
        <f>HYPERLINK("https://klasma.github.io/Logging_0883/tillsyn/A 26992-2024 tillsynsbegäran.docx", "A 26992-2024")</f>
        <v/>
      </c>
      <c r="Y227">
        <f>HYPERLINK("https://klasma.github.io/Logging_0883/tillsynsmail/A 26992-2024 tillsynsbegäran mail.docx", "A 26992-2024")</f>
        <v/>
      </c>
      <c r="Z227">
        <f>HYPERLINK("https://klasma.github.io/Logging_0883/fåglar/A 26992-2024 prioriterade fågelarter.docx", "A 26992-2024")</f>
        <v/>
      </c>
    </row>
    <row r="228" ht="15" customHeight="1">
      <c r="A228" t="inlineStr">
        <is>
          <t>A 28401-2024</t>
        </is>
      </c>
      <c r="B228" s="1" t="n">
        <v>45477</v>
      </c>
      <c r="C228" s="1" t="n">
        <v>45842</v>
      </c>
      <c r="D228" t="inlineStr">
        <is>
          <t>KALMAR LÄN</t>
        </is>
      </c>
      <c r="E228" t="inlineStr">
        <is>
          <t>VÄSTERVIK</t>
        </is>
      </c>
      <c r="F228" t="inlineStr">
        <is>
          <t>Holmen skog AB</t>
        </is>
      </c>
      <c r="G228" t="n">
        <v>2.4</v>
      </c>
      <c r="H228" t="n">
        <v>2</v>
      </c>
      <c r="I228" t="n">
        <v>0</v>
      </c>
      <c r="J228" t="n">
        <v>1</v>
      </c>
      <c r="K228" t="n">
        <v>0</v>
      </c>
      <c r="L228" t="n">
        <v>0</v>
      </c>
      <c r="M228" t="n">
        <v>0</v>
      </c>
      <c r="N228" t="n">
        <v>0</v>
      </c>
      <c r="O228" t="n">
        <v>1</v>
      </c>
      <c r="P228" t="n">
        <v>0</v>
      </c>
      <c r="Q228" t="n">
        <v>2</v>
      </c>
      <c r="R228" s="2" t="inlineStr">
        <is>
          <t>Talltita
Revlummer</t>
        </is>
      </c>
      <c r="S228">
        <f>HYPERLINK("https://klasma.github.io/Logging_0883/artfynd/A 28401-2024 artfynd.xlsx", "A 28401-2024")</f>
        <v/>
      </c>
      <c r="T228">
        <f>HYPERLINK("https://klasma.github.io/Logging_0883/kartor/A 28401-2024 karta.png", "A 28401-2024")</f>
        <v/>
      </c>
      <c r="V228">
        <f>HYPERLINK("https://klasma.github.io/Logging_0883/klagomål/A 28401-2024 FSC-klagomål.docx", "A 28401-2024")</f>
        <v/>
      </c>
      <c r="W228">
        <f>HYPERLINK("https://klasma.github.io/Logging_0883/klagomålsmail/A 28401-2024 FSC-klagomål mail.docx", "A 28401-2024")</f>
        <v/>
      </c>
      <c r="X228">
        <f>HYPERLINK("https://klasma.github.io/Logging_0883/tillsyn/A 28401-2024 tillsynsbegäran.docx", "A 28401-2024")</f>
        <v/>
      </c>
      <c r="Y228">
        <f>HYPERLINK("https://klasma.github.io/Logging_0883/tillsynsmail/A 28401-2024 tillsynsbegäran mail.docx", "A 28401-2024")</f>
        <v/>
      </c>
      <c r="Z228">
        <f>HYPERLINK("https://klasma.github.io/Logging_0883/fåglar/A 28401-2024 prioriterade fågelarter.docx", "A 28401-2024")</f>
        <v/>
      </c>
    </row>
    <row r="229" ht="15" customHeight="1">
      <c r="A229" t="inlineStr">
        <is>
          <t>A 31435-2024</t>
        </is>
      </c>
      <c r="B229" s="1" t="n">
        <v>45505</v>
      </c>
      <c r="C229" s="1" t="n">
        <v>45842</v>
      </c>
      <c r="D229" t="inlineStr">
        <is>
          <t>KALMAR LÄN</t>
        </is>
      </c>
      <c r="E229" t="inlineStr">
        <is>
          <t>VÄSTERVIK</t>
        </is>
      </c>
      <c r="G229" t="n">
        <v>1.3</v>
      </c>
      <c r="H229" t="n">
        <v>0</v>
      </c>
      <c r="I229" t="n">
        <v>1</v>
      </c>
      <c r="J229" t="n">
        <v>1</v>
      </c>
      <c r="K229" t="n">
        <v>0</v>
      </c>
      <c r="L229" t="n">
        <v>0</v>
      </c>
      <c r="M229" t="n">
        <v>0</v>
      </c>
      <c r="N229" t="n">
        <v>0</v>
      </c>
      <c r="O229" t="n">
        <v>1</v>
      </c>
      <c r="P229" t="n">
        <v>0</v>
      </c>
      <c r="Q229" t="n">
        <v>2</v>
      </c>
      <c r="R229" s="2" t="inlineStr">
        <is>
          <t>Oxtungssvamp
Blomkålssvamp</t>
        </is>
      </c>
      <c r="S229">
        <f>HYPERLINK("https://klasma.github.io/Logging_0883/artfynd/A 31435-2024 artfynd.xlsx", "A 31435-2024")</f>
        <v/>
      </c>
      <c r="T229">
        <f>HYPERLINK("https://klasma.github.io/Logging_0883/kartor/A 31435-2024 karta.png", "A 31435-2024")</f>
        <v/>
      </c>
      <c r="V229">
        <f>HYPERLINK("https://klasma.github.io/Logging_0883/klagomål/A 31435-2024 FSC-klagomål.docx", "A 31435-2024")</f>
        <v/>
      </c>
      <c r="W229">
        <f>HYPERLINK("https://klasma.github.io/Logging_0883/klagomålsmail/A 31435-2024 FSC-klagomål mail.docx", "A 31435-2024")</f>
        <v/>
      </c>
      <c r="X229">
        <f>HYPERLINK("https://klasma.github.io/Logging_0883/tillsyn/A 31435-2024 tillsynsbegäran.docx", "A 31435-2024")</f>
        <v/>
      </c>
      <c r="Y229">
        <f>HYPERLINK("https://klasma.github.io/Logging_0883/tillsynsmail/A 31435-2024 tillsynsbegäran mail.docx", "A 31435-2024")</f>
        <v/>
      </c>
    </row>
    <row r="230" ht="15" customHeight="1">
      <c r="A230" t="inlineStr">
        <is>
          <t>A 34834-2024</t>
        </is>
      </c>
      <c r="B230" s="1" t="n">
        <v>45526</v>
      </c>
      <c r="C230" s="1" t="n">
        <v>45842</v>
      </c>
      <c r="D230" t="inlineStr">
        <is>
          <t>KALMAR LÄN</t>
        </is>
      </c>
      <c r="E230" t="inlineStr">
        <is>
          <t>VÄSTERVIK</t>
        </is>
      </c>
      <c r="F230" t="inlineStr">
        <is>
          <t>Sveaskog</t>
        </is>
      </c>
      <c r="G230" t="n">
        <v>4.2</v>
      </c>
      <c r="H230" t="n">
        <v>1</v>
      </c>
      <c r="I230" t="n">
        <v>1</v>
      </c>
      <c r="J230" t="n">
        <v>1</v>
      </c>
      <c r="K230" t="n">
        <v>0</v>
      </c>
      <c r="L230" t="n">
        <v>0</v>
      </c>
      <c r="M230" t="n">
        <v>0</v>
      </c>
      <c r="N230" t="n">
        <v>0</v>
      </c>
      <c r="O230" t="n">
        <v>1</v>
      </c>
      <c r="P230" t="n">
        <v>0</v>
      </c>
      <c r="Q230" t="n">
        <v>2</v>
      </c>
      <c r="R230" s="2" t="inlineStr">
        <is>
          <t>Brunag
Tvåblad</t>
        </is>
      </c>
      <c r="S230">
        <f>HYPERLINK("https://klasma.github.io/Logging_0883/artfynd/A 34834-2024 artfynd.xlsx", "A 34834-2024")</f>
        <v/>
      </c>
      <c r="T230">
        <f>HYPERLINK("https://klasma.github.io/Logging_0883/kartor/A 34834-2024 karta.png", "A 34834-2024")</f>
        <v/>
      </c>
      <c r="V230">
        <f>HYPERLINK("https://klasma.github.io/Logging_0883/klagomål/A 34834-2024 FSC-klagomål.docx", "A 34834-2024")</f>
        <v/>
      </c>
      <c r="W230">
        <f>HYPERLINK("https://klasma.github.io/Logging_0883/klagomålsmail/A 34834-2024 FSC-klagomål mail.docx", "A 34834-2024")</f>
        <v/>
      </c>
      <c r="X230">
        <f>HYPERLINK("https://klasma.github.io/Logging_0883/tillsyn/A 34834-2024 tillsynsbegäran.docx", "A 34834-2024")</f>
        <v/>
      </c>
      <c r="Y230">
        <f>HYPERLINK("https://klasma.github.io/Logging_0883/tillsynsmail/A 34834-2024 tillsynsbegäran mail.docx", "A 34834-2024")</f>
        <v/>
      </c>
    </row>
    <row r="231" ht="15" customHeight="1">
      <c r="A231" t="inlineStr">
        <is>
          <t>A 35236-2024</t>
        </is>
      </c>
      <c r="B231" s="1" t="n">
        <v>45530</v>
      </c>
      <c r="C231" s="1" t="n">
        <v>45842</v>
      </c>
      <c r="D231" t="inlineStr">
        <is>
          <t>KALMAR LÄN</t>
        </is>
      </c>
      <c r="E231" t="inlineStr">
        <is>
          <t>VÄSTERVIK</t>
        </is>
      </c>
      <c r="G231" t="n">
        <v>0.9</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35236-2024 artfynd.xlsx", "A 35236-2024")</f>
        <v/>
      </c>
      <c r="T231">
        <f>HYPERLINK("https://klasma.github.io/Logging_0883/kartor/A 35236-2024 karta.png", "A 35236-2024")</f>
        <v/>
      </c>
      <c r="U231">
        <f>HYPERLINK("https://klasma.github.io/Logging_0883/knärot/A 35236-2024 karta knärot.png", "A 35236-2024")</f>
        <v/>
      </c>
      <c r="V231">
        <f>HYPERLINK("https://klasma.github.io/Logging_0883/klagomål/A 35236-2024 FSC-klagomål.docx", "A 35236-2024")</f>
        <v/>
      </c>
      <c r="W231">
        <f>HYPERLINK("https://klasma.github.io/Logging_0883/klagomålsmail/A 35236-2024 FSC-klagomål mail.docx", "A 35236-2024")</f>
        <v/>
      </c>
      <c r="X231">
        <f>HYPERLINK("https://klasma.github.io/Logging_0883/tillsyn/A 35236-2024 tillsynsbegäran.docx", "A 35236-2024")</f>
        <v/>
      </c>
      <c r="Y231">
        <f>HYPERLINK("https://klasma.github.io/Logging_0883/tillsynsmail/A 35236-2024 tillsynsbegäran mail.docx", "A 35236-2024")</f>
        <v/>
      </c>
    </row>
    <row r="232" ht="15" customHeight="1">
      <c r="A232" t="inlineStr">
        <is>
          <t>A 35930-2024</t>
        </is>
      </c>
      <c r="B232" s="1" t="n">
        <v>45533</v>
      </c>
      <c r="C232" s="1" t="n">
        <v>45842</v>
      </c>
      <c r="D232" t="inlineStr">
        <is>
          <t>KALMAR LÄN</t>
        </is>
      </c>
      <c r="E232" t="inlineStr">
        <is>
          <t>VÄSTERVIK</t>
        </is>
      </c>
      <c r="G232" t="n">
        <v>2.1</v>
      </c>
      <c r="H232" t="n">
        <v>1</v>
      </c>
      <c r="I232" t="n">
        <v>0</v>
      </c>
      <c r="J232" t="n">
        <v>2</v>
      </c>
      <c r="K232" t="n">
        <v>0</v>
      </c>
      <c r="L232" t="n">
        <v>0</v>
      </c>
      <c r="M232" t="n">
        <v>0</v>
      </c>
      <c r="N232" t="n">
        <v>0</v>
      </c>
      <c r="O232" t="n">
        <v>2</v>
      </c>
      <c r="P232" t="n">
        <v>0</v>
      </c>
      <c r="Q232" t="n">
        <v>2</v>
      </c>
      <c r="R232" s="2" t="inlineStr">
        <is>
          <t>Tallticka
Talltita</t>
        </is>
      </c>
      <c r="S232">
        <f>HYPERLINK("https://klasma.github.io/Logging_0883/artfynd/A 35930-2024 artfynd.xlsx", "A 35930-2024")</f>
        <v/>
      </c>
      <c r="T232">
        <f>HYPERLINK("https://klasma.github.io/Logging_0883/kartor/A 35930-2024 karta.png", "A 35930-2024")</f>
        <v/>
      </c>
      <c r="V232">
        <f>HYPERLINK("https://klasma.github.io/Logging_0883/klagomål/A 35930-2024 FSC-klagomål.docx", "A 35930-2024")</f>
        <v/>
      </c>
      <c r="W232">
        <f>HYPERLINK("https://klasma.github.io/Logging_0883/klagomålsmail/A 35930-2024 FSC-klagomål mail.docx", "A 35930-2024")</f>
        <v/>
      </c>
      <c r="X232">
        <f>HYPERLINK("https://klasma.github.io/Logging_0883/tillsyn/A 35930-2024 tillsynsbegäran.docx", "A 35930-2024")</f>
        <v/>
      </c>
      <c r="Y232">
        <f>HYPERLINK("https://klasma.github.io/Logging_0883/tillsynsmail/A 35930-2024 tillsynsbegäran mail.docx", "A 35930-2024")</f>
        <v/>
      </c>
      <c r="Z232">
        <f>HYPERLINK("https://klasma.github.io/Logging_0883/fåglar/A 35930-2024 prioriterade fågelarter.docx", "A 35930-2024")</f>
        <v/>
      </c>
    </row>
    <row r="233" ht="15" customHeight="1">
      <c r="A233" t="inlineStr">
        <is>
          <t>A 37106-2024</t>
        </is>
      </c>
      <c r="B233" s="1" t="n">
        <v>45539</v>
      </c>
      <c r="C233" s="1" t="n">
        <v>45842</v>
      </c>
      <c r="D233" t="inlineStr">
        <is>
          <t>KALMAR LÄN</t>
        </is>
      </c>
      <c r="E233" t="inlineStr">
        <is>
          <t>VÄSTERVIK</t>
        </is>
      </c>
      <c r="F233" t="inlineStr">
        <is>
          <t>Holmen skog AB</t>
        </is>
      </c>
      <c r="G233" t="n">
        <v>8.5</v>
      </c>
      <c r="H233" t="n">
        <v>2</v>
      </c>
      <c r="I233" t="n">
        <v>0</v>
      </c>
      <c r="J233" t="n">
        <v>1</v>
      </c>
      <c r="K233" t="n">
        <v>1</v>
      </c>
      <c r="L233" t="n">
        <v>0</v>
      </c>
      <c r="M233" t="n">
        <v>0</v>
      </c>
      <c r="N233" t="n">
        <v>0</v>
      </c>
      <c r="O233" t="n">
        <v>2</v>
      </c>
      <c r="P233" t="n">
        <v>1</v>
      </c>
      <c r="Q233" t="n">
        <v>2</v>
      </c>
      <c r="R233" s="2" t="inlineStr">
        <is>
          <t>Knärot
Mindre hackspett</t>
        </is>
      </c>
      <c r="S233">
        <f>HYPERLINK("https://klasma.github.io/Logging_0883/artfynd/A 37106-2024 artfynd.xlsx", "A 37106-2024")</f>
        <v/>
      </c>
      <c r="T233">
        <f>HYPERLINK("https://klasma.github.io/Logging_0883/kartor/A 37106-2024 karta.png", "A 37106-2024")</f>
        <v/>
      </c>
      <c r="U233">
        <f>HYPERLINK("https://klasma.github.io/Logging_0883/knärot/A 37106-2024 karta knärot.png", "A 37106-2024")</f>
        <v/>
      </c>
      <c r="V233">
        <f>HYPERLINK("https://klasma.github.io/Logging_0883/klagomål/A 37106-2024 FSC-klagomål.docx", "A 37106-2024")</f>
        <v/>
      </c>
      <c r="W233">
        <f>HYPERLINK("https://klasma.github.io/Logging_0883/klagomålsmail/A 37106-2024 FSC-klagomål mail.docx", "A 37106-2024")</f>
        <v/>
      </c>
      <c r="X233">
        <f>HYPERLINK("https://klasma.github.io/Logging_0883/tillsyn/A 37106-2024 tillsynsbegäran.docx", "A 37106-2024")</f>
        <v/>
      </c>
      <c r="Y233">
        <f>HYPERLINK("https://klasma.github.io/Logging_0883/tillsynsmail/A 37106-2024 tillsynsbegäran mail.docx", "A 37106-2024")</f>
        <v/>
      </c>
      <c r="Z233">
        <f>HYPERLINK("https://klasma.github.io/Logging_0883/fåglar/A 37106-2024 prioriterade fågelarter.docx", "A 37106-2024")</f>
        <v/>
      </c>
    </row>
    <row r="234" ht="15" customHeight="1">
      <c r="A234" t="inlineStr">
        <is>
          <t>A 39256-2024</t>
        </is>
      </c>
      <c r="B234" s="1" t="n">
        <v>45551</v>
      </c>
      <c r="C234" s="1" t="n">
        <v>45842</v>
      </c>
      <c r="D234" t="inlineStr">
        <is>
          <t>KALMAR LÄN</t>
        </is>
      </c>
      <c r="E234" t="inlineStr">
        <is>
          <t>VÄSTERVIK</t>
        </is>
      </c>
      <c r="G234" t="n">
        <v>1.9</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39256-2024 artfynd.xlsx", "A 39256-2024")</f>
        <v/>
      </c>
      <c r="T234">
        <f>HYPERLINK("https://klasma.github.io/Logging_0883/kartor/A 39256-2024 karta.png", "A 39256-2024")</f>
        <v/>
      </c>
      <c r="U234">
        <f>HYPERLINK("https://klasma.github.io/Logging_0883/knärot/A 39256-2024 karta knärot.png", "A 39256-2024")</f>
        <v/>
      </c>
      <c r="V234">
        <f>HYPERLINK("https://klasma.github.io/Logging_0883/klagomål/A 39256-2024 FSC-klagomål.docx", "A 39256-2024")</f>
        <v/>
      </c>
      <c r="W234">
        <f>HYPERLINK("https://klasma.github.io/Logging_0883/klagomålsmail/A 39256-2024 FSC-klagomål mail.docx", "A 39256-2024")</f>
        <v/>
      </c>
      <c r="X234">
        <f>HYPERLINK("https://klasma.github.io/Logging_0883/tillsyn/A 39256-2024 tillsynsbegäran.docx", "A 39256-2024")</f>
        <v/>
      </c>
      <c r="Y234">
        <f>HYPERLINK("https://klasma.github.io/Logging_0883/tillsynsmail/A 39256-2024 tillsynsbegäran mail.docx", "A 39256-2024")</f>
        <v/>
      </c>
      <c r="Z234">
        <f>HYPERLINK("https://klasma.github.io/Logging_0883/fåglar/A 39256-2024 prioriterade fågelarter.docx", "A 39256-2024")</f>
        <v/>
      </c>
    </row>
    <row r="235" ht="15" customHeight="1">
      <c r="A235" t="inlineStr">
        <is>
          <t>A 40331-2024</t>
        </is>
      </c>
      <c r="B235" s="1" t="n">
        <v>45555</v>
      </c>
      <c r="C235" s="1" t="n">
        <v>45842</v>
      </c>
      <c r="D235" t="inlineStr">
        <is>
          <t>KALMAR LÄN</t>
        </is>
      </c>
      <c r="E235" t="inlineStr">
        <is>
          <t>VÄSTERVIK</t>
        </is>
      </c>
      <c r="G235" t="n">
        <v>1.5</v>
      </c>
      <c r="H235" t="n">
        <v>1</v>
      </c>
      <c r="I235" t="n">
        <v>1</v>
      </c>
      <c r="J235" t="n">
        <v>0</v>
      </c>
      <c r="K235" t="n">
        <v>0</v>
      </c>
      <c r="L235" t="n">
        <v>0</v>
      </c>
      <c r="M235" t="n">
        <v>0</v>
      </c>
      <c r="N235" t="n">
        <v>0</v>
      </c>
      <c r="O235" t="n">
        <v>0</v>
      </c>
      <c r="P235" t="n">
        <v>0</v>
      </c>
      <c r="Q235" t="n">
        <v>2</v>
      </c>
      <c r="R235" s="2" t="inlineStr">
        <is>
          <t>Murgröna
Blåsippa</t>
        </is>
      </c>
      <c r="S235">
        <f>HYPERLINK("https://klasma.github.io/Logging_0883/artfynd/A 40331-2024 artfynd.xlsx", "A 40331-2024")</f>
        <v/>
      </c>
      <c r="T235">
        <f>HYPERLINK("https://klasma.github.io/Logging_0883/kartor/A 40331-2024 karta.png", "A 40331-2024")</f>
        <v/>
      </c>
      <c r="V235">
        <f>HYPERLINK("https://klasma.github.io/Logging_0883/klagomål/A 40331-2024 FSC-klagomål.docx", "A 40331-2024")</f>
        <v/>
      </c>
      <c r="W235">
        <f>HYPERLINK("https://klasma.github.io/Logging_0883/klagomålsmail/A 40331-2024 FSC-klagomål mail.docx", "A 40331-2024")</f>
        <v/>
      </c>
      <c r="X235">
        <f>HYPERLINK("https://klasma.github.io/Logging_0883/tillsyn/A 40331-2024 tillsynsbegäran.docx", "A 40331-2024")</f>
        <v/>
      </c>
      <c r="Y235">
        <f>HYPERLINK("https://klasma.github.io/Logging_0883/tillsynsmail/A 40331-2024 tillsynsbegäran mail.docx", "A 40331-2024")</f>
        <v/>
      </c>
    </row>
    <row r="236" ht="15" customHeight="1">
      <c r="A236" t="inlineStr">
        <is>
          <t>A 41573-2024</t>
        </is>
      </c>
      <c r="B236" s="1" t="n">
        <v>45560</v>
      </c>
      <c r="C236" s="1" t="n">
        <v>45842</v>
      </c>
      <c r="D236" t="inlineStr">
        <is>
          <t>KALMAR LÄN</t>
        </is>
      </c>
      <c r="E236" t="inlineStr">
        <is>
          <t>VÄSTERVIK</t>
        </is>
      </c>
      <c r="G236" t="n">
        <v>1.6</v>
      </c>
      <c r="H236" t="n">
        <v>1</v>
      </c>
      <c r="I236" t="n">
        <v>1</v>
      </c>
      <c r="J236" t="n">
        <v>0</v>
      </c>
      <c r="K236" t="n">
        <v>1</v>
      </c>
      <c r="L236" t="n">
        <v>0</v>
      </c>
      <c r="M236" t="n">
        <v>0</v>
      </c>
      <c r="N236" t="n">
        <v>0</v>
      </c>
      <c r="O236" t="n">
        <v>1</v>
      </c>
      <c r="P236" t="n">
        <v>1</v>
      </c>
      <c r="Q236" t="n">
        <v>2</v>
      </c>
      <c r="R236" s="2" t="inlineStr">
        <is>
          <t>Knärot
Blåmossa</t>
        </is>
      </c>
      <c r="S236">
        <f>HYPERLINK("https://klasma.github.io/Logging_0883/artfynd/A 41573-2024 artfynd.xlsx", "A 41573-2024")</f>
        <v/>
      </c>
      <c r="T236">
        <f>HYPERLINK("https://klasma.github.io/Logging_0883/kartor/A 41573-2024 karta.png", "A 41573-2024")</f>
        <v/>
      </c>
      <c r="U236">
        <f>HYPERLINK("https://klasma.github.io/Logging_0883/knärot/A 41573-2024 karta knärot.png", "A 41573-2024")</f>
        <v/>
      </c>
      <c r="V236">
        <f>HYPERLINK("https://klasma.github.io/Logging_0883/klagomål/A 41573-2024 FSC-klagomål.docx", "A 41573-2024")</f>
        <v/>
      </c>
      <c r="W236">
        <f>HYPERLINK("https://klasma.github.io/Logging_0883/klagomålsmail/A 41573-2024 FSC-klagomål mail.docx", "A 41573-2024")</f>
        <v/>
      </c>
      <c r="X236">
        <f>HYPERLINK("https://klasma.github.io/Logging_0883/tillsyn/A 41573-2024 tillsynsbegäran.docx", "A 41573-2024")</f>
        <v/>
      </c>
      <c r="Y236">
        <f>HYPERLINK("https://klasma.github.io/Logging_0883/tillsynsmail/A 41573-2024 tillsynsbegäran mail.docx", "A 41573-2024")</f>
        <v/>
      </c>
    </row>
    <row r="237" ht="15" customHeight="1">
      <c r="A237" t="inlineStr">
        <is>
          <t>A 48727-2024</t>
        </is>
      </c>
      <c r="B237" s="1" t="n">
        <v>45593</v>
      </c>
      <c r="C237" s="1" t="n">
        <v>45842</v>
      </c>
      <c r="D237" t="inlineStr">
        <is>
          <t>KALMAR LÄN</t>
        </is>
      </c>
      <c r="E237" t="inlineStr">
        <is>
          <t>VÄSTERVIK</t>
        </is>
      </c>
      <c r="G237" t="n">
        <v>2.1</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48727-2024 artfynd.xlsx", "A 48727-2024")</f>
        <v/>
      </c>
      <c r="T237">
        <f>HYPERLINK("https://klasma.github.io/Logging_0883/kartor/A 48727-2024 karta.png", "A 48727-2024")</f>
        <v/>
      </c>
      <c r="U237">
        <f>HYPERLINK("https://klasma.github.io/Logging_0883/knärot/A 48727-2024 karta knärot.png", "A 48727-2024")</f>
        <v/>
      </c>
      <c r="V237">
        <f>HYPERLINK("https://klasma.github.io/Logging_0883/klagomål/A 48727-2024 FSC-klagomål.docx", "A 48727-2024")</f>
        <v/>
      </c>
      <c r="W237">
        <f>HYPERLINK("https://klasma.github.io/Logging_0883/klagomålsmail/A 48727-2024 FSC-klagomål mail.docx", "A 48727-2024")</f>
        <v/>
      </c>
      <c r="X237">
        <f>HYPERLINK("https://klasma.github.io/Logging_0883/tillsyn/A 48727-2024 tillsynsbegäran.docx", "A 48727-2024")</f>
        <v/>
      </c>
      <c r="Y237">
        <f>HYPERLINK("https://klasma.github.io/Logging_0883/tillsynsmail/A 48727-2024 tillsynsbegäran mail.docx", "A 48727-2024")</f>
        <v/>
      </c>
      <c r="Z237">
        <f>HYPERLINK("https://klasma.github.io/Logging_0883/fåglar/A 48727-2024 prioriterade fågelarter.docx", "A 48727-2024")</f>
        <v/>
      </c>
    </row>
    <row r="238" ht="15" customHeight="1">
      <c r="A238" t="inlineStr">
        <is>
          <t>A 52723-2024</t>
        </is>
      </c>
      <c r="B238" s="1" t="n">
        <v>45610</v>
      </c>
      <c r="C238" s="1" t="n">
        <v>45842</v>
      </c>
      <c r="D238" t="inlineStr">
        <is>
          <t>KALMAR LÄN</t>
        </is>
      </c>
      <c r="E238" t="inlineStr">
        <is>
          <t>VÄSTERVIK</t>
        </is>
      </c>
      <c r="F238" t="inlineStr">
        <is>
          <t>Holmen skog AB</t>
        </is>
      </c>
      <c r="G238" t="n">
        <v>6.5</v>
      </c>
      <c r="H238" t="n">
        <v>2</v>
      </c>
      <c r="I238" t="n">
        <v>1</v>
      </c>
      <c r="J238" t="n">
        <v>1</v>
      </c>
      <c r="K238" t="n">
        <v>0</v>
      </c>
      <c r="L238" t="n">
        <v>0</v>
      </c>
      <c r="M238" t="n">
        <v>0</v>
      </c>
      <c r="N238" t="n">
        <v>0</v>
      </c>
      <c r="O238" t="n">
        <v>1</v>
      </c>
      <c r="P238" t="n">
        <v>0</v>
      </c>
      <c r="Q238" t="n">
        <v>2</v>
      </c>
      <c r="R238" s="2" t="inlineStr">
        <is>
          <t>Talltita
Ekoxe</t>
        </is>
      </c>
      <c r="S238">
        <f>HYPERLINK("https://klasma.github.io/Logging_0883/artfynd/A 52723-2024 artfynd.xlsx", "A 52723-2024")</f>
        <v/>
      </c>
      <c r="T238">
        <f>HYPERLINK("https://klasma.github.io/Logging_0883/kartor/A 52723-2024 karta.png", "A 52723-2024")</f>
        <v/>
      </c>
      <c r="V238">
        <f>HYPERLINK("https://klasma.github.io/Logging_0883/klagomål/A 52723-2024 FSC-klagomål.docx", "A 52723-2024")</f>
        <v/>
      </c>
      <c r="W238">
        <f>HYPERLINK("https://klasma.github.io/Logging_0883/klagomålsmail/A 52723-2024 FSC-klagomål mail.docx", "A 52723-2024")</f>
        <v/>
      </c>
      <c r="X238">
        <f>HYPERLINK("https://klasma.github.io/Logging_0883/tillsyn/A 52723-2024 tillsynsbegäran.docx", "A 52723-2024")</f>
        <v/>
      </c>
      <c r="Y238">
        <f>HYPERLINK("https://klasma.github.io/Logging_0883/tillsynsmail/A 52723-2024 tillsynsbegäran mail.docx", "A 52723-2024")</f>
        <v/>
      </c>
      <c r="Z238">
        <f>HYPERLINK("https://klasma.github.io/Logging_0883/fåglar/A 52723-2024 prioriterade fågelarter.docx", "A 52723-2024")</f>
        <v/>
      </c>
    </row>
    <row r="239" ht="15" customHeight="1">
      <c r="A239" t="inlineStr">
        <is>
          <t>A 54346-2024</t>
        </is>
      </c>
      <c r="B239" s="1" t="n">
        <v>45617</v>
      </c>
      <c r="C239" s="1" t="n">
        <v>45842</v>
      </c>
      <c r="D239" t="inlineStr">
        <is>
          <t>KALMAR LÄN</t>
        </is>
      </c>
      <c r="E239" t="inlineStr">
        <is>
          <t>VÄSTERVIK</t>
        </is>
      </c>
      <c r="F239" t="inlineStr">
        <is>
          <t>Kyrkan</t>
        </is>
      </c>
      <c r="G239" t="n">
        <v>2.4</v>
      </c>
      <c r="H239" t="n">
        <v>0</v>
      </c>
      <c r="I239" t="n">
        <v>1</v>
      </c>
      <c r="J239" t="n">
        <v>1</v>
      </c>
      <c r="K239" t="n">
        <v>0</v>
      </c>
      <c r="L239" t="n">
        <v>0</v>
      </c>
      <c r="M239" t="n">
        <v>0</v>
      </c>
      <c r="N239" t="n">
        <v>0</v>
      </c>
      <c r="O239" t="n">
        <v>1</v>
      </c>
      <c r="P239" t="n">
        <v>0</v>
      </c>
      <c r="Q239" t="n">
        <v>2</v>
      </c>
      <c r="R239" s="2" t="inlineStr">
        <is>
          <t>Tallticka
Dropptaggsvamp</t>
        </is>
      </c>
      <c r="S239">
        <f>HYPERLINK("https://klasma.github.io/Logging_0883/artfynd/A 54346-2024 artfynd.xlsx", "A 54346-2024")</f>
        <v/>
      </c>
      <c r="T239">
        <f>HYPERLINK("https://klasma.github.io/Logging_0883/kartor/A 54346-2024 karta.png", "A 54346-2024")</f>
        <v/>
      </c>
      <c r="V239">
        <f>HYPERLINK("https://klasma.github.io/Logging_0883/klagomål/A 54346-2024 FSC-klagomål.docx", "A 54346-2024")</f>
        <v/>
      </c>
      <c r="W239">
        <f>HYPERLINK("https://klasma.github.io/Logging_0883/klagomålsmail/A 54346-2024 FSC-klagomål mail.docx", "A 54346-2024")</f>
        <v/>
      </c>
      <c r="X239">
        <f>HYPERLINK("https://klasma.github.io/Logging_0883/tillsyn/A 54346-2024 tillsynsbegäran.docx", "A 54346-2024")</f>
        <v/>
      </c>
      <c r="Y239">
        <f>HYPERLINK("https://klasma.github.io/Logging_0883/tillsynsmail/A 54346-2024 tillsynsbegäran mail.docx", "A 54346-2024")</f>
        <v/>
      </c>
    </row>
    <row r="240" ht="15" customHeight="1">
      <c r="A240" t="inlineStr">
        <is>
          <t>A 56036-2024</t>
        </is>
      </c>
      <c r="B240" s="1" t="n">
        <v>45624</v>
      </c>
      <c r="C240" s="1" t="n">
        <v>45842</v>
      </c>
      <c r="D240" t="inlineStr">
        <is>
          <t>KALMAR LÄN</t>
        </is>
      </c>
      <c r="E240" t="inlineStr">
        <is>
          <t>VÄSTERVIK</t>
        </is>
      </c>
      <c r="F240" t="inlineStr">
        <is>
          <t>Kyrkan</t>
        </is>
      </c>
      <c r="G240" t="n">
        <v>5.5</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56036-2024 artfynd.xlsx", "A 56036-2024")</f>
        <v/>
      </c>
      <c r="T240">
        <f>HYPERLINK("https://klasma.github.io/Logging_0883/kartor/A 56036-2024 karta.png", "A 56036-2024")</f>
        <v/>
      </c>
      <c r="U240">
        <f>HYPERLINK("https://klasma.github.io/Logging_0883/knärot/A 56036-2024 karta knärot.png", "A 56036-2024")</f>
        <v/>
      </c>
      <c r="V240">
        <f>HYPERLINK("https://klasma.github.io/Logging_0883/klagomål/A 56036-2024 FSC-klagomål.docx", "A 56036-2024")</f>
        <v/>
      </c>
      <c r="W240">
        <f>HYPERLINK("https://klasma.github.io/Logging_0883/klagomålsmail/A 56036-2024 FSC-klagomål mail.docx", "A 56036-2024")</f>
        <v/>
      </c>
      <c r="X240">
        <f>HYPERLINK("https://klasma.github.io/Logging_0883/tillsyn/A 56036-2024 tillsynsbegäran.docx", "A 56036-2024")</f>
        <v/>
      </c>
      <c r="Y240">
        <f>HYPERLINK("https://klasma.github.io/Logging_0883/tillsynsmail/A 56036-2024 tillsynsbegäran mail.docx", "A 56036-2024")</f>
        <v/>
      </c>
      <c r="Z240">
        <f>HYPERLINK("https://klasma.github.io/Logging_0883/fåglar/A 56036-2024 prioriterade fågelarter.docx", "A 56036-2024")</f>
        <v/>
      </c>
    </row>
    <row r="241" ht="15" customHeight="1">
      <c r="A241" t="inlineStr">
        <is>
          <t>A 58430-2024</t>
        </is>
      </c>
      <c r="B241" s="1" t="n">
        <v>45634</v>
      </c>
      <c r="C241" s="1" t="n">
        <v>45842</v>
      </c>
      <c r="D241" t="inlineStr">
        <is>
          <t>KALMAR LÄN</t>
        </is>
      </c>
      <c r="E241" t="inlineStr">
        <is>
          <t>VÄSTERVIK</t>
        </is>
      </c>
      <c r="F241" t="inlineStr">
        <is>
          <t>Sveaskog</t>
        </is>
      </c>
      <c r="G241" t="n">
        <v>5.6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58430-2024 artfynd.xlsx", "A 58430-2024")</f>
        <v/>
      </c>
      <c r="T241">
        <f>HYPERLINK("https://klasma.github.io/Logging_0883/kartor/A 58430-2024 karta.png", "A 58430-2024")</f>
        <v/>
      </c>
      <c r="V241">
        <f>HYPERLINK("https://klasma.github.io/Logging_0883/klagomål/A 58430-2024 FSC-klagomål.docx", "A 58430-2024")</f>
        <v/>
      </c>
      <c r="W241">
        <f>HYPERLINK("https://klasma.github.io/Logging_0883/klagomålsmail/A 58430-2024 FSC-klagomål mail.docx", "A 58430-2024")</f>
        <v/>
      </c>
      <c r="X241">
        <f>HYPERLINK("https://klasma.github.io/Logging_0883/tillsyn/A 58430-2024 tillsynsbegäran.docx", "A 58430-2024")</f>
        <v/>
      </c>
      <c r="Y241">
        <f>HYPERLINK("https://klasma.github.io/Logging_0883/tillsynsmail/A 58430-2024 tillsynsbegäran mail.docx", "A 58430-2024")</f>
        <v/>
      </c>
      <c r="Z241">
        <f>HYPERLINK("https://klasma.github.io/Logging_0883/fåglar/A 58430-2024 prioriterade fågelarter.docx", "A 58430-2024")</f>
        <v/>
      </c>
    </row>
    <row r="242" ht="15" customHeight="1">
      <c r="A242" t="inlineStr">
        <is>
          <t>A 958-2025</t>
        </is>
      </c>
      <c r="B242" s="1" t="n">
        <v>45666</v>
      </c>
      <c r="C242" s="1" t="n">
        <v>45842</v>
      </c>
      <c r="D242" t="inlineStr">
        <is>
          <t>KALMAR LÄN</t>
        </is>
      </c>
      <c r="E242" t="inlineStr">
        <is>
          <t>VÄSTERVIK</t>
        </is>
      </c>
      <c r="G242" t="n">
        <v>2.8</v>
      </c>
      <c r="H242" t="n">
        <v>1</v>
      </c>
      <c r="I242" t="n">
        <v>0</v>
      </c>
      <c r="J242" t="n">
        <v>2</v>
      </c>
      <c r="K242" t="n">
        <v>0</v>
      </c>
      <c r="L242" t="n">
        <v>0</v>
      </c>
      <c r="M242" t="n">
        <v>0</v>
      </c>
      <c r="N242" t="n">
        <v>0</v>
      </c>
      <c r="O242" t="n">
        <v>2</v>
      </c>
      <c r="P242" t="n">
        <v>0</v>
      </c>
      <c r="Q242" t="n">
        <v>2</v>
      </c>
      <c r="R242" s="2" t="inlineStr">
        <is>
          <t>Orange taggsvamp
Spillkråka</t>
        </is>
      </c>
      <c r="S242">
        <f>HYPERLINK("https://klasma.github.io/Logging_0883/artfynd/A 958-2025 artfynd.xlsx", "A 958-2025")</f>
        <v/>
      </c>
      <c r="T242">
        <f>HYPERLINK("https://klasma.github.io/Logging_0883/kartor/A 958-2025 karta.png", "A 958-2025")</f>
        <v/>
      </c>
      <c r="V242">
        <f>HYPERLINK("https://klasma.github.io/Logging_0883/klagomål/A 958-2025 FSC-klagomål.docx", "A 958-2025")</f>
        <v/>
      </c>
      <c r="W242">
        <f>HYPERLINK("https://klasma.github.io/Logging_0883/klagomålsmail/A 958-2025 FSC-klagomål mail.docx", "A 958-2025")</f>
        <v/>
      </c>
      <c r="X242">
        <f>HYPERLINK("https://klasma.github.io/Logging_0883/tillsyn/A 958-2025 tillsynsbegäran.docx", "A 958-2025")</f>
        <v/>
      </c>
      <c r="Y242">
        <f>HYPERLINK("https://klasma.github.io/Logging_0883/tillsynsmail/A 958-2025 tillsynsbegäran mail.docx", "A 958-2025")</f>
        <v/>
      </c>
      <c r="Z242">
        <f>HYPERLINK("https://klasma.github.io/Logging_0883/fåglar/A 958-2025 prioriterade fågelarter.docx", "A 958-2025")</f>
        <v/>
      </c>
    </row>
    <row r="243" ht="15" customHeight="1">
      <c r="A243" t="inlineStr">
        <is>
          <t>A 1767-2025</t>
        </is>
      </c>
      <c r="B243" s="1" t="n">
        <v>45671</v>
      </c>
      <c r="C243" s="1" t="n">
        <v>45842</v>
      </c>
      <c r="D243" t="inlineStr">
        <is>
          <t>KALMAR LÄN</t>
        </is>
      </c>
      <c r="E243" t="inlineStr">
        <is>
          <t>VÄSTERVIK</t>
        </is>
      </c>
      <c r="G243" t="n">
        <v>1.4</v>
      </c>
      <c r="H243" t="n">
        <v>1</v>
      </c>
      <c r="I243" t="n">
        <v>0</v>
      </c>
      <c r="J243" t="n">
        <v>2</v>
      </c>
      <c r="K243" t="n">
        <v>0</v>
      </c>
      <c r="L243" t="n">
        <v>0</v>
      </c>
      <c r="M243" t="n">
        <v>0</v>
      </c>
      <c r="N243" t="n">
        <v>0</v>
      </c>
      <c r="O243" t="n">
        <v>2</v>
      </c>
      <c r="P243" t="n">
        <v>0</v>
      </c>
      <c r="Q243" t="n">
        <v>2</v>
      </c>
      <c r="R243" s="2" t="inlineStr">
        <is>
          <t>Garnlav
Spillkråka</t>
        </is>
      </c>
      <c r="S243">
        <f>HYPERLINK("https://klasma.github.io/Logging_0883/artfynd/A 1767-2025 artfynd.xlsx", "A 1767-2025")</f>
        <v/>
      </c>
      <c r="T243">
        <f>HYPERLINK("https://klasma.github.io/Logging_0883/kartor/A 1767-2025 karta.png", "A 1767-2025")</f>
        <v/>
      </c>
      <c r="U243">
        <f>HYPERLINK("https://klasma.github.io/Logging_0883/knärot/A 1767-2025 karta knärot.png", "A 1767-2025")</f>
        <v/>
      </c>
      <c r="V243">
        <f>HYPERLINK("https://klasma.github.io/Logging_0883/klagomål/A 1767-2025 FSC-klagomål.docx", "A 1767-2025")</f>
        <v/>
      </c>
      <c r="W243">
        <f>HYPERLINK("https://klasma.github.io/Logging_0883/klagomålsmail/A 1767-2025 FSC-klagomål mail.docx", "A 1767-2025")</f>
        <v/>
      </c>
      <c r="X243">
        <f>HYPERLINK("https://klasma.github.io/Logging_0883/tillsyn/A 1767-2025 tillsynsbegäran.docx", "A 1767-2025")</f>
        <v/>
      </c>
      <c r="Y243">
        <f>HYPERLINK("https://klasma.github.io/Logging_0883/tillsynsmail/A 1767-2025 tillsynsbegäran mail.docx", "A 1767-2025")</f>
        <v/>
      </c>
      <c r="Z243">
        <f>HYPERLINK("https://klasma.github.io/Logging_0883/fåglar/A 1767-2025 prioriterade fågelarter.docx", "A 1767-2025")</f>
        <v/>
      </c>
    </row>
    <row r="244" ht="15" customHeight="1">
      <c r="A244" t="inlineStr">
        <is>
          <t>A 2324-2025</t>
        </is>
      </c>
      <c r="B244" s="1" t="n">
        <v>45673</v>
      </c>
      <c r="C244" s="1" t="n">
        <v>45842</v>
      </c>
      <c r="D244" t="inlineStr">
        <is>
          <t>KALMAR LÄN</t>
        </is>
      </c>
      <c r="E244" t="inlineStr">
        <is>
          <t>VÄSTERVIK</t>
        </is>
      </c>
      <c r="F244" t="inlineStr">
        <is>
          <t>Sveaskog</t>
        </is>
      </c>
      <c r="G244" t="n">
        <v>5.7</v>
      </c>
      <c r="H244" t="n">
        <v>2</v>
      </c>
      <c r="I244" t="n">
        <v>0</v>
      </c>
      <c r="J244" t="n">
        <v>0</v>
      </c>
      <c r="K244" t="n">
        <v>0</v>
      </c>
      <c r="L244" t="n">
        <v>0</v>
      </c>
      <c r="M244" t="n">
        <v>0</v>
      </c>
      <c r="N244" t="n">
        <v>0</v>
      </c>
      <c r="O244" t="n">
        <v>0</v>
      </c>
      <c r="P244" t="n">
        <v>0</v>
      </c>
      <c r="Q244" t="n">
        <v>2</v>
      </c>
      <c r="R244" s="2" t="inlineStr">
        <is>
          <t>Kungsfågel
Mattlummer</t>
        </is>
      </c>
      <c r="S244">
        <f>HYPERLINK("https://klasma.github.io/Logging_0883/artfynd/A 2324-2025 artfynd.xlsx", "A 2324-2025")</f>
        <v/>
      </c>
      <c r="T244">
        <f>HYPERLINK("https://klasma.github.io/Logging_0883/kartor/A 2324-2025 karta.png", "A 2324-2025")</f>
        <v/>
      </c>
      <c r="V244">
        <f>HYPERLINK("https://klasma.github.io/Logging_0883/klagomål/A 2324-2025 FSC-klagomål.docx", "A 2324-2025")</f>
        <v/>
      </c>
      <c r="W244">
        <f>HYPERLINK("https://klasma.github.io/Logging_0883/klagomålsmail/A 2324-2025 FSC-klagomål mail.docx", "A 2324-2025")</f>
        <v/>
      </c>
      <c r="X244">
        <f>HYPERLINK("https://klasma.github.io/Logging_0883/tillsyn/A 2324-2025 tillsynsbegäran.docx", "A 2324-2025")</f>
        <v/>
      </c>
      <c r="Y244">
        <f>HYPERLINK("https://klasma.github.io/Logging_0883/tillsynsmail/A 2324-2025 tillsynsbegäran mail.docx", "A 2324-2025")</f>
        <v/>
      </c>
      <c r="Z244">
        <f>HYPERLINK("https://klasma.github.io/Logging_0883/fåglar/A 2324-2025 prioriterade fågelarter.docx", "A 2324-2025")</f>
        <v/>
      </c>
    </row>
    <row r="245" ht="15" customHeight="1">
      <c r="A245" t="inlineStr">
        <is>
          <t>A 2950-2025</t>
        </is>
      </c>
      <c r="B245" s="1" t="n">
        <v>45678</v>
      </c>
      <c r="C245" s="1" t="n">
        <v>45842</v>
      </c>
      <c r="D245" t="inlineStr">
        <is>
          <t>KALMAR LÄN</t>
        </is>
      </c>
      <c r="E245" t="inlineStr">
        <is>
          <t>VÄSTERVIK</t>
        </is>
      </c>
      <c r="G245" t="n">
        <v>6.1</v>
      </c>
      <c r="H245" t="n">
        <v>1</v>
      </c>
      <c r="I245" t="n">
        <v>1</v>
      </c>
      <c r="J245" t="n">
        <v>0</v>
      </c>
      <c r="K245" t="n">
        <v>1</v>
      </c>
      <c r="L245" t="n">
        <v>0</v>
      </c>
      <c r="M245" t="n">
        <v>0</v>
      </c>
      <c r="N245" t="n">
        <v>0</v>
      </c>
      <c r="O245" t="n">
        <v>1</v>
      </c>
      <c r="P245" t="n">
        <v>1</v>
      </c>
      <c r="Q245" t="n">
        <v>2</v>
      </c>
      <c r="R245" s="2" t="inlineStr">
        <is>
          <t>Knärot
Grovticka</t>
        </is>
      </c>
      <c r="S245">
        <f>HYPERLINK("https://klasma.github.io/Logging_0883/artfynd/A 2950-2025 artfynd.xlsx", "A 2950-2025")</f>
        <v/>
      </c>
      <c r="T245">
        <f>HYPERLINK("https://klasma.github.io/Logging_0883/kartor/A 2950-2025 karta.png", "A 2950-2025")</f>
        <v/>
      </c>
      <c r="U245">
        <f>HYPERLINK("https://klasma.github.io/Logging_0883/knärot/A 2950-2025 karta knärot.png", "A 2950-2025")</f>
        <v/>
      </c>
      <c r="V245">
        <f>HYPERLINK("https://klasma.github.io/Logging_0883/klagomål/A 2950-2025 FSC-klagomål.docx", "A 2950-2025")</f>
        <v/>
      </c>
      <c r="W245">
        <f>HYPERLINK("https://klasma.github.io/Logging_0883/klagomålsmail/A 2950-2025 FSC-klagomål mail.docx", "A 2950-2025")</f>
        <v/>
      </c>
      <c r="X245">
        <f>HYPERLINK("https://klasma.github.io/Logging_0883/tillsyn/A 2950-2025 tillsynsbegäran.docx", "A 2950-2025")</f>
        <v/>
      </c>
      <c r="Y245">
        <f>HYPERLINK("https://klasma.github.io/Logging_0883/tillsynsmail/A 2950-2025 tillsynsbegäran mail.docx", "A 2950-2025")</f>
        <v/>
      </c>
    </row>
    <row r="246" ht="15" customHeight="1">
      <c r="A246" t="inlineStr">
        <is>
          <t>A 3091-2025</t>
        </is>
      </c>
      <c r="B246" s="1" t="n">
        <v>45678</v>
      </c>
      <c r="C246" s="1" t="n">
        <v>45842</v>
      </c>
      <c r="D246" t="inlineStr">
        <is>
          <t>KALMAR LÄN</t>
        </is>
      </c>
      <c r="E246" t="inlineStr">
        <is>
          <t>VÄSTERVIK</t>
        </is>
      </c>
      <c r="G246" t="n">
        <v>3.7</v>
      </c>
      <c r="H246" t="n">
        <v>2</v>
      </c>
      <c r="I246" t="n">
        <v>0</v>
      </c>
      <c r="J246" t="n">
        <v>1</v>
      </c>
      <c r="K246" t="n">
        <v>1</v>
      </c>
      <c r="L246" t="n">
        <v>0</v>
      </c>
      <c r="M246" t="n">
        <v>0</v>
      </c>
      <c r="N246" t="n">
        <v>0</v>
      </c>
      <c r="O246" t="n">
        <v>2</v>
      </c>
      <c r="P246" t="n">
        <v>1</v>
      </c>
      <c r="Q246" t="n">
        <v>2</v>
      </c>
      <c r="R246" s="2" t="inlineStr">
        <is>
          <t>Knärot
Talltita</t>
        </is>
      </c>
      <c r="S246">
        <f>HYPERLINK("https://klasma.github.io/Logging_0883/artfynd/A 3091-2025 artfynd.xlsx", "A 3091-2025")</f>
        <v/>
      </c>
      <c r="T246">
        <f>HYPERLINK("https://klasma.github.io/Logging_0883/kartor/A 3091-2025 karta.png", "A 3091-2025")</f>
        <v/>
      </c>
      <c r="U246">
        <f>HYPERLINK("https://klasma.github.io/Logging_0883/knärot/A 3091-2025 karta knärot.png", "A 3091-2025")</f>
        <v/>
      </c>
      <c r="V246">
        <f>HYPERLINK("https://klasma.github.io/Logging_0883/klagomål/A 3091-2025 FSC-klagomål.docx", "A 3091-2025")</f>
        <v/>
      </c>
      <c r="W246">
        <f>HYPERLINK("https://klasma.github.io/Logging_0883/klagomålsmail/A 3091-2025 FSC-klagomål mail.docx", "A 3091-2025")</f>
        <v/>
      </c>
      <c r="X246">
        <f>HYPERLINK("https://klasma.github.io/Logging_0883/tillsyn/A 3091-2025 tillsynsbegäran.docx", "A 3091-2025")</f>
        <v/>
      </c>
      <c r="Y246">
        <f>HYPERLINK("https://klasma.github.io/Logging_0883/tillsynsmail/A 3091-2025 tillsynsbegäran mail.docx", "A 3091-2025")</f>
        <v/>
      </c>
      <c r="Z246">
        <f>HYPERLINK("https://klasma.github.io/Logging_0883/fåglar/A 3091-2025 prioriterade fågelarter.docx", "A 3091-2025")</f>
        <v/>
      </c>
    </row>
    <row r="247" ht="15" customHeight="1">
      <c r="A247" t="inlineStr">
        <is>
          <t>A 3182-2025</t>
        </is>
      </c>
      <c r="B247" s="1" t="n">
        <v>45679</v>
      </c>
      <c r="C247" s="1" t="n">
        <v>45842</v>
      </c>
      <c r="D247" t="inlineStr">
        <is>
          <t>KALMAR LÄN</t>
        </is>
      </c>
      <c r="E247" t="inlineStr">
        <is>
          <t>VÄSTERVIK</t>
        </is>
      </c>
      <c r="G247" t="n">
        <v>1.2</v>
      </c>
      <c r="H247" t="n">
        <v>2</v>
      </c>
      <c r="I247" t="n">
        <v>0</v>
      </c>
      <c r="J247" t="n">
        <v>1</v>
      </c>
      <c r="K247" t="n">
        <v>1</v>
      </c>
      <c r="L247" t="n">
        <v>0</v>
      </c>
      <c r="M247" t="n">
        <v>0</v>
      </c>
      <c r="N247" t="n">
        <v>0</v>
      </c>
      <c r="O247" t="n">
        <v>2</v>
      </c>
      <c r="P247" t="n">
        <v>1</v>
      </c>
      <c r="Q247" t="n">
        <v>2</v>
      </c>
      <c r="R247" s="2" t="inlineStr">
        <is>
          <t>Knärot
Spillkråka</t>
        </is>
      </c>
      <c r="S247">
        <f>HYPERLINK("https://klasma.github.io/Logging_0883/artfynd/A 3182-2025 artfynd.xlsx", "A 3182-2025")</f>
        <v/>
      </c>
      <c r="T247">
        <f>HYPERLINK("https://klasma.github.io/Logging_0883/kartor/A 3182-2025 karta.png", "A 3182-2025")</f>
        <v/>
      </c>
      <c r="U247">
        <f>HYPERLINK("https://klasma.github.io/Logging_0883/knärot/A 3182-2025 karta knärot.png", "A 3182-2025")</f>
        <v/>
      </c>
      <c r="V247">
        <f>HYPERLINK("https://klasma.github.io/Logging_0883/klagomål/A 3182-2025 FSC-klagomål.docx", "A 3182-2025")</f>
        <v/>
      </c>
      <c r="W247">
        <f>HYPERLINK("https://klasma.github.io/Logging_0883/klagomålsmail/A 3182-2025 FSC-klagomål mail.docx", "A 3182-2025")</f>
        <v/>
      </c>
      <c r="X247">
        <f>HYPERLINK("https://klasma.github.io/Logging_0883/tillsyn/A 3182-2025 tillsynsbegäran.docx", "A 3182-2025")</f>
        <v/>
      </c>
      <c r="Y247">
        <f>HYPERLINK("https://klasma.github.io/Logging_0883/tillsynsmail/A 3182-2025 tillsynsbegäran mail.docx", "A 3182-2025")</f>
        <v/>
      </c>
      <c r="Z247">
        <f>HYPERLINK("https://klasma.github.io/Logging_0883/fåglar/A 3182-2025 prioriterade fågelarter.docx", "A 3182-2025")</f>
        <v/>
      </c>
    </row>
    <row r="248" ht="15" customHeight="1">
      <c r="A248" t="inlineStr">
        <is>
          <t>A 4778-2025</t>
        </is>
      </c>
      <c r="B248" s="1" t="n">
        <v>45688</v>
      </c>
      <c r="C248" s="1" t="n">
        <v>45842</v>
      </c>
      <c r="D248" t="inlineStr">
        <is>
          <t>KALMAR LÄN</t>
        </is>
      </c>
      <c r="E248" t="inlineStr">
        <is>
          <t>VÄSTERVIK</t>
        </is>
      </c>
      <c r="F248" t="inlineStr">
        <is>
          <t>Holmen skog AB</t>
        </is>
      </c>
      <c r="G248" t="n">
        <v>3.8</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4778-2025 artfynd.xlsx", "A 4778-2025")</f>
        <v/>
      </c>
      <c r="T248">
        <f>HYPERLINK("https://klasma.github.io/Logging_0883/kartor/A 4778-2025 karta.png", "A 4778-2025")</f>
        <v/>
      </c>
      <c r="U248">
        <f>HYPERLINK("https://klasma.github.io/Logging_0883/knärot/A 4778-2025 karta knärot.png", "A 4778-2025")</f>
        <v/>
      </c>
      <c r="V248">
        <f>HYPERLINK("https://klasma.github.io/Logging_0883/klagomål/A 4778-2025 FSC-klagomål.docx", "A 4778-2025")</f>
        <v/>
      </c>
      <c r="W248">
        <f>HYPERLINK("https://klasma.github.io/Logging_0883/klagomålsmail/A 4778-2025 FSC-klagomål mail.docx", "A 4778-2025")</f>
        <v/>
      </c>
      <c r="X248">
        <f>HYPERLINK("https://klasma.github.io/Logging_0883/tillsyn/A 4778-2025 tillsynsbegäran.docx", "A 4778-2025")</f>
        <v/>
      </c>
      <c r="Y248">
        <f>HYPERLINK("https://klasma.github.io/Logging_0883/tillsynsmail/A 4778-2025 tillsynsbegäran mail.docx", "A 4778-2025")</f>
        <v/>
      </c>
      <c r="Z248">
        <f>HYPERLINK("https://klasma.github.io/Logging_0883/fåglar/A 4778-2025 prioriterade fågelarter.docx", "A 4778-2025")</f>
        <v/>
      </c>
    </row>
    <row r="249" ht="15" customHeight="1">
      <c r="A249" t="inlineStr">
        <is>
          <t>A 5114-2025</t>
        </is>
      </c>
      <c r="B249" s="1" t="n">
        <v>45691</v>
      </c>
      <c r="C249" s="1" t="n">
        <v>45842</v>
      </c>
      <c r="D249" t="inlineStr">
        <is>
          <t>KALMAR LÄN</t>
        </is>
      </c>
      <c r="E249" t="inlineStr">
        <is>
          <t>VÄSTERVIK</t>
        </is>
      </c>
      <c r="G249" t="n">
        <v>3.6</v>
      </c>
      <c r="H249" t="n">
        <v>2</v>
      </c>
      <c r="I249" t="n">
        <v>0</v>
      </c>
      <c r="J249" t="n">
        <v>2</v>
      </c>
      <c r="K249" t="n">
        <v>0</v>
      </c>
      <c r="L249" t="n">
        <v>0</v>
      </c>
      <c r="M249" t="n">
        <v>0</v>
      </c>
      <c r="N249" t="n">
        <v>0</v>
      </c>
      <c r="O249" t="n">
        <v>2</v>
      </c>
      <c r="P249" t="n">
        <v>0</v>
      </c>
      <c r="Q249" t="n">
        <v>2</v>
      </c>
      <c r="R249" s="2" t="inlineStr">
        <is>
          <t>Spillkråka
Talltita</t>
        </is>
      </c>
      <c r="S249">
        <f>HYPERLINK("https://klasma.github.io/Logging_0883/artfynd/A 5114-2025 artfynd.xlsx", "A 5114-2025")</f>
        <v/>
      </c>
      <c r="T249">
        <f>HYPERLINK("https://klasma.github.io/Logging_0883/kartor/A 5114-2025 karta.png", "A 5114-2025")</f>
        <v/>
      </c>
      <c r="U249">
        <f>HYPERLINK("https://klasma.github.io/Logging_0883/knärot/A 5114-2025 karta knärot.png", "A 5114-2025")</f>
        <v/>
      </c>
      <c r="V249">
        <f>HYPERLINK("https://klasma.github.io/Logging_0883/klagomål/A 5114-2025 FSC-klagomål.docx", "A 5114-2025")</f>
        <v/>
      </c>
      <c r="W249">
        <f>HYPERLINK("https://klasma.github.io/Logging_0883/klagomålsmail/A 5114-2025 FSC-klagomål mail.docx", "A 5114-2025")</f>
        <v/>
      </c>
      <c r="X249">
        <f>HYPERLINK("https://klasma.github.io/Logging_0883/tillsyn/A 5114-2025 tillsynsbegäran.docx", "A 5114-2025")</f>
        <v/>
      </c>
      <c r="Y249">
        <f>HYPERLINK("https://klasma.github.io/Logging_0883/tillsynsmail/A 5114-2025 tillsynsbegäran mail.docx", "A 5114-2025")</f>
        <v/>
      </c>
      <c r="Z249">
        <f>HYPERLINK("https://klasma.github.io/Logging_0883/fåglar/A 5114-2025 prioriterade fågelarter.docx", "A 5114-2025")</f>
        <v/>
      </c>
    </row>
    <row r="250" ht="15" customHeight="1">
      <c r="A250" t="inlineStr">
        <is>
          <t>A 5668-2025</t>
        </is>
      </c>
      <c r="B250" s="1" t="n">
        <v>45693</v>
      </c>
      <c r="C250" s="1" t="n">
        <v>45842</v>
      </c>
      <c r="D250" t="inlineStr">
        <is>
          <t>KALMAR LÄN</t>
        </is>
      </c>
      <c r="E250" t="inlineStr">
        <is>
          <t>VÄSTERVIK</t>
        </is>
      </c>
      <c r="G250" t="n">
        <v>1.2</v>
      </c>
      <c r="H250" t="n">
        <v>2</v>
      </c>
      <c r="I250" t="n">
        <v>0</v>
      </c>
      <c r="J250" t="n">
        <v>1</v>
      </c>
      <c r="K250" t="n">
        <v>0</v>
      </c>
      <c r="L250" t="n">
        <v>0</v>
      </c>
      <c r="M250" t="n">
        <v>0</v>
      </c>
      <c r="N250" t="n">
        <v>0</v>
      </c>
      <c r="O250" t="n">
        <v>1</v>
      </c>
      <c r="P250" t="n">
        <v>0</v>
      </c>
      <c r="Q250" t="n">
        <v>2</v>
      </c>
      <c r="R250" s="2" t="inlineStr">
        <is>
          <t>Talltita
Kungsfågel</t>
        </is>
      </c>
      <c r="S250">
        <f>HYPERLINK("https://klasma.github.io/Logging_0883/artfynd/A 5668-2025 artfynd.xlsx", "A 5668-2025")</f>
        <v/>
      </c>
      <c r="T250">
        <f>HYPERLINK("https://klasma.github.io/Logging_0883/kartor/A 5668-2025 karta.png", "A 5668-2025")</f>
        <v/>
      </c>
      <c r="V250">
        <f>HYPERLINK("https://klasma.github.io/Logging_0883/klagomål/A 5668-2025 FSC-klagomål.docx", "A 5668-2025")</f>
        <v/>
      </c>
      <c r="W250">
        <f>HYPERLINK("https://klasma.github.io/Logging_0883/klagomålsmail/A 5668-2025 FSC-klagomål mail.docx", "A 5668-2025")</f>
        <v/>
      </c>
      <c r="X250">
        <f>HYPERLINK("https://klasma.github.io/Logging_0883/tillsyn/A 5668-2025 tillsynsbegäran.docx", "A 5668-2025")</f>
        <v/>
      </c>
      <c r="Y250">
        <f>HYPERLINK("https://klasma.github.io/Logging_0883/tillsynsmail/A 5668-2025 tillsynsbegäran mail.docx", "A 5668-2025")</f>
        <v/>
      </c>
      <c r="Z250">
        <f>HYPERLINK("https://klasma.github.io/Logging_0883/fåglar/A 5668-2025 prioriterade fågelarter.docx", "A 5668-2025")</f>
        <v/>
      </c>
    </row>
    <row r="251" ht="15" customHeight="1">
      <c r="A251" t="inlineStr">
        <is>
          <t>A 10784-2025</t>
        </is>
      </c>
      <c r="B251" s="1" t="n">
        <v>45722</v>
      </c>
      <c r="C251" s="1" t="n">
        <v>45842</v>
      </c>
      <c r="D251" t="inlineStr">
        <is>
          <t>KALMAR LÄN</t>
        </is>
      </c>
      <c r="E251" t="inlineStr">
        <is>
          <t>VÄSTERVIK</t>
        </is>
      </c>
      <c r="G251" t="n">
        <v>2.1</v>
      </c>
      <c r="H251" t="n">
        <v>2</v>
      </c>
      <c r="I251" t="n">
        <v>0</v>
      </c>
      <c r="J251" t="n">
        <v>1</v>
      </c>
      <c r="K251" t="n">
        <v>0</v>
      </c>
      <c r="L251" t="n">
        <v>0</v>
      </c>
      <c r="M251" t="n">
        <v>0</v>
      </c>
      <c r="N251" t="n">
        <v>0</v>
      </c>
      <c r="O251" t="n">
        <v>1</v>
      </c>
      <c r="P251" t="n">
        <v>0</v>
      </c>
      <c r="Q251" t="n">
        <v>2</v>
      </c>
      <c r="R251" s="2" t="inlineStr">
        <is>
          <t>Talltita
Kungsfågel</t>
        </is>
      </c>
      <c r="S251">
        <f>HYPERLINK("https://klasma.github.io/Logging_080883/artfynd/A 10784-2025 artfynd.xlsx", "A 10784-2025")</f>
        <v/>
      </c>
      <c r="T251">
        <f>HYPERLINK("https://klasma.github.io/Logging_080883/kartor/A 10784-2025 karta.png", "A 10784-2025")</f>
        <v/>
      </c>
      <c r="V251">
        <f>HYPERLINK("https://klasma.github.io/Logging_080883/klagomål/A 10784-2025 FSC-klagomål.docx", "A 10784-2025")</f>
        <v/>
      </c>
      <c r="W251">
        <f>HYPERLINK("https://klasma.github.io/Logging_080883/klagomålsmail/A 10784-2025 FSC-klagomål mail.docx", "A 10784-2025")</f>
        <v/>
      </c>
      <c r="X251">
        <f>HYPERLINK("https://klasma.github.io/Logging_080883/tillsyn/A 10784-2025 tillsynsbegäran.docx", "A 10784-2025")</f>
        <v/>
      </c>
      <c r="Y251">
        <f>HYPERLINK("https://klasma.github.io/Logging_080883/tillsynsmail/A 10784-2025 tillsynsbegäran mail.docx", "A 10784-2025")</f>
        <v/>
      </c>
      <c r="Z251">
        <f>HYPERLINK("https://klasma.github.io/Logging_080883/fåglar/A 10784-2025 prioriterade fågelarter.docx", "A 10784-2025")</f>
        <v/>
      </c>
    </row>
    <row r="252" ht="15" customHeight="1">
      <c r="A252" t="inlineStr">
        <is>
          <t>A 14126-2025</t>
        </is>
      </c>
      <c r="B252" s="1" t="n">
        <v>45740</v>
      </c>
      <c r="C252" s="1" t="n">
        <v>45842</v>
      </c>
      <c r="D252" t="inlineStr">
        <is>
          <t>KALMAR LÄN</t>
        </is>
      </c>
      <c r="E252" t="inlineStr">
        <is>
          <t>VÄSTERVIK</t>
        </is>
      </c>
      <c r="F252" t="inlineStr">
        <is>
          <t>Sveaskog</t>
        </is>
      </c>
      <c r="G252" t="n">
        <v>1.3</v>
      </c>
      <c r="H252" t="n">
        <v>2</v>
      </c>
      <c r="I252" t="n">
        <v>0</v>
      </c>
      <c r="J252" t="n">
        <v>1</v>
      </c>
      <c r="K252" t="n">
        <v>0</v>
      </c>
      <c r="L252" t="n">
        <v>0</v>
      </c>
      <c r="M252" t="n">
        <v>0</v>
      </c>
      <c r="N252" t="n">
        <v>0</v>
      </c>
      <c r="O252" t="n">
        <v>1</v>
      </c>
      <c r="P252" t="n">
        <v>0</v>
      </c>
      <c r="Q252" t="n">
        <v>2</v>
      </c>
      <c r="R252" s="2" t="inlineStr">
        <is>
          <t>Grönsångare
Blåsippa</t>
        </is>
      </c>
      <c r="S252">
        <f>HYPERLINK("https://klasma.github.io/Logging_080883/artfynd/A 14126-2025 artfynd.xlsx", "A 14126-2025")</f>
        <v/>
      </c>
      <c r="T252">
        <f>HYPERLINK("https://klasma.github.io/Logging_080883/kartor/A 14126-2025 karta.png", "A 14126-2025")</f>
        <v/>
      </c>
      <c r="V252">
        <f>HYPERLINK("https://klasma.github.io/Logging_080883/klagomål/A 14126-2025 FSC-klagomål.docx", "A 14126-2025")</f>
        <v/>
      </c>
      <c r="W252">
        <f>HYPERLINK("https://klasma.github.io/Logging_080883/klagomålsmail/A 14126-2025 FSC-klagomål mail.docx", "A 14126-2025")</f>
        <v/>
      </c>
      <c r="X252">
        <f>HYPERLINK("https://klasma.github.io/Logging_080883/tillsyn/A 14126-2025 tillsynsbegäran.docx", "A 14126-2025")</f>
        <v/>
      </c>
      <c r="Y252">
        <f>HYPERLINK("https://klasma.github.io/Logging_080883/tillsynsmail/A 14126-2025 tillsynsbegäran mail.docx", "A 14126-2025")</f>
        <v/>
      </c>
      <c r="Z252">
        <f>HYPERLINK("https://klasma.github.io/Logging_080883/fåglar/A 14126-2025 prioriterade fågelarter.docx", "A 14126-2025")</f>
        <v/>
      </c>
    </row>
    <row r="253" ht="15" customHeight="1">
      <c r="A253" t="inlineStr">
        <is>
          <t>A 14086-2025</t>
        </is>
      </c>
      <c r="B253" s="1" t="n">
        <v>45740</v>
      </c>
      <c r="C253" s="1" t="n">
        <v>45842</v>
      </c>
      <c r="D253" t="inlineStr">
        <is>
          <t>KALMAR LÄN</t>
        </is>
      </c>
      <c r="E253" t="inlineStr">
        <is>
          <t>VÄSTERVIK</t>
        </is>
      </c>
      <c r="F253" t="inlineStr">
        <is>
          <t>Sveaskog</t>
        </is>
      </c>
      <c r="G253" t="n">
        <v>3.2</v>
      </c>
      <c r="H253" t="n">
        <v>1</v>
      </c>
      <c r="I253" t="n">
        <v>1</v>
      </c>
      <c r="J253" t="n">
        <v>0</v>
      </c>
      <c r="K253" t="n">
        <v>0</v>
      </c>
      <c r="L253" t="n">
        <v>0</v>
      </c>
      <c r="M253" t="n">
        <v>0</v>
      </c>
      <c r="N253" t="n">
        <v>0</v>
      </c>
      <c r="O253" t="n">
        <v>0</v>
      </c>
      <c r="P253" t="n">
        <v>0</v>
      </c>
      <c r="Q253" t="n">
        <v>2</v>
      </c>
      <c r="R253" s="2" t="inlineStr">
        <is>
          <t>Skogsbräsma
Åkergroda</t>
        </is>
      </c>
      <c r="S253">
        <f>HYPERLINK("https://klasma.github.io/Logging_080883/artfynd/A 14086-2025 artfynd.xlsx", "A 14086-2025")</f>
        <v/>
      </c>
      <c r="T253">
        <f>HYPERLINK("https://klasma.github.io/Logging_080883/kartor/A 14086-2025 karta.png", "A 14086-2025")</f>
        <v/>
      </c>
      <c r="V253">
        <f>HYPERLINK("https://klasma.github.io/Logging_080883/klagomål/A 14086-2025 FSC-klagomål.docx", "A 14086-2025")</f>
        <v/>
      </c>
      <c r="W253">
        <f>HYPERLINK("https://klasma.github.io/Logging_080883/klagomålsmail/A 14086-2025 FSC-klagomål mail.docx", "A 14086-2025")</f>
        <v/>
      </c>
      <c r="X253">
        <f>HYPERLINK("https://klasma.github.io/Logging_080883/tillsyn/A 14086-2025 tillsynsbegäran.docx", "A 14086-2025")</f>
        <v/>
      </c>
      <c r="Y253">
        <f>HYPERLINK("https://klasma.github.io/Logging_080883/tillsynsmail/A 14086-2025 tillsynsbegäran mail.docx", "A 14086-2025")</f>
        <v/>
      </c>
    </row>
    <row r="254" ht="15" customHeight="1">
      <c r="A254" t="inlineStr">
        <is>
          <t>A 14090-2025</t>
        </is>
      </c>
      <c r="B254" s="1" t="n">
        <v>45740</v>
      </c>
      <c r="C254" s="1" t="n">
        <v>45842</v>
      </c>
      <c r="D254" t="inlineStr">
        <is>
          <t>KALMAR LÄN</t>
        </is>
      </c>
      <c r="E254" t="inlineStr">
        <is>
          <t>VÄSTERVIK</t>
        </is>
      </c>
      <c r="F254" t="inlineStr">
        <is>
          <t>Sveaskog</t>
        </is>
      </c>
      <c r="G254" t="n">
        <v>1</v>
      </c>
      <c r="H254" t="n">
        <v>2</v>
      </c>
      <c r="I254" t="n">
        <v>0</v>
      </c>
      <c r="J254" t="n">
        <v>1</v>
      </c>
      <c r="K254" t="n">
        <v>0</v>
      </c>
      <c r="L254" t="n">
        <v>0</v>
      </c>
      <c r="M254" t="n">
        <v>0</v>
      </c>
      <c r="N254" t="n">
        <v>0</v>
      </c>
      <c r="O254" t="n">
        <v>1</v>
      </c>
      <c r="P254" t="n">
        <v>0</v>
      </c>
      <c r="Q254" t="n">
        <v>2</v>
      </c>
      <c r="R254" s="2" t="inlineStr">
        <is>
          <t>Grönsångare
Åkergroda</t>
        </is>
      </c>
      <c r="S254">
        <f>HYPERLINK("https://klasma.github.io/Logging_080883/artfynd/A 14090-2025 artfynd.xlsx", "A 14090-2025")</f>
        <v/>
      </c>
      <c r="T254">
        <f>HYPERLINK("https://klasma.github.io/Logging_080883/kartor/A 14090-2025 karta.png", "A 14090-2025")</f>
        <v/>
      </c>
      <c r="V254">
        <f>HYPERLINK("https://klasma.github.io/Logging_080883/klagomål/A 14090-2025 FSC-klagomål.docx", "A 14090-2025")</f>
        <v/>
      </c>
      <c r="W254">
        <f>HYPERLINK("https://klasma.github.io/Logging_080883/klagomålsmail/A 14090-2025 FSC-klagomål mail.docx", "A 14090-2025")</f>
        <v/>
      </c>
      <c r="X254">
        <f>HYPERLINK("https://klasma.github.io/Logging_080883/tillsyn/A 14090-2025 tillsynsbegäran.docx", "A 14090-2025")</f>
        <v/>
      </c>
      <c r="Y254">
        <f>HYPERLINK("https://klasma.github.io/Logging_080883/tillsynsmail/A 14090-2025 tillsynsbegäran mail.docx", "A 14090-2025")</f>
        <v/>
      </c>
      <c r="Z254">
        <f>HYPERLINK("https://klasma.github.io/Logging_080883/fåglar/A 14090-2025 prioriterade fågelarter.docx", "A 14090-2025")</f>
        <v/>
      </c>
    </row>
    <row r="255" ht="15" customHeight="1">
      <c r="A255" t="inlineStr">
        <is>
          <t>A 15018-2025</t>
        </is>
      </c>
      <c r="B255" s="1" t="n">
        <v>45743</v>
      </c>
      <c r="C255" s="1" t="n">
        <v>45842</v>
      </c>
      <c r="D255" t="inlineStr">
        <is>
          <t>KALMAR LÄN</t>
        </is>
      </c>
      <c r="E255" t="inlineStr">
        <is>
          <t>VÄSTERVIK</t>
        </is>
      </c>
      <c r="G255" t="n">
        <v>1.7</v>
      </c>
      <c r="H255" t="n">
        <v>2</v>
      </c>
      <c r="I255" t="n">
        <v>0</v>
      </c>
      <c r="J255" t="n">
        <v>1</v>
      </c>
      <c r="K255" t="n">
        <v>0</v>
      </c>
      <c r="L255" t="n">
        <v>0</v>
      </c>
      <c r="M255" t="n">
        <v>0</v>
      </c>
      <c r="N255" t="n">
        <v>0</v>
      </c>
      <c r="O255" t="n">
        <v>1</v>
      </c>
      <c r="P255" t="n">
        <v>0</v>
      </c>
      <c r="Q255" t="n">
        <v>2</v>
      </c>
      <c r="R255" s="2" t="inlineStr">
        <is>
          <t>Fjällvråk
Nattskärra</t>
        </is>
      </c>
      <c r="S255">
        <f>HYPERLINK("https://klasma.github.io/Logging_080883/artfynd/A 15018-2025 artfynd.xlsx", "A 15018-2025")</f>
        <v/>
      </c>
      <c r="T255">
        <f>HYPERLINK("https://klasma.github.io/Logging_080883/kartor/A 15018-2025 karta.png", "A 15018-2025")</f>
        <v/>
      </c>
      <c r="V255">
        <f>HYPERLINK("https://klasma.github.io/Logging_080883/klagomål/A 15018-2025 FSC-klagomål.docx", "A 15018-2025")</f>
        <v/>
      </c>
      <c r="W255">
        <f>HYPERLINK("https://klasma.github.io/Logging_080883/klagomålsmail/A 15018-2025 FSC-klagomål mail.docx", "A 15018-2025")</f>
        <v/>
      </c>
      <c r="X255">
        <f>HYPERLINK("https://klasma.github.io/Logging_080883/tillsyn/A 15018-2025 tillsynsbegäran.docx", "A 15018-2025")</f>
        <v/>
      </c>
      <c r="Y255">
        <f>HYPERLINK("https://klasma.github.io/Logging_080883/tillsynsmail/A 15018-2025 tillsynsbegäran mail.docx", "A 15018-2025")</f>
        <v/>
      </c>
      <c r="Z255">
        <f>HYPERLINK("https://klasma.github.io/Logging_080883/fåglar/A 15018-2025 prioriterade fågelarter.docx", "A 15018-2025")</f>
        <v/>
      </c>
    </row>
    <row r="256" ht="15" customHeight="1">
      <c r="A256" t="inlineStr">
        <is>
          <t>A 16700-2025</t>
        </is>
      </c>
      <c r="B256" s="1" t="n">
        <v>45754</v>
      </c>
      <c r="C256" s="1" t="n">
        <v>45842</v>
      </c>
      <c r="D256" t="inlineStr">
        <is>
          <t>KALMAR LÄN</t>
        </is>
      </c>
      <c r="E256" t="inlineStr">
        <is>
          <t>VÄSTERVIK</t>
        </is>
      </c>
      <c r="F256" t="inlineStr">
        <is>
          <t>Sveaskog</t>
        </is>
      </c>
      <c r="G256" t="n">
        <v>1.7</v>
      </c>
      <c r="H256" t="n">
        <v>2</v>
      </c>
      <c r="I256" t="n">
        <v>0</v>
      </c>
      <c r="J256" t="n">
        <v>1</v>
      </c>
      <c r="K256" t="n">
        <v>0</v>
      </c>
      <c r="L256" t="n">
        <v>0</v>
      </c>
      <c r="M256" t="n">
        <v>0</v>
      </c>
      <c r="N256" t="n">
        <v>0</v>
      </c>
      <c r="O256" t="n">
        <v>1</v>
      </c>
      <c r="P256" t="n">
        <v>0</v>
      </c>
      <c r="Q256" t="n">
        <v>2</v>
      </c>
      <c r="R256" s="2" t="inlineStr">
        <is>
          <t>Spillkråka
Kungsfågel</t>
        </is>
      </c>
      <c r="S256">
        <f>HYPERLINK("https://klasma.github.io/Logging_080883/artfynd/A 16700-2025 artfynd.xlsx", "A 16700-2025")</f>
        <v/>
      </c>
      <c r="T256">
        <f>HYPERLINK("https://klasma.github.io/Logging_080883/kartor/A 16700-2025 karta.png", "A 16700-2025")</f>
        <v/>
      </c>
      <c r="V256">
        <f>HYPERLINK("https://klasma.github.io/Logging_080883/klagomål/A 16700-2025 FSC-klagomål.docx", "A 16700-2025")</f>
        <v/>
      </c>
      <c r="W256">
        <f>HYPERLINK("https://klasma.github.io/Logging_080883/klagomålsmail/A 16700-2025 FSC-klagomål mail.docx", "A 16700-2025")</f>
        <v/>
      </c>
      <c r="X256">
        <f>HYPERLINK("https://klasma.github.io/Logging_080883/tillsyn/A 16700-2025 tillsynsbegäran.docx", "A 16700-2025")</f>
        <v/>
      </c>
      <c r="Y256">
        <f>HYPERLINK("https://klasma.github.io/Logging_080883/tillsynsmail/A 16700-2025 tillsynsbegäran mail.docx", "A 16700-2025")</f>
        <v/>
      </c>
      <c r="Z256">
        <f>HYPERLINK("https://klasma.github.io/Logging_080883/fåglar/A 16700-2025 prioriterade fågelarter.docx", "A 16700-2025")</f>
        <v/>
      </c>
    </row>
    <row r="257" ht="15" customHeight="1">
      <c r="A257" t="inlineStr">
        <is>
          <t>A 21081-2025</t>
        </is>
      </c>
      <c r="B257" s="1" t="n">
        <v>45777</v>
      </c>
      <c r="C257" s="1" t="n">
        <v>45842</v>
      </c>
      <c r="D257" t="inlineStr">
        <is>
          <t>KALMAR LÄN</t>
        </is>
      </c>
      <c r="E257" t="inlineStr">
        <is>
          <t>VÄSTERVIK</t>
        </is>
      </c>
      <c r="G257" t="n">
        <v>1</v>
      </c>
      <c r="H257" t="n">
        <v>1</v>
      </c>
      <c r="I257" t="n">
        <v>0</v>
      </c>
      <c r="J257" t="n">
        <v>1</v>
      </c>
      <c r="K257" t="n">
        <v>1</v>
      </c>
      <c r="L257" t="n">
        <v>0</v>
      </c>
      <c r="M257" t="n">
        <v>0</v>
      </c>
      <c r="N257" t="n">
        <v>0</v>
      </c>
      <c r="O257" t="n">
        <v>2</v>
      </c>
      <c r="P257" t="n">
        <v>1</v>
      </c>
      <c r="Q257" t="n">
        <v>2</v>
      </c>
      <c r="R257" s="2" t="inlineStr">
        <is>
          <t>Knärot
Ullticka</t>
        </is>
      </c>
      <c r="S257">
        <f>HYPERLINK("https://klasma.github.io/Logging_080883/artfynd/A 21081-2025 artfynd.xlsx", "A 21081-2025")</f>
        <v/>
      </c>
      <c r="T257">
        <f>HYPERLINK("https://klasma.github.io/Logging_080883/kartor/A 21081-2025 karta.png", "A 21081-2025")</f>
        <v/>
      </c>
      <c r="U257">
        <f>HYPERLINK("https://klasma.github.io/Logging_080883/knärot/A 21081-2025 karta knärot.png", "A 21081-2025")</f>
        <v/>
      </c>
      <c r="V257">
        <f>HYPERLINK("https://klasma.github.io/Logging_080883/klagomål/A 21081-2025 FSC-klagomål.docx", "A 21081-2025")</f>
        <v/>
      </c>
      <c r="W257">
        <f>HYPERLINK("https://klasma.github.io/Logging_080883/klagomålsmail/A 21081-2025 FSC-klagomål mail.docx", "A 21081-2025")</f>
        <v/>
      </c>
      <c r="X257">
        <f>HYPERLINK("https://klasma.github.io/Logging_080883/tillsyn/A 21081-2025 tillsynsbegäran.docx", "A 21081-2025")</f>
        <v/>
      </c>
      <c r="Y257">
        <f>HYPERLINK("https://klasma.github.io/Logging_080883/tillsynsmail/A 21081-2025 tillsynsbegäran mail.docx", "A 21081-2025")</f>
        <v/>
      </c>
    </row>
    <row r="258" ht="15" customHeight="1">
      <c r="A258" t="inlineStr">
        <is>
          <t>A 27200-2019</t>
        </is>
      </c>
      <c r="B258" s="1" t="n">
        <v>43614</v>
      </c>
      <c r="C258" s="1" t="n">
        <v>45842</v>
      </c>
      <c r="D258" t="inlineStr">
        <is>
          <t>KALMAR LÄN</t>
        </is>
      </c>
      <c r="E258" t="inlineStr">
        <is>
          <t>VÄSTERVIK</t>
        </is>
      </c>
      <c r="F258" t="inlineStr">
        <is>
          <t>Sveaskog</t>
        </is>
      </c>
      <c r="G258" t="n">
        <v>8.5</v>
      </c>
      <c r="H258" t="n">
        <v>0</v>
      </c>
      <c r="I258" t="n">
        <v>1</v>
      </c>
      <c r="J258" t="n">
        <v>0</v>
      </c>
      <c r="K258" t="n">
        <v>0</v>
      </c>
      <c r="L258" t="n">
        <v>0</v>
      </c>
      <c r="M258" t="n">
        <v>0</v>
      </c>
      <c r="N258" t="n">
        <v>0</v>
      </c>
      <c r="O258" t="n">
        <v>0</v>
      </c>
      <c r="P258" t="n">
        <v>0</v>
      </c>
      <c r="Q258" t="n">
        <v>1</v>
      </c>
      <c r="R258" s="2" t="inlineStr">
        <is>
          <t>Myskmadra</t>
        </is>
      </c>
      <c r="S258">
        <f>HYPERLINK("https://klasma.github.io/Logging_0883/artfynd/A 27200-2019 artfynd.xlsx", "A 27200-2019")</f>
        <v/>
      </c>
      <c r="T258">
        <f>HYPERLINK("https://klasma.github.io/Logging_0883/kartor/A 27200-2019 karta.png", "A 27200-2019")</f>
        <v/>
      </c>
      <c r="V258">
        <f>HYPERLINK("https://klasma.github.io/Logging_0883/klagomål/A 27200-2019 FSC-klagomål.docx", "A 27200-2019")</f>
        <v/>
      </c>
      <c r="W258">
        <f>HYPERLINK("https://klasma.github.io/Logging_0883/klagomålsmail/A 27200-2019 FSC-klagomål mail.docx", "A 27200-2019")</f>
        <v/>
      </c>
      <c r="X258">
        <f>HYPERLINK("https://klasma.github.io/Logging_0883/tillsyn/A 27200-2019 tillsynsbegäran.docx", "A 27200-2019")</f>
        <v/>
      </c>
      <c r="Y258">
        <f>HYPERLINK("https://klasma.github.io/Logging_0883/tillsynsmail/A 27200-2019 tillsynsbegäran mail.docx", "A 27200-2019")</f>
        <v/>
      </c>
    </row>
    <row r="259" ht="15" customHeight="1">
      <c r="A259" t="inlineStr">
        <is>
          <t>A 27204-2019</t>
        </is>
      </c>
      <c r="B259" s="1" t="n">
        <v>43614</v>
      </c>
      <c r="C259" s="1" t="n">
        <v>45842</v>
      </c>
      <c r="D259" t="inlineStr">
        <is>
          <t>KALMAR LÄN</t>
        </is>
      </c>
      <c r="E259" t="inlineStr">
        <is>
          <t>VÄSTERVIK</t>
        </is>
      </c>
      <c r="F259" t="inlineStr">
        <is>
          <t>Sveaskog</t>
        </is>
      </c>
      <c r="G259" t="n">
        <v>12.9</v>
      </c>
      <c r="H259" t="n">
        <v>0</v>
      </c>
      <c r="I259" t="n">
        <v>1</v>
      </c>
      <c r="J259" t="n">
        <v>0</v>
      </c>
      <c r="K259" t="n">
        <v>0</v>
      </c>
      <c r="L259" t="n">
        <v>0</v>
      </c>
      <c r="M259" t="n">
        <v>0</v>
      </c>
      <c r="N259" t="n">
        <v>0</v>
      </c>
      <c r="O259" t="n">
        <v>0</v>
      </c>
      <c r="P259" t="n">
        <v>0</v>
      </c>
      <c r="Q259" t="n">
        <v>1</v>
      </c>
      <c r="R259" s="2" t="inlineStr">
        <is>
          <t>Platt fjädermossa</t>
        </is>
      </c>
      <c r="S259">
        <f>HYPERLINK("https://klasma.github.io/Logging_0883/artfynd/A 27204-2019 artfynd.xlsx", "A 27204-2019")</f>
        <v/>
      </c>
      <c r="T259">
        <f>HYPERLINK("https://klasma.github.io/Logging_0883/kartor/A 27204-2019 karta.png", "A 27204-2019")</f>
        <v/>
      </c>
      <c r="V259">
        <f>HYPERLINK("https://klasma.github.io/Logging_0883/klagomål/A 27204-2019 FSC-klagomål.docx", "A 27204-2019")</f>
        <v/>
      </c>
      <c r="W259">
        <f>HYPERLINK("https://klasma.github.io/Logging_0883/klagomålsmail/A 27204-2019 FSC-klagomål mail.docx", "A 27204-2019")</f>
        <v/>
      </c>
      <c r="X259">
        <f>HYPERLINK("https://klasma.github.io/Logging_0883/tillsyn/A 27204-2019 tillsynsbegäran.docx", "A 27204-2019")</f>
        <v/>
      </c>
      <c r="Y259">
        <f>HYPERLINK("https://klasma.github.io/Logging_0883/tillsynsmail/A 27204-2019 tillsynsbegäran mail.docx", "A 27204-2019")</f>
        <v/>
      </c>
    </row>
    <row r="260" ht="15" customHeight="1">
      <c r="A260" t="inlineStr">
        <is>
          <t>A 27203-2019</t>
        </is>
      </c>
      <c r="B260" s="1" t="n">
        <v>43614</v>
      </c>
      <c r="C260" s="1" t="n">
        <v>45842</v>
      </c>
      <c r="D260" t="inlineStr">
        <is>
          <t>KALMAR LÄN</t>
        </is>
      </c>
      <c r="E260" t="inlineStr">
        <is>
          <t>VÄSTERVIK</t>
        </is>
      </c>
      <c r="F260" t="inlineStr">
        <is>
          <t>Sveaskog</t>
        </is>
      </c>
      <c r="G260" t="n">
        <v>4.8</v>
      </c>
      <c r="H260" t="n">
        <v>0</v>
      </c>
      <c r="I260" t="n">
        <v>1</v>
      </c>
      <c r="J260" t="n">
        <v>0</v>
      </c>
      <c r="K260" t="n">
        <v>0</v>
      </c>
      <c r="L260" t="n">
        <v>0</v>
      </c>
      <c r="M260" t="n">
        <v>0</v>
      </c>
      <c r="N260" t="n">
        <v>0</v>
      </c>
      <c r="O260" t="n">
        <v>0</v>
      </c>
      <c r="P260" t="n">
        <v>0</v>
      </c>
      <c r="Q260" t="n">
        <v>1</v>
      </c>
      <c r="R260" s="2" t="inlineStr">
        <is>
          <t>Blomskägglav</t>
        </is>
      </c>
      <c r="S260">
        <f>HYPERLINK("https://klasma.github.io/Logging_0883/artfynd/A 27203-2019 artfynd.xlsx", "A 27203-2019")</f>
        <v/>
      </c>
      <c r="T260">
        <f>HYPERLINK("https://klasma.github.io/Logging_0883/kartor/A 27203-2019 karta.png", "A 27203-2019")</f>
        <v/>
      </c>
      <c r="V260">
        <f>HYPERLINK("https://klasma.github.io/Logging_0883/klagomål/A 27203-2019 FSC-klagomål.docx", "A 27203-2019")</f>
        <v/>
      </c>
      <c r="W260">
        <f>HYPERLINK("https://klasma.github.io/Logging_0883/klagomålsmail/A 27203-2019 FSC-klagomål mail.docx", "A 27203-2019")</f>
        <v/>
      </c>
      <c r="X260">
        <f>HYPERLINK("https://klasma.github.io/Logging_0883/tillsyn/A 27203-2019 tillsynsbegäran.docx", "A 27203-2019")</f>
        <v/>
      </c>
      <c r="Y260">
        <f>HYPERLINK("https://klasma.github.io/Logging_0883/tillsynsmail/A 27203-2019 tillsynsbegäran mail.docx", "A 27203-2019")</f>
        <v/>
      </c>
    </row>
    <row r="261" ht="15" customHeight="1">
      <c r="A261" t="inlineStr">
        <is>
          <t>A 59193-2019</t>
        </is>
      </c>
      <c r="B261" s="1" t="n">
        <v>43775</v>
      </c>
      <c r="C261" s="1" t="n">
        <v>45842</v>
      </c>
      <c r="D261" t="inlineStr">
        <is>
          <t>KALMAR LÄN</t>
        </is>
      </c>
      <c r="E261" t="inlineStr">
        <is>
          <t>VÄSTERVIK</t>
        </is>
      </c>
      <c r="G261" t="n">
        <v>3.8</v>
      </c>
      <c r="H261" t="n">
        <v>0</v>
      </c>
      <c r="I261" t="n">
        <v>0</v>
      </c>
      <c r="J261" t="n">
        <v>1</v>
      </c>
      <c r="K261" t="n">
        <v>0</v>
      </c>
      <c r="L261" t="n">
        <v>0</v>
      </c>
      <c r="M261" t="n">
        <v>0</v>
      </c>
      <c r="N261" t="n">
        <v>0</v>
      </c>
      <c r="O261" t="n">
        <v>1</v>
      </c>
      <c r="P261" t="n">
        <v>0</v>
      </c>
      <c r="Q261" t="n">
        <v>1</v>
      </c>
      <c r="R261" s="2" t="inlineStr">
        <is>
          <t>Åkerkulla</t>
        </is>
      </c>
      <c r="S261">
        <f>HYPERLINK("https://klasma.github.io/Logging_0883/artfynd/A 59193-2019 artfynd.xlsx", "A 59193-2019")</f>
        <v/>
      </c>
      <c r="T261">
        <f>HYPERLINK("https://klasma.github.io/Logging_0883/kartor/A 59193-2019 karta.png", "A 59193-2019")</f>
        <v/>
      </c>
      <c r="V261">
        <f>HYPERLINK("https://klasma.github.io/Logging_0883/klagomål/A 59193-2019 FSC-klagomål.docx", "A 59193-2019")</f>
        <v/>
      </c>
      <c r="W261">
        <f>HYPERLINK("https://klasma.github.io/Logging_0883/klagomålsmail/A 59193-2019 FSC-klagomål mail.docx", "A 59193-2019")</f>
        <v/>
      </c>
      <c r="X261">
        <f>HYPERLINK("https://klasma.github.io/Logging_0883/tillsyn/A 59193-2019 tillsynsbegäran.docx", "A 59193-2019")</f>
        <v/>
      </c>
      <c r="Y261">
        <f>HYPERLINK("https://klasma.github.io/Logging_0883/tillsynsmail/A 59193-2019 tillsynsbegäran mail.docx", "A 59193-2019")</f>
        <v/>
      </c>
    </row>
    <row r="262" ht="15" customHeight="1">
      <c r="A262" t="inlineStr">
        <is>
          <t>A 16608-2020</t>
        </is>
      </c>
      <c r="B262" s="1" t="n">
        <v>43908</v>
      </c>
      <c r="C262" s="1" t="n">
        <v>45842</v>
      </c>
      <c r="D262" t="inlineStr">
        <is>
          <t>KALMAR LÄN</t>
        </is>
      </c>
      <c r="E262" t="inlineStr">
        <is>
          <t>VÄSTERVIK</t>
        </is>
      </c>
      <c r="F262" t="inlineStr">
        <is>
          <t>Övriga Aktiebolag</t>
        </is>
      </c>
      <c r="G262" t="n">
        <v>1.7</v>
      </c>
      <c r="H262" t="n">
        <v>0</v>
      </c>
      <c r="I262" t="n">
        <v>0</v>
      </c>
      <c r="J262" t="n">
        <v>1</v>
      </c>
      <c r="K262" t="n">
        <v>0</v>
      </c>
      <c r="L262" t="n">
        <v>0</v>
      </c>
      <c r="M262" t="n">
        <v>0</v>
      </c>
      <c r="N262" t="n">
        <v>0</v>
      </c>
      <c r="O262" t="n">
        <v>1</v>
      </c>
      <c r="P262" t="n">
        <v>0</v>
      </c>
      <c r="Q262" t="n">
        <v>1</v>
      </c>
      <c r="R262" s="2" t="inlineStr">
        <is>
          <t>Skogsklocka</t>
        </is>
      </c>
      <c r="S262">
        <f>HYPERLINK("https://klasma.github.io/Logging_0883/artfynd/A 16608-2020 artfynd.xlsx", "A 16608-2020")</f>
        <v/>
      </c>
      <c r="T262">
        <f>HYPERLINK("https://klasma.github.io/Logging_0883/kartor/A 16608-2020 karta.png", "A 16608-2020")</f>
        <v/>
      </c>
      <c r="V262">
        <f>HYPERLINK("https://klasma.github.io/Logging_0883/klagomål/A 16608-2020 FSC-klagomål.docx", "A 16608-2020")</f>
        <v/>
      </c>
      <c r="W262">
        <f>HYPERLINK("https://klasma.github.io/Logging_0883/klagomålsmail/A 16608-2020 FSC-klagomål mail.docx", "A 16608-2020")</f>
        <v/>
      </c>
      <c r="X262">
        <f>HYPERLINK("https://klasma.github.io/Logging_0883/tillsyn/A 16608-2020 tillsynsbegäran.docx", "A 16608-2020")</f>
        <v/>
      </c>
      <c r="Y262">
        <f>HYPERLINK("https://klasma.github.io/Logging_0883/tillsynsmail/A 16608-2020 tillsynsbegäran mail.docx", "A 16608-2020")</f>
        <v/>
      </c>
    </row>
    <row r="263" ht="15" customHeight="1">
      <c r="A263" t="inlineStr">
        <is>
          <t>A 15357-2020</t>
        </is>
      </c>
      <c r="B263" s="1" t="n">
        <v>43913</v>
      </c>
      <c r="C263" s="1" t="n">
        <v>45842</v>
      </c>
      <c r="D263" t="inlineStr">
        <is>
          <t>KALMAR LÄN</t>
        </is>
      </c>
      <c r="E263" t="inlineStr">
        <is>
          <t>VÄSTERVIK</t>
        </is>
      </c>
      <c r="G263" t="n">
        <v>2.9</v>
      </c>
      <c r="H263" t="n">
        <v>0</v>
      </c>
      <c r="I263" t="n">
        <v>1</v>
      </c>
      <c r="J263" t="n">
        <v>0</v>
      </c>
      <c r="K263" t="n">
        <v>0</v>
      </c>
      <c r="L263" t="n">
        <v>0</v>
      </c>
      <c r="M263" t="n">
        <v>0</v>
      </c>
      <c r="N263" t="n">
        <v>0</v>
      </c>
      <c r="O263" t="n">
        <v>0</v>
      </c>
      <c r="P263" t="n">
        <v>0</v>
      </c>
      <c r="Q263" t="n">
        <v>1</v>
      </c>
      <c r="R263" s="2" t="inlineStr">
        <is>
          <t>Grönpyrola</t>
        </is>
      </c>
      <c r="S263">
        <f>HYPERLINK("https://klasma.github.io/Logging_0883/artfynd/A 15357-2020 artfynd.xlsx", "A 15357-2020")</f>
        <v/>
      </c>
      <c r="T263">
        <f>HYPERLINK("https://klasma.github.io/Logging_0883/kartor/A 15357-2020 karta.png", "A 15357-2020")</f>
        <v/>
      </c>
      <c r="U263">
        <f>HYPERLINK("https://klasma.github.io/Logging_0883/knärot/A 15357-2020 karta knärot.png", "A 15357-2020")</f>
        <v/>
      </c>
      <c r="V263">
        <f>HYPERLINK("https://klasma.github.io/Logging_0883/klagomål/A 15357-2020 FSC-klagomål.docx", "A 15357-2020")</f>
        <v/>
      </c>
      <c r="W263">
        <f>HYPERLINK("https://klasma.github.io/Logging_0883/klagomålsmail/A 15357-2020 FSC-klagomål mail.docx", "A 15357-2020")</f>
        <v/>
      </c>
      <c r="X263">
        <f>HYPERLINK("https://klasma.github.io/Logging_0883/tillsyn/A 15357-2020 tillsynsbegäran.docx", "A 15357-2020")</f>
        <v/>
      </c>
      <c r="Y263">
        <f>HYPERLINK("https://klasma.github.io/Logging_0883/tillsynsmail/A 15357-2020 tillsynsbegäran mail.docx", "A 15357-2020")</f>
        <v/>
      </c>
    </row>
    <row r="264" ht="15" customHeight="1">
      <c r="A264" t="inlineStr">
        <is>
          <t>A 39836-2020</t>
        </is>
      </c>
      <c r="B264" s="1" t="n">
        <v>44064</v>
      </c>
      <c r="C264" s="1" t="n">
        <v>45842</v>
      </c>
      <c r="D264" t="inlineStr">
        <is>
          <t>KALMAR LÄN</t>
        </is>
      </c>
      <c r="E264" t="inlineStr">
        <is>
          <t>VÄSTERVIK</t>
        </is>
      </c>
      <c r="G264" t="n">
        <v>13.4</v>
      </c>
      <c r="H264" t="n">
        <v>1</v>
      </c>
      <c r="I264" t="n">
        <v>0</v>
      </c>
      <c r="J264" t="n">
        <v>1</v>
      </c>
      <c r="K264" t="n">
        <v>0</v>
      </c>
      <c r="L264" t="n">
        <v>0</v>
      </c>
      <c r="M264" t="n">
        <v>0</v>
      </c>
      <c r="N264" t="n">
        <v>0</v>
      </c>
      <c r="O264" t="n">
        <v>1</v>
      </c>
      <c r="P264" t="n">
        <v>0</v>
      </c>
      <c r="Q264" t="n">
        <v>1</v>
      </c>
      <c r="R264" s="2" t="inlineStr">
        <is>
          <t>Havsörn</t>
        </is>
      </c>
      <c r="S264">
        <f>HYPERLINK("https://klasma.github.io/Logging_0883/artfynd/A 39836-2020 artfynd.xlsx", "A 39836-2020")</f>
        <v/>
      </c>
      <c r="T264">
        <f>HYPERLINK("https://klasma.github.io/Logging_0883/kartor/A 39836-2020 karta.png", "A 39836-2020")</f>
        <v/>
      </c>
      <c r="V264">
        <f>HYPERLINK("https://klasma.github.io/Logging_0883/klagomål/A 39836-2020 FSC-klagomål.docx", "A 39836-2020")</f>
        <v/>
      </c>
      <c r="W264">
        <f>HYPERLINK("https://klasma.github.io/Logging_0883/klagomålsmail/A 39836-2020 FSC-klagomål mail.docx", "A 39836-2020")</f>
        <v/>
      </c>
      <c r="X264">
        <f>HYPERLINK("https://klasma.github.io/Logging_0883/tillsyn/A 39836-2020 tillsynsbegäran.docx", "A 39836-2020")</f>
        <v/>
      </c>
      <c r="Y264">
        <f>HYPERLINK("https://klasma.github.io/Logging_0883/tillsynsmail/A 39836-2020 tillsynsbegäran mail.docx", "A 39836-2020")</f>
        <v/>
      </c>
      <c r="Z264">
        <f>HYPERLINK("https://klasma.github.io/Logging_0883/fåglar/A 39836-2020 prioriterade fågelarter.docx", "A 39836-2020")</f>
        <v/>
      </c>
    </row>
    <row r="265" ht="15" customHeight="1">
      <c r="A265" t="inlineStr">
        <is>
          <t>A 66752-2020</t>
        </is>
      </c>
      <c r="B265" s="1" t="n">
        <v>44175</v>
      </c>
      <c r="C265" s="1" t="n">
        <v>45842</v>
      </c>
      <c r="D265" t="inlineStr">
        <is>
          <t>KALMAR LÄN</t>
        </is>
      </c>
      <c r="E265" t="inlineStr">
        <is>
          <t>VÄSTERVIK</t>
        </is>
      </c>
      <c r="G265" t="n">
        <v>0.7</v>
      </c>
      <c r="H265" t="n">
        <v>0</v>
      </c>
      <c r="I265" t="n">
        <v>0</v>
      </c>
      <c r="J265" t="n">
        <v>1</v>
      </c>
      <c r="K265" t="n">
        <v>0</v>
      </c>
      <c r="L265" t="n">
        <v>0</v>
      </c>
      <c r="M265" t="n">
        <v>0</v>
      </c>
      <c r="N265" t="n">
        <v>0</v>
      </c>
      <c r="O265" t="n">
        <v>1</v>
      </c>
      <c r="P265" t="n">
        <v>0</v>
      </c>
      <c r="Q265" t="n">
        <v>1</v>
      </c>
      <c r="R265" s="2" t="inlineStr">
        <is>
          <t>Tallticka</t>
        </is>
      </c>
      <c r="S265">
        <f>HYPERLINK("https://klasma.github.io/Logging_0883/artfynd/A 66752-2020 artfynd.xlsx", "A 66752-2020")</f>
        <v/>
      </c>
      <c r="T265">
        <f>HYPERLINK("https://klasma.github.io/Logging_0883/kartor/A 66752-2020 karta.png", "A 66752-2020")</f>
        <v/>
      </c>
      <c r="V265">
        <f>HYPERLINK("https://klasma.github.io/Logging_0883/klagomål/A 66752-2020 FSC-klagomål.docx", "A 66752-2020")</f>
        <v/>
      </c>
      <c r="W265">
        <f>HYPERLINK("https://klasma.github.io/Logging_0883/klagomålsmail/A 66752-2020 FSC-klagomål mail.docx", "A 66752-2020")</f>
        <v/>
      </c>
      <c r="X265">
        <f>HYPERLINK("https://klasma.github.io/Logging_0883/tillsyn/A 66752-2020 tillsynsbegäran.docx", "A 66752-2020")</f>
        <v/>
      </c>
      <c r="Y265">
        <f>HYPERLINK("https://klasma.github.io/Logging_0883/tillsynsmail/A 66752-2020 tillsynsbegäran mail.docx", "A 66752-2020")</f>
        <v/>
      </c>
    </row>
    <row r="266" ht="15" customHeight="1">
      <c r="A266" t="inlineStr">
        <is>
          <t>A 69632-2020</t>
        </is>
      </c>
      <c r="B266" s="1" t="n">
        <v>44195</v>
      </c>
      <c r="C266" s="1" t="n">
        <v>45842</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69632-2020 artfynd.xlsx", "A 69632-2020")</f>
        <v/>
      </c>
      <c r="T266">
        <f>HYPERLINK("https://klasma.github.io/Logging_0883/kartor/A 69632-2020 karta.png", "A 69632-2020")</f>
        <v/>
      </c>
      <c r="V266">
        <f>HYPERLINK("https://klasma.github.io/Logging_0883/klagomål/A 69632-2020 FSC-klagomål.docx", "A 69632-2020")</f>
        <v/>
      </c>
      <c r="W266">
        <f>HYPERLINK("https://klasma.github.io/Logging_0883/klagomålsmail/A 69632-2020 FSC-klagomål mail.docx", "A 69632-2020")</f>
        <v/>
      </c>
      <c r="X266">
        <f>HYPERLINK("https://klasma.github.io/Logging_0883/tillsyn/A 69632-2020 tillsynsbegäran.docx", "A 69632-2020")</f>
        <v/>
      </c>
      <c r="Y266">
        <f>HYPERLINK("https://klasma.github.io/Logging_0883/tillsynsmail/A 69632-2020 tillsynsbegäran mail.docx", "A 69632-2020")</f>
        <v/>
      </c>
    </row>
    <row r="267" ht="15" customHeight="1">
      <c r="A267" t="inlineStr">
        <is>
          <t>A 5575-2021</t>
        </is>
      </c>
      <c r="B267" s="1" t="n">
        <v>44230</v>
      </c>
      <c r="C267" s="1" t="n">
        <v>45842</v>
      </c>
      <c r="D267" t="inlineStr">
        <is>
          <t>KALMAR LÄN</t>
        </is>
      </c>
      <c r="E267" t="inlineStr">
        <is>
          <t>VÄSTERVIK</t>
        </is>
      </c>
      <c r="G267" t="n">
        <v>2.6</v>
      </c>
      <c r="H267" t="n">
        <v>1</v>
      </c>
      <c r="I267" t="n">
        <v>1</v>
      </c>
      <c r="J267" t="n">
        <v>0</v>
      </c>
      <c r="K267" t="n">
        <v>0</v>
      </c>
      <c r="L267" t="n">
        <v>0</v>
      </c>
      <c r="M267" t="n">
        <v>0</v>
      </c>
      <c r="N267" t="n">
        <v>0</v>
      </c>
      <c r="O267" t="n">
        <v>0</v>
      </c>
      <c r="P267" t="n">
        <v>0</v>
      </c>
      <c r="Q267" t="n">
        <v>1</v>
      </c>
      <c r="R267" s="2" t="inlineStr">
        <is>
          <t>Ekoxe</t>
        </is>
      </c>
      <c r="S267">
        <f>HYPERLINK("https://klasma.github.io/Logging_0883/artfynd/A 5575-2021 artfynd.xlsx", "A 5575-2021")</f>
        <v/>
      </c>
      <c r="T267">
        <f>HYPERLINK("https://klasma.github.io/Logging_0883/kartor/A 5575-2021 karta.png", "A 5575-2021")</f>
        <v/>
      </c>
      <c r="V267">
        <f>HYPERLINK("https://klasma.github.io/Logging_0883/klagomål/A 5575-2021 FSC-klagomål.docx", "A 5575-2021")</f>
        <v/>
      </c>
      <c r="W267">
        <f>HYPERLINK("https://klasma.github.io/Logging_0883/klagomålsmail/A 5575-2021 FSC-klagomål mail.docx", "A 5575-2021")</f>
        <v/>
      </c>
      <c r="X267">
        <f>HYPERLINK("https://klasma.github.io/Logging_0883/tillsyn/A 5575-2021 tillsynsbegäran.docx", "A 5575-2021")</f>
        <v/>
      </c>
      <c r="Y267">
        <f>HYPERLINK("https://klasma.github.io/Logging_0883/tillsynsmail/A 5575-2021 tillsynsbegäran mail.docx", "A 5575-2021")</f>
        <v/>
      </c>
    </row>
    <row r="268" ht="15" customHeight="1">
      <c r="A268" t="inlineStr">
        <is>
          <t>A 20233-2021</t>
        </is>
      </c>
      <c r="B268" s="1" t="n">
        <v>44314</v>
      </c>
      <c r="C268" s="1" t="n">
        <v>45842</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24048-2021</t>
        </is>
      </c>
      <c r="B269" s="1" t="n">
        <v>44336</v>
      </c>
      <c r="C269" s="1" t="n">
        <v>45842</v>
      </c>
      <c r="D269" t="inlineStr">
        <is>
          <t>KALMAR LÄN</t>
        </is>
      </c>
      <c r="E269" t="inlineStr">
        <is>
          <t>VÄSTERVIK</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HYPERLINK("https://klasma.github.io/Logging_0883/artfynd/A 24048-2021 artfynd.xlsx", "A 24048-2021")</f>
        <v/>
      </c>
      <c r="T269">
        <f>HYPERLINK("https://klasma.github.io/Logging_0883/kartor/A 24048-2021 karta.png", "A 24048-2021")</f>
        <v/>
      </c>
      <c r="U269">
        <f>HYPERLINK("https://klasma.github.io/Logging_0883/knärot/A 24048-2021 karta knärot.png", "A 24048-2021")</f>
        <v/>
      </c>
      <c r="V269">
        <f>HYPERLINK("https://klasma.github.io/Logging_0883/klagomål/A 24048-2021 FSC-klagomål.docx", "A 24048-2021")</f>
        <v/>
      </c>
      <c r="W269">
        <f>HYPERLINK("https://klasma.github.io/Logging_0883/klagomålsmail/A 24048-2021 FSC-klagomål mail.docx", "A 24048-2021")</f>
        <v/>
      </c>
      <c r="X269">
        <f>HYPERLINK("https://klasma.github.io/Logging_0883/tillsyn/A 24048-2021 tillsynsbegäran.docx", "A 24048-2021")</f>
        <v/>
      </c>
      <c r="Y269">
        <f>HYPERLINK("https://klasma.github.io/Logging_0883/tillsynsmail/A 24048-2021 tillsynsbegäran mail.docx", "A 24048-2021")</f>
        <v/>
      </c>
    </row>
    <row r="270" ht="15" customHeight="1">
      <c r="A270" t="inlineStr">
        <is>
          <t>A 25447-2021</t>
        </is>
      </c>
      <c r="B270" s="1" t="n">
        <v>44342</v>
      </c>
      <c r="C270" s="1" t="n">
        <v>45842</v>
      </c>
      <c r="D270" t="inlineStr">
        <is>
          <t>KALMAR LÄN</t>
        </is>
      </c>
      <c r="E270" t="inlineStr">
        <is>
          <t>VÄSTERVIK</t>
        </is>
      </c>
      <c r="F270" t="inlineStr">
        <is>
          <t>Holmen skog AB</t>
        </is>
      </c>
      <c r="G270" t="n">
        <v>9</v>
      </c>
      <c r="H270" t="n">
        <v>1</v>
      </c>
      <c r="I270" t="n">
        <v>0</v>
      </c>
      <c r="J270" t="n">
        <v>0</v>
      </c>
      <c r="K270" t="n">
        <v>1</v>
      </c>
      <c r="L270" t="n">
        <v>0</v>
      </c>
      <c r="M270" t="n">
        <v>0</v>
      </c>
      <c r="N270" t="n">
        <v>0</v>
      </c>
      <c r="O270" t="n">
        <v>1</v>
      </c>
      <c r="P270" t="n">
        <v>1</v>
      </c>
      <c r="Q270" t="n">
        <v>1</v>
      </c>
      <c r="R270" s="2" t="inlineStr">
        <is>
          <t>Knärot</t>
        </is>
      </c>
      <c r="S270">
        <f>HYPERLINK("https://klasma.github.io/Logging_0883/artfynd/A 25447-2021 artfynd.xlsx", "A 25447-2021")</f>
        <v/>
      </c>
      <c r="T270">
        <f>HYPERLINK("https://klasma.github.io/Logging_0883/kartor/A 25447-2021 karta.png", "A 25447-2021")</f>
        <v/>
      </c>
      <c r="U270">
        <f>HYPERLINK("https://klasma.github.io/Logging_0883/knärot/A 25447-2021 karta knärot.png", "A 25447-2021")</f>
        <v/>
      </c>
      <c r="V270">
        <f>HYPERLINK("https://klasma.github.io/Logging_0883/klagomål/A 25447-2021 FSC-klagomål.docx", "A 25447-2021")</f>
        <v/>
      </c>
      <c r="W270">
        <f>HYPERLINK("https://klasma.github.io/Logging_0883/klagomålsmail/A 25447-2021 FSC-klagomål mail.docx", "A 25447-2021")</f>
        <v/>
      </c>
      <c r="X270">
        <f>HYPERLINK("https://klasma.github.io/Logging_0883/tillsyn/A 25447-2021 tillsynsbegäran.docx", "A 25447-2021")</f>
        <v/>
      </c>
      <c r="Y270">
        <f>HYPERLINK("https://klasma.github.io/Logging_0883/tillsynsmail/A 25447-2021 tillsynsbegäran mail.docx", "A 25447-2021")</f>
        <v/>
      </c>
    </row>
    <row r="271" ht="15" customHeight="1">
      <c r="A271" t="inlineStr">
        <is>
          <t>A 25594-2021</t>
        </is>
      </c>
      <c r="B271" s="1" t="n">
        <v>44343</v>
      </c>
      <c r="C271" s="1" t="n">
        <v>45842</v>
      </c>
      <c r="D271" t="inlineStr">
        <is>
          <t>KALMAR LÄN</t>
        </is>
      </c>
      <c r="E271" t="inlineStr">
        <is>
          <t>VÄSTERVIK</t>
        </is>
      </c>
      <c r="F271" t="inlineStr">
        <is>
          <t>Holmen skog AB</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HYPERLINK("https://klasma.github.io/Logging_0883/artfynd/A 25594-2021 artfynd.xlsx", "A 25594-2021")</f>
        <v/>
      </c>
      <c r="T271">
        <f>HYPERLINK("https://klasma.github.io/Logging_0883/kartor/A 25594-2021 karta.png", "A 25594-2021")</f>
        <v/>
      </c>
      <c r="U271">
        <f>HYPERLINK("https://klasma.github.io/Logging_0883/knärot/A 25594-2021 karta knärot.png", "A 25594-2021")</f>
        <v/>
      </c>
      <c r="V271">
        <f>HYPERLINK("https://klasma.github.io/Logging_0883/klagomål/A 25594-2021 FSC-klagomål.docx", "A 25594-2021")</f>
        <v/>
      </c>
      <c r="W271">
        <f>HYPERLINK("https://klasma.github.io/Logging_0883/klagomålsmail/A 25594-2021 FSC-klagomål mail.docx", "A 25594-2021")</f>
        <v/>
      </c>
      <c r="X271">
        <f>HYPERLINK("https://klasma.github.io/Logging_0883/tillsyn/A 25594-2021 tillsynsbegäran.docx", "A 25594-2021")</f>
        <v/>
      </c>
      <c r="Y271">
        <f>HYPERLINK("https://klasma.github.io/Logging_0883/tillsynsmail/A 25594-2021 tillsynsbegäran mail.docx", "A 25594-2021")</f>
        <v/>
      </c>
    </row>
    <row r="272" ht="15" customHeight="1">
      <c r="A272" t="inlineStr">
        <is>
          <t>A 29455-2021</t>
        </is>
      </c>
      <c r="B272" s="1" t="n">
        <v>44361</v>
      </c>
      <c r="C272" s="1" t="n">
        <v>45842</v>
      </c>
      <c r="D272" t="inlineStr">
        <is>
          <t>KALMAR LÄN</t>
        </is>
      </c>
      <c r="E272" t="inlineStr">
        <is>
          <t>VÄSTERVIK</t>
        </is>
      </c>
      <c r="F272" t="inlineStr">
        <is>
          <t>Övriga Aktiebolag</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HYPERLINK("https://klasma.github.io/Logging_0883/artfynd/A 29455-2021 artfynd.xlsx", "A 29455-2021")</f>
        <v/>
      </c>
      <c r="T272">
        <f>HYPERLINK("https://klasma.github.io/Logging_0883/kartor/A 29455-2021 karta.png", "A 29455-2021")</f>
        <v/>
      </c>
      <c r="U272">
        <f>HYPERLINK("https://klasma.github.io/Logging_0883/knärot/A 29455-2021 karta knärot.png", "A 29455-2021")</f>
        <v/>
      </c>
      <c r="V272">
        <f>HYPERLINK("https://klasma.github.io/Logging_0883/klagomål/A 29455-2021 FSC-klagomål.docx", "A 29455-2021")</f>
        <v/>
      </c>
      <c r="W272">
        <f>HYPERLINK("https://klasma.github.io/Logging_0883/klagomålsmail/A 29455-2021 FSC-klagomål mail.docx", "A 29455-2021")</f>
        <v/>
      </c>
      <c r="X272">
        <f>HYPERLINK("https://klasma.github.io/Logging_0883/tillsyn/A 29455-2021 tillsynsbegäran.docx", "A 29455-2021")</f>
        <v/>
      </c>
      <c r="Y272">
        <f>HYPERLINK("https://klasma.github.io/Logging_0883/tillsynsmail/A 29455-2021 tillsynsbegäran mail.docx", "A 29455-2021")</f>
        <v/>
      </c>
    </row>
    <row r="273" ht="15" customHeight="1">
      <c r="A273" t="inlineStr">
        <is>
          <t>A 31315-2021</t>
        </is>
      </c>
      <c r="B273" s="1" t="n">
        <v>44368</v>
      </c>
      <c r="C273" s="1" t="n">
        <v>45842</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44635-2021</t>
        </is>
      </c>
      <c r="B274" s="1" t="n">
        <v>44437</v>
      </c>
      <c r="C274" s="1" t="n">
        <v>45842</v>
      </c>
      <c r="D274" t="inlineStr">
        <is>
          <t>KALMAR LÄN</t>
        </is>
      </c>
      <c r="E274" t="inlineStr">
        <is>
          <t>VÄSTERVIK</t>
        </is>
      </c>
      <c r="G274" t="n">
        <v>0.9</v>
      </c>
      <c r="H274" t="n">
        <v>0</v>
      </c>
      <c r="I274" t="n">
        <v>1</v>
      </c>
      <c r="J274" t="n">
        <v>0</v>
      </c>
      <c r="K274" t="n">
        <v>0</v>
      </c>
      <c r="L274" t="n">
        <v>0</v>
      </c>
      <c r="M274" t="n">
        <v>0</v>
      </c>
      <c r="N274" t="n">
        <v>0</v>
      </c>
      <c r="O274" t="n">
        <v>0</v>
      </c>
      <c r="P274" t="n">
        <v>0</v>
      </c>
      <c r="Q274" t="n">
        <v>1</v>
      </c>
      <c r="R274" s="2" t="inlineStr">
        <is>
          <t>Brandticka</t>
        </is>
      </c>
      <c r="S274">
        <f>HYPERLINK("https://klasma.github.io/Logging_0883/artfynd/A 44635-2021 artfynd.xlsx", "A 44635-2021")</f>
        <v/>
      </c>
      <c r="T274">
        <f>HYPERLINK("https://klasma.github.io/Logging_0883/kartor/A 44635-2021 karta.png", "A 44635-2021")</f>
        <v/>
      </c>
      <c r="V274">
        <f>HYPERLINK("https://klasma.github.io/Logging_0883/klagomål/A 44635-2021 FSC-klagomål.docx", "A 44635-2021")</f>
        <v/>
      </c>
      <c r="W274">
        <f>HYPERLINK("https://klasma.github.io/Logging_0883/klagomålsmail/A 44635-2021 FSC-klagomål mail.docx", "A 44635-2021")</f>
        <v/>
      </c>
      <c r="X274">
        <f>HYPERLINK("https://klasma.github.io/Logging_0883/tillsyn/A 44635-2021 tillsynsbegäran.docx", "A 44635-2021")</f>
        <v/>
      </c>
      <c r="Y274">
        <f>HYPERLINK("https://klasma.github.io/Logging_0883/tillsynsmail/A 44635-2021 tillsynsbegäran mail.docx", "A 44635-2021")</f>
        <v/>
      </c>
    </row>
    <row r="275" ht="15" customHeight="1">
      <c r="A275" t="inlineStr">
        <is>
          <t>A 47860-2021</t>
        </is>
      </c>
      <c r="B275" s="1" t="n">
        <v>44448</v>
      </c>
      <c r="C275" s="1" t="n">
        <v>45842</v>
      </c>
      <c r="D275" t="inlineStr">
        <is>
          <t>KALMAR LÄN</t>
        </is>
      </c>
      <c r="E275" t="inlineStr">
        <is>
          <t>VÄSTERVIK</t>
        </is>
      </c>
      <c r="G275" t="n">
        <v>2.8</v>
      </c>
      <c r="H275" t="n">
        <v>0</v>
      </c>
      <c r="I275" t="n">
        <v>0</v>
      </c>
      <c r="J275" t="n">
        <v>1</v>
      </c>
      <c r="K275" t="n">
        <v>0</v>
      </c>
      <c r="L275" t="n">
        <v>0</v>
      </c>
      <c r="M275" t="n">
        <v>0</v>
      </c>
      <c r="N275" t="n">
        <v>0</v>
      </c>
      <c r="O275" t="n">
        <v>1</v>
      </c>
      <c r="P275" t="n">
        <v>0</v>
      </c>
      <c r="Q275" t="n">
        <v>1</v>
      </c>
      <c r="R275" s="2" t="inlineStr">
        <is>
          <t>Tallticka</t>
        </is>
      </c>
      <c r="S275">
        <f>HYPERLINK("https://klasma.github.io/Logging_0883/artfynd/A 47860-2021 artfynd.xlsx", "A 47860-2021")</f>
        <v/>
      </c>
      <c r="T275">
        <f>HYPERLINK("https://klasma.github.io/Logging_0883/kartor/A 47860-2021 karta.png", "A 47860-2021")</f>
        <v/>
      </c>
      <c r="V275">
        <f>HYPERLINK("https://klasma.github.io/Logging_0883/klagomål/A 47860-2021 FSC-klagomål.docx", "A 47860-2021")</f>
        <v/>
      </c>
      <c r="W275">
        <f>HYPERLINK("https://klasma.github.io/Logging_0883/klagomålsmail/A 47860-2021 FSC-klagomål mail.docx", "A 47860-2021")</f>
        <v/>
      </c>
      <c r="X275">
        <f>HYPERLINK("https://klasma.github.io/Logging_0883/tillsyn/A 47860-2021 tillsynsbegäran.docx", "A 47860-2021")</f>
        <v/>
      </c>
      <c r="Y275">
        <f>HYPERLINK("https://klasma.github.io/Logging_0883/tillsynsmail/A 47860-2021 tillsynsbegäran mail.docx", "A 47860-2021")</f>
        <v/>
      </c>
    </row>
    <row r="276" ht="15" customHeight="1">
      <c r="A276" t="inlineStr">
        <is>
          <t>A 52831-2021</t>
        </is>
      </c>
      <c r="B276" s="1" t="n">
        <v>44467</v>
      </c>
      <c r="C276" s="1" t="n">
        <v>45842</v>
      </c>
      <c r="D276" t="inlineStr">
        <is>
          <t>KALMAR LÄN</t>
        </is>
      </c>
      <c r="E276" t="inlineStr">
        <is>
          <t>VÄSTERVIK</t>
        </is>
      </c>
      <c r="G276" t="n">
        <v>0.8</v>
      </c>
      <c r="H276" t="n">
        <v>0</v>
      </c>
      <c r="I276" t="n">
        <v>0</v>
      </c>
      <c r="J276" t="n">
        <v>1</v>
      </c>
      <c r="K276" t="n">
        <v>0</v>
      </c>
      <c r="L276" t="n">
        <v>0</v>
      </c>
      <c r="M276" t="n">
        <v>0</v>
      </c>
      <c r="N276" t="n">
        <v>0</v>
      </c>
      <c r="O276" t="n">
        <v>1</v>
      </c>
      <c r="P276" t="n">
        <v>0</v>
      </c>
      <c r="Q276" t="n">
        <v>1</v>
      </c>
      <c r="R276" s="2" t="inlineStr">
        <is>
          <t>Tallticka</t>
        </is>
      </c>
      <c r="S276">
        <f>HYPERLINK("https://klasma.github.io/Logging_0883/artfynd/A 52831-2021 artfynd.xlsx", "A 52831-2021")</f>
        <v/>
      </c>
      <c r="T276">
        <f>HYPERLINK("https://klasma.github.io/Logging_0883/kartor/A 52831-2021 karta.png", "A 52831-2021")</f>
        <v/>
      </c>
      <c r="V276">
        <f>HYPERLINK("https://klasma.github.io/Logging_0883/klagomål/A 52831-2021 FSC-klagomål.docx", "A 52831-2021")</f>
        <v/>
      </c>
      <c r="W276">
        <f>HYPERLINK("https://klasma.github.io/Logging_0883/klagomålsmail/A 52831-2021 FSC-klagomål mail.docx", "A 52831-2021")</f>
        <v/>
      </c>
      <c r="X276">
        <f>HYPERLINK("https://klasma.github.io/Logging_0883/tillsyn/A 52831-2021 tillsynsbegäran.docx", "A 52831-2021")</f>
        <v/>
      </c>
      <c r="Y276">
        <f>HYPERLINK("https://klasma.github.io/Logging_0883/tillsynsmail/A 52831-2021 tillsynsbegäran mail.docx", "A 52831-2021")</f>
        <v/>
      </c>
    </row>
    <row r="277" ht="15" customHeight="1">
      <c r="A277" t="inlineStr">
        <is>
          <t>A 53738-2021</t>
        </is>
      </c>
      <c r="B277" s="1" t="n">
        <v>44467</v>
      </c>
      <c r="C277" s="1" t="n">
        <v>45842</v>
      </c>
      <c r="D277" t="inlineStr">
        <is>
          <t>KALMAR LÄN</t>
        </is>
      </c>
      <c r="E277" t="inlineStr">
        <is>
          <t>VÄSTERVIK</t>
        </is>
      </c>
      <c r="G277" t="n">
        <v>2.8</v>
      </c>
      <c r="H277" t="n">
        <v>1</v>
      </c>
      <c r="I277" t="n">
        <v>0</v>
      </c>
      <c r="J277" t="n">
        <v>0</v>
      </c>
      <c r="K277" t="n">
        <v>1</v>
      </c>
      <c r="L277" t="n">
        <v>0</v>
      </c>
      <c r="M277" t="n">
        <v>0</v>
      </c>
      <c r="N277" t="n">
        <v>0</v>
      </c>
      <c r="O277" t="n">
        <v>1</v>
      </c>
      <c r="P277" t="n">
        <v>1</v>
      </c>
      <c r="Q277" t="n">
        <v>1</v>
      </c>
      <c r="R277" s="2" t="inlineStr">
        <is>
          <t>Knärot</t>
        </is>
      </c>
      <c r="S277">
        <f>HYPERLINK("https://klasma.github.io/Logging_0883/artfynd/A 53738-2021 artfynd.xlsx", "A 53738-2021")</f>
        <v/>
      </c>
      <c r="T277">
        <f>HYPERLINK("https://klasma.github.io/Logging_0883/kartor/A 53738-2021 karta.png", "A 53738-2021")</f>
        <v/>
      </c>
      <c r="U277">
        <f>HYPERLINK("https://klasma.github.io/Logging_0883/knärot/A 53738-2021 karta knärot.png", "A 53738-2021")</f>
        <v/>
      </c>
      <c r="V277">
        <f>HYPERLINK("https://klasma.github.io/Logging_0883/klagomål/A 53738-2021 FSC-klagomål.docx", "A 53738-2021")</f>
        <v/>
      </c>
      <c r="W277">
        <f>HYPERLINK("https://klasma.github.io/Logging_0883/klagomålsmail/A 53738-2021 FSC-klagomål mail.docx", "A 53738-2021")</f>
        <v/>
      </c>
      <c r="X277">
        <f>HYPERLINK("https://klasma.github.io/Logging_0883/tillsyn/A 53738-2021 tillsynsbegäran.docx", "A 53738-2021")</f>
        <v/>
      </c>
      <c r="Y277">
        <f>HYPERLINK("https://klasma.github.io/Logging_0883/tillsynsmail/A 53738-2021 tillsynsbegäran mail.docx", "A 53738-2021")</f>
        <v/>
      </c>
    </row>
    <row r="278" ht="15" customHeight="1">
      <c r="A278" t="inlineStr">
        <is>
          <t>A 56618-2021</t>
        </is>
      </c>
      <c r="B278" s="1" t="n">
        <v>44480</v>
      </c>
      <c r="C278" s="1" t="n">
        <v>45842</v>
      </c>
      <c r="D278" t="inlineStr">
        <is>
          <t>KALMAR LÄN</t>
        </is>
      </c>
      <c r="E278" t="inlineStr">
        <is>
          <t>VÄSTERVIK</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HYPERLINK("https://klasma.github.io/Logging_0883/artfynd/A 56618-2021 artfynd.xlsx", "A 56618-2021")</f>
        <v/>
      </c>
      <c r="T278">
        <f>HYPERLINK("https://klasma.github.io/Logging_0883/kartor/A 56618-2021 karta.png", "A 56618-2021")</f>
        <v/>
      </c>
      <c r="V278">
        <f>HYPERLINK("https://klasma.github.io/Logging_0883/klagomål/A 56618-2021 FSC-klagomål.docx", "A 56618-2021")</f>
        <v/>
      </c>
      <c r="W278">
        <f>HYPERLINK("https://klasma.github.io/Logging_0883/klagomålsmail/A 56618-2021 FSC-klagomål mail.docx", "A 56618-2021")</f>
        <v/>
      </c>
      <c r="X278">
        <f>HYPERLINK("https://klasma.github.io/Logging_0883/tillsyn/A 56618-2021 tillsynsbegäran.docx", "A 56618-2021")</f>
        <v/>
      </c>
      <c r="Y278">
        <f>HYPERLINK("https://klasma.github.io/Logging_0883/tillsynsmail/A 56618-2021 tillsynsbegäran mail.docx", "A 56618-2021")</f>
        <v/>
      </c>
    </row>
    <row r="279" ht="15" customHeight="1">
      <c r="A279" t="inlineStr">
        <is>
          <t>A 61319-2021</t>
        </is>
      </c>
      <c r="B279" s="1" t="n">
        <v>44498</v>
      </c>
      <c r="C279" s="1" t="n">
        <v>45842</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1677-2022</t>
        </is>
      </c>
      <c r="B280" s="1" t="n">
        <v>44574</v>
      </c>
      <c r="C280" s="1" t="n">
        <v>45842</v>
      </c>
      <c r="D280" t="inlineStr">
        <is>
          <t>KALMAR LÄN</t>
        </is>
      </c>
      <c r="E280" t="inlineStr">
        <is>
          <t>VÄSTERVIK</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HYPERLINK("https://klasma.github.io/Logging_0883/artfynd/A 1677-2022 artfynd.xlsx", "A 1677-2022")</f>
        <v/>
      </c>
      <c r="T280">
        <f>HYPERLINK("https://klasma.github.io/Logging_0883/kartor/A 1677-2022 karta.png", "A 1677-2022")</f>
        <v/>
      </c>
      <c r="U280">
        <f>HYPERLINK("https://klasma.github.io/Logging_0883/knärot/A 1677-2022 karta knärot.png", "A 1677-2022")</f>
        <v/>
      </c>
      <c r="V280">
        <f>HYPERLINK("https://klasma.github.io/Logging_0883/klagomål/A 1677-2022 FSC-klagomål.docx", "A 1677-2022")</f>
        <v/>
      </c>
      <c r="W280">
        <f>HYPERLINK("https://klasma.github.io/Logging_0883/klagomålsmail/A 1677-2022 FSC-klagomål mail.docx", "A 1677-2022")</f>
        <v/>
      </c>
      <c r="X280">
        <f>HYPERLINK("https://klasma.github.io/Logging_0883/tillsyn/A 1677-2022 tillsynsbegäran.docx", "A 1677-2022")</f>
        <v/>
      </c>
      <c r="Y280">
        <f>HYPERLINK("https://klasma.github.io/Logging_0883/tillsynsmail/A 1677-2022 tillsynsbegäran mail.docx", "A 1677-2022")</f>
        <v/>
      </c>
    </row>
    <row r="281" ht="15" customHeight="1">
      <c r="A281" t="inlineStr">
        <is>
          <t>A 11609-2022</t>
        </is>
      </c>
      <c r="B281" s="1" t="n">
        <v>44631</v>
      </c>
      <c r="C281" s="1" t="n">
        <v>45842</v>
      </c>
      <c r="D281" t="inlineStr">
        <is>
          <t>KALMAR LÄN</t>
        </is>
      </c>
      <c r="E281" t="inlineStr">
        <is>
          <t>VÄSTERVIK</t>
        </is>
      </c>
      <c r="F281" t="inlineStr">
        <is>
          <t>Holmen skog AB</t>
        </is>
      </c>
      <c r="G281" t="n">
        <v>3.2</v>
      </c>
      <c r="H281" t="n">
        <v>0</v>
      </c>
      <c r="I281" t="n">
        <v>0</v>
      </c>
      <c r="J281" t="n">
        <v>1</v>
      </c>
      <c r="K281" t="n">
        <v>0</v>
      </c>
      <c r="L281" t="n">
        <v>0</v>
      </c>
      <c r="M281" t="n">
        <v>0</v>
      </c>
      <c r="N281" t="n">
        <v>0</v>
      </c>
      <c r="O281" t="n">
        <v>1</v>
      </c>
      <c r="P281" t="n">
        <v>0</v>
      </c>
      <c r="Q281" t="n">
        <v>1</v>
      </c>
      <c r="R281" s="2" t="inlineStr">
        <is>
          <t>Tallticka</t>
        </is>
      </c>
      <c r="S281">
        <f>HYPERLINK("https://klasma.github.io/Logging_0883/artfynd/A 11609-2022 artfynd.xlsx", "A 11609-2022")</f>
        <v/>
      </c>
      <c r="T281">
        <f>HYPERLINK("https://klasma.github.io/Logging_0883/kartor/A 11609-2022 karta.png", "A 11609-2022")</f>
        <v/>
      </c>
      <c r="U281">
        <f>HYPERLINK("https://klasma.github.io/Logging_0883/knärot/A 11609-2022 karta knärot.png", "A 11609-2022")</f>
        <v/>
      </c>
      <c r="V281">
        <f>HYPERLINK("https://klasma.github.io/Logging_0883/klagomål/A 11609-2022 FSC-klagomål.docx", "A 11609-2022")</f>
        <v/>
      </c>
      <c r="W281">
        <f>HYPERLINK("https://klasma.github.io/Logging_0883/klagomålsmail/A 11609-2022 FSC-klagomål mail.docx", "A 11609-2022")</f>
        <v/>
      </c>
      <c r="X281">
        <f>HYPERLINK("https://klasma.github.io/Logging_0883/tillsyn/A 11609-2022 tillsynsbegäran.docx", "A 11609-2022")</f>
        <v/>
      </c>
      <c r="Y281">
        <f>HYPERLINK("https://klasma.github.io/Logging_0883/tillsynsmail/A 11609-2022 tillsynsbegäran mail.docx", "A 11609-2022")</f>
        <v/>
      </c>
    </row>
    <row r="282" ht="15" customHeight="1">
      <c r="A282" t="inlineStr">
        <is>
          <t>A 12662-2022</t>
        </is>
      </c>
      <c r="B282" s="1" t="n">
        <v>44641</v>
      </c>
      <c r="C282" s="1" t="n">
        <v>45842</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15378-2022</t>
        </is>
      </c>
      <c r="B283" s="1" t="n">
        <v>44659</v>
      </c>
      <c r="C283" s="1" t="n">
        <v>45842</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Klofibbla</t>
        </is>
      </c>
      <c r="S283">
        <f>HYPERLINK("https://klasma.github.io/Logging_0883/artfynd/A 15378-2022 artfynd.xlsx", "A 15378-2022")</f>
        <v/>
      </c>
      <c r="T283">
        <f>HYPERLINK("https://klasma.github.io/Logging_0883/kartor/A 15378-2022 karta.png", "A 15378-2022")</f>
        <v/>
      </c>
      <c r="V283">
        <f>HYPERLINK("https://klasma.github.io/Logging_0883/klagomål/A 15378-2022 FSC-klagomål.docx", "A 15378-2022")</f>
        <v/>
      </c>
      <c r="W283">
        <f>HYPERLINK("https://klasma.github.io/Logging_0883/klagomålsmail/A 15378-2022 FSC-klagomål mail.docx", "A 15378-2022")</f>
        <v/>
      </c>
      <c r="X283">
        <f>HYPERLINK("https://klasma.github.io/Logging_0883/tillsyn/A 15378-2022 tillsynsbegäran.docx", "A 15378-2022")</f>
        <v/>
      </c>
      <c r="Y283">
        <f>HYPERLINK("https://klasma.github.io/Logging_0883/tillsynsmail/A 15378-2022 tillsynsbegäran mail.docx", "A 15378-2022")</f>
        <v/>
      </c>
    </row>
    <row r="284" ht="15" customHeight="1">
      <c r="A284" t="inlineStr">
        <is>
          <t>A 19900-2022</t>
        </is>
      </c>
      <c r="B284" s="1" t="n">
        <v>44697</v>
      </c>
      <c r="C284" s="1" t="n">
        <v>45842</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26056-2022</t>
        </is>
      </c>
      <c r="B285" s="1" t="n">
        <v>44734</v>
      </c>
      <c r="C285" s="1" t="n">
        <v>45842</v>
      </c>
      <c r="D285" t="inlineStr">
        <is>
          <t>KALMAR LÄN</t>
        </is>
      </c>
      <c r="E285" t="inlineStr">
        <is>
          <t>VÄSTERVIK</t>
        </is>
      </c>
      <c r="G285" t="n">
        <v>1.1</v>
      </c>
      <c r="H285" t="n">
        <v>0</v>
      </c>
      <c r="I285" t="n">
        <v>0</v>
      </c>
      <c r="J285" t="n">
        <v>1</v>
      </c>
      <c r="K285" t="n">
        <v>0</v>
      </c>
      <c r="L285" t="n">
        <v>0</v>
      </c>
      <c r="M285" t="n">
        <v>0</v>
      </c>
      <c r="N285" t="n">
        <v>0</v>
      </c>
      <c r="O285" t="n">
        <v>1</v>
      </c>
      <c r="P285" t="n">
        <v>0</v>
      </c>
      <c r="Q285" t="n">
        <v>1</v>
      </c>
      <c r="R285" s="2" t="inlineStr">
        <is>
          <t>Slåtterfibbla</t>
        </is>
      </c>
      <c r="S285">
        <f>HYPERLINK("https://klasma.github.io/Logging_0883/artfynd/A 26056-2022 artfynd.xlsx", "A 26056-2022")</f>
        <v/>
      </c>
      <c r="T285">
        <f>HYPERLINK("https://klasma.github.io/Logging_0883/kartor/A 26056-2022 karta.png", "A 26056-2022")</f>
        <v/>
      </c>
      <c r="V285">
        <f>HYPERLINK("https://klasma.github.io/Logging_0883/klagomål/A 26056-2022 FSC-klagomål.docx", "A 26056-2022")</f>
        <v/>
      </c>
      <c r="W285">
        <f>HYPERLINK("https://klasma.github.io/Logging_0883/klagomålsmail/A 26056-2022 FSC-klagomål mail.docx", "A 26056-2022")</f>
        <v/>
      </c>
      <c r="X285">
        <f>HYPERLINK("https://klasma.github.io/Logging_0883/tillsyn/A 26056-2022 tillsynsbegäran.docx", "A 26056-2022")</f>
        <v/>
      </c>
      <c r="Y285">
        <f>HYPERLINK("https://klasma.github.io/Logging_0883/tillsynsmail/A 26056-2022 tillsynsbegäran mail.docx", "A 26056-2022")</f>
        <v/>
      </c>
    </row>
    <row r="286" ht="15" customHeight="1">
      <c r="A286" t="inlineStr">
        <is>
          <t>A 33209-2022</t>
        </is>
      </c>
      <c r="B286" s="1" t="n">
        <v>44785</v>
      </c>
      <c r="C286" s="1" t="n">
        <v>45842</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Slåtterfibbla</t>
        </is>
      </c>
      <c r="S286">
        <f>HYPERLINK("https://klasma.github.io/Logging_0883/artfynd/A 33209-2022 artfynd.xlsx", "A 33209-2022")</f>
        <v/>
      </c>
      <c r="T286">
        <f>HYPERLINK("https://klasma.github.io/Logging_0883/kartor/A 33209-2022 karta.png", "A 33209-2022")</f>
        <v/>
      </c>
      <c r="V286">
        <f>HYPERLINK("https://klasma.github.io/Logging_0883/klagomål/A 33209-2022 FSC-klagomål.docx", "A 33209-2022")</f>
        <v/>
      </c>
      <c r="W286">
        <f>HYPERLINK("https://klasma.github.io/Logging_0883/klagomålsmail/A 33209-2022 FSC-klagomål mail.docx", "A 33209-2022")</f>
        <v/>
      </c>
      <c r="X286">
        <f>HYPERLINK("https://klasma.github.io/Logging_0883/tillsyn/A 33209-2022 tillsynsbegäran.docx", "A 33209-2022")</f>
        <v/>
      </c>
      <c r="Y286">
        <f>HYPERLINK("https://klasma.github.io/Logging_0883/tillsynsmail/A 33209-2022 tillsynsbegäran mail.docx", "A 33209-2022")</f>
        <v/>
      </c>
    </row>
    <row r="287" ht="15" customHeight="1">
      <c r="A287" t="inlineStr">
        <is>
          <t>A 40924-2022</t>
        </is>
      </c>
      <c r="B287" s="1" t="n">
        <v>44825</v>
      </c>
      <c r="C287" s="1" t="n">
        <v>45842</v>
      </c>
      <c r="D287" t="inlineStr">
        <is>
          <t>KALMAR LÄN</t>
        </is>
      </c>
      <c r="E287" t="inlineStr">
        <is>
          <t>VÄSTERVIK</t>
        </is>
      </c>
      <c r="F287" t="inlineStr">
        <is>
          <t>Sveaskog</t>
        </is>
      </c>
      <c r="G287" t="n">
        <v>0.5</v>
      </c>
      <c r="H287" t="n">
        <v>1</v>
      </c>
      <c r="I287" t="n">
        <v>0</v>
      </c>
      <c r="J287" t="n">
        <v>1</v>
      </c>
      <c r="K287" t="n">
        <v>0</v>
      </c>
      <c r="L287" t="n">
        <v>0</v>
      </c>
      <c r="M287" t="n">
        <v>0</v>
      </c>
      <c r="N287" t="n">
        <v>0</v>
      </c>
      <c r="O287" t="n">
        <v>1</v>
      </c>
      <c r="P287" t="n">
        <v>0</v>
      </c>
      <c r="Q287" t="n">
        <v>1</v>
      </c>
      <c r="R287" s="2" t="inlineStr">
        <is>
          <t>Barbastell</t>
        </is>
      </c>
      <c r="S287">
        <f>HYPERLINK("https://klasma.github.io/Logging_0883/artfynd/A 40924-2022 artfynd.xlsx", "A 40924-2022")</f>
        <v/>
      </c>
      <c r="T287">
        <f>HYPERLINK("https://klasma.github.io/Logging_0883/kartor/A 40924-2022 karta.png", "A 40924-2022")</f>
        <v/>
      </c>
      <c r="V287">
        <f>HYPERLINK("https://klasma.github.io/Logging_0883/klagomål/A 40924-2022 FSC-klagomål.docx", "A 40924-2022")</f>
        <v/>
      </c>
      <c r="W287">
        <f>HYPERLINK("https://klasma.github.io/Logging_0883/klagomålsmail/A 40924-2022 FSC-klagomål mail.docx", "A 40924-2022")</f>
        <v/>
      </c>
      <c r="X287">
        <f>HYPERLINK("https://klasma.github.io/Logging_0883/tillsyn/A 40924-2022 tillsynsbegäran.docx", "A 40924-2022")</f>
        <v/>
      </c>
      <c r="Y287">
        <f>HYPERLINK("https://klasma.github.io/Logging_0883/tillsynsmail/A 40924-2022 tillsynsbegäran mail.docx", "A 40924-2022")</f>
        <v/>
      </c>
    </row>
    <row r="288" ht="15" customHeight="1">
      <c r="A288" t="inlineStr">
        <is>
          <t>A 46559-2022</t>
        </is>
      </c>
      <c r="B288" s="1" t="n">
        <v>44848</v>
      </c>
      <c r="C288" s="1" t="n">
        <v>45842</v>
      </c>
      <c r="D288" t="inlineStr">
        <is>
          <t>KALMAR LÄN</t>
        </is>
      </c>
      <c r="E288" t="inlineStr">
        <is>
          <t>VÄSTERVIK</t>
        </is>
      </c>
      <c r="F288" t="inlineStr">
        <is>
          <t>Sveaskog</t>
        </is>
      </c>
      <c r="G288" t="n">
        <v>2.2</v>
      </c>
      <c r="H288" t="n">
        <v>1</v>
      </c>
      <c r="I288" t="n">
        <v>0</v>
      </c>
      <c r="J288" t="n">
        <v>0</v>
      </c>
      <c r="K288" t="n">
        <v>0</v>
      </c>
      <c r="L288" t="n">
        <v>0</v>
      </c>
      <c r="M288" t="n">
        <v>0</v>
      </c>
      <c r="N288" t="n">
        <v>0</v>
      </c>
      <c r="O288" t="n">
        <v>0</v>
      </c>
      <c r="P288" t="n">
        <v>0</v>
      </c>
      <c r="Q288" t="n">
        <v>1</v>
      </c>
      <c r="R288" s="2" t="inlineStr">
        <is>
          <t>Blåsippa</t>
        </is>
      </c>
      <c r="S288">
        <f>HYPERLINK("https://klasma.github.io/Logging_0883/artfynd/A 46559-2022 artfynd.xlsx", "A 46559-2022")</f>
        <v/>
      </c>
      <c r="T288">
        <f>HYPERLINK("https://klasma.github.io/Logging_0883/kartor/A 46559-2022 karta.png", "A 46559-2022")</f>
        <v/>
      </c>
      <c r="V288">
        <f>HYPERLINK("https://klasma.github.io/Logging_0883/klagomål/A 46559-2022 FSC-klagomål.docx", "A 46559-2022")</f>
        <v/>
      </c>
      <c r="W288">
        <f>HYPERLINK("https://klasma.github.io/Logging_0883/klagomålsmail/A 46559-2022 FSC-klagomål mail.docx", "A 46559-2022")</f>
        <v/>
      </c>
      <c r="X288">
        <f>HYPERLINK("https://klasma.github.io/Logging_0883/tillsyn/A 46559-2022 tillsynsbegäran.docx", "A 46559-2022")</f>
        <v/>
      </c>
      <c r="Y288">
        <f>HYPERLINK("https://klasma.github.io/Logging_0883/tillsynsmail/A 46559-2022 tillsynsbegäran mail.docx", "A 46559-2022")</f>
        <v/>
      </c>
    </row>
    <row r="289" ht="15" customHeight="1">
      <c r="A289" t="inlineStr">
        <is>
          <t>A 46556-2022</t>
        </is>
      </c>
      <c r="B289" s="1" t="n">
        <v>44848</v>
      </c>
      <c r="C289" s="1" t="n">
        <v>45842</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51024-2022</t>
        </is>
      </c>
      <c r="B290" s="1" t="n">
        <v>44867</v>
      </c>
      <c r="C290" s="1" t="n">
        <v>45842</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54193-2022</t>
        </is>
      </c>
      <c r="B291" s="1" t="n">
        <v>44881</v>
      </c>
      <c r="C291" s="1" t="n">
        <v>45842</v>
      </c>
      <c r="D291" t="inlineStr">
        <is>
          <t>KALMAR LÄN</t>
        </is>
      </c>
      <c r="E291" t="inlineStr">
        <is>
          <t>VÄSTERVIK</t>
        </is>
      </c>
      <c r="G291" t="n">
        <v>1.7</v>
      </c>
      <c r="H291" t="n">
        <v>0</v>
      </c>
      <c r="I291" t="n">
        <v>1</v>
      </c>
      <c r="J291" t="n">
        <v>0</v>
      </c>
      <c r="K291" t="n">
        <v>0</v>
      </c>
      <c r="L291" t="n">
        <v>0</v>
      </c>
      <c r="M291" t="n">
        <v>0</v>
      </c>
      <c r="N291" t="n">
        <v>0</v>
      </c>
      <c r="O291" t="n">
        <v>0</v>
      </c>
      <c r="P291" t="n">
        <v>0</v>
      </c>
      <c r="Q291" t="n">
        <v>1</v>
      </c>
      <c r="R291" s="2" t="inlineStr">
        <is>
          <t>Murgröna</t>
        </is>
      </c>
      <c r="S291">
        <f>HYPERLINK("https://klasma.github.io/Logging_0883/artfynd/A 54193-2022 artfynd.xlsx", "A 54193-2022")</f>
        <v/>
      </c>
      <c r="T291">
        <f>HYPERLINK("https://klasma.github.io/Logging_0883/kartor/A 54193-2022 karta.png", "A 54193-2022")</f>
        <v/>
      </c>
      <c r="U291">
        <f>HYPERLINK("https://klasma.github.io/Logging_0883/knärot/A 54193-2022 karta knärot.png", "A 54193-2022")</f>
        <v/>
      </c>
      <c r="V291">
        <f>HYPERLINK("https://klasma.github.io/Logging_0883/klagomål/A 54193-2022 FSC-klagomål.docx", "A 54193-2022")</f>
        <v/>
      </c>
      <c r="W291">
        <f>HYPERLINK("https://klasma.github.io/Logging_0883/klagomålsmail/A 54193-2022 FSC-klagomål mail.docx", "A 54193-2022")</f>
        <v/>
      </c>
      <c r="X291">
        <f>HYPERLINK("https://klasma.github.io/Logging_0883/tillsyn/A 54193-2022 tillsynsbegäran.docx", "A 54193-2022")</f>
        <v/>
      </c>
      <c r="Y291">
        <f>HYPERLINK("https://klasma.github.io/Logging_0883/tillsynsmail/A 54193-2022 tillsynsbegäran mail.docx", "A 54193-2022")</f>
        <v/>
      </c>
    </row>
    <row r="292" ht="15" customHeight="1">
      <c r="A292" t="inlineStr">
        <is>
          <t>A 59178-2022</t>
        </is>
      </c>
      <c r="B292" s="1" t="n">
        <v>44904</v>
      </c>
      <c r="C292" s="1" t="n">
        <v>45842</v>
      </c>
      <c r="D292" t="inlineStr">
        <is>
          <t>KALMAR LÄN</t>
        </is>
      </c>
      <c r="E292" t="inlineStr">
        <is>
          <t>VÄSTERVIK</t>
        </is>
      </c>
      <c r="G292" t="n">
        <v>3.3</v>
      </c>
      <c r="H292" t="n">
        <v>0</v>
      </c>
      <c r="I292" t="n">
        <v>0</v>
      </c>
      <c r="J292" t="n">
        <v>1</v>
      </c>
      <c r="K292" t="n">
        <v>0</v>
      </c>
      <c r="L292" t="n">
        <v>0</v>
      </c>
      <c r="M292" t="n">
        <v>0</v>
      </c>
      <c r="N292" t="n">
        <v>0</v>
      </c>
      <c r="O292" t="n">
        <v>1</v>
      </c>
      <c r="P292" t="n">
        <v>0</v>
      </c>
      <c r="Q292" t="n">
        <v>1</v>
      </c>
      <c r="R292" s="2" t="inlineStr">
        <is>
          <t>Tallticka</t>
        </is>
      </c>
      <c r="S292">
        <f>HYPERLINK("https://klasma.github.io/Logging_0883/artfynd/A 59178-2022 artfynd.xlsx", "A 59178-2022")</f>
        <v/>
      </c>
      <c r="T292">
        <f>HYPERLINK("https://klasma.github.io/Logging_0883/kartor/A 59178-2022 karta.png", "A 59178-2022")</f>
        <v/>
      </c>
      <c r="V292">
        <f>HYPERLINK("https://klasma.github.io/Logging_0883/klagomål/A 59178-2022 FSC-klagomål.docx", "A 59178-2022")</f>
        <v/>
      </c>
      <c r="W292">
        <f>HYPERLINK("https://klasma.github.io/Logging_0883/klagomålsmail/A 59178-2022 FSC-klagomål mail.docx", "A 59178-2022")</f>
        <v/>
      </c>
      <c r="X292">
        <f>HYPERLINK("https://klasma.github.io/Logging_0883/tillsyn/A 59178-2022 tillsynsbegäran.docx", "A 59178-2022")</f>
        <v/>
      </c>
      <c r="Y292">
        <f>HYPERLINK("https://klasma.github.io/Logging_0883/tillsynsmail/A 59178-2022 tillsynsbegäran mail.docx", "A 59178-2022")</f>
        <v/>
      </c>
    </row>
    <row r="293" ht="15" customHeight="1">
      <c r="A293" t="inlineStr">
        <is>
          <t>A 975-2023</t>
        </is>
      </c>
      <c r="B293" s="1" t="n">
        <v>44935</v>
      </c>
      <c r="C293" s="1" t="n">
        <v>45842</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Läderbagge</t>
        </is>
      </c>
      <c r="S293">
        <f>HYPERLINK("https://klasma.github.io/Logging_0883/artfynd/A 975-2023 artfynd.xlsx", "A 975-2023")</f>
        <v/>
      </c>
      <c r="T293">
        <f>HYPERLINK("https://klasma.github.io/Logging_0883/kartor/A 975-2023 karta.png", "A 975-2023")</f>
        <v/>
      </c>
      <c r="V293">
        <f>HYPERLINK("https://klasma.github.io/Logging_0883/klagomål/A 975-2023 FSC-klagomål.docx", "A 975-2023")</f>
        <v/>
      </c>
      <c r="W293">
        <f>HYPERLINK("https://klasma.github.io/Logging_0883/klagomålsmail/A 975-2023 FSC-klagomål mail.docx", "A 975-2023")</f>
        <v/>
      </c>
      <c r="X293">
        <f>HYPERLINK("https://klasma.github.io/Logging_0883/tillsyn/A 975-2023 tillsynsbegäran.docx", "A 975-2023")</f>
        <v/>
      </c>
      <c r="Y293">
        <f>HYPERLINK("https://klasma.github.io/Logging_0883/tillsynsmail/A 975-2023 tillsynsbegäran mail.docx", "A 975-2023")</f>
        <v/>
      </c>
    </row>
    <row r="294" ht="15" customHeight="1">
      <c r="A294" t="inlineStr">
        <is>
          <t>A 1024-2023</t>
        </is>
      </c>
      <c r="B294" s="1" t="n">
        <v>44935</v>
      </c>
      <c r="C294" s="1" t="n">
        <v>45842</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11589-2023</t>
        </is>
      </c>
      <c r="B295" s="1" t="n">
        <v>44994</v>
      </c>
      <c r="C295" s="1" t="n">
        <v>45842</v>
      </c>
      <c r="D295" t="inlineStr">
        <is>
          <t>KALMAR LÄN</t>
        </is>
      </c>
      <c r="E295" t="inlineStr">
        <is>
          <t>VÄSTERVIK</t>
        </is>
      </c>
      <c r="G295" t="n">
        <v>7.7</v>
      </c>
      <c r="H295" t="n">
        <v>1</v>
      </c>
      <c r="I295" t="n">
        <v>0</v>
      </c>
      <c r="J295" t="n">
        <v>0</v>
      </c>
      <c r="K295" t="n">
        <v>0</v>
      </c>
      <c r="L295" t="n">
        <v>0</v>
      </c>
      <c r="M295" t="n">
        <v>0</v>
      </c>
      <c r="N295" t="n">
        <v>0</v>
      </c>
      <c r="O295" t="n">
        <v>0</v>
      </c>
      <c r="P295" t="n">
        <v>0</v>
      </c>
      <c r="Q295" t="n">
        <v>1</v>
      </c>
      <c r="R295" s="2" t="inlineStr">
        <is>
          <t>Revlummer</t>
        </is>
      </c>
      <c r="S295">
        <f>HYPERLINK("https://klasma.github.io/Logging_0883/artfynd/A 11589-2023 artfynd.xlsx", "A 11589-2023")</f>
        <v/>
      </c>
      <c r="T295">
        <f>HYPERLINK("https://klasma.github.io/Logging_0883/kartor/A 11589-2023 karta.png", "A 11589-2023")</f>
        <v/>
      </c>
      <c r="V295">
        <f>HYPERLINK("https://klasma.github.io/Logging_0883/klagomål/A 11589-2023 FSC-klagomål.docx", "A 11589-2023")</f>
        <v/>
      </c>
      <c r="W295">
        <f>HYPERLINK("https://klasma.github.io/Logging_0883/klagomålsmail/A 11589-2023 FSC-klagomål mail.docx", "A 11589-2023")</f>
        <v/>
      </c>
      <c r="X295">
        <f>HYPERLINK("https://klasma.github.io/Logging_0883/tillsyn/A 11589-2023 tillsynsbegäran.docx", "A 11589-2023")</f>
        <v/>
      </c>
      <c r="Y295">
        <f>HYPERLINK("https://klasma.github.io/Logging_0883/tillsynsmail/A 11589-2023 tillsynsbegäran mail.docx", "A 11589-2023")</f>
        <v/>
      </c>
    </row>
    <row r="296" ht="15" customHeight="1">
      <c r="A296" t="inlineStr">
        <is>
          <t>A 11729-2023</t>
        </is>
      </c>
      <c r="B296" s="1" t="n">
        <v>44994</v>
      </c>
      <c r="C296" s="1" t="n">
        <v>45842</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14720-2023</t>
        </is>
      </c>
      <c r="B297" s="1" t="n">
        <v>45014</v>
      </c>
      <c r="C297" s="1" t="n">
        <v>45842</v>
      </c>
      <c r="D297" t="inlineStr">
        <is>
          <t>KALMAR LÄN</t>
        </is>
      </c>
      <c r="E297" t="inlineStr">
        <is>
          <t>VÄSTERVIK</t>
        </is>
      </c>
      <c r="G297" t="n">
        <v>3.5</v>
      </c>
      <c r="H297" t="n">
        <v>1</v>
      </c>
      <c r="I297" t="n">
        <v>0</v>
      </c>
      <c r="J297" t="n">
        <v>0</v>
      </c>
      <c r="K297" t="n">
        <v>1</v>
      </c>
      <c r="L297" t="n">
        <v>0</v>
      </c>
      <c r="M297" t="n">
        <v>0</v>
      </c>
      <c r="N297" t="n">
        <v>0</v>
      </c>
      <c r="O297" t="n">
        <v>1</v>
      </c>
      <c r="P297" t="n">
        <v>1</v>
      </c>
      <c r="Q297" t="n">
        <v>1</v>
      </c>
      <c r="R297" s="2" t="inlineStr">
        <is>
          <t>Knärot</t>
        </is>
      </c>
      <c r="S297">
        <f>HYPERLINK("https://klasma.github.io/Logging_0883/artfynd/A 14720-2023 artfynd.xlsx", "A 14720-2023")</f>
        <v/>
      </c>
      <c r="T297">
        <f>HYPERLINK("https://klasma.github.io/Logging_0883/kartor/A 14720-2023 karta.png", "A 14720-2023")</f>
        <v/>
      </c>
      <c r="U297">
        <f>HYPERLINK("https://klasma.github.io/Logging_0883/knärot/A 14720-2023 karta knärot.png", "A 14720-2023")</f>
        <v/>
      </c>
      <c r="V297">
        <f>HYPERLINK("https://klasma.github.io/Logging_0883/klagomål/A 14720-2023 FSC-klagomål.docx", "A 14720-2023")</f>
        <v/>
      </c>
      <c r="W297">
        <f>HYPERLINK("https://klasma.github.io/Logging_0883/klagomålsmail/A 14720-2023 FSC-klagomål mail.docx", "A 14720-2023")</f>
        <v/>
      </c>
      <c r="X297">
        <f>HYPERLINK("https://klasma.github.io/Logging_0883/tillsyn/A 14720-2023 tillsynsbegäran.docx", "A 14720-2023")</f>
        <v/>
      </c>
      <c r="Y297">
        <f>HYPERLINK("https://klasma.github.io/Logging_0883/tillsynsmail/A 14720-2023 tillsynsbegäran mail.docx", "A 14720-2023")</f>
        <v/>
      </c>
    </row>
    <row r="298" ht="15" customHeight="1">
      <c r="A298" t="inlineStr">
        <is>
          <t>A 21828-2023</t>
        </is>
      </c>
      <c r="B298" s="1" t="n">
        <v>45068</v>
      </c>
      <c r="C298" s="1" t="n">
        <v>45842</v>
      </c>
      <c r="D298" t="inlineStr">
        <is>
          <t>KALMAR LÄN</t>
        </is>
      </c>
      <c r="E298" t="inlineStr">
        <is>
          <t>VÄSTERVIK</t>
        </is>
      </c>
      <c r="G298" t="n">
        <v>0.7</v>
      </c>
      <c r="H298" t="n">
        <v>0</v>
      </c>
      <c r="I298" t="n">
        <v>1</v>
      </c>
      <c r="J298" t="n">
        <v>0</v>
      </c>
      <c r="K298" t="n">
        <v>0</v>
      </c>
      <c r="L298" t="n">
        <v>0</v>
      </c>
      <c r="M298" t="n">
        <v>0</v>
      </c>
      <c r="N298" t="n">
        <v>0</v>
      </c>
      <c r="O298" t="n">
        <v>0</v>
      </c>
      <c r="P298" t="n">
        <v>0</v>
      </c>
      <c r="Q298" t="n">
        <v>1</v>
      </c>
      <c r="R298" s="2" t="inlineStr">
        <is>
          <t>Grönpyrola</t>
        </is>
      </c>
      <c r="S298">
        <f>HYPERLINK("https://klasma.github.io/Logging_0883/artfynd/A 21828-2023 artfynd.xlsx", "A 21828-2023")</f>
        <v/>
      </c>
      <c r="T298">
        <f>HYPERLINK("https://klasma.github.io/Logging_0883/kartor/A 21828-2023 karta.png", "A 21828-2023")</f>
        <v/>
      </c>
      <c r="V298">
        <f>HYPERLINK("https://klasma.github.io/Logging_0883/klagomål/A 21828-2023 FSC-klagomål.docx", "A 21828-2023")</f>
        <v/>
      </c>
      <c r="W298">
        <f>HYPERLINK("https://klasma.github.io/Logging_0883/klagomålsmail/A 21828-2023 FSC-klagomål mail.docx", "A 21828-2023")</f>
        <v/>
      </c>
      <c r="X298">
        <f>HYPERLINK("https://klasma.github.io/Logging_0883/tillsyn/A 21828-2023 tillsynsbegäran.docx", "A 21828-2023")</f>
        <v/>
      </c>
      <c r="Y298">
        <f>HYPERLINK("https://klasma.github.io/Logging_0883/tillsynsmail/A 21828-2023 tillsynsbegäran mail.docx", "A 21828-2023")</f>
        <v/>
      </c>
    </row>
    <row r="299" ht="15" customHeight="1">
      <c r="A299" t="inlineStr">
        <is>
          <t>A 25436-2023</t>
        </is>
      </c>
      <c r="B299" s="1" t="n">
        <v>45089</v>
      </c>
      <c r="C299" s="1" t="n">
        <v>45842</v>
      </c>
      <c r="D299" t="inlineStr">
        <is>
          <t>KALMAR LÄN</t>
        </is>
      </c>
      <c r="E299" t="inlineStr">
        <is>
          <t>VÄSTERVIK</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HYPERLINK("https://klasma.github.io/Logging_0883/artfynd/A 25436-2023 artfynd.xlsx", "A 25436-2023")</f>
        <v/>
      </c>
      <c r="T299">
        <f>HYPERLINK("https://klasma.github.io/Logging_0883/kartor/A 25436-2023 karta.png", "A 25436-2023")</f>
        <v/>
      </c>
      <c r="U299">
        <f>HYPERLINK("https://klasma.github.io/Logging_0883/knärot/A 25436-2023 karta knärot.png", "A 25436-2023")</f>
        <v/>
      </c>
      <c r="V299">
        <f>HYPERLINK("https://klasma.github.io/Logging_0883/klagomål/A 25436-2023 FSC-klagomål.docx", "A 25436-2023")</f>
        <v/>
      </c>
      <c r="W299">
        <f>HYPERLINK("https://klasma.github.io/Logging_0883/klagomålsmail/A 25436-2023 FSC-klagomål mail.docx", "A 25436-2023")</f>
        <v/>
      </c>
      <c r="X299">
        <f>HYPERLINK("https://klasma.github.io/Logging_0883/tillsyn/A 25436-2023 tillsynsbegäran.docx", "A 25436-2023")</f>
        <v/>
      </c>
      <c r="Y299">
        <f>HYPERLINK("https://klasma.github.io/Logging_0883/tillsynsmail/A 25436-2023 tillsynsbegäran mail.docx", "A 25436-2023")</f>
        <v/>
      </c>
    </row>
    <row r="300" ht="15" customHeight="1">
      <c r="A300" t="inlineStr">
        <is>
          <t>A 25433-2023</t>
        </is>
      </c>
      <c r="B300" s="1" t="n">
        <v>45089</v>
      </c>
      <c r="C300" s="1" t="n">
        <v>45842</v>
      </c>
      <c r="D300" t="inlineStr">
        <is>
          <t>KALMAR LÄN</t>
        </is>
      </c>
      <c r="E300" t="inlineStr">
        <is>
          <t>VÄSTERVIK</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HYPERLINK("https://klasma.github.io/Logging_0883/artfynd/A 25433-2023 artfynd.xlsx", "A 25433-2023")</f>
        <v/>
      </c>
      <c r="T300">
        <f>HYPERLINK("https://klasma.github.io/Logging_0883/kartor/A 25433-2023 karta.png", "A 25433-2023")</f>
        <v/>
      </c>
      <c r="U300">
        <f>HYPERLINK("https://klasma.github.io/Logging_0883/knärot/A 25433-2023 karta knärot.png", "A 25433-2023")</f>
        <v/>
      </c>
      <c r="V300">
        <f>HYPERLINK("https://klasma.github.io/Logging_0883/klagomål/A 25433-2023 FSC-klagomål.docx", "A 25433-2023")</f>
        <v/>
      </c>
      <c r="W300">
        <f>HYPERLINK("https://klasma.github.io/Logging_0883/klagomålsmail/A 25433-2023 FSC-klagomål mail.docx", "A 25433-2023")</f>
        <v/>
      </c>
      <c r="X300">
        <f>HYPERLINK("https://klasma.github.io/Logging_0883/tillsyn/A 25433-2023 tillsynsbegäran.docx", "A 25433-2023")</f>
        <v/>
      </c>
      <c r="Y300">
        <f>HYPERLINK("https://klasma.github.io/Logging_0883/tillsynsmail/A 25433-2023 tillsynsbegäran mail.docx", "A 25433-2023")</f>
        <v/>
      </c>
    </row>
    <row r="301" ht="15" customHeight="1">
      <c r="A301" t="inlineStr">
        <is>
          <t>A 25563-2023</t>
        </is>
      </c>
      <c r="B301" s="1" t="n">
        <v>45089</v>
      </c>
      <c r="C301" s="1" t="n">
        <v>45842</v>
      </c>
      <c r="D301" t="inlineStr">
        <is>
          <t>KALMAR LÄN</t>
        </is>
      </c>
      <c r="E301" t="inlineStr">
        <is>
          <t>VÄSTERVIK</t>
        </is>
      </c>
      <c r="G301" t="n">
        <v>1.6</v>
      </c>
      <c r="H301" t="n">
        <v>1</v>
      </c>
      <c r="I301" t="n">
        <v>0</v>
      </c>
      <c r="J301" t="n">
        <v>1</v>
      </c>
      <c r="K301" t="n">
        <v>0</v>
      </c>
      <c r="L301" t="n">
        <v>0</v>
      </c>
      <c r="M301" t="n">
        <v>0</v>
      </c>
      <c r="N301" t="n">
        <v>0</v>
      </c>
      <c r="O301" t="n">
        <v>1</v>
      </c>
      <c r="P301" t="n">
        <v>0</v>
      </c>
      <c r="Q301" t="n">
        <v>1</v>
      </c>
      <c r="R301" s="2" t="inlineStr">
        <is>
          <t>Talltita</t>
        </is>
      </c>
      <c r="S301">
        <f>HYPERLINK("https://klasma.github.io/Logging_0883/artfynd/A 25563-2023 artfynd.xlsx", "A 25563-2023")</f>
        <v/>
      </c>
      <c r="T301">
        <f>HYPERLINK("https://klasma.github.io/Logging_0883/kartor/A 25563-2023 karta.png", "A 25563-2023")</f>
        <v/>
      </c>
      <c r="V301">
        <f>HYPERLINK("https://klasma.github.io/Logging_0883/klagomål/A 25563-2023 FSC-klagomål.docx", "A 25563-2023")</f>
        <v/>
      </c>
      <c r="W301">
        <f>HYPERLINK("https://klasma.github.io/Logging_0883/klagomålsmail/A 25563-2023 FSC-klagomål mail.docx", "A 25563-2023")</f>
        <v/>
      </c>
      <c r="X301">
        <f>HYPERLINK("https://klasma.github.io/Logging_0883/tillsyn/A 25563-2023 tillsynsbegäran.docx", "A 25563-2023")</f>
        <v/>
      </c>
      <c r="Y301">
        <f>HYPERLINK("https://klasma.github.io/Logging_0883/tillsynsmail/A 25563-2023 tillsynsbegäran mail.docx", "A 25563-2023")</f>
        <v/>
      </c>
      <c r="Z301">
        <f>HYPERLINK("https://klasma.github.io/Logging_0883/fåglar/A 25563-2023 prioriterade fågelarter.docx", "A 25563-2023")</f>
        <v/>
      </c>
    </row>
    <row r="302" ht="15" customHeight="1">
      <c r="A302" t="inlineStr">
        <is>
          <t>A 26278-2023</t>
        </is>
      </c>
      <c r="B302" s="1" t="n">
        <v>45091</v>
      </c>
      <c r="C302" s="1" t="n">
        <v>45842</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26278-2023 artfynd.xlsx", "A 26278-2023")</f>
        <v/>
      </c>
      <c r="T302">
        <f>HYPERLINK("https://klasma.github.io/Logging_0883/kartor/A 26278-2023 karta.png", "A 26278-2023")</f>
        <v/>
      </c>
      <c r="U302">
        <f>HYPERLINK("https://klasma.github.io/Logging_0883/knärot/A 26278-2023 karta knärot.png", "A 26278-2023")</f>
        <v/>
      </c>
      <c r="V302">
        <f>HYPERLINK("https://klasma.github.io/Logging_0883/klagomål/A 26278-2023 FSC-klagomål.docx", "A 26278-2023")</f>
        <v/>
      </c>
      <c r="W302">
        <f>HYPERLINK("https://klasma.github.io/Logging_0883/klagomålsmail/A 26278-2023 FSC-klagomål mail.docx", "A 26278-2023")</f>
        <v/>
      </c>
      <c r="X302">
        <f>HYPERLINK("https://klasma.github.io/Logging_0883/tillsyn/A 26278-2023 tillsynsbegäran.docx", "A 26278-2023")</f>
        <v/>
      </c>
      <c r="Y302">
        <f>HYPERLINK("https://klasma.github.io/Logging_0883/tillsynsmail/A 26278-2023 tillsynsbegäran mail.docx", "A 26278-2023")</f>
        <v/>
      </c>
    </row>
    <row r="303" ht="15" customHeight="1">
      <c r="A303" t="inlineStr">
        <is>
          <t>A 28495-2023</t>
        </is>
      </c>
      <c r="B303" s="1" t="n">
        <v>45103</v>
      </c>
      <c r="C303" s="1" t="n">
        <v>45842</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32653-2023</t>
        </is>
      </c>
      <c r="B304" s="1" t="n">
        <v>45121</v>
      </c>
      <c r="C304" s="1" t="n">
        <v>45842</v>
      </c>
      <c r="D304" t="inlineStr">
        <is>
          <t>KALMAR LÄN</t>
        </is>
      </c>
      <c r="E304" t="inlineStr">
        <is>
          <t>VÄSTERVIK</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HYPERLINK("https://klasma.github.io/Logging_0883/artfynd/A 32653-2023 artfynd.xlsx", "A 32653-2023")</f>
        <v/>
      </c>
      <c r="T304">
        <f>HYPERLINK("https://klasma.github.io/Logging_0883/kartor/A 32653-2023 karta.png", "A 32653-2023")</f>
        <v/>
      </c>
      <c r="U304">
        <f>HYPERLINK("https://klasma.github.io/Logging_0883/knärot/A 32653-2023 karta knärot.png", "A 32653-2023")</f>
        <v/>
      </c>
      <c r="V304">
        <f>HYPERLINK("https://klasma.github.io/Logging_0883/klagomål/A 32653-2023 FSC-klagomål.docx", "A 32653-2023")</f>
        <v/>
      </c>
      <c r="W304">
        <f>HYPERLINK("https://klasma.github.io/Logging_0883/klagomålsmail/A 32653-2023 FSC-klagomål mail.docx", "A 32653-2023")</f>
        <v/>
      </c>
      <c r="X304">
        <f>HYPERLINK("https://klasma.github.io/Logging_0883/tillsyn/A 32653-2023 tillsynsbegäran.docx", "A 32653-2023")</f>
        <v/>
      </c>
      <c r="Y304">
        <f>HYPERLINK("https://klasma.github.io/Logging_0883/tillsynsmail/A 32653-2023 tillsynsbegäran mail.docx", "A 32653-2023")</f>
        <v/>
      </c>
    </row>
    <row r="305" ht="15" customHeight="1">
      <c r="A305" t="inlineStr">
        <is>
          <t>A 33816-2023</t>
        </is>
      </c>
      <c r="B305" s="1" t="n">
        <v>45133</v>
      </c>
      <c r="C305" s="1" t="n">
        <v>45842</v>
      </c>
      <c r="D305" t="inlineStr">
        <is>
          <t>KALMAR LÄN</t>
        </is>
      </c>
      <c r="E305" t="inlineStr">
        <is>
          <t>VÄSTERVIK</t>
        </is>
      </c>
      <c r="G305" t="n">
        <v>4.9</v>
      </c>
      <c r="H305" t="n">
        <v>0</v>
      </c>
      <c r="I305" t="n">
        <v>0</v>
      </c>
      <c r="J305" t="n">
        <v>1</v>
      </c>
      <c r="K305" t="n">
        <v>0</v>
      </c>
      <c r="L305" t="n">
        <v>0</v>
      </c>
      <c r="M305" t="n">
        <v>0</v>
      </c>
      <c r="N305" t="n">
        <v>0</v>
      </c>
      <c r="O305" t="n">
        <v>1</v>
      </c>
      <c r="P305" t="n">
        <v>0</v>
      </c>
      <c r="Q305" t="n">
        <v>1</v>
      </c>
      <c r="R305" s="2" t="inlineStr">
        <is>
          <t>Tallticka</t>
        </is>
      </c>
      <c r="S305">
        <f>HYPERLINK("https://klasma.github.io/Logging_0883/artfynd/A 33816-2023 artfynd.xlsx", "A 33816-2023")</f>
        <v/>
      </c>
      <c r="T305">
        <f>HYPERLINK("https://klasma.github.io/Logging_0883/kartor/A 33816-2023 karta.png", "A 33816-2023")</f>
        <v/>
      </c>
      <c r="V305">
        <f>HYPERLINK("https://klasma.github.io/Logging_0883/klagomål/A 33816-2023 FSC-klagomål.docx", "A 33816-2023")</f>
        <v/>
      </c>
      <c r="W305">
        <f>HYPERLINK("https://klasma.github.io/Logging_0883/klagomålsmail/A 33816-2023 FSC-klagomål mail.docx", "A 33816-2023")</f>
        <v/>
      </c>
      <c r="X305">
        <f>HYPERLINK("https://klasma.github.io/Logging_0883/tillsyn/A 33816-2023 tillsynsbegäran.docx", "A 33816-2023")</f>
        <v/>
      </c>
      <c r="Y305">
        <f>HYPERLINK("https://klasma.github.io/Logging_0883/tillsynsmail/A 33816-2023 tillsynsbegäran mail.docx", "A 33816-2023")</f>
        <v/>
      </c>
    </row>
    <row r="306" ht="15" customHeight="1">
      <c r="A306" t="inlineStr">
        <is>
          <t>A 33815-2023</t>
        </is>
      </c>
      <c r="B306" s="1" t="n">
        <v>45133</v>
      </c>
      <c r="C306" s="1" t="n">
        <v>45842</v>
      </c>
      <c r="D306" t="inlineStr">
        <is>
          <t>KALMAR LÄN</t>
        </is>
      </c>
      <c r="E306" t="inlineStr">
        <is>
          <t>VÄSTERVIK</t>
        </is>
      </c>
      <c r="G306" t="n">
        <v>3.4</v>
      </c>
      <c r="H306" t="n">
        <v>0</v>
      </c>
      <c r="I306" t="n">
        <v>1</v>
      </c>
      <c r="J306" t="n">
        <v>0</v>
      </c>
      <c r="K306" t="n">
        <v>0</v>
      </c>
      <c r="L306" t="n">
        <v>0</v>
      </c>
      <c r="M306" t="n">
        <v>0</v>
      </c>
      <c r="N306" t="n">
        <v>0</v>
      </c>
      <c r="O306" t="n">
        <v>0</v>
      </c>
      <c r="P306" t="n">
        <v>0</v>
      </c>
      <c r="Q306" t="n">
        <v>1</v>
      </c>
      <c r="R306" s="2" t="inlineStr">
        <is>
          <t>Grönpyrola</t>
        </is>
      </c>
      <c r="S306">
        <f>HYPERLINK("https://klasma.github.io/Logging_0883/artfynd/A 33815-2023 artfynd.xlsx", "A 33815-2023")</f>
        <v/>
      </c>
      <c r="T306">
        <f>HYPERLINK("https://klasma.github.io/Logging_0883/kartor/A 33815-2023 karta.png", "A 33815-2023")</f>
        <v/>
      </c>
      <c r="V306">
        <f>HYPERLINK("https://klasma.github.io/Logging_0883/klagomål/A 33815-2023 FSC-klagomål.docx", "A 33815-2023")</f>
        <v/>
      </c>
      <c r="W306">
        <f>HYPERLINK("https://klasma.github.io/Logging_0883/klagomålsmail/A 33815-2023 FSC-klagomål mail.docx", "A 33815-2023")</f>
        <v/>
      </c>
      <c r="X306">
        <f>HYPERLINK("https://klasma.github.io/Logging_0883/tillsyn/A 33815-2023 tillsynsbegäran.docx", "A 33815-2023")</f>
        <v/>
      </c>
      <c r="Y306">
        <f>HYPERLINK("https://klasma.github.io/Logging_0883/tillsynsmail/A 33815-2023 tillsynsbegäran mail.docx", "A 33815-2023")</f>
        <v/>
      </c>
    </row>
    <row r="307" ht="15" customHeight="1">
      <c r="A307" t="inlineStr">
        <is>
          <t>A 34563-2023</t>
        </is>
      </c>
      <c r="B307" s="1" t="n">
        <v>45140</v>
      </c>
      <c r="C307" s="1" t="n">
        <v>45842</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34563-2023 artfynd.xlsx", "A 34563-2023")</f>
        <v/>
      </c>
      <c r="T307">
        <f>HYPERLINK("https://klasma.github.io/Logging_0883/kartor/A 34563-2023 karta.png", "A 34563-2023")</f>
        <v/>
      </c>
      <c r="U307">
        <f>HYPERLINK("https://klasma.github.io/Logging_0883/knärot/A 34563-2023 karta knärot.png", "A 34563-2023")</f>
        <v/>
      </c>
      <c r="V307">
        <f>HYPERLINK("https://klasma.github.io/Logging_0883/klagomål/A 34563-2023 FSC-klagomål.docx", "A 34563-2023")</f>
        <v/>
      </c>
      <c r="W307">
        <f>HYPERLINK("https://klasma.github.io/Logging_0883/klagomålsmail/A 34563-2023 FSC-klagomål mail.docx", "A 34563-2023")</f>
        <v/>
      </c>
      <c r="X307">
        <f>HYPERLINK("https://klasma.github.io/Logging_0883/tillsyn/A 34563-2023 tillsynsbegäran.docx", "A 34563-2023")</f>
        <v/>
      </c>
      <c r="Y307">
        <f>HYPERLINK("https://klasma.github.io/Logging_0883/tillsynsmail/A 34563-2023 tillsynsbegäran mail.docx", "A 34563-2023")</f>
        <v/>
      </c>
    </row>
    <row r="308" ht="15" customHeight="1">
      <c r="A308" t="inlineStr">
        <is>
          <t>A 36400-2023</t>
        </is>
      </c>
      <c r="B308" s="1" t="n">
        <v>45152</v>
      </c>
      <c r="C308" s="1" t="n">
        <v>45842</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36400-2023 artfynd.xlsx", "A 36400-2023")</f>
        <v/>
      </c>
      <c r="T308">
        <f>HYPERLINK("https://klasma.github.io/Logging_0883/kartor/A 36400-2023 karta.png", "A 36400-2023")</f>
        <v/>
      </c>
      <c r="U308">
        <f>HYPERLINK("https://klasma.github.io/Logging_0883/knärot/A 36400-2023 karta knärot.png", "A 36400-2023")</f>
        <v/>
      </c>
      <c r="V308">
        <f>HYPERLINK("https://klasma.github.io/Logging_0883/klagomål/A 36400-2023 FSC-klagomål.docx", "A 36400-2023")</f>
        <v/>
      </c>
      <c r="W308">
        <f>HYPERLINK("https://klasma.github.io/Logging_0883/klagomålsmail/A 36400-2023 FSC-klagomål mail.docx", "A 36400-2023")</f>
        <v/>
      </c>
      <c r="X308">
        <f>HYPERLINK("https://klasma.github.io/Logging_0883/tillsyn/A 36400-2023 tillsynsbegäran.docx", "A 36400-2023")</f>
        <v/>
      </c>
      <c r="Y308">
        <f>HYPERLINK("https://klasma.github.io/Logging_0883/tillsynsmail/A 36400-2023 tillsynsbegäran mail.docx", "A 36400-2023")</f>
        <v/>
      </c>
    </row>
    <row r="309" ht="15" customHeight="1">
      <c r="A309" t="inlineStr">
        <is>
          <t>A 43788-2023</t>
        </is>
      </c>
      <c r="B309" s="1" t="n">
        <v>45187</v>
      </c>
      <c r="C309" s="1" t="n">
        <v>45842</v>
      </c>
      <c r="D309" t="inlineStr">
        <is>
          <t>KALMAR LÄN</t>
        </is>
      </c>
      <c r="E309" t="inlineStr">
        <is>
          <t>VÄSTERVIK</t>
        </is>
      </c>
      <c r="G309" t="n">
        <v>4.5</v>
      </c>
      <c r="H309" t="n">
        <v>0</v>
      </c>
      <c r="I309" t="n">
        <v>0</v>
      </c>
      <c r="J309" t="n">
        <v>1</v>
      </c>
      <c r="K309" t="n">
        <v>0</v>
      </c>
      <c r="L309" t="n">
        <v>0</v>
      </c>
      <c r="M309" t="n">
        <v>0</v>
      </c>
      <c r="N309" t="n">
        <v>0</v>
      </c>
      <c r="O309" t="n">
        <v>1</v>
      </c>
      <c r="P309" t="n">
        <v>0</v>
      </c>
      <c r="Q309" t="n">
        <v>1</v>
      </c>
      <c r="R309" s="2" t="inlineStr">
        <is>
          <t>Motaggsvamp</t>
        </is>
      </c>
      <c r="S309">
        <f>HYPERLINK("https://klasma.github.io/Logging_0883/artfynd/A 43788-2023 artfynd.xlsx", "A 43788-2023")</f>
        <v/>
      </c>
      <c r="T309">
        <f>HYPERLINK("https://klasma.github.io/Logging_0883/kartor/A 43788-2023 karta.png", "A 43788-2023")</f>
        <v/>
      </c>
      <c r="V309">
        <f>HYPERLINK("https://klasma.github.io/Logging_0883/klagomål/A 43788-2023 FSC-klagomål.docx", "A 43788-2023")</f>
        <v/>
      </c>
      <c r="W309">
        <f>HYPERLINK("https://klasma.github.io/Logging_0883/klagomålsmail/A 43788-2023 FSC-klagomål mail.docx", "A 43788-2023")</f>
        <v/>
      </c>
      <c r="X309">
        <f>HYPERLINK("https://klasma.github.io/Logging_0883/tillsyn/A 43788-2023 tillsynsbegäran.docx", "A 43788-2023")</f>
        <v/>
      </c>
      <c r="Y309">
        <f>HYPERLINK("https://klasma.github.io/Logging_0883/tillsynsmail/A 43788-2023 tillsynsbegäran mail.docx", "A 43788-2023")</f>
        <v/>
      </c>
    </row>
    <row r="310" ht="15" customHeight="1">
      <c r="A310" t="inlineStr">
        <is>
          <t>A 46722-2023</t>
        </is>
      </c>
      <c r="B310" s="1" t="n">
        <v>45194</v>
      </c>
      <c r="C310" s="1" t="n">
        <v>45842</v>
      </c>
      <c r="D310" t="inlineStr">
        <is>
          <t>KALMAR LÄN</t>
        </is>
      </c>
      <c r="E310" t="inlineStr">
        <is>
          <t>VÄSTERVIK</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HYPERLINK("https://klasma.github.io/Logging_0883/artfynd/A 46722-2023 artfynd.xlsx", "A 46722-2023")</f>
        <v/>
      </c>
      <c r="T310">
        <f>HYPERLINK("https://klasma.github.io/Logging_0883/kartor/A 46722-2023 karta.png", "A 46722-2023")</f>
        <v/>
      </c>
      <c r="U310">
        <f>HYPERLINK("https://klasma.github.io/Logging_0883/knärot/A 46722-2023 karta knärot.png", "A 46722-2023")</f>
        <v/>
      </c>
      <c r="V310">
        <f>HYPERLINK("https://klasma.github.io/Logging_0883/klagomål/A 46722-2023 FSC-klagomål.docx", "A 46722-2023")</f>
        <v/>
      </c>
      <c r="W310">
        <f>HYPERLINK("https://klasma.github.io/Logging_0883/klagomålsmail/A 46722-2023 FSC-klagomål mail.docx", "A 46722-2023")</f>
        <v/>
      </c>
      <c r="X310">
        <f>HYPERLINK("https://klasma.github.io/Logging_0883/tillsyn/A 46722-2023 tillsynsbegäran.docx", "A 46722-2023")</f>
        <v/>
      </c>
      <c r="Y310">
        <f>HYPERLINK("https://klasma.github.io/Logging_0883/tillsynsmail/A 46722-2023 tillsynsbegäran mail.docx", "A 46722-2023")</f>
        <v/>
      </c>
    </row>
    <row r="311" ht="15" customHeight="1">
      <c r="A311" t="inlineStr">
        <is>
          <t>A 47112-2023</t>
        </is>
      </c>
      <c r="B311" s="1" t="n">
        <v>45201</v>
      </c>
      <c r="C311" s="1" t="n">
        <v>45842</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49680-2023</t>
        </is>
      </c>
      <c r="B312" s="1" t="n">
        <v>45212</v>
      </c>
      <c r="C312" s="1" t="n">
        <v>45842</v>
      </c>
      <c r="D312" t="inlineStr">
        <is>
          <t>KALMAR LÄN</t>
        </is>
      </c>
      <c r="E312" t="inlineStr">
        <is>
          <t>VÄSTERVIK</t>
        </is>
      </c>
      <c r="G312" t="n">
        <v>3.3</v>
      </c>
      <c r="H312" t="n">
        <v>0</v>
      </c>
      <c r="I312" t="n">
        <v>0</v>
      </c>
      <c r="J312" t="n">
        <v>1</v>
      </c>
      <c r="K312" t="n">
        <v>0</v>
      </c>
      <c r="L312" t="n">
        <v>0</v>
      </c>
      <c r="M312" t="n">
        <v>0</v>
      </c>
      <c r="N312" t="n">
        <v>0</v>
      </c>
      <c r="O312" t="n">
        <v>1</v>
      </c>
      <c r="P312" t="n">
        <v>0</v>
      </c>
      <c r="Q312" t="n">
        <v>1</v>
      </c>
      <c r="R312" s="2" t="inlineStr">
        <is>
          <t>Skogsklocka</t>
        </is>
      </c>
      <c r="S312">
        <f>HYPERLINK("https://klasma.github.io/Logging_0883/artfynd/A 49680-2023 artfynd.xlsx", "A 49680-2023")</f>
        <v/>
      </c>
      <c r="T312">
        <f>HYPERLINK("https://klasma.github.io/Logging_0883/kartor/A 49680-2023 karta.png", "A 49680-2023")</f>
        <v/>
      </c>
      <c r="V312">
        <f>HYPERLINK("https://klasma.github.io/Logging_0883/klagomål/A 49680-2023 FSC-klagomål.docx", "A 49680-2023")</f>
        <v/>
      </c>
      <c r="W312">
        <f>HYPERLINK("https://klasma.github.io/Logging_0883/klagomålsmail/A 49680-2023 FSC-klagomål mail.docx", "A 49680-2023")</f>
        <v/>
      </c>
      <c r="X312">
        <f>HYPERLINK("https://klasma.github.io/Logging_0883/tillsyn/A 49680-2023 tillsynsbegäran.docx", "A 49680-2023")</f>
        <v/>
      </c>
      <c r="Y312">
        <f>HYPERLINK("https://klasma.github.io/Logging_0883/tillsynsmail/A 49680-2023 tillsynsbegäran mail.docx", "A 49680-2023")</f>
        <v/>
      </c>
    </row>
    <row r="313" ht="15" customHeight="1">
      <c r="A313" t="inlineStr">
        <is>
          <t>A 54272-2023</t>
        </is>
      </c>
      <c r="B313" s="1" t="n">
        <v>45232</v>
      </c>
      <c r="C313" s="1" t="n">
        <v>45842</v>
      </c>
      <c r="D313" t="inlineStr">
        <is>
          <t>KALMAR LÄN</t>
        </is>
      </c>
      <c r="E313" t="inlineStr">
        <is>
          <t>VÄSTERVIK</t>
        </is>
      </c>
      <c r="G313" t="n">
        <v>1</v>
      </c>
      <c r="H313" t="n">
        <v>0</v>
      </c>
      <c r="I313" t="n">
        <v>1</v>
      </c>
      <c r="J313" t="n">
        <v>0</v>
      </c>
      <c r="K313" t="n">
        <v>0</v>
      </c>
      <c r="L313" t="n">
        <v>0</v>
      </c>
      <c r="M313" t="n">
        <v>0</v>
      </c>
      <c r="N313" t="n">
        <v>0</v>
      </c>
      <c r="O313" t="n">
        <v>0</v>
      </c>
      <c r="P313" t="n">
        <v>0</v>
      </c>
      <c r="Q313" t="n">
        <v>1</v>
      </c>
      <c r="R313" s="2" t="inlineStr">
        <is>
          <t>Aprikosfingersvamp</t>
        </is>
      </c>
      <c r="S313">
        <f>HYPERLINK("https://klasma.github.io/Logging_0883/artfynd/A 54272-2023 artfynd.xlsx", "A 54272-2023")</f>
        <v/>
      </c>
      <c r="T313">
        <f>HYPERLINK("https://klasma.github.io/Logging_0883/kartor/A 54272-2023 karta.png", "A 54272-2023")</f>
        <v/>
      </c>
      <c r="V313">
        <f>HYPERLINK("https://klasma.github.io/Logging_0883/klagomål/A 54272-2023 FSC-klagomål.docx", "A 54272-2023")</f>
        <v/>
      </c>
      <c r="W313">
        <f>HYPERLINK("https://klasma.github.io/Logging_0883/klagomålsmail/A 54272-2023 FSC-klagomål mail.docx", "A 54272-2023")</f>
        <v/>
      </c>
      <c r="X313">
        <f>HYPERLINK("https://klasma.github.io/Logging_0883/tillsyn/A 54272-2023 tillsynsbegäran.docx", "A 54272-2023")</f>
        <v/>
      </c>
      <c r="Y313">
        <f>HYPERLINK("https://klasma.github.io/Logging_0883/tillsynsmail/A 54272-2023 tillsynsbegäran mail.docx", "A 54272-2023")</f>
        <v/>
      </c>
    </row>
    <row r="314" ht="15" customHeight="1">
      <c r="A314" t="inlineStr">
        <is>
          <t>A 55575-2023</t>
        </is>
      </c>
      <c r="B314" s="1" t="n">
        <v>45238</v>
      </c>
      <c r="C314" s="1" t="n">
        <v>45842</v>
      </c>
      <c r="D314" t="inlineStr">
        <is>
          <t>KALMAR LÄN</t>
        </is>
      </c>
      <c r="E314" t="inlineStr">
        <is>
          <t>VÄSTERVIK</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HYPERLINK("https://klasma.github.io/Logging_0883/artfynd/A 55575-2023 artfynd.xlsx", "A 55575-2023")</f>
        <v/>
      </c>
      <c r="T314">
        <f>HYPERLINK("https://klasma.github.io/Logging_0883/kartor/A 55575-2023 karta.png", "A 55575-2023")</f>
        <v/>
      </c>
      <c r="U314">
        <f>HYPERLINK("https://klasma.github.io/Logging_0883/knärot/A 55575-2023 karta knärot.png", "A 55575-2023")</f>
        <v/>
      </c>
      <c r="V314">
        <f>HYPERLINK("https://klasma.github.io/Logging_0883/klagomål/A 55575-2023 FSC-klagomål.docx", "A 55575-2023")</f>
        <v/>
      </c>
      <c r="W314">
        <f>HYPERLINK("https://klasma.github.io/Logging_0883/klagomålsmail/A 55575-2023 FSC-klagomål mail.docx", "A 55575-2023")</f>
        <v/>
      </c>
      <c r="X314">
        <f>HYPERLINK("https://klasma.github.io/Logging_0883/tillsyn/A 55575-2023 tillsynsbegäran.docx", "A 55575-2023")</f>
        <v/>
      </c>
      <c r="Y314">
        <f>HYPERLINK("https://klasma.github.io/Logging_0883/tillsynsmail/A 55575-2023 tillsynsbegäran mail.docx", "A 55575-2023")</f>
        <v/>
      </c>
    </row>
    <row r="315" ht="15" customHeight="1">
      <c r="A315" t="inlineStr">
        <is>
          <t>A 56186-2023</t>
        </is>
      </c>
      <c r="B315" s="1" t="n">
        <v>45240</v>
      </c>
      <c r="C315" s="1" t="n">
        <v>45842</v>
      </c>
      <c r="D315" t="inlineStr">
        <is>
          <t>KALMAR LÄN</t>
        </is>
      </c>
      <c r="E315" t="inlineStr">
        <is>
          <t>VÄSTERVIK</t>
        </is>
      </c>
      <c r="G315" t="n">
        <v>2.7</v>
      </c>
      <c r="H315" t="n">
        <v>0</v>
      </c>
      <c r="I315" t="n">
        <v>0</v>
      </c>
      <c r="J315" t="n">
        <v>1</v>
      </c>
      <c r="K315" t="n">
        <v>0</v>
      </c>
      <c r="L315" t="n">
        <v>0</v>
      </c>
      <c r="M315" t="n">
        <v>0</v>
      </c>
      <c r="N315" t="n">
        <v>0</v>
      </c>
      <c r="O315" t="n">
        <v>1</v>
      </c>
      <c r="P315" t="n">
        <v>0</v>
      </c>
      <c r="Q315" t="n">
        <v>1</v>
      </c>
      <c r="R315" s="2" t="inlineStr">
        <is>
          <t>Tallticka</t>
        </is>
      </c>
      <c r="S315">
        <f>HYPERLINK("https://klasma.github.io/Logging_0883/artfynd/A 56186-2023 artfynd.xlsx", "A 56186-2023")</f>
        <v/>
      </c>
      <c r="T315">
        <f>HYPERLINK("https://klasma.github.io/Logging_0883/kartor/A 56186-2023 karta.png", "A 56186-2023")</f>
        <v/>
      </c>
      <c r="V315">
        <f>HYPERLINK("https://klasma.github.io/Logging_0883/klagomål/A 56186-2023 FSC-klagomål.docx", "A 56186-2023")</f>
        <v/>
      </c>
      <c r="W315">
        <f>HYPERLINK("https://klasma.github.io/Logging_0883/klagomålsmail/A 56186-2023 FSC-klagomål mail.docx", "A 56186-2023")</f>
        <v/>
      </c>
      <c r="X315">
        <f>HYPERLINK("https://klasma.github.io/Logging_0883/tillsyn/A 56186-2023 tillsynsbegäran.docx", "A 56186-2023")</f>
        <v/>
      </c>
      <c r="Y315">
        <f>HYPERLINK("https://klasma.github.io/Logging_0883/tillsynsmail/A 56186-2023 tillsynsbegäran mail.docx", "A 56186-2023")</f>
        <v/>
      </c>
    </row>
    <row r="316" ht="15" customHeight="1">
      <c r="A316" t="inlineStr">
        <is>
          <t>A 59368-2023</t>
        </is>
      </c>
      <c r="B316" s="1" t="n">
        <v>45253</v>
      </c>
      <c r="C316" s="1" t="n">
        <v>45842</v>
      </c>
      <c r="D316" t="inlineStr">
        <is>
          <t>KALMAR LÄN</t>
        </is>
      </c>
      <c r="E316" t="inlineStr">
        <is>
          <t>VÄSTERVIK</t>
        </is>
      </c>
      <c r="G316" t="n">
        <v>2.4</v>
      </c>
      <c r="H316" t="n">
        <v>1</v>
      </c>
      <c r="I316" t="n">
        <v>0</v>
      </c>
      <c r="J316" t="n">
        <v>0</v>
      </c>
      <c r="K316" t="n">
        <v>1</v>
      </c>
      <c r="L316" t="n">
        <v>0</v>
      </c>
      <c r="M316" t="n">
        <v>0</v>
      </c>
      <c r="N316" t="n">
        <v>0</v>
      </c>
      <c r="O316" t="n">
        <v>1</v>
      </c>
      <c r="P316" t="n">
        <v>1</v>
      </c>
      <c r="Q316" t="n">
        <v>1</v>
      </c>
      <c r="R316" s="2" t="inlineStr">
        <is>
          <t>Knärot</t>
        </is>
      </c>
      <c r="S316">
        <f>HYPERLINK("https://klasma.github.io/Logging_0883/artfynd/A 59368-2023 artfynd.xlsx", "A 59368-2023")</f>
        <v/>
      </c>
      <c r="T316">
        <f>HYPERLINK("https://klasma.github.io/Logging_0883/kartor/A 59368-2023 karta.png", "A 59368-2023")</f>
        <v/>
      </c>
      <c r="U316">
        <f>HYPERLINK("https://klasma.github.io/Logging_0883/knärot/A 59368-2023 karta knärot.png", "A 59368-2023")</f>
        <v/>
      </c>
      <c r="V316">
        <f>HYPERLINK("https://klasma.github.io/Logging_0883/klagomål/A 59368-2023 FSC-klagomål.docx", "A 59368-2023")</f>
        <v/>
      </c>
      <c r="W316">
        <f>HYPERLINK("https://klasma.github.io/Logging_0883/klagomålsmail/A 59368-2023 FSC-klagomål mail.docx", "A 59368-2023")</f>
        <v/>
      </c>
      <c r="X316">
        <f>HYPERLINK("https://klasma.github.io/Logging_0883/tillsyn/A 59368-2023 tillsynsbegäran.docx", "A 59368-2023")</f>
        <v/>
      </c>
      <c r="Y316">
        <f>HYPERLINK("https://klasma.github.io/Logging_0883/tillsynsmail/A 59368-2023 tillsynsbegäran mail.docx", "A 59368-2023")</f>
        <v/>
      </c>
    </row>
    <row r="317" ht="15" customHeight="1">
      <c r="A317" t="inlineStr">
        <is>
          <t>A 60633-2023</t>
        </is>
      </c>
      <c r="B317" s="1" t="n">
        <v>45260</v>
      </c>
      <c r="C317" s="1" t="n">
        <v>45842</v>
      </c>
      <c r="D317" t="inlineStr">
        <is>
          <t>KALMAR LÄN</t>
        </is>
      </c>
      <c r="E317" t="inlineStr">
        <is>
          <t>VÄSTERVIK</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HYPERLINK("https://klasma.github.io/Logging_0883/artfynd/A 60633-2023 artfynd.xlsx", "A 60633-2023")</f>
        <v/>
      </c>
      <c r="T317">
        <f>HYPERLINK("https://klasma.github.io/Logging_0883/kartor/A 60633-2023 karta.png", "A 60633-2023")</f>
        <v/>
      </c>
      <c r="V317">
        <f>HYPERLINK("https://klasma.github.io/Logging_0883/klagomål/A 60633-2023 FSC-klagomål.docx", "A 60633-2023")</f>
        <v/>
      </c>
      <c r="W317">
        <f>HYPERLINK("https://klasma.github.io/Logging_0883/klagomålsmail/A 60633-2023 FSC-klagomål mail.docx", "A 60633-2023")</f>
        <v/>
      </c>
      <c r="X317">
        <f>HYPERLINK("https://klasma.github.io/Logging_0883/tillsyn/A 60633-2023 tillsynsbegäran.docx", "A 60633-2023")</f>
        <v/>
      </c>
      <c r="Y317">
        <f>HYPERLINK("https://klasma.github.io/Logging_0883/tillsynsmail/A 60633-2023 tillsynsbegäran mail.docx", "A 60633-2023")</f>
        <v/>
      </c>
      <c r="Z317">
        <f>HYPERLINK("https://klasma.github.io/Logging_0883/fåglar/A 60633-2023 prioriterade fågelarter.docx", "A 60633-2023")</f>
        <v/>
      </c>
    </row>
    <row r="318" ht="15" customHeight="1">
      <c r="A318" t="inlineStr">
        <is>
          <t>A 61806-2023</t>
        </is>
      </c>
      <c r="B318" s="1" t="n">
        <v>45266</v>
      </c>
      <c r="C318" s="1" t="n">
        <v>45842</v>
      </c>
      <c r="D318" t="inlineStr">
        <is>
          <t>KALMAR LÄN</t>
        </is>
      </c>
      <c r="E318" t="inlineStr">
        <is>
          <t>VÄSTERVIK</t>
        </is>
      </c>
      <c r="G318" t="n">
        <v>1.1</v>
      </c>
      <c r="H318" t="n">
        <v>0</v>
      </c>
      <c r="I318" t="n">
        <v>0</v>
      </c>
      <c r="J318" t="n">
        <v>1</v>
      </c>
      <c r="K318" t="n">
        <v>0</v>
      </c>
      <c r="L318" t="n">
        <v>0</v>
      </c>
      <c r="M318" t="n">
        <v>0</v>
      </c>
      <c r="N318" t="n">
        <v>0</v>
      </c>
      <c r="O318" t="n">
        <v>1</v>
      </c>
      <c r="P318" t="n">
        <v>0</v>
      </c>
      <c r="Q318" t="n">
        <v>1</v>
      </c>
      <c r="R318" s="2" t="inlineStr">
        <is>
          <t>Veckticka</t>
        </is>
      </c>
      <c r="S318">
        <f>HYPERLINK("https://klasma.github.io/Logging_0883/artfynd/A 61806-2023 artfynd.xlsx", "A 61806-2023")</f>
        <v/>
      </c>
      <c r="T318">
        <f>HYPERLINK("https://klasma.github.io/Logging_0883/kartor/A 61806-2023 karta.png", "A 61806-2023")</f>
        <v/>
      </c>
      <c r="V318">
        <f>HYPERLINK("https://klasma.github.io/Logging_0883/klagomål/A 61806-2023 FSC-klagomål.docx", "A 61806-2023")</f>
        <v/>
      </c>
      <c r="W318">
        <f>HYPERLINK("https://klasma.github.io/Logging_0883/klagomålsmail/A 61806-2023 FSC-klagomål mail.docx", "A 61806-2023")</f>
        <v/>
      </c>
      <c r="X318">
        <f>HYPERLINK("https://klasma.github.io/Logging_0883/tillsyn/A 61806-2023 tillsynsbegäran.docx", "A 61806-2023")</f>
        <v/>
      </c>
      <c r="Y318">
        <f>HYPERLINK("https://klasma.github.io/Logging_0883/tillsynsmail/A 61806-2023 tillsynsbegäran mail.docx", "A 61806-2023")</f>
        <v/>
      </c>
    </row>
    <row r="319" ht="15" customHeight="1">
      <c r="A319" t="inlineStr">
        <is>
          <t>A 1176-2024</t>
        </is>
      </c>
      <c r="B319" s="1" t="n">
        <v>45302</v>
      </c>
      <c r="C319" s="1" t="n">
        <v>45842</v>
      </c>
      <c r="D319" t="inlineStr">
        <is>
          <t>KALMAR LÄN</t>
        </is>
      </c>
      <c r="E319" t="inlineStr">
        <is>
          <t>VÄSTERVIK</t>
        </is>
      </c>
      <c r="G319" t="n">
        <v>2.5</v>
      </c>
      <c r="H319" t="n">
        <v>0</v>
      </c>
      <c r="I319" t="n">
        <v>0</v>
      </c>
      <c r="J319" t="n">
        <v>1</v>
      </c>
      <c r="K319" t="n">
        <v>0</v>
      </c>
      <c r="L319" t="n">
        <v>0</v>
      </c>
      <c r="M319" t="n">
        <v>0</v>
      </c>
      <c r="N319" t="n">
        <v>0</v>
      </c>
      <c r="O319" t="n">
        <v>1</v>
      </c>
      <c r="P319" t="n">
        <v>0</v>
      </c>
      <c r="Q319" t="n">
        <v>1</v>
      </c>
      <c r="R319" s="2" t="inlineStr">
        <is>
          <t>Tallticka</t>
        </is>
      </c>
      <c r="S319">
        <f>HYPERLINK("https://klasma.github.io/Logging_0883/artfynd/A 1176-2024 artfynd.xlsx", "A 1176-2024")</f>
        <v/>
      </c>
      <c r="T319">
        <f>HYPERLINK("https://klasma.github.io/Logging_0883/kartor/A 1176-2024 karta.png", "A 1176-2024")</f>
        <v/>
      </c>
      <c r="V319">
        <f>HYPERLINK("https://klasma.github.io/Logging_0883/klagomål/A 1176-2024 FSC-klagomål.docx", "A 1176-2024")</f>
        <v/>
      </c>
      <c r="W319">
        <f>HYPERLINK("https://klasma.github.io/Logging_0883/klagomålsmail/A 1176-2024 FSC-klagomål mail.docx", "A 1176-2024")</f>
        <v/>
      </c>
      <c r="X319">
        <f>HYPERLINK("https://klasma.github.io/Logging_0883/tillsyn/A 1176-2024 tillsynsbegäran.docx", "A 1176-2024")</f>
        <v/>
      </c>
      <c r="Y319">
        <f>HYPERLINK("https://klasma.github.io/Logging_0883/tillsynsmail/A 1176-2024 tillsynsbegäran mail.docx", "A 1176-2024")</f>
        <v/>
      </c>
    </row>
    <row r="320" ht="15" customHeight="1">
      <c r="A320" t="inlineStr">
        <is>
          <t>A 2804-2024</t>
        </is>
      </c>
      <c r="B320" s="1" t="n">
        <v>45314</v>
      </c>
      <c r="C320" s="1" t="n">
        <v>45842</v>
      </c>
      <c r="D320" t="inlineStr">
        <is>
          <t>KALMAR LÄN</t>
        </is>
      </c>
      <c r="E320" t="inlineStr">
        <is>
          <t>VÄSTERVIK</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HYPERLINK("https://klasma.github.io/Logging_0883/artfynd/A 2804-2024 artfynd.xlsx", "A 2804-2024")</f>
        <v/>
      </c>
      <c r="T320">
        <f>HYPERLINK("https://klasma.github.io/Logging_0883/kartor/A 2804-2024 karta.png", "A 2804-2024")</f>
        <v/>
      </c>
      <c r="U320">
        <f>HYPERLINK("https://klasma.github.io/Logging_0883/knärot/A 2804-2024 karta knärot.png", "A 2804-2024")</f>
        <v/>
      </c>
      <c r="V320">
        <f>HYPERLINK("https://klasma.github.io/Logging_0883/klagomål/A 2804-2024 FSC-klagomål.docx", "A 2804-2024")</f>
        <v/>
      </c>
      <c r="W320">
        <f>HYPERLINK("https://klasma.github.io/Logging_0883/klagomålsmail/A 2804-2024 FSC-klagomål mail.docx", "A 2804-2024")</f>
        <v/>
      </c>
      <c r="X320">
        <f>HYPERLINK("https://klasma.github.io/Logging_0883/tillsyn/A 2804-2024 tillsynsbegäran.docx", "A 2804-2024")</f>
        <v/>
      </c>
      <c r="Y320">
        <f>HYPERLINK("https://klasma.github.io/Logging_0883/tillsynsmail/A 2804-2024 tillsynsbegäran mail.docx", "A 2804-2024")</f>
        <v/>
      </c>
    </row>
    <row r="321" ht="15" customHeight="1">
      <c r="A321" t="inlineStr">
        <is>
          <t>A 6025-2024</t>
        </is>
      </c>
      <c r="B321" s="1" t="n">
        <v>45336</v>
      </c>
      <c r="C321" s="1" t="n">
        <v>45842</v>
      </c>
      <c r="D321" t="inlineStr">
        <is>
          <t>KALMAR LÄN</t>
        </is>
      </c>
      <c r="E321" t="inlineStr">
        <is>
          <t>VÄSTERVIK</t>
        </is>
      </c>
      <c r="G321" t="n">
        <v>2.8</v>
      </c>
      <c r="H321" t="n">
        <v>0</v>
      </c>
      <c r="I321" t="n">
        <v>0</v>
      </c>
      <c r="J321" t="n">
        <v>1</v>
      </c>
      <c r="K321" t="n">
        <v>0</v>
      </c>
      <c r="L321" t="n">
        <v>0</v>
      </c>
      <c r="M321" t="n">
        <v>0</v>
      </c>
      <c r="N321" t="n">
        <v>0</v>
      </c>
      <c r="O321" t="n">
        <v>1</v>
      </c>
      <c r="P321" t="n">
        <v>0</v>
      </c>
      <c r="Q321" t="n">
        <v>1</v>
      </c>
      <c r="R321" s="2" t="inlineStr">
        <is>
          <t>Tallticka</t>
        </is>
      </c>
      <c r="S321">
        <f>HYPERLINK("https://klasma.github.io/Logging_0883/artfynd/A 6025-2024 artfynd.xlsx", "A 6025-2024")</f>
        <v/>
      </c>
      <c r="T321">
        <f>HYPERLINK("https://klasma.github.io/Logging_0883/kartor/A 6025-2024 karta.png", "A 6025-2024")</f>
        <v/>
      </c>
      <c r="V321">
        <f>HYPERLINK("https://klasma.github.io/Logging_0883/klagomål/A 6025-2024 FSC-klagomål.docx", "A 6025-2024")</f>
        <v/>
      </c>
      <c r="W321">
        <f>HYPERLINK("https://klasma.github.io/Logging_0883/klagomålsmail/A 6025-2024 FSC-klagomål mail.docx", "A 6025-2024")</f>
        <v/>
      </c>
      <c r="X321">
        <f>HYPERLINK("https://klasma.github.io/Logging_0883/tillsyn/A 6025-2024 tillsynsbegäran.docx", "A 6025-2024")</f>
        <v/>
      </c>
      <c r="Y321">
        <f>HYPERLINK("https://klasma.github.io/Logging_0883/tillsynsmail/A 6025-2024 tillsynsbegäran mail.docx", "A 6025-2024")</f>
        <v/>
      </c>
    </row>
    <row r="322" ht="15" customHeight="1">
      <c r="A322" t="inlineStr">
        <is>
          <t>A 11165-2024</t>
        </is>
      </c>
      <c r="B322" s="1" t="n">
        <v>45371</v>
      </c>
      <c r="C322" s="1" t="n">
        <v>45842</v>
      </c>
      <c r="D322" t="inlineStr">
        <is>
          <t>KALMAR LÄN</t>
        </is>
      </c>
      <c r="E322" t="inlineStr">
        <is>
          <t>VÄSTERVIK</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HYPERLINK("https://klasma.github.io/Logging_0883/artfynd/A 11165-2024 artfynd.xlsx", "A 11165-2024")</f>
        <v/>
      </c>
      <c r="T322">
        <f>HYPERLINK("https://klasma.github.io/Logging_0883/kartor/A 11165-2024 karta.png", "A 11165-2024")</f>
        <v/>
      </c>
      <c r="V322">
        <f>HYPERLINK("https://klasma.github.io/Logging_0883/klagomål/A 11165-2024 FSC-klagomål.docx", "A 11165-2024")</f>
        <v/>
      </c>
      <c r="W322">
        <f>HYPERLINK("https://klasma.github.io/Logging_0883/klagomålsmail/A 11165-2024 FSC-klagomål mail.docx", "A 11165-2024")</f>
        <v/>
      </c>
      <c r="X322">
        <f>HYPERLINK("https://klasma.github.io/Logging_0883/tillsyn/A 11165-2024 tillsynsbegäran.docx", "A 11165-2024")</f>
        <v/>
      </c>
      <c r="Y322">
        <f>HYPERLINK("https://klasma.github.io/Logging_0883/tillsynsmail/A 11165-2024 tillsynsbegäran mail.docx", "A 11165-2024")</f>
        <v/>
      </c>
      <c r="Z322">
        <f>HYPERLINK("https://klasma.github.io/Logging_0883/fåglar/A 11165-2024 prioriterade fågelarter.docx", "A 11165-2024")</f>
        <v/>
      </c>
    </row>
    <row r="323" ht="15" customHeight="1">
      <c r="A323" t="inlineStr">
        <is>
          <t>A 11195-2024</t>
        </is>
      </c>
      <c r="B323" s="1" t="n">
        <v>45371</v>
      </c>
      <c r="C323" s="1" t="n">
        <v>45842</v>
      </c>
      <c r="D323" t="inlineStr">
        <is>
          <t>KALMAR LÄN</t>
        </is>
      </c>
      <c r="E323" t="inlineStr">
        <is>
          <t>VÄSTERVIK</t>
        </is>
      </c>
      <c r="G323" t="n">
        <v>1.9</v>
      </c>
      <c r="H323" t="n">
        <v>1</v>
      </c>
      <c r="I323" t="n">
        <v>0</v>
      </c>
      <c r="J323" t="n">
        <v>0</v>
      </c>
      <c r="K323" t="n">
        <v>1</v>
      </c>
      <c r="L323" t="n">
        <v>0</v>
      </c>
      <c r="M323" t="n">
        <v>0</v>
      </c>
      <c r="N323" t="n">
        <v>0</v>
      </c>
      <c r="O323" t="n">
        <v>1</v>
      </c>
      <c r="P323" t="n">
        <v>1</v>
      </c>
      <c r="Q323" t="n">
        <v>1</v>
      </c>
      <c r="R323" s="2" t="inlineStr">
        <is>
          <t>Knärot</t>
        </is>
      </c>
      <c r="S323">
        <f>HYPERLINK("https://klasma.github.io/Logging_0883/artfynd/A 11195-2024 artfynd.xlsx", "A 11195-2024")</f>
        <v/>
      </c>
      <c r="T323">
        <f>HYPERLINK("https://klasma.github.io/Logging_0883/kartor/A 11195-2024 karta.png", "A 11195-2024")</f>
        <v/>
      </c>
      <c r="U323">
        <f>HYPERLINK("https://klasma.github.io/Logging_0883/knärot/A 11195-2024 karta knärot.png", "A 11195-2024")</f>
        <v/>
      </c>
      <c r="V323">
        <f>HYPERLINK("https://klasma.github.io/Logging_0883/klagomål/A 11195-2024 FSC-klagomål.docx", "A 11195-2024")</f>
        <v/>
      </c>
      <c r="W323">
        <f>HYPERLINK("https://klasma.github.io/Logging_0883/klagomålsmail/A 11195-2024 FSC-klagomål mail.docx", "A 11195-2024")</f>
        <v/>
      </c>
      <c r="X323">
        <f>HYPERLINK("https://klasma.github.io/Logging_0883/tillsyn/A 11195-2024 tillsynsbegäran.docx", "A 11195-2024")</f>
        <v/>
      </c>
      <c r="Y323">
        <f>HYPERLINK("https://klasma.github.io/Logging_0883/tillsynsmail/A 11195-2024 tillsynsbegäran mail.docx", "A 11195-2024")</f>
        <v/>
      </c>
    </row>
    <row r="324" ht="15" customHeight="1">
      <c r="A324" t="inlineStr">
        <is>
          <t>A 13745-2024</t>
        </is>
      </c>
      <c r="B324" s="1" t="n">
        <v>45390</v>
      </c>
      <c r="C324" s="1" t="n">
        <v>45842</v>
      </c>
      <c r="D324" t="inlineStr">
        <is>
          <t>KALMAR LÄN</t>
        </is>
      </c>
      <c r="E324" t="inlineStr">
        <is>
          <t>VÄSTERVIK</t>
        </is>
      </c>
      <c r="F324" t="inlineStr">
        <is>
          <t>Sveaskog</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HYPERLINK("https://klasma.github.io/Logging_0883/artfynd/A 13745-2024 artfynd.xlsx", "A 13745-2024")</f>
        <v/>
      </c>
      <c r="T324">
        <f>HYPERLINK("https://klasma.github.io/Logging_0883/kartor/A 13745-2024 karta.png", "A 13745-2024")</f>
        <v/>
      </c>
      <c r="U324">
        <f>HYPERLINK("https://klasma.github.io/Logging_0883/knärot/A 13745-2024 karta knärot.png", "A 13745-2024")</f>
        <v/>
      </c>
      <c r="V324">
        <f>HYPERLINK("https://klasma.github.io/Logging_0883/klagomål/A 13745-2024 FSC-klagomål.docx", "A 13745-2024")</f>
        <v/>
      </c>
      <c r="W324">
        <f>HYPERLINK("https://klasma.github.io/Logging_0883/klagomålsmail/A 13745-2024 FSC-klagomål mail.docx", "A 13745-2024")</f>
        <v/>
      </c>
      <c r="X324">
        <f>HYPERLINK("https://klasma.github.io/Logging_0883/tillsyn/A 13745-2024 tillsynsbegäran.docx", "A 13745-2024")</f>
        <v/>
      </c>
      <c r="Y324">
        <f>HYPERLINK("https://klasma.github.io/Logging_0883/tillsynsmail/A 13745-2024 tillsynsbegäran mail.docx", "A 13745-2024")</f>
        <v/>
      </c>
      <c r="Z324">
        <f>HYPERLINK("https://klasma.github.io/Logging_0883/fåglar/A 13745-2024 prioriterade fågelarter.docx", "A 13745-2024")</f>
        <v/>
      </c>
    </row>
    <row r="325" ht="15" customHeight="1">
      <c r="A325" t="inlineStr">
        <is>
          <t>A 14231-2024</t>
        </is>
      </c>
      <c r="B325" s="1" t="n">
        <v>45393</v>
      </c>
      <c r="C325" s="1" t="n">
        <v>45842</v>
      </c>
      <c r="D325" t="inlineStr">
        <is>
          <t>KALMAR LÄN</t>
        </is>
      </c>
      <c r="E325" t="inlineStr">
        <is>
          <t>VÄSTERVIK</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14231-2024 artfynd.xlsx", "A 14231-2024")</f>
        <v/>
      </c>
      <c r="T325">
        <f>HYPERLINK("https://klasma.github.io/Logging_0883/kartor/A 14231-2024 karta.png", "A 14231-2024")</f>
        <v/>
      </c>
      <c r="U325">
        <f>HYPERLINK("https://klasma.github.io/Logging_0883/knärot/A 14231-2024 karta knärot.png", "A 14231-2024")</f>
        <v/>
      </c>
      <c r="V325">
        <f>HYPERLINK("https://klasma.github.io/Logging_0883/klagomål/A 14231-2024 FSC-klagomål.docx", "A 14231-2024")</f>
        <v/>
      </c>
      <c r="W325">
        <f>HYPERLINK("https://klasma.github.io/Logging_0883/klagomålsmail/A 14231-2024 FSC-klagomål mail.docx", "A 14231-2024")</f>
        <v/>
      </c>
      <c r="X325">
        <f>HYPERLINK("https://klasma.github.io/Logging_0883/tillsyn/A 14231-2024 tillsynsbegäran.docx", "A 14231-2024")</f>
        <v/>
      </c>
      <c r="Y325">
        <f>HYPERLINK("https://klasma.github.io/Logging_0883/tillsynsmail/A 14231-2024 tillsynsbegäran mail.docx", "A 14231-2024")</f>
        <v/>
      </c>
    </row>
    <row r="326" ht="15" customHeight="1">
      <c r="A326" t="inlineStr">
        <is>
          <t>A 16406-2024</t>
        </is>
      </c>
      <c r="B326" s="1" t="n">
        <v>45407</v>
      </c>
      <c r="C326" s="1" t="n">
        <v>45842</v>
      </c>
      <c r="D326" t="inlineStr">
        <is>
          <t>KALMAR LÄN</t>
        </is>
      </c>
      <c r="E326" t="inlineStr">
        <is>
          <t>VÄSTERVIK</t>
        </is>
      </c>
      <c r="F326" t="inlineStr">
        <is>
          <t>Holmen skog AB</t>
        </is>
      </c>
      <c r="G326" t="n">
        <v>4.9</v>
      </c>
      <c r="H326" t="n">
        <v>0</v>
      </c>
      <c r="I326" t="n">
        <v>1</v>
      </c>
      <c r="J326" t="n">
        <v>0</v>
      </c>
      <c r="K326" t="n">
        <v>0</v>
      </c>
      <c r="L326" t="n">
        <v>0</v>
      </c>
      <c r="M326" t="n">
        <v>0</v>
      </c>
      <c r="N326" t="n">
        <v>0</v>
      </c>
      <c r="O326" t="n">
        <v>0</v>
      </c>
      <c r="P326" t="n">
        <v>0</v>
      </c>
      <c r="Q326" t="n">
        <v>1</v>
      </c>
      <c r="R326" s="2" t="inlineStr">
        <is>
          <t>Tibast</t>
        </is>
      </c>
      <c r="S326">
        <f>HYPERLINK("https://klasma.github.io/Logging_0883/artfynd/A 16406-2024 artfynd.xlsx", "A 16406-2024")</f>
        <v/>
      </c>
      <c r="T326">
        <f>HYPERLINK("https://klasma.github.io/Logging_0883/kartor/A 16406-2024 karta.png", "A 16406-2024")</f>
        <v/>
      </c>
      <c r="V326">
        <f>HYPERLINK("https://klasma.github.io/Logging_0883/klagomål/A 16406-2024 FSC-klagomål.docx", "A 16406-2024")</f>
        <v/>
      </c>
      <c r="W326">
        <f>HYPERLINK("https://klasma.github.io/Logging_0883/klagomålsmail/A 16406-2024 FSC-klagomål mail.docx", "A 16406-2024")</f>
        <v/>
      </c>
      <c r="X326">
        <f>HYPERLINK("https://klasma.github.io/Logging_0883/tillsyn/A 16406-2024 tillsynsbegäran.docx", "A 16406-2024")</f>
        <v/>
      </c>
      <c r="Y326">
        <f>HYPERLINK("https://klasma.github.io/Logging_0883/tillsynsmail/A 16406-2024 tillsynsbegäran mail.docx", "A 16406-2024")</f>
        <v/>
      </c>
    </row>
    <row r="327" ht="15" customHeight="1">
      <c r="A327" t="inlineStr">
        <is>
          <t>A 17424-2024</t>
        </is>
      </c>
      <c r="B327" s="1" t="n">
        <v>45415</v>
      </c>
      <c r="C327" s="1" t="n">
        <v>45842</v>
      </c>
      <c r="D327" t="inlineStr">
        <is>
          <t>KALMAR LÄN</t>
        </is>
      </c>
      <c r="E327" t="inlineStr">
        <is>
          <t>VÄSTERVIK</t>
        </is>
      </c>
      <c r="F327" t="inlineStr">
        <is>
          <t>Sveaskog</t>
        </is>
      </c>
      <c r="G327" t="n">
        <v>5</v>
      </c>
      <c r="H327" t="n">
        <v>1</v>
      </c>
      <c r="I327" t="n">
        <v>0</v>
      </c>
      <c r="J327" t="n">
        <v>0</v>
      </c>
      <c r="K327" t="n">
        <v>0</v>
      </c>
      <c r="L327" t="n">
        <v>0</v>
      </c>
      <c r="M327" t="n">
        <v>0</v>
      </c>
      <c r="N327" t="n">
        <v>0</v>
      </c>
      <c r="O327" t="n">
        <v>0</v>
      </c>
      <c r="P327" t="n">
        <v>0</v>
      </c>
      <c r="Q327" t="n">
        <v>1</v>
      </c>
      <c r="R327" s="2" t="inlineStr">
        <is>
          <t>Blåsippa</t>
        </is>
      </c>
      <c r="S327">
        <f>HYPERLINK("https://klasma.github.io/Logging_0883/artfynd/A 17424-2024 artfynd.xlsx", "A 17424-2024")</f>
        <v/>
      </c>
      <c r="T327">
        <f>HYPERLINK("https://klasma.github.io/Logging_0883/kartor/A 17424-2024 karta.png", "A 17424-2024")</f>
        <v/>
      </c>
      <c r="V327">
        <f>HYPERLINK("https://klasma.github.io/Logging_0883/klagomål/A 17424-2024 FSC-klagomål.docx", "A 17424-2024")</f>
        <v/>
      </c>
      <c r="W327">
        <f>HYPERLINK("https://klasma.github.io/Logging_0883/klagomålsmail/A 17424-2024 FSC-klagomål mail.docx", "A 17424-2024")</f>
        <v/>
      </c>
      <c r="X327">
        <f>HYPERLINK("https://klasma.github.io/Logging_0883/tillsyn/A 17424-2024 tillsynsbegäran.docx", "A 17424-2024")</f>
        <v/>
      </c>
      <c r="Y327">
        <f>HYPERLINK("https://klasma.github.io/Logging_0883/tillsynsmail/A 17424-2024 tillsynsbegäran mail.docx", "A 17424-2024")</f>
        <v/>
      </c>
    </row>
    <row r="328" ht="15" customHeight="1">
      <c r="A328" t="inlineStr">
        <is>
          <t>A 18396-2024</t>
        </is>
      </c>
      <c r="B328" s="1" t="n">
        <v>45425</v>
      </c>
      <c r="C328" s="1" t="n">
        <v>45842</v>
      </c>
      <c r="D328" t="inlineStr">
        <is>
          <t>KALMAR LÄN</t>
        </is>
      </c>
      <c r="E328" t="inlineStr">
        <is>
          <t>VÄSTERVIK</t>
        </is>
      </c>
      <c r="F328" t="inlineStr">
        <is>
          <t>Holmen skog AB</t>
        </is>
      </c>
      <c r="G328" t="n">
        <v>3.5</v>
      </c>
      <c r="H328" t="n">
        <v>0</v>
      </c>
      <c r="I328" t="n">
        <v>1</v>
      </c>
      <c r="J328" t="n">
        <v>0</v>
      </c>
      <c r="K328" t="n">
        <v>0</v>
      </c>
      <c r="L328" t="n">
        <v>0</v>
      </c>
      <c r="M328" t="n">
        <v>0</v>
      </c>
      <c r="N328" t="n">
        <v>0</v>
      </c>
      <c r="O328" t="n">
        <v>0</v>
      </c>
      <c r="P328" t="n">
        <v>0</v>
      </c>
      <c r="Q328" t="n">
        <v>1</v>
      </c>
      <c r="R328" s="2" t="inlineStr">
        <is>
          <t>Blåmossa</t>
        </is>
      </c>
      <c r="S328">
        <f>HYPERLINK("https://klasma.github.io/Logging_0883/artfynd/A 18396-2024 artfynd.xlsx", "A 18396-2024")</f>
        <v/>
      </c>
      <c r="T328">
        <f>HYPERLINK("https://klasma.github.io/Logging_0883/kartor/A 18396-2024 karta.png", "A 18396-2024")</f>
        <v/>
      </c>
      <c r="V328">
        <f>HYPERLINK("https://klasma.github.io/Logging_0883/klagomål/A 18396-2024 FSC-klagomål.docx", "A 18396-2024")</f>
        <v/>
      </c>
      <c r="W328">
        <f>HYPERLINK("https://klasma.github.io/Logging_0883/klagomålsmail/A 18396-2024 FSC-klagomål mail.docx", "A 18396-2024")</f>
        <v/>
      </c>
      <c r="X328">
        <f>HYPERLINK("https://klasma.github.io/Logging_0883/tillsyn/A 18396-2024 tillsynsbegäran.docx", "A 18396-2024")</f>
        <v/>
      </c>
      <c r="Y328">
        <f>HYPERLINK("https://klasma.github.io/Logging_0883/tillsynsmail/A 18396-2024 tillsynsbegäran mail.docx", "A 18396-2024")</f>
        <v/>
      </c>
    </row>
    <row r="329" ht="15" customHeight="1">
      <c r="A329" t="inlineStr">
        <is>
          <t>A 22885-2024</t>
        </is>
      </c>
      <c r="B329" s="1" t="n">
        <v>45448</v>
      </c>
      <c r="C329" s="1" t="n">
        <v>45842</v>
      </c>
      <c r="D329" t="inlineStr">
        <is>
          <t>KALMAR LÄN</t>
        </is>
      </c>
      <c r="E329" t="inlineStr">
        <is>
          <t>VÄSTERVIK</t>
        </is>
      </c>
      <c r="G329" t="n">
        <v>7.1</v>
      </c>
      <c r="H329" t="n">
        <v>0</v>
      </c>
      <c r="I329" t="n">
        <v>0</v>
      </c>
      <c r="J329" t="n">
        <v>1</v>
      </c>
      <c r="K329" t="n">
        <v>0</v>
      </c>
      <c r="L329" t="n">
        <v>0</v>
      </c>
      <c r="M329" t="n">
        <v>0</v>
      </c>
      <c r="N329" t="n">
        <v>0</v>
      </c>
      <c r="O329" t="n">
        <v>1</v>
      </c>
      <c r="P329" t="n">
        <v>0</v>
      </c>
      <c r="Q329" t="n">
        <v>1</v>
      </c>
      <c r="R329" s="2" t="inlineStr">
        <is>
          <t>Tallticka</t>
        </is>
      </c>
      <c r="S329">
        <f>HYPERLINK("https://klasma.github.io/Logging_0883/artfynd/A 22885-2024 artfynd.xlsx", "A 22885-2024")</f>
        <v/>
      </c>
      <c r="T329">
        <f>HYPERLINK("https://klasma.github.io/Logging_0883/kartor/A 22885-2024 karta.png", "A 22885-2024")</f>
        <v/>
      </c>
      <c r="V329">
        <f>HYPERLINK("https://klasma.github.io/Logging_0883/klagomål/A 22885-2024 FSC-klagomål.docx", "A 22885-2024")</f>
        <v/>
      </c>
      <c r="W329">
        <f>HYPERLINK("https://klasma.github.io/Logging_0883/klagomålsmail/A 22885-2024 FSC-klagomål mail.docx", "A 22885-2024")</f>
        <v/>
      </c>
      <c r="X329">
        <f>HYPERLINK("https://klasma.github.io/Logging_0883/tillsyn/A 22885-2024 tillsynsbegäran.docx", "A 22885-2024")</f>
        <v/>
      </c>
      <c r="Y329">
        <f>HYPERLINK("https://klasma.github.io/Logging_0883/tillsynsmail/A 22885-2024 tillsynsbegäran mail.docx", "A 22885-2024")</f>
        <v/>
      </c>
    </row>
    <row r="330" ht="15" customHeight="1">
      <c r="A330" t="inlineStr">
        <is>
          <t>A 27708-2024</t>
        </is>
      </c>
      <c r="B330" s="1" t="n">
        <v>45475</v>
      </c>
      <c r="C330" s="1" t="n">
        <v>45842</v>
      </c>
      <c r="D330" t="inlineStr">
        <is>
          <t>KALMAR LÄN</t>
        </is>
      </c>
      <c r="E330" t="inlineStr">
        <is>
          <t>VÄSTERVIK</t>
        </is>
      </c>
      <c r="F330" t="inlineStr">
        <is>
          <t>Holmen skog AB</t>
        </is>
      </c>
      <c r="G330" t="n">
        <v>1.7</v>
      </c>
      <c r="H330" t="n">
        <v>1</v>
      </c>
      <c r="I330" t="n">
        <v>0</v>
      </c>
      <c r="J330" t="n">
        <v>1</v>
      </c>
      <c r="K330" t="n">
        <v>0</v>
      </c>
      <c r="L330" t="n">
        <v>0</v>
      </c>
      <c r="M330" t="n">
        <v>0</v>
      </c>
      <c r="N330" t="n">
        <v>0</v>
      </c>
      <c r="O330" t="n">
        <v>1</v>
      </c>
      <c r="P330" t="n">
        <v>0</v>
      </c>
      <c r="Q330" t="n">
        <v>1</v>
      </c>
      <c r="R330" s="2" t="inlineStr">
        <is>
          <t>Spillkråka</t>
        </is>
      </c>
      <c r="S330">
        <f>HYPERLINK("https://klasma.github.io/Logging_0883/artfynd/A 27708-2024 artfynd.xlsx", "A 27708-2024")</f>
        <v/>
      </c>
      <c r="T330">
        <f>HYPERLINK("https://klasma.github.io/Logging_0883/kartor/A 27708-2024 karta.png", "A 27708-2024")</f>
        <v/>
      </c>
      <c r="V330">
        <f>HYPERLINK("https://klasma.github.io/Logging_0883/klagomål/A 27708-2024 FSC-klagomål.docx", "A 27708-2024")</f>
        <v/>
      </c>
      <c r="W330">
        <f>HYPERLINK("https://klasma.github.io/Logging_0883/klagomålsmail/A 27708-2024 FSC-klagomål mail.docx", "A 27708-2024")</f>
        <v/>
      </c>
      <c r="X330">
        <f>HYPERLINK("https://klasma.github.io/Logging_0883/tillsyn/A 27708-2024 tillsynsbegäran.docx", "A 27708-2024")</f>
        <v/>
      </c>
      <c r="Y330">
        <f>HYPERLINK("https://klasma.github.io/Logging_0883/tillsynsmail/A 27708-2024 tillsynsbegäran mail.docx", "A 27708-2024")</f>
        <v/>
      </c>
      <c r="Z330">
        <f>HYPERLINK("https://klasma.github.io/Logging_0883/fåglar/A 27708-2024 prioriterade fågelarter.docx", "A 27708-2024")</f>
        <v/>
      </c>
    </row>
    <row r="331" ht="15" customHeight="1">
      <c r="A331" t="inlineStr">
        <is>
          <t>A 29398-2024</t>
        </is>
      </c>
      <c r="B331" s="1" t="n">
        <v>45483</v>
      </c>
      <c r="C331" s="1" t="n">
        <v>45842</v>
      </c>
      <c r="D331" t="inlineStr">
        <is>
          <t>KALMAR LÄN</t>
        </is>
      </c>
      <c r="E331" t="inlineStr">
        <is>
          <t>VÄSTERVIK</t>
        </is>
      </c>
      <c r="G331" t="n">
        <v>2.7</v>
      </c>
      <c r="H331" t="n">
        <v>0</v>
      </c>
      <c r="I331" t="n">
        <v>0</v>
      </c>
      <c r="J331" t="n">
        <v>1</v>
      </c>
      <c r="K331" t="n">
        <v>0</v>
      </c>
      <c r="L331" t="n">
        <v>0</v>
      </c>
      <c r="M331" t="n">
        <v>0</v>
      </c>
      <c r="N331" t="n">
        <v>0</v>
      </c>
      <c r="O331" t="n">
        <v>1</v>
      </c>
      <c r="P331" t="n">
        <v>0</v>
      </c>
      <c r="Q331" t="n">
        <v>1</v>
      </c>
      <c r="R331" s="2" t="inlineStr">
        <is>
          <t>Skogsklocka</t>
        </is>
      </c>
      <c r="S331">
        <f>HYPERLINK("https://klasma.github.io/Logging_0883/artfynd/A 29398-2024 artfynd.xlsx", "A 29398-2024")</f>
        <v/>
      </c>
      <c r="T331">
        <f>HYPERLINK("https://klasma.github.io/Logging_0883/kartor/A 29398-2024 karta.png", "A 29398-2024")</f>
        <v/>
      </c>
      <c r="V331">
        <f>HYPERLINK("https://klasma.github.io/Logging_0883/klagomål/A 29398-2024 FSC-klagomål.docx", "A 29398-2024")</f>
        <v/>
      </c>
      <c r="W331">
        <f>HYPERLINK("https://klasma.github.io/Logging_0883/klagomålsmail/A 29398-2024 FSC-klagomål mail.docx", "A 29398-2024")</f>
        <v/>
      </c>
      <c r="X331">
        <f>HYPERLINK("https://klasma.github.io/Logging_0883/tillsyn/A 29398-2024 tillsynsbegäran.docx", "A 29398-2024")</f>
        <v/>
      </c>
      <c r="Y331">
        <f>HYPERLINK("https://klasma.github.io/Logging_0883/tillsynsmail/A 29398-2024 tillsynsbegäran mail.docx", "A 29398-2024")</f>
        <v/>
      </c>
    </row>
    <row r="332" ht="15" customHeight="1">
      <c r="A332" t="inlineStr">
        <is>
          <t>A 30386-2024</t>
        </is>
      </c>
      <c r="B332" s="1" t="n">
        <v>45491</v>
      </c>
      <c r="C332" s="1" t="n">
        <v>45842</v>
      </c>
      <c r="D332" t="inlineStr">
        <is>
          <t>KALMAR LÄN</t>
        </is>
      </c>
      <c r="E332" t="inlineStr">
        <is>
          <t>VÄSTERVIK</t>
        </is>
      </c>
      <c r="F332" t="inlineStr">
        <is>
          <t>Holmen skog AB</t>
        </is>
      </c>
      <c r="G332" t="n">
        <v>3.7</v>
      </c>
      <c r="H332" t="n">
        <v>0</v>
      </c>
      <c r="I332" t="n">
        <v>0</v>
      </c>
      <c r="J332" t="n">
        <v>1</v>
      </c>
      <c r="K332" t="n">
        <v>0</v>
      </c>
      <c r="L332" t="n">
        <v>0</v>
      </c>
      <c r="M332" t="n">
        <v>0</v>
      </c>
      <c r="N332" t="n">
        <v>0</v>
      </c>
      <c r="O332" t="n">
        <v>1</v>
      </c>
      <c r="P332" t="n">
        <v>0</v>
      </c>
      <c r="Q332" t="n">
        <v>1</v>
      </c>
      <c r="R332" s="2" t="inlineStr">
        <is>
          <t>Svedjenäva</t>
        </is>
      </c>
      <c r="S332">
        <f>HYPERLINK("https://klasma.github.io/Logging_0883/artfynd/A 30386-2024 artfynd.xlsx", "A 30386-2024")</f>
        <v/>
      </c>
      <c r="T332">
        <f>HYPERLINK("https://klasma.github.io/Logging_0883/kartor/A 30386-2024 karta.png", "A 30386-2024")</f>
        <v/>
      </c>
      <c r="V332">
        <f>HYPERLINK("https://klasma.github.io/Logging_0883/klagomål/A 30386-2024 FSC-klagomål.docx", "A 30386-2024")</f>
        <v/>
      </c>
      <c r="W332">
        <f>HYPERLINK("https://klasma.github.io/Logging_0883/klagomålsmail/A 30386-2024 FSC-klagomål mail.docx", "A 30386-2024")</f>
        <v/>
      </c>
      <c r="X332">
        <f>HYPERLINK("https://klasma.github.io/Logging_0883/tillsyn/A 30386-2024 tillsynsbegäran.docx", "A 30386-2024")</f>
        <v/>
      </c>
      <c r="Y332">
        <f>HYPERLINK("https://klasma.github.io/Logging_0883/tillsynsmail/A 30386-2024 tillsynsbegäran mail.docx", "A 30386-2024")</f>
        <v/>
      </c>
    </row>
    <row r="333" ht="15" customHeight="1">
      <c r="A333" t="inlineStr">
        <is>
          <t>A 34357-2024</t>
        </is>
      </c>
      <c r="B333" s="1" t="n">
        <v>45525</v>
      </c>
      <c r="C333" s="1" t="n">
        <v>45842</v>
      </c>
      <c r="D333" t="inlineStr">
        <is>
          <t>KALMAR LÄN</t>
        </is>
      </c>
      <c r="E333" t="inlineStr">
        <is>
          <t>VÄSTERVIK</t>
        </is>
      </c>
      <c r="F333" t="inlineStr">
        <is>
          <t>Övriga Aktiebolag</t>
        </is>
      </c>
      <c r="G333" t="n">
        <v>14</v>
      </c>
      <c r="H333" t="n">
        <v>1</v>
      </c>
      <c r="I333" t="n">
        <v>0</v>
      </c>
      <c r="J333" t="n">
        <v>1</v>
      </c>
      <c r="K333" t="n">
        <v>0</v>
      </c>
      <c r="L333" t="n">
        <v>0</v>
      </c>
      <c r="M333" t="n">
        <v>0</v>
      </c>
      <c r="N333" t="n">
        <v>0</v>
      </c>
      <c r="O333" t="n">
        <v>1</v>
      </c>
      <c r="P333" t="n">
        <v>0</v>
      </c>
      <c r="Q333" t="n">
        <v>1</v>
      </c>
      <c r="R333" s="2" t="inlineStr">
        <is>
          <t>Havsörn</t>
        </is>
      </c>
      <c r="S333">
        <f>HYPERLINK("https://klasma.github.io/Logging_0883/artfynd/A 34357-2024 artfynd.xlsx", "A 34357-2024")</f>
        <v/>
      </c>
      <c r="T333">
        <f>HYPERLINK("https://klasma.github.io/Logging_0883/kartor/A 34357-2024 karta.png", "A 34357-2024")</f>
        <v/>
      </c>
      <c r="V333">
        <f>HYPERLINK("https://klasma.github.io/Logging_0883/klagomål/A 34357-2024 FSC-klagomål.docx", "A 34357-2024")</f>
        <v/>
      </c>
      <c r="W333">
        <f>HYPERLINK("https://klasma.github.io/Logging_0883/klagomålsmail/A 34357-2024 FSC-klagomål mail.docx", "A 34357-2024")</f>
        <v/>
      </c>
      <c r="X333">
        <f>HYPERLINK("https://klasma.github.io/Logging_0883/tillsyn/A 34357-2024 tillsynsbegäran.docx", "A 34357-2024")</f>
        <v/>
      </c>
      <c r="Y333">
        <f>HYPERLINK("https://klasma.github.io/Logging_0883/tillsynsmail/A 34357-2024 tillsynsbegäran mail.docx", "A 34357-2024")</f>
        <v/>
      </c>
      <c r="Z333">
        <f>HYPERLINK("https://klasma.github.io/Logging_0883/fåglar/A 34357-2024 prioriterade fågelarter.docx", "A 34357-2024")</f>
        <v/>
      </c>
    </row>
    <row r="334" ht="15" customHeight="1">
      <c r="A334" t="inlineStr">
        <is>
          <t>A 35028-2024</t>
        </is>
      </c>
      <c r="B334" s="1" t="n">
        <v>45527</v>
      </c>
      <c r="C334" s="1" t="n">
        <v>45842</v>
      </c>
      <c r="D334" t="inlineStr">
        <is>
          <t>KALMAR LÄN</t>
        </is>
      </c>
      <c r="E334" t="inlineStr">
        <is>
          <t>VÄSTERVIK</t>
        </is>
      </c>
      <c r="G334" t="n">
        <v>1.3</v>
      </c>
      <c r="H334" t="n">
        <v>0</v>
      </c>
      <c r="I334" t="n">
        <v>1</v>
      </c>
      <c r="J334" t="n">
        <v>0</v>
      </c>
      <c r="K334" t="n">
        <v>0</v>
      </c>
      <c r="L334" t="n">
        <v>0</v>
      </c>
      <c r="M334" t="n">
        <v>0</v>
      </c>
      <c r="N334" t="n">
        <v>0</v>
      </c>
      <c r="O334" t="n">
        <v>0</v>
      </c>
      <c r="P334" t="n">
        <v>0</v>
      </c>
      <c r="Q334" t="n">
        <v>1</v>
      </c>
      <c r="R334" s="2" t="inlineStr">
        <is>
          <t>Blomkålssvamp</t>
        </is>
      </c>
      <c r="S334">
        <f>HYPERLINK("https://klasma.github.io/Logging_0883/artfynd/A 35028-2024 artfynd.xlsx", "A 35028-2024")</f>
        <v/>
      </c>
      <c r="T334">
        <f>HYPERLINK("https://klasma.github.io/Logging_0883/kartor/A 35028-2024 karta.png", "A 35028-2024")</f>
        <v/>
      </c>
      <c r="V334">
        <f>HYPERLINK("https://klasma.github.io/Logging_0883/klagomål/A 35028-2024 FSC-klagomål.docx", "A 35028-2024")</f>
        <v/>
      </c>
      <c r="W334">
        <f>HYPERLINK("https://klasma.github.io/Logging_0883/klagomålsmail/A 35028-2024 FSC-klagomål mail.docx", "A 35028-2024")</f>
        <v/>
      </c>
      <c r="X334">
        <f>HYPERLINK("https://klasma.github.io/Logging_0883/tillsyn/A 35028-2024 tillsynsbegäran.docx", "A 35028-2024")</f>
        <v/>
      </c>
      <c r="Y334">
        <f>HYPERLINK("https://klasma.github.io/Logging_0883/tillsynsmail/A 35028-2024 tillsynsbegäran mail.docx", "A 35028-2024")</f>
        <v/>
      </c>
    </row>
    <row r="335" ht="15" customHeight="1">
      <c r="A335" t="inlineStr">
        <is>
          <t>A 35959-2024</t>
        </is>
      </c>
      <c r="B335" s="1" t="n">
        <v>45533</v>
      </c>
      <c r="C335" s="1" t="n">
        <v>45842</v>
      </c>
      <c r="D335" t="inlineStr">
        <is>
          <t>KALMAR LÄN</t>
        </is>
      </c>
      <c r="E335" t="inlineStr">
        <is>
          <t>VÄSTERVIK</t>
        </is>
      </c>
      <c r="F335" t="inlineStr">
        <is>
          <t>Holmen skog AB</t>
        </is>
      </c>
      <c r="G335" t="n">
        <v>3.2</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HYPERLINK("https://klasma.github.io/Logging_0883/artfynd/A 35959-2024 artfynd.xlsx", "A 35959-2024")</f>
        <v/>
      </c>
      <c r="T335">
        <f>HYPERLINK("https://klasma.github.io/Logging_0883/kartor/A 35959-2024 karta.png", "A 35959-2024")</f>
        <v/>
      </c>
      <c r="V335">
        <f>HYPERLINK("https://klasma.github.io/Logging_0883/klagomål/A 35959-2024 FSC-klagomål.docx", "A 35959-2024")</f>
        <v/>
      </c>
      <c r="W335">
        <f>HYPERLINK("https://klasma.github.io/Logging_0883/klagomålsmail/A 35959-2024 FSC-klagomål mail.docx", "A 35959-2024")</f>
        <v/>
      </c>
      <c r="X335">
        <f>HYPERLINK("https://klasma.github.io/Logging_0883/tillsyn/A 35959-2024 tillsynsbegäran.docx", "A 35959-2024")</f>
        <v/>
      </c>
      <c r="Y335">
        <f>HYPERLINK("https://klasma.github.io/Logging_0883/tillsynsmail/A 35959-2024 tillsynsbegäran mail.docx", "A 35959-2024")</f>
        <v/>
      </c>
    </row>
    <row r="336" ht="15" customHeight="1">
      <c r="A336" t="inlineStr">
        <is>
          <t>A 42811-2024</t>
        </is>
      </c>
      <c r="B336" s="1" t="n">
        <v>45566</v>
      </c>
      <c r="C336" s="1" t="n">
        <v>45842</v>
      </c>
      <c r="D336" t="inlineStr">
        <is>
          <t>KALMAR LÄN</t>
        </is>
      </c>
      <c r="E336" t="inlineStr">
        <is>
          <t>VÄSTERVIK</t>
        </is>
      </c>
      <c r="G336" t="n">
        <v>4.4</v>
      </c>
      <c r="H336" t="n">
        <v>0</v>
      </c>
      <c r="I336" t="n">
        <v>1</v>
      </c>
      <c r="J336" t="n">
        <v>0</v>
      </c>
      <c r="K336" t="n">
        <v>0</v>
      </c>
      <c r="L336" t="n">
        <v>0</v>
      </c>
      <c r="M336" t="n">
        <v>0</v>
      </c>
      <c r="N336" t="n">
        <v>0</v>
      </c>
      <c r="O336" t="n">
        <v>0</v>
      </c>
      <c r="P336" t="n">
        <v>0</v>
      </c>
      <c r="Q336" t="n">
        <v>1</v>
      </c>
      <c r="R336" s="2" t="inlineStr">
        <is>
          <t>Grönpyrola</t>
        </is>
      </c>
      <c r="S336">
        <f>HYPERLINK("https://klasma.github.io/Logging_0883/artfynd/A 42811-2024 artfynd.xlsx", "A 42811-2024")</f>
        <v/>
      </c>
      <c r="T336">
        <f>HYPERLINK("https://klasma.github.io/Logging_0883/kartor/A 42811-2024 karta.png", "A 42811-2024")</f>
        <v/>
      </c>
      <c r="V336">
        <f>HYPERLINK("https://klasma.github.io/Logging_0883/klagomål/A 42811-2024 FSC-klagomål.docx", "A 42811-2024")</f>
        <v/>
      </c>
      <c r="W336">
        <f>HYPERLINK("https://klasma.github.io/Logging_0883/klagomålsmail/A 42811-2024 FSC-klagomål mail.docx", "A 42811-2024")</f>
        <v/>
      </c>
      <c r="X336">
        <f>HYPERLINK("https://klasma.github.io/Logging_0883/tillsyn/A 42811-2024 tillsynsbegäran.docx", "A 42811-2024")</f>
        <v/>
      </c>
      <c r="Y336">
        <f>HYPERLINK("https://klasma.github.io/Logging_0883/tillsynsmail/A 42811-2024 tillsynsbegäran mail.docx", "A 42811-2024")</f>
        <v/>
      </c>
    </row>
    <row r="337" ht="15" customHeight="1">
      <c r="A337" t="inlineStr">
        <is>
          <t>A 44333-2024</t>
        </is>
      </c>
      <c r="B337" s="1" t="n">
        <v>45573</v>
      </c>
      <c r="C337" s="1" t="n">
        <v>45842</v>
      </c>
      <c r="D337" t="inlineStr">
        <is>
          <t>KALMAR LÄN</t>
        </is>
      </c>
      <c r="E337" t="inlineStr">
        <is>
          <t>VÄSTERVIK</t>
        </is>
      </c>
      <c r="F337" t="inlineStr">
        <is>
          <t>Holmen skog AB</t>
        </is>
      </c>
      <c r="G337" t="n">
        <v>4.5</v>
      </c>
      <c r="H337" t="n">
        <v>1</v>
      </c>
      <c r="I337" t="n">
        <v>0</v>
      </c>
      <c r="J337" t="n">
        <v>1</v>
      </c>
      <c r="K337" t="n">
        <v>0</v>
      </c>
      <c r="L337" t="n">
        <v>0</v>
      </c>
      <c r="M337" t="n">
        <v>0</v>
      </c>
      <c r="N337" t="n">
        <v>0</v>
      </c>
      <c r="O337" t="n">
        <v>1</v>
      </c>
      <c r="P337" t="n">
        <v>0</v>
      </c>
      <c r="Q337" t="n">
        <v>1</v>
      </c>
      <c r="R337" s="2" t="inlineStr">
        <is>
          <t>Havsörn</t>
        </is>
      </c>
      <c r="S337">
        <f>HYPERLINK("https://klasma.github.io/Logging_0883/artfynd/A 44333-2024 artfynd.xlsx", "A 44333-2024")</f>
        <v/>
      </c>
      <c r="T337">
        <f>HYPERLINK("https://klasma.github.io/Logging_0883/kartor/A 44333-2024 karta.png", "A 44333-2024")</f>
        <v/>
      </c>
      <c r="V337">
        <f>HYPERLINK("https://klasma.github.io/Logging_0883/klagomål/A 44333-2024 FSC-klagomål.docx", "A 44333-2024")</f>
        <v/>
      </c>
      <c r="W337">
        <f>HYPERLINK("https://klasma.github.io/Logging_0883/klagomålsmail/A 44333-2024 FSC-klagomål mail.docx", "A 44333-2024")</f>
        <v/>
      </c>
      <c r="X337">
        <f>HYPERLINK("https://klasma.github.io/Logging_0883/tillsyn/A 44333-2024 tillsynsbegäran.docx", "A 44333-2024")</f>
        <v/>
      </c>
      <c r="Y337">
        <f>HYPERLINK("https://klasma.github.io/Logging_0883/tillsynsmail/A 44333-2024 tillsynsbegäran mail.docx", "A 44333-2024")</f>
        <v/>
      </c>
      <c r="Z337">
        <f>HYPERLINK("https://klasma.github.io/Logging_0883/fåglar/A 44333-2024 prioriterade fågelarter.docx", "A 44333-2024")</f>
        <v/>
      </c>
    </row>
    <row r="338" ht="15" customHeight="1">
      <c r="A338" t="inlineStr">
        <is>
          <t>A 45462-2024</t>
        </is>
      </c>
      <c r="B338" s="1" t="n">
        <v>45576</v>
      </c>
      <c r="C338" s="1" t="n">
        <v>45842</v>
      </c>
      <c r="D338" t="inlineStr">
        <is>
          <t>KALMAR LÄN</t>
        </is>
      </c>
      <c r="E338" t="inlineStr">
        <is>
          <t>VÄSTERVIK</t>
        </is>
      </c>
      <c r="G338" t="n">
        <v>3.5</v>
      </c>
      <c r="H338" t="n">
        <v>1</v>
      </c>
      <c r="I338" t="n">
        <v>0</v>
      </c>
      <c r="J338" t="n">
        <v>1</v>
      </c>
      <c r="K338" t="n">
        <v>0</v>
      </c>
      <c r="L338" t="n">
        <v>0</v>
      </c>
      <c r="M338" t="n">
        <v>0</v>
      </c>
      <c r="N338" t="n">
        <v>0</v>
      </c>
      <c r="O338" t="n">
        <v>1</v>
      </c>
      <c r="P338" t="n">
        <v>0</v>
      </c>
      <c r="Q338" t="n">
        <v>1</v>
      </c>
      <c r="R338" s="2" t="inlineStr">
        <is>
          <t>Järpe</t>
        </is>
      </c>
      <c r="S338">
        <f>HYPERLINK("https://klasma.github.io/Logging_0883/artfynd/A 45462-2024 artfynd.xlsx", "A 45462-2024")</f>
        <v/>
      </c>
      <c r="T338">
        <f>HYPERLINK("https://klasma.github.io/Logging_0883/kartor/A 45462-2024 karta.png", "A 45462-2024")</f>
        <v/>
      </c>
      <c r="V338">
        <f>HYPERLINK("https://klasma.github.io/Logging_0883/klagomål/A 45462-2024 FSC-klagomål.docx", "A 45462-2024")</f>
        <v/>
      </c>
      <c r="W338">
        <f>HYPERLINK("https://klasma.github.io/Logging_0883/klagomålsmail/A 45462-2024 FSC-klagomål mail.docx", "A 45462-2024")</f>
        <v/>
      </c>
      <c r="X338">
        <f>HYPERLINK("https://klasma.github.io/Logging_0883/tillsyn/A 45462-2024 tillsynsbegäran.docx", "A 45462-2024")</f>
        <v/>
      </c>
      <c r="Y338">
        <f>HYPERLINK("https://klasma.github.io/Logging_0883/tillsynsmail/A 45462-2024 tillsynsbegäran mail.docx", "A 45462-2024")</f>
        <v/>
      </c>
      <c r="Z338">
        <f>HYPERLINK("https://klasma.github.io/Logging_0883/fåglar/A 45462-2024 prioriterade fågelarter.docx", "A 45462-2024")</f>
        <v/>
      </c>
    </row>
    <row r="339" ht="15" customHeight="1">
      <c r="A339" t="inlineStr">
        <is>
          <t>A 45679-2024</t>
        </is>
      </c>
      <c r="B339" s="1" t="n">
        <v>45579</v>
      </c>
      <c r="C339" s="1" t="n">
        <v>45842</v>
      </c>
      <c r="D339" t="inlineStr">
        <is>
          <t>KALMAR LÄN</t>
        </is>
      </c>
      <c r="E339" t="inlineStr">
        <is>
          <t>VÄSTERVIK</t>
        </is>
      </c>
      <c r="F339" t="inlineStr">
        <is>
          <t>Kyrkan</t>
        </is>
      </c>
      <c r="G339" t="n">
        <v>2.8</v>
      </c>
      <c r="H339" t="n">
        <v>1</v>
      </c>
      <c r="I339" t="n">
        <v>0</v>
      </c>
      <c r="J339" t="n">
        <v>0</v>
      </c>
      <c r="K339" t="n">
        <v>1</v>
      </c>
      <c r="L339" t="n">
        <v>0</v>
      </c>
      <c r="M339" t="n">
        <v>0</v>
      </c>
      <c r="N339" t="n">
        <v>0</v>
      </c>
      <c r="O339" t="n">
        <v>1</v>
      </c>
      <c r="P339" t="n">
        <v>1</v>
      </c>
      <c r="Q339" t="n">
        <v>1</v>
      </c>
      <c r="R339" s="2" t="inlineStr">
        <is>
          <t>Knärot</t>
        </is>
      </c>
      <c r="S339">
        <f>HYPERLINK("https://klasma.github.io/Logging_0883/artfynd/A 45679-2024 artfynd.xlsx", "A 45679-2024")</f>
        <v/>
      </c>
      <c r="T339">
        <f>HYPERLINK("https://klasma.github.io/Logging_0883/kartor/A 45679-2024 karta.png", "A 45679-2024")</f>
        <v/>
      </c>
      <c r="U339">
        <f>HYPERLINK("https://klasma.github.io/Logging_0883/knärot/A 45679-2024 karta knärot.png", "A 45679-2024")</f>
        <v/>
      </c>
      <c r="V339">
        <f>HYPERLINK("https://klasma.github.io/Logging_0883/klagomål/A 45679-2024 FSC-klagomål.docx", "A 45679-2024")</f>
        <v/>
      </c>
      <c r="W339">
        <f>HYPERLINK("https://klasma.github.io/Logging_0883/klagomålsmail/A 45679-2024 FSC-klagomål mail.docx", "A 45679-2024")</f>
        <v/>
      </c>
      <c r="X339">
        <f>HYPERLINK("https://klasma.github.io/Logging_0883/tillsyn/A 45679-2024 tillsynsbegäran.docx", "A 45679-2024")</f>
        <v/>
      </c>
      <c r="Y339">
        <f>HYPERLINK("https://klasma.github.io/Logging_0883/tillsynsmail/A 45679-2024 tillsynsbegäran mail.docx", "A 45679-2024")</f>
        <v/>
      </c>
    </row>
    <row r="340" ht="15" customHeight="1">
      <c r="A340" t="inlineStr">
        <is>
          <t>A 51488-2024</t>
        </is>
      </c>
      <c r="B340" s="1" t="n">
        <v>45604</v>
      </c>
      <c r="C340" s="1" t="n">
        <v>45842</v>
      </c>
      <c r="D340" t="inlineStr">
        <is>
          <t>KALMAR LÄN</t>
        </is>
      </c>
      <c r="E340" t="inlineStr">
        <is>
          <t>VÄSTERVIK</t>
        </is>
      </c>
      <c r="F340" t="inlineStr">
        <is>
          <t>Övriga Aktiebolag</t>
        </is>
      </c>
      <c r="G340" t="n">
        <v>2.9</v>
      </c>
      <c r="H340" t="n">
        <v>1</v>
      </c>
      <c r="I340" t="n">
        <v>0</v>
      </c>
      <c r="J340" t="n">
        <v>1</v>
      </c>
      <c r="K340" t="n">
        <v>0</v>
      </c>
      <c r="L340" t="n">
        <v>0</v>
      </c>
      <c r="M340" t="n">
        <v>0</v>
      </c>
      <c r="N340" t="n">
        <v>0</v>
      </c>
      <c r="O340" t="n">
        <v>1</v>
      </c>
      <c r="P340" t="n">
        <v>0</v>
      </c>
      <c r="Q340" t="n">
        <v>1</v>
      </c>
      <c r="R340" s="2" t="inlineStr">
        <is>
          <t>Entita</t>
        </is>
      </c>
      <c r="S340">
        <f>HYPERLINK("https://klasma.github.io/Logging_0883/artfynd/A 51488-2024 artfynd.xlsx", "A 51488-2024")</f>
        <v/>
      </c>
      <c r="T340">
        <f>HYPERLINK("https://klasma.github.io/Logging_0883/kartor/A 51488-2024 karta.png", "A 51488-2024")</f>
        <v/>
      </c>
      <c r="V340">
        <f>HYPERLINK("https://klasma.github.io/Logging_0883/klagomål/A 51488-2024 FSC-klagomål.docx", "A 51488-2024")</f>
        <v/>
      </c>
      <c r="W340">
        <f>HYPERLINK("https://klasma.github.io/Logging_0883/klagomålsmail/A 51488-2024 FSC-klagomål mail.docx", "A 51488-2024")</f>
        <v/>
      </c>
      <c r="X340">
        <f>HYPERLINK("https://klasma.github.io/Logging_0883/tillsyn/A 51488-2024 tillsynsbegäran.docx", "A 51488-2024")</f>
        <v/>
      </c>
      <c r="Y340">
        <f>HYPERLINK("https://klasma.github.io/Logging_0883/tillsynsmail/A 51488-2024 tillsynsbegäran mail.docx", "A 51488-2024")</f>
        <v/>
      </c>
      <c r="Z340">
        <f>HYPERLINK("https://klasma.github.io/Logging_0883/fåglar/A 51488-2024 prioriterade fågelarter.docx", "A 51488-2024")</f>
        <v/>
      </c>
    </row>
    <row r="341" ht="15" customHeight="1">
      <c r="A341" t="inlineStr">
        <is>
          <t>A 51514-2024</t>
        </is>
      </c>
      <c r="B341" s="1" t="n">
        <v>45604</v>
      </c>
      <c r="C341" s="1" t="n">
        <v>45842</v>
      </c>
      <c r="D341" t="inlineStr">
        <is>
          <t>KALMAR LÄN</t>
        </is>
      </c>
      <c r="E341" t="inlineStr">
        <is>
          <t>VÄSTERVIK</t>
        </is>
      </c>
      <c r="F341" t="inlineStr">
        <is>
          <t>Övriga Aktiebolag</t>
        </is>
      </c>
      <c r="G341" t="n">
        <v>2.4</v>
      </c>
      <c r="H341" t="n">
        <v>1</v>
      </c>
      <c r="I341" t="n">
        <v>0</v>
      </c>
      <c r="J341" t="n">
        <v>1</v>
      </c>
      <c r="K341" t="n">
        <v>0</v>
      </c>
      <c r="L341" t="n">
        <v>0</v>
      </c>
      <c r="M341" t="n">
        <v>0</v>
      </c>
      <c r="N341" t="n">
        <v>0</v>
      </c>
      <c r="O341" t="n">
        <v>1</v>
      </c>
      <c r="P341" t="n">
        <v>0</v>
      </c>
      <c r="Q341" t="n">
        <v>1</v>
      </c>
      <c r="R341" s="2" t="inlineStr">
        <is>
          <t>Havsörn</t>
        </is>
      </c>
      <c r="S341">
        <f>HYPERLINK("https://klasma.github.io/Logging_0883/artfynd/A 51514-2024 artfynd.xlsx", "A 51514-2024")</f>
        <v/>
      </c>
      <c r="T341">
        <f>HYPERLINK("https://klasma.github.io/Logging_0883/kartor/A 51514-2024 karta.png", "A 51514-2024")</f>
        <v/>
      </c>
      <c r="V341">
        <f>HYPERLINK("https://klasma.github.io/Logging_0883/klagomål/A 51514-2024 FSC-klagomål.docx", "A 51514-2024")</f>
        <v/>
      </c>
      <c r="W341">
        <f>HYPERLINK("https://klasma.github.io/Logging_0883/klagomålsmail/A 51514-2024 FSC-klagomål mail.docx", "A 51514-2024")</f>
        <v/>
      </c>
      <c r="X341">
        <f>HYPERLINK("https://klasma.github.io/Logging_0883/tillsyn/A 51514-2024 tillsynsbegäran.docx", "A 51514-2024")</f>
        <v/>
      </c>
      <c r="Y341">
        <f>HYPERLINK("https://klasma.github.io/Logging_0883/tillsynsmail/A 51514-2024 tillsynsbegäran mail.docx", "A 51514-2024")</f>
        <v/>
      </c>
      <c r="Z341">
        <f>HYPERLINK("https://klasma.github.io/Logging_0883/fåglar/A 51514-2024 prioriterade fågelarter.docx", "A 51514-2024")</f>
        <v/>
      </c>
    </row>
    <row r="342" ht="15" customHeight="1">
      <c r="A342" t="inlineStr">
        <is>
          <t>A 53075-2024</t>
        </is>
      </c>
      <c r="B342" s="1" t="n">
        <v>45611</v>
      </c>
      <c r="C342" s="1" t="n">
        <v>45842</v>
      </c>
      <c r="D342" t="inlineStr">
        <is>
          <t>KALMAR LÄN</t>
        </is>
      </c>
      <c r="E342" t="inlineStr">
        <is>
          <t>VÄSTERVIK</t>
        </is>
      </c>
      <c r="F342" t="inlineStr">
        <is>
          <t>Holmen skog AB</t>
        </is>
      </c>
      <c r="G342" t="n">
        <v>8.5</v>
      </c>
      <c r="H342" t="n">
        <v>1</v>
      </c>
      <c r="I342" t="n">
        <v>0</v>
      </c>
      <c r="J342" t="n">
        <v>1</v>
      </c>
      <c r="K342" t="n">
        <v>0</v>
      </c>
      <c r="L342" t="n">
        <v>0</v>
      </c>
      <c r="M342" t="n">
        <v>0</v>
      </c>
      <c r="N342" t="n">
        <v>0</v>
      </c>
      <c r="O342" t="n">
        <v>1</v>
      </c>
      <c r="P342" t="n">
        <v>0</v>
      </c>
      <c r="Q342" t="n">
        <v>1</v>
      </c>
      <c r="R342" s="2" t="inlineStr">
        <is>
          <t>Talltita</t>
        </is>
      </c>
      <c r="S342">
        <f>HYPERLINK("https://klasma.github.io/Logging_0883/artfynd/A 53075-2024 artfynd.xlsx", "A 53075-2024")</f>
        <v/>
      </c>
      <c r="T342">
        <f>HYPERLINK("https://klasma.github.io/Logging_0883/kartor/A 53075-2024 karta.png", "A 53075-2024")</f>
        <v/>
      </c>
      <c r="V342">
        <f>HYPERLINK("https://klasma.github.io/Logging_0883/klagomål/A 53075-2024 FSC-klagomål.docx", "A 53075-2024")</f>
        <v/>
      </c>
      <c r="W342">
        <f>HYPERLINK("https://klasma.github.io/Logging_0883/klagomålsmail/A 53075-2024 FSC-klagomål mail.docx", "A 53075-2024")</f>
        <v/>
      </c>
      <c r="X342">
        <f>HYPERLINK("https://klasma.github.io/Logging_0883/tillsyn/A 53075-2024 tillsynsbegäran.docx", "A 53075-2024")</f>
        <v/>
      </c>
      <c r="Y342">
        <f>HYPERLINK("https://klasma.github.io/Logging_0883/tillsynsmail/A 53075-2024 tillsynsbegäran mail.docx", "A 53075-2024")</f>
        <v/>
      </c>
      <c r="Z342">
        <f>HYPERLINK("https://klasma.github.io/Logging_0883/fåglar/A 53075-2024 prioriterade fågelarter.docx", "A 53075-2024")</f>
        <v/>
      </c>
    </row>
    <row r="343" ht="15" customHeight="1">
      <c r="A343" t="inlineStr">
        <is>
          <t>A 55360-2024</t>
        </is>
      </c>
      <c r="B343" s="1" t="n">
        <v>45621</v>
      </c>
      <c r="C343" s="1" t="n">
        <v>45842</v>
      </c>
      <c r="D343" t="inlineStr">
        <is>
          <t>KALMAR LÄN</t>
        </is>
      </c>
      <c r="E343" t="inlineStr">
        <is>
          <t>VÄSTERVIK</t>
        </is>
      </c>
      <c r="F343" t="inlineStr">
        <is>
          <t>Sveaskog</t>
        </is>
      </c>
      <c r="G343" t="n">
        <v>11.1</v>
      </c>
      <c r="H343" t="n">
        <v>0</v>
      </c>
      <c r="I343" t="n">
        <v>0</v>
      </c>
      <c r="J343" t="n">
        <v>1</v>
      </c>
      <c r="K343" t="n">
        <v>0</v>
      </c>
      <c r="L343" t="n">
        <v>0</v>
      </c>
      <c r="M343" t="n">
        <v>0</v>
      </c>
      <c r="N343" t="n">
        <v>0</v>
      </c>
      <c r="O343" t="n">
        <v>1</v>
      </c>
      <c r="P343" t="n">
        <v>0</v>
      </c>
      <c r="Q343" t="n">
        <v>1</v>
      </c>
      <c r="R343" s="2" t="inlineStr">
        <is>
          <t>Vårstarr</t>
        </is>
      </c>
      <c r="S343">
        <f>HYPERLINK("https://klasma.github.io/Logging_0883/artfynd/A 55360-2024 artfynd.xlsx", "A 55360-2024")</f>
        <v/>
      </c>
      <c r="T343">
        <f>HYPERLINK("https://klasma.github.io/Logging_0883/kartor/A 55360-2024 karta.png", "A 55360-2024")</f>
        <v/>
      </c>
      <c r="V343">
        <f>HYPERLINK("https://klasma.github.io/Logging_0883/klagomål/A 55360-2024 FSC-klagomål.docx", "A 55360-2024")</f>
        <v/>
      </c>
      <c r="W343">
        <f>HYPERLINK("https://klasma.github.io/Logging_0883/klagomålsmail/A 55360-2024 FSC-klagomål mail.docx", "A 55360-2024")</f>
        <v/>
      </c>
      <c r="X343">
        <f>HYPERLINK("https://klasma.github.io/Logging_0883/tillsyn/A 55360-2024 tillsynsbegäran.docx", "A 55360-2024")</f>
        <v/>
      </c>
      <c r="Y343">
        <f>HYPERLINK("https://klasma.github.io/Logging_0883/tillsynsmail/A 55360-2024 tillsynsbegäran mail.docx", "A 55360-2024")</f>
        <v/>
      </c>
    </row>
    <row r="344" ht="15" customHeight="1">
      <c r="A344" t="inlineStr">
        <is>
          <t>A 55616-2024</t>
        </is>
      </c>
      <c r="B344" s="1" t="n">
        <v>45622</v>
      </c>
      <c r="C344" s="1" t="n">
        <v>45842</v>
      </c>
      <c r="D344" t="inlineStr">
        <is>
          <t>KALMAR LÄN</t>
        </is>
      </c>
      <c r="E344" t="inlineStr">
        <is>
          <t>VÄSTERVIK</t>
        </is>
      </c>
      <c r="G344" t="n">
        <v>0.5</v>
      </c>
      <c r="H344" t="n">
        <v>1</v>
      </c>
      <c r="I344" t="n">
        <v>0</v>
      </c>
      <c r="J344" t="n">
        <v>1</v>
      </c>
      <c r="K344" t="n">
        <v>0</v>
      </c>
      <c r="L344" t="n">
        <v>0</v>
      </c>
      <c r="M344" t="n">
        <v>0</v>
      </c>
      <c r="N344" t="n">
        <v>0</v>
      </c>
      <c r="O344" t="n">
        <v>1</v>
      </c>
      <c r="P344" t="n">
        <v>0</v>
      </c>
      <c r="Q344" t="n">
        <v>1</v>
      </c>
      <c r="R344" s="2" t="inlineStr">
        <is>
          <t>Entita</t>
        </is>
      </c>
      <c r="S344">
        <f>HYPERLINK("https://klasma.github.io/Logging_0883/artfynd/A 55616-2024 artfynd.xlsx", "A 55616-2024")</f>
        <v/>
      </c>
      <c r="T344">
        <f>HYPERLINK("https://klasma.github.io/Logging_0883/kartor/A 55616-2024 karta.png", "A 55616-2024")</f>
        <v/>
      </c>
      <c r="V344">
        <f>HYPERLINK("https://klasma.github.io/Logging_0883/klagomål/A 55616-2024 FSC-klagomål.docx", "A 55616-2024")</f>
        <v/>
      </c>
      <c r="W344">
        <f>HYPERLINK("https://klasma.github.io/Logging_0883/klagomålsmail/A 55616-2024 FSC-klagomål mail.docx", "A 55616-2024")</f>
        <v/>
      </c>
      <c r="X344">
        <f>HYPERLINK("https://klasma.github.io/Logging_0883/tillsyn/A 55616-2024 tillsynsbegäran.docx", "A 55616-2024")</f>
        <v/>
      </c>
      <c r="Y344">
        <f>HYPERLINK("https://klasma.github.io/Logging_0883/tillsynsmail/A 55616-2024 tillsynsbegäran mail.docx", "A 55616-2024")</f>
        <v/>
      </c>
      <c r="Z344">
        <f>HYPERLINK("https://klasma.github.io/Logging_0883/fåglar/A 55616-2024 prioriterade fågelarter.docx", "A 55616-2024")</f>
        <v/>
      </c>
    </row>
    <row r="345" ht="15" customHeight="1">
      <c r="A345" t="inlineStr">
        <is>
          <t>A 56439-2024</t>
        </is>
      </c>
      <c r="B345" s="1" t="n">
        <v>45625</v>
      </c>
      <c r="C345" s="1" t="n">
        <v>45842</v>
      </c>
      <c r="D345" t="inlineStr">
        <is>
          <t>KALMAR LÄN</t>
        </is>
      </c>
      <c r="E345" t="inlineStr">
        <is>
          <t>VÄSTERVIK</t>
        </is>
      </c>
      <c r="F345" t="inlineStr">
        <is>
          <t>Övriga Aktiebolag</t>
        </is>
      </c>
      <c r="G345" t="n">
        <v>3.3</v>
      </c>
      <c r="H345" t="n">
        <v>0</v>
      </c>
      <c r="I345" t="n">
        <v>1</v>
      </c>
      <c r="J345" t="n">
        <v>0</v>
      </c>
      <c r="K345" t="n">
        <v>0</v>
      </c>
      <c r="L345" t="n">
        <v>0</v>
      </c>
      <c r="M345" t="n">
        <v>0</v>
      </c>
      <c r="N345" t="n">
        <v>0</v>
      </c>
      <c r="O345" t="n">
        <v>0</v>
      </c>
      <c r="P345" t="n">
        <v>0</v>
      </c>
      <c r="Q345" t="n">
        <v>1</v>
      </c>
      <c r="R345" s="2" t="inlineStr">
        <is>
          <t>Hasselticka</t>
        </is>
      </c>
      <c r="S345">
        <f>HYPERLINK("https://klasma.github.io/Logging_0883/artfynd/A 56439-2024 artfynd.xlsx", "A 56439-2024")</f>
        <v/>
      </c>
      <c r="T345">
        <f>HYPERLINK("https://klasma.github.io/Logging_0883/kartor/A 56439-2024 karta.png", "A 56439-2024")</f>
        <v/>
      </c>
      <c r="V345">
        <f>HYPERLINK("https://klasma.github.io/Logging_0883/klagomål/A 56439-2024 FSC-klagomål.docx", "A 56439-2024")</f>
        <v/>
      </c>
      <c r="W345">
        <f>HYPERLINK("https://klasma.github.io/Logging_0883/klagomålsmail/A 56439-2024 FSC-klagomål mail.docx", "A 56439-2024")</f>
        <v/>
      </c>
      <c r="X345">
        <f>HYPERLINK("https://klasma.github.io/Logging_0883/tillsyn/A 56439-2024 tillsynsbegäran.docx", "A 56439-2024")</f>
        <v/>
      </c>
      <c r="Y345">
        <f>HYPERLINK("https://klasma.github.io/Logging_0883/tillsynsmail/A 56439-2024 tillsynsbegäran mail.docx", "A 56439-2024")</f>
        <v/>
      </c>
    </row>
    <row r="346" ht="15" customHeight="1">
      <c r="A346" t="inlineStr">
        <is>
          <t>A 59616-2024</t>
        </is>
      </c>
      <c r="B346" s="1" t="n">
        <v>45638</v>
      </c>
      <c r="C346" s="1" t="n">
        <v>45842</v>
      </c>
      <c r="D346" t="inlineStr">
        <is>
          <t>KALMAR LÄN</t>
        </is>
      </c>
      <c r="E346" t="inlineStr">
        <is>
          <t>VÄSTERVIK</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HYPERLINK("https://klasma.github.io/Logging_0883/artfynd/A 59616-2024 artfynd.xlsx", "A 59616-2024")</f>
        <v/>
      </c>
      <c r="T346">
        <f>HYPERLINK("https://klasma.github.io/Logging_0883/kartor/A 59616-2024 karta.png", "A 59616-2024")</f>
        <v/>
      </c>
      <c r="U346">
        <f>HYPERLINK("https://klasma.github.io/Logging_0883/knärot/A 59616-2024 karta knärot.png", "A 59616-2024")</f>
        <v/>
      </c>
      <c r="V346">
        <f>HYPERLINK("https://klasma.github.io/Logging_0883/klagomål/A 59616-2024 FSC-klagomål.docx", "A 59616-2024")</f>
        <v/>
      </c>
      <c r="W346">
        <f>HYPERLINK("https://klasma.github.io/Logging_0883/klagomålsmail/A 59616-2024 FSC-klagomål mail.docx", "A 59616-2024")</f>
        <v/>
      </c>
      <c r="X346">
        <f>HYPERLINK("https://klasma.github.io/Logging_0883/tillsyn/A 59616-2024 tillsynsbegäran.docx", "A 59616-2024")</f>
        <v/>
      </c>
      <c r="Y346">
        <f>HYPERLINK("https://klasma.github.io/Logging_0883/tillsynsmail/A 59616-2024 tillsynsbegäran mail.docx", "A 59616-2024")</f>
        <v/>
      </c>
    </row>
    <row r="347" ht="15" customHeight="1">
      <c r="A347" t="inlineStr">
        <is>
          <t>A 59351-2024</t>
        </is>
      </c>
      <c r="B347" s="1" t="n">
        <v>45638</v>
      </c>
      <c r="C347" s="1" t="n">
        <v>45842</v>
      </c>
      <c r="D347" t="inlineStr">
        <is>
          <t>KALMAR LÄN</t>
        </is>
      </c>
      <c r="E347" t="inlineStr">
        <is>
          <t>VÄSTERVIK</t>
        </is>
      </c>
      <c r="G347" t="n">
        <v>4</v>
      </c>
      <c r="H347" t="n">
        <v>0</v>
      </c>
      <c r="I347" t="n">
        <v>0</v>
      </c>
      <c r="J347" t="n">
        <v>1</v>
      </c>
      <c r="K347" t="n">
        <v>0</v>
      </c>
      <c r="L347" t="n">
        <v>0</v>
      </c>
      <c r="M347" t="n">
        <v>0</v>
      </c>
      <c r="N347" t="n">
        <v>0</v>
      </c>
      <c r="O347" t="n">
        <v>1</v>
      </c>
      <c r="P347" t="n">
        <v>0</v>
      </c>
      <c r="Q347" t="n">
        <v>1</v>
      </c>
      <c r="R347" s="2" t="inlineStr">
        <is>
          <t>Nubbfibbla</t>
        </is>
      </c>
      <c r="S347">
        <f>HYPERLINK("https://klasma.github.io/Logging_0883/artfynd/A 59351-2024 artfynd.xlsx", "A 59351-2024")</f>
        <v/>
      </c>
      <c r="T347">
        <f>HYPERLINK("https://klasma.github.io/Logging_0883/kartor/A 59351-2024 karta.png", "A 59351-2024")</f>
        <v/>
      </c>
      <c r="V347">
        <f>HYPERLINK("https://klasma.github.io/Logging_0883/klagomål/A 59351-2024 FSC-klagomål.docx", "A 59351-2024")</f>
        <v/>
      </c>
      <c r="W347">
        <f>HYPERLINK("https://klasma.github.io/Logging_0883/klagomålsmail/A 59351-2024 FSC-klagomål mail.docx", "A 59351-2024")</f>
        <v/>
      </c>
      <c r="X347">
        <f>HYPERLINK("https://klasma.github.io/Logging_0883/tillsyn/A 59351-2024 tillsynsbegäran.docx", "A 59351-2024")</f>
        <v/>
      </c>
      <c r="Y347">
        <f>HYPERLINK("https://klasma.github.io/Logging_0883/tillsynsmail/A 59351-2024 tillsynsbegäran mail.docx", "A 59351-2024")</f>
        <v/>
      </c>
    </row>
    <row r="348" ht="15" customHeight="1">
      <c r="A348" t="inlineStr">
        <is>
          <t>A 961-2025</t>
        </is>
      </c>
      <c r="B348" s="1" t="n">
        <v>45666</v>
      </c>
      <c r="C348" s="1" t="n">
        <v>45842</v>
      </c>
      <c r="D348" t="inlineStr">
        <is>
          <t>KALMAR LÄN</t>
        </is>
      </c>
      <c r="E348" t="inlineStr">
        <is>
          <t>VÄSTERVIK</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HYPERLINK("https://klasma.github.io/Logging_0883/artfynd/A 961-2025 artfynd.xlsx", "A 961-2025")</f>
        <v/>
      </c>
      <c r="T348">
        <f>HYPERLINK("https://klasma.github.io/Logging_0883/kartor/A 961-2025 karta.png", "A 961-2025")</f>
        <v/>
      </c>
      <c r="U348">
        <f>HYPERLINK("https://klasma.github.io/Logging_0883/knärot/A 961-2025 karta knärot.png", "A 961-2025")</f>
        <v/>
      </c>
      <c r="V348">
        <f>HYPERLINK("https://klasma.github.io/Logging_0883/klagomål/A 961-2025 FSC-klagomål.docx", "A 961-2025")</f>
        <v/>
      </c>
      <c r="W348">
        <f>HYPERLINK("https://klasma.github.io/Logging_0883/klagomålsmail/A 961-2025 FSC-klagomål mail.docx", "A 961-2025")</f>
        <v/>
      </c>
      <c r="X348">
        <f>HYPERLINK("https://klasma.github.io/Logging_0883/tillsyn/A 961-2025 tillsynsbegäran.docx", "A 961-2025")</f>
        <v/>
      </c>
      <c r="Y348">
        <f>HYPERLINK("https://klasma.github.io/Logging_0883/tillsynsmail/A 961-2025 tillsynsbegäran mail.docx", "A 961-2025")</f>
        <v/>
      </c>
    </row>
    <row r="349" ht="15" customHeight="1">
      <c r="A349" t="inlineStr">
        <is>
          <t>A 1775-2025</t>
        </is>
      </c>
      <c r="B349" s="1" t="n">
        <v>45671</v>
      </c>
      <c r="C349" s="1" t="n">
        <v>45842</v>
      </c>
      <c r="D349" t="inlineStr">
        <is>
          <t>KALMAR LÄN</t>
        </is>
      </c>
      <c r="E349" t="inlineStr">
        <is>
          <t>VÄSTERVIK</t>
        </is>
      </c>
      <c r="G349" t="n">
        <v>0.9</v>
      </c>
      <c r="H349" t="n">
        <v>1</v>
      </c>
      <c r="I349" t="n">
        <v>0</v>
      </c>
      <c r="J349" t="n">
        <v>0</v>
      </c>
      <c r="K349" t="n">
        <v>0</v>
      </c>
      <c r="L349" t="n">
        <v>0</v>
      </c>
      <c r="M349" t="n">
        <v>0</v>
      </c>
      <c r="N349" t="n">
        <v>0</v>
      </c>
      <c r="O349" t="n">
        <v>0</v>
      </c>
      <c r="P349" t="n">
        <v>0</v>
      </c>
      <c r="Q349" t="n">
        <v>1</v>
      </c>
      <c r="R349" s="2" t="inlineStr">
        <is>
          <t>Kungsfågel</t>
        </is>
      </c>
      <c r="S349">
        <f>HYPERLINK("https://klasma.github.io/Logging_0883/artfynd/A 1775-2025 artfynd.xlsx", "A 1775-2025")</f>
        <v/>
      </c>
      <c r="T349">
        <f>HYPERLINK("https://klasma.github.io/Logging_0883/kartor/A 1775-2025 karta.png", "A 1775-2025")</f>
        <v/>
      </c>
      <c r="V349">
        <f>HYPERLINK("https://klasma.github.io/Logging_0883/klagomål/A 1775-2025 FSC-klagomål.docx", "A 1775-2025")</f>
        <v/>
      </c>
      <c r="W349">
        <f>HYPERLINK("https://klasma.github.io/Logging_0883/klagomålsmail/A 1775-2025 FSC-klagomål mail.docx", "A 1775-2025")</f>
        <v/>
      </c>
      <c r="X349">
        <f>HYPERLINK("https://klasma.github.io/Logging_0883/tillsyn/A 1775-2025 tillsynsbegäran.docx", "A 1775-2025")</f>
        <v/>
      </c>
      <c r="Y349">
        <f>HYPERLINK("https://klasma.github.io/Logging_0883/tillsynsmail/A 1775-2025 tillsynsbegäran mail.docx", "A 1775-2025")</f>
        <v/>
      </c>
      <c r="Z349">
        <f>HYPERLINK("https://klasma.github.io/Logging_0883/fåglar/A 1775-2025 prioriterade fågelarter.docx", "A 1775-2025")</f>
        <v/>
      </c>
    </row>
    <row r="350" ht="15" customHeight="1">
      <c r="A350" t="inlineStr">
        <is>
          <t>A 2328-2025</t>
        </is>
      </c>
      <c r="B350" s="1" t="n">
        <v>45673</v>
      </c>
      <c r="C350" s="1" t="n">
        <v>45842</v>
      </c>
      <c r="D350" t="inlineStr">
        <is>
          <t>KALMAR LÄN</t>
        </is>
      </c>
      <c r="E350" t="inlineStr">
        <is>
          <t>VÄSTERVIK</t>
        </is>
      </c>
      <c r="F350" t="inlineStr">
        <is>
          <t>Sveaskog</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HYPERLINK("https://klasma.github.io/Logging_0883/artfynd/A 2328-2025 artfynd.xlsx", "A 2328-2025")</f>
        <v/>
      </c>
      <c r="T350">
        <f>HYPERLINK("https://klasma.github.io/Logging_0883/kartor/A 2328-2025 karta.png", "A 2328-2025")</f>
        <v/>
      </c>
      <c r="V350">
        <f>HYPERLINK("https://klasma.github.io/Logging_0883/klagomål/A 2328-2025 FSC-klagomål.docx", "A 2328-2025")</f>
        <v/>
      </c>
      <c r="W350">
        <f>HYPERLINK("https://klasma.github.io/Logging_0883/klagomålsmail/A 2328-2025 FSC-klagomål mail.docx", "A 2328-2025")</f>
        <v/>
      </c>
      <c r="X350">
        <f>HYPERLINK("https://klasma.github.io/Logging_0883/tillsyn/A 2328-2025 tillsynsbegäran.docx", "A 2328-2025")</f>
        <v/>
      </c>
      <c r="Y350">
        <f>HYPERLINK("https://klasma.github.io/Logging_0883/tillsynsmail/A 2328-2025 tillsynsbegäran mail.docx", "A 2328-2025")</f>
        <v/>
      </c>
    </row>
    <row r="351" ht="15" customHeight="1">
      <c r="A351" t="inlineStr">
        <is>
          <t>A 3112-2025</t>
        </is>
      </c>
      <c r="B351" s="1" t="n">
        <v>45678</v>
      </c>
      <c r="C351" s="1" t="n">
        <v>45842</v>
      </c>
      <c r="D351" t="inlineStr">
        <is>
          <t>KALMAR LÄN</t>
        </is>
      </c>
      <c r="E351" t="inlineStr">
        <is>
          <t>VÄSTERVIK</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HYPERLINK("https://klasma.github.io/Logging_0883/artfynd/A 3112-2025 artfynd.xlsx", "A 3112-2025")</f>
        <v/>
      </c>
      <c r="T351">
        <f>HYPERLINK("https://klasma.github.io/Logging_0883/kartor/A 3112-2025 karta.png", "A 3112-2025")</f>
        <v/>
      </c>
      <c r="V351">
        <f>HYPERLINK("https://klasma.github.io/Logging_0883/klagomål/A 3112-2025 FSC-klagomål.docx", "A 3112-2025")</f>
        <v/>
      </c>
      <c r="W351">
        <f>HYPERLINK("https://klasma.github.io/Logging_0883/klagomålsmail/A 3112-2025 FSC-klagomål mail.docx", "A 3112-2025")</f>
        <v/>
      </c>
      <c r="X351">
        <f>HYPERLINK("https://klasma.github.io/Logging_0883/tillsyn/A 3112-2025 tillsynsbegäran.docx", "A 3112-2025")</f>
        <v/>
      </c>
      <c r="Y351">
        <f>HYPERLINK("https://klasma.github.io/Logging_0883/tillsynsmail/A 3112-2025 tillsynsbegäran mail.docx", "A 3112-2025")</f>
        <v/>
      </c>
    </row>
    <row r="352" ht="15" customHeight="1">
      <c r="A352" t="inlineStr">
        <is>
          <t>A 3057-2025</t>
        </is>
      </c>
      <c r="B352" s="1" t="n">
        <v>45678</v>
      </c>
      <c r="C352" s="1" t="n">
        <v>45842</v>
      </c>
      <c r="D352" t="inlineStr">
        <is>
          <t>KALMAR LÄN</t>
        </is>
      </c>
      <c r="E352" t="inlineStr">
        <is>
          <t>VÄSTERVIK</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HYPERLINK("https://klasma.github.io/Logging_0883/artfynd/A 3057-2025 artfynd.xlsx", "A 3057-2025")</f>
        <v/>
      </c>
      <c r="T352">
        <f>HYPERLINK("https://klasma.github.io/Logging_0883/kartor/A 3057-2025 karta.png", "A 3057-2025")</f>
        <v/>
      </c>
      <c r="U352">
        <f>HYPERLINK("https://klasma.github.io/Logging_0883/knärot/A 3057-2025 karta knärot.png", "A 3057-2025")</f>
        <v/>
      </c>
      <c r="V352">
        <f>HYPERLINK("https://klasma.github.io/Logging_0883/klagomål/A 3057-2025 FSC-klagomål.docx", "A 3057-2025")</f>
        <v/>
      </c>
      <c r="W352">
        <f>HYPERLINK("https://klasma.github.io/Logging_0883/klagomålsmail/A 3057-2025 FSC-klagomål mail.docx", "A 3057-2025")</f>
        <v/>
      </c>
      <c r="X352">
        <f>HYPERLINK("https://klasma.github.io/Logging_0883/tillsyn/A 3057-2025 tillsynsbegäran.docx", "A 3057-2025")</f>
        <v/>
      </c>
      <c r="Y352">
        <f>HYPERLINK("https://klasma.github.io/Logging_0883/tillsynsmail/A 3057-2025 tillsynsbegäran mail.docx", "A 3057-2025")</f>
        <v/>
      </c>
    </row>
    <row r="353" ht="15" customHeight="1">
      <c r="A353" t="inlineStr">
        <is>
          <t>A 3673-2025</t>
        </is>
      </c>
      <c r="B353" s="1" t="n">
        <v>45681</v>
      </c>
      <c r="C353" s="1" t="n">
        <v>45842</v>
      </c>
      <c r="D353" t="inlineStr">
        <is>
          <t>KALMAR LÄN</t>
        </is>
      </c>
      <c r="E353" t="inlineStr">
        <is>
          <t>VÄSTERVIK</t>
        </is>
      </c>
      <c r="G353" t="n">
        <v>1.1</v>
      </c>
      <c r="H353" t="n">
        <v>0</v>
      </c>
      <c r="I353" t="n">
        <v>1</v>
      </c>
      <c r="J353" t="n">
        <v>0</v>
      </c>
      <c r="K353" t="n">
        <v>0</v>
      </c>
      <c r="L353" t="n">
        <v>0</v>
      </c>
      <c r="M353" t="n">
        <v>0</v>
      </c>
      <c r="N353" t="n">
        <v>0</v>
      </c>
      <c r="O353" t="n">
        <v>0</v>
      </c>
      <c r="P353" t="n">
        <v>0</v>
      </c>
      <c r="Q353" t="n">
        <v>1</v>
      </c>
      <c r="R353" s="2" t="inlineStr">
        <is>
          <t>Blodticka</t>
        </is>
      </c>
      <c r="S353">
        <f>HYPERLINK("https://klasma.github.io/Logging_0883/artfynd/A 3673-2025 artfynd.xlsx", "A 3673-2025")</f>
        <v/>
      </c>
      <c r="T353">
        <f>HYPERLINK("https://klasma.github.io/Logging_0883/kartor/A 3673-2025 karta.png", "A 3673-2025")</f>
        <v/>
      </c>
      <c r="V353">
        <f>HYPERLINK("https://klasma.github.io/Logging_0883/klagomål/A 3673-2025 FSC-klagomål.docx", "A 3673-2025")</f>
        <v/>
      </c>
      <c r="W353">
        <f>HYPERLINK("https://klasma.github.io/Logging_0883/klagomålsmail/A 3673-2025 FSC-klagomål mail.docx", "A 3673-2025")</f>
        <v/>
      </c>
      <c r="X353">
        <f>HYPERLINK("https://klasma.github.io/Logging_0883/tillsyn/A 3673-2025 tillsynsbegäran.docx", "A 3673-2025")</f>
        <v/>
      </c>
      <c r="Y353">
        <f>HYPERLINK("https://klasma.github.io/Logging_0883/tillsynsmail/A 3673-2025 tillsynsbegäran mail.docx", "A 3673-2025")</f>
        <v/>
      </c>
    </row>
    <row r="354" ht="15" customHeight="1">
      <c r="A354" t="inlineStr">
        <is>
          <t>A 3600-2025</t>
        </is>
      </c>
      <c r="B354" s="1" t="n">
        <v>45681</v>
      </c>
      <c r="C354" s="1" t="n">
        <v>45842</v>
      </c>
      <c r="D354" t="inlineStr">
        <is>
          <t>KALMAR LÄN</t>
        </is>
      </c>
      <c r="E354" t="inlineStr">
        <is>
          <t>VÄSTERVIK</t>
        </is>
      </c>
      <c r="G354" t="n">
        <v>1</v>
      </c>
      <c r="H354" t="n">
        <v>1</v>
      </c>
      <c r="I354" t="n">
        <v>0</v>
      </c>
      <c r="J354" t="n">
        <v>1</v>
      </c>
      <c r="K354" t="n">
        <v>0</v>
      </c>
      <c r="L354" t="n">
        <v>0</v>
      </c>
      <c r="M354" t="n">
        <v>0</v>
      </c>
      <c r="N354" t="n">
        <v>0</v>
      </c>
      <c r="O354" t="n">
        <v>1</v>
      </c>
      <c r="P354" t="n">
        <v>0</v>
      </c>
      <c r="Q354" t="n">
        <v>1</v>
      </c>
      <c r="R354" s="2" t="inlineStr">
        <is>
          <t>Spillkråka</t>
        </is>
      </c>
      <c r="S354">
        <f>HYPERLINK("https://klasma.github.io/Logging_0883/artfynd/A 3600-2025 artfynd.xlsx", "A 3600-2025")</f>
        <v/>
      </c>
      <c r="T354">
        <f>HYPERLINK("https://klasma.github.io/Logging_0883/kartor/A 3600-2025 karta.png", "A 3600-2025")</f>
        <v/>
      </c>
      <c r="V354">
        <f>HYPERLINK("https://klasma.github.io/Logging_0883/klagomål/A 3600-2025 FSC-klagomål.docx", "A 3600-2025")</f>
        <v/>
      </c>
      <c r="W354">
        <f>HYPERLINK("https://klasma.github.io/Logging_0883/klagomålsmail/A 3600-2025 FSC-klagomål mail.docx", "A 3600-2025")</f>
        <v/>
      </c>
      <c r="X354">
        <f>HYPERLINK("https://klasma.github.io/Logging_0883/tillsyn/A 3600-2025 tillsynsbegäran.docx", "A 3600-2025")</f>
        <v/>
      </c>
      <c r="Y354">
        <f>HYPERLINK("https://klasma.github.io/Logging_0883/tillsynsmail/A 3600-2025 tillsynsbegäran mail.docx", "A 3600-2025")</f>
        <v/>
      </c>
      <c r="Z354">
        <f>HYPERLINK("https://klasma.github.io/Logging_0883/fåglar/A 3600-2025 prioriterade fågelarter.docx", "A 3600-2025")</f>
        <v/>
      </c>
    </row>
    <row r="355" ht="15" customHeight="1">
      <c r="A355" t="inlineStr">
        <is>
          <t>A 4750-2025</t>
        </is>
      </c>
      <c r="B355" s="1" t="n">
        <v>45688</v>
      </c>
      <c r="C355" s="1" t="n">
        <v>45842</v>
      </c>
      <c r="D355" t="inlineStr">
        <is>
          <t>KALMAR LÄN</t>
        </is>
      </c>
      <c r="E355" t="inlineStr">
        <is>
          <t>VÄSTERVIK</t>
        </is>
      </c>
      <c r="F355" t="inlineStr">
        <is>
          <t>Holmen skog AB</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HYPERLINK("https://klasma.github.io/Logging_0883/artfynd/A 4750-2025 artfynd.xlsx", "A 4750-2025")</f>
        <v/>
      </c>
      <c r="T355">
        <f>HYPERLINK("https://klasma.github.io/Logging_0883/kartor/A 4750-2025 karta.png", "A 4750-2025")</f>
        <v/>
      </c>
      <c r="V355">
        <f>HYPERLINK("https://klasma.github.io/Logging_0883/klagomål/A 4750-2025 FSC-klagomål.docx", "A 4750-2025")</f>
        <v/>
      </c>
      <c r="W355">
        <f>HYPERLINK("https://klasma.github.io/Logging_0883/klagomålsmail/A 4750-2025 FSC-klagomål mail.docx", "A 4750-2025")</f>
        <v/>
      </c>
      <c r="X355">
        <f>HYPERLINK("https://klasma.github.io/Logging_0883/tillsyn/A 4750-2025 tillsynsbegäran.docx", "A 4750-2025")</f>
        <v/>
      </c>
      <c r="Y355">
        <f>HYPERLINK("https://klasma.github.io/Logging_0883/tillsynsmail/A 4750-2025 tillsynsbegäran mail.docx", "A 4750-2025")</f>
        <v/>
      </c>
      <c r="Z355">
        <f>HYPERLINK("https://klasma.github.io/Logging_0883/fåglar/A 4750-2025 prioriterade fågelarter.docx", "A 4750-2025")</f>
        <v/>
      </c>
    </row>
    <row r="356" ht="15" customHeight="1">
      <c r="A356" t="inlineStr">
        <is>
          <t>A 4719-2025</t>
        </is>
      </c>
      <c r="B356" s="1" t="n">
        <v>45688</v>
      </c>
      <c r="C356" s="1" t="n">
        <v>45842</v>
      </c>
      <c r="D356" t="inlineStr">
        <is>
          <t>KALMAR LÄN</t>
        </is>
      </c>
      <c r="E356" t="inlineStr">
        <is>
          <t>VÄSTERVIK</t>
        </is>
      </c>
      <c r="G356" t="n">
        <v>10.4</v>
      </c>
      <c r="H356" t="n">
        <v>0</v>
      </c>
      <c r="I356" t="n">
        <v>1</v>
      </c>
      <c r="J356" t="n">
        <v>0</v>
      </c>
      <c r="K356" t="n">
        <v>0</v>
      </c>
      <c r="L356" t="n">
        <v>0</v>
      </c>
      <c r="M356" t="n">
        <v>0</v>
      </c>
      <c r="N356" t="n">
        <v>0</v>
      </c>
      <c r="O356" t="n">
        <v>0</v>
      </c>
      <c r="P356" t="n">
        <v>0</v>
      </c>
      <c r="Q356" t="n">
        <v>1</v>
      </c>
      <c r="R356" s="2" t="inlineStr">
        <is>
          <t>Dropptaggsvamp</t>
        </is>
      </c>
      <c r="S356">
        <f>HYPERLINK("https://klasma.github.io/Logging_0883/artfynd/A 4719-2025 artfynd.xlsx", "A 4719-2025")</f>
        <v/>
      </c>
      <c r="T356">
        <f>HYPERLINK("https://klasma.github.io/Logging_0883/kartor/A 4719-2025 karta.png", "A 4719-2025")</f>
        <v/>
      </c>
      <c r="V356">
        <f>HYPERLINK("https://klasma.github.io/Logging_0883/klagomål/A 4719-2025 FSC-klagomål.docx", "A 4719-2025")</f>
        <v/>
      </c>
      <c r="W356">
        <f>HYPERLINK("https://klasma.github.io/Logging_0883/klagomålsmail/A 4719-2025 FSC-klagomål mail.docx", "A 4719-2025")</f>
        <v/>
      </c>
      <c r="X356">
        <f>HYPERLINK("https://klasma.github.io/Logging_0883/tillsyn/A 4719-2025 tillsynsbegäran.docx", "A 4719-2025")</f>
        <v/>
      </c>
      <c r="Y356">
        <f>HYPERLINK("https://klasma.github.io/Logging_0883/tillsynsmail/A 4719-2025 tillsynsbegäran mail.docx", "A 4719-2025")</f>
        <v/>
      </c>
    </row>
    <row r="357" ht="15" customHeight="1">
      <c r="A357" t="inlineStr">
        <is>
          <t>A 5840-2025</t>
        </is>
      </c>
      <c r="B357" s="1" t="n">
        <v>45695</v>
      </c>
      <c r="C357" s="1" t="n">
        <v>45842</v>
      </c>
      <c r="D357" t="inlineStr">
        <is>
          <t>KALMAR LÄN</t>
        </is>
      </c>
      <c r="E357" t="inlineStr">
        <is>
          <t>VÄSTERVIK</t>
        </is>
      </c>
      <c r="F357" t="inlineStr">
        <is>
          <t>Holmen skog AB</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HYPERLINK("https://klasma.github.io/Logging_0883/artfynd/A 5840-2025 artfynd.xlsx", "A 5840-2025")</f>
        <v/>
      </c>
      <c r="T357">
        <f>HYPERLINK("https://klasma.github.io/Logging_0883/kartor/A 5840-2025 karta.png", "A 5840-2025")</f>
        <v/>
      </c>
      <c r="V357">
        <f>HYPERLINK("https://klasma.github.io/Logging_0883/klagomål/A 5840-2025 FSC-klagomål.docx", "A 5840-2025")</f>
        <v/>
      </c>
      <c r="W357">
        <f>HYPERLINK("https://klasma.github.io/Logging_0883/klagomålsmail/A 5840-2025 FSC-klagomål mail.docx", "A 5840-2025")</f>
        <v/>
      </c>
      <c r="X357">
        <f>HYPERLINK("https://klasma.github.io/Logging_0883/tillsyn/A 5840-2025 tillsynsbegäran.docx", "A 5840-2025")</f>
        <v/>
      </c>
      <c r="Y357">
        <f>HYPERLINK("https://klasma.github.io/Logging_0883/tillsynsmail/A 5840-2025 tillsynsbegäran mail.docx", "A 5840-2025")</f>
        <v/>
      </c>
    </row>
    <row r="358" ht="15" customHeight="1">
      <c r="A358" t="inlineStr">
        <is>
          <t>A 6657-2025</t>
        </is>
      </c>
      <c r="B358" s="1" t="n">
        <v>45700</v>
      </c>
      <c r="C358" s="1" t="n">
        <v>45842</v>
      </c>
      <c r="D358" t="inlineStr">
        <is>
          <t>KALMAR LÄN</t>
        </is>
      </c>
      <c r="E358" t="inlineStr">
        <is>
          <t>VÄSTERVIK</t>
        </is>
      </c>
      <c r="F358" t="inlineStr">
        <is>
          <t>Holmen skog AB</t>
        </is>
      </c>
      <c r="G358" t="n">
        <v>3</v>
      </c>
      <c r="H358" t="n">
        <v>1</v>
      </c>
      <c r="I358" t="n">
        <v>0</v>
      </c>
      <c r="J358" t="n">
        <v>0</v>
      </c>
      <c r="K358" t="n">
        <v>1</v>
      </c>
      <c r="L358" t="n">
        <v>0</v>
      </c>
      <c r="M358" t="n">
        <v>0</v>
      </c>
      <c r="N358" t="n">
        <v>0</v>
      </c>
      <c r="O358" t="n">
        <v>1</v>
      </c>
      <c r="P358" t="n">
        <v>1</v>
      </c>
      <c r="Q358" t="n">
        <v>1</v>
      </c>
      <c r="R358" s="2" t="inlineStr">
        <is>
          <t>Knärot</t>
        </is>
      </c>
      <c r="S358">
        <f>HYPERLINK("https://klasma.github.io/Logging_0883/artfynd/A 6657-2025 artfynd.xlsx", "A 6657-2025")</f>
        <v/>
      </c>
      <c r="T358">
        <f>HYPERLINK("https://klasma.github.io/Logging_0883/kartor/A 6657-2025 karta.png", "A 6657-2025")</f>
        <v/>
      </c>
      <c r="U358">
        <f>HYPERLINK("https://klasma.github.io/Logging_0883/knärot/A 6657-2025 karta knärot.png", "A 6657-2025")</f>
        <v/>
      </c>
      <c r="V358">
        <f>HYPERLINK("https://klasma.github.io/Logging_0883/klagomål/A 6657-2025 FSC-klagomål.docx", "A 6657-2025")</f>
        <v/>
      </c>
      <c r="W358">
        <f>HYPERLINK("https://klasma.github.io/Logging_0883/klagomålsmail/A 6657-2025 FSC-klagomål mail.docx", "A 6657-2025")</f>
        <v/>
      </c>
      <c r="X358">
        <f>HYPERLINK("https://klasma.github.io/Logging_0883/tillsyn/A 6657-2025 tillsynsbegäran.docx", "A 6657-2025")</f>
        <v/>
      </c>
      <c r="Y358">
        <f>HYPERLINK("https://klasma.github.io/Logging_0883/tillsynsmail/A 6657-2025 tillsynsbegäran mail.docx", "A 6657-2025")</f>
        <v/>
      </c>
    </row>
    <row r="359" ht="15" customHeight="1">
      <c r="A359" t="inlineStr">
        <is>
          <t>A 6634-2025</t>
        </is>
      </c>
      <c r="B359" s="1" t="n">
        <v>45700</v>
      </c>
      <c r="C359" s="1" t="n">
        <v>45842</v>
      </c>
      <c r="D359" t="inlineStr">
        <is>
          <t>KALMAR LÄN</t>
        </is>
      </c>
      <c r="E359" t="inlineStr">
        <is>
          <t>VÄSTERVIK</t>
        </is>
      </c>
      <c r="G359" t="n">
        <v>2.2</v>
      </c>
      <c r="H359" t="n">
        <v>0</v>
      </c>
      <c r="I359" t="n">
        <v>1</v>
      </c>
      <c r="J359" t="n">
        <v>0</v>
      </c>
      <c r="K359" t="n">
        <v>0</v>
      </c>
      <c r="L359" t="n">
        <v>0</v>
      </c>
      <c r="M359" t="n">
        <v>0</v>
      </c>
      <c r="N359" t="n">
        <v>0</v>
      </c>
      <c r="O359" t="n">
        <v>0</v>
      </c>
      <c r="P359" t="n">
        <v>0</v>
      </c>
      <c r="Q359" t="n">
        <v>1</v>
      </c>
      <c r="R359" s="2" t="inlineStr">
        <is>
          <t>Ögonpyrola</t>
        </is>
      </c>
      <c r="S359">
        <f>HYPERLINK("https://klasma.github.io/Logging_0883/artfynd/A 6634-2025 artfynd.xlsx", "A 6634-2025")</f>
        <v/>
      </c>
      <c r="T359">
        <f>HYPERLINK("https://klasma.github.io/Logging_0883/kartor/A 6634-2025 karta.png", "A 6634-2025")</f>
        <v/>
      </c>
      <c r="V359">
        <f>HYPERLINK("https://klasma.github.io/Logging_0883/klagomål/A 6634-2025 FSC-klagomål.docx", "A 6634-2025")</f>
        <v/>
      </c>
      <c r="W359">
        <f>HYPERLINK("https://klasma.github.io/Logging_0883/klagomålsmail/A 6634-2025 FSC-klagomål mail.docx", "A 6634-2025")</f>
        <v/>
      </c>
      <c r="X359">
        <f>HYPERLINK("https://klasma.github.io/Logging_0883/tillsyn/A 6634-2025 tillsynsbegäran.docx", "A 6634-2025")</f>
        <v/>
      </c>
      <c r="Y359">
        <f>HYPERLINK("https://klasma.github.io/Logging_0883/tillsynsmail/A 6634-2025 tillsynsbegäran mail.docx", "A 6634-2025")</f>
        <v/>
      </c>
    </row>
    <row r="360" ht="15" customHeight="1">
      <c r="A360" t="inlineStr">
        <is>
          <t>A 6605-2025</t>
        </is>
      </c>
      <c r="B360" s="1" t="n">
        <v>45700</v>
      </c>
      <c r="C360" s="1" t="n">
        <v>45842</v>
      </c>
      <c r="D360" t="inlineStr">
        <is>
          <t>KALMAR LÄN</t>
        </is>
      </c>
      <c r="E360" t="inlineStr">
        <is>
          <t>VÄSTERVIK</t>
        </is>
      </c>
      <c r="G360" t="n">
        <v>4.5</v>
      </c>
      <c r="H360" t="n">
        <v>0</v>
      </c>
      <c r="I360" t="n">
        <v>1</v>
      </c>
      <c r="J360" t="n">
        <v>0</v>
      </c>
      <c r="K360" t="n">
        <v>0</v>
      </c>
      <c r="L360" t="n">
        <v>0</v>
      </c>
      <c r="M360" t="n">
        <v>0</v>
      </c>
      <c r="N360" t="n">
        <v>0</v>
      </c>
      <c r="O360" t="n">
        <v>0</v>
      </c>
      <c r="P360" t="n">
        <v>0</v>
      </c>
      <c r="Q360" t="n">
        <v>1</v>
      </c>
      <c r="R360" s="2" t="inlineStr">
        <is>
          <t>Dropptaggsvamp</t>
        </is>
      </c>
      <c r="S360">
        <f>HYPERLINK("https://klasma.github.io/Logging_0883/artfynd/A 6605-2025 artfynd.xlsx", "A 6605-2025")</f>
        <v/>
      </c>
      <c r="T360">
        <f>HYPERLINK("https://klasma.github.io/Logging_0883/kartor/A 6605-2025 karta.png", "A 6605-2025")</f>
        <v/>
      </c>
      <c r="V360">
        <f>HYPERLINK("https://klasma.github.io/Logging_0883/klagomål/A 6605-2025 FSC-klagomål.docx", "A 6605-2025")</f>
        <v/>
      </c>
      <c r="W360">
        <f>HYPERLINK("https://klasma.github.io/Logging_0883/klagomålsmail/A 6605-2025 FSC-klagomål mail.docx", "A 6605-2025")</f>
        <v/>
      </c>
      <c r="X360">
        <f>HYPERLINK("https://klasma.github.io/Logging_0883/tillsyn/A 6605-2025 tillsynsbegäran.docx", "A 6605-2025")</f>
        <v/>
      </c>
      <c r="Y360">
        <f>HYPERLINK("https://klasma.github.io/Logging_0883/tillsynsmail/A 6605-2025 tillsynsbegäran mail.docx", "A 6605-2025")</f>
        <v/>
      </c>
    </row>
    <row r="361" ht="15" customHeight="1">
      <c r="A361" t="inlineStr">
        <is>
          <t>A 9261-2025</t>
        </is>
      </c>
      <c r="B361" s="1" t="n">
        <v>45714</v>
      </c>
      <c r="C361" s="1" t="n">
        <v>45842</v>
      </c>
      <c r="D361" t="inlineStr">
        <is>
          <t>KALMAR LÄN</t>
        </is>
      </c>
      <c r="E361" t="inlineStr">
        <is>
          <t>VÄSTERVIK</t>
        </is>
      </c>
      <c r="F361" t="inlineStr">
        <is>
          <t>Sveaskog</t>
        </is>
      </c>
      <c r="G361" t="n">
        <v>4.9</v>
      </c>
      <c r="H361" t="n">
        <v>1</v>
      </c>
      <c r="I361" t="n">
        <v>0</v>
      </c>
      <c r="J361" t="n">
        <v>1</v>
      </c>
      <c r="K361" t="n">
        <v>0</v>
      </c>
      <c r="L361" t="n">
        <v>0</v>
      </c>
      <c r="M361" t="n">
        <v>0</v>
      </c>
      <c r="N361" t="n">
        <v>0</v>
      </c>
      <c r="O361" t="n">
        <v>1</v>
      </c>
      <c r="P361" t="n">
        <v>0</v>
      </c>
      <c r="Q361" t="n">
        <v>1</v>
      </c>
      <c r="R361" s="2" t="inlineStr">
        <is>
          <t>Havsörn</t>
        </is>
      </c>
      <c r="S361">
        <f>HYPERLINK("https://klasma.github.io/Logging_0883/artfynd/A 9261-2025 artfynd.xlsx", "A 9261-2025")</f>
        <v/>
      </c>
      <c r="T361">
        <f>HYPERLINK("https://klasma.github.io/Logging_0883/kartor/A 9261-2025 karta.png", "A 9261-2025")</f>
        <v/>
      </c>
      <c r="V361">
        <f>HYPERLINK("https://klasma.github.io/Logging_0883/klagomål/A 9261-2025 FSC-klagomål.docx", "A 9261-2025")</f>
        <v/>
      </c>
      <c r="W361">
        <f>HYPERLINK("https://klasma.github.io/Logging_0883/klagomålsmail/A 9261-2025 FSC-klagomål mail.docx", "A 9261-2025")</f>
        <v/>
      </c>
      <c r="X361">
        <f>HYPERLINK("https://klasma.github.io/Logging_0883/tillsyn/A 9261-2025 tillsynsbegäran.docx", "A 9261-2025")</f>
        <v/>
      </c>
      <c r="Y361">
        <f>HYPERLINK("https://klasma.github.io/Logging_0883/tillsynsmail/A 9261-2025 tillsynsbegäran mail.docx", "A 9261-2025")</f>
        <v/>
      </c>
      <c r="Z361">
        <f>HYPERLINK("https://klasma.github.io/Logging_0883/fåglar/A 9261-2025 prioriterade fågelarter.docx", "A 9261-2025")</f>
        <v/>
      </c>
    </row>
    <row r="362" ht="15" customHeight="1">
      <c r="A362" t="inlineStr">
        <is>
          <t>A 9265-2025</t>
        </is>
      </c>
      <c r="B362" s="1" t="n">
        <v>45714</v>
      </c>
      <c r="C362" s="1" t="n">
        <v>45842</v>
      </c>
      <c r="D362" t="inlineStr">
        <is>
          <t>KALMAR LÄN</t>
        </is>
      </c>
      <c r="E362" t="inlineStr">
        <is>
          <t>VÄSTERVIK</t>
        </is>
      </c>
      <c r="F362" t="inlineStr">
        <is>
          <t>Sveaskog</t>
        </is>
      </c>
      <c r="G362" t="n">
        <v>2.2</v>
      </c>
      <c r="H362" t="n">
        <v>1</v>
      </c>
      <c r="I362" t="n">
        <v>0</v>
      </c>
      <c r="J362" t="n">
        <v>1</v>
      </c>
      <c r="K362" t="n">
        <v>0</v>
      </c>
      <c r="L362" t="n">
        <v>0</v>
      </c>
      <c r="M362" t="n">
        <v>0</v>
      </c>
      <c r="N362" t="n">
        <v>0</v>
      </c>
      <c r="O362" t="n">
        <v>1</v>
      </c>
      <c r="P362" t="n">
        <v>0</v>
      </c>
      <c r="Q362" t="n">
        <v>1</v>
      </c>
      <c r="R362" s="2" t="inlineStr">
        <is>
          <t>Havsörn</t>
        </is>
      </c>
      <c r="S362">
        <f>HYPERLINK("https://klasma.github.io/Logging_0883/artfynd/A 9265-2025 artfynd.xlsx", "A 9265-2025")</f>
        <v/>
      </c>
      <c r="T362">
        <f>HYPERLINK("https://klasma.github.io/Logging_0883/kartor/A 9265-2025 karta.png", "A 9265-2025")</f>
        <v/>
      </c>
      <c r="V362">
        <f>HYPERLINK("https://klasma.github.io/Logging_0883/klagomål/A 9265-2025 FSC-klagomål.docx", "A 9265-2025")</f>
        <v/>
      </c>
      <c r="W362">
        <f>HYPERLINK("https://klasma.github.io/Logging_0883/klagomålsmail/A 9265-2025 FSC-klagomål mail.docx", "A 9265-2025")</f>
        <v/>
      </c>
      <c r="X362">
        <f>HYPERLINK("https://klasma.github.io/Logging_0883/tillsyn/A 9265-2025 tillsynsbegäran.docx", "A 9265-2025")</f>
        <v/>
      </c>
      <c r="Y362">
        <f>HYPERLINK("https://klasma.github.io/Logging_0883/tillsynsmail/A 9265-2025 tillsynsbegäran mail.docx", "A 9265-2025")</f>
        <v/>
      </c>
      <c r="Z362">
        <f>HYPERLINK("https://klasma.github.io/Logging_0883/fåglar/A 9265-2025 prioriterade fågelarter.docx", "A 9265-2025")</f>
        <v/>
      </c>
    </row>
    <row r="363" ht="15" customHeight="1">
      <c r="A363" t="inlineStr">
        <is>
          <t>A 9571-2025</t>
        </is>
      </c>
      <c r="B363" s="1" t="n">
        <v>45715</v>
      </c>
      <c r="C363" s="1" t="n">
        <v>45842</v>
      </c>
      <c r="D363" t="inlineStr">
        <is>
          <t>KALMAR LÄN</t>
        </is>
      </c>
      <c r="E363" t="inlineStr">
        <is>
          <t>VÄSTERVIK</t>
        </is>
      </c>
      <c r="G363" t="n">
        <v>12</v>
      </c>
      <c r="H363" t="n">
        <v>1</v>
      </c>
      <c r="I363" t="n">
        <v>0</v>
      </c>
      <c r="J363" t="n">
        <v>0</v>
      </c>
      <c r="K363" t="n">
        <v>0</v>
      </c>
      <c r="L363" t="n">
        <v>0</v>
      </c>
      <c r="M363" t="n">
        <v>0</v>
      </c>
      <c r="N363" t="n">
        <v>0</v>
      </c>
      <c r="O363" t="n">
        <v>0</v>
      </c>
      <c r="P363" t="n">
        <v>0</v>
      </c>
      <c r="Q363" t="n">
        <v>1</v>
      </c>
      <c r="R363" s="2" t="inlineStr">
        <is>
          <t>Revlummer</t>
        </is>
      </c>
      <c r="S363">
        <f>HYPERLINK("https://klasma.github.io/Logging_080883/artfynd/A 9571-2025 artfynd.xlsx", "A 9571-2025")</f>
        <v/>
      </c>
      <c r="T363">
        <f>HYPERLINK("https://klasma.github.io/Logging_080883/kartor/A 9571-2025 karta.png", "A 9571-2025")</f>
        <v/>
      </c>
      <c r="V363">
        <f>HYPERLINK("https://klasma.github.io/Logging_080883/klagomål/A 9571-2025 FSC-klagomål.docx", "A 9571-2025")</f>
        <v/>
      </c>
      <c r="W363">
        <f>HYPERLINK("https://klasma.github.io/Logging_080883/klagomålsmail/A 9571-2025 FSC-klagomål mail.docx", "A 9571-2025")</f>
        <v/>
      </c>
      <c r="X363">
        <f>HYPERLINK("https://klasma.github.io/Logging_080883/tillsyn/A 9571-2025 tillsynsbegäran.docx", "A 9571-2025")</f>
        <v/>
      </c>
      <c r="Y363">
        <f>HYPERLINK("https://klasma.github.io/Logging_080883/tillsynsmail/A 9571-2025 tillsynsbegäran mail.docx", "A 9571-2025")</f>
        <v/>
      </c>
    </row>
    <row r="364" ht="15" customHeight="1">
      <c r="A364" t="inlineStr">
        <is>
          <t>A 10768-2025</t>
        </is>
      </c>
      <c r="B364" s="1" t="n">
        <v>45722</v>
      </c>
      <c r="C364" s="1" t="n">
        <v>45842</v>
      </c>
      <c r="D364" t="inlineStr">
        <is>
          <t>KALMAR LÄN</t>
        </is>
      </c>
      <c r="E364" t="inlineStr">
        <is>
          <t>VÄSTERVIK</t>
        </is>
      </c>
      <c r="G364" t="n">
        <v>0.9</v>
      </c>
      <c r="H364" t="n">
        <v>1</v>
      </c>
      <c r="I364" t="n">
        <v>0</v>
      </c>
      <c r="J364" t="n">
        <v>1</v>
      </c>
      <c r="K364" t="n">
        <v>0</v>
      </c>
      <c r="L364" t="n">
        <v>0</v>
      </c>
      <c r="M364" t="n">
        <v>0</v>
      </c>
      <c r="N364" t="n">
        <v>0</v>
      </c>
      <c r="O364" t="n">
        <v>1</v>
      </c>
      <c r="P364" t="n">
        <v>0</v>
      </c>
      <c r="Q364" t="n">
        <v>1</v>
      </c>
      <c r="R364" s="2" t="inlineStr">
        <is>
          <t>Talltita</t>
        </is>
      </c>
      <c r="S364">
        <f>HYPERLINK("https://klasma.github.io/Logging_080883/artfynd/A 10768-2025 artfynd.xlsx", "A 10768-2025")</f>
        <v/>
      </c>
      <c r="T364">
        <f>HYPERLINK("https://klasma.github.io/Logging_080883/kartor/A 10768-2025 karta.png", "A 10768-2025")</f>
        <v/>
      </c>
      <c r="V364">
        <f>HYPERLINK("https://klasma.github.io/Logging_080883/klagomål/A 10768-2025 FSC-klagomål.docx", "A 10768-2025")</f>
        <v/>
      </c>
      <c r="W364">
        <f>HYPERLINK("https://klasma.github.io/Logging_080883/klagomålsmail/A 10768-2025 FSC-klagomål mail.docx", "A 10768-2025")</f>
        <v/>
      </c>
      <c r="X364">
        <f>HYPERLINK("https://klasma.github.io/Logging_080883/tillsyn/A 10768-2025 tillsynsbegäran.docx", "A 10768-2025")</f>
        <v/>
      </c>
      <c r="Y364">
        <f>HYPERLINK("https://klasma.github.io/Logging_080883/tillsynsmail/A 10768-2025 tillsynsbegäran mail.docx", "A 10768-2025")</f>
        <v/>
      </c>
      <c r="Z364">
        <f>HYPERLINK("https://klasma.github.io/Logging_080883/fåglar/A 10768-2025 prioriterade fågelarter.docx", "A 10768-2025")</f>
        <v/>
      </c>
    </row>
    <row r="365" ht="15" customHeight="1">
      <c r="A365" t="inlineStr">
        <is>
          <t>A 12292-2025</t>
        </is>
      </c>
      <c r="B365" s="1" t="n">
        <v>45729</v>
      </c>
      <c r="C365" s="1" t="n">
        <v>45842</v>
      </c>
      <c r="D365" t="inlineStr">
        <is>
          <t>KALMAR LÄN</t>
        </is>
      </c>
      <c r="E365" t="inlineStr">
        <is>
          <t>VÄSTERVIK</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HYPERLINK("https://klasma.github.io/Logging_080883/artfynd/A 12292-2025 artfynd.xlsx", "A 12292-2025")</f>
        <v/>
      </c>
      <c r="T365">
        <f>HYPERLINK("https://klasma.github.io/Logging_080883/kartor/A 12292-2025 karta.png", "A 12292-2025")</f>
        <v/>
      </c>
      <c r="U365">
        <f>HYPERLINK("https://klasma.github.io/Logging_080883/knärot/A 12292-2025 karta knärot.png", "A 12292-2025")</f>
        <v/>
      </c>
      <c r="V365">
        <f>HYPERLINK("https://klasma.github.io/Logging_080883/klagomål/A 12292-2025 FSC-klagomål.docx", "A 12292-2025")</f>
        <v/>
      </c>
      <c r="W365">
        <f>HYPERLINK("https://klasma.github.io/Logging_080883/klagomålsmail/A 12292-2025 FSC-klagomål mail.docx", "A 12292-2025")</f>
        <v/>
      </c>
      <c r="X365">
        <f>HYPERLINK("https://klasma.github.io/Logging_080883/tillsyn/A 12292-2025 tillsynsbegäran.docx", "A 12292-2025")</f>
        <v/>
      </c>
      <c r="Y365">
        <f>HYPERLINK("https://klasma.github.io/Logging_080883/tillsynsmail/A 12292-2025 tillsynsbegäran mail.docx", "A 12292-2025")</f>
        <v/>
      </c>
    </row>
    <row r="366" ht="15" customHeight="1">
      <c r="A366" t="inlineStr">
        <is>
          <t>A 13107-2025</t>
        </is>
      </c>
      <c r="B366" s="1" t="n">
        <v>45734</v>
      </c>
      <c r="C366" s="1" t="n">
        <v>45842</v>
      </c>
      <c r="D366" t="inlineStr">
        <is>
          <t>KALMAR LÄN</t>
        </is>
      </c>
      <c r="E366" t="inlineStr">
        <is>
          <t>VÄSTERVIK</t>
        </is>
      </c>
      <c r="G366" t="n">
        <v>1</v>
      </c>
      <c r="H366" t="n">
        <v>1</v>
      </c>
      <c r="I366" t="n">
        <v>0</v>
      </c>
      <c r="J366" t="n">
        <v>0</v>
      </c>
      <c r="K366" t="n">
        <v>0</v>
      </c>
      <c r="L366" t="n">
        <v>0</v>
      </c>
      <c r="M366" t="n">
        <v>0</v>
      </c>
      <c r="N366" t="n">
        <v>0</v>
      </c>
      <c r="O366" t="n">
        <v>0</v>
      </c>
      <c r="P366" t="n">
        <v>0</v>
      </c>
      <c r="Q366" t="n">
        <v>1</v>
      </c>
      <c r="R366" s="2" t="inlineStr">
        <is>
          <t>Vanlig groda</t>
        </is>
      </c>
      <c r="S366">
        <f>HYPERLINK("https://klasma.github.io/Logging_080883/artfynd/A 13107-2025 artfynd.xlsx", "A 13107-2025")</f>
        <v/>
      </c>
      <c r="T366">
        <f>HYPERLINK("https://klasma.github.io/Logging_080883/kartor/A 13107-2025 karta.png", "A 13107-2025")</f>
        <v/>
      </c>
      <c r="V366">
        <f>HYPERLINK("https://klasma.github.io/Logging_080883/klagomål/A 13107-2025 FSC-klagomål.docx", "A 13107-2025")</f>
        <v/>
      </c>
      <c r="W366">
        <f>HYPERLINK("https://klasma.github.io/Logging_080883/klagomålsmail/A 13107-2025 FSC-klagomål mail.docx", "A 13107-2025")</f>
        <v/>
      </c>
      <c r="X366">
        <f>HYPERLINK("https://klasma.github.io/Logging_080883/tillsyn/A 13107-2025 tillsynsbegäran.docx", "A 13107-2025")</f>
        <v/>
      </c>
      <c r="Y366">
        <f>HYPERLINK("https://klasma.github.io/Logging_080883/tillsynsmail/A 13107-2025 tillsynsbegäran mail.docx", "A 13107-2025")</f>
        <v/>
      </c>
    </row>
    <row r="367" ht="15" customHeight="1">
      <c r="A367" t="inlineStr">
        <is>
          <t>A 13352-2025</t>
        </is>
      </c>
      <c r="B367" s="1" t="n">
        <v>45735</v>
      </c>
      <c r="C367" s="1" t="n">
        <v>45842</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13352-2025 artfynd.xlsx", "A 13352-2025")</f>
        <v/>
      </c>
      <c r="T367">
        <f>HYPERLINK("https://klasma.github.io/Logging_080883/kartor/A 13352-2025 karta.png", "A 13352-2025")</f>
        <v/>
      </c>
      <c r="U367">
        <f>HYPERLINK("https://klasma.github.io/Logging_080883/knärot/A 13352-2025 karta knärot.png", "A 13352-2025")</f>
        <v/>
      </c>
      <c r="V367">
        <f>HYPERLINK("https://klasma.github.io/Logging_080883/klagomål/A 13352-2025 FSC-klagomål.docx", "A 13352-2025")</f>
        <v/>
      </c>
      <c r="W367">
        <f>HYPERLINK("https://klasma.github.io/Logging_080883/klagomålsmail/A 13352-2025 FSC-klagomål mail.docx", "A 13352-2025")</f>
        <v/>
      </c>
      <c r="X367">
        <f>HYPERLINK("https://klasma.github.io/Logging_080883/tillsyn/A 13352-2025 tillsynsbegäran.docx", "A 13352-2025")</f>
        <v/>
      </c>
      <c r="Y367">
        <f>HYPERLINK("https://klasma.github.io/Logging_080883/tillsynsmail/A 13352-2025 tillsynsbegäran mail.docx", "A 13352-2025")</f>
        <v/>
      </c>
    </row>
    <row r="368" ht="15" customHeight="1">
      <c r="A368" t="inlineStr">
        <is>
          <t>A 14082-2025</t>
        </is>
      </c>
      <c r="B368" s="1" t="n">
        <v>45740</v>
      </c>
      <c r="C368" s="1" t="n">
        <v>45842</v>
      </c>
      <c r="D368" t="inlineStr">
        <is>
          <t>KALMAR LÄN</t>
        </is>
      </c>
      <c r="E368" t="inlineStr">
        <is>
          <t>VÄSTERVIK</t>
        </is>
      </c>
      <c r="F368" t="inlineStr">
        <is>
          <t>Sveaskog</t>
        </is>
      </c>
      <c r="G368" t="n">
        <v>1.2</v>
      </c>
      <c r="H368" t="n">
        <v>0</v>
      </c>
      <c r="I368" t="n">
        <v>0</v>
      </c>
      <c r="J368" t="n">
        <v>1</v>
      </c>
      <c r="K368" t="n">
        <v>0</v>
      </c>
      <c r="L368" t="n">
        <v>0</v>
      </c>
      <c r="M368" t="n">
        <v>0</v>
      </c>
      <c r="N368" t="n">
        <v>0</v>
      </c>
      <c r="O368" t="n">
        <v>1</v>
      </c>
      <c r="P368" t="n">
        <v>0</v>
      </c>
      <c r="Q368" t="n">
        <v>1</v>
      </c>
      <c r="R368" s="2" t="inlineStr">
        <is>
          <t>Bredbrämad bastardsvärmare</t>
        </is>
      </c>
      <c r="S368">
        <f>HYPERLINK("https://klasma.github.io/Logging_080883/artfynd/A 14082-2025 artfynd.xlsx", "A 14082-2025")</f>
        <v/>
      </c>
      <c r="T368">
        <f>HYPERLINK("https://klasma.github.io/Logging_080883/kartor/A 14082-2025 karta.png", "A 14082-2025")</f>
        <v/>
      </c>
      <c r="V368">
        <f>HYPERLINK("https://klasma.github.io/Logging_080883/klagomål/A 14082-2025 FSC-klagomål.docx", "A 14082-2025")</f>
        <v/>
      </c>
      <c r="W368">
        <f>HYPERLINK("https://klasma.github.io/Logging_080883/klagomålsmail/A 14082-2025 FSC-klagomål mail.docx", "A 14082-2025")</f>
        <v/>
      </c>
      <c r="X368">
        <f>HYPERLINK("https://klasma.github.io/Logging_080883/tillsyn/A 14082-2025 tillsynsbegäran.docx", "A 14082-2025")</f>
        <v/>
      </c>
      <c r="Y368">
        <f>HYPERLINK("https://klasma.github.io/Logging_080883/tillsynsmail/A 14082-2025 tillsynsbegäran mail.docx", "A 14082-2025")</f>
        <v/>
      </c>
    </row>
    <row r="369" ht="15" customHeight="1">
      <c r="A369" t="inlineStr">
        <is>
          <t>A 14131-2025</t>
        </is>
      </c>
      <c r="B369" s="1" t="n">
        <v>45740</v>
      </c>
      <c r="C369" s="1" t="n">
        <v>45842</v>
      </c>
      <c r="D369" t="inlineStr">
        <is>
          <t>KALMAR LÄN</t>
        </is>
      </c>
      <c r="E369" t="inlineStr">
        <is>
          <t>VÄSTERVIK</t>
        </is>
      </c>
      <c r="F369" t="inlineStr">
        <is>
          <t>Sveaskog</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HYPERLINK("https://klasma.github.io/Logging_080883/artfynd/A 14131-2025 artfynd.xlsx", "A 14131-2025")</f>
        <v/>
      </c>
      <c r="T369">
        <f>HYPERLINK("https://klasma.github.io/Logging_080883/kartor/A 14131-2025 karta.png", "A 14131-2025")</f>
        <v/>
      </c>
      <c r="V369">
        <f>HYPERLINK("https://klasma.github.io/Logging_080883/klagomål/A 14131-2025 FSC-klagomål.docx", "A 14131-2025")</f>
        <v/>
      </c>
      <c r="W369">
        <f>HYPERLINK("https://klasma.github.io/Logging_080883/klagomålsmail/A 14131-2025 FSC-klagomål mail.docx", "A 14131-2025")</f>
        <v/>
      </c>
      <c r="X369">
        <f>HYPERLINK("https://klasma.github.io/Logging_080883/tillsyn/A 14131-2025 tillsynsbegäran.docx", "A 14131-2025")</f>
        <v/>
      </c>
      <c r="Y369">
        <f>HYPERLINK("https://klasma.github.io/Logging_080883/tillsynsmail/A 14131-2025 tillsynsbegäran mail.docx", "A 14131-2025")</f>
        <v/>
      </c>
    </row>
    <row r="370" ht="15" customHeight="1">
      <c r="A370" t="inlineStr">
        <is>
          <t>A 14089-2025</t>
        </is>
      </c>
      <c r="B370" s="1" t="n">
        <v>45740</v>
      </c>
      <c r="C370" s="1" t="n">
        <v>45842</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14089-2025 artfynd.xlsx", "A 14089-2025")</f>
        <v/>
      </c>
      <c r="T370">
        <f>HYPERLINK("https://klasma.github.io/Logging_080883/kartor/A 14089-2025 karta.png", "A 14089-2025")</f>
        <v/>
      </c>
      <c r="V370">
        <f>HYPERLINK("https://klasma.github.io/Logging_080883/klagomål/A 14089-2025 FSC-klagomål.docx", "A 14089-2025")</f>
        <v/>
      </c>
      <c r="W370">
        <f>HYPERLINK("https://klasma.github.io/Logging_080883/klagomålsmail/A 14089-2025 FSC-klagomål mail.docx", "A 14089-2025")</f>
        <v/>
      </c>
      <c r="X370">
        <f>HYPERLINK("https://klasma.github.io/Logging_080883/tillsyn/A 14089-2025 tillsynsbegäran.docx", "A 14089-2025")</f>
        <v/>
      </c>
      <c r="Y370">
        <f>HYPERLINK("https://klasma.github.io/Logging_080883/tillsynsmail/A 14089-2025 tillsynsbegäran mail.docx", "A 14089-2025")</f>
        <v/>
      </c>
      <c r="Z370">
        <f>HYPERLINK("https://klasma.github.io/Logging_080883/fåglar/A 14089-2025 prioriterade fågelarter.docx", "A 14089-2025")</f>
        <v/>
      </c>
    </row>
    <row r="371" ht="15" customHeight="1">
      <c r="A371" t="inlineStr">
        <is>
          <t>A 14103-2025</t>
        </is>
      </c>
      <c r="B371" s="1" t="n">
        <v>45740</v>
      </c>
      <c r="C371" s="1" t="n">
        <v>45842</v>
      </c>
      <c r="D371" t="inlineStr">
        <is>
          <t>KALMAR LÄN</t>
        </is>
      </c>
      <c r="E371" t="inlineStr">
        <is>
          <t>VÄSTERVIK</t>
        </is>
      </c>
      <c r="F371" t="inlineStr">
        <is>
          <t>Sveaskog</t>
        </is>
      </c>
      <c r="G371" t="n">
        <v>0.8</v>
      </c>
      <c r="H371" t="n">
        <v>1</v>
      </c>
      <c r="I371" t="n">
        <v>0</v>
      </c>
      <c r="J371" t="n">
        <v>0</v>
      </c>
      <c r="K371" t="n">
        <v>0</v>
      </c>
      <c r="L371" t="n">
        <v>0</v>
      </c>
      <c r="M371" t="n">
        <v>0</v>
      </c>
      <c r="N371" t="n">
        <v>0</v>
      </c>
      <c r="O371" t="n">
        <v>0</v>
      </c>
      <c r="P371" t="n">
        <v>0</v>
      </c>
      <c r="Q371" t="n">
        <v>1</v>
      </c>
      <c r="R371" s="2" t="inlineStr">
        <is>
          <t>Grönvit nattviol</t>
        </is>
      </c>
      <c r="S371">
        <f>HYPERLINK("https://klasma.github.io/Logging_080883/artfynd/A 14103-2025 artfynd.xlsx", "A 14103-2025")</f>
        <v/>
      </c>
      <c r="T371">
        <f>HYPERLINK("https://klasma.github.io/Logging_080883/kartor/A 14103-2025 karta.png", "A 14103-2025")</f>
        <v/>
      </c>
      <c r="V371">
        <f>HYPERLINK("https://klasma.github.io/Logging_080883/klagomål/A 14103-2025 FSC-klagomål.docx", "A 14103-2025")</f>
        <v/>
      </c>
      <c r="W371">
        <f>HYPERLINK("https://klasma.github.io/Logging_080883/klagomålsmail/A 14103-2025 FSC-klagomål mail.docx", "A 14103-2025")</f>
        <v/>
      </c>
      <c r="X371">
        <f>HYPERLINK("https://klasma.github.io/Logging_080883/tillsyn/A 14103-2025 tillsynsbegäran.docx", "A 14103-2025")</f>
        <v/>
      </c>
      <c r="Y371">
        <f>HYPERLINK("https://klasma.github.io/Logging_080883/tillsynsmail/A 14103-2025 tillsynsbegäran mail.docx", "A 14103-2025")</f>
        <v/>
      </c>
    </row>
    <row r="372" ht="15" customHeight="1">
      <c r="A372" t="inlineStr">
        <is>
          <t>A 14592-2025</t>
        </is>
      </c>
      <c r="B372" s="1" t="n">
        <v>45742</v>
      </c>
      <c r="C372" s="1" t="n">
        <v>45842</v>
      </c>
      <c r="D372" t="inlineStr">
        <is>
          <t>KALMAR LÄN</t>
        </is>
      </c>
      <c r="E372" t="inlineStr">
        <is>
          <t>VÄSTERVIK</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HYPERLINK("https://klasma.github.io/Logging_080883/artfynd/A 14592-2025 artfynd.xlsx", "A 14592-2025")</f>
        <v/>
      </c>
      <c r="T372">
        <f>HYPERLINK("https://klasma.github.io/Logging_080883/kartor/A 14592-2025 karta.png", "A 14592-2025")</f>
        <v/>
      </c>
      <c r="U372">
        <f>HYPERLINK("https://klasma.github.io/Logging_080883/knärot/A 14592-2025 karta knärot.png", "A 14592-2025")</f>
        <v/>
      </c>
      <c r="V372">
        <f>HYPERLINK("https://klasma.github.io/Logging_080883/klagomål/A 14592-2025 FSC-klagomål.docx", "A 14592-2025")</f>
        <v/>
      </c>
      <c r="W372">
        <f>HYPERLINK("https://klasma.github.io/Logging_080883/klagomålsmail/A 14592-2025 FSC-klagomål mail.docx", "A 14592-2025")</f>
        <v/>
      </c>
      <c r="X372">
        <f>HYPERLINK("https://klasma.github.io/Logging_080883/tillsyn/A 14592-2025 tillsynsbegäran.docx", "A 14592-2025")</f>
        <v/>
      </c>
      <c r="Y372">
        <f>HYPERLINK("https://klasma.github.io/Logging_080883/tillsynsmail/A 14592-2025 tillsynsbegäran mail.docx", "A 14592-2025")</f>
        <v/>
      </c>
    </row>
    <row r="373" ht="15" customHeight="1">
      <c r="A373" t="inlineStr">
        <is>
          <t>A 16695-2025</t>
        </is>
      </c>
      <c r="B373" s="1" t="n">
        <v>45754</v>
      </c>
      <c r="C373" s="1" t="n">
        <v>45842</v>
      </c>
      <c r="D373" t="inlineStr">
        <is>
          <t>KALMAR LÄN</t>
        </is>
      </c>
      <c r="E373" t="inlineStr">
        <is>
          <t>VÄSTERVIK</t>
        </is>
      </c>
      <c r="F373" t="inlineStr">
        <is>
          <t>Sveaskog</t>
        </is>
      </c>
      <c r="G373" t="n">
        <v>1.8</v>
      </c>
      <c r="H373" t="n">
        <v>1</v>
      </c>
      <c r="I373" t="n">
        <v>0</v>
      </c>
      <c r="J373" t="n">
        <v>0</v>
      </c>
      <c r="K373" t="n">
        <v>0</v>
      </c>
      <c r="L373" t="n">
        <v>0</v>
      </c>
      <c r="M373" t="n">
        <v>0</v>
      </c>
      <c r="N373" t="n">
        <v>0</v>
      </c>
      <c r="O373" t="n">
        <v>0</v>
      </c>
      <c r="P373" t="n">
        <v>0</v>
      </c>
      <c r="Q373" t="n">
        <v>1</v>
      </c>
      <c r="R373" s="2" t="inlineStr">
        <is>
          <t>Kungsfågel</t>
        </is>
      </c>
      <c r="S373">
        <f>HYPERLINK("https://klasma.github.io/Logging_080883/artfynd/A 16695-2025 artfynd.xlsx", "A 16695-2025")</f>
        <v/>
      </c>
      <c r="T373">
        <f>HYPERLINK("https://klasma.github.io/Logging_080883/kartor/A 16695-2025 karta.png", "A 16695-2025")</f>
        <v/>
      </c>
      <c r="V373">
        <f>HYPERLINK("https://klasma.github.io/Logging_080883/klagomål/A 16695-2025 FSC-klagomål.docx", "A 16695-2025")</f>
        <v/>
      </c>
      <c r="W373">
        <f>HYPERLINK("https://klasma.github.io/Logging_080883/klagomålsmail/A 16695-2025 FSC-klagomål mail.docx", "A 16695-2025")</f>
        <v/>
      </c>
      <c r="X373">
        <f>HYPERLINK("https://klasma.github.io/Logging_080883/tillsyn/A 16695-2025 tillsynsbegäran.docx", "A 16695-2025")</f>
        <v/>
      </c>
      <c r="Y373">
        <f>HYPERLINK("https://klasma.github.io/Logging_080883/tillsynsmail/A 16695-2025 tillsynsbegäran mail.docx", "A 16695-2025")</f>
        <v/>
      </c>
      <c r="Z373">
        <f>HYPERLINK("https://klasma.github.io/Logging_080883/fåglar/A 16695-2025 prioriterade fågelarter.docx", "A 16695-2025")</f>
        <v/>
      </c>
    </row>
    <row r="374" ht="15" customHeight="1">
      <c r="A374" t="inlineStr">
        <is>
          <t>A 16697-2025</t>
        </is>
      </c>
      <c r="B374" s="1" t="n">
        <v>45754</v>
      </c>
      <c r="C374" s="1" t="n">
        <v>45842</v>
      </c>
      <c r="D374" t="inlineStr">
        <is>
          <t>KALMAR LÄN</t>
        </is>
      </c>
      <c r="E374" t="inlineStr">
        <is>
          <t>VÄSTERVIK</t>
        </is>
      </c>
      <c r="F374" t="inlineStr">
        <is>
          <t>Sveaskog</t>
        </is>
      </c>
      <c r="G374" t="n">
        <v>1.3</v>
      </c>
      <c r="H374" t="n">
        <v>1</v>
      </c>
      <c r="I374" t="n">
        <v>0</v>
      </c>
      <c r="J374" t="n">
        <v>1</v>
      </c>
      <c r="K374" t="n">
        <v>0</v>
      </c>
      <c r="L374" t="n">
        <v>0</v>
      </c>
      <c r="M374" t="n">
        <v>0</v>
      </c>
      <c r="N374" t="n">
        <v>0</v>
      </c>
      <c r="O374" t="n">
        <v>1</v>
      </c>
      <c r="P374" t="n">
        <v>0</v>
      </c>
      <c r="Q374" t="n">
        <v>1</v>
      </c>
      <c r="R374" s="2" t="inlineStr">
        <is>
          <t>Spillkråka</t>
        </is>
      </c>
      <c r="S374">
        <f>HYPERLINK("https://klasma.github.io/Logging_080883/artfynd/A 16697-2025 artfynd.xlsx", "A 16697-2025")</f>
        <v/>
      </c>
      <c r="T374">
        <f>HYPERLINK("https://klasma.github.io/Logging_080883/kartor/A 16697-2025 karta.png", "A 16697-2025")</f>
        <v/>
      </c>
      <c r="V374">
        <f>HYPERLINK("https://klasma.github.io/Logging_080883/klagomål/A 16697-2025 FSC-klagomål.docx", "A 16697-2025")</f>
        <v/>
      </c>
      <c r="W374">
        <f>HYPERLINK("https://klasma.github.io/Logging_080883/klagomålsmail/A 16697-2025 FSC-klagomål mail.docx", "A 16697-2025")</f>
        <v/>
      </c>
      <c r="X374">
        <f>HYPERLINK("https://klasma.github.io/Logging_080883/tillsyn/A 16697-2025 tillsynsbegäran.docx", "A 16697-2025")</f>
        <v/>
      </c>
      <c r="Y374">
        <f>HYPERLINK("https://klasma.github.io/Logging_080883/tillsynsmail/A 16697-2025 tillsynsbegäran mail.docx", "A 16697-2025")</f>
        <v/>
      </c>
      <c r="Z374">
        <f>HYPERLINK("https://klasma.github.io/Logging_080883/fåglar/A 16697-2025 prioriterade fågelarter.docx", "A 16697-2025")</f>
        <v/>
      </c>
    </row>
    <row r="375" ht="15" customHeight="1">
      <c r="A375" t="inlineStr">
        <is>
          <t>A 17953-2025</t>
        </is>
      </c>
      <c r="B375" s="1" t="n">
        <v>45760</v>
      </c>
      <c r="C375" s="1" t="n">
        <v>45842</v>
      </c>
      <c r="D375" t="inlineStr">
        <is>
          <t>KALMAR LÄN</t>
        </is>
      </c>
      <c r="E375" t="inlineStr">
        <is>
          <t>VÄSTERVIK</t>
        </is>
      </c>
      <c r="G375" t="n">
        <v>4.1</v>
      </c>
      <c r="H375" t="n">
        <v>1</v>
      </c>
      <c r="I375" t="n">
        <v>0</v>
      </c>
      <c r="J375" t="n">
        <v>1</v>
      </c>
      <c r="K375" t="n">
        <v>0</v>
      </c>
      <c r="L375" t="n">
        <v>0</v>
      </c>
      <c r="M375" t="n">
        <v>0</v>
      </c>
      <c r="N375" t="n">
        <v>0</v>
      </c>
      <c r="O375" t="n">
        <v>1</v>
      </c>
      <c r="P375" t="n">
        <v>0</v>
      </c>
      <c r="Q375" t="n">
        <v>1</v>
      </c>
      <c r="R375" s="2" t="inlineStr">
        <is>
          <t>Talltita</t>
        </is>
      </c>
      <c r="S375">
        <f>HYPERLINK("https://klasma.github.io/Logging_080883/artfynd/A 17953-2025 artfynd.xlsx", "A 17953-2025")</f>
        <v/>
      </c>
      <c r="T375">
        <f>HYPERLINK("https://klasma.github.io/Logging_080883/kartor/A 17953-2025 karta.png", "A 17953-2025")</f>
        <v/>
      </c>
      <c r="V375">
        <f>HYPERLINK("https://klasma.github.io/Logging_080883/klagomål/A 17953-2025 FSC-klagomål.docx", "A 17953-2025")</f>
        <v/>
      </c>
      <c r="W375">
        <f>HYPERLINK("https://klasma.github.io/Logging_080883/klagomålsmail/A 17953-2025 FSC-klagomål mail.docx", "A 17953-2025")</f>
        <v/>
      </c>
      <c r="X375">
        <f>HYPERLINK("https://klasma.github.io/Logging_080883/tillsyn/A 17953-2025 tillsynsbegäran.docx", "A 17953-2025")</f>
        <v/>
      </c>
      <c r="Y375">
        <f>HYPERLINK("https://klasma.github.io/Logging_080883/tillsynsmail/A 17953-2025 tillsynsbegäran mail.docx", "A 17953-2025")</f>
        <v/>
      </c>
      <c r="Z375">
        <f>HYPERLINK("https://klasma.github.io/Logging_080883/fåglar/A 17953-2025 prioriterade fågelarter.docx", "A 17953-2025")</f>
        <v/>
      </c>
    </row>
    <row r="376" ht="15" customHeight="1">
      <c r="A376" t="inlineStr">
        <is>
          <t>A 17952-2025</t>
        </is>
      </c>
      <c r="B376" s="1" t="n">
        <v>45760</v>
      </c>
      <c r="C376" s="1" t="n">
        <v>45842</v>
      </c>
      <c r="D376" t="inlineStr">
        <is>
          <t>KALMAR LÄN</t>
        </is>
      </c>
      <c r="E376" t="inlineStr">
        <is>
          <t>VÄSTERVIK</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HYPERLINK("https://klasma.github.io/Logging_080883/artfynd/A 17952-2025 artfynd.xlsx", "A 17952-2025")</f>
        <v/>
      </c>
      <c r="T376">
        <f>HYPERLINK("https://klasma.github.io/Logging_080883/kartor/A 17952-2025 karta.png", "A 17952-2025")</f>
        <v/>
      </c>
      <c r="V376">
        <f>HYPERLINK("https://klasma.github.io/Logging_080883/klagomål/A 17952-2025 FSC-klagomål.docx", "A 17952-2025")</f>
        <v/>
      </c>
      <c r="W376">
        <f>HYPERLINK("https://klasma.github.io/Logging_080883/klagomålsmail/A 17952-2025 FSC-klagomål mail.docx", "A 17952-2025")</f>
        <v/>
      </c>
      <c r="X376">
        <f>HYPERLINK("https://klasma.github.io/Logging_080883/tillsyn/A 17952-2025 tillsynsbegäran.docx", "A 17952-2025")</f>
        <v/>
      </c>
      <c r="Y376">
        <f>HYPERLINK("https://klasma.github.io/Logging_080883/tillsynsmail/A 17952-2025 tillsynsbegäran mail.docx", "A 17952-2025")</f>
        <v/>
      </c>
    </row>
    <row r="377" ht="15" customHeight="1">
      <c r="A377" t="inlineStr">
        <is>
          <t>A 21409-2025</t>
        </is>
      </c>
      <c r="B377" s="1" t="n">
        <v>45782</v>
      </c>
      <c r="C377" s="1" t="n">
        <v>45842</v>
      </c>
      <c r="D377" t="inlineStr">
        <is>
          <t>KALMAR LÄN</t>
        </is>
      </c>
      <c r="E377" t="inlineStr">
        <is>
          <t>VÄSTERVIK</t>
        </is>
      </c>
      <c r="G377" t="n">
        <v>2.5</v>
      </c>
      <c r="H377" t="n">
        <v>1</v>
      </c>
      <c r="I377" t="n">
        <v>0</v>
      </c>
      <c r="J377" t="n">
        <v>0</v>
      </c>
      <c r="K377" t="n">
        <v>0</v>
      </c>
      <c r="L377" t="n">
        <v>0</v>
      </c>
      <c r="M377" t="n">
        <v>0</v>
      </c>
      <c r="N377" t="n">
        <v>0</v>
      </c>
      <c r="O377" t="n">
        <v>0</v>
      </c>
      <c r="P377" t="n">
        <v>0</v>
      </c>
      <c r="Q377" t="n">
        <v>1</v>
      </c>
      <c r="R377" s="2" t="inlineStr">
        <is>
          <t>Grönvit nattviol</t>
        </is>
      </c>
      <c r="S377">
        <f>HYPERLINK("https://klasma.github.io/Logging_080883/artfynd/A 21409-2025 artfynd.xlsx", "A 21409-2025")</f>
        <v/>
      </c>
      <c r="T377">
        <f>HYPERLINK("https://klasma.github.io/Logging_080883/kartor/A 21409-2025 karta.png", "A 21409-2025")</f>
        <v/>
      </c>
      <c r="V377">
        <f>HYPERLINK("https://klasma.github.io/Logging_080883/klagomål/A 21409-2025 FSC-klagomål.docx", "A 21409-2025")</f>
        <v/>
      </c>
      <c r="W377">
        <f>HYPERLINK("https://klasma.github.io/Logging_080883/klagomålsmail/A 21409-2025 FSC-klagomål mail.docx", "A 21409-2025")</f>
        <v/>
      </c>
      <c r="X377">
        <f>HYPERLINK("https://klasma.github.io/Logging_080883/tillsyn/A 21409-2025 tillsynsbegäran.docx", "A 21409-2025")</f>
        <v/>
      </c>
      <c r="Y377">
        <f>HYPERLINK("https://klasma.github.io/Logging_080883/tillsynsmail/A 21409-2025 tillsynsbegäran mail.docx", "A 21409-2025")</f>
        <v/>
      </c>
    </row>
    <row r="378" ht="15" customHeight="1">
      <c r="A378" t="inlineStr">
        <is>
          <t>A 21653-2025</t>
        </is>
      </c>
      <c r="B378" s="1" t="n">
        <v>45783</v>
      </c>
      <c r="C378" s="1" t="n">
        <v>45842</v>
      </c>
      <c r="D378" t="inlineStr">
        <is>
          <t>KALMAR LÄN</t>
        </is>
      </c>
      <c r="E378" t="inlineStr">
        <is>
          <t>VÄSTERVIK</t>
        </is>
      </c>
      <c r="F378" t="inlineStr">
        <is>
          <t>Sveaskog</t>
        </is>
      </c>
      <c r="G378" t="n">
        <v>2.8</v>
      </c>
      <c r="H378" t="n">
        <v>1</v>
      </c>
      <c r="I378" t="n">
        <v>0</v>
      </c>
      <c r="J378" t="n">
        <v>1</v>
      </c>
      <c r="K378" t="n">
        <v>0</v>
      </c>
      <c r="L378" t="n">
        <v>0</v>
      </c>
      <c r="M378" t="n">
        <v>0</v>
      </c>
      <c r="N378" t="n">
        <v>0</v>
      </c>
      <c r="O378" t="n">
        <v>1</v>
      </c>
      <c r="P378" t="n">
        <v>0</v>
      </c>
      <c r="Q378" t="n">
        <v>1</v>
      </c>
      <c r="R378" s="2" t="inlineStr">
        <is>
          <t>Entita</t>
        </is>
      </c>
      <c r="S378">
        <f>HYPERLINK("https://klasma.github.io/Logging_080883/artfynd/A 21653-2025 artfynd.xlsx", "A 21653-2025")</f>
        <v/>
      </c>
      <c r="T378">
        <f>HYPERLINK("https://klasma.github.io/Logging_080883/kartor/A 21653-2025 karta.png", "A 21653-2025")</f>
        <v/>
      </c>
      <c r="V378">
        <f>HYPERLINK("https://klasma.github.io/Logging_080883/klagomål/A 21653-2025 FSC-klagomål.docx", "A 21653-2025")</f>
        <v/>
      </c>
      <c r="W378">
        <f>HYPERLINK("https://klasma.github.io/Logging_080883/klagomålsmail/A 21653-2025 FSC-klagomål mail.docx", "A 21653-2025")</f>
        <v/>
      </c>
      <c r="X378">
        <f>HYPERLINK("https://klasma.github.io/Logging_080883/tillsyn/A 21653-2025 tillsynsbegäran.docx", "A 21653-2025")</f>
        <v/>
      </c>
      <c r="Y378">
        <f>HYPERLINK("https://klasma.github.io/Logging_080883/tillsynsmail/A 21653-2025 tillsynsbegäran mail.docx", "A 21653-2025")</f>
        <v/>
      </c>
      <c r="Z378">
        <f>HYPERLINK("https://klasma.github.io/Logging_080883/fåglar/A 21653-2025 prioriterade fågelarter.docx", "A 21653-2025")</f>
        <v/>
      </c>
    </row>
    <row r="379" ht="15" customHeight="1">
      <c r="A379" t="inlineStr">
        <is>
          <t>A 23192-2025</t>
        </is>
      </c>
      <c r="B379" s="1" t="n">
        <v>45791</v>
      </c>
      <c r="C379" s="1" t="n">
        <v>45842</v>
      </c>
      <c r="D379" t="inlineStr">
        <is>
          <t>KALMAR LÄN</t>
        </is>
      </c>
      <c r="E379" t="inlineStr">
        <is>
          <t>VÄSTERVIK</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HYPERLINK("https://klasma.github.io/Logging_080883/artfynd/A 23192-2025 artfynd.xlsx", "A 23192-2025")</f>
        <v/>
      </c>
      <c r="T379">
        <f>HYPERLINK("https://klasma.github.io/Logging_080883/kartor/A 23192-2025 karta.png", "A 23192-2025")</f>
        <v/>
      </c>
      <c r="V379">
        <f>HYPERLINK("https://klasma.github.io/Logging_080883/klagomål/A 23192-2025 FSC-klagomål.docx", "A 23192-2025")</f>
        <v/>
      </c>
      <c r="W379">
        <f>HYPERLINK("https://klasma.github.io/Logging_080883/klagomålsmail/A 23192-2025 FSC-klagomål mail.docx", "A 23192-2025")</f>
        <v/>
      </c>
      <c r="X379">
        <f>HYPERLINK("https://klasma.github.io/Logging_080883/tillsyn/A 23192-2025 tillsynsbegäran.docx", "A 23192-2025")</f>
        <v/>
      </c>
      <c r="Y379">
        <f>HYPERLINK("https://klasma.github.io/Logging_080883/tillsynsmail/A 23192-2025 tillsynsbegäran mail.docx", "A 23192-2025")</f>
        <v/>
      </c>
      <c r="Z379">
        <f>HYPERLINK("https://klasma.github.io/Logging_080883/fåglar/A 23192-2025 prioriterade fågelarter.docx", "A 23192-2025")</f>
        <v/>
      </c>
    </row>
    <row r="380" ht="15" customHeight="1">
      <c r="A380" t="inlineStr">
        <is>
          <t>A 23199-2025</t>
        </is>
      </c>
      <c r="B380" s="1" t="n">
        <v>45791</v>
      </c>
      <c r="C380" s="1" t="n">
        <v>45842</v>
      </c>
      <c r="D380" t="inlineStr">
        <is>
          <t>KALMAR LÄN</t>
        </is>
      </c>
      <c r="E380" t="inlineStr">
        <is>
          <t>VÄSTERVIK</t>
        </is>
      </c>
      <c r="G380" t="n">
        <v>2.1</v>
      </c>
      <c r="H380" t="n">
        <v>0</v>
      </c>
      <c r="I380" t="n">
        <v>1</v>
      </c>
      <c r="J380" t="n">
        <v>0</v>
      </c>
      <c r="K380" t="n">
        <v>0</v>
      </c>
      <c r="L380" t="n">
        <v>0</v>
      </c>
      <c r="M380" t="n">
        <v>0</v>
      </c>
      <c r="N380" t="n">
        <v>0</v>
      </c>
      <c r="O380" t="n">
        <v>0</v>
      </c>
      <c r="P380" t="n">
        <v>0</v>
      </c>
      <c r="Q380" t="n">
        <v>1</v>
      </c>
      <c r="R380" s="2" t="inlineStr">
        <is>
          <t>Blåmossa</t>
        </is>
      </c>
      <c r="S380">
        <f>HYPERLINK("https://klasma.github.io/Logging_080883/artfynd/A 23199-2025 artfynd.xlsx", "A 23199-2025")</f>
        <v/>
      </c>
      <c r="T380">
        <f>HYPERLINK("https://klasma.github.io/Logging_080883/kartor/A 23199-2025 karta.png", "A 23199-2025")</f>
        <v/>
      </c>
      <c r="V380">
        <f>HYPERLINK("https://klasma.github.io/Logging_080883/klagomål/A 23199-2025 FSC-klagomål.docx", "A 23199-2025")</f>
        <v/>
      </c>
      <c r="W380">
        <f>HYPERLINK("https://klasma.github.io/Logging_080883/klagomålsmail/A 23199-2025 FSC-klagomål mail.docx", "A 23199-2025")</f>
        <v/>
      </c>
      <c r="X380">
        <f>HYPERLINK("https://klasma.github.io/Logging_080883/tillsyn/A 23199-2025 tillsynsbegäran.docx", "A 23199-2025")</f>
        <v/>
      </c>
      <c r="Y380">
        <f>HYPERLINK("https://klasma.github.io/Logging_080883/tillsynsmail/A 23199-2025 tillsynsbegäran mail.docx", "A 23199-2025")</f>
        <v/>
      </c>
    </row>
    <row r="381" ht="15" customHeight="1">
      <c r="A381" t="inlineStr">
        <is>
          <t>A 23186-2025</t>
        </is>
      </c>
      <c r="B381" s="1" t="n">
        <v>45791</v>
      </c>
      <c r="C381" s="1" t="n">
        <v>45842</v>
      </c>
      <c r="D381" t="inlineStr">
        <is>
          <t>KALMAR LÄN</t>
        </is>
      </c>
      <c r="E381" t="inlineStr">
        <is>
          <t>VÄSTERVIK</t>
        </is>
      </c>
      <c r="G381" t="n">
        <v>1.4</v>
      </c>
      <c r="H381" t="n">
        <v>0</v>
      </c>
      <c r="I381" t="n">
        <v>0</v>
      </c>
      <c r="J381" t="n">
        <v>1</v>
      </c>
      <c r="K381" t="n">
        <v>0</v>
      </c>
      <c r="L381" t="n">
        <v>0</v>
      </c>
      <c r="M381" t="n">
        <v>0</v>
      </c>
      <c r="N381" t="n">
        <v>0</v>
      </c>
      <c r="O381" t="n">
        <v>1</v>
      </c>
      <c r="P381" t="n">
        <v>0</v>
      </c>
      <c r="Q381" t="n">
        <v>1</v>
      </c>
      <c r="R381" s="2" t="inlineStr">
        <is>
          <t>Krusfrö</t>
        </is>
      </c>
      <c r="S381">
        <f>HYPERLINK("https://klasma.github.io/Logging_080883/artfynd/A 23186-2025 artfynd.xlsx", "A 23186-2025")</f>
        <v/>
      </c>
      <c r="T381">
        <f>HYPERLINK("https://klasma.github.io/Logging_080883/kartor/A 23186-2025 karta.png", "A 23186-2025")</f>
        <v/>
      </c>
      <c r="V381">
        <f>HYPERLINK("https://klasma.github.io/Logging_080883/klagomål/A 23186-2025 FSC-klagomål.docx", "A 23186-2025")</f>
        <v/>
      </c>
      <c r="W381">
        <f>HYPERLINK("https://klasma.github.io/Logging_080883/klagomålsmail/A 23186-2025 FSC-klagomål mail.docx", "A 23186-2025")</f>
        <v/>
      </c>
      <c r="X381">
        <f>HYPERLINK("https://klasma.github.io/Logging_080883/tillsyn/A 23186-2025 tillsynsbegäran.docx", "A 23186-2025")</f>
        <v/>
      </c>
      <c r="Y381">
        <f>HYPERLINK("https://klasma.github.io/Logging_080883/tillsynsmail/A 23186-2025 tillsynsbegäran mail.docx", "A 23186-2025")</f>
        <v/>
      </c>
    </row>
    <row r="382" ht="15" customHeight="1">
      <c r="A382" t="inlineStr">
        <is>
          <t>A 24808-2025</t>
        </is>
      </c>
      <c r="B382" s="1" t="n">
        <v>45799</v>
      </c>
      <c r="C382" s="1" t="n">
        <v>45842</v>
      </c>
      <c r="D382" t="inlineStr">
        <is>
          <t>KALMAR LÄN</t>
        </is>
      </c>
      <c r="E382" t="inlineStr">
        <is>
          <t>VÄSTERVIK</t>
        </is>
      </c>
      <c r="G382" t="n">
        <v>2.9</v>
      </c>
      <c r="H382" t="n">
        <v>1</v>
      </c>
      <c r="I382" t="n">
        <v>0</v>
      </c>
      <c r="J382" t="n">
        <v>0</v>
      </c>
      <c r="K382" t="n">
        <v>0</v>
      </c>
      <c r="L382" t="n">
        <v>0</v>
      </c>
      <c r="M382" t="n">
        <v>0</v>
      </c>
      <c r="N382" t="n">
        <v>0</v>
      </c>
      <c r="O382" t="n">
        <v>0</v>
      </c>
      <c r="P382" t="n">
        <v>0</v>
      </c>
      <c r="Q382" t="n">
        <v>1</v>
      </c>
      <c r="R382" s="2" t="inlineStr">
        <is>
          <t>Fläcknycklar</t>
        </is>
      </c>
      <c r="S382">
        <f>HYPERLINK("https://klasma.github.io/Logging_080883/artfynd/A 24808-2025 artfynd.xlsx", "A 24808-2025")</f>
        <v/>
      </c>
      <c r="T382">
        <f>HYPERLINK("https://klasma.github.io/Logging_080883/kartor/A 24808-2025 karta.png", "A 24808-2025")</f>
        <v/>
      </c>
      <c r="V382">
        <f>HYPERLINK("https://klasma.github.io/Logging_080883/klagomål/A 24808-2025 FSC-klagomål.docx", "A 24808-2025")</f>
        <v/>
      </c>
      <c r="W382">
        <f>HYPERLINK("https://klasma.github.io/Logging_080883/klagomålsmail/A 24808-2025 FSC-klagomål mail.docx", "A 24808-2025")</f>
        <v/>
      </c>
      <c r="X382">
        <f>HYPERLINK("https://klasma.github.io/Logging_080883/tillsyn/A 24808-2025 tillsynsbegäran.docx", "A 24808-2025")</f>
        <v/>
      </c>
      <c r="Y382">
        <f>HYPERLINK("https://klasma.github.io/Logging_080883/tillsynsmail/A 24808-2025 tillsynsbegäran mail.docx", "A 24808-2025")</f>
        <v/>
      </c>
    </row>
    <row r="383" ht="15" customHeight="1">
      <c r="A383" t="inlineStr">
        <is>
          <t>A 24884-2025</t>
        </is>
      </c>
      <c r="B383" s="1" t="n">
        <v>45799</v>
      </c>
      <c r="C383" s="1" t="n">
        <v>45842</v>
      </c>
      <c r="D383" t="inlineStr">
        <is>
          <t>KALMAR LÄN</t>
        </is>
      </c>
      <c r="E383" t="inlineStr">
        <is>
          <t>VÄSTERVIK</t>
        </is>
      </c>
      <c r="F383" t="inlineStr">
        <is>
          <t>Holmen skog AB</t>
        </is>
      </c>
      <c r="G383" t="n">
        <v>5.1</v>
      </c>
      <c r="H383" t="n">
        <v>0</v>
      </c>
      <c r="I383" t="n">
        <v>1</v>
      </c>
      <c r="J383" t="n">
        <v>0</v>
      </c>
      <c r="K383" t="n">
        <v>0</v>
      </c>
      <c r="L383" t="n">
        <v>0</v>
      </c>
      <c r="M383" t="n">
        <v>0</v>
      </c>
      <c r="N383" t="n">
        <v>0</v>
      </c>
      <c r="O383" t="n">
        <v>0</v>
      </c>
      <c r="P383" t="n">
        <v>0</v>
      </c>
      <c r="Q383" t="n">
        <v>1</v>
      </c>
      <c r="R383" s="2" t="inlineStr">
        <is>
          <t>Strävlosta</t>
        </is>
      </c>
      <c r="S383">
        <f>HYPERLINK("https://klasma.github.io/Logging_080883/artfynd/A 24884-2025 artfynd.xlsx", "A 24884-2025")</f>
        <v/>
      </c>
      <c r="T383">
        <f>HYPERLINK("https://klasma.github.io/Logging_080883/kartor/A 24884-2025 karta.png", "A 24884-2025")</f>
        <v/>
      </c>
      <c r="V383">
        <f>HYPERLINK("https://klasma.github.io/Logging_080883/klagomål/A 24884-2025 FSC-klagomål.docx", "A 24884-2025")</f>
        <v/>
      </c>
      <c r="W383">
        <f>HYPERLINK("https://klasma.github.io/Logging_080883/klagomålsmail/A 24884-2025 FSC-klagomål mail.docx", "A 24884-2025")</f>
        <v/>
      </c>
      <c r="X383">
        <f>HYPERLINK("https://klasma.github.io/Logging_080883/tillsyn/A 24884-2025 tillsynsbegäran.docx", "A 24884-2025")</f>
        <v/>
      </c>
      <c r="Y383">
        <f>HYPERLINK("https://klasma.github.io/Logging_080883/tillsynsmail/A 24884-2025 tillsynsbegäran mail.docx", "A 24884-2025")</f>
        <v/>
      </c>
    </row>
    <row r="384" ht="15" customHeight="1">
      <c r="A384" t="inlineStr">
        <is>
          <t>A 25501-2025</t>
        </is>
      </c>
      <c r="B384" s="1" t="n">
        <v>45803</v>
      </c>
      <c r="C384" s="1" t="n">
        <v>45842</v>
      </c>
      <c r="D384" t="inlineStr">
        <is>
          <t>KALMAR LÄN</t>
        </is>
      </c>
      <c r="E384" t="inlineStr">
        <is>
          <t>VÄSTERVIK</t>
        </is>
      </c>
      <c r="G384" t="n">
        <v>1.8</v>
      </c>
      <c r="H384" t="n">
        <v>1</v>
      </c>
      <c r="I384" t="n">
        <v>0</v>
      </c>
      <c r="J384" t="n">
        <v>0</v>
      </c>
      <c r="K384" t="n">
        <v>0</v>
      </c>
      <c r="L384" t="n">
        <v>0</v>
      </c>
      <c r="M384" t="n">
        <v>0</v>
      </c>
      <c r="N384" t="n">
        <v>0</v>
      </c>
      <c r="O384" t="n">
        <v>0</v>
      </c>
      <c r="P384" t="n">
        <v>0</v>
      </c>
      <c r="Q384" t="n">
        <v>1</v>
      </c>
      <c r="R384" s="2" t="inlineStr">
        <is>
          <t>Kungsfågel</t>
        </is>
      </c>
      <c r="S384">
        <f>HYPERLINK("https://klasma.github.io/Logging_080883/artfynd/A 25501-2025 artfynd.xlsx", "A 25501-2025")</f>
        <v/>
      </c>
      <c r="T384">
        <f>HYPERLINK("https://klasma.github.io/Logging_080883/kartor/A 25501-2025 karta.png", "A 25501-2025")</f>
        <v/>
      </c>
      <c r="U384">
        <f>HYPERLINK("https://klasma.github.io/Logging_080883/knärot/A 25501-2025 karta knärot.png", "A 25501-2025")</f>
        <v/>
      </c>
      <c r="V384">
        <f>HYPERLINK("https://klasma.github.io/Logging_080883/klagomål/A 25501-2025 FSC-klagomål.docx", "A 25501-2025")</f>
        <v/>
      </c>
      <c r="W384">
        <f>HYPERLINK("https://klasma.github.io/Logging_080883/klagomålsmail/A 25501-2025 FSC-klagomål mail.docx", "A 25501-2025")</f>
        <v/>
      </c>
      <c r="X384">
        <f>HYPERLINK("https://klasma.github.io/Logging_080883/tillsyn/A 25501-2025 tillsynsbegäran.docx", "A 25501-2025")</f>
        <v/>
      </c>
      <c r="Y384">
        <f>HYPERLINK("https://klasma.github.io/Logging_080883/tillsynsmail/A 25501-2025 tillsynsbegäran mail.docx", "A 25501-2025")</f>
        <v/>
      </c>
      <c r="Z384">
        <f>HYPERLINK("https://klasma.github.io/Logging_080883/fåglar/A 25501-2025 prioriterade fågelarter.docx", "A 25501-2025")</f>
        <v/>
      </c>
    </row>
    <row r="385" ht="15" customHeight="1">
      <c r="A385" t="inlineStr">
        <is>
          <t>A 26516-2025</t>
        </is>
      </c>
      <c r="B385" s="1" t="n">
        <v>45807</v>
      </c>
      <c r="C385" s="1" t="n">
        <v>45842</v>
      </c>
      <c r="D385" t="inlineStr">
        <is>
          <t>KALMAR LÄN</t>
        </is>
      </c>
      <c r="E385" t="inlineStr">
        <is>
          <t>VÄSTERVIK</t>
        </is>
      </c>
      <c r="G385" t="n">
        <v>1.3</v>
      </c>
      <c r="H385" t="n">
        <v>1</v>
      </c>
      <c r="I385" t="n">
        <v>0</v>
      </c>
      <c r="J385" t="n">
        <v>1</v>
      </c>
      <c r="K385" t="n">
        <v>0</v>
      </c>
      <c r="L385" t="n">
        <v>0</v>
      </c>
      <c r="M385" t="n">
        <v>0</v>
      </c>
      <c r="N385" t="n">
        <v>0</v>
      </c>
      <c r="O385" t="n">
        <v>1</v>
      </c>
      <c r="P385" t="n">
        <v>0</v>
      </c>
      <c r="Q385" t="n">
        <v>1</v>
      </c>
      <c r="R385" s="2" t="inlineStr">
        <is>
          <t>Grönsångare</t>
        </is>
      </c>
      <c r="S385">
        <f>HYPERLINK("https://klasma.github.io/Logging_080883/artfynd/A 26516-2025 artfynd.xlsx", "A 26516-2025")</f>
        <v/>
      </c>
      <c r="T385">
        <f>HYPERLINK("https://klasma.github.io/Logging_080883/kartor/A 26516-2025 karta.png", "A 26516-2025")</f>
        <v/>
      </c>
      <c r="V385">
        <f>HYPERLINK("https://klasma.github.io/Logging_080883/klagomål/A 26516-2025 FSC-klagomål.docx", "A 26516-2025")</f>
        <v/>
      </c>
      <c r="W385">
        <f>HYPERLINK("https://klasma.github.io/Logging_080883/klagomålsmail/A 26516-2025 FSC-klagomål mail.docx", "A 26516-2025")</f>
        <v/>
      </c>
      <c r="X385">
        <f>HYPERLINK("https://klasma.github.io/Logging_080883/tillsyn/A 26516-2025 tillsynsbegäran.docx", "A 26516-2025")</f>
        <v/>
      </c>
      <c r="Y385">
        <f>HYPERLINK("https://klasma.github.io/Logging_080883/tillsynsmail/A 26516-2025 tillsynsbegäran mail.docx", "A 26516-2025")</f>
        <v/>
      </c>
      <c r="Z385">
        <f>HYPERLINK("https://klasma.github.io/Logging_080883/fåglar/A 26516-2025 prioriterade fågelarter.docx", "A 26516-2025")</f>
        <v/>
      </c>
    </row>
    <row r="386" ht="15" customHeight="1">
      <c r="A386" t="inlineStr">
        <is>
          <t>A 27426-2025</t>
        </is>
      </c>
      <c r="B386" s="1" t="n">
        <v>45813</v>
      </c>
      <c r="C386" s="1" t="n">
        <v>45842</v>
      </c>
      <c r="D386" t="inlineStr">
        <is>
          <t>KALMAR LÄN</t>
        </is>
      </c>
      <c r="E386" t="inlineStr">
        <is>
          <t>VÄSTERVIK</t>
        </is>
      </c>
      <c r="G386" t="n">
        <v>2</v>
      </c>
      <c r="H386" t="n">
        <v>0</v>
      </c>
      <c r="I386" t="n">
        <v>1</v>
      </c>
      <c r="J386" t="n">
        <v>0</v>
      </c>
      <c r="K386" t="n">
        <v>0</v>
      </c>
      <c r="L386" t="n">
        <v>0</v>
      </c>
      <c r="M386" t="n">
        <v>0</v>
      </c>
      <c r="N386" t="n">
        <v>0</v>
      </c>
      <c r="O386" t="n">
        <v>0</v>
      </c>
      <c r="P386" t="n">
        <v>0</v>
      </c>
      <c r="Q386" t="n">
        <v>1</v>
      </c>
      <c r="R386" s="2" t="inlineStr">
        <is>
          <t>Vätteros</t>
        </is>
      </c>
      <c r="S386">
        <f>HYPERLINK("https://klasma.github.io/Logging_080883/artfynd/A 27426-2025 artfynd.xlsx", "A 27426-2025")</f>
        <v/>
      </c>
      <c r="T386">
        <f>HYPERLINK("https://klasma.github.io/Logging_080883/kartor/A 27426-2025 karta.png", "A 27426-2025")</f>
        <v/>
      </c>
      <c r="V386">
        <f>HYPERLINK("https://klasma.github.io/Logging_080883/klagomål/A 27426-2025 FSC-klagomål.docx", "A 27426-2025")</f>
        <v/>
      </c>
      <c r="W386">
        <f>HYPERLINK("https://klasma.github.io/Logging_080883/klagomålsmail/A 27426-2025 FSC-klagomål mail.docx", "A 27426-2025")</f>
        <v/>
      </c>
      <c r="X386">
        <f>HYPERLINK("https://klasma.github.io/Logging_080883/tillsyn/A 27426-2025 tillsynsbegäran.docx", "A 27426-2025")</f>
        <v/>
      </c>
      <c r="Y386">
        <f>HYPERLINK("https://klasma.github.io/Logging_080883/tillsynsmail/A 27426-2025 tillsynsbegäran mail.docx", "A 27426-2025")</f>
        <v/>
      </c>
    </row>
    <row r="387" ht="15" customHeight="1">
      <c r="A387" t="inlineStr">
        <is>
          <t>A 17794-2019</t>
        </is>
      </c>
      <c r="B387" s="1" t="n">
        <v>43556</v>
      </c>
      <c r="C387" s="1" t="n">
        <v>45842</v>
      </c>
      <c r="D387" t="inlineStr">
        <is>
          <t>KALMAR LÄN</t>
        </is>
      </c>
      <c r="E387" t="inlineStr">
        <is>
          <t>VÄSTERVIK</t>
        </is>
      </c>
      <c r="G387" t="n">
        <v>3.3</v>
      </c>
      <c r="H387" t="n">
        <v>0</v>
      </c>
      <c r="I387" t="n">
        <v>0</v>
      </c>
      <c r="J387" t="n">
        <v>0</v>
      </c>
      <c r="K387" t="n">
        <v>0</v>
      </c>
      <c r="L387" t="n">
        <v>0</v>
      </c>
      <c r="M387" t="n">
        <v>0</v>
      </c>
      <c r="N387" t="n">
        <v>0</v>
      </c>
      <c r="O387" t="n">
        <v>0</v>
      </c>
      <c r="P387" t="n">
        <v>0</v>
      </c>
      <c r="Q387" t="n">
        <v>0</v>
      </c>
      <c r="R387" s="2" t="inlineStr"/>
    </row>
    <row r="388" ht="15" customHeight="1">
      <c r="A388" t="inlineStr">
        <is>
          <t>A 18417-2019</t>
        </is>
      </c>
      <c r="B388" s="1" t="n">
        <v>43559</v>
      </c>
      <c r="C388" s="1" t="n">
        <v>45842</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18552-2019</t>
        </is>
      </c>
      <c r="B389" s="1" t="n">
        <v>43559</v>
      </c>
      <c r="C389" s="1" t="n">
        <v>45842</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18419-2019</t>
        </is>
      </c>
      <c r="B390" s="1" t="n">
        <v>43559</v>
      </c>
      <c r="C390" s="1" t="n">
        <v>45842</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18768-2019</t>
        </is>
      </c>
      <c r="B391" s="1" t="n">
        <v>43560</v>
      </c>
      <c r="C391" s="1" t="n">
        <v>45842</v>
      </c>
      <c r="D391" t="inlineStr">
        <is>
          <t>KALMAR LÄN</t>
        </is>
      </c>
      <c r="E391" t="inlineStr">
        <is>
          <t>VÄSTERVIK</t>
        </is>
      </c>
      <c r="G391" t="n">
        <v>1.2</v>
      </c>
      <c r="H391" t="n">
        <v>0</v>
      </c>
      <c r="I391" t="n">
        <v>0</v>
      </c>
      <c r="J391" t="n">
        <v>0</v>
      </c>
      <c r="K391" t="n">
        <v>0</v>
      </c>
      <c r="L391" t="n">
        <v>0</v>
      </c>
      <c r="M391" t="n">
        <v>0</v>
      </c>
      <c r="N391" t="n">
        <v>0</v>
      </c>
      <c r="O391" t="n">
        <v>0</v>
      </c>
      <c r="P391" t="n">
        <v>0</v>
      </c>
      <c r="Q391" t="n">
        <v>0</v>
      </c>
      <c r="R391" s="2" t="inlineStr"/>
    </row>
    <row r="392" ht="15" customHeight="1">
      <c r="A392" t="inlineStr">
        <is>
          <t>A 19141-2019</t>
        </is>
      </c>
      <c r="B392" s="1" t="n">
        <v>43564</v>
      </c>
      <c r="C392" s="1" t="n">
        <v>45842</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19414-2019</t>
        </is>
      </c>
      <c r="B393" s="1" t="n">
        <v>43565</v>
      </c>
      <c r="C393" s="1" t="n">
        <v>45842</v>
      </c>
      <c r="D393" t="inlineStr">
        <is>
          <t>KALMAR LÄN</t>
        </is>
      </c>
      <c r="E393" t="inlineStr">
        <is>
          <t>VÄSTERVIK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19653-2019</t>
        </is>
      </c>
      <c r="B394" s="1" t="n">
        <v>43566</v>
      </c>
      <c r="C394" s="1" t="n">
        <v>45842</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19819-2019</t>
        </is>
      </c>
      <c r="B395" s="1" t="n">
        <v>43567</v>
      </c>
      <c r="C395" s="1" t="n">
        <v>45842</v>
      </c>
      <c r="D395" t="inlineStr">
        <is>
          <t>KALMAR LÄN</t>
        </is>
      </c>
      <c r="E395" t="inlineStr">
        <is>
          <t>VÄSTERVIK</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19825-2019</t>
        </is>
      </c>
      <c r="B396" s="1" t="n">
        <v>43567</v>
      </c>
      <c r="C396" s="1" t="n">
        <v>45842</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20371-2019</t>
        </is>
      </c>
      <c r="B397" s="1" t="n">
        <v>43571</v>
      </c>
      <c r="C397" s="1" t="n">
        <v>45842</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24133-2019</t>
        </is>
      </c>
      <c r="B398" s="1" t="n">
        <v>43598</v>
      </c>
      <c r="C398" s="1" t="n">
        <v>45842</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24356-2019</t>
        </is>
      </c>
      <c r="B399" s="1" t="n">
        <v>43599</v>
      </c>
      <c r="C399" s="1" t="n">
        <v>45842</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24358-2019</t>
        </is>
      </c>
      <c r="B400" s="1" t="n">
        <v>43599</v>
      </c>
      <c r="C400" s="1" t="n">
        <v>45842</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24316-2019</t>
        </is>
      </c>
      <c r="B401" s="1" t="n">
        <v>43599</v>
      </c>
      <c r="C401" s="1" t="n">
        <v>45842</v>
      </c>
      <c r="D401" t="inlineStr">
        <is>
          <t>KALMAR LÄN</t>
        </is>
      </c>
      <c r="E401" t="inlineStr">
        <is>
          <t>VÄSTERVIK</t>
        </is>
      </c>
      <c r="G401" t="n">
        <v>14.9</v>
      </c>
      <c r="H401" t="n">
        <v>0</v>
      </c>
      <c r="I401" t="n">
        <v>0</v>
      </c>
      <c r="J401" t="n">
        <v>0</v>
      </c>
      <c r="K401" t="n">
        <v>0</v>
      </c>
      <c r="L401" t="n">
        <v>0</v>
      </c>
      <c r="M401" t="n">
        <v>0</v>
      </c>
      <c r="N401" t="n">
        <v>0</v>
      </c>
      <c r="O401" t="n">
        <v>0</v>
      </c>
      <c r="P401" t="n">
        <v>0</v>
      </c>
      <c r="Q401" t="n">
        <v>0</v>
      </c>
      <c r="R401" s="2" t="inlineStr"/>
    </row>
    <row r="402" ht="15" customHeight="1">
      <c r="A402" t="inlineStr">
        <is>
          <t>A 24318-2019</t>
        </is>
      </c>
      <c r="B402" s="1" t="n">
        <v>43599</v>
      </c>
      <c r="C402" s="1" t="n">
        <v>45842</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24354-2019</t>
        </is>
      </c>
      <c r="B403" s="1" t="n">
        <v>43599</v>
      </c>
      <c r="C403" s="1" t="n">
        <v>45842</v>
      </c>
      <c r="D403" t="inlineStr">
        <is>
          <t>KALMAR LÄN</t>
        </is>
      </c>
      <c r="E403" t="inlineStr">
        <is>
          <t>VÄSTERVIK</t>
        </is>
      </c>
      <c r="G403" t="n">
        <v>3.7</v>
      </c>
      <c r="H403" t="n">
        <v>0</v>
      </c>
      <c r="I403" t="n">
        <v>0</v>
      </c>
      <c r="J403" t="n">
        <v>0</v>
      </c>
      <c r="K403" t="n">
        <v>0</v>
      </c>
      <c r="L403" t="n">
        <v>0</v>
      </c>
      <c r="M403" t="n">
        <v>0</v>
      </c>
      <c r="N403" t="n">
        <v>0</v>
      </c>
      <c r="O403" t="n">
        <v>0</v>
      </c>
      <c r="P403" t="n">
        <v>0</v>
      </c>
      <c r="Q403" t="n">
        <v>0</v>
      </c>
      <c r="R403" s="2" t="inlineStr"/>
    </row>
    <row r="404" ht="15" customHeight="1">
      <c r="A404" t="inlineStr">
        <is>
          <t>A 24550-2019</t>
        </is>
      </c>
      <c r="B404" s="1" t="n">
        <v>43600</v>
      </c>
      <c r="C404" s="1" t="n">
        <v>45842</v>
      </c>
      <c r="D404" t="inlineStr">
        <is>
          <t>KALMAR LÄN</t>
        </is>
      </c>
      <c r="E404" t="inlineStr">
        <is>
          <t>VÄSTERVIK</t>
        </is>
      </c>
      <c r="G404" t="n">
        <v>3.6</v>
      </c>
      <c r="H404" t="n">
        <v>0</v>
      </c>
      <c r="I404" t="n">
        <v>0</v>
      </c>
      <c r="J404" t="n">
        <v>0</v>
      </c>
      <c r="K404" t="n">
        <v>0</v>
      </c>
      <c r="L404" t="n">
        <v>0</v>
      </c>
      <c r="M404" t="n">
        <v>0</v>
      </c>
      <c r="N404" t="n">
        <v>0</v>
      </c>
      <c r="O404" t="n">
        <v>0</v>
      </c>
      <c r="P404" t="n">
        <v>0</v>
      </c>
      <c r="Q404" t="n">
        <v>0</v>
      </c>
      <c r="R404" s="2" t="inlineStr"/>
    </row>
    <row r="405" ht="15" customHeight="1">
      <c r="A405" t="inlineStr">
        <is>
          <t>A 24683-2019</t>
        </is>
      </c>
      <c r="B405" s="1" t="n">
        <v>43601</v>
      </c>
      <c r="C405" s="1" t="n">
        <v>45842</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24944-2019</t>
        </is>
      </c>
      <c r="B406" s="1" t="n">
        <v>43602</v>
      </c>
      <c r="C406" s="1" t="n">
        <v>45842</v>
      </c>
      <c r="D406" t="inlineStr">
        <is>
          <t>KALMAR LÄN</t>
        </is>
      </c>
      <c r="E406" t="inlineStr">
        <is>
          <t>VÄSTERVIK</t>
        </is>
      </c>
      <c r="G406" t="n">
        <v>4.1</v>
      </c>
      <c r="H406" t="n">
        <v>0</v>
      </c>
      <c r="I406" t="n">
        <v>0</v>
      </c>
      <c r="J406" t="n">
        <v>0</v>
      </c>
      <c r="K406" t="n">
        <v>0</v>
      </c>
      <c r="L406" t="n">
        <v>0</v>
      </c>
      <c r="M406" t="n">
        <v>0</v>
      </c>
      <c r="N406" t="n">
        <v>0</v>
      </c>
      <c r="O406" t="n">
        <v>0</v>
      </c>
      <c r="P406" t="n">
        <v>0</v>
      </c>
      <c r="Q406" t="n">
        <v>0</v>
      </c>
      <c r="R406" s="2" t="inlineStr"/>
    </row>
    <row r="407" ht="15" customHeight="1">
      <c r="A407" t="inlineStr">
        <is>
          <t>A 26470-2019</t>
        </is>
      </c>
      <c r="B407" s="1" t="n">
        <v>43606</v>
      </c>
      <c r="C407" s="1" t="n">
        <v>45842</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26834-2019</t>
        </is>
      </c>
      <c r="B408" s="1" t="n">
        <v>43608</v>
      </c>
      <c r="C408" s="1" t="n">
        <v>45842</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26833-2019</t>
        </is>
      </c>
      <c r="B409" s="1" t="n">
        <v>43608</v>
      </c>
      <c r="C409" s="1" t="n">
        <v>45842</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26567-2019</t>
        </is>
      </c>
      <c r="B410" s="1" t="n">
        <v>43612</v>
      </c>
      <c r="C410" s="1" t="n">
        <v>45842</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26590-2019</t>
        </is>
      </c>
      <c r="B411" s="1" t="n">
        <v>43612</v>
      </c>
      <c r="C411" s="1" t="n">
        <v>45842</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26585-2019</t>
        </is>
      </c>
      <c r="B412" s="1" t="n">
        <v>43612</v>
      </c>
      <c r="C412" s="1" t="n">
        <v>45842</v>
      </c>
      <c r="D412" t="inlineStr">
        <is>
          <t>KALMAR LÄN</t>
        </is>
      </c>
      <c r="E412" t="inlineStr">
        <is>
          <t>VÄSTERVIK</t>
        </is>
      </c>
      <c r="G412" t="n">
        <v>3</v>
      </c>
      <c r="H412" t="n">
        <v>0</v>
      </c>
      <c r="I412" t="n">
        <v>0</v>
      </c>
      <c r="J412" t="n">
        <v>0</v>
      </c>
      <c r="K412" t="n">
        <v>0</v>
      </c>
      <c r="L412" t="n">
        <v>0</v>
      </c>
      <c r="M412" t="n">
        <v>0</v>
      </c>
      <c r="N412" t="n">
        <v>0</v>
      </c>
      <c r="O412" t="n">
        <v>0</v>
      </c>
      <c r="P412" t="n">
        <v>0</v>
      </c>
      <c r="Q412" t="n">
        <v>0</v>
      </c>
      <c r="R412" s="2" t="inlineStr"/>
    </row>
    <row r="413" ht="15" customHeight="1">
      <c r="A413" t="inlineStr">
        <is>
          <t>A 26578-2019</t>
        </is>
      </c>
      <c r="B413" s="1" t="n">
        <v>43612</v>
      </c>
      <c r="C413" s="1" t="n">
        <v>45842</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27206-2019</t>
        </is>
      </c>
      <c r="B414" s="1" t="n">
        <v>43614</v>
      </c>
      <c r="C414" s="1" t="n">
        <v>45842</v>
      </c>
      <c r="D414" t="inlineStr">
        <is>
          <t>KALMAR LÄN</t>
        </is>
      </c>
      <c r="E414" t="inlineStr">
        <is>
          <t>VÄSTERVIK</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28970-2019</t>
        </is>
      </c>
      <c r="B415" s="1" t="n">
        <v>43619</v>
      </c>
      <c r="C415" s="1" t="n">
        <v>45842</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27654-2019</t>
        </is>
      </c>
      <c r="B416" s="1" t="n">
        <v>43619</v>
      </c>
      <c r="C416" s="1" t="n">
        <v>45842</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28347-2019</t>
        </is>
      </c>
      <c r="B417" s="1" t="n">
        <v>43624</v>
      </c>
      <c r="C417" s="1" t="n">
        <v>45842</v>
      </c>
      <c r="D417" t="inlineStr">
        <is>
          <t>KALMAR LÄN</t>
        </is>
      </c>
      <c r="E417" t="inlineStr">
        <is>
          <t>VÄSTERVIK</t>
        </is>
      </c>
      <c r="G417" t="n">
        <v>5.1</v>
      </c>
      <c r="H417" t="n">
        <v>0</v>
      </c>
      <c r="I417" t="n">
        <v>0</v>
      </c>
      <c r="J417" t="n">
        <v>0</v>
      </c>
      <c r="K417" t="n">
        <v>0</v>
      </c>
      <c r="L417" t="n">
        <v>0</v>
      </c>
      <c r="M417" t="n">
        <v>0</v>
      </c>
      <c r="N417" t="n">
        <v>0</v>
      </c>
      <c r="O417" t="n">
        <v>0</v>
      </c>
      <c r="P417" t="n">
        <v>0</v>
      </c>
      <c r="Q417" t="n">
        <v>0</v>
      </c>
      <c r="R417" s="2" t="inlineStr"/>
    </row>
    <row r="418" ht="15" customHeight="1">
      <c r="A418" t="inlineStr">
        <is>
          <t>A 28594-2019</t>
        </is>
      </c>
      <c r="B418" s="1" t="n">
        <v>43626</v>
      </c>
      <c r="C418" s="1" t="n">
        <v>45842</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28590-2019</t>
        </is>
      </c>
      <c r="B419" s="1" t="n">
        <v>43626</v>
      </c>
      <c r="C419" s="1" t="n">
        <v>45842</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29519-2019</t>
        </is>
      </c>
      <c r="B420" s="1" t="n">
        <v>43627</v>
      </c>
      <c r="C420" s="1" t="n">
        <v>45842</v>
      </c>
      <c r="D420" t="inlineStr">
        <is>
          <t>KALMAR LÄN</t>
        </is>
      </c>
      <c r="E420" t="inlineStr">
        <is>
          <t>VÄSTERVIK</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30058-2019</t>
        </is>
      </c>
      <c r="B421" s="1" t="n">
        <v>43633</v>
      </c>
      <c r="C421" s="1" t="n">
        <v>45842</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30057-2019</t>
        </is>
      </c>
      <c r="B422" s="1" t="n">
        <v>43633</v>
      </c>
      <c r="C422" s="1" t="n">
        <v>45842</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29922-2019</t>
        </is>
      </c>
      <c r="B423" s="1" t="n">
        <v>43633</v>
      </c>
      <c r="C423" s="1" t="n">
        <v>45842</v>
      </c>
      <c r="D423" t="inlineStr">
        <is>
          <t>KALMAR LÄN</t>
        </is>
      </c>
      <c r="E423" t="inlineStr">
        <is>
          <t>VÄSTERVIK</t>
        </is>
      </c>
      <c r="G423" t="n">
        <v>3.8</v>
      </c>
      <c r="H423" t="n">
        <v>0</v>
      </c>
      <c r="I423" t="n">
        <v>0</v>
      </c>
      <c r="J423" t="n">
        <v>0</v>
      </c>
      <c r="K423" t="n">
        <v>0</v>
      </c>
      <c r="L423" t="n">
        <v>0</v>
      </c>
      <c r="M423" t="n">
        <v>0</v>
      </c>
      <c r="N423" t="n">
        <v>0</v>
      </c>
      <c r="O423" t="n">
        <v>0</v>
      </c>
      <c r="P423" t="n">
        <v>0</v>
      </c>
      <c r="Q423" t="n">
        <v>0</v>
      </c>
      <c r="R423" s="2" t="inlineStr"/>
    </row>
    <row r="424" ht="15" customHeight="1">
      <c r="A424" t="inlineStr">
        <is>
          <t>A 31072-2019</t>
        </is>
      </c>
      <c r="B424" s="1" t="n">
        <v>43640</v>
      </c>
      <c r="C424" s="1" t="n">
        <v>45842</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32045-2019</t>
        </is>
      </c>
      <c r="B425" s="1" t="n">
        <v>43643</v>
      </c>
      <c r="C425" s="1" t="n">
        <v>45842</v>
      </c>
      <c r="D425" t="inlineStr">
        <is>
          <t>KALMAR LÄN</t>
        </is>
      </c>
      <c r="E425" t="inlineStr">
        <is>
          <t>VÄSTERVIK</t>
        </is>
      </c>
      <c r="G425" t="n">
        <v>6.5</v>
      </c>
      <c r="H425" t="n">
        <v>0</v>
      </c>
      <c r="I425" t="n">
        <v>0</v>
      </c>
      <c r="J425" t="n">
        <v>0</v>
      </c>
      <c r="K425" t="n">
        <v>0</v>
      </c>
      <c r="L425" t="n">
        <v>0</v>
      </c>
      <c r="M425" t="n">
        <v>0</v>
      </c>
      <c r="N425" t="n">
        <v>0</v>
      </c>
      <c r="O425" t="n">
        <v>0</v>
      </c>
      <c r="P425" t="n">
        <v>0</v>
      </c>
      <c r="Q425" t="n">
        <v>0</v>
      </c>
      <c r="R425" s="2" t="inlineStr"/>
    </row>
    <row r="426" ht="15" customHeight="1">
      <c r="A426" t="inlineStr">
        <is>
          <t>A 32052-2019</t>
        </is>
      </c>
      <c r="B426" s="1" t="n">
        <v>43643</v>
      </c>
      <c r="C426" s="1" t="n">
        <v>45842</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32048-2019</t>
        </is>
      </c>
      <c r="B427" s="1" t="n">
        <v>43643</v>
      </c>
      <c r="C427" s="1" t="n">
        <v>45842</v>
      </c>
      <c r="D427" t="inlineStr">
        <is>
          <t>KALMAR LÄN</t>
        </is>
      </c>
      <c r="E427" t="inlineStr">
        <is>
          <t>VÄSTERVIK</t>
        </is>
      </c>
      <c r="G427" t="n">
        <v>1.9</v>
      </c>
      <c r="H427" t="n">
        <v>0</v>
      </c>
      <c r="I427" t="n">
        <v>0</v>
      </c>
      <c r="J427" t="n">
        <v>0</v>
      </c>
      <c r="K427" t="n">
        <v>0</v>
      </c>
      <c r="L427" t="n">
        <v>0</v>
      </c>
      <c r="M427" t="n">
        <v>0</v>
      </c>
      <c r="N427" t="n">
        <v>0</v>
      </c>
      <c r="O427" t="n">
        <v>0</v>
      </c>
      <c r="P427" t="n">
        <v>0</v>
      </c>
      <c r="Q427" t="n">
        <v>0</v>
      </c>
      <c r="R427" s="2" t="inlineStr"/>
    </row>
    <row r="428" ht="15" customHeight="1">
      <c r="A428" t="inlineStr">
        <is>
          <t>A 32522-2019</t>
        </is>
      </c>
      <c r="B428" s="1" t="n">
        <v>43646</v>
      </c>
      <c r="C428" s="1" t="n">
        <v>45842</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32521-2019</t>
        </is>
      </c>
      <c r="B429" s="1" t="n">
        <v>43646</v>
      </c>
      <c r="C429" s="1" t="n">
        <v>45842</v>
      </c>
      <c r="D429" t="inlineStr">
        <is>
          <t>KALMAR LÄN</t>
        </is>
      </c>
      <c r="E429" t="inlineStr">
        <is>
          <t>VÄSTERVIK</t>
        </is>
      </c>
      <c r="G429" t="n">
        <v>0.4</v>
      </c>
      <c r="H429" t="n">
        <v>0</v>
      </c>
      <c r="I429" t="n">
        <v>0</v>
      </c>
      <c r="J429" t="n">
        <v>0</v>
      </c>
      <c r="K429" t="n">
        <v>0</v>
      </c>
      <c r="L429" t="n">
        <v>0</v>
      </c>
      <c r="M429" t="n">
        <v>0</v>
      </c>
      <c r="N429" t="n">
        <v>0</v>
      </c>
      <c r="O429" t="n">
        <v>0</v>
      </c>
      <c r="P429" t="n">
        <v>0</v>
      </c>
      <c r="Q429" t="n">
        <v>0</v>
      </c>
      <c r="R429" s="2" t="inlineStr"/>
    </row>
    <row r="430" ht="15" customHeight="1">
      <c r="A430" t="inlineStr">
        <is>
          <t>A 32524-2019</t>
        </is>
      </c>
      <c r="B430" s="1" t="n">
        <v>43646</v>
      </c>
      <c r="C430" s="1" t="n">
        <v>45842</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32523-2019</t>
        </is>
      </c>
      <c r="B431" s="1" t="n">
        <v>43646</v>
      </c>
      <c r="C431" s="1" t="n">
        <v>45842</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33752-2019</t>
        </is>
      </c>
      <c r="B432" s="1" t="n">
        <v>43651</v>
      </c>
      <c r="C432" s="1" t="n">
        <v>45842</v>
      </c>
      <c r="D432" t="inlineStr">
        <is>
          <t>KALMAR LÄN</t>
        </is>
      </c>
      <c r="E432" t="inlineStr">
        <is>
          <t>VÄSTERVIK</t>
        </is>
      </c>
      <c r="G432" t="n">
        <v>3.1</v>
      </c>
      <c r="H432" t="n">
        <v>0</v>
      </c>
      <c r="I432" t="n">
        <v>0</v>
      </c>
      <c r="J432" t="n">
        <v>0</v>
      </c>
      <c r="K432" t="n">
        <v>0</v>
      </c>
      <c r="L432" t="n">
        <v>0</v>
      </c>
      <c r="M432" t="n">
        <v>0</v>
      </c>
      <c r="N432" t="n">
        <v>0</v>
      </c>
      <c r="O432" t="n">
        <v>0</v>
      </c>
      <c r="P432" t="n">
        <v>0</v>
      </c>
      <c r="Q432" t="n">
        <v>0</v>
      </c>
      <c r="R432" s="2" t="inlineStr"/>
    </row>
    <row r="433" ht="15" customHeight="1">
      <c r="A433" t="inlineStr">
        <is>
          <t>A 33738-2019</t>
        </is>
      </c>
      <c r="B433" s="1" t="n">
        <v>43651</v>
      </c>
      <c r="C433" s="1" t="n">
        <v>45842</v>
      </c>
      <c r="D433" t="inlineStr">
        <is>
          <t>KALMAR LÄN</t>
        </is>
      </c>
      <c r="E433" t="inlineStr">
        <is>
          <t>VÄSTERVIK</t>
        </is>
      </c>
      <c r="G433" t="n">
        <v>2.5</v>
      </c>
      <c r="H433" t="n">
        <v>0</v>
      </c>
      <c r="I433" t="n">
        <v>0</v>
      </c>
      <c r="J433" t="n">
        <v>0</v>
      </c>
      <c r="K433" t="n">
        <v>0</v>
      </c>
      <c r="L433" t="n">
        <v>0</v>
      </c>
      <c r="M433" t="n">
        <v>0</v>
      </c>
      <c r="N433" t="n">
        <v>0</v>
      </c>
      <c r="O433" t="n">
        <v>0</v>
      </c>
      <c r="P433" t="n">
        <v>0</v>
      </c>
      <c r="Q433" t="n">
        <v>0</v>
      </c>
      <c r="R433" s="2" t="inlineStr"/>
    </row>
    <row r="434" ht="15" customHeight="1">
      <c r="A434" t="inlineStr">
        <is>
          <t>A 33741-2019</t>
        </is>
      </c>
      <c r="B434" s="1" t="n">
        <v>43651</v>
      </c>
      <c r="C434" s="1" t="n">
        <v>45842</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35283-2019</t>
        </is>
      </c>
      <c r="B435" s="1" t="n">
        <v>43656</v>
      </c>
      <c r="C435" s="1" t="n">
        <v>45842</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35284-2019</t>
        </is>
      </c>
      <c r="B436" s="1" t="n">
        <v>43656</v>
      </c>
      <c r="C436" s="1" t="n">
        <v>45842</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35285-2019</t>
        </is>
      </c>
      <c r="B437" s="1" t="n">
        <v>43656</v>
      </c>
      <c r="C437" s="1" t="n">
        <v>45842</v>
      </c>
      <c r="D437" t="inlineStr">
        <is>
          <t>KALMAR LÄN</t>
        </is>
      </c>
      <c r="E437" t="inlineStr">
        <is>
          <t>VÄSTERVIK</t>
        </is>
      </c>
      <c r="G437" t="n">
        <v>5.7</v>
      </c>
      <c r="H437" t="n">
        <v>0</v>
      </c>
      <c r="I437" t="n">
        <v>0</v>
      </c>
      <c r="J437" t="n">
        <v>0</v>
      </c>
      <c r="K437" t="n">
        <v>0</v>
      </c>
      <c r="L437" t="n">
        <v>0</v>
      </c>
      <c r="M437" t="n">
        <v>0</v>
      </c>
      <c r="N437" t="n">
        <v>0</v>
      </c>
      <c r="O437" t="n">
        <v>0</v>
      </c>
      <c r="P437" t="n">
        <v>0</v>
      </c>
      <c r="Q437" t="n">
        <v>0</v>
      </c>
      <c r="R437" s="2" t="inlineStr"/>
    </row>
    <row r="438" ht="15" customHeight="1">
      <c r="A438" t="inlineStr">
        <is>
          <t>A 37615-2019</t>
        </is>
      </c>
      <c r="B438" s="1" t="n">
        <v>43681</v>
      </c>
      <c r="C438" s="1" t="n">
        <v>45842</v>
      </c>
      <c r="D438" t="inlineStr">
        <is>
          <t>KALMAR LÄN</t>
        </is>
      </c>
      <c r="E438" t="inlineStr">
        <is>
          <t>VÄSTERVIK</t>
        </is>
      </c>
      <c r="G438" t="n">
        <v>3.9</v>
      </c>
      <c r="H438" t="n">
        <v>0</v>
      </c>
      <c r="I438" t="n">
        <v>0</v>
      </c>
      <c r="J438" t="n">
        <v>0</v>
      </c>
      <c r="K438" t="n">
        <v>0</v>
      </c>
      <c r="L438" t="n">
        <v>0</v>
      </c>
      <c r="M438" t="n">
        <v>0</v>
      </c>
      <c r="N438" t="n">
        <v>0</v>
      </c>
      <c r="O438" t="n">
        <v>0</v>
      </c>
      <c r="P438" t="n">
        <v>0</v>
      </c>
      <c r="Q438" t="n">
        <v>0</v>
      </c>
      <c r="R438" s="2" t="inlineStr"/>
    </row>
    <row r="439" ht="15" customHeight="1">
      <c r="A439" t="inlineStr">
        <is>
          <t>A 37983-2019</t>
        </is>
      </c>
      <c r="B439" s="1" t="n">
        <v>43683</v>
      </c>
      <c r="C439" s="1" t="n">
        <v>45842</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37920-2019</t>
        </is>
      </c>
      <c r="B440" s="1" t="n">
        <v>43683</v>
      </c>
      <c r="C440" s="1" t="n">
        <v>45842</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38229-2019</t>
        </is>
      </c>
      <c r="B441" s="1" t="n">
        <v>43684</v>
      </c>
      <c r="C441" s="1" t="n">
        <v>45842</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38239-2019</t>
        </is>
      </c>
      <c r="B442" s="1" t="n">
        <v>43684</v>
      </c>
      <c r="C442" s="1" t="n">
        <v>45842</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38904-2019</t>
        </is>
      </c>
      <c r="B443" s="1" t="n">
        <v>43689</v>
      </c>
      <c r="C443" s="1" t="n">
        <v>45842</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39696-2019</t>
        </is>
      </c>
      <c r="B444" s="1" t="n">
        <v>43691</v>
      </c>
      <c r="C444" s="1" t="n">
        <v>45842</v>
      </c>
      <c r="D444" t="inlineStr">
        <is>
          <t>KALMAR LÄN</t>
        </is>
      </c>
      <c r="E444" t="inlineStr">
        <is>
          <t>VÄSTERVIK</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39745-2019</t>
        </is>
      </c>
      <c r="B445" s="1" t="n">
        <v>43691</v>
      </c>
      <c r="C445" s="1" t="n">
        <v>45842</v>
      </c>
      <c r="D445" t="inlineStr">
        <is>
          <t>KALMAR LÄN</t>
        </is>
      </c>
      <c r="E445" t="inlineStr">
        <is>
          <t>VÄSTERVIK</t>
        </is>
      </c>
      <c r="G445" t="n">
        <v>2.1</v>
      </c>
      <c r="H445" t="n">
        <v>0</v>
      </c>
      <c r="I445" t="n">
        <v>0</v>
      </c>
      <c r="J445" t="n">
        <v>0</v>
      </c>
      <c r="K445" t="n">
        <v>0</v>
      </c>
      <c r="L445" t="n">
        <v>0</v>
      </c>
      <c r="M445" t="n">
        <v>0</v>
      </c>
      <c r="N445" t="n">
        <v>0</v>
      </c>
      <c r="O445" t="n">
        <v>0</v>
      </c>
      <c r="P445" t="n">
        <v>0</v>
      </c>
      <c r="Q445" t="n">
        <v>0</v>
      </c>
      <c r="R445" s="2" t="inlineStr"/>
    </row>
    <row r="446" ht="15" customHeight="1">
      <c r="A446" t="inlineStr">
        <is>
          <t>A 41961-2019</t>
        </is>
      </c>
      <c r="B446" s="1" t="n">
        <v>43698</v>
      </c>
      <c r="C446" s="1" t="n">
        <v>45842</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41728-2019</t>
        </is>
      </c>
      <c r="B447" s="1" t="n">
        <v>43699</v>
      </c>
      <c r="C447" s="1" t="n">
        <v>45842</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44467-2019</t>
        </is>
      </c>
      <c r="B448" s="1" t="n">
        <v>43711</v>
      </c>
      <c r="C448" s="1" t="n">
        <v>45842</v>
      </c>
      <c r="D448" t="inlineStr">
        <is>
          <t>KALMAR LÄN</t>
        </is>
      </c>
      <c r="E448" t="inlineStr">
        <is>
          <t>VÄSTERVIK</t>
        </is>
      </c>
      <c r="G448" t="n">
        <v>2.5</v>
      </c>
      <c r="H448" t="n">
        <v>0</v>
      </c>
      <c r="I448" t="n">
        <v>0</v>
      </c>
      <c r="J448" t="n">
        <v>0</v>
      </c>
      <c r="K448" t="n">
        <v>0</v>
      </c>
      <c r="L448" t="n">
        <v>0</v>
      </c>
      <c r="M448" t="n">
        <v>0</v>
      </c>
      <c r="N448" t="n">
        <v>0</v>
      </c>
      <c r="O448" t="n">
        <v>0</v>
      </c>
      <c r="P448" t="n">
        <v>0</v>
      </c>
      <c r="Q448" t="n">
        <v>0</v>
      </c>
      <c r="R448" s="2" t="inlineStr"/>
    </row>
    <row r="449" ht="15" customHeight="1">
      <c r="A449" t="inlineStr">
        <is>
          <t>A 44639-2019</t>
        </is>
      </c>
      <c r="B449" s="1" t="n">
        <v>43712</v>
      </c>
      <c r="C449" s="1" t="n">
        <v>45842</v>
      </c>
      <c r="D449" t="inlineStr">
        <is>
          <t>KALMAR LÄN</t>
        </is>
      </c>
      <c r="E449" t="inlineStr">
        <is>
          <t>VÄSTERVIK</t>
        </is>
      </c>
      <c r="F449" t="inlineStr">
        <is>
          <t>Övriga Aktiebolag</t>
        </is>
      </c>
      <c r="G449" t="n">
        <v>5.9</v>
      </c>
      <c r="H449" t="n">
        <v>0</v>
      </c>
      <c r="I449" t="n">
        <v>0</v>
      </c>
      <c r="J449" t="n">
        <v>0</v>
      </c>
      <c r="K449" t="n">
        <v>0</v>
      </c>
      <c r="L449" t="n">
        <v>0</v>
      </c>
      <c r="M449" t="n">
        <v>0</v>
      </c>
      <c r="N449" t="n">
        <v>0</v>
      </c>
      <c r="O449" t="n">
        <v>0</v>
      </c>
      <c r="P449" t="n">
        <v>0</v>
      </c>
      <c r="Q449" t="n">
        <v>0</v>
      </c>
      <c r="R449" s="2" t="inlineStr"/>
    </row>
    <row r="450" ht="15" customHeight="1">
      <c r="A450" t="inlineStr">
        <is>
          <t>A 46173-2019</t>
        </is>
      </c>
      <c r="B450" s="1" t="n">
        <v>43712</v>
      </c>
      <c r="C450" s="1" t="n">
        <v>45842</v>
      </c>
      <c r="D450" t="inlineStr">
        <is>
          <t>KALMAR LÄN</t>
        </is>
      </c>
      <c r="E450" t="inlineStr">
        <is>
          <t>VÄSTERVIK</t>
        </is>
      </c>
      <c r="G450" t="n">
        <v>4.2</v>
      </c>
      <c r="H450" t="n">
        <v>0</v>
      </c>
      <c r="I450" t="n">
        <v>0</v>
      </c>
      <c r="J450" t="n">
        <v>0</v>
      </c>
      <c r="K450" t="n">
        <v>0</v>
      </c>
      <c r="L450" t="n">
        <v>0</v>
      </c>
      <c r="M450" t="n">
        <v>0</v>
      </c>
      <c r="N450" t="n">
        <v>0</v>
      </c>
      <c r="O450" t="n">
        <v>0</v>
      </c>
      <c r="P450" t="n">
        <v>0</v>
      </c>
      <c r="Q450" t="n">
        <v>0</v>
      </c>
      <c r="R450" s="2" t="inlineStr"/>
    </row>
    <row r="451" ht="15" customHeight="1">
      <c r="A451" t="inlineStr">
        <is>
          <t>A 45162-2019</t>
        </is>
      </c>
      <c r="B451" s="1" t="n">
        <v>43713</v>
      </c>
      <c r="C451" s="1" t="n">
        <v>45842</v>
      </c>
      <c r="D451" t="inlineStr">
        <is>
          <t>KALMAR LÄN</t>
        </is>
      </c>
      <c r="E451" t="inlineStr">
        <is>
          <t>VÄSTERVIK</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45379-2019</t>
        </is>
      </c>
      <c r="B452" s="1" t="n">
        <v>43713</v>
      </c>
      <c r="C452" s="1" t="n">
        <v>45842</v>
      </c>
      <c r="D452" t="inlineStr">
        <is>
          <t>KALMAR LÄN</t>
        </is>
      </c>
      <c r="E452" t="inlineStr">
        <is>
          <t>VÄSTERVIK</t>
        </is>
      </c>
      <c r="G452" t="n">
        <v>6.3</v>
      </c>
      <c r="H452" t="n">
        <v>0</v>
      </c>
      <c r="I452" t="n">
        <v>0</v>
      </c>
      <c r="J452" t="n">
        <v>0</v>
      </c>
      <c r="K452" t="n">
        <v>0</v>
      </c>
      <c r="L452" t="n">
        <v>0</v>
      </c>
      <c r="M452" t="n">
        <v>0</v>
      </c>
      <c r="N452" t="n">
        <v>0</v>
      </c>
      <c r="O452" t="n">
        <v>0</v>
      </c>
      <c r="P452" t="n">
        <v>0</v>
      </c>
      <c r="Q452" t="n">
        <v>0</v>
      </c>
      <c r="R452" s="2" t="inlineStr"/>
    </row>
    <row r="453" ht="15" customHeight="1">
      <c r="A453" t="inlineStr">
        <is>
          <t>A 45386-2019</t>
        </is>
      </c>
      <c r="B453" s="1" t="n">
        <v>43713</v>
      </c>
      <c r="C453" s="1" t="n">
        <v>45842</v>
      </c>
      <c r="D453" t="inlineStr">
        <is>
          <t>KALMAR LÄN</t>
        </is>
      </c>
      <c r="E453" t="inlineStr">
        <is>
          <t>VÄSTERVIK</t>
        </is>
      </c>
      <c r="G453" t="n">
        <v>11</v>
      </c>
      <c r="H453" t="n">
        <v>0</v>
      </c>
      <c r="I453" t="n">
        <v>0</v>
      </c>
      <c r="J453" t="n">
        <v>0</v>
      </c>
      <c r="K453" t="n">
        <v>0</v>
      </c>
      <c r="L453" t="n">
        <v>0</v>
      </c>
      <c r="M453" t="n">
        <v>0</v>
      </c>
      <c r="N453" t="n">
        <v>0</v>
      </c>
      <c r="O453" t="n">
        <v>0</v>
      </c>
      <c r="P453" t="n">
        <v>0</v>
      </c>
      <c r="Q453" t="n">
        <v>0</v>
      </c>
      <c r="R453" s="2" t="inlineStr"/>
    </row>
    <row r="454" ht="15" customHeight="1">
      <c r="A454" t="inlineStr">
        <is>
          <t>A 45757-2019</t>
        </is>
      </c>
      <c r="B454" s="1" t="n">
        <v>43717</v>
      </c>
      <c r="C454" s="1" t="n">
        <v>45842</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45772-2019</t>
        </is>
      </c>
      <c r="B455" s="1" t="n">
        <v>43717</v>
      </c>
      <c r="C455" s="1" t="n">
        <v>45842</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45897-2019</t>
        </is>
      </c>
      <c r="B456" s="1" t="n">
        <v>43717</v>
      </c>
      <c r="C456" s="1" t="n">
        <v>45842</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46333-2019</t>
        </is>
      </c>
      <c r="B457" s="1" t="n">
        <v>43718</v>
      </c>
      <c r="C457" s="1" t="n">
        <v>45842</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46942-2019</t>
        </is>
      </c>
      <c r="B458" s="1" t="n">
        <v>43719</v>
      </c>
      <c r="C458" s="1" t="n">
        <v>45842</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47434-2019</t>
        </is>
      </c>
      <c r="B459" s="1" t="n">
        <v>43723</v>
      </c>
      <c r="C459" s="1" t="n">
        <v>45842</v>
      </c>
      <c r="D459" t="inlineStr">
        <is>
          <t>KALMAR LÄN</t>
        </is>
      </c>
      <c r="E459" t="inlineStr">
        <is>
          <t>VÄSTERVIK</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47435-2019</t>
        </is>
      </c>
      <c r="B460" s="1" t="n">
        <v>43723</v>
      </c>
      <c r="C460" s="1" t="n">
        <v>45842</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47438-2019</t>
        </is>
      </c>
      <c r="B461" s="1" t="n">
        <v>43723</v>
      </c>
      <c r="C461" s="1" t="n">
        <v>45842</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47956-2019</t>
        </is>
      </c>
      <c r="B462" s="1" t="n">
        <v>43725</v>
      </c>
      <c r="C462" s="1" t="n">
        <v>45842</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47954-2019</t>
        </is>
      </c>
      <c r="B463" s="1" t="n">
        <v>43725</v>
      </c>
      <c r="C463" s="1" t="n">
        <v>45842</v>
      </c>
      <c r="D463" t="inlineStr">
        <is>
          <t>KALMAR LÄN</t>
        </is>
      </c>
      <c r="E463" t="inlineStr">
        <is>
          <t>VÄSTERVIK</t>
        </is>
      </c>
      <c r="G463" t="n">
        <v>6.8</v>
      </c>
      <c r="H463" t="n">
        <v>0</v>
      </c>
      <c r="I463" t="n">
        <v>0</v>
      </c>
      <c r="J463" t="n">
        <v>0</v>
      </c>
      <c r="K463" t="n">
        <v>0</v>
      </c>
      <c r="L463" t="n">
        <v>0</v>
      </c>
      <c r="M463" t="n">
        <v>0</v>
      </c>
      <c r="N463" t="n">
        <v>0</v>
      </c>
      <c r="O463" t="n">
        <v>0</v>
      </c>
      <c r="P463" t="n">
        <v>0</v>
      </c>
      <c r="Q463" t="n">
        <v>0</v>
      </c>
      <c r="R463" s="2" t="inlineStr"/>
    </row>
    <row r="464" ht="15" customHeight="1">
      <c r="A464" t="inlineStr">
        <is>
          <t>A 48357-2019</t>
        </is>
      </c>
      <c r="B464" s="1" t="n">
        <v>43726</v>
      </c>
      <c r="C464" s="1" t="n">
        <v>45842</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48982-2019</t>
        </is>
      </c>
      <c r="B465" s="1" t="n">
        <v>43729</v>
      </c>
      <c r="C465" s="1" t="n">
        <v>45842</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48981-2019</t>
        </is>
      </c>
      <c r="B466" s="1" t="n">
        <v>43729</v>
      </c>
      <c r="C466" s="1" t="n">
        <v>45842</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48983-2019</t>
        </is>
      </c>
      <c r="B467" s="1" t="n">
        <v>43729</v>
      </c>
      <c r="C467" s="1" t="n">
        <v>45842</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50461-2019</t>
        </is>
      </c>
      <c r="B468" s="1" t="n">
        <v>43735</v>
      </c>
      <c r="C468" s="1" t="n">
        <v>45842</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50627-2019</t>
        </is>
      </c>
      <c r="B469" s="1" t="n">
        <v>43736</v>
      </c>
      <c r="C469" s="1" t="n">
        <v>45842</v>
      </c>
      <c r="D469" t="inlineStr">
        <is>
          <t>KALMAR LÄN</t>
        </is>
      </c>
      <c r="E469" t="inlineStr">
        <is>
          <t>VÄSTERVIK</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50626-2019</t>
        </is>
      </c>
      <c r="B470" s="1" t="n">
        <v>43736</v>
      </c>
      <c r="C470" s="1" t="n">
        <v>45842</v>
      </c>
      <c r="D470" t="inlineStr">
        <is>
          <t>KALMAR LÄN</t>
        </is>
      </c>
      <c r="E470" t="inlineStr">
        <is>
          <t>VÄSTERVIK</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51408-2019</t>
        </is>
      </c>
      <c r="B471" s="1" t="n">
        <v>43740</v>
      </c>
      <c r="C471" s="1" t="n">
        <v>45842</v>
      </c>
      <c r="D471" t="inlineStr">
        <is>
          <t>KALMAR LÄN</t>
        </is>
      </c>
      <c r="E471" t="inlineStr">
        <is>
          <t>VÄSTERVIK</t>
        </is>
      </c>
      <c r="G471" t="n">
        <v>1.4</v>
      </c>
      <c r="H471" t="n">
        <v>0</v>
      </c>
      <c r="I471" t="n">
        <v>0</v>
      </c>
      <c r="J471" t="n">
        <v>0</v>
      </c>
      <c r="K471" t="n">
        <v>0</v>
      </c>
      <c r="L471" t="n">
        <v>0</v>
      </c>
      <c r="M471" t="n">
        <v>0</v>
      </c>
      <c r="N471" t="n">
        <v>0</v>
      </c>
      <c r="O471" t="n">
        <v>0</v>
      </c>
      <c r="P471" t="n">
        <v>0</v>
      </c>
      <c r="Q471" t="n">
        <v>0</v>
      </c>
      <c r="R471" s="2" t="inlineStr"/>
    </row>
    <row r="472" ht="15" customHeight="1">
      <c r="A472" t="inlineStr">
        <is>
          <t>A 52292-2019</t>
        </is>
      </c>
      <c r="B472" s="1" t="n">
        <v>43744</v>
      </c>
      <c r="C472" s="1" t="n">
        <v>45842</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52527-2019</t>
        </is>
      </c>
      <c r="B473" s="1" t="n">
        <v>43745</v>
      </c>
      <c r="C473" s="1" t="n">
        <v>45842</v>
      </c>
      <c r="D473" t="inlineStr">
        <is>
          <t>KALMAR LÄN</t>
        </is>
      </c>
      <c r="E473" t="inlineStr">
        <is>
          <t>VÄSTERVIK</t>
        </is>
      </c>
      <c r="G473" t="n">
        <v>0.3</v>
      </c>
      <c r="H473" t="n">
        <v>0</v>
      </c>
      <c r="I473" t="n">
        <v>0</v>
      </c>
      <c r="J473" t="n">
        <v>0</v>
      </c>
      <c r="K473" t="n">
        <v>0</v>
      </c>
      <c r="L473" t="n">
        <v>0</v>
      </c>
      <c r="M473" t="n">
        <v>0</v>
      </c>
      <c r="N473" t="n">
        <v>0</v>
      </c>
      <c r="O473" t="n">
        <v>0</v>
      </c>
      <c r="P473" t="n">
        <v>0</v>
      </c>
      <c r="Q473" t="n">
        <v>0</v>
      </c>
      <c r="R473" s="2" t="inlineStr"/>
    </row>
    <row r="474" ht="15" customHeight="1">
      <c r="A474" t="inlineStr">
        <is>
          <t>A 53714-2019</t>
        </is>
      </c>
      <c r="B474" s="1" t="n">
        <v>43749</v>
      </c>
      <c r="C474" s="1" t="n">
        <v>45842</v>
      </c>
      <c r="D474" t="inlineStr">
        <is>
          <t>KALMAR LÄN</t>
        </is>
      </c>
      <c r="E474" t="inlineStr">
        <is>
          <t>VÄSTERVIK</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53546-2019</t>
        </is>
      </c>
      <c r="B475" s="1" t="n">
        <v>43749</v>
      </c>
      <c r="C475" s="1" t="n">
        <v>45842</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54591-2019</t>
        </is>
      </c>
      <c r="B476" s="1" t="n">
        <v>43754</v>
      </c>
      <c r="C476" s="1" t="n">
        <v>45842</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54597-2019</t>
        </is>
      </c>
      <c r="B477" s="1" t="n">
        <v>43754</v>
      </c>
      <c r="C477" s="1" t="n">
        <v>45842</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57650-2019</t>
        </is>
      </c>
      <c r="B478" s="1" t="n">
        <v>43761</v>
      </c>
      <c r="C478" s="1" t="n">
        <v>45842</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57654-2019</t>
        </is>
      </c>
      <c r="B479" s="1" t="n">
        <v>43761</v>
      </c>
      <c r="C479" s="1" t="n">
        <v>45842</v>
      </c>
      <c r="D479" t="inlineStr">
        <is>
          <t>KALMAR LÄN</t>
        </is>
      </c>
      <c r="E479" t="inlineStr">
        <is>
          <t>VÄSTERVIK</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56580-2019</t>
        </is>
      </c>
      <c r="B480" s="1" t="n">
        <v>43763</v>
      </c>
      <c r="C480" s="1" t="n">
        <v>45842</v>
      </c>
      <c r="D480" t="inlineStr">
        <is>
          <t>KALMAR LÄN</t>
        </is>
      </c>
      <c r="E480" t="inlineStr">
        <is>
          <t>VÄSTERVIK</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57770-2019</t>
        </is>
      </c>
      <c r="B481" s="1" t="n">
        <v>43768</v>
      </c>
      <c r="C481" s="1" t="n">
        <v>45842</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58323-2019</t>
        </is>
      </c>
      <c r="B482" s="1" t="n">
        <v>43770</v>
      </c>
      <c r="C482" s="1" t="n">
        <v>45842</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58386-2019</t>
        </is>
      </c>
      <c r="B483" s="1" t="n">
        <v>43772</v>
      </c>
      <c r="C483" s="1" t="n">
        <v>45842</v>
      </c>
      <c r="D483" t="inlineStr">
        <is>
          <t>KALMAR LÄN</t>
        </is>
      </c>
      <c r="E483" t="inlineStr">
        <is>
          <t>VÄSTERVIK</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58658-2019</t>
        </is>
      </c>
      <c r="B484" s="1" t="n">
        <v>43773</v>
      </c>
      <c r="C484" s="1" t="n">
        <v>45842</v>
      </c>
      <c r="D484" t="inlineStr">
        <is>
          <t>KALMAR LÄN</t>
        </is>
      </c>
      <c r="E484" t="inlineStr">
        <is>
          <t>VÄSTERVIK</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59753-2019</t>
        </is>
      </c>
      <c r="B485" s="1" t="n">
        <v>43776</v>
      </c>
      <c r="C485" s="1" t="n">
        <v>45842</v>
      </c>
      <c r="D485" t="inlineStr">
        <is>
          <t>KALMAR LÄN</t>
        </is>
      </c>
      <c r="E485" t="inlineStr">
        <is>
          <t>VÄSTERVIK</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59898-2019</t>
        </is>
      </c>
      <c r="B486" s="1" t="n">
        <v>43777</v>
      </c>
      <c r="C486" s="1" t="n">
        <v>45842</v>
      </c>
      <c r="D486" t="inlineStr">
        <is>
          <t>KALMAR LÄN</t>
        </is>
      </c>
      <c r="E486" t="inlineStr">
        <is>
          <t>VÄSTERVIK</t>
        </is>
      </c>
      <c r="G486" t="n">
        <v>3.6</v>
      </c>
      <c r="H486" t="n">
        <v>0</v>
      </c>
      <c r="I486" t="n">
        <v>0</v>
      </c>
      <c r="J486" t="n">
        <v>0</v>
      </c>
      <c r="K486" t="n">
        <v>0</v>
      </c>
      <c r="L486" t="n">
        <v>0</v>
      </c>
      <c r="M486" t="n">
        <v>0</v>
      </c>
      <c r="N486" t="n">
        <v>0</v>
      </c>
      <c r="O486" t="n">
        <v>0</v>
      </c>
      <c r="P486" t="n">
        <v>0</v>
      </c>
      <c r="Q486" t="n">
        <v>0</v>
      </c>
      <c r="R486" s="2" t="inlineStr"/>
    </row>
    <row r="487" ht="15" customHeight="1">
      <c r="A487" t="inlineStr">
        <is>
          <t>A 59892-2019</t>
        </is>
      </c>
      <c r="B487" s="1" t="n">
        <v>43777</v>
      </c>
      <c r="C487" s="1" t="n">
        <v>45842</v>
      </c>
      <c r="D487" t="inlineStr">
        <is>
          <t>KALMAR LÄN</t>
        </is>
      </c>
      <c r="E487" t="inlineStr">
        <is>
          <t>VÄSTERVIK</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59937-2019</t>
        </is>
      </c>
      <c r="B488" s="1" t="n">
        <v>43777</v>
      </c>
      <c r="C488" s="1" t="n">
        <v>45842</v>
      </c>
      <c r="D488" t="inlineStr">
        <is>
          <t>KALMAR LÄN</t>
        </is>
      </c>
      <c r="E488" t="inlineStr">
        <is>
          <t>VÄSTERVIK</t>
        </is>
      </c>
      <c r="G488" t="n">
        <v>4.8</v>
      </c>
      <c r="H488" t="n">
        <v>0</v>
      </c>
      <c r="I488" t="n">
        <v>0</v>
      </c>
      <c r="J488" t="n">
        <v>0</v>
      </c>
      <c r="K488" t="n">
        <v>0</v>
      </c>
      <c r="L488" t="n">
        <v>0</v>
      </c>
      <c r="M488" t="n">
        <v>0</v>
      </c>
      <c r="N488" t="n">
        <v>0</v>
      </c>
      <c r="O488" t="n">
        <v>0</v>
      </c>
      <c r="P488" t="n">
        <v>0</v>
      </c>
      <c r="Q488" t="n">
        <v>0</v>
      </c>
      <c r="R488" s="2" t="inlineStr"/>
    </row>
    <row r="489" ht="15" customHeight="1">
      <c r="A489" t="inlineStr">
        <is>
          <t>A 60707-2019</t>
        </is>
      </c>
      <c r="B489" s="1" t="n">
        <v>43781</v>
      </c>
      <c r="C489" s="1" t="n">
        <v>45842</v>
      </c>
      <c r="D489" t="inlineStr">
        <is>
          <t>KALMAR LÄN</t>
        </is>
      </c>
      <c r="E489" t="inlineStr">
        <is>
          <t>VÄSTERVIK</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61055-2019</t>
        </is>
      </c>
      <c r="B490" s="1" t="n">
        <v>43782</v>
      </c>
      <c r="C490" s="1" t="n">
        <v>45842</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61708-2019</t>
        </is>
      </c>
      <c r="B491" s="1" t="n">
        <v>43784</v>
      </c>
      <c r="C491" s="1" t="n">
        <v>45842</v>
      </c>
      <c r="D491" t="inlineStr">
        <is>
          <t>KALMAR LÄN</t>
        </is>
      </c>
      <c r="E491" t="inlineStr">
        <is>
          <t>VÄSTERVIK</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62093-2019</t>
        </is>
      </c>
      <c r="B492" s="1" t="n">
        <v>43787</v>
      </c>
      <c r="C492" s="1" t="n">
        <v>45842</v>
      </c>
      <c r="D492" t="inlineStr">
        <is>
          <t>KALMAR LÄN</t>
        </is>
      </c>
      <c r="E492" t="inlineStr">
        <is>
          <t>VÄSTERVIK</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62046-2019</t>
        </is>
      </c>
      <c r="B493" s="1" t="n">
        <v>43787</v>
      </c>
      <c r="C493" s="1" t="n">
        <v>45842</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62473-2019</t>
        </is>
      </c>
      <c r="B494" s="1" t="n">
        <v>43788</v>
      </c>
      <c r="C494" s="1" t="n">
        <v>45842</v>
      </c>
      <c r="D494" t="inlineStr">
        <is>
          <t>KALMAR LÄN</t>
        </is>
      </c>
      <c r="E494" t="inlineStr">
        <is>
          <t>VÄSTERVIK</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62660-2019</t>
        </is>
      </c>
      <c r="B495" s="1" t="n">
        <v>43789</v>
      </c>
      <c r="C495" s="1" t="n">
        <v>45842</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63090-2019</t>
        </is>
      </c>
      <c r="B496" s="1" t="n">
        <v>43791</v>
      </c>
      <c r="C496" s="1" t="n">
        <v>45842</v>
      </c>
      <c r="D496" t="inlineStr">
        <is>
          <t>KALMAR LÄN</t>
        </is>
      </c>
      <c r="E496" t="inlineStr">
        <is>
          <t>VÄSTERVIK</t>
        </is>
      </c>
      <c r="F496" t="inlineStr">
        <is>
          <t>Övriga Aktiebolag</t>
        </is>
      </c>
      <c r="G496" t="n">
        <v>5.8</v>
      </c>
      <c r="H496" t="n">
        <v>0</v>
      </c>
      <c r="I496" t="n">
        <v>0</v>
      </c>
      <c r="J496" t="n">
        <v>0</v>
      </c>
      <c r="K496" t="n">
        <v>0</v>
      </c>
      <c r="L496" t="n">
        <v>0</v>
      </c>
      <c r="M496" t="n">
        <v>0</v>
      </c>
      <c r="N496" t="n">
        <v>0</v>
      </c>
      <c r="O496" t="n">
        <v>0</v>
      </c>
      <c r="P496" t="n">
        <v>0</v>
      </c>
      <c r="Q496" t="n">
        <v>0</v>
      </c>
      <c r="R496" s="2" t="inlineStr"/>
    </row>
    <row r="497" ht="15" customHeight="1">
      <c r="A497" t="inlineStr">
        <is>
          <t>A 63385-2019</t>
        </is>
      </c>
      <c r="B497" s="1" t="n">
        <v>43794</v>
      </c>
      <c r="C497" s="1" t="n">
        <v>45842</v>
      </c>
      <c r="D497" t="inlineStr">
        <is>
          <t>KALMAR LÄN</t>
        </is>
      </c>
      <c r="E497" t="inlineStr">
        <is>
          <t>VÄSTERVIK</t>
        </is>
      </c>
      <c r="G497" t="n">
        <v>5.1</v>
      </c>
      <c r="H497" t="n">
        <v>0</v>
      </c>
      <c r="I497" t="n">
        <v>0</v>
      </c>
      <c r="J497" t="n">
        <v>0</v>
      </c>
      <c r="K497" t="n">
        <v>0</v>
      </c>
      <c r="L497" t="n">
        <v>0</v>
      </c>
      <c r="M497" t="n">
        <v>0</v>
      </c>
      <c r="N497" t="n">
        <v>0</v>
      </c>
      <c r="O497" t="n">
        <v>0</v>
      </c>
      <c r="P497" t="n">
        <v>0</v>
      </c>
      <c r="Q497" t="n">
        <v>0</v>
      </c>
      <c r="R497" s="2" t="inlineStr"/>
    </row>
    <row r="498" ht="15" customHeight="1">
      <c r="A498" t="inlineStr">
        <is>
          <t>A 64610-2019</t>
        </is>
      </c>
      <c r="B498" s="1" t="n">
        <v>43798</v>
      </c>
      <c r="C498" s="1" t="n">
        <v>45842</v>
      </c>
      <c r="D498" t="inlineStr">
        <is>
          <t>KALMAR LÄN</t>
        </is>
      </c>
      <c r="E498" t="inlineStr">
        <is>
          <t>VÄSTERVIK</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65604-2019</t>
        </is>
      </c>
      <c r="B499" s="1" t="n">
        <v>43804</v>
      </c>
      <c r="C499" s="1" t="n">
        <v>45842</v>
      </c>
      <c r="D499" t="inlineStr">
        <is>
          <t>KALMAR LÄN</t>
        </is>
      </c>
      <c r="E499" t="inlineStr">
        <is>
          <t>VÄSTERVIK</t>
        </is>
      </c>
      <c r="G499" t="n">
        <v>3.8</v>
      </c>
      <c r="H499" t="n">
        <v>0</v>
      </c>
      <c r="I499" t="n">
        <v>0</v>
      </c>
      <c r="J499" t="n">
        <v>0</v>
      </c>
      <c r="K499" t="n">
        <v>0</v>
      </c>
      <c r="L499" t="n">
        <v>0</v>
      </c>
      <c r="M499" t="n">
        <v>0</v>
      </c>
      <c r="N499" t="n">
        <v>0</v>
      </c>
      <c r="O499" t="n">
        <v>0</v>
      </c>
      <c r="P499" t="n">
        <v>0</v>
      </c>
      <c r="Q499" t="n">
        <v>0</v>
      </c>
      <c r="R499" s="2" t="inlineStr"/>
    </row>
    <row r="500" ht="15" customHeight="1">
      <c r="A500" t="inlineStr">
        <is>
          <t>A 66743-2019</t>
        </is>
      </c>
      <c r="B500" s="1" t="n">
        <v>43804</v>
      </c>
      <c r="C500" s="1" t="n">
        <v>45842</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c r="U500">
        <f>HYPERLINK("https://klasma.github.io/Logging_0883/knärot/A 66743-2019 karta knärot.png", "A 66743-2019")</f>
        <v/>
      </c>
      <c r="V500">
        <f>HYPERLINK("https://klasma.github.io/Logging_0883/klagomål/A 66743-2019 FSC-klagomål.docx", "A 66743-2019")</f>
        <v/>
      </c>
      <c r="W500">
        <f>HYPERLINK("https://klasma.github.io/Logging_0883/klagomålsmail/A 66743-2019 FSC-klagomål mail.docx", "A 66743-2019")</f>
        <v/>
      </c>
      <c r="X500">
        <f>HYPERLINK("https://klasma.github.io/Logging_0883/tillsyn/A 66743-2019 tillsynsbegäran.docx", "A 66743-2019")</f>
        <v/>
      </c>
      <c r="Y500">
        <f>HYPERLINK("https://klasma.github.io/Logging_0883/tillsynsmail/A 66743-2019 tillsynsbegäran mail.docx", "A 66743-2019")</f>
        <v/>
      </c>
    </row>
    <row r="501" ht="15" customHeight="1">
      <c r="A501" t="inlineStr">
        <is>
          <t>A 66279-2019</t>
        </is>
      </c>
      <c r="B501" s="1" t="n">
        <v>43808</v>
      </c>
      <c r="C501" s="1" t="n">
        <v>45842</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66232-2019</t>
        </is>
      </c>
      <c r="B502" s="1" t="n">
        <v>43808</v>
      </c>
      <c r="C502" s="1" t="n">
        <v>45842</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67407-2019</t>
        </is>
      </c>
      <c r="B503" s="1" t="n">
        <v>43812</v>
      </c>
      <c r="C503" s="1" t="n">
        <v>45842</v>
      </c>
      <c r="D503" t="inlineStr">
        <is>
          <t>KALMAR LÄN</t>
        </is>
      </c>
      <c r="E503" t="inlineStr">
        <is>
          <t>VÄSTERVIK</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68494-2019</t>
        </is>
      </c>
      <c r="B504" s="1" t="n">
        <v>43818</v>
      </c>
      <c r="C504" s="1" t="n">
        <v>45842</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68764-2019</t>
        </is>
      </c>
      <c r="B505" s="1" t="n">
        <v>43819</v>
      </c>
      <c r="C505" s="1" t="n">
        <v>45842</v>
      </c>
      <c r="D505" t="inlineStr">
        <is>
          <t>KALMAR LÄN</t>
        </is>
      </c>
      <c r="E505" t="inlineStr">
        <is>
          <t>VÄSTERVIK</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483-2020</t>
        </is>
      </c>
      <c r="B506" s="1" t="n">
        <v>43837</v>
      </c>
      <c r="C506" s="1" t="n">
        <v>45842</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777-2020</t>
        </is>
      </c>
      <c r="B507" s="1" t="n">
        <v>43838</v>
      </c>
      <c r="C507" s="1" t="n">
        <v>45842</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776-2020</t>
        </is>
      </c>
      <c r="B508" s="1" t="n">
        <v>43838</v>
      </c>
      <c r="C508" s="1" t="n">
        <v>45842</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1989-2020</t>
        </is>
      </c>
      <c r="B509" s="1" t="n">
        <v>43838</v>
      </c>
      <c r="C509" s="1" t="n">
        <v>45842</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2494-2020</t>
        </is>
      </c>
      <c r="B510" s="1" t="n">
        <v>43847</v>
      </c>
      <c r="C510" s="1" t="n">
        <v>45842</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3739-2020</t>
        </is>
      </c>
      <c r="B511" s="1" t="n">
        <v>43853</v>
      </c>
      <c r="C511" s="1" t="n">
        <v>45842</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3934-2020</t>
        </is>
      </c>
      <c r="B512" s="1" t="n">
        <v>43854</v>
      </c>
      <c r="C512" s="1" t="n">
        <v>45842</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4786-2020</t>
        </is>
      </c>
      <c r="B513" s="1" t="n">
        <v>43859</v>
      </c>
      <c r="C513" s="1" t="n">
        <v>45842</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4954-2020</t>
        </is>
      </c>
      <c r="B514" s="1" t="n">
        <v>43859</v>
      </c>
      <c r="C514" s="1" t="n">
        <v>45842</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4992-2020</t>
        </is>
      </c>
      <c r="B515" s="1" t="n">
        <v>43859</v>
      </c>
      <c r="C515" s="1" t="n">
        <v>45842</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4939-2020</t>
        </is>
      </c>
      <c r="B516" s="1" t="n">
        <v>43859</v>
      </c>
      <c r="C516" s="1" t="n">
        <v>45842</v>
      </c>
      <c r="D516" t="inlineStr">
        <is>
          <t>KALMAR LÄN</t>
        </is>
      </c>
      <c r="E516" t="inlineStr">
        <is>
          <t>VÄSTERVIK</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5622-2020</t>
        </is>
      </c>
      <c r="B517" s="1" t="n">
        <v>43860</v>
      </c>
      <c r="C517" s="1" t="n">
        <v>45842</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5637-2020</t>
        </is>
      </c>
      <c r="B518" s="1" t="n">
        <v>43860</v>
      </c>
      <c r="C518" s="1" t="n">
        <v>45842</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5629-2020</t>
        </is>
      </c>
      <c r="B519" s="1" t="n">
        <v>43860</v>
      </c>
      <c r="C519" s="1" t="n">
        <v>45842</v>
      </c>
      <c r="D519" t="inlineStr">
        <is>
          <t>KALMAR LÄN</t>
        </is>
      </c>
      <c r="E519" t="inlineStr">
        <is>
          <t>VÄSTERVIK</t>
        </is>
      </c>
      <c r="G519" t="n">
        <v>3.8</v>
      </c>
      <c r="H519" t="n">
        <v>0</v>
      </c>
      <c r="I519" t="n">
        <v>0</v>
      </c>
      <c r="J519" t="n">
        <v>0</v>
      </c>
      <c r="K519" t="n">
        <v>0</v>
      </c>
      <c r="L519" t="n">
        <v>0</v>
      </c>
      <c r="M519" t="n">
        <v>0</v>
      </c>
      <c r="N519" t="n">
        <v>0</v>
      </c>
      <c r="O519" t="n">
        <v>0</v>
      </c>
      <c r="P519" t="n">
        <v>0</v>
      </c>
      <c r="Q519" t="n">
        <v>0</v>
      </c>
      <c r="R519" s="2" t="inlineStr"/>
    </row>
    <row r="520" ht="15" customHeight="1">
      <c r="A520" t="inlineStr">
        <is>
          <t>A 5583-2020</t>
        </is>
      </c>
      <c r="B520" s="1" t="n">
        <v>43861</v>
      </c>
      <c r="C520" s="1" t="n">
        <v>45842</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5594-2020</t>
        </is>
      </c>
      <c r="B521" s="1" t="n">
        <v>43861</v>
      </c>
      <c r="C521" s="1" t="n">
        <v>45842</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5697-2020</t>
        </is>
      </c>
      <c r="B522" s="1" t="n">
        <v>43861</v>
      </c>
      <c r="C522" s="1" t="n">
        <v>45842</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5822-2020</t>
        </is>
      </c>
      <c r="B523" s="1" t="n">
        <v>43864</v>
      </c>
      <c r="C523" s="1" t="n">
        <v>45842</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6425-2020</t>
        </is>
      </c>
      <c r="B524" s="1" t="n">
        <v>43865</v>
      </c>
      <c r="C524" s="1" t="n">
        <v>45842</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6391-2020</t>
        </is>
      </c>
      <c r="B525" s="1" t="n">
        <v>43866</v>
      </c>
      <c r="C525" s="1" t="n">
        <v>45842</v>
      </c>
      <c r="D525" t="inlineStr">
        <is>
          <t>KALMAR LÄN</t>
        </is>
      </c>
      <c r="E525" t="inlineStr">
        <is>
          <t>VÄSTERVIK</t>
        </is>
      </c>
      <c r="G525" t="n">
        <v>1.6</v>
      </c>
      <c r="H525" t="n">
        <v>0</v>
      </c>
      <c r="I525" t="n">
        <v>0</v>
      </c>
      <c r="J525" t="n">
        <v>0</v>
      </c>
      <c r="K525" t="n">
        <v>0</v>
      </c>
      <c r="L525" t="n">
        <v>0</v>
      </c>
      <c r="M525" t="n">
        <v>0</v>
      </c>
      <c r="N525" t="n">
        <v>0</v>
      </c>
      <c r="O525" t="n">
        <v>0</v>
      </c>
      <c r="P525" t="n">
        <v>0</v>
      </c>
      <c r="Q525" t="n">
        <v>0</v>
      </c>
      <c r="R525" s="2" t="inlineStr"/>
    </row>
    <row r="526" ht="15" customHeight="1">
      <c r="A526" t="inlineStr">
        <is>
          <t>A 6387-2020</t>
        </is>
      </c>
      <c r="B526" s="1" t="n">
        <v>43866</v>
      </c>
      <c r="C526" s="1" t="n">
        <v>45842</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7290-2020</t>
        </is>
      </c>
      <c r="B527" s="1" t="n">
        <v>43871</v>
      </c>
      <c r="C527" s="1" t="n">
        <v>45842</v>
      </c>
      <c r="D527" t="inlineStr">
        <is>
          <t>KALMAR LÄN</t>
        </is>
      </c>
      <c r="E527" t="inlineStr">
        <is>
          <t>VÄSTERVIK</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7660-2020</t>
        </is>
      </c>
      <c r="B528" s="1" t="n">
        <v>43872</v>
      </c>
      <c r="C528" s="1" t="n">
        <v>45842</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7652-2020</t>
        </is>
      </c>
      <c r="B529" s="1" t="n">
        <v>43872</v>
      </c>
      <c r="C529" s="1" t="n">
        <v>45842</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7727-2020</t>
        </is>
      </c>
      <c r="B530" s="1" t="n">
        <v>43872</v>
      </c>
      <c r="C530" s="1" t="n">
        <v>45842</v>
      </c>
      <c r="D530" t="inlineStr">
        <is>
          <t>KALMAR LÄN</t>
        </is>
      </c>
      <c r="E530" t="inlineStr">
        <is>
          <t>VÄSTERVIK</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8075-2020</t>
        </is>
      </c>
      <c r="B531" s="1" t="n">
        <v>43874</v>
      </c>
      <c r="C531" s="1" t="n">
        <v>45842</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8072-2020</t>
        </is>
      </c>
      <c r="B532" s="1" t="n">
        <v>43874</v>
      </c>
      <c r="C532" s="1" t="n">
        <v>45842</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9168-2020</t>
        </is>
      </c>
      <c r="B533" s="1" t="n">
        <v>43879</v>
      </c>
      <c r="C533" s="1" t="n">
        <v>45842</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9166-2020</t>
        </is>
      </c>
      <c r="B534" s="1" t="n">
        <v>43879</v>
      </c>
      <c r="C534" s="1" t="n">
        <v>45842</v>
      </c>
      <c r="D534" t="inlineStr">
        <is>
          <t>KALMAR LÄN</t>
        </is>
      </c>
      <c r="E534" t="inlineStr">
        <is>
          <t>VÄSTERVIK</t>
        </is>
      </c>
      <c r="G534" t="n">
        <v>6.9</v>
      </c>
      <c r="H534" t="n">
        <v>0</v>
      </c>
      <c r="I534" t="n">
        <v>0</v>
      </c>
      <c r="J534" t="n">
        <v>0</v>
      </c>
      <c r="K534" t="n">
        <v>0</v>
      </c>
      <c r="L534" t="n">
        <v>0</v>
      </c>
      <c r="M534" t="n">
        <v>0</v>
      </c>
      <c r="N534" t="n">
        <v>0</v>
      </c>
      <c r="O534" t="n">
        <v>0</v>
      </c>
      <c r="P534" t="n">
        <v>0</v>
      </c>
      <c r="Q534" t="n">
        <v>0</v>
      </c>
      <c r="R534" s="2" t="inlineStr"/>
    </row>
    <row r="535" ht="15" customHeight="1">
      <c r="A535" t="inlineStr">
        <is>
          <t>A 9332-2020</t>
        </is>
      </c>
      <c r="B535" s="1" t="n">
        <v>43880</v>
      </c>
      <c r="C535" s="1" t="n">
        <v>45842</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10373-2020</t>
        </is>
      </c>
      <c r="B536" s="1" t="n">
        <v>43885</v>
      </c>
      <c r="C536" s="1" t="n">
        <v>45842</v>
      </c>
      <c r="D536" t="inlineStr">
        <is>
          <t>KALMAR LÄN</t>
        </is>
      </c>
      <c r="E536" t="inlineStr">
        <is>
          <t>VÄSTERVIK</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11067-2020</t>
        </is>
      </c>
      <c r="B537" s="1" t="n">
        <v>43885</v>
      </c>
      <c r="C537" s="1" t="n">
        <v>45842</v>
      </c>
      <c r="D537" t="inlineStr">
        <is>
          <t>KALMAR LÄN</t>
        </is>
      </c>
      <c r="E537" t="inlineStr">
        <is>
          <t>VÄSTERVIK</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10482-2020</t>
        </is>
      </c>
      <c r="B538" s="1" t="n">
        <v>43886</v>
      </c>
      <c r="C538" s="1" t="n">
        <v>45842</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10173-2020</t>
        </is>
      </c>
      <c r="B539" s="1" t="n">
        <v>43886</v>
      </c>
      <c r="C539" s="1" t="n">
        <v>45842</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11253-2020</t>
        </is>
      </c>
      <c r="B540" s="1" t="n">
        <v>43892</v>
      </c>
      <c r="C540" s="1" t="n">
        <v>45842</v>
      </c>
      <c r="D540" t="inlineStr">
        <is>
          <t>KALMAR LÄN</t>
        </is>
      </c>
      <c r="E540" t="inlineStr">
        <is>
          <t>VÄSTERVIK</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11248-2020</t>
        </is>
      </c>
      <c r="B541" s="1" t="n">
        <v>43892</v>
      </c>
      <c r="C541" s="1" t="n">
        <v>45842</v>
      </c>
      <c r="D541" t="inlineStr">
        <is>
          <t>KALMAR LÄN</t>
        </is>
      </c>
      <c r="E541" t="inlineStr">
        <is>
          <t>VÄSTERVIK</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11246-2020</t>
        </is>
      </c>
      <c r="B542" s="1" t="n">
        <v>43892</v>
      </c>
      <c r="C542" s="1" t="n">
        <v>45842</v>
      </c>
      <c r="D542" t="inlineStr">
        <is>
          <t>KALMAR LÄN</t>
        </is>
      </c>
      <c r="E542" t="inlineStr">
        <is>
          <t>VÄSTERVIK</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12430-2020</t>
        </is>
      </c>
      <c r="B543" s="1" t="n">
        <v>43896</v>
      </c>
      <c r="C543" s="1" t="n">
        <v>45842</v>
      </c>
      <c r="D543" t="inlineStr">
        <is>
          <t>KALMAR LÄN</t>
        </is>
      </c>
      <c r="E543" t="inlineStr">
        <is>
          <t>VÄSTERVIK</t>
        </is>
      </c>
      <c r="G543" t="n">
        <v>2.1</v>
      </c>
      <c r="H543" t="n">
        <v>0</v>
      </c>
      <c r="I543" t="n">
        <v>0</v>
      </c>
      <c r="J543" t="n">
        <v>0</v>
      </c>
      <c r="K543" t="n">
        <v>0</v>
      </c>
      <c r="L543" t="n">
        <v>0</v>
      </c>
      <c r="M543" t="n">
        <v>0</v>
      </c>
      <c r="N543" t="n">
        <v>0</v>
      </c>
      <c r="O543" t="n">
        <v>0</v>
      </c>
      <c r="P543" t="n">
        <v>0</v>
      </c>
      <c r="Q543" t="n">
        <v>0</v>
      </c>
      <c r="R543" s="2" t="inlineStr"/>
    </row>
    <row r="544" ht="15" customHeight="1">
      <c r="A544" t="inlineStr">
        <is>
          <t>A 12965-2020</t>
        </is>
      </c>
      <c r="B544" s="1" t="n">
        <v>43900</v>
      </c>
      <c r="C544" s="1" t="n">
        <v>45842</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13514-2020</t>
        </is>
      </c>
      <c r="B545" s="1" t="n">
        <v>43902</v>
      </c>
      <c r="C545" s="1" t="n">
        <v>45842</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13526-2020</t>
        </is>
      </c>
      <c r="B546" s="1" t="n">
        <v>43902</v>
      </c>
      <c r="C546" s="1" t="n">
        <v>45842</v>
      </c>
      <c r="D546" t="inlineStr">
        <is>
          <t>KALMAR LÄN</t>
        </is>
      </c>
      <c r="E546" t="inlineStr">
        <is>
          <t>VÄSTERVIK</t>
        </is>
      </c>
      <c r="F546" t="inlineStr">
        <is>
          <t>Holmen skog AB</t>
        </is>
      </c>
      <c r="G546" t="n">
        <v>18.6</v>
      </c>
      <c r="H546" t="n">
        <v>0</v>
      </c>
      <c r="I546" t="n">
        <v>0</v>
      </c>
      <c r="J546" t="n">
        <v>0</v>
      </c>
      <c r="K546" t="n">
        <v>0</v>
      </c>
      <c r="L546" t="n">
        <v>0</v>
      </c>
      <c r="M546" t="n">
        <v>0</v>
      </c>
      <c r="N546" t="n">
        <v>0</v>
      </c>
      <c r="O546" t="n">
        <v>0</v>
      </c>
      <c r="P546" t="n">
        <v>0</v>
      </c>
      <c r="Q546" t="n">
        <v>0</v>
      </c>
      <c r="R546" s="2" t="inlineStr"/>
    </row>
    <row r="547" ht="15" customHeight="1">
      <c r="A547" t="inlineStr">
        <is>
          <t>A 13523-2020</t>
        </is>
      </c>
      <c r="B547" s="1" t="n">
        <v>43902</v>
      </c>
      <c r="C547" s="1" t="n">
        <v>45842</v>
      </c>
      <c r="D547" t="inlineStr">
        <is>
          <t>KALMAR LÄN</t>
        </is>
      </c>
      <c r="E547" t="inlineStr">
        <is>
          <t>VÄSTERVIK</t>
        </is>
      </c>
      <c r="F547" t="inlineStr">
        <is>
          <t>Holmen skog AB</t>
        </is>
      </c>
      <c r="G547" t="n">
        <v>3.8</v>
      </c>
      <c r="H547" t="n">
        <v>0</v>
      </c>
      <c r="I547" t="n">
        <v>0</v>
      </c>
      <c r="J547" t="n">
        <v>0</v>
      </c>
      <c r="K547" t="n">
        <v>0</v>
      </c>
      <c r="L547" t="n">
        <v>0</v>
      </c>
      <c r="M547" t="n">
        <v>0</v>
      </c>
      <c r="N547" t="n">
        <v>0</v>
      </c>
      <c r="O547" t="n">
        <v>0</v>
      </c>
      <c r="P547" t="n">
        <v>0</v>
      </c>
      <c r="Q547" t="n">
        <v>0</v>
      </c>
      <c r="R547" s="2" t="inlineStr"/>
    </row>
    <row r="548" ht="15" customHeight="1">
      <c r="A548" t="inlineStr">
        <is>
          <t>A 14889-2020</t>
        </is>
      </c>
      <c r="B548" s="1" t="n">
        <v>43906</v>
      </c>
      <c r="C548" s="1" t="n">
        <v>45842</v>
      </c>
      <c r="D548" t="inlineStr">
        <is>
          <t>KALMAR LÄN</t>
        </is>
      </c>
      <c r="E548" t="inlineStr">
        <is>
          <t>VÄSTERVIK</t>
        </is>
      </c>
      <c r="G548" t="n">
        <v>2.4</v>
      </c>
      <c r="H548" t="n">
        <v>0</v>
      </c>
      <c r="I548" t="n">
        <v>0</v>
      </c>
      <c r="J548" t="n">
        <v>0</v>
      </c>
      <c r="K548" t="n">
        <v>0</v>
      </c>
      <c r="L548" t="n">
        <v>0</v>
      </c>
      <c r="M548" t="n">
        <v>0</v>
      </c>
      <c r="N548" t="n">
        <v>0</v>
      </c>
      <c r="O548" t="n">
        <v>0</v>
      </c>
      <c r="P548" t="n">
        <v>0</v>
      </c>
      <c r="Q548" t="n">
        <v>0</v>
      </c>
      <c r="R548" s="2" t="inlineStr"/>
    </row>
    <row r="549" ht="15" customHeight="1">
      <c r="A549" t="inlineStr">
        <is>
          <t>A 14887-2020</t>
        </is>
      </c>
      <c r="B549" s="1" t="n">
        <v>43906</v>
      </c>
      <c r="C549" s="1" t="n">
        <v>45842</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14891-2020</t>
        </is>
      </c>
      <c r="B550" s="1" t="n">
        <v>43906</v>
      </c>
      <c r="C550" s="1" t="n">
        <v>45842</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14456-2020</t>
        </is>
      </c>
      <c r="B551" s="1" t="n">
        <v>43908</v>
      </c>
      <c r="C551" s="1" t="n">
        <v>45842</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16580-2020</t>
        </is>
      </c>
      <c r="B552" s="1" t="n">
        <v>43908</v>
      </c>
      <c r="C552" s="1" t="n">
        <v>45842</v>
      </c>
      <c r="D552" t="inlineStr">
        <is>
          <t>KALMAR LÄN</t>
        </is>
      </c>
      <c r="E552" t="inlineStr">
        <is>
          <t>VÄSTERVIK</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19422-2020</t>
        </is>
      </c>
      <c r="B553" s="1" t="n">
        <v>43938</v>
      </c>
      <c r="C553" s="1" t="n">
        <v>45842</v>
      </c>
      <c r="D553" t="inlineStr">
        <is>
          <t>KALMAR LÄN</t>
        </is>
      </c>
      <c r="E553" t="inlineStr">
        <is>
          <t>VÄSTERVIK</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19437-2020</t>
        </is>
      </c>
      <c r="B554" s="1" t="n">
        <v>43938</v>
      </c>
      <c r="C554" s="1" t="n">
        <v>45842</v>
      </c>
      <c r="D554" t="inlineStr">
        <is>
          <t>KALMAR LÄN</t>
        </is>
      </c>
      <c r="E554" t="inlineStr">
        <is>
          <t>VÄSTERVIK</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19829-2020</t>
        </is>
      </c>
      <c r="B555" s="1" t="n">
        <v>43942</v>
      </c>
      <c r="C555" s="1" t="n">
        <v>45842</v>
      </c>
      <c r="D555" t="inlineStr">
        <is>
          <t>KALMAR LÄN</t>
        </is>
      </c>
      <c r="E555" t="inlineStr">
        <is>
          <t>VÄSTERVIK</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20408-2020</t>
        </is>
      </c>
      <c r="B556" s="1" t="n">
        <v>43945</v>
      </c>
      <c r="C556" s="1" t="n">
        <v>45842</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20411-2020</t>
        </is>
      </c>
      <c r="B557" s="1" t="n">
        <v>43945</v>
      </c>
      <c r="C557" s="1" t="n">
        <v>45842</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20694-2020</t>
        </is>
      </c>
      <c r="B558" s="1" t="n">
        <v>43949</v>
      </c>
      <c r="C558" s="1" t="n">
        <v>45842</v>
      </c>
      <c r="D558" t="inlineStr">
        <is>
          <t>KALMAR LÄN</t>
        </is>
      </c>
      <c r="E558" t="inlineStr">
        <is>
          <t>VÄSTERVIK</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22643-2020</t>
        </is>
      </c>
      <c r="B559" s="1" t="n">
        <v>43963</v>
      </c>
      <c r="C559" s="1" t="n">
        <v>45842</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22882-2020</t>
        </is>
      </c>
      <c r="B560" s="1" t="n">
        <v>43964</v>
      </c>
      <c r="C560" s="1" t="n">
        <v>45842</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row>
    <row r="561" ht="15" customHeight="1">
      <c r="A561" t="inlineStr">
        <is>
          <t>A 22880-2020</t>
        </is>
      </c>
      <c r="B561" s="1" t="n">
        <v>43964</v>
      </c>
      <c r="C561" s="1" t="n">
        <v>45842</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22803-2020</t>
        </is>
      </c>
      <c r="B562" s="1" t="n">
        <v>43964</v>
      </c>
      <c r="C562" s="1" t="n">
        <v>45842</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24366-2020</t>
        </is>
      </c>
      <c r="B563" s="1" t="n">
        <v>43973</v>
      </c>
      <c r="C563" s="1" t="n">
        <v>45842</v>
      </c>
      <c r="D563" t="inlineStr">
        <is>
          <t>KALMAR LÄN</t>
        </is>
      </c>
      <c r="E563" t="inlineStr">
        <is>
          <t>VÄSTERVIK</t>
        </is>
      </c>
      <c r="G563" t="n">
        <v>6.9</v>
      </c>
      <c r="H563" t="n">
        <v>0</v>
      </c>
      <c r="I563" t="n">
        <v>0</v>
      </c>
      <c r="J563" t="n">
        <v>0</v>
      </c>
      <c r="K563" t="n">
        <v>0</v>
      </c>
      <c r="L563" t="n">
        <v>0</v>
      </c>
      <c r="M563" t="n">
        <v>0</v>
      </c>
      <c r="N563" t="n">
        <v>0</v>
      </c>
      <c r="O563" t="n">
        <v>0</v>
      </c>
      <c r="P563" t="n">
        <v>0</v>
      </c>
      <c r="Q563" t="n">
        <v>0</v>
      </c>
      <c r="R563" s="2" t="inlineStr"/>
    </row>
    <row r="564" ht="15" customHeight="1">
      <c r="A564" t="inlineStr">
        <is>
          <t>A 24575-2020</t>
        </is>
      </c>
      <c r="B564" s="1" t="n">
        <v>43977</v>
      </c>
      <c r="C564" s="1" t="n">
        <v>45842</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24570-2020</t>
        </is>
      </c>
      <c r="B565" s="1" t="n">
        <v>43977</v>
      </c>
      <c r="C565" s="1" t="n">
        <v>45842</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24677-2020</t>
        </is>
      </c>
      <c r="B566" s="1" t="n">
        <v>43978</v>
      </c>
      <c r="C566" s="1" t="n">
        <v>45842</v>
      </c>
      <c r="D566" t="inlineStr">
        <is>
          <t>KALMAR LÄN</t>
        </is>
      </c>
      <c r="E566" t="inlineStr">
        <is>
          <t>VÄSTERVIK</t>
        </is>
      </c>
      <c r="G566" t="n">
        <v>2.7</v>
      </c>
      <c r="H566" t="n">
        <v>0</v>
      </c>
      <c r="I566" t="n">
        <v>0</v>
      </c>
      <c r="J566" t="n">
        <v>0</v>
      </c>
      <c r="K566" t="n">
        <v>0</v>
      </c>
      <c r="L566" t="n">
        <v>0</v>
      </c>
      <c r="M566" t="n">
        <v>0</v>
      </c>
      <c r="N566" t="n">
        <v>0</v>
      </c>
      <c r="O566" t="n">
        <v>0</v>
      </c>
      <c r="P566" t="n">
        <v>0</v>
      </c>
      <c r="Q566" t="n">
        <v>0</v>
      </c>
      <c r="R566" s="2" t="inlineStr"/>
    </row>
    <row r="567" ht="15" customHeight="1">
      <c r="A567" t="inlineStr">
        <is>
          <t>A 25241-2020</t>
        </is>
      </c>
      <c r="B567" s="1" t="n">
        <v>43980</v>
      </c>
      <c r="C567" s="1" t="n">
        <v>45842</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26226-2020</t>
        </is>
      </c>
      <c r="B568" s="1" t="n">
        <v>43985</v>
      </c>
      <c r="C568" s="1" t="n">
        <v>45842</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26129-2020</t>
        </is>
      </c>
      <c r="B569" s="1" t="n">
        <v>43985</v>
      </c>
      <c r="C569" s="1" t="n">
        <v>45842</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26842-2020</t>
        </is>
      </c>
      <c r="B570" s="1" t="n">
        <v>43987</v>
      </c>
      <c r="C570" s="1" t="n">
        <v>45842</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29093-2020</t>
        </is>
      </c>
      <c r="B571" s="1" t="n">
        <v>44002</v>
      </c>
      <c r="C571" s="1" t="n">
        <v>45842</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29264-2020</t>
        </is>
      </c>
      <c r="B572" s="1" t="n">
        <v>44004</v>
      </c>
      <c r="C572" s="1" t="n">
        <v>45842</v>
      </c>
      <c r="D572" t="inlineStr">
        <is>
          <t>KALMAR LÄN</t>
        </is>
      </c>
      <c r="E572" t="inlineStr">
        <is>
          <t>VÄSTERVIK</t>
        </is>
      </c>
      <c r="G572" t="n">
        <v>5.5</v>
      </c>
      <c r="H572" t="n">
        <v>0</v>
      </c>
      <c r="I572" t="n">
        <v>0</v>
      </c>
      <c r="J572" t="n">
        <v>0</v>
      </c>
      <c r="K572" t="n">
        <v>0</v>
      </c>
      <c r="L572" t="n">
        <v>0</v>
      </c>
      <c r="M572" t="n">
        <v>0</v>
      </c>
      <c r="N572" t="n">
        <v>0</v>
      </c>
      <c r="O572" t="n">
        <v>0</v>
      </c>
      <c r="P572" t="n">
        <v>0</v>
      </c>
      <c r="Q572" t="n">
        <v>0</v>
      </c>
      <c r="R572" s="2" t="inlineStr"/>
    </row>
    <row r="573" ht="15" customHeight="1">
      <c r="A573" t="inlineStr">
        <is>
          <t>A 30581-2020</t>
        </is>
      </c>
      <c r="B573" s="1" t="n">
        <v>44008</v>
      </c>
      <c r="C573" s="1" t="n">
        <v>45842</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30578-2020</t>
        </is>
      </c>
      <c r="B574" s="1" t="n">
        <v>44008</v>
      </c>
      <c r="C574" s="1" t="n">
        <v>45842</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31587-2020</t>
        </is>
      </c>
      <c r="B575" s="1" t="n">
        <v>44012</v>
      </c>
      <c r="C575" s="1" t="n">
        <v>45842</v>
      </c>
      <c r="D575" t="inlineStr">
        <is>
          <t>KALMAR LÄN</t>
        </is>
      </c>
      <c r="E575" t="inlineStr">
        <is>
          <t>VÄSTERVIK</t>
        </is>
      </c>
      <c r="G575" t="n">
        <v>2.5</v>
      </c>
      <c r="H575" t="n">
        <v>0</v>
      </c>
      <c r="I575" t="n">
        <v>0</v>
      </c>
      <c r="J575" t="n">
        <v>0</v>
      </c>
      <c r="K575" t="n">
        <v>0</v>
      </c>
      <c r="L575" t="n">
        <v>0</v>
      </c>
      <c r="M575" t="n">
        <v>0</v>
      </c>
      <c r="N575" t="n">
        <v>0</v>
      </c>
      <c r="O575" t="n">
        <v>0</v>
      </c>
      <c r="P575" t="n">
        <v>0</v>
      </c>
      <c r="Q575" t="n">
        <v>0</v>
      </c>
      <c r="R575" s="2" t="inlineStr"/>
    </row>
    <row r="576" ht="15" customHeight="1">
      <c r="A576" t="inlineStr">
        <is>
          <t>A 32807-2020</t>
        </is>
      </c>
      <c r="B576" s="1" t="n">
        <v>44018</v>
      </c>
      <c r="C576" s="1" t="n">
        <v>45842</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33137-2020</t>
        </is>
      </c>
      <c r="B577" s="1" t="n">
        <v>44021</v>
      </c>
      <c r="C577" s="1" t="n">
        <v>45842</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34775-2020</t>
        </is>
      </c>
      <c r="B578" s="1" t="n">
        <v>44035</v>
      </c>
      <c r="C578" s="1" t="n">
        <v>45842</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35150-2020</t>
        </is>
      </c>
      <c r="B579" s="1" t="n">
        <v>44040</v>
      </c>
      <c r="C579" s="1" t="n">
        <v>45842</v>
      </c>
      <c r="D579" t="inlineStr">
        <is>
          <t>KALMAR LÄN</t>
        </is>
      </c>
      <c r="E579" t="inlineStr">
        <is>
          <t>VÄSTERVIK</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35655-2020</t>
        </is>
      </c>
      <c r="B580" s="1" t="n">
        <v>44046</v>
      </c>
      <c r="C580" s="1" t="n">
        <v>45842</v>
      </c>
      <c r="D580" t="inlineStr">
        <is>
          <t>KALMAR LÄN</t>
        </is>
      </c>
      <c r="E580" t="inlineStr">
        <is>
          <t>VÄSTERVIK</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35689-2020</t>
        </is>
      </c>
      <c r="B581" s="1" t="n">
        <v>44046</v>
      </c>
      <c r="C581" s="1" t="n">
        <v>45842</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35868-2020</t>
        </is>
      </c>
      <c r="B582" s="1" t="n">
        <v>44047</v>
      </c>
      <c r="C582" s="1" t="n">
        <v>45842</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37146-2020</t>
        </is>
      </c>
      <c r="B583" s="1" t="n">
        <v>44054</v>
      </c>
      <c r="C583" s="1" t="n">
        <v>45842</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37156-2020</t>
        </is>
      </c>
      <c r="B584" s="1" t="n">
        <v>44054</v>
      </c>
      <c r="C584" s="1" t="n">
        <v>45842</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37163-2020</t>
        </is>
      </c>
      <c r="B585" s="1" t="n">
        <v>44054</v>
      </c>
      <c r="C585" s="1" t="n">
        <v>45842</v>
      </c>
      <c r="D585" t="inlineStr">
        <is>
          <t>KALMAR LÄN</t>
        </is>
      </c>
      <c r="E585" t="inlineStr">
        <is>
          <t>VÄSTERVIK</t>
        </is>
      </c>
      <c r="G585" t="n">
        <v>1.4</v>
      </c>
      <c r="H585" t="n">
        <v>0</v>
      </c>
      <c r="I585" t="n">
        <v>0</v>
      </c>
      <c r="J585" t="n">
        <v>0</v>
      </c>
      <c r="K585" t="n">
        <v>0</v>
      </c>
      <c r="L585" t="n">
        <v>0</v>
      </c>
      <c r="M585" t="n">
        <v>0</v>
      </c>
      <c r="N585" t="n">
        <v>0</v>
      </c>
      <c r="O585" t="n">
        <v>0</v>
      </c>
      <c r="P585" t="n">
        <v>0</v>
      </c>
      <c r="Q585" t="n">
        <v>0</v>
      </c>
      <c r="R585" s="2" t="inlineStr"/>
    </row>
    <row r="586" ht="15" customHeight="1">
      <c r="A586" t="inlineStr">
        <is>
          <t>A 37162-2020</t>
        </is>
      </c>
      <c r="B586" s="1" t="n">
        <v>44054</v>
      </c>
      <c r="C586" s="1" t="n">
        <v>45842</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37113-2020</t>
        </is>
      </c>
      <c r="B587" s="1" t="n">
        <v>44054</v>
      </c>
      <c r="C587" s="1" t="n">
        <v>45842</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37122-2020</t>
        </is>
      </c>
      <c r="B588" s="1" t="n">
        <v>44054</v>
      </c>
      <c r="C588" s="1" t="n">
        <v>45842</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37149-2020</t>
        </is>
      </c>
      <c r="B589" s="1" t="n">
        <v>44054</v>
      </c>
      <c r="C589" s="1" t="n">
        <v>45842</v>
      </c>
      <c r="D589" t="inlineStr">
        <is>
          <t>KALMAR LÄN</t>
        </is>
      </c>
      <c r="E589" t="inlineStr">
        <is>
          <t>VÄSTERVIK</t>
        </is>
      </c>
      <c r="G589" t="n">
        <v>4.6</v>
      </c>
      <c r="H589" t="n">
        <v>0</v>
      </c>
      <c r="I589" t="n">
        <v>0</v>
      </c>
      <c r="J589" t="n">
        <v>0</v>
      </c>
      <c r="K589" t="n">
        <v>0</v>
      </c>
      <c r="L589" t="n">
        <v>0</v>
      </c>
      <c r="M589" t="n">
        <v>0</v>
      </c>
      <c r="N589" t="n">
        <v>0</v>
      </c>
      <c r="O589" t="n">
        <v>0</v>
      </c>
      <c r="P589" t="n">
        <v>0</v>
      </c>
      <c r="Q589" t="n">
        <v>0</v>
      </c>
      <c r="R589" s="2" t="inlineStr"/>
    </row>
    <row r="590" ht="15" customHeight="1">
      <c r="A590" t="inlineStr">
        <is>
          <t>A 37166-2020</t>
        </is>
      </c>
      <c r="B590" s="1" t="n">
        <v>44054</v>
      </c>
      <c r="C590" s="1" t="n">
        <v>45842</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37114-2020</t>
        </is>
      </c>
      <c r="B591" s="1" t="n">
        <v>44054</v>
      </c>
      <c r="C591" s="1" t="n">
        <v>45842</v>
      </c>
      <c r="D591" t="inlineStr">
        <is>
          <t>KALMAR LÄN</t>
        </is>
      </c>
      <c r="E591" t="inlineStr">
        <is>
          <t>VÄSTERVIK</t>
        </is>
      </c>
      <c r="G591" t="n">
        <v>2.8</v>
      </c>
      <c r="H591" t="n">
        <v>0</v>
      </c>
      <c r="I591" t="n">
        <v>0</v>
      </c>
      <c r="J591" t="n">
        <v>0</v>
      </c>
      <c r="K591" t="n">
        <v>0</v>
      </c>
      <c r="L591" t="n">
        <v>0</v>
      </c>
      <c r="M591" t="n">
        <v>0</v>
      </c>
      <c r="N591" t="n">
        <v>0</v>
      </c>
      <c r="O591" t="n">
        <v>0</v>
      </c>
      <c r="P591" t="n">
        <v>0</v>
      </c>
      <c r="Q591" t="n">
        <v>0</v>
      </c>
      <c r="R591" s="2" t="inlineStr"/>
    </row>
    <row r="592" ht="15" customHeight="1">
      <c r="A592" t="inlineStr">
        <is>
          <t>A 39153-2020</t>
        </is>
      </c>
      <c r="B592" s="1" t="n">
        <v>44063</v>
      </c>
      <c r="C592" s="1" t="n">
        <v>45842</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39779-2020</t>
        </is>
      </c>
      <c r="B593" s="1" t="n">
        <v>44064</v>
      </c>
      <c r="C593" s="1" t="n">
        <v>45842</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39859-2020</t>
        </is>
      </c>
      <c r="B594" s="1" t="n">
        <v>44064</v>
      </c>
      <c r="C594" s="1" t="n">
        <v>45842</v>
      </c>
      <c r="D594" t="inlineStr">
        <is>
          <t>KALMAR LÄN</t>
        </is>
      </c>
      <c r="E594" t="inlineStr">
        <is>
          <t>VÄSTERVIK</t>
        </is>
      </c>
      <c r="G594" t="n">
        <v>29.6</v>
      </c>
      <c r="H594" t="n">
        <v>0</v>
      </c>
      <c r="I594" t="n">
        <v>0</v>
      </c>
      <c r="J594" t="n">
        <v>0</v>
      </c>
      <c r="K594" t="n">
        <v>0</v>
      </c>
      <c r="L594" t="n">
        <v>0</v>
      </c>
      <c r="M594" t="n">
        <v>0</v>
      </c>
      <c r="N594" t="n">
        <v>0</v>
      </c>
      <c r="O594" t="n">
        <v>0</v>
      </c>
      <c r="P594" t="n">
        <v>0</v>
      </c>
      <c r="Q594" t="n">
        <v>0</v>
      </c>
      <c r="R594" s="2" t="inlineStr"/>
    </row>
    <row r="595" ht="15" customHeight="1">
      <c r="A595" t="inlineStr">
        <is>
          <t>A 39857-2020</t>
        </is>
      </c>
      <c r="B595" s="1" t="n">
        <v>44064</v>
      </c>
      <c r="C595" s="1" t="n">
        <v>45842</v>
      </c>
      <c r="D595" t="inlineStr">
        <is>
          <t>KALMAR LÄN</t>
        </is>
      </c>
      <c r="E595" t="inlineStr">
        <is>
          <t>VÄSTERVIK</t>
        </is>
      </c>
      <c r="G595" t="n">
        <v>7.6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45842</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45842</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45842</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45842</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45842</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45842</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45842</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45842</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45842</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45842</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45842</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45842</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45842</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45842</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45842</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45842</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45842</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45842</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45842</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45842</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45842</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45842</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45842</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45842</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45842</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45842</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45842</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45842</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45842</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45842</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45842</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45842</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45842</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45842</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45842</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45842</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45842</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45842</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45842</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45842</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45842</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45842</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45842</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45842</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45842</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45842</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45842</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45842</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45842</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45842</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45842</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45842</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45842</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45842</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45842</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45842</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45842</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45842</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45842</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45842</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45842</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45842</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45842</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45842</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45842</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45842</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45842</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45842</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45842</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45842</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45842</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45842</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45842</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45842</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45842</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45842</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45842</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45842</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45842</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45842</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45842</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45842</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45842</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45842</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45842</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45842</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45842</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45842</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45842</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45842</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45842</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45842</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45842</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45842</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45842</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45842</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45842</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45842</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45842</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45842</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45842</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45842</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45842</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45842</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45842</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45842</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45842</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45842</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45842</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45842</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45842</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45842</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45842</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45842</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45842</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45842</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45842</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45842</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45842</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45842</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45842</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45842</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45842</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45842</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45842</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45842</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45842</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45842</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45842</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45842</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45842</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45842</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45842</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45842</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45842</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45842</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45842</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45842</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45842</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45842</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45842</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45842</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45842</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45842</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45842</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45842</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45842</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45842</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45842</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45842</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45842</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45842</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45842</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45842</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45842</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45842</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45842</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45842</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45842</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45842</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45842</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45842</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45842</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45842</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45842</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45842</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45842</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45842</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45842</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45842</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45842</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45842</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45842</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45842</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45842</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45842</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45842</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45842</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45842</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45842</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45842</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45842</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45842</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45842</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45842</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45842</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45842</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45842</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45842</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45842</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45842</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45842</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45842</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45842</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45842</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45842</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45842</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45842</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45842</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45842</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45842</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45842</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45842</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45842</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45842</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45842</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45842</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45842</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45842</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45842</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45842</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45842</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45842</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45842</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45842</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45842</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45842</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45842</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45842</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45842</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45842</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45842</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45842</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45842</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45842</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45842</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45842</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45842</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45842</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45842</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45842</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45842</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45842</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45842</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45842</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45842</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45842</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45842</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45842</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45842</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45842</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45842</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45842</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45842</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45842</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45842</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45842</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45842</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45842</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45842</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45842</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45842</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45842</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45842</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45842</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45842</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45842</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45842</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45842</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45842</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45842</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45842</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45842</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45842</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45842</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45842</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45842</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45842</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45842</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45842</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45842</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45842</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45842</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45842</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45842</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45842</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45842</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45842</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45842</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45842</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45842</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45842</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45842</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45842</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45842</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45842</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45842</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45842</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45842</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45842</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45842</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45842</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45842</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45842</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45842</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45842</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45842</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45842</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45842</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45842</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45842</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45842</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45842</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45842</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45842</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45842</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45842</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45842</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45842</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45842</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45842</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45842</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45842</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45842</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45842</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45842</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45842</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45842</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45842</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45842</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45842</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45842</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45842</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45842</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45842</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45842</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45842</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45842</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45842</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45842</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45842</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45842</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45842</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45842</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45842</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45842</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45842</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45842</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45842</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45842</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45842</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45842</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45842</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45842</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45842</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45842</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45842</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45842</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45842</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45842</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45842</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45842</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45842</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45842</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45842</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45842</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45842</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45842</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45842</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45842</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45842</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45842</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45842</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45842</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45842</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45842</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45842</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45842</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45842</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45842</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45842</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45842</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45842</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45842</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45842</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45842</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45842</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45842</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45842</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45842</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45842</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45842</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45842</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45842</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45842</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45842</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45842</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45842</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45842</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45842</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45842</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45842</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45842</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45842</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45842</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45842</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45842</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45842</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45842</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45842</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45842</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45842</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45842</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45842</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45842</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45842</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45842</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45842</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45842</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45842</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45842</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45842</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45842</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45842</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45842</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45842</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45842</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45842</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45842</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45842</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45842</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45842</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45842</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45842</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45842</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45842</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45842</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45842</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45842</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45842</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45842</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45842</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45842</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45842</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45842</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45842</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45842</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45842</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45842</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45842</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45842</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45842</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45842</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45842</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45842</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45842</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45842</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45842</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45842</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45842</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45842</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45842</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45842</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45842</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45842</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45842</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45842</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45842</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45842</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45842</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45842</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45842</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45842</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45842</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45842</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45842</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45842</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45842</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45842</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45842</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45842</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45842</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45842</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45842</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45842</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45842</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45842</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45842</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45842</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45842</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45842</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45842</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45842</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45842</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45842</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45842</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45842</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45842</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45842</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45842</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45842</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45842</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45842</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45842</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45842</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45842</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45842</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45842</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45842</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45842</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45842</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45842</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45842</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45842</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45842</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45842</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45842</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45842</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45842</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45842</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45842</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45842</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45842</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45842</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45842</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45842</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45842</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45842</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45842</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45842</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45842</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45842</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45842</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45842</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45842</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45842</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45842</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45842</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45842</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45842</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45842</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45842</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45842</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45842</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45842</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45842</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45842</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45842</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45842</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45842</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45842</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45842</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45842</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45842</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45842</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45842</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45842</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45842</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45842</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45842</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45842</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45842</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45842</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45842</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45842</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45842</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45842</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45842</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45842</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45842</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45842</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45842</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45842</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45842</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45842</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45842</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45842</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45842</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45842</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45842</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45842</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45842</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45842</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45842</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45842</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45842</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45842</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45842</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45842</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45842</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45842</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45842</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45842</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45842</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45842</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45842</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45842</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45842</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45842</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45842</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45842</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45842</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45842</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45842</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45842</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45842</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45842</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45842</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45842</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45842</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45842</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45842</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45842</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45842</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45842</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45842</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45842</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45842</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45842</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45842</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45842</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45842</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45842</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45842</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45842</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45842</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45842</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45842</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45842</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45842</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45842</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45842</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45842</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45842</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45842</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45842</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45842</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45842</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45842</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45842</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45842</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45842</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45842</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45842</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45842</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45842</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45842</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45842</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45842</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45842</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45842</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45842</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45842</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45842</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45842</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45842</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45842</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45842</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45842</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45842</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45842</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45842</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45842</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45842</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45842</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45842</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45842</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45842</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45842</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45842</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45842</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45842</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45842</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45842</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45842</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45842</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45842</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45842</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45842</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45842</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45842</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45842</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45842</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45842</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45842</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45842</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45842</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45842</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45842</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45842</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45842</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45842</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45842</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45842</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45842</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45842</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45842</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45842</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45842</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45842</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45842</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45842</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45842</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45842</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45842</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45842</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45842</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45842</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45842</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45842</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45842</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45842</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45842</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45842</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45842</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45842</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45842</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45842</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45842</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45842</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45842</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45842</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45842</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45842</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45842</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45842</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45842</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45842</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45842</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45842</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45842</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45842</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45842</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45842</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45842</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45842</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45842</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45842</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45842</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45842</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45842</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45842</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45842</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45842</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45842</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45842</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45842</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45842</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45842</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45842</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45842</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45842</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45842</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45842</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45842</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45842</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45842</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45842</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45842</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45842</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45842</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45842</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45842</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45842</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45842</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45842</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45842</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45842</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45842</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45842</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45842</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45842</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45842</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45842</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45842</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45842</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45842</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45842</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45842</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45842</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45842</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45842</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45842</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45842</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45842</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45842</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45842</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45842</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45842</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45842</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45842</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45842</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45842</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45842</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45842</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45842</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45842</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45842</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45842</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45842</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45842</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45842</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45842</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45842</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45842</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45842</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45842</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45842</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45842</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45842</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45842</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45842</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45842</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45842</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45842</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45842</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45842</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45842</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45842</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45842</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45842</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45842</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45842</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45842</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45842</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45842</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45842</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45842</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45842</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45842</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45842</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45842</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45842</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45842</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45842</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45842</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45842</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45842</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45842</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45842</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45842</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45842</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45842</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45842</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45842</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45842</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45842</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45842</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45842</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45842</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45842</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45842</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45842</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45842</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45842</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45842</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45842</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45842</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45842</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45842</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45842</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45842</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45842</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45842</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45842</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45842</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45842</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45842</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45842</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45842</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45842</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45842</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45842</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45842</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45842</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45842</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45842</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45842</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45842</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45842</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45842</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45842</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45842</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45842</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45842</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45842</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45842</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45842</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45842</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45842</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45842</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45842</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45842</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45842</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45842</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45842</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45842</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45842</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45842</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45842</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45842</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45842</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45842</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45842</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45842</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45842</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45842</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45842</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45842</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45842</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45842</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45842</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45842</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45842</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45842</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45842</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45842</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45842</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45842</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45842</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45842</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45842</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45842</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45842</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45842</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45842</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45842</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45842</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45842</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45842</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45842</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45842</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45842</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45842</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45842</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45842</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45842</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45842</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45842</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45842</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45842</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45842</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45842</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45842</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45842</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45842</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45842</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45842</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45842</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45842</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45842</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45842</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45842</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45842</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45842</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45842</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45842</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45842</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45842</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45842</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45842</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45842</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45842</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45842</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45842</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45842</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45842</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45842</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45842</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45842</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45842</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45842</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45842</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45842</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45842</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45842</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45842</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45842</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45842</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45842</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45842</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45842</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45842</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45842</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45842</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45842</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45842</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45842</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45842</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45842</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45842</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45842</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45842</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45842</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45842</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45842</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45842</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45842</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45842</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45842</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45842</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45842</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45842</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45842</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45842</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45842</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45842</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45842</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45842</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45842</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45842</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45842</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45842</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45842</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45842</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45842</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45842</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45842</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45842</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45842</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45842</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45842</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45842</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45842</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45842</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45842</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45842</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45842</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45842</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45842</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45842</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45842</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45842</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45842</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45842</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45842</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45842</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45842</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45842</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45842</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45842</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45842</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45842</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45842</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45842</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45842</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45842</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45842</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45842</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45842</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45842</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45842</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45842</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45842</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45842</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45842</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45842</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45842</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45842</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45842</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45842</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45842</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45842</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45842</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45842</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45842</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45842</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45842</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45842</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45842</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45842</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45842</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45842</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45842</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45842</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45842</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45842</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45842</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45842</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45842</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45842</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45842</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45842</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45842</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45842</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45842</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45842</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45842</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45842</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45842</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45842</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45842</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45842</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45842</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45842</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45842</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45842</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45842</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45842</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45842</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45842</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45842</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45842</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45842</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45842</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45842</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45842</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45842</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45842</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45842</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45842</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45842</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45842</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45842</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45842</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45842</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45842</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45842</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45842</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45842</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45842</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45842</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45842</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45842</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45842</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45842</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45842</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45842</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45842</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45842</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45842</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45842</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45842</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45842</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45842</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45842</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45842</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45842</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45842</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45842</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45842</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45842</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45842</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45842</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45842</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45842</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45842</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45842</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45842</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45842</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45842</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45842</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45842</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45842</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45842</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45842</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45842</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45842</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45842</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45842</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45842</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45842</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45842</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45842</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45842</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45842</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45842</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45842</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45842</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45842</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45842</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45842</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45842</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45842</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45842</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45842</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45842</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45842</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45842</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45842</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45842</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45842</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45842</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45842</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45842</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45842</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45842</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45842</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45842</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45842</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45842</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45842</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45842</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45842</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45842</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45842</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45842</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45842</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45842</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45842</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45842</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45842</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45842</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45842</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45842</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45842</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45842</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45842</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45842</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45842</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45842</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45842</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45842</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45842</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45842</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45842</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45842</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45842</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45842</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45842</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45842</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45842</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45842</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45842</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45842</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45842</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45842</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45842</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45842</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45842</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45842</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45842</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45842</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45842</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45842</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45842</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45842</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45842</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45842</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45842</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45842</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45842</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45842</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45842</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45842</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45842</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45842</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45842</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45842</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45842</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45842</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45842</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45842</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45842</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45842</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45842</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45842</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45842</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45842</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45842</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45842</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45842</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45842</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45842</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45842</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45842</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45842</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45842</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45842</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45842</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45842</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45842</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45842</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45842</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45842</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45842</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45842</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45842</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45842</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45842</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45842</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45842</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45842</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45842</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45842</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45842</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45842</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45842</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45842</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45842</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45842</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45842</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45842</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45842</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45842</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45842</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45842</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45842</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45842</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45842</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45842</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45842</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45842</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45842</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45842</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45842</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45842</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45842</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45842</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45842</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45842</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45842</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45842</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45842</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45842</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45842</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45842</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45842</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45842</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45842</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45842</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45842</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45842</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45842</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45842</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45842</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45842</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45842</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45842</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45842</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45842</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45842</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45842</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45842</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45842</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45842</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45842</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45842</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45842</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45842</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45842</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45842</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45842</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45842</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45842</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45842</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45842</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45842</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45842</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45842</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45842</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45842</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45842</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45842</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45842</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45842</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45842</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45842</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45842</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45842</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45842</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45842</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45842</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45842</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45842</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45842</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45842</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45842</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45842</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45842</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45842</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45842</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45842</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45842</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45842</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45842</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45842</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45842</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45842</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45842</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45842</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45842</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45842</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45842</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45842</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45842</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45842</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45842</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45842</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28098-2025</t>
        </is>
      </c>
      <c r="B1975" s="1" t="n">
        <v>45817</v>
      </c>
      <c r="C1975" s="1" t="n">
        <v>45842</v>
      </c>
      <c r="D1975" t="inlineStr">
        <is>
          <t>KALMAR LÄN</t>
        </is>
      </c>
      <c r="E1975" t="inlineStr">
        <is>
          <t>VÄSTERVIK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27978-2025</t>
        </is>
      </c>
      <c r="B1976" s="1" t="n">
        <v>45817</v>
      </c>
      <c r="C1976" s="1" t="n">
        <v>45842</v>
      </c>
      <c r="D1976" t="inlineStr">
        <is>
          <t>KALMAR LÄN</t>
        </is>
      </c>
      <c r="E1976" t="inlineStr">
        <is>
          <t>VÄSTERVIK</t>
        </is>
      </c>
      <c r="F1976" t="inlineStr">
        <is>
          <t>Sveaskog</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27980-2025</t>
        </is>
      </c>
      <c r="B1977" s="1" t="n">
        <v>45817</v>
      </c>
      <c r="C1977" s="1" t="n">
        <v>45842</v>
      </c>
      <c r="D1977" t="inlineStr">
        <is>
          <t>KALMAR LÄN</t>
        </is>
      </c>
      <c r="E1977" t="inlineStr">
        <is>
          <t>VÄSTERVIK</t>
        </is>
      </c>
      <c r="F1977" t="inlineStr">
        <is>
          <t>Sveaskog</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27974-2025</t>
        </is>
      </c>
      <c r="B1978" s="1" t="n">
        <v>45817</v>
      </c>
      <c r="C1978" s="1" t="n">
        <v>45842</v>
      </c>
      <c r="D1978" t="inlineStr">
        <is>
          <t>KALMAR LÄN</t>
        </is>
      </c>
      <c r="E1978" t="inlineStr">
        <is>
          <t>VÄSTERVIK</t>
        </is>
      </c>
      <c r="F1978" t="inlineStr">
        <is>
          <t>Sveaskog</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28096-2025</t>
        </is>
      </c>
      <c r="B1979" s="1" t="n">
        <v>45817</v>
      </c>
      <c r="C1979" s="1" t="n">
        <v>45842</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45842</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27991-2025</t>
        </is>
      </c>
      <c r="B1981" s="1" t="n">
        <v>45817</v>
      </c>
      <c r="C1981" s="1" t="n">
        <v>45842</v>
      </c>
      <c r="D1981" t="inlineStr">
        <is>
          <t>KALMAR LÄN</t>
        </is>
      </c>
      <c r="E1981" t="inlineStr">
        <is>
          <t>VÄSTERVIK</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45842</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28203-2025</t>
        </is>
      </c>
      <c r="B1983" s="1" t="n">
        <v>45818</v>
      </c>
      <c r="C1983" s="1" t="n">
        <v>45842</v>
      </c>
      <c r="D1983" t="inlineStr">
        <is>
          <t>KALMAR LÄN</t>
        </is>
      </c>
      <c r="E1983" t="inlineStr">
        <is>
          <t>VÄSTERVIK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45842</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45842</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29722-2025</t>
        </is>
      </c>
      <c r="B1986" s="1" t="n">
        <v>45825</v>
      </c>
      <c r="C1986" s="1" t="n">
        <v>45842</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29678-2025</t>
        </is>
      </c>
      <c r="B1987" s="1" t="n">
        <v>45825</v>
      </c>
      <c r="C1987" s="1" t="n">
        <v>45842</v>
      </c>
      <c r="D1987" t="inlineStr">
        <is>
          <t>KALMAR LÄN</t>
        </is>
      </c>
      <c r="E1987" t="inlineStr">
        <is>
          <t>VÄSTERVIK</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30811-2025</t>
        </is>
      </c>
      <c r="B1988" s="1" t="n">
        <v>45831</v>
      </c>
      <c r="C1988" s="1" t="n">
        <v>45842</v>
      </c>
      <c r="D1988" t="inlineStr">
        <is>
          <t>KALMAR LÄN</t>
        </is>
      </c>
      <c r="E1988" t="inlineStr">
        <is>
          <t>VÄSTERVIK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30644-2025</t>
        </is>
      </c>
      <c r="B1989" s="1" t="n">
        <v>45831</v>
      </c>
      <c r="C1989" s="1" t="n">
        <v>45842</v>
      </c>
      <c r="D1989" t="inlineStr">
        <is>
          <t>KALMAR LÄN</t>
        </is>
      </c>
      <c r="E1989" t="inlineStr">
        <is>
          <t>VÄSTERVIK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30690-2025</t>
        </is>
      </c>
      <c r="B1990" s="1" t="n">
        <v>45831</v>
      </c>
      <c r="C1990" s="1" t="n">
        <v>45842</v>
      </c>
      <c r="D1990" t="inlineStr">
        <is>
          <t>KALMAR LÄN</t>
        </is>
      </c>
      <c r="E1990" t="inlineStr">
        <is>
          <t>VÄSTERVIK</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30789-2025</t>
        </is>
      </c>
      <c r="B1991" s="1" t="n">
        <v>45831</v>
      </c>
      <c r="C1991" s="1" t="n">
        <v>45842</v>
      </c>
      <c r="D1991" t="inlineStr">
        <is>
          <t>KALMAR LÄN</t>
        </is>
      </c>
      <c r="E1991" t="inlineStr">
        <is>
          <t>VÄSTERVIK</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30794-2025</t>
        </is>
      </c>
      <c r="B1992" s="1" t="n">
        <v>45831</v>
      </c>
      <c r="C1992" s="1" t="n">
        <v>45842</v>
      </c>
      <c r="D1992" t="inlineStr">
        <is>
          <t>KALMAR LÄN</t>
        </is>
      </c>
      <c r="E1992" t="inlineStr">
        <is>
          <t>VÄSTERVIK</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30800-2025</t>
        </is>
      </c>
      <c r="B1993" s="1" t="n">
        <v>45831</v>
      </c>
      <c r="C1993" s="1" t="n">
        <v>45842</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30648-2025</t>
        </is>
      </c>
      <c r="B1994" s="1" t="n">
        <v>45831</v>
      </c>
      <c r="C1994" s="1" t="n">
        <v>45842</v>
      </c>
      <c r="D1994" t="inlineStr">
        <is>
          <t>KALMAR LÄN</t>
        </is>
      </c>
      <c r="E1994" t="inlineStr">
        <is>
          <t>VÄSTERVIK</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45842</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31600-2025</t>
        </is>
      </c>
      <c r="B1996" s="1" t="n">
        <v>45833</v>
      </c>
      <c r="C1996" s="1" t="n">
        <v>45842</v>
      </c>
      <c r="D1996" t="inlineStr">
        <is>
          <t>KALMAR LÄN</t>
        </is>
      </c>
      <c r="E1996" t="inlineStr">
        <is>
          <t>VÄSTERVIK</t>
        </is>
      </c>
      <c r="F1996" t="inlineStr">
        <is>
          <t>Holmen skog AB</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31419-2025</t>
        </is>
      </c>
      <c r="B1997" s="1" t="n">
        <v>45833</v>
      </c>
      <c r="C1997" s="1" t="n">
        <v>45842</v>
      </c>
      <c r="D1997" t="inlineStr">
        <is>
          <t>KALMAR LÄN</t>
        </is>
      </c>
      <c r="E1997" t="inlineStr">
        <is>
          <t>VÄSTERVIK</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31576-2025</t>
        </is>
      </c>
      <c r="B1998" s="1" t="n">
        <v>45833</v>
      </c>
      <c r="C1998" s="1" t="n">
        <v>45842</v>
      </c>
      <c r="D1998" t="inlineStr">
        <is>
          <t>KALMAR LÄN</t>
        </is>
      </c>
      <c r="E1998" t="inlineStr">
        <is>
          <t>VÄSTERVIK</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31886-2025</t>
        </is>
      </c>
      <c r="B1999" s="1" t="n">
        <v>45834</v>
      </c>
      <c r="C1999" s="1" t="n">
        <v>45842</v>
      </c>
      <c r="D1999" t="inlineStr">
        <is>
          <t>KALMAR LÄN</t>
        </is>
      </c>
      <c r="E1999" t="inlineStr">
        <is>
          <t>VÄSTERVIK</t>
        </is>
      </c>
      <c r="F1999" t="inlineStr">
        <is>
          <t>Holmen skog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31843-2025</t>
        </is>
      </c>
      <c r="B2000" s="1" t="n">
        <v>45834</v>
      </c>
      <c r="C2000" s="1" t="n">
        <v>45842</v>
      </c>
      <c r="D2000" t="inlineStr">
        <is>
          <t>KALMAR LÄN</t>
        </is>
      </c>
      <c r="E2000" t="inlineStr">
        <is>
          <t>VÄSTERVIK</t>
        </is>
      </c>
      <c r="F2000" t="inlineStr">
        <is>
          <t>Holmen skog AB</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31854-2025</t>
        </is>
      </c>
      <c r="B2001" s="1" t="n">
        <v>45834</v>
      </c>
      <c r="C2001" s="1" t="n">
        <v>45842</v>
      </c>
      <c r="D2001" t="inlineStr">
        <is>
          <t>KALMAR LÄN</t>
        </is>
      </c>
      <c r="E2001" t="inlineStr">
        <is>
          <t>VÄSTERVIK</t>
        </is>
      </c>
      <c r="F2001" t="inlineStr">
        <is>
          <t>Holmen skog AB</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31857-2025</t>
        </is>
      </c>
      <c r="B2002" s="1" t="n">
        <v>45834</v>
      </c>
      <c r="C2002" s="1" t="n">
        <v>45842</v>
      </c>
      <c r="D2002" t="inlineStr">
        <is>
          <t>KALMAR LÄN</t>
        </is>
      </c>
      <c r="E2002" t="inlineStr">
        <is>
          <t>VÄSTERVIK</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31826-2025</t>
        </is>
      </c>
      <c r="B2003" s="1" t="n">
        <v>45834</v>
      </c>
      <c r="C2003" s="1" t="n">
        <v>45842</v>
      </c>
      <c r="D2003" t="inlineStr">
        <is>
          <t>KALMAR LÄN</t>
        </is>
      </c>
      <c r="E2003" t="inlineStr">
        <is>
          <t>VÄSTERVIK</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32018-2025</t>
        </is>
      </c>
      <c r="B2004" s="1" t="n">
        <v>45835</v>
      </c>
      <c r="C2004" s="1" t="n">
        <v>45842</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32400-2025</t>
        </is>
      </c>
      <c r="B2005" s="1" t="n">
        <v>45838</v>
      </c>
      <c r="C2005" s="1" t="n">
        <v>45842</v>
      </c>
      <c r="D2005" t="inlineStr">
        <is>
          <t>KALMAR LÄN</t>
        </is>
      </c>
      <c r="E2005" t="inlineStr">
        <is>
          <t>VÄSTERVIK</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32495-2025</t>
        </is>
      </c>
      <c r="B2006" s="1" t="n">
        <v>45838</v>
      </c>
      <c r="C2006" s="1" t="n">
        <v>45842</v>
      </c>
      <c r="D2006" t="inlineStr">
        <is>
          <t>KALMAR LÄN</t>
        </is>
      </c>
      <c r="E2006" t="inlineStr">
        <is>
          <t>VÄSTERVIK</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32778-2025</t>
        </is>
      </c>
      <c r="B2007" s="1" t="n">
        <v>45839</v>
      </c>
      <c r="C2007" s="1" t="n">
        <v>45842</v>
      </c>
      <c r="D2007" t="inlineStr">
        <is>
          <t>KALMAR LÄN</t>
        </is>
      </c>
      <c r="E2007" t="inlineStr">
        <is>
          <t>VÄSTERVIK</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33184-2025</t>
        </is>
      </c>
      <c r="B2008" s="1" t="n">
        <v>45840</v>
      </c>
      <c r="C2008" s="1" t="n">
        <v>45842</v>
      </c>
      <c r="D2008" t="inlineStr">
        <is>
          <t>KALMAR LÄN</t>
        </is>
      </c>
      <c r="E2008" t="inlineStr">
        <is>
          <t>VÄSTERVIK</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33687-2025</t>
        </is>
      </c>
      <c r="B2009" s="1" t="n">
        <v>45841</v>
      </c>
      <c r="C2009" s="1" t="n">
        <v>45842</v>
      </c>
      <c r="D2009" t="inlineStr">
        <is>
          <t>KALMAR LÄN</t>
        </is>
      </c>
      <c r="E2009" t="inlineStr">
        <is>
          <t>VÄSTERVIK</t>
        </is>
      </c>
      <c r="G2009" t="n">
        <v>1.7</v>
      </c>
      <c r="H2009" t="n">
        <v>0</v>
      </c>
      <c r="I2009" t="n">
        <v>0</v>
      </c>
      <c r="J2009" t="n">
        <v>0</v>
      </c>
      <c r="K2009" t="n">
        <v>0</v>
      </c>
      <c r="L2009" t="n">
        <v>0</v>
      </c>
      <c r="M2009" t="n">
        <v>0</v>
      </c>
      <c r="N2009" t="n">
        <v>0</v>
      </c>
      <c r="O2009" t="n">
        <v>0</v>
      </c>
      <c r="P2009" t="n">
        <v>0</v>
      </c>
      <c r="Q2009" t="n">
        <v>0</v>
      </c>
      <c r="R2009" s="2" t="inlineStr"/>
    </row>
    <row r="2010">
      <c r="A2010" t="inlineStr">
        <is>
          <t>A 33691-2025</t>
        </is>
      </c>
      <c r="B2010" s="1" t="n">
        <v>45841</v>
      </c>
      <c r="C2010" s="1" t="n">
        <v>45842</v>
      </c>
      <c r="D2010" t="inlineStr">
        <is>
          <t>KALMAR LÄN</t>
        </is>
      </c>
      <c r="E2010" t="inlineStr">
        <is>
          <t>VÄSTERVIK</t>
        </is>
      </c>
      <c r="G2010" t="n">
        <v>4.8</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2025-07-04T18:58:44Z</dcterms:created>
  <dcterms:modified xmlns:dcterms="http://purl.org/dc/terms/" xmlns:xsi="http://www.w3.org/2001/XMLSchema-instance" xsi:type="dcterms:W3CDTF">2025-07-04T18:58:46Z</dcterms:modified>
</cp:coreProperties>
</file>