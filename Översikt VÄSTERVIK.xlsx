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46159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46159</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46159</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46159</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46159</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46159</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46159</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46159</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46159</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46159</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56370-2025</t>
        </is>
      </c>
      <c r="B12" s="1" t="n">
        <v>45974</v>
      </c>
      <c r="C12" s="1" t="n">
        <v>46159</v>
      </c>
      <c r="D12" t="inlineStr">
        <is>
          <t>KALMAR LÄN</t>
        </is>
      </c>
      <c r="E12" t="inlineStr">
        <is>
          <t>VÄSTERVIK</t>
        </is>
      </c>
      <c r="F12" t="inlineStr">
        <is>
          <t>Holmen skog AB</t>
        </is>
      </c>
      <c r="G12" t="n">
        <v>5.2</v>
      </c>
      <c r="H12" t="n">
        <v>4</v>
      </c>
      <c r="I12" t="n">
        <v>4</v>
      </c>
      <c r="J12" t="n">
        <v>3</v>
      </c>
      <c r="K12" t="n">
        <v>1</v>
      </c>
      <c r="L12" t="n">
        <v>0</v>
      </c>
      <c r="M12" t="n">
        <v>0</v>
      </c>
      <c r="N12" t="n">
        <v>0</v>
      </c>
      <c r="O12" t="n">
        <v>4</v>
      </c>
      <c r="P12" t="n">
        <v>1</v>
      </c>
      <c r="Q12" t="n">
        <v>9</v>
      </c>
      <c r="R12" s="2" t="inlineStr">
        <is>
          <t>Knärot
Kandelabersvamp
Spillkråka
Talltita
Blomkålssvamp
Dropptaggsvamp
Grönpyrola
Rävticka
Kungsfågel</t>
        </is>
      </c>
      <c r="S12">
        <f>HYPERLINK("https://klasma.github.io/Logging_0883/artfynd/A 56370-2025 artfynd.xlsx", "A 56370-2025")</f>
        <v/>
      </c>
      <c r="T12">
        <f>HYPERLINK("https://klasma.github.io/Logging_0883/kartor/A 56370-2025 karta.png", "A 56370-2025")</f>
        <v/>
      </c>
      <c r="U12">
        <f>HYPERLINK("https://klasma.github.io/Logging_0883/knärot/A 56370-2025 karta knärot.png", "A 56370-2025")</f>
        <v/>
      </c>
      <c r="V12">
        <f>HYPERLINK("https://klasma.github.io/Logging_0883/klagomål/A 56370-2025 FSC-klagomål.docx", "A 56370-2025")</f>
        <v/>
      </c>
      <c r="W12">
        <f>HYPERLINK("https://klasma.github.io/Logging_0883/klagomålsmail/A 56370-2025 FSC-klagomål mail.docx", "A 56370-2025")</f>
        <v/>
      </c>
      <c r="X12">
        <f>HYPERLINK("https://klasma.github.io/Logging_0883/tillsyn/A 56370-2025 tillsynsbegäran.docx", "A 56370-2025")</f>
        <v/>
      </c>
      <c r="Y12">
        <f>HYPERLINK("https://klasma.github.io/Logging_0883/tillsynsmail/A 56370-2025 tillsynsbegäran mail.docx", "A 56370-2025")</f>
        <v/>
      </c>
      <c r="Z12">
        <f>HYPERLINK("https://klasma.github.io/Logging_0883/fåglar/A 56370-2025 prioriterade fågelarter.docx", "A 56370-2025")</f>
        <v/>
      </c>
    </row>
    <row r="13" ht="15" customHeight="1">
      <c r="A13" t="inlineStr">
        <is>
          <t>A 56737-2023</t>
        </is>
      </c>
      <c r="B13" s="1" t="n">
        <v>45244</v>
      </c>
      <c r="C13" s="1" t="n">
        <v>46159</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46159</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27737-2024</t>
        </is>
      </c>
      <c r="B15" s="1" t="n">
        <v>45475</v>
      </c>
      <c r="C15" s="1" t="n">
        <v>46159</v>
      </c>
      <c r="D15" t="inlineStr">
        <is>
          <t>KALMAR LÄN</t>
        </is>
      </c>
      <c r="E15" t="inlineStr">
        <is>
          <t>VÄSTERVIK</t>
        </is>
      </c>
      <c r="F15" t="inlineStr">
        <is>
          <t>Holmen skog AB</t>
        </is>
      </c>
      <c r="G15" t="n">
        <v>2.7</v>
      </c>
      <c r="H15" t="n">
        <v>3</v>
      </c>
      <c r="I15" t="n">
        <v>1</v>
      </c>
      <c r="J15" t="n">
        <v>6</v>
      </c>
      <c r="K15" t="n">
        <v>0</v>
      </c>
      <c r="L15" t="n">
        <v>0</v>
      </c>
      <c r="M15" t="n">
        <v>0</v>
      </c>
      <c r="N15" t="n">
        <v>0</v>
      </c>
      <c r="O15" t="n">
        <v>6</v>
      </c>
      <c r="P15" t="n">
        <v>0</v>
      </c>
      <c r="Q15" t="n">
        <v>9</v>
      </c>
      <c r="R15" s="2" t="inlineStr">
        <is>
          <t>Asppraktbagge
Ekticka
Grön aspvedbock
Oxtungssvamp
Spillkråka
Ullticka
Rostfläck
Blåsippa
Mattlummer</t>
        </is>
      </c>
      <c r="S15">
        <f>HYPERLINK("https://klasma.github.io/Logging_0883/artfynd/A 27737-2024 artfynd.xlsx", "A 27737-2024")</f>
        <v/>
      </c>
      <c r="T15">
        <f>HYPERLINK("https://klasma.github.io/Logging_0883/kartor/A 27737-2024 karta.png", "A 27737-2024")</f>
        <v/>
      </c>
      <c r="V15">
        <f>HYPERLINK("https://klasma.github.io/Logging_0883/klagomål/A 27737-2024 FSC-klagomål.docx", "A 27737-2024")</f>
        <v/>
      </c>
      <c r="W15">
        <f>HYPERLINK("https://klasma.github.io/Logging_0883/klagomålsmail/A 27737-2024 FSC-klagomål mail.docx", "A 27737-2024")</f>
        <v/>
      </c>
      <c r="X15">
        <f>HYPERLINK("https://klasma.github.io/Logging_0883/tillsyn/A 27737-2024 tillsynsbegäran.docx", "A 27737-2024")</f>
        <v/>
      </c>
      <c r="Y15">
        <f>HYPERLINK("https://klasma.github.io/Logging_0883/tillsynsmail/A 27737-2024 tillsynsbegäran mail.docx", "A 27737-2024")</f>
        <v/>
      </c>
      <c r="Z15">
        <f>HYPERLINK("https://klasma.github.io/Logging_0883/fåglar/A 27737-2024 prioriterade fågelarter.docx", "A 27737-2024")</f>
        <v/>
      </c>
    </row>
    <row r="16" ht="15" customHeight="1">
      <c r="A16" t="inlineStr">
        <is>
          <t>A 14039-2026</t>
        </is>
      </c>
      <c r="B16" s="1" t="n">
        <v>46098</v>
      </c>
      <c r="C16" s="1" t="n">
        <v>46159</v>
      </c>
      <c r="D16" t="inlineStr">
        <is>
          <t>KALMAR LÄN</t>
        </is>
      </c>
      <c r="E16" t="inlineStr">
        <is>
          <t>VÄSTERVIK</t>
        </is>
      </c>
      <c r="F16" t="inlineStr">
        <is>
          <t>Holmen skog AB</t>
        </is>
      </c>
      <c r="G16" t="n">
        <v>2.3</v>
      </c>
      <c r="H16" t="n">
        <v>7</v>
      </c>
      <c r="I16" t="n">
        <v>2</v>
      </c>
      <c r="J16" t="n">
        <v>3</v>
      </c>
      <c r="K16" t="n">
        <v>1</v>
      </c>
      <c r="L16" t="n">
        <v>0</v>
      </c>
      <c r="M16" t="n">
        <v>0</v>
      </c>
      <c r="N16" t="n">
        <v>0</v>
      </c>
      <c r="O16" t="n">
        <v>4</v>
      </c>
      <c r="P16" t="n">
        <v>1</v>
      </c>
      <c r="Q16" t="n">
        <v>9</v>
      </c>
      <c r="R16" s="2" t="inlineStr">
        <is>
          <t>Knärot
Duvhök
Entita
Mindre hackspett
Blodticka
Rävticka
Grönsiska
Kungsfågel
Blåsippa</t>
        </is>
      </c>
      <c r="S16">
        <f>HYPERLINK("https://klasma.github.io/Logging_0883/artfynd/A 14039-2026 artfynd.xlsx", "A 14039-2026")</f>
        <v/>
      </c>
      <c r="T16">
        <f>HYPERLINK("https://klasma.github.io/Logging_0883/kartor/A 14039-2026 karta.png", "A 14039-2026")</f>
        <v/>
      </c>
      <c r="U16">
        <f>HYPERLINK("https://klasma.github.io/Logging_0883/knärot/A 14039-2026 karta knärot.png", "A 14039-2026")</f>
        <v/>
      </c>
      <c r="V16">
        <f>HYPERLINK("https://klasma.github.io/Logging_0883/klagomål/A 14039-2026 FSC-klagomål.docx", "A 14039-2026")</f>
        <v/>
      </c>
      <c r="W16">
        <f>HYPERLINK("https://klasma.github.io/Logging_0883/klagomålsmail/A 14039-2026 FSC-klagomål mail.docx", "A 14039-2026")</f>
        <v/>
      </c>
      <c r="X16">
        <f>HYPERLINK("https://klasma.github.io/Logging_0883/tillsyn/A 14039-2026 tillsynsbegäran.docx", "A 14039-2026")</f>
        <v/>
      </c>
      <c r="Y16">
        <f>HYPERLINK("https://klasma.github.io/Logging_0883/tillsynsmail/A 14039-2026 tillsynsbegäran mail.docx", "A 14039-2026")</f>
        <v/>
      </c>
      <c r="Z16">
        <f>HYPERLINK("https://klasma.github.io/Logging_0883/fåglar/A 14039-2026 prioriterade fågelarter.docx", "A 14039-2026")</f>
        <v/>
      </c>
    </row>
    <row r="17" ht="15" customHeight="1">
      <c r="A17" t="inlineStr">
        <is>
          <t>A 35134-2024</t>
        </is>
      </c>
      <c r="B17" s="1" t="n">
        <v>45530</v>
      </c>
      <c r="C17" s="1" t="n">
        <v>46159</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56162-2025</t>
        </is>
      </c>
      <c r="B18" s="1" t="n">
        <v>45974</v>
      </c>
      <c r="C18" s="1" t="n">
        <v>46159</v>
      </c>
      <c r="D18" t="inlineStr">
        <is>
          <t>KALMAR LÄN</t>
        </is>
      </c>
      <c r="E18" t="inlineStr">
        <is>
          <t>VÄSTERVIK</t>
        </is>
      </c>
      <c r="F18" t="inlineStr">
        <is>
          <t>Holmen skog AB</t>
        </is>
      </c>
      <c r="G18" t="n">
        <v>11.2</v>
      </c>
      <c r="H18" t="n">
        <v>4</v>
      </c>
      <c r="I18" t="n">
        <v>3</v>
      </c>
      <c r="J18" t="n">
        <v>3</v>
      </c>
      <c r="K18" t="n">
        <v>1</v>
      </c>
      <c r="L18" t="n">
        <v>0</v>
      </c>
      <c r="M18" t="n">
        <v>0</v>
      </c>
      <c r="N18" t="n">
        <v>0</v>
      </c>
      <c r="O18" t="n">
        <v>4</v>
      </c>
      <c r="P18" t="n">
        <v>1</v>
      </c>
      <c r="Q18" t="n">
        <v>8</v>
      </c>
      <c r="R18" s="2" t="inlineStr">
        <is>
          <t>Knärot
Spillkråka
Tallticka
Talltita
Blåmossa
Dropptaggsvamp
Grönpyrola
Sångsvan</t>
        </is>
      </c>
      <c r="S18">
        <f>HYPERLINK("https://klasma.github.io/Logging_0883/artfynd/A 56162-2025 artfynd.xlsx", "A 56162-2025")</f>
        <v/>
      </c>
      <c r="T18">
        <f>HYPERLINK("https://klasma.github.io/Logging_0883/kartor/A 56162-2025 karta.png", "A 56162-2025")</f>
        <v/>
      </c>
      <c r="U18">
        <f>HYPERLINK("https://klasma.github.io/Logging_0883/knärot/A 56162-2025 karta knärot.png", "A 56162-2025")</f>
        <v/>
      </c>
      <c r="V18">
        <f>HYPERLINK("https://klasma.github.io/Logging_0883/klagomål/A 56162-2025 FSC-klagomål.docx", "A 56162-2025")</f>
        <v/>
      </c>
      <c r="W18">
        <f>HYPERLINK("https://klasma.github.io/Logging_0883/klagomålsmail/A 56162-2025 FSC-klagomål mail.docx", "A 56162-2025")</f>
        <v/>
      </c>
      <c r="X18">
        <f>HYPERLINK("https://klasma.github.io/Logging_0883/tillsyn/A 56162-2025 tillsynsbegäran.docx", "A 56162-2025")</f>
        <v/>
      </c>
      <c r="Y18">
        <f>HYPERLINK("https://klasma.github.io/Logging_0883/tillsynsmail/A 56162-2025 tillsynsbegäran mail.docx", "A 56162-2025")</f>
        <v/>
      </c>
      <c r="Z18">
        <f>HYPERLINK("https://klasma.github.io/Logging_0883/fåglar/A 56162-2025 prioriterade fågelarter.docx", "A 56162-2025")</f>
        <v/>
      </c>
    </row>
    <row r="19" ht="15" customHeight="1">
      <c r="A19" t="inlineStr">
        <is>
          <t>A 1773-2025</t>
        </is>
      </c>
      <c r="B19" s="1" t="n">
        <v>45671</v>
      </c>
      <c r="C19" s="1" t="n">
        <v>46159</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26281-2024</t>
        </is>
      </c>
      <c r="B20" s="1" t="n">
        <v>45468</v>
      </c>
      <c r="C20" s="1" t="n">
        <v>46159</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56001-2025</t>
        </is>
      </c>
      <c r="B21" s="1" t="n">
        <v>45973</v>
      </c>
      <c r="C21" s="1" t="n">
        <v>46159</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14121-2025</t>
        </is>
      </c>
      <c r="B22" s="1" t="n">
        <v>45740.46803240741</v>
      </c>
      <c r="C22" s="1" t="n">
        <v>46159</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42900-2025</t>
        </is>
      </c>
      <c r="B23" s="1" t="n">
        <v>45908</v>
      </c>
      <c r="C23" s="1" t="n">
        <v>46159</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46159</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12198-2026</t>
        </is>
      </c>
      <c r="B25" s="1" t="n">
        <v>46086.95722222222</v>
      </c>
      <c r="C25" s="1" t="n">
        <v>46159</v>
      </c>
      <c r="D25" t="inlineStr">
        <is>
          <t>KALMAR LÄN</t>
        </is>
      </c>
      <c r="E25" t="inlineStr">
        <is>
          <t>VÄSTERVIK</t>
        </is>
      </c>
      <c r="F25" t="inlineStr">
        <is>
          <t>Övriga Aktiebolag</t>
        </is>
      </c>
      <c r="G25" t="n">
        <v>7.7</v>
      </c>
      <c r="H25" t="n">
        <v>4</v>
      </c>
      <c r="I25" t="n">
        <v>3</v>
      </c>
      <c r="J25" t="n">
        <v>3</v>
      </c>
      <c r="K25" t="n">
        <v>1</v>
      </c>
      <c r="L25" t="n">
        <v>0</v>
      </c>
      <c r="M25" t="n">
        <v>0</v>
      </c>
      <c r="N25" t="n">
        <v>0</v>
      </c>
      <c r="O25" t="n">
        <v>4</v>
      </c>
      <c r="P25" t="n">
        <v>1</v>
      </c>
      <c r="Q25" t="n">
        <v>8</v>
      </c>
      <c r="R25" s="2" t="inlineStr">
        <is>
          <t>Knärot
Spillkråka
Tallticka
Talltita
Grovticka
Grönpyrola
Gullgröppa
Tjäder</t>
        </is>
      </c>
      <c r="S25">
        <f>HYPERLINK("https://klasma.github.io/Logging_0883/artfynd/A 12198-2026 artfynd.xlsx", "A 12198-2026")</f>
        <v/>
      </c>
      <c r="T25">
        <f>HYPERLINK("https://klasma.github.io/Logging_0883/kartor/A 12198-2026 karta.png", "A 12198-2026")</f>
        <v/>
      </c>
      <c r="U25">
        <f>HYPERLINK("https://klasma.github.io/Logging_0883/knärot/A 12198-2026 karta knärot.png", "A 12198-2026")</f>
        <v/>
      </c>
      <c r="V25">
        <f>HYPERLINK("https://klasma.github.io/Logging_0883/klagomål/A 12198-2026 FSC-klagomål.docx", "A 12198-2026")</f>
        <v/>
      </c>
      <c r="W25">
        <f>HYPERLINK("https://klasma.github.io/Logging_0883/klagomålsmail/A 12198-2026 FSC-klagomål mail.docx", "A 12198-2026")</f>
        <v/>
      </c>
      <c r="X25">
        <f>HYPERLINK("https://klasma.github.io/Logging_0883/tillsyn/A 12198-2026 tillsynsbegäran.docx", "A 12198-2026")</f>
        <v/>
      </c>
      <c r="Y25">
        <f>HYPERLINK("https://klasma.github.io/Logging_0883/tillsynsmail/A 12198-2026 tillsynsbegäran mail.docx", "A 12198-2026")</f>
        <v/>
      </c>
      <c r="Z25">
        <f>HYPERLINK("https://klasma.github.io/Logging_0883/fåglar/A 12198-2026 prioriterade fågelarter.docx", "A 12198-2026")</f>
        <v/>
      </c>
    </row>
    <row r="26" ht="15" customHeight="1">
      <c r="A26" t="inlineStr">
        <is>
          <t>A 51234-2025</t>
        </is>
      </c>
      <c r="B26" s="1" t="n">
        <v>45947</v>
      </c>
      <c r="C26" s="1" t="n">
        <v>46159</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63850-2021</t>
        </is>
      </c>
      <c r="B27" s="1" t="n">
        <v>44505</v>
      </c>
      <c r="C27" s="1" t="n">
        <v>46159</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24839-2025</t>
        </is>
      </c>
      <c r="B28" s="1" t="n">
        <v>45799.4640625</v>
      </c>
      <c r="C28" s="1" t="n">
        <v>46159</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51597-2024</t>
        </is>
      </c>
      <c r="B29" s="1" t="n">
        <v>45604</v>
      </c>
      <c r="C29" s="1" t="n">
        <v>46159</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26574-2025</t>
        </is>
      </c>
      <c r="B30" s="1" t="n">
        <v>45807.68491898148</v>
      </c>
      <c r="C30" s="1" t="n">
        <v>46159</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31082-2024</t>
        </is>
      </c>
      <c r="B31" s="1" t="n">
        <v>45502</v>
      </c>
      <c r="C31" s="1" t="n">
        <v>46159</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46159</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56968-2025</t>
        </is>
      </c>
      <c r="B33" s="1" t="n">
        <v>45978</v>
      </c>
      <c r="C33" s="1" t="n">
        <v>46159</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34638-2025</t>
        </is>
      </c>
      <c r="B34" s="1" t="n">
        <v>45848.30584490741</v>
      </c>
      <c r="C34" s="1" t="n">
        <v>46159</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46159</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59457-2024</t>
        </is>
      </c>
      <c r="B36" s="1" t="n">
        <v>45638</v>
      </c>
      <c r="C36" s="1" t="n">
        <v>46159</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48739-2025</t>
        </is>
      </c>
      <c r="B37" s="1" t="n">
        <v>45936</v>
      </c>
      <c r="C37" s="1" t="n">
        <v>46159</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46159</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agg.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46159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46159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46159</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46159</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46159</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47774-2025</t>
        </is>
      </c>
      <c r="B44" s="1" t="n">
        <v>45931.72415509259</v>
      </c>
      <c r="C44" s="1" t="n">
        <v>46159</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974-2023</t>
        </is>
      </c>
      <c r="B45" s="1" t="n">
        <v>44935</v>
      </c>
      <c r="C45" s="1" t="n">
        <v>46159</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34642-2025</t>
        </is>
      </c>
      <c r="B46" s="1" t="n">
        <v>45848.32703703704</v>
      </c>
      <c r="C46" s="1" t="n">
        <v>46159</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47936-2023</t>
        </is>
      </c>
      <c r="B47" s="1" t="n">
        <v>45204</v>
      </c>
      <c r="C47" s="1" t="n">
        <v>46159</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53849-2025</t>
        </is>
      </c>
      <c r="B48" s="1" t="n">
        <v>45961.36885416666</v>
      </c>
      <c r="C48" s="1" t="n">
        <v>46159</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46159</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5922-2024</t>
        </is>
      </c>
      <c r="B50" s="1" t="n">
        <v>45335</v>
      </c>
      <c r="C50" s="1" t="n">
        <v>46159</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2806-2025</t>
        </is>
      </c>
      <c r="B51" s="1" t="n">
        <v>45677</v>
      </c>
      <c r="C51" s="1" t="n">
        <v>46159</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46159</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11756-2026</t>
        </is>
      </c>
      <c r="B53" s="1" t="n">
        <v>46084.68509259259</v>
      </c>
      <c r="C53" s="1" t="n">
        <v>46159</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1779-2025</t>
        </is>
      </c>
      <c r="B54" s="1" t="n">
        <v>45671</v>
      </c>
      <c r="C54" s="1" t="n">
        <v>46159</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48724-2024</t>
        </is>
      </c>
      <c r="B55" s="1" t="n">
        <v>45593.55731481482</v>
      </c>
      <c r="C55" s="1" t="n">
        <v>46159</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58378-2025</t>
        </is>
      </c>
      <c r="B56" s="1" t="n">
        <v>45985.53541666667</v>
      </c>
      <c r="C56" s="1" t="n">
        <v>46159</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54334-2024</t>
        </is>
      </c>
      <c r="B57" s="1" t="n">
        <v>45617.38247685185</v>
      </c>
      <c r="C57" s="1" t="n">
        <v>46159</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49412-2025</t>
        </is>
      </c>
      <c r="B58" s="1" t="n">
        <v>45938.68405092593</v>
      </c>
      <c r="C58" s="1" t="n">
        <v>46159</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781-2023</t>
        </is>
      </c>
      <c r="B59" s="1" t="n">
        <v>44931</v>
      </c>
      <c r="C59" s="1" t="n">
        <v>46159</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27727-2024</t>
        </is>
      </c>
      <c r="B60" s="1" t="n">
        <v>45475</v>
      </c>
      <c r="C60" s="1" t="n">
        <v>46159</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55518-2025</t>
        </is>
      </c>
      <c r="B61" s="1" t="n">
        <v>45971.60497685185</v>
      </c>
      <c r="C61" s="1" t="n">
        <v>46159</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51923-2022</t>
        </is>
      </c>
      <c r="B62" s="1" t="n">
        <v>44868</v>
      </c>
      <c r="C62" s="1" t="n">
        <v>46159</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60491-2025</t>
        </is>
      </c>
      <c r="B63" s="1" t="n">
        <v>45995.6065625</v>
      </c>
      <c r="C63" s="1" t="n">
        <v>46159</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61552-2025</t>
        </is>
      </c>
      <c r="B64" s="1" t="n">
        <v>46001.7772337963</v>
      </c>
      <c r="C64" s="1" t="n">
        <v>46159</v>
      </c>
      <c r="D64" t="inlineStr">
        <is>
          <t>KALMAR LÄN</t>
        </is>
      </c>
      <c r="E64" t="inlineStr">
        <is>
          <t>VÄSTERVIK</t>
        </is>
      </c>
      <c r="F64" t="inlineStr">
        <is>
          <t>Sveaskog</t>
        </is>
      </c>
      <c r="G64" t="n">
        <v>8.1</v>
      </c>
      <c r="H64" t="n">
        <v>2</v>
      </c>
      <c r="I64" t="n">
        <v>1</v>
      </c>
      <c r="J64" t="n">
        <v>4</v>
      </c>
      <c r="K64" t="n">
        <v>0</v>
      </c>
      <c r="L64" t="n">
        <v>0</v>
      </c>
      <c r="M64" t="n">
        <v>0</v>
      </c>
      <c r="N64" t="n">
        <v>0</v>
      </c>
      <c r="O64" t="n">
        <v>4</v>
      </c>
      <c r="P64" t="n">
        <v>0</v>
      </c>
      <c r="Q64" t="n">
        <v>5</v>
      </c>
      <c r="R64" s="2" t="inlineStr">
        <is>
          <t>Motaggsvamp
Spillkråka
Talltita
Ullticka
Blodticka</t>
        </is>
      </c>
      <c r="S64">
        <f>HYPERLINK("https://klasma.github.io/Logging_0883/artfynd/A 61552-2025 artfynd.xlsx", "A 61552-2025")</f>
        <v/>
      </c>
      <c r="T64">
        <f>HYPERLINK("https://klasma.github.io/Logging_0883/kartor/A 61552-2025 karta.png", "A 61552-2025")</f>
        <v/>
      </c>
      <c r="V64">
        <f>HYPERLINK("https://klasma.github.io/Logging_0883/klagomål/A 61552-2025 FSC-klagomål.docx", "A 61552-2025")</f>
        <v/>
      </c>
      <c r="W64">
        <f>HYPERLINK("https://klasma.github.io/Logging_0883/klagomålsmail/A 61552-2025 FSC-klagomål mail.docx", "A 61552-2025")</f>
        <v/>
      </c>
      <c r="X64">
        <f>HYPERLINK("https://klasma.github.io/Logging_0883/tillsyn/A 61552-2025 tillsynsbegäran.docx", "A 61552-2025")</f>
        <v/>
      </c>
      <c r="Y64">
        <f>HYPERLINK("https://klasma.github.io/Logging_0883/tillsynsmail/A 61552-2025 tillsynsbegäran mail.docx", "A 61552-2025")</f>
        <v/>
      </c>
      <c r="Z64">
        <f>HYPERLINK("https://klasma.github.io/Logging_0883/fåglar/A 61552-2025 prioriterade fågelarter.docx", "A 61552-2025")</f>
        <v/>
      </c>
    </row>
    <row r="65" ht="15" customHeight="1">
      <c r="A65" t="inlineStr">
        <is>
          <t>A 9952-2026</t>
        </is>
      </c>
      <c r="B65" s="1" t="n">
        <v>46073</v>
      </c>
      <c r="C65" s="1" t="n">
        <v>46159</v>
      </c>
      <c r="D65" t="inlineStr">
        <is>
          <t>KALMAR LÄN</t>
        </is>
      </c>
      <c r="E65" t="inlineStr">
        <is>
          <t>VÄSTERVIK</t>
        </is>
      </c>
      <c r="G65" t="n">
        <v>3.4</v>
      </c>
      <c r="H65" t="n">
        <v>3</v>
      </c>
      <c r="I65" t="n">
        <v>0</v>
      </c>
      <c r="J65" t="n">
        <v>3</v>
      </c>
      <c r="K65" t="n">
        <v>0</v>
      </c>
      <c r="L65" t="n">
        <v>0</v>
      </c>
      <c r="M65" t="n">
        <v>0</v>
      </c>
      <c r="N65" t="n">
        <v>0</v>
      </c>
      <c r="O65" t="n">
        <v>3</v>
      </c>
      <c r="P65" t="n">
        <v>0</v>
      </c>
      <c r="Q65" t="n">
        <v>5</v>
      </c>
      <c r="R65" s="2" t="inlineStr">
        <is>
          <t>Krusfrö
Spillkråka
Tallticka
Grönsiska
Blåsippa</t>
        </is>
      </c>
      <c r="S65">
        <f>HYPERLINK("https://klasma.github.io/Logging_0883/artfynd/A 9952-2026 artfynd.xlsx", "A 9952-2026")</f>
        <v/>
      </c>
      <c r="T65">
        <f>HYPERLINK("https://klasma.github.io/Logging_0883/kartor/A 9952-2026 karta.png", "A 9952-2026")</f>
        <v/>
      </c>
      <c r="V65">
        <f>HYPERLINK("https://klasma.github.io/Logging_0883/klagomål/A 9952-2026 FSC-klagomål.docx", "A 9952-2026")</f>
        <v/>
      </c>
      <c r="W65">
        <f>HYPERLINK("https://klasma.github.io/Logging_0883/klagomålsmail/A 9952-2026 FSC-klagomål mail.docx", "A 9952-2026")</f>
        <v/>
      </c>
      <c r="X65">
        <f>HYPERLINK("https://klasma.github.io/Logging_0883/tillsyn/A 9952-2026 tillsynsbegäran.docx", "A 9952-2026")</f>
        <v/>
      </c>
      <c r="Y65">
        <f>HYPERLINK("https://klasma.github.io/Logging_0883/tillsynsmail/A 9952-2026 tillsynsbegäran mail.docx", "A 9952-2026")</f>
        <v/>
      </c>
      <c r="Z65">
        <f>HYPERLINK("https://klasma.github.io/Logging_0883/fåglar/A 9952-2026 prioriterade fågelarter.docx", "A 9952-2026")</f>
        <v/>
      </c>
    </row>
    <row r="66" ht="15" customHeight="1">
      <c r="A66" t="inlineStr">
        <is>
          <t>A 58727-2024</t>
        </is>
      </c>
      <c r="B66" s="1" t="n">
        <v>45635</v>
      </c>
      <c r="C66" s="1" t="n">
        <v>46159</v>
      </c>
      <c r="D66" t="inlineStr">
        <is>
          <t>KALMAR LÄN</t>
        </is>
      </c>
      <c r="E66" t="inlineStr">
        <is>
          <t>VÄSTERVIK</t>
        </is>
      </c>
      <c r="F66" t="inlineStr">
        <is>
          <t>Holmen skog AB</t>
        </is>
      </c>
      <c r="G66" t="n">
        <v>2.8</v>
      </c>
      <c r="H66" t="n">
        <v>4</v>
      </c>
      <c r="I66" t="n">
        <v>1</v>
      </c>
      <c r="J66" t="n">
        <v>4</v>
      </c>
      <c r="K66" t="n">
        <v>0</v>
      </c>
      <c r="L66" t="n">
        <v>0</v>
      </c>
      <c r="M66" t="n">
        <v>0</v>
      </c>
      <c r="N66" t="n">
        <v>0</v>
      </c>
      <c r="O66" t="n">
        <v>4</v>
      </c>
      <c r="P66" t="n">
        <v>0</v>
      </c>
      <c r="Q66" t="n">
        <v>5</v>
      </c>
      <c r="R66" s="2" t="inlineStr">
        <is>
          <t>Entita
Havsörn
Spillkråka
Talltita
Blåmossa</t>
        </is>
      </c>
      <c r="S66">
        <f>HYPERLINK("https://klasma.github.io/Logging_0883/artfynd/A 58727-2024 artfynd.xlsx", "A 58727-2024")</f>
        <v/>
      </c>
      <c r="T66">
        <f>HYPERLINK("https://klasma.github.io/Logging_0883/kartor/A 58727-2024 karta.png", "A 58727-2024")</f>
        <v/>
      </c>
      <c r="V66">
        <f>HYPERLINK("https://klasma.github.io/Logging_0883/klagomål/A 58727-2024 FSC-klagomål.docx", "A 58727-2024")</f>
        <v/>
      </c>
      <c r="W66">
        <f>HYPERLINK("https://klasma.github.io/Logging_0883/klagomålsmail/A 58727-2024 FSC-klagomål mail.docx", "A 58727-2024")</f>
        <v/>
      </c>
      <c r="X66">
        <f>HYPERLINK("https://klasma.github.io/Logging_0883/tillsyn/A 58727-2024 tillsynsbegäran.docx", "A 58727-2024")</f>
        <v/>
      </c>
      <c r="Y66">
        <f>HYPERLINK("https://klasma.github.io/Logging_0883/tillsynsmail/A 58727-2024 tillsynsbegäran mail.docx", "A 58727-2024")</f>
        <v/>
      </c>
      <c r="Z66">
        <f>HYPERLINK("https://klasma.github.io/Logging_0883/fåglar/A 58727-2024 prioriterade fågelarter.docx", "A 58727-2024")</f>
        <v/>
      </c>
    </row>
    <row r="67" ht="15" customHeight="1">
      <c r="A67" t="inlineStr">
        <is>
          <t>A 60670-2025</t>
        </is>
      </c>
      <c r="B67" s="1" t="n">
        <v>45996</v>
      </c>
      <c r="C67" s="1" t="n">
        <v>46159</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15891-2026</t>
        </is>
      </c>
      <c r="B68" s="1" t="n">
        <v>46107.61547453704</v>
      </c>
      <c r="C68" s="1" t="n">
        <v>46159</v>
      </c>
      <c r="D68" t="inlineStr">
        <is>
          <t>KALMAR LÄN</t>
        </is>
      </c>
      <c r="E68" t="inlineStr">
        <is>
          <t>VÄSTERVIK</t>
        </is>
      </c>
      <c r="G68" t="n">
        <v>4.6</v>
      </c>
      <c r="H68" t="n">
        <v>4</v>
      </c>
      <c r="I68" t="n">
        <v>0</v>
      </c>
      <c r="J68" t="n">
        <v>2</v>
      </c>
      <c r="K68" t="n">
        <v>1</v>
      </c>
      <c r="L68" t="n">
        <v>0</v>
      </c>
      <c r="M68" t="n">
        <v>0</v>
      </c>
      <c r="N68" t="n">
        <v>0</v>
      </c>
      <c r="O68" t="n">
        <v>3</v>
      </c>
      <c r="P68" t="n">
        <v>1</v>
      </c>
      <c r="Q68" t="n">
        <v>5</v>
      </c>
      <c r="R68" s="2" t="inlineStr">
        <is>
          <t>Knärot
Spillkråka
Ullticka
Grönsiska
Blåsippa</t>
        </is>
      </c>
      <c r="S68">
        <f>HYPERLINK("https://klasma.github.io/Logging_0883/artfynd/A 15891-2026 artfynd.xlsx", "A 15891-2026")</f>
        <v/>
      </c>
      <c r="T68">
        <f>HYPERLINK("https://klasma.github.io/Logging_0883/kartor/A 15891-2026 karta.png", "A 15891-2026")</f>
        <v/>
      </c>
      <c r="U68">
        <f>HYPERLINK("https://klasma.github.io/Logging_0883/knärot/A 15891-2026 karta knärot.png", "A 15891-2026")</f>
        <v/>
      </c>
      <c r="V68">
        <f>HYPERLINK("https://klasma.github.io/Logging_0883/klagomål/A 15891-2026 FSC-klagomål.docx", "A 15891-2026")</f>
        <v/>
      </c>
      <c r="W68">
        <f>HYPERLINK("https://klasma.github.io/Logging_0883/klagomålsmail/A 15891-2026 FSC-klagomål mail.docx", "A 15891-2026")</f>
        <v/>
      </c>
      <c r="X68">
        <f>HYPERLINK("https://klasma.github.io/Logging_0883/tillsyn/A 15891-2026 tillsynsbegäran.docx", "A 15891-2026")</f>
        <v/>
      </c>
      <c r="Y68">
        <f>HYPERLINK("https://klasma.github.io/Logging_0883/tillsynsmail/A 15891-2026 tillsynsbegäran mail.docx", "A 15891-2026")</f>
        <v/>
      </c>
      <c r="Z68">
        <f>HYPERLINK("https://klasma.github.io/Logging_0883/fåglar/A 15891-2026 prioriterade fågelarter.docx", "A 15891-2026")</f>
        <v/>
      </c>
    </row>
    <row r="69" ht="15" customHeight="1">
      <c r="A69" t="inlineStr">
        <is>
          <t>A 7520-2026</t>
        </is>
      </c>
      <c r="B69" s="1" t="n">
        <v>46059.60134259259</v>
      </c>
      <c r="C69" s="1" t="n">
        <v>46159</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31060-2024</t>
        </is>
      </c>
      <c r="B70" s="1" t="n">
        <v>45502</v>
      </c>
      <c r="C70" s="1" t="n">
        <v>46159</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58927-2022</t>
        </is>
      </c>
      <c r="B71" s="1" t="n">
        <v>44896</v>
      </c>
      <c r="C71" s="1" t="n">
        <v>46159</v>
      </c>
      <c r="D71" t="inlineStr">
        <is>
          <t>KALMAR LÄN</t>
        </is>
      </c>
      <c r="E71" t="inlineStr">
        <is>
          <t>VÄSTERVIK</t>
        </is>
      </c>
      <c r="G71" t="n">
        <v>2.5</v>
      </c>
      <c r="H71" t="n">
        <v>0</v>
      </c>
      <c r="I71" t="n">
        <v>3</v>
      </c>
      <c r="J71" t="n">
        <v>2</v>
      </c>
      <c r="K71" t="n">
        <v>0</v>
      </c>
      <c r="L71" t="n">
        <v>0</v>
      </c>
      <c r="M71" t="n">
        <v>0</v>
      </c>
      <c r="N71" t="n">
        <v>0</v>
      </c>
      <c r="O71" t="n">
        <v>2</v>
      </c>
      <c r="P71" t="n">
        <v>0</v>
      </c>
      <c r="Q71" t="n">
        <v>5</v>
      </c>
      <c r="R71" s="2" t="inlineStr">
        <is>
          <t>Ekticka
Grynig filtlav
Fällmossa
Gulpudrad spiklav
Liten baronmossa</t>
        </is>
      </c>
      <c r="S71">
        <f>HYPERLINK("https://klasma.github.io/Logging_0883/artfynd/A 58927-2022 artfynd.xlsx", "A 58927-2022")</f>
        <v/>
      </c>
      <c r="T71">
        <f>HYPERLINK("https://klasma.github.io/Logging_0883/kartor/A 58927-2022 karta.png", "A 58927-2022")</f>
        <v/>
      </c>
      <c r="V71">
        <f>HYPERLINK("https://klasma.github.io/Logging_0883/klagomål/A 58927-2022 FSC-klagomål.docx", "A 58927-2022")</f>
        <v/>
      </c>
      <c r="W71">
        <f>HYPERLINK("https://klasma.github.io/Logging_0883/klagomålsmail/A 58927-2022 FSC-klagomål mail.docx", "A 58927-2022")</f>
        <v/>
      </c>
      <c r="X71">
        <f>HYPERLINK("https://klasma.github.io/Logging_0883/tillsyn/A 58927-2022 tillsynsbegäran.docx", "A 58927-2022")</f>
        <v/>
      </c>
      <c r="Y71">
        <f>HYPERLINK("https://klasma.github.io/Logging_0883/tillsynsmail/A 58927-2022 tillsynsbegäran mail.docx", "A 58927-2022")</f>
        <v/>
      </c>
    </row>
    <row r="72" ht="15" customHeight="1">
      <c r="A72" t="inlineStr">
        <is>
          <t>A 12335-2025</t>
        </is>
      </c>
      <c r="B72" s="1" t="n">
        <v>45730</v>
      </c>
      <c r="C72" s="1" t="n">
        <v>46159</v>
      </c>
      <c r="D72" t="inlineStr">
        <is>
          <t>KALMAR LÄN</t>
        </is>
      </c>
      <c r="E72" t="inlineStr">
        <is>
          <t>VÄSTERVIK</t>
        </is>
      </c>
      <c r="G72" t="n">
        <v>3.1</v>
      </c>
      <c r="H72" t="n">
        <v>4</v>
      </c>
      <c r="I72" t="n">
        <v>1</v>
      </c>
      <c r="J72" t="n">
        <v>3</v>
      </c>
      <c r="K72" t="n">
        <v>0</v>
      </c>
      <c r="L72" t="n">
        <v>0</v>
      </c>
      <c r="M72" t="n">
        <v>0</v>
      </c>
      <c r="N72" t="n">
        <v>0</v>
      </c>
      <c r="O72" t="n">
        <v>3</v>
      </c>
      <c r="P72" t="n">
        <v>0</v>
      </c>
      <c r="Q72" t="n">
        <v>5</v>
      </c>
      <c r="R72" s="2" t="inlineStr">
        <is>
          <t>Mindre hackspett
Spillkråka
Talltita
Blåmossa
Grönsiska</t>
        </is>
      </c>
      <c r="S72">
        <f>HYPERLINK("https://klasma.github.io/Logging_0883/artfynd/A 12335-2025 artfynd.xlsx", "A 12335-2025")</f>
        <v/>
      </c>
      <c r="T72">
        <f>HYPERLINK("https://klasma.github.io/Logging_0883/kartor/A 12335-2025 karta.png", "A 12335-2025")</f>
        <v/>
      </c>
      <c r="V72">
        <f>HYPERLINK("https://klasma.github.io/Logging_0883/klagomål/A 12335-2025 FSC-klagomål.docx", "A 12335-2025")</f>
        <v/>
      </c>
      <c r="W72">
        <f>HYPERLINK("https://klasma.github.io/Logging_0883/klagomålsmail/A 12335-2025 FSC-klagomål mail.docx", "A 12335-2025")</f>
        <v/>
      </c>
      <c r="X72">
        <f>HYPERLINK("https://klasma.github.io/Logging_0883/tillsyn/A 12335-2025 tillsynsbegäran.docx", "A 12335-2025")</f>
        <v/>
      </c>
      <c r="Y72">
        <f>HYPERLINK("https://klasma.github.io/Logging_0883/tillsynsmail/A 12335-2025 tillsynsbegäran mail.docx", "A 12335-2025")</f>
        <v/>
      </c>
      <c r="Z72">
        <f>HYPERLINK("https://klasma.github.io/Logging_0883/fåglar/A 12335-2025 prioriterade fågelarter.docx", "A 12335-2025")</f>
        <v/>
      </c>
    </row>
    <row r="73" ht="15" customHeight="1">
      <c r="A73" t="inlineStr">
        <is>
          <t>A 31431-2024</t>
        </is>
      </c>
      <c r="B73" s="1" t="n">
        <v>45505</v>
      </c>
      <c r="C73" s="1" t="n">
        <v>46159</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35939-2024</t>
        </is>
      </c>
      <c r="B74" s="1" t="n">
        <v>45533.45459490741</v>
      </c>
      <c r="C74" s="1" t="n">
        <v>46159</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agg.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31914-2025</t>
        </is>
      </c>
      <c r="B75" s="1" t="n">
        <v>45834</v>
      </c>
      <c r="C75" s="1" t="n">
        <v>46159</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35214-2025</t>
        </is>
      </c>
      <c r="B76" s="1" t="n">
        <v>45853.47163194444</v>
      </c>
      <c r="C76" s="1" t="n">
        <v>46159</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1107-2026</t>
        </is>
      </c>
      <c r="B77" s="1" t="n">
        <v>46030.67351851852</v>
      </c>
      <c r="C77" s="1" t="n">
        <v>46159</v>
      </c>
      <c r="D77" t="inlineStr">
        <is>
          <t>KALMAR LÄN</t>
        </is>
      </c>
      <c r="E77" t="inlineStr">
        <is>
          <t>VÄSTERVIK</t>
        </is>
      </c>
      <c r="G77" t="n">
        <v>3.1</v>
      </c>
      <c r="H77" t="n">
        <v>2</v>
      </c>
      <c r="I77" t="n">
        <v>1</v>
      </c>
      <c r="J77" t="n">
        <v>2</v>
      </c>
      <c r="K77" t="n">
        <v>1</v>
      </c>
      <c r="L77" t="n">
        <v>0</v>
      </c>
      <c r="M77" t="n">
        <v>0</v>
      </c>
      <c r="N77" t="n">
        <v>0</v>
      </c>
      <c r="O77" t="n">
        <v>3</v>
      </c>
      <c r="P77" t="n">
        <v>1</v>
      </c>
      <c r="Q77" t="n">
        <v>4</v>
      </c>
      <c r="R77" s="2" t="inlineStr">
        <is>
          <t>Knärot
Motaggsvamp
Talltita
Blåmossa</t>
        </is>
      </c>
      <c r="S77">
        <f>HYPERLINK("https://klasma.github.io/Logging_0883/artfynd/A 1107-2026 artfynd.xlsx", "A 1107-2026")</f>
        <v/>
      </c>
      <c r="T77">
        <f>HYPERLINK("https://klasma.github.io/Logging_0883/kartor/A 1107-2026 karta.png", "A 1107-2026")</f>
        <v/>
      </c>
      <c r="U77">
        <f>HYPERLINK("https://klasma.github.io/Logging_0883/knärot/A 1107-2026 karta knärot.png", "A 1107-2026")</f>
        <v/>
      </c>
      <c r="V77">
        <f>HYPERLINK("https://klasma.github.io/Logging_0883/klagomål/A 1107-2026 FSC-klagomål.docx", "A 1107-2026")</f>
        <v/>
      </c>
      <c r="W77">
        <f>HYPERLINK("https://klasma.github.io/Logging_0883/klagomålsmail/A 1107-2026 FSC-klagomål mail.docx", "A 1107-2026")</f>
        <v/>
      </c>
      <c r="X77">
        <f>HYPERLINK("https://klasma.github.io/Logging_0883/tillsyn/A 1107-2026 tillsynsbegäran.docx", "A 1107-2026")</f>
        <v/>
      </c>
      <c r="Y77">
        <f>HYPERLINK("https://klasma.github.io/Logging_0883/tillsynsmail/A 1107-2026 tillsynsbegäran mail.docx", "A 1107-2026")</f>
        <v/>
      </c>
      <c r="Z77">
        <f>HYPERLINK("https://klasma.github.io/Logging_0883/fåglar/A 1107-2026 prioriterade fågelarter.docx", "A 1107-2026")</f>
        <v/>
      </c>
    </row>
    <row r="78" ht="15" customHeight="1">
      <c r="A78" t="inlineStr">
        <is>
          <t>A 29455-2021</t>
        </is>
      </c>
      <c r="B78" s="1" t="n">
        <v>44361</v>
      </c>
      <c r="C78" s="1" t="n">
        <v>46159</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46159</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3781-2025</t>
        </is>
      </c>
      <c r="B80" s="1" t="n">
        <v>45681.62086805556</v>
      </c>
      <c r="C80" s="1" t="n">
        <v>46159</v>
      </c>
      <c r="D80" t="inlineStr">
        <is>
          <t>KALMAR LÄN</t>
        </is>
      </c>
      <c r="E80" t="inlineStr">
        <is>
          <t>VÄSTERVIK</t>
        </is>
      </c>
      <c r="G80" t="n">
        <v>1.4</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3781-2025 artfynd.xlsx", "A 3781-2025")</f>
        <v/>
      </c>
      <c r="T80">
        <f>HYPERLINK("https://klasma.github.io/Logging_0883/kartor/A 3781-2025 karta.png", "A 3781-2025")</f>
        <v/>
      </c>
      <c r="V80">
        <f>HYPERLINK("https://klasma.github.io/Logging_0883/klagomål/A 3781-2025 FSC-klagomål.docx", "A 3781-2025")</f>
        <v/>
      </c>
      <c r="W80">
        <f>HYPERLINK("https://klasma.github.io/Logging_0883/klagomålsmail/A 3781-2025 FSC-klagomål mail.docx", "A 3781-2025")</f>
        <v/>
      </c>
      <c r="X80">
        <f>HYPERLINK("https://klasma.github.io/Logging_0883/tillsyn/A 3781-2025 tillsynsbegäran.docx", "A 3781-2025")</f>
        <v/>
      </c>
      <c r="Y80">
        <f>HYPERLINK("https://klasma.github.io/Logging_0883/tillsynsmail/A 3781-2025 tillsynsbegäran mail.docx", "A 3781-2025")</f>
        <v/>
      </c>
      <c r="Z80">
        <f>HYPERLINK("https://klasma.github.io/Logging_0883/fåglar/A 3781-2025 prioriterade fågelarter.docx", "A 3781-2025")</f>
        <v/>
      </c>
    </row>
    <row r="81" ht="15" customHeight="1">
      <c r="A81" t="inlineStr">
        <is>
          <t>A 26985-2025</t>
        </is>
      </c>
      <c r="B81" s="1" t="n">
        <v>45811</v>
      </c>
      <c r="C81" s="1" t="n">
        <v>46159</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10781-2025</t>
        </is>
      </c>
      <c r="B82" s="1" t="n">
        <v>45722</v>
      </c>
      <c r="C82" s="1" t="n">
        <v>46159</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58955-2022</t>
        </is>
      </c>
      <c r="B83" s="1" t="n">
        <v>44896</v>
      </c>
      <c r="C83" s="1" t="n">
        <v>46159</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58343-2025</t>
        </is>
      </c>
      <c r="B84" s="1" t="n">
        <v>45985.49952546296</v>
      </c>
      <c r="C84" s="1" t="n">
        <v>46159</v>
      </c>
      <c r="D84" t="inlineStr">
        <is>
          <t>KALMAR LÄN</t>
        </is>
      </c>
      <c r="E84" t="inlineStr">
        <is>
          <t>VÄSTERVIK</t>
        </is>
      </c>
      <c r="G84" t="n">
        <v>5.2</v>
      </c>
      <c r="H84" t="n">
        <v>3</v>
      </c>
      <c r="I84" t="n">
        <v>0</v>
      </c>
      <c r="J84" t="n">
        <v>3</v>
      </c>
      <c r="K84" t="n">
        <v>1</v>
      </c>
      <c r="L84" t="n">
        <v>0</v>
      </c>
      <c r="M84" t="n">
        <v>0</v>
      </c>
      <c r="N84" t="n">
        <v>0</v>
      </c>
      <c r="O84" t="n">
        <v>4</v>
      </c>
      <c r="P84" t="n">
        <v>1</v>
      </c>
      <c r="Q84" t="n">
        <v>4</v>
      </c>
      <c r="R84" s="2" t="inlineStr">
        <is>
          <t>Knärot
Spillkråka
Tallticka
Talltita</t>
        </is>
      </c>
      <c r="S84">
        <f>HYPERLINK("https://klasma.github.io/Logging_0883/artfynd/A 58343-2025 artfynd.xlsx", "A 58343-2025")</f>
        <v/>
      </c>
      <c r="T84">
        <f>HYPERLINK("https://klasma.github.io/Logging_0883/kartor/A 58343-2025 karta.png", "A 58343-2025")</f>
        <v/>
      </c>
      <c r="U84">
        <f>HYPERLINK("https://klasma.github.io/Logging_0883/knärot/A 58343-2025 karta knärot.png", "A 58343-2025")</f>
        <v/>
      </c>
      <c r="V84">
        <f>HYPERLINK("https://klasma.github.io/Logging_0883/klagomål/A 58343-2025 FSC-klagomål.docx", "A 58343-2025")</f>
        <v/>
      </c>
      <c r="W84">
        <f>HYPERLINK("https://klasma.github.io/Logging_0883/klagomålsmail/A 58343-2025 FSC-klagomål mail.docx", "A 58343-2025")</f>
        <v/>
      </c>
      <c r="X84">
        <f>HYPERLINK("https://klasma.github.io/Logging_0883/tillsyn/A 58343-2025 tillsynsbegäran.docx", "A 58343-2025")</f>
        <v/>
      </c>
      <c r="Y84">
        <f>HYPERLINK("https://klasma.github.io/Logging_0883/tillsynsmail/A 58343-2025 tillsynsbegäran mail.docx", "A 58343-2025")</f>
        <v/>
      </c>
      <c r="Z84">
        <f>HYPERLINK("https://klasma.github.io/Logging_0883/fåglar/A 58343-2025 prioriterade fågelarter.docx", "A 58343-2025")</f>
        <v/>
      </c>
    </row>
    <row r="85" ht="15" customHeight="1">
      <c r="A85" t="inlineStr">
        <is>
          <t>A 56908-2025</t>
        </is>
      </c>
      <c r="B85" s="1" t="n">
        <v>45978</v>
      </c>
      <c r="C85" s="1" t="n">
        <v>46159</v>
      </c>
      <c r="D85" t="inlineStr">
        <is>
          <t>KALMAR LÄN</t>
        </is>
      </c>
      <c r="E85" t="inlineStr">
        <is>
          <t>VÄSTERVIK</t>
        </is>
      </c>
      <c r="F85" t="inlineStr">
        <is>
          <t>Holmen skog AB</t>
        </is>
      </c>
      <c r="G85" t="n">
        <v>1.8</v>
      </c>
      <c r="H85" t="n">
        <v>3</v>
      </c>
      <c r="I85" t="n">
        <v>1</v>
      </c>
      <c r="J85" t="n">
        <v>2</v>
      </c>
      <c r="K85" t="n">
        <v>0</v>
      </c>
      <c r="L85" t="n">
        <v>0</v>
      </c>
      <c r="M85" t="n">
        <v>0</v>
      </c>
      <c r="N85" t="n">
        <v>0</v>
      </c>
      <c r="O85" t="n">
        <v>2</v>
      </c>
      <c r="P85" t="n">
        <v>0</v>
      </c>
      <c r="Q85" t="n">
        <v>4</v>
      </c>
      <c r="R85" s="2" t="inlineStr">
        <is>
          <t>Spillkråka
Talltita
Murgröna
Mattlummer</t>
        </is>
      </c>
      <c r="S85">
        <f>HYPERLINK("https://klasma.github.io/Logging_0883/artfynd/A 56908-2025 artfynd.xlsx", "A 56908-2025")</f>
        <v/>
      </c>
      <c r="T85">
        <f>HYPERLINK("https://klasma.github.io/Logging_0883/kartor/A 56908-2025 karta.png", "A 56908-2025")</f>
        <v/>
      </c>
      <c r="U85">
        <f>HYPERLINK("https://klasma.github.io/Logging_0883/knärot/A 56908-2025 karta knärot.png", "A 56908-2025")</f>
        <v/>
      </c>
      <c r="V85">
        <f>HYPERLINK("https://klasma.github.io/Logging_0883/klagomål/A 56908-2025 FSC-klagomål.docx", "A 56908-2025")</f>
        <v/>
      </c>
      <c r="W85">
        <f>HYPERLINK("https://klasma.github.io/Logging_0883/klagomålsmail/A 56908-2025 FSC-klagomål mail.docx", "A 56908-2025")</f>
        <v/>
      </c>
      <c r="X85">
        <f>HYPERLINK("https://klasma.github.io/Logging_0883/tillsyn/A 56908-2025 tillsynsbegäran.docx", "A 56908-2025")</f>
        <v/>
      </c>
      <c r="Y85">
        <f>HYPERLINK("https://klasma.github.io/Logging_0883/tillsynsmail/A 56908-2025 tillsynsbegäran mail.docx", "A 56908-2025")</f>
        <v/>
      </c>
      <c r="Z85">
        <f>HYPERLINK("https://klasma.github.io/Logging_0883/fåglar/A 56908-2025 prioriterade fågelarter.docx", "A 56908-2025")</f>
        <v/>
      </c>
    </row>
    <row r="86" ht="15" customHeight="1">
      <c r="A86" t="inlineStr">
        <is>
          <t>A 41312-2025</t>
        </is>
      </c>
      <c r="B86" s="1" t="n">
        <v>45898.80314814814</v>
      </c>
      <c r="C86" s="1" t="n">
        <v>46159</v>
      </c>
      <c r="D86" t="inlineStr">
        <is>
          <t>KALMAR LÄN</t>
        </is>
      </c>
      <c r="E86" t="inlineStr">
        <is>
          <t>VÄSTERVIK</t>
        </is>
      </c>
      <c r="G86" t="n">
        <v>0.8</v>
      </c>
      <c r="H86" t="n">
        <v>2</v>
      </c>
      <c r="I86" t="n">
        <v>2</v>
      </c>
      <c r="J86" t="n">
        <v>2</v>
      </c>
      <c r="K86" t="n">
        <v>0</v>
      </c>
      <c r="L86" t="n">
        <v>0</v>
      </c>
      <c r="M86" t="n">
        <v>0</v>
      </c>
      <c r="N86" t="n">
        <v>0</v>
      </c>
      <c r="O86" t="n">
        <v>2</v>
      </c>
      <c r="P86" t="n">
        <v>0</v>
      </c>
      <c r="Q86" t="n">
        <v>4</v>
      </c>
      <c r="R86" s="2" t="inlineStr">
        <is>
          <t>Spillkråka
Talltita
Skinnlav
Svart trolldruva</t>
        </is>
      </c>
      <c r="S86">
        <f>HYPERLINK("https://klasma.github.io/Logging_0883/artfynd/A 41312-2025 artfynd.xlsx", "A 41312-2025")</f>
        <v/>
      </c>
      <c r="T86">
        <f>HYPERLINK("https://klasma.github.io/Logging_0883/kartor/A 41312-2025 karta.png", "A 41312-2025")</f>
        <v/>
      </c>
      <c r="V86">
        <f>HYPERLINK("https://klasma.github.io/Logging_0883/klagomål/A 41312-2025 FSC-klagomål.docx", "A 41312-2025")</f>
        <v/>
      </c>
      <c r="W86">
        <f>HYPERLINK("https://klasma.github.io/Logging_0883/klagomålsmail/A 41312-2025 FSC-klagomål mail.docx", "A 41312-2025")</f>
        <v/>
      </c>
      <c r="X86">
        <f>HYPERLINK("https://klasma.github.io/Logging_0883/tillsyn/A 41312-2025 tillsynsbegäran.docx", "A 41312-2025")</f>
        <v/>
      </c>
      <c r="Y86">
        <f>HYPERLINK("https://klasma.github.io/Logging_0883/tillsynsmail/A 41312-2025 tillsynsbegäran mail.docx", "A 41312-2025")</f>
        <v/>
      </c>
      <c r="Z86">
        <f>HYPERLINK("https://klasma.github.io/Logging_0883/fåglar/A 41312-2025 prioriterade fågelarter.docx", "A 41312-2025")</f>
        <v/>
      </c>
    </row>
    <row r="87" ht="15" customHeight="1">
      <c r="A87" t="inlineStr">
        <is>
          <t>A 34644-2025</t>
        </is>
      </c>
      <c r="B87" s="1" t="n">
        <v>45848.33202546297</v>
      </c>
      <c r="C87" s="1" t="n">
        <v>46159</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6472-2025</t>
        </is>
      </c>
      <c r="B88" s="1" t="n">
        <v>45699</v>
      </c>
      <c r="C88" s="1" t="n">
        <v>46159</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36109-2025</t>
        </is>
      </c>
      <c r="B89" s="1" t="n">
        <v>45866.56780092593</v>
      </c>
      <c r="C89" s="1" t="n">
        <v>46159</v>
      </c>
      <c r="D89" t="inlineStr">
        <is>
          <t>KALMAR LÄN</t>
        </is>
      </c>
      <c r="E89" t="inlineStr">
        <is>
          <t>VÄSTERVIK</t>
        </is>
      </c>
      <c r="G89" t="n">
        <v>12.5</v>
      </c>
      <c r="H89" t="n">
        <v>1</v>
      </c>
      <c r="I89" t="n">
        <v>3</v>
      </c>
      <c r="J89" t="n">
        <v>0</v>
      </c>
      <c r="K89" t="n">
        <v>1</v>
      </c>
      <c r="L89" t="n">
        <v>0</v>
      </c>
      <c r="M89" t="n">
        <v>0</v>
      </c>
      <c r="N89" t="n">
        <v>0</v>
      </c>
      <c r="O89" t="n">
        <v>1</v>
      </c>
      <c r="P89" t="n">
        <v>1</v>
      </c>
      <c r="Q89" t="n">
        <v>4</v>
      </c>
      <c r="R89" s="2" t="inlineStr">
        <is>
          <t>Knärot
Blodticka
Blåmossa
Grönpyrola</t>
        </is>
      </c>
      <c r="S89">
        <f>HYPERLINK("https://klasma.github.io/Logging_0883/artfynd/A 36109-2025 artfynd.xlsx", "A 36109-2025")</f>
        <v/>
      </c>
      <c r="T89">
        <f>HYPERLINK("https://klasma.github.io/Logging_0883/kartor/A 36109-2025 karta.png", "A 36109-2025")</f>
        <v/>
      </c>
      <c r="U89">
        <f>HYPERLINK("https://klasma.github.io/Logging_0883/knärot/A 36109-2025 karta knärot.png", "A 36109-2025")</f>
        <v/>
      </c>
      <c r="V89">
        <f>HYPERLINK("https://klasma.github.io/Logging_0883/klagomål/A 36109-2025 FSC-klagomål.docx", "A 36109-2025")</f>
        <v/>
      </c>
      <c r="W89">
        <f>HYPERLINK("https://klasma.github.io/Logging_0883/klagomålsmail/A 36109-2025 FSC-klagomål mail.docx", "A 36109-2025")</f>
        <v/>
      </c>
      <c r="X89">
        <f>HYPERLINK("https://klasma.github.io/Logging_0883/tillsyn/A 36109-2025 tillsynsbegäran.docx", "A 36109-2025")</f>
        <v/>
      </c>
      <c r="Y89">
        <f>HYPERLINK("https://klasma.github.io/Logging_0883/tillsynsmail/A 36109-2025 tillsynsbegäran mail.docx", "A 36109-2025")</f>
        <v/>
      </c>
    </row>
    <row r="90" ht="15" customHeight="1">
      <c r="A90" t="inlineStr">
        <is>
          <t>A 938-2024</t>
        </is>
      </c>
      <c r="B90" s="1" t="n">
        <v>45301</v>
      </c>
      <c r="C90" s="1" t="n">
        <v>46159</v>
      </c>
      <c r="D90" t="inlineStr">
        <is>
          <t>KALMAR LÄN</t>
        </is>
      </c>
      <c r="E90" t="inlineStr">
        <is>
          <t>VÄSTERVIK</t>
        </is>
      </c>
      <c r="G90" t="n">
        <v>10</v>
      </c>
      <c r="H90" t="n">
        <v>1</v>
      </c>
      <c r="I90" t="n">
        <v>0</v>
      </c>
      <c r="J90" t="n">
        <v>3</v>
      </c>
      <c r="K90" t="n">
        <v>0</v>
      </c>
      <c r="L90" t="n">
        <v>0</v>
      </c>
      <c r="M90" t="n">
        <v>0</v>
      </c>
      <c r="N90" t="n">
        <v>0</v>
      </c>
      <c r="O90" t="n">
        <v>3</v>
      </c>
      <c r="P90" t="n">
        <v>0</v>
      </c>
      <c r="Q90" t="n">
        <v>4</v>
      </c>
      <c r="R90" s="2" t="inlineStr">
        <is>
          <t>Reliktbock
Tallticka
Vintertagging
Tjäder</t>
        </is>
      </c>
      <c r="S90">
        <f>HYPERLINK("https://klasma.github.io/Logging_0883/artfynd/A 938-2024 artfynd.xlsx", "A 938-2024")</f>
        <v/>
      </c>
      <c r="T90">
        <f>HYPERLINK("https://klasma.github.io/Logging_0883/kartor/A 938-2024 karta.png", "A 938-2024")</f>
        <v/>
      </c>
      <c r="V90">
        <f>HYPERLINK("https://klasma.github.io/Logging_0883/klagomål/A 938-2024 FSC-klagomål.docx", "A 938-2024")</f>
        <v/>
      </c>
      <c r="W90">
        <f>HYPERLINK("https://klasma.github.io/Logging_0883/klagomålsmail/A 938-2024 FSC-klagomål mail.docx", "A 938-2024")</f>
        <v/>
      </c>
      <c r="X90">
        <f>HYPERLINK("https://klasma.github.io/Logging_0883/tillsyn/A 938-2024 tillsynsbegäran.docx", "A 938-2024")</f>
        <v/>
      </c>
      <c r="Y90">
        <f>HYPERLINK("https://klasma.github.io/Logging_0883/tillsynsmail/A 938-2024 tillsynsbegäran mail.docx", "A 938-2024")</f>
        <v/>
      </c>
      <c r="Z90">
        <f>HYPERLINK("https://klasma.github.io/Logging_0883/fåglar/A 938-2024 prioriterade fågelarter.docx", "A 938-2024")</f>
        <v/>
      </c>
    </row>
    <row r="91" ht="15" customHeight="1">
      <c r="A91" t="inlineStr">
        <is>
          <t>A 25280-2021</t>
        </is>
      </c>
      <c r="B91" s="1" t="n">
        <v>44342</v>
      </c>
      <c r="C91" s="1" t="n">
        <v>46159</v>
      </c>
      <c r="D91" t="inlineStr">
        <is>
          <t>KALMAR LÄN</t>
        </is>
      </c>
      <c r="E91" t="inlineStr">
        <is>
          <t>VÄSTERVIK</t>
        </is>
      </c>
      <c r="G91" t="n">
        <v>6.5</v>
      </c>
      <c r="H91" t="n">
        <v>3</v>
      </c>
      <c r="I91" t="n">
        <v>0</v>
      </c>
      <c r="J91" t="n">
        <v>3</v>
      </c>
      <c r="K91" t="n">
        <v>1</v>
      </c>
      <c r="L91" t="n">
        <v>0</v>
      </c>
      <c r="M91" t="n">
        <v>0</v>
      </c>
      <c r="N91" t="n">
        <v>0</v>
      </c>
      <c r="O91" t="n">
        <v>4</v>
      </c>
      <c r="P91" t="n">
        <v>1</v>
      </c>
      <c r="Q91" t="n">
        <v>4</v>
      </c>
      <c r="R91" s="2" t="inlineStr">
        <is>
          <t>Knärot
Smalsprötad bastardsvärmare
Spillkråka
Talltita</t>
        </is>
      </c>
      <c r="S91">
        <f>HYPERLINK("https://klasma.github.io/Logging_0883/artfynd/A 25280-2021 artfynd.xlsx", "A 25280-2021")</f>
        <v/>
      </c>
      <c r="T91">
        <f>HYPERLINK("https://klasma.github.io/Logging_0883/kartor/A 25280-2021 karta.png", "A 25280-2021")</f>
        <v/>
      </c>
      <c r="U91">
        <f>HYPERLINK("https://klasma.github.io/Logging_0883/knärot/A 25280-2021 karta knärot.png", "A 25280-2021")</f>
        <v/>
      </c>
      <c r="V91">
        <f>HYPERLINK("https://klasma.github.io/Logging_0883/klagomål/A 25280-2021 FSC-klagomål.docx", "A 25280-2021")</f>
        <v/>
      </c>
      <c r="W91">
        <f>HYPERLINK("https://klasma.github.io/Logging_0883/klagomålsmail/A 25280-2021 FSC-klagomål mail.docx", "A 25280-2021")</f>
        <v/>
      </c>
      <c r="X91">
        <f>HYPERLINK("https://klasma.github.io/Logging_0883/tillsyn/A 25280-2021 tillsynsbegäran.docx", "A 25280-2021")</f>
        <v/>
      </c>
      <c r="Y91">
        <f>HYPERLINK("https://klasma.github.io/Logging_0883/tillsynsmail/A 25280-2021 tillsynsbegäran mail.docx", "A 25280-2021")</f>
        <v/>
      </c>
      <c r="Z91">
        <f>HYPERLINK("https://klasma.github.io/Logging_0883/fåglar/A 25280-2021 prioriterade fågelarter.docx", "A 25280-2021")</f>
        <v/>
      </c>
    </row>
    <row r="92" ht="15" customHeight="1">
      <c r="A92" t="inlineStr">
        <is>
          <t>A 51590-2024</t>
        </is>
      </c>
      <c r="B92" s="1" t="n">
        <v>45604</v>
      </c>
      <c r="C92" s="1" t="n">
        <v>46159</v>
      </c>
      <c r="D92" t="inlineStr">
        <is>
          <t>KALMAR LÄN</t>
        </is>
      </c>
      <c r="E92" t="inlineStr">
        <is>
          <t>VÄSTERVIK</t>
        </is>
      </c>
      <c r="F92" t="inlineStr">
        <is>
          <t>Övriga Aktiebolag</t>
        </is>
      </c>
      <c r="G92" t="n">
        <v>2.3</v>
      </c>
      <c r="H92" t="n">
        <v>3</v>
      </c>
      <c r="I92" t="n">
        <v>1</v>
      </c>
      <c r="J92" t="n">
        <v>2</v>
      </c>
      <c r="K92" t="n">
        <v>1</v>
      </c>
      <c r="L92" t="n">
        <v>0</v>
      </c>
      <c r="M92" t="n">
        <v>0</v>
      </c>
      <c r="N92" t="n">
        <v>0</v>
      </c>
      <c r="O92" t="n">
        <v>3</v>
      </c>
      <c r="P92" t="n">
        <v>1</v>
      </c>
      <c r="Q92" t="n">
        <v>4</v>
      </c>
      <c r="R92" s="2" t="inlineStr">
        <is>
          <t>Knärot
Spillkråka
Talltita
Blomkålssvamp</t>
        </is>
      </c>
      <c r="S92">
        <f>HYPERLINK("https://klasma.github.io/Logging_0883/artfynd/A 51590-2024 artfynd.xlsx", "A 51590-2024")</f>
        <v/>
      </c>
      <c r="T92">
        <f>HYPERLINK("https://klasma.github.io/Logging_0883/kartor/A 51590-2024 karta.png", "A 51590-2024")</f>
        <v/>
      </c>
      <c r="U92">
        <f>HYPERLINK("https://klasma.github.io/Logging_0883/knärot/A 51590-2024 karta knärot.png", "A 51590-2024")</f>
        <v/>
      </c>
      <c r="V92">
        <f>HYPERLINK("https://klasma.github.io/Logging_0883/klagomål/A 51590-2024 FSC-klagomål.docx", "A 51590-2024")</f>
        <v/>
      </c>
      <c r="W92">
        <f>HYPERLINK("https://klasma.github.io/Logging_0883/klagomålsmail/A 51590-2024 FSC-klagomål mail.docx", "A 51590-2024")</f>
        <v/>
      </c>
      <c r="X92">
        <f>HYPERLINK("https://klasma.github.io/Logging_0883/tillsyn/A 51590-2024 tillsynsbegäran.docx", "A 51590-2024")</f>
        <v/>
      </c>
      <c r="Y92">
        <f>HYPERLINK("https://klasma.github.io/Logging_0883/tillsynsmail/A 51590-2024 tillsynsbegäran mail.docx", "A 51590-2024")</f>
        <v/>
      </c>
      <c r="Z92">
        <f>HYPERLINK("https://klasma.github.io/Logging_0883/fåglar/A 51590-2024 prioriterade fågelarter.docx", "A 51590-2024")</f>
        <v/>
      </c>
    </row>
    <row r="93" ht="15" customHeight="1">
      <c r="A93" t="inlineStr">
        <is>
          <t>A 37438-2021</t>
        </is>
      </c>
      <c r="B93" s="1" t="n">
        <v>44398</v>
      </c>
      <c r="C93" s="1" t="n">
        <v>46159</v>
      </c>
      <c r="D93" t="inlineStr">
        <is>
          <t>KALMAR LÄN</t>
        </is>
      </c>
      <c r="E93" t="inlineStr">
        <is>
          <t>VÄSTERVIK</t>
        </is>
      </c>
      <c r="G93" t="n">
        <v>14.3</v>
      </c>
      <c r="H93" t="n">
        <v>2</v>
      </c>
      <c r="I93" t="n">
        <v>2</v>
      </c>
      <c r="J93" t="n">
        <v>0</v>
      </c>
      <c r="K93" t="n">
        <v>1</v>
      </c>
      <c r="L93" t="n">
        <v>0</v>
      </c>
      <c r="M93" t="n">
        <v>0</v>
      </c>
      <c r="N93" t="n">
        <v>0</v>
      </c>
      <c r="O93" t="n">
        <v>1</v>
      </c>
      <c r="P93" t="n">
        <v>1</v>
      </c>
      <c r="Q93" t="n">
        <v>4</v>
      </c>
      <c r="R93" s="2" t="inlineStr">
        <is>
          <t>Knärot
Grönpyrola
Kambräken
Tjäder</t>
        </is>
      </c>
      <c r="S93">
        <f>HYPERLINK("https://klasma.github.io/Logging_0883/artfynd/A 37438-2021 artfynd.xlsx", "A 37438-2021")</f>
        <v/>
      </c>
      <c r="T93">
        <f>HYPERLINK("https://klasma.github.io/Logging_0883/kartor/A 37438-2021 karta.png", "A 37438-2021")</f>
        <v/>
      </c>
      <c r="U93">
        <f>HYPERLINK("https://klasma.github.io/Logging_0883/knärot/A 37438-2021 karta knärot.png", "A 37438-2021")</f>
        <v/>
      </c>
      <c r="V93">
        <f>HYPERLINK("https://klasma.github.io/Logging_0883/klagomål/A 37438-2021 FSC-klagomål.docx", "A 37438-2021")</f>
        <v/>
      </c>
      <c r="W93">
        <f>HYPERLINK("https://klasma.github.io/Logging_0883/klagomålsmail/A 37438-2021 FSC-klagomål mail.docx", "A 37438-2021")</f>
        <v/>
      </c>
      <c r="X93">
        <f>HYPERLINK("https://klasma.github.io/Logging_0883/tillsyn/A 37438-2021 tillsynsbegäran.docx", "A 37438-2021")</f>
        <v/>
      </c>
      <c r="Y93">
        <f>HYPERLINK("https://klasma.github.io/Logging_0883/tillsynsmail/A 37438-2021 tillsynsbegäran mail.docx", "A 37438-2021")</f>
        <v/>
      </c>
      <c r="Z93">
        <f>HYPERLINK("https://klasma.github.io/Logging_0883/fåglar/A 37438-2021 prioriterade fågelarter.docx", "A 37438-2021")</f>
        <v/>
      </c>
    </row>
    <row r="94" ht="15" customHeight="1">
      <c r="A94" t="inlineStr">
        <is>
          <t>A 37524-2025</t>
        </is>
      </c>
      <c r="B94" s="1" t="n">
        <v>45877</v>
      </c>
      <c r="C94" s="1" t="n">
        <v>46159</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agg.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53842-2025</t>
        </is>
      </c>
      <c r="B95" s="1" t="n">
        <v>45961.36251157407</v>
      </c>
      <c r="C95" s="1" t="n">
        <v>46159</v>
      </c>
      <c r="D95" t="inlineStr">
        <is>
          <t>KALMAR LÄN</t>
        </is>
      </c>
      <c r="E95" t="inlineStr">
        <is>
          <t>VÄSTERVIK</t>
        </is>
      </c>
      <c r="F95" t="inlineStr">
        <is>
          <t>Sveaskog</t>
        </is>
      </c>
      <c r="G95" t="n">
        <v>4.9</v>
      </c>
      <c r="H95" t="n">
        <v>1</v>
      </c>
      <c r="I95" t="n">
        <v>3</v>
      </c>
      <c r="J95" t="n">
        <v>0</v>
      </c>
      <c r="K95" t="n">
        <v>0</v>
      </c>
      <c r="L95" t="n">
        <v>0</v>
      </c>
      <c r="M95" t="n">
        <v>0</v>
      </c>
      <c r="N95" t="n">
        <v>0</v>
      </c>
      <c r="O95" t="n">
        <v>0</v>
      </c>
      <c r="P95" t="n">
        <v>0</v>
      </c>
      <c r="Q95" t="n">
        <v>4</v>
      </c>
      <c r="R95" s="2" t="inlineStr">
        <is>
          <t>Fällmossa
Platt fjädermossa
Vårärt
Blåsippa</t>
        </is>
      </c>
      <c r="S95">
        <f>HYPERLINK("https://klasma.github.io/Logging_0883/artfynd/A 53842-2025 artfynd.xlsx", "A 53842-2025")</f>
        <v/>
      </c>
      <c r="T95">
        <f>HYPERLINK("https://klasma.github.io/Logging_0883/kartor/A 53842-2025 karta.png", "A 53842-2025")</f>
        <v/>
      </c>
      <c r="V95">
        <f>HYPERLINK("https://klasma.github.io/Logging_0883/klagomål/A 53842-2025 FSC-klagomål.docx", "A 53842-2025")</f>
        <v/>
      </c>
      <c r="W95">
        <f>HYPERLINK("https://klasma.github.io/Logging_0883/klagomålsmail/A 53842-2025 FSC-klagomål mail.docx", "A 53842-2025")</f>
        <v/>
      </c>
      <c r="X95">
        <f>HYPERLINK("https://klasma.github.io/Logging_0883/tillsyn/A 53842-2025 tillsynsbegäran.docx", "A 53842-2025")</f>
        <v/>
      </c>
      <c r="Y95">
        <f>HYPERLINK("https://klasma.github.io/Logging_0883/tillsynsmail/A 53842-2025 tillsynsbegäran mail.docx", "A 53842-2025")</f>
        <v/>
      </c>
    </row>
    <row r="96" ht="15" customHeight="1">
      <c r="A96" t="inlineStr">
        <is>
          <t>A 44635-2021</t>
        </is>
      </c>
      <c r="B96" s="1" t="n">
        <v>44437</v>
      </c>
      <c r="C96" s="1" t="n">
        <v>46159</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61551-2025</t>
        </is>
      </c>
      <c r="B97" s="1" t="n">
        <v>46001.76877314815</v>
      </c>
      <c r="C97" s="1" t="n">
        <v>46159</v>
      </c>
      <c r="D97" t="inlineStr">
        <is>
          <t>KALMAR LÄN</t>
        </is>
      </c>
      <c r="E97" t="inlineStr">
        <is>
          <t>VÄSTERVIK</t>
        </is>
      </c>
      <c r="F97" t="inlineStr">
        <is>
          <t>Sveaskog</t>
        </is>
      </c>
      <c r="G97" t="n">
        <v>10.4</v>
      </c>
      <c r="H97" t="n">
        <v>3</v>
      </c>
      <c r="I97" t="n">
        <v>0</v>
      </c>
      <c r="J97" t="n">
        <v>3</v>
      </c>
      <c r="K97" t="n">
        <v>0</v>
      </c>
      <c r="L97" t="n">
        <v>0</v>
      </c>
      <c r="M97" t="n">
        <v>0</v>
      </c>
      <c r="N97" t="n">
        <v>0</v>
      </c>
      <c r="O97" t="n">
        <v>3</v>
      </c>
      <c r="P97" t="n">
        <v>0</v>
      </c>
      <c r="Q97" t="n">
        <v>4</v>
      </c>
      <c r="R97" s="2" t="inlineStr">
        <is>
          <t>Ekticka
Havsörn
Talltita
Kungsfågel</t>
        </is>
      </c>
      <c r="S97">
        <f>HYPERLINK("https://klasma.github.io/Logging_0883/artfynd/A 61551-2025 artfynd.xlsx", "A 61551-2025")</f>
        <v/>
      </c>
      <c r="T97">
        <f>HYPERLINK("https://klasma.github.io/Logging_0883/kartor/A 61551-2025 karta.png", "A 61551-2025")</f>
        <v/>
      </c>
      <c r="V97">
        <f>HYPERLINK("https://klasma.github.io/Logging_0883/klagomål/A 61551-2025 FSC-klagomål.docx", "A 61551-2025")</f>
        <v/>
      </c>
      <c r="W97">
        <f>HYPERLINK("https://klasma.github.io/Logging_0883/klagomålsmail/A 61551-2025 FSC-klagomål mail.docx", "A 61551-2025")</f>
        <v/>
      </c>
      <c r="X97">
        <f>HYPERLINK("https://klasma.github.io/Logging_0883/tillsyn/A 61551-2025 tillsynsbegäran.docx", "A 61551-2025")</f>
        <v/>
      </c>
      <c r="Y97">
        <f>HYPERLINK("https://klasma.github.io/Logging_0883/tillsynsmail/A 61551-2025 tillsynsbegäran mail.docx", "A 61551-2025")</f>
        <v/>
      </c>
      <c r="Z97">
        <f>HYPERLINK("https://klasma.github.io/Logging_0883/fåglar/A 61551-2025 prioriterade fågelarter.docx", "A 61551-2025")</f>
        <v/>
      </c>
    </row>
    <row r="98" ht="15" customHeight="1">
      <c r="A98" t="inlineStr">
        <is>
          <t>A 20366-2024</t>
        </is>
      </c>
      <c r="B98" s="1" t="n">
        <v>45435</v>
      </c>
      <c r="C98" s="1" t="n">
        <v>46159</v>
      </c>
      <c r="D98" t="inlineStr">
        <is>
          <t>KALMAR LÄN</t>
        </is>
      </c>
      <c r="E98" t="inlineStr">
        <is>
          <t>VÄSTERVIK</t>
        </is>
      </c>
      <c r="G98" t="n">
        <v>0.8</v>
      </c>
      <c r="H98" t="n">
        <v>3</v>
      </c>
      <c r="I98" t="n">
        <v>1</v>
      </c>
      <c r="J98" t="n">
        <v>3</v>
      </c>
      <c r="K98" t="n">
        <v>0</v>
      </c>
      <c r="L98" t="n">
        <v>0</v>
      </c>
      <c r="M98" t="n">
        <v>0</v>
      </c>
      <c r="N98" t="n">
        <v>0</v>
      </c>
      <c r="O98" t="n">
        <v>3</v>
      </c>
      <c r="P98" t="n">
        <v>0</v>
      </c>
      <c r="Q98" t="n">
        <v>4</v>
      </c>
      <c r="R98" s="2" t="inlineStr">
        <is>
          <t>Entita
Spillkråka
Tallticka
Purpurknipprot</t>
        </is>
      </c>
      <c r="S98">
        <f>HYPERLINK("https://klasma.github.io/Logging_0883/artfynd/A 20366-2024 artfynd.xlsx", "A 20366-2024")</f>
        <v/>
      </c>
      <c r="T98">
        <f>HYPERLINK("https://klasma.github.io/Logging_0883/kartor/A 20366-2024 karta.png", "A 20366-2024")</f>
        <v/>
      </c>
      <c r="V98">
        <f>HYPERLINK("https://klasma.github.io/Logging_0883/klagomål/A 20366-2024 FSC-klagomål.docx", "A 20366-2024")</f>
        <v/>
      </c>
      <c r="W98">
        <f>HYPERLINK("https://klasma.github.io/Logging_0883/klagomålsmail/A 20366-2024 FSC-klagomål mail.docx", "A 20366-2024")</f>
        <v/>
      </c>
      <c r="X98">
        <f>HYPERLINK("https://klasma.github.io/Logging_0883/tillsyn/A 20366-2024 tillsynsbegäran.docx", "A 20366-2024")</f>
        <v/>
      </c>
      <c r="Y98">
        <f>HYPERLINK("https://klasma.github.io/Logging_0883/tillsynsmail/A 20366-2024 tillsynsbegäran mail.docx", "A 20366-2024")</f>
        <v/>
      </c>
      <c r="Z98">
        <f>HYPERLINK("https://klasma.github.io/Logging_0883/fåglar/A 20366-2024 prioriterade fågelarter.docx", "A 20366-2024")</f>
        <v/>
      </c>
    </row>
    <row r="99" ht="15" customHeight="1">
      <c r="A99" t="inlineStr">
        <is>
          <t>A 18214-2026</t>
        </is>
      </c>
      <c r="B99" s="1" t="n">
        <v>46126.27292824074</v>
      </c>
      <c r="C99" s="1" t="n">
        <v>46159</v>
      </c>
      <c r="D99" t="inlineStr">
        <is>
          <t>KALMAR LÄN</t>
        </is>
      </c>
      <c r="E99" t="inlineStr">
        <is>
          <t>VÄSTERVIK</t>
        </is>
      </c>
      <c r="G99" t="n">
        <v>0.7</v>
      </c>
      <c r="H99" t="n">
        <v>2</v>
      </c>
      <c r="I99" t="n">
        <v>0</v>
      </c>
      <c r="J99" t="n">
        <v>1</v>
      </c>
      <c r="K99" t="n">
        <v>1</v>
      </c>
      <c r="L99" t="n">
        <v>0</v>
      </c>
      <c r="M99" t="n">
        <v>0</v>
      </c>
      <c r="N99" t="n">
        <v>0</v>
      </c>
      <c r="O99" t="n">
        <v>2</v>
      </c>
      <c r="P99" t="n">
        <v>1</v>
      </c>
      <c r="Q99" t="n">
        <v>4</v>
      </c>
      <c r="R99" s="2" t="inlineStr">
        <is>
          <t>Rynkskinn
Ullticka
Gröngöling
Blåsippa</t>
        </is>
      </c>
      <c r="S99">
        <f>HYPERLINK("https://klasma.github.io/Logging_0883/artfynd/A 18214-2026 artfynd.xlsx", "A 18214-2026")</f>
        <v/>
      </c>
      <c r="T99">
        <f>HYPERLINK("https://klasma.github.io/Logging_0883/kartor/A 18214-2026 karta.png", "A 18214-2026")</f>
        <v/>
      </c>
      <c r="U99">
        <f>HYPERLINK("https://klasma.github.io/Logging_0883/knärot/A 18214-2026 karta knärot.png", "A 18214-2026")</f>
        <v/>
      </c>
      <c r="V99">
        <f>HYPERLINK("https://klasma.github.io/Logging_0883/klagomål/A 18214-2026 FSC-klagomål.docx", "A 18214-2026")</f>
        <v/>
      </c>
      <c r="W99">
        <f>HYPERLINK("https://klasma.github.io/Logging_0883/klagomålsmail/A 18214-2026 FSC-klagomål mail.docx", "A 18214-2026")</f>
        <v/>
      </c>
      <c r="X99">
        <f>HYPERLINK("https://klasma.github.io/Logging_0883/tillsyn/A 18214-2026 tillsynsbegäran.docx", "A 18214-2026")</f>
        <v/>
      </c>
      <c r="Y99">
        <f>HYPERLINK("https://klasma.github.io/Logging_0883/tillsynsmail/A 18214-2026 tillsynsbegäran mail.docx", "A 18214-2026")</f>
        <v/>
      </c>
      <c r="Z99">
        <f>HYPERLINK("https://klasma.github.io/Logging_0883/fåglar/A 18214-2026 prioriterade fågelarter.docx", "A 18214-2026")</f>
        <v/>
      </c>
    </row>
    <row r="100" ht="15" customHeight="1">
      <c r="A100" t="inlineStr">
        <is>
          <t>A 15162-2026</t>
        </is>
      </c>
      <c r="B100" s="1" t="n">
        <v>46105.43326388889</v>
      </c>
      <c r="C100" s="1" t="n">
        <v>46159</v>
      </c>
      <c r="D100" t="inlineStr">
        <is>
          <t>KALMAR LÄN</t>
        </is>
      </c>
      <c r="E100" t="inlineStr">
        <is>
          <t>VÄSTERVIK</t>
        </is>
      </c>
      <c r="F100" t="inlineStr">
        <is>
          <t>Sveaskog</t>
        </is>
      </c>
      <c r="G100" t="n">
        <v>1.4</v>
      </c>
      <c r="H100" t="n">
        <v>4</v>
      </c>
      <c r="I100" t="n">
        <v>0</v>
      </c>
      <c r="J100" t="n">
        <v>3</v>
      </c>
      <c r="K100" t="n">
        <v>0</v>
      </c>
      <c r="L100" t="n">
        <v>0</v>
      </c>
      <c r="M100" t="n">
        <v>0</v>
      </c>
      <c r="N100" t="n">
        <v>0</v>
      </c>
      <c r="O100" t="n">
        <v>3</v>
      </c>
      <c r="P100" t="n">
        <v>0</v>
      </c>
      <c r="Q100" t="n">
        <v>4</v>
      </c>
      <c r="R100" s="2" t="inlineStr">
        <is>
          <t>Kråka
Mindre hackspett
Spillkråka
Grönsiska</t>
        </is>
      </c>
      <c r="S100">
        <f>HYPERLINK("https://klasma.github.io/Logging_0883/artfynd/A 15162-2026 artfynd.xlsx", "A 15162-2026")</f>
        <v/>
      </c>
      <c r="T100">
        <f>HYPERLINK("https://klasma.github.io/Logging_0883/kartor/A 15162-2026 karta.png", "A 15162-2026")</f>
        <v/>
      </c>
      <c r="V100">
        <f>HYPERLINK("https://klasma.github.io/Logging_0883/klagomål/A 15162-2026 FSC-klagomål.docx", "A 15162-2026")</f>
        <v/>
      </c>
      <c r="W100">
        <f>HYPERLINK("https://klasma.github.io/Logging_0883/klagomålsmail/A 15162-2026 FSC-klagomål mail.docx", "A 15162-2026")</f>
        <v/>
      </c>
      <c r="X100">
        <f>HYPERLINK("https://klasma.github.io/Logging_0883/tillsyn/A 15162-2026 tillsynsbegäran.docx", "A 15162-2026")</f>
        <v/>
      </c>
      <c r="Y100">
        <f>HYPERLINK("https://klasma.github.io/Logging_0883/tillsynsmail/A 15162-2026 tillsynsbegäran mail.docx", "A 15162-2026")</f>
        <v/>
      </c>
      <c r="Z100">
        <f>HYPERLINK("https://klasma.github.io/Logging_0883/fåglar/A 15162-2026 prioriterade fågelarter.docx", "A 15162-2026")</f>
        <v/>
      </c>
    </row>
    <row r="101" ht="15" customHeight="1">
      <c r="A101" t="inlineStr">
        <is>
          <t>A 54233-2023</t>
        </is>
      </c>
      <c r="B101" s="1" t="n">
        <v>45232</v>
      </c>
      <c r="C101" s="1" t="n">
        <v>46159</v>
      </c>
      <c r="D101" t="inlineStr">
        <is>
          <t>KALMAR LÄN</t>
        </is>
      </c>
      <c r="E101" t="inlineStr">
        <is>
          <t>VÄSTERVIK</t>
        </is>
      </c>
      <c r="G101" t="n">
        <v>1.9</v>
      </c>
      <c r="H101" t="n">
        <v>2</v>
      </c>
      <c r="I101" t="n">
        <v>1</v>
      </c>
      <c r="J101" t="n">
        <v>2</v>
      </c>
      <c r="K101" t="n">
        <v>1</v>
      </c>
      <c r="L101" t="n">
        <v>0</v>
      </c>
      <c r="M101" t="n">
        <v>0</v>
      </c>
      <c r="N101" t="n">
        <v>0</v>
      </c>
      <c r="O101" t="n">
        <v>3</v>
      </c>
      <c r="P101" t="n">
        <v>1</v>
      </c>
      <c r="Q101" t="n">
        <v>4</v>
      </c>
      <c r="R101" s="2" t="inlineStr">
        <is>
          <t>Knärot
Tallticka
Talltita
Blåmossa</t>
        </is>
      </c>
      <c r="S101">
        <f>HYPERLINK("https://klasma.github.io/Logging_0883/artfynd/A 54233-2023 artfynd.xlsx", "A 54233-2023")</f>
        <v/>
      </c>
      <c r="T101">
        <f>HYPERLINK("https://klasma.github.io/Logging_0883/kartor/A 54233-2023 karta.png", "A 54233-2023")</f>
        <v/>
      </c>
      <c r="U101">
        <f>HYPERLINK("https://klasma.github.io/Logging_0883/knärot/A 54233-2023 karta knärot.png", "A 54233-2023")</f>
        <v/>
      </c>
      <c r="V101">
        <f>HYPERLINK("https://klasma.github.io/Logging_0883/klagomål/A 54233-2023 FSC-klagomål.docx", "A 54233-2023")</f>
        <v/>
      </c>
      <c r="W101">
        <f>HYPERLINK("https://klasma.github.io/Logging_0883/klagomålsmail/A 54233-2023 FSC-klagomål mail.docx", "A 54233-2023")</f>
        <v/>
      </c>
      <c r="X101">
        <f>HYPERLINK("https://klasma.github.io/Logging_0883/tillsyn/A 54233-2023 tillsynsbegäran.docx", "A 54233-2023")</f>
        <v/>
      </c>
      <c r="Y101">
        <f>HYPERLINK("https://klasma.github.io/Logging_0883/tillsynsmail/A 54233-2023 tillsynsbegäran mail.docx", "A 54233-2023")</f>
        <v/>
      </c>
      <c r="Z101">
        <f>HYPERLINK("https://klasma.github.io/Logging_0883/fåglar/A 54233-2023 prioriterade fågelarter.docx", "A 54233-2023")</f>
        <v/>
      </c>
    </row>
    <row r="102" ht="15" customHeight="1">
      <c r="A102" t="inlineStr">
        <is>
          <t>A 63366-2023</t>
        </is>
      </c>
      <c r="B102" s="1" t="n">
        <v>45274</v>
      </c>
      <c r="C102" s="1" t="n">
        <v>46159</v>
      </c>
      <c r="D102" t="inlineStr">
        <is>
          <t>KALMAR LÄN</t>
        </is>
      </c>
      <c r="E102" t="inlineStr">
        <is>
          <t>VÄSTERVIK</t>
        </is>
      </c>
      <c r="G102" t="n">
        <v>4.1</v>
      </c>
      <c r="H102" t="n">
        <v>3</v>
      </c>
      <c r="I102" t="n">
        <v>0</v>
      </c>
      <c r="J102" t="n">
        <v>3</v>
      </c>
      <c r="K102" t="n">
        <v>1</v>
      </c>
      <c r="L102" t="n">
        <v>0</v>
      </c>
      <c r="M102" t="n">
        <v>0</v>
      </c>
      <c r="N102" t="n">
        <v>0</v>
      </c>
      <c r="O102" t="n">
        <v>4</v>
      </c>
      <c r="P102" t="n">
        <v>1</v>
      </c>
      <c r="Q102" t="n">
        <v>4</v>
      </c>
      <c r="R102" s="2" t="inlineStr">
        <is>
          <t>Knärot
Spillkråka
Tallticka
Talltita</t>
        </is>
      </c>
      <c r="S102">
        <f>HYPERLINK("https://klasma.github.io/Logging_0883/artfynd/A 63366-2023 artfynd.xlsx", "A 63366-2023")</f>
        <v/>
      </c>
      <c r="T102">
        <f>HYPERLINK("https://klasma.github.io/Logging_0883/kartor/A 63366-2023 karta.png", "A 63366-2023")</f>
        <v/>
      </c>
      <c r="U102">
        <f>HYPERLINK("https://klasma.github.io/Logging_0883/knärot/A 63366-2023 karta knärot.png", "A 63366-2023")</f>
        <v/>
      </c>
      <c r="V102">
        <f>HYPERLINK("https://klasma.github.io/Logging_0883/klagomål/A 63366-2023 FSC-klagomål.docx", "A 63366-2023")</f>
        <v/>
      </c>
      <c r="W102">
        <f>HYPERLINK("https://klasma.github.io/Logging_0883/klagomålsmail/A 63366-2023 FSC-klagomål mail.docx", "A 63366-2023")</f>
        <v/>
      </c>
      <c r="X102">
        <f>HYPERLINK("https://klasma.github.io/Logging_0883/tillsyn/A 63366-2023 tillsynsbegäran.docx", "A 63366-2023")</f>
        <v/>
      </c>
      <c r="Y102">
        <f>HYPERLINK("https://klasma.github.io/Logging_0883/tillsynsmail/A 63366-2023 tillsynsbegäran mail.docx", "A 63366-2023")</f>
        <v/>
      </c>
      <c r="Z102">
        <f>HYPERLINK("https://klasma.github.io/Logging_0883/fåglar/A 63366-2023 prioriterade fågelarter.docx", "A 63366-2023")</f>
        <v/>
      </c>
    </row>
    <row r="103" ht="15" customHeight="1">
      <c r="A103" t="inlineStr">
        <is>
          <t>A 59319-2023</t>
        </is>
      </c>
      <c r="B103" s="1" t="n">
        <v>45253</v>
      </c>
      <c r="C103" s="1" t="n">
        <v>46159</v>
      </c>
      <c r="D103" t="inlineStr">
        <is>
          <t>KALMAR LÄN</t>
        </is>
      </c>
      <c r="E103" t="inlineStr">
        <is>
          <t>VÄSTERVIK</t>
        </is>
      </c>
      <c r="G103" t="n">
        <v>1</v>
      </c>
      <c r="H103" t="n">
        <v>1</v>
      </c>
      <c r="I103" t="n">
        <v>2</v>
      </c>
      <c r="J103" t="n">
        <v>0</v>
      </c>
      <c r="K103" t="n">
        <v>1</v>
      </c>
      <c r="L103" t="n">
        <v>1</v>
      </c>
      <c r="M103" t="n">
        <v>0</v>
      </c>
      <c r="N103" t="n">
        <v>0</v>
      </c>
      <c r="O103" t="n">
        <v>2</v>
      </c>
      <c r="P103" t="n">
        <v>2</v>
      </c>
      <c r="Q103" t="n">
        <v>4</v>
      </c>
      <c r="R103" s="2" t="inlineStr">
        <is>
          <t>Tallharticka
Knärot
Blomkålssvamp
Grönpyrola</t>
        </is>
      </c>
      <c r="S103">
        <f>HYPERLINK("https://klasma.github.io/Logging_0883/artfynd/A 59319-2023 artfynd.xlsx", "A 59319-2023")</f>
        <v/>
      </c>
      <c r="T103">
        <f>HYPERLINK("https://klasma.github.io/Logging_0883/kartor/A 59319-2023 karta.png", "A 59319-2023")</f>
        <v/>
      </c>
      <c r="U103">
        <f>HYPERLINK("https://klasma.github.io/Logging_0883/knärot/A 59319-2023 karta knärot.png", "A 59319-2023")</f>
        <v/>
      </c>
      <c r="V103">
        <f>HYPERLINK("https://klasma.github.io/Logging_0883/klagomål/A 59319-2023 FSC-klagomål.docx", "A 59319-2023")</f>
        <v/>
      </c>
      <c r="W103">
        <f>HYPERLINK("https://klasma.github.io/Logging_0883/klagomålsmail/A 59319-2023 FSC-klagomål mail.docx", "A 59319-2023")</f>
        <v/>
      </c>
      <c r="X103">
        <f>HYPERLINK("https://klasma.github.io/Logging_0883/tillsyn/A 59319-2023 tillsynsbegäran.docx", "A 59319-2023")</f>
        <v/>
      </c>
      <c r="Y103">
        <f>HYPERLINK("https://klasma.github.io/Logging_0883/tillsynsmail/A 59319-2023 tillsynsbegäran mail.docx", "A 59319-2023")</f>
        <v/>
      </c>
    </row>
    <row r="104" ht="15" customHeight="1">
      <c r="A104" t="inlineStr">
        <is>
          <t>A 27067-2024</t>
        </is>
      </c>
      <c r="B104" s="1" t="n">
        <v>45471</v>
      </c>
      <c r="C104" s="1" t="n">
        <v>46159</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433-2026</t>
        </is>
      </c>
      <c r="B105" s="1" t="n">
        <v>46029.32555555556</v>
      </c>
      <c r="C105" s="1" t="n">
        <v>46159</v>
      </c>
      <c r="D105" t="inlineStr">
        <is>
          <t>KALMAR LÄN</t>
        </is>
      </c>
      <c r="E105" t="inlineStr">
        <is>
          <t>VÄSTERVIK</t>
        </is>
      </c>
      <c r="G105" t="n">
        <v>4.6</v>
      </c>
      <c r="H105" t="n">
        <v>1</v>
      </c>
      <c r="I105" t="n">
        <v>1</v>
      </c>
      <c r="J105" t="n">
        <v>1</v>
      </c>
      <c r="K105" t="n">
        <v>0</v>
      </c>
      <c r="L105" t="n">
        <v>0</v>
      </c>
      <c r="M105" t="n">
        <v>0</v>
      </c>
      <c r="N105" t="n">
        <v>0</v>
      </c>
      <c r="O105" t="n">
        <v>1</v>
      </c>
      <c r="P105" t="n">
        <v>0</v>
      </c>
      <c r="Q105" t="n">
        <v>3</v>
      </c>
      <c r="R105" s="2" t="inlineStr">
        <is>
          <t>Slåtterfibbla
Grovticka
Grönvit nattviol</t>
        </is>
      </c>
      <c r="S105">
        <f>HYPERLINK("https://klasma.github.io/Logging_0883/artfynd/A 433-2026 artfynd.xlsx", "A 433-2026")</f>
        <v/>
      </c>
      <c r="T105">
        <f>HYPERLINK("https://klasma.github.io/Logging_0883/kartor/A 433-2026 karta.png", "A 433-2026")</f>
        <v/>
      </c>
      <c r="V105">
        <f>HYPERLINK("https://klasma.github.io/Logging_0883/klagomål/A 433-2026 FSC-klagomål.docx", "A 433-2026")</f>
        <v/>
      </c>
      <c r="W105">
        <f>HYPERLINK("https://klasma.github.io/Logging_0883/klagomålsmail/A 433-2026 FSC-klagomål mail.docx", "A 433-2026")</f>
        <v/>
      </c>
      <c r="X105">
        <f>HYPERLINK("https://klasma.github.io/Logging_0883/tillsyn/A 433-2026 tillsynsbegäran.docx", "A 433-2026")</f>
        <v/>
      </c>
      <c r="Y105">
        <f>HYPERLINK("https://klasma.github.io/Logging_0883/tillsynsmail/A 433-2026 tillsynsbegäran mail.docx", "A 433-2026")</f>
        <v/>
      </c>
    </row>
    <row r="106" ht="15" customHeight="1">
      <c r="A106" t="inlineStr">
        <is>
          <t>A 39190-2024</t>
        </is>
      </c>
      <c r="B106" s="1" t="n">
        <v>45548</v>
      </c>
      <c r="C106" s="1" t="n">
        <v>46159</v>
      </c>
      <c r="D106" t="inlineStr">
        <is>
          <t>KALMAR LÄN</t>
        </is>
      </c>
      <c r="E106" t="inlineStr">
        <is>
          <t>VÄSTERVIK</t>
        </is>
      </c>
      <c r="G106" t="n">
        <v>1.7</v>
      </c>
      <c r="H106" t="n">
        <v>2</v>
      </c>
      <c r="I106" t="n">
        <v>0</v>
      </c>
      <c r="J106" t="n">
        <v>2</v>
      </c>
      <c r="K106" t="n">
        <v>1</v>
      </c>
      <c r="L106" t="n">
        <v>0</v>
      </c>
      <c r="M106" t="n">
        <v>0</v>
      </c>
      <c r="N106" t="n">
        <v>0</v>
      </c>
      <c r="O106" t="n">
        <v>3</v>
      </c>
      <c r="P106" t="n">
        <v>1</v>
      </c>
      <c r="Q106" t="n">
        <v>3</v>
      </c>
      <c r="R106" s="2" t="inlineStr">
        <is>
          <t>Knärot
Svart taggsvamp agg.
Talltita</t>
        </is>
      </c>
      <c r="S106">
        <f>HYPERLINK("https://klasma.github.io/Logging_0883/artfynd/A 39190-2024 artfynd.xlsx", "A 39190-2024")</f>
        <v/>
      </c>
      <c r="T106">
        <f>HYPERLINK("https://klasma.github.io/Logging_0883/kartor/A 39190-2024 karta.png", "A 39190-2024")</f>
        <v/>
      </c>
      <c r="U106">
        <f>HYPERLINK("https://klasma.github.io/Logging_0883/knärot/A 39190-2024 karta knärot.png", "A 39190-2024")</f>
        <v/>
      </c>
      <c r="V106">
        <f>HYPERLINK("https://klasma.github.io/Logging_0883/klagomål/A 39190-2024 FSC-klagomål.docx", "A 39190-2024")</f>
        <v/>
      </c>
      <c r="W106">
        <f>HYPERLINK("https://klasma.github.io/Logging_0883/klagomålsmail/A 39190-2024 FSC-klagomål mail.docx", "A 39190-2024")</f>
        <v/>
      </c>
      <c r="X106">
        <f>HYPERLINK("https://klasma.github.io/Logging_0883/tillsyn/A 39190-2024 tillsynsbegäran.docx", "A 39190-2024")</f>
        <v/>
      </c>
      <c r="Y106">
        <f>HYPERLINK("https://klasma.github.io/Logging_0883/tillsynsmail/A 39190-2024 tillsynsbegäran mail.docx", "A 39190-2024")</f>
        <v/>
      </c>
      <c r="Z106">
        <f>HYPERLINK("https://klasma.github.io/Logging_0883/fåglar/A 39190-2024 prioriterade fågelarter.docx", "A 39190-2024")</f>
        <v/>
      </c>
    </row>
    <row r="107" ht="15" customHeight="1">
      <c r="A107" t="inlineStr">
        <is>
          <t>A 56080-2025</t>
        </is>
      </c>
      <c r="B107" s="1" t="n">
        <v>45973</v>
      </c>
      <c r="C107" s="1" t="n">
        <v>46159</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56336-2025</t>
        </is>
      </c>
      <c r="B108" s="1" t="n">
        <v>45974</v>
      </c>
      <c r="C108" s="1" t="n">
        <v>46159</v>
      </c>
      <c r="D108" t="inlineStr">
        <is>
          <t>KALMAR LÄN</t>
        </is>
      </c>
      <c r="E108" t="inlineStr">
        <is>
          <t>VÄSTERVIK</t>
        </is>
      </c>
      <c r="F108" t="inlineStr">
        <is>
          <t>Holmen skog AB</t>
        </is>
      </c>
      <c r="G108" t="n">
        <v>2.2</v>
      </c>
      <c r="H108" t="n">
        <v>0</v>
      </c>
      <c r="I108" t="n">
        <v>1</v>
      </c>
      <c r="J108" t="n">
        <v>2</v>
      </c>
      <c r="K108" t="n">
        <v>0</v>
      </c>
      <c r="L108" t="n">
        <v>0</v>
      </c>
      <c r="M108" t="n">
        <v>0</v>
      </c>
      <c r="N108" t="n">
        <v>0</v>
      </c>
      <c r="O108" t="n">
        <v>2</v>
      </c>
      <c r="P108" t="n">
        <v>0</v>
      </c>
      <c r="Q108" t="n">
        <v>3</v>
      </c>
      <c r="R108" s="2" t="inlineStr">
        <is>
          <t>Tallticka
Ullticka
Blåmossa</t>
        </is>
      </c>
      <c r="S108">
        <f>HYPERLINK("https://klasma.github.io/Logging_0883/artfynd/A 56336-2025 artfynd.xlsx", "A 56336-2025")</f>
        <v/>
      </c>
      <c r="T108">
        <f>HYPERLINK("https://klasma.github.io/Logging_0883/kartor/A 56336-2025 karta.png", "A 56336-2025")</f>
        <v/>
      </c>
      <c r="V108">
        <f>HYPERLINK("https://klasma.github.io/Logging_0883/klagomål/A 56336-2025 FSC-klagomål.docx", "A 56336-2025")</f>
        <v/>
      </c>
      <c r="W108">
        <f>HYPERLINK("https://klasma.github.io/Logging_0883/klagomålsmail/A 56336-2025 FSC-klagomål mail.docx", "A 56336-2025")</f>
        <v/>
      </c>
      <c r="X108">
        <f>HYPERLINK("https://klasma.github.io/Logging_0883/tillsyn/A 56336-2025 tillsynsbegäran.docx", "A 56336-2025")</f>
        <v/>
      </c>
      <c r="Y108">
        <f>HYPERLINK("https://klasma.github.io/Logging_0883/tillsynsmail/A 56336-2025 tillsynsbegäran mail.docx", "A 56336-2025")</f>
        <v/>
      </c>
    </row>
    <row r="109" ht="15" customHeight="1">
      <c r="A109" t="inlineStr">
        <is>
          <t>A 4306-2026</t>
        </is>
      </c>
      <c r="B109" s="1" t="n">
        <v>46045.43553240741</v>
      </c>
      <c r="C109" s="1" t="n">
        <v>46159</v>
      </c>
      <c r="D109" t="inlineStr">
        <is>
          <t>KALMAR LÄN</t>
        </is>
      </c>
      <c r="E109" t="inlineStr">
        <is>
          <t>VÄSTERVIK</t>
        </is>
      </c>
      <c r="F109" t="inlineStr">
        <is>
          <t>Övriga Aktiebolag</t>
        </is>
      </c>
      <c r="G109" t="n">
        <v>2.9</v>
      </c>
      <c r="H109" t="n">
        <v>3</v>
      </c>
      <c r="I109" t="n">
        <v>0</v>
      </c>
      <c r="J109" t="n">
        <v>1</v>
      </c>
      <c r="K109" t="n">
        <v>0</v>
      </c>
      <c r="L109" t="n">
        <v>0</v>
      </c>
      <c r="M109" t="n">
        <v>0</v>
      </c>
      <c r="N109" t="n">
        <v>0</v>
      </c>
      <c r="O109" t="n">
        <v>1</v>
      </c>
      <c r="P109" t="n">
        <v>0</v>
      </c>
      <c r="Q109" t="n">
        <v>3</v>
      </c>
      <c r="R109" s="2" t="inlineStr">
        <is>
          <t>Talltita
Kungsfågel
Mattlummer</t>
        </is>
      </c>
      <c r="S109">
        <f>HYPERLINK("https://klasma.github.io/Logging_0883/artfynd/A 4306-2026 artfynd.xlsx", "A 4306-2026")</f>
        <v/>
      </c>
      <c r="T109">
        <f>HYPERLINK("https://klasma.github.io/Logging_0883/kartor/A 4306-2026 karta.png", "A 4306-2026")</f>
        <v/>
      </c>
      <c r="V109">
        <f>HYPERLINK("https://klasma.github.io/Logging_0883/klagomål/A 4306-2026 FSC-klagomål.docx", "A 4306-2026")</f>
        <v/>
      </c>
      <c r="W109">
        <f>HYPERLINK("https://klasma.github.io/Logging_0883/klagomålsmail/A 4306-2026 FSC-klagomål mail.docx", "A 4306-2026")</f>
        <v/>
      </c>
      <c r="X109">
        <f>HYPERLINK("https://klasma.github.io/Logging_0883/tillsyn/A 4306-2026 tillsynsbegäran.docx", "A 4306-2026")</f>
        <v/>
      </c>
      <c r="Y109">
        <f>HYPERLINK("https://klasma.github.io/Logging_0883/tillsynsmail/A 4306-2026 tillsynsbegäran mail.docx", "A 4306-2026")</f>
        <v/>
      </c>
      <c r="Z109">
        <f>HYPERLINK("https://klasma.github.io/Logging_0883/fåglar/A 4306-2026 prioriterade fågelarter.docx", "A 4306-2026")</f>
        <v/>
      </c>
    </row>
    <row r="110" ht="15" customHeight="1">
      <c r="A110" t="inlineStr">
        <is>
          <t>A 21658-2025</t>
        </is>
      </c>
      <c r="B110" s="1" t="n">
        <v>45783.45474537037</v>
      </c>
      <c r="C110" s="1" t="n">
        <v>46159</v>
      </c>
      <c r="D110" t="inlineStr">
        <is>
          <t>KALMAR LÄN</t>
        </is>
      </c>
      <c r="E110" t="inlineStr">
        <is>
          <t>VÄSTERVIK</t>
        </is>
      </c>
      <c r="F110" t="inlineStr">
        <is>
          <t>Sveaskog</t>
        </is>
      </c>
      <c r="G110" t="n">
        <v>4</v>
      </c>
      <c r="H110" t="n">
        <v>3</v>
      </c>
      <c r="I110" t="n">
        <v>0</v>
      </c>
      <c r="J110" t="n">
        <v>2</v>
      </c>
      <c r="K110" t="n">
        <v>0</v>
      </c>
      <c r="L110" t="n">
        <v>0</v>
      </c>
      <c r="M110" t="n">
        <v>0</v>
      </c>
      <c r="N110" t="n">
        <v>0</v>
      </c>
      <c r="O110" t="n">
        <v>2</v>
      </c>
      <c r="P110" t="n">
        <v>0</v>
      </c>
      <c r="Q110" t="n">
        <v>3</v>
      </c>
      <c r="R110" s="2" t="inlineStr">
        <is>
          <t>Mindre hackspett
Talltita
Kungsfågel</t>
        </is>
      </c>
      <c r="S110">
        <f>HYPERLINK("https://klasma.github.io/Logging_0883/artfynd/A 21658-2025 artfynd.xlsx", "A 21658-2025")</f>
        <v/>
      </c>
      <c r="T110">
        <f>HYPERLINK("https://klasma.github.io/Logging_0883/kartor/A 21658-2025 karta.png", "A 21658-2025")</f>
        <v/>
      </c>
      <c r="V110">
        <f>HYPERLINK("https://klasma.github.io/Logging_0883/klagomål/A 21658-2025 FSC-klagomål.docx", "A 21658-2025")</f>
        <v/>
      </c>
      <c r="W110">
        <f>HYPERLINK("https://klasma.github.io/Logging_0883/klagomålsmail/A 21658-2025 FSC-klagomål mail.docx", "A 21658-2025")</f>
        <v/>
      </c>
      <c r="X110">
        <f>HYPERLINK("https://klasma.github.io/Logging_0883/tillsyn/A 21658-2025 tillsynsbegäran.docx", "A 21658-2025")</f>
        <v/>
      </c>
      <c r="Y110">
        <f>HYPERLINK("https://klasma.github.io/Logging_0883/tillsynsmail/A 21658-2025 tillsynsbegäran mail.docx", "A 21658-2025")</f>
        <v/>
      </c>
      <c r="Z110">
        <f>HYPERLINK("https://klasma.github.io/Logging_0883/fåglar/A 21658-2025 prioriterade fågelarter.docx", "A 21658-2025")</f>
        <v/>
      </c>
    </row>
    <row r="111" ht="15" customHeight="1">
      <c r="A111" t="inlineStr">
        <is>
          <t>A 16948-2024</t>
        </is>
      </c>
      <c r="B111" s="1" t="n">
        <v>45411</v>
      </c>
      <c r="C111" s="1" t="n">
        <v>46159</v>
      </c>
      <c r="D111" t="inlineStr">
        <is>
          <t>KALMAR LÄN</t>
        </is>
      </c>
      <c r="E111" t="inlineStr">
        <is>
          <t>VÄSTERVIK</t>
        </is>
      </c>
      <c r="G111" t="n">
        <v>13.3</v>
      </c>
      <c r="H111" t="n">
        <v>2</v>
      </c>
      <c r="I111" t="n">
        <v>0</v>
      </c>
      <c r="J111" t="n">
        <v>2</v>
      </c>
      <c r="K111" t="n">
        <v>1</v>
      </c>
      <c r="L111" t="n">
        <v>0</v>
      </c>
      <c r="M111" t="n">
        <v>0</v>
      </c>
      <c r="N111" t="n">
        <v>0</v>
      </c>
      <c r="O111" t="n">
        <v>3</v>
      </c>
      <c r="P111" t="n">
        <v>1</v>
      </c>
      <c r="Q111" t="n">
        <v>3</v>
      </c>
      <c r="R111" s="2" t="inlineStr">
        <is>
          <t>Knärot
Spillkråka
Tallticka</t>
        </is>
      </c>
      <c r="S111">
        <f>HYPERLINK("https://klasma.github.io/Logging_0883/artfynd/A 16948-2024 artfynd.xlsx", "A 16948-2024")</f>
        <v/>
      </c>
      <c r="T111">
        <f>HYPERLINK("https://klasma.github.io/Logging_0883/kartor/A 16948-2024 karta.png", "A 16948-2024")</f>
        <v/>
      </c>
      <c r="U111">
        <f>HYPERLINK("https://klasma.github.io/Logging_0883/knärot/A 16948-2024 karta knärot.png", "A 16948-2024")</f>
        <v/>
      </c>
      <c r="V111">
        <f>HYPERLINK("https://klasma.github.io/Logging_0883/klagomål/A 16948-2024 FSC-klagomål.docx", "A 16948-2024")</f>
        <v/>
      </c>
      <c r="W111">
        <f>HYPERLINK("https://klasma.github.io/Logging_0883/klagomålsmail/A 16948-2024 FSC-klagomål mail.docx", "A 16948-2024")</f>
        <v/>
      </c>
      <c r="X111">
        <f>HYPERLINK("https://klasma.github.io/Logging_0883/tillsyn/A 16948-2024 tillsynsbegäran.docx", "A 16948-2024")</f>
        <v/>
      </c>
      <c r="Y111">
        <f>HYPERLINK("https://klasma.github.io/Logging_0883/tillsynsmail/A 16948-2024 tillsynsbegäran mail.docx", "A 16948-2024")</f>
        <v/>
      </c>
      <c r="Z111">
        <f>HYPERLINK("https://klasma.github.io/Logging_0883/fåglar/A 16948-2024 prioriterade fågelarter.docx", "A 16948-2024")</f>
        <v/>
      </c>
    </row>
    <row r="112" ht="15" customHeight="1">
      <c r="A112" t="inlineStr">
        <is>
          <t>A 49607-2025</t>
        </is>
      </c>
      <c r="B112" s="1" t="n">
        <v>45939.5674074074</v>
      </c>
      <c r="C112" s="1" t="n">
        <v>46159</v>
      </c>
      <c r="D112" t="inlineStr">
        <is>
          <t>KALMAR LÄN</t>
        </is>
      </c>
      <c r="E112" t="inlineStr">
        <is>
          <t>VÄSTERVIK</t>
        </is>
      </c>
      <c r="F112" t="inlineStr">
        <is>
          <t>Holmen skog AB</t>
        </is>
      </c>
      <c r="G112" t="n">
        <v>1.2</v>
      </c>
      <c r="H112" t="n">
        <v>3</v>
      </c>
      <c r="I112" t="n">
        <v>0</v>
      </c>
      <c r="J112" t="n">
        <v>2</v>
      </c>
      <c r="K112" t="n">
        <v>0</v>
      </c>
      <c r="L112" t="n">
        <v>0</v>
      </c>
      <c r="M112" t="n">
        <v>0</v>
      </c>
      <c r="N112" t="n">
        <v>0</v>
      </c>
      <c r="O112" t="n">
        <v>2</v>
      </c>
      <c r="P112" t="n">
        <v>0</v>
      </c>
      <c r="Q112" t="n">
        <v>3</v>
      </c>
      <c r="R112" s="2" t="inlineStr">
        <is>
          <t>Spillkråka
Talltita
Tjäder</t>
        </is>
      </c>
      <c r="S112">
        <f>HYPERLINK("https://klasma.github.io/Logging_0883/artfynd/A 49607-2025 artfynd.xlsx", "A 49607-2025")</f>
        <v/>
      </c>
      <c r="T112">
        <f>HYPERLINK("https://klasma.github.io/Logging_0883/kartor/A 49607-2025 karta.png", "A 49607-2025")</f>
        <v/>
      </c>
      <c r="V112">
        <f>HYPERLINK("https://klasma.github.io/Logging_0883/klagomål/A 49607-2025 FSC-klagomål.docx", "A 49607-2025")</f>
        <v/>
      </c>
      <c r="W112">
        <f>HYPERLINK("https://klasma.github.io/Logging_0883/klagomålsmail/A 49607-2025 FSC-klagomål mail.docx", "A 49607-2025")</f>
        <v/>
      </c>
      <c r="X112">
        <f>HYPERLINK("https://klasma.github.io/Logging_0883/tillsyn/A 49607-2025 tillsynsbegäran.docx", "A 49607-2025")</f>
        <v/>
      </c>
      <c r="Y112">
        <f>HYPERLINK("https://klasma.github.io/Logging_0883/tillsynsmail/A 49607-2025 tillsynsbegäran mail.docx", "A 49607-2025")</f>
        <v/>
      </c>
      <c r="Z112">
        <f>HYPERLINK("https://klasma.github.io/Logging_0883/fåglar/A 49607-2025 prioriterade fågelarter.docx", "A 49607-2025")</f>
        <v/>
      </c>
    </row>
    <row r="113" ht="15" customHeight="1">
      <c r="A113" t="inlineStr">
        <is>
          <t>A 35705-2025</t>
        </is>
      </c>
      <c r="B113" s="1" t="n">
        <v>45860.36769675926</v>
      </c>
      <c r="C113" s="1" t="n">
        <v>46159</v>
      </c>
      <c r="D113" t="inlineStr">
        <is>
          <t>KALMAR LÄN</t>
        </is>
      </c>
      <c r="E113" t="inlineStr">
        <is>
          <t>VÄSTERVIK</t>
        </is>
      </c>
      <c r="G113" t="n">
        <v>2.5</v>
      </c>
      <c r="H113" t="n">
        <v>2</v>
      </c>
      <c r="I113" t="n">
        <v>1</v>
      </c>
      <c r="J113" t="n">
        <v>1</v>
      </c>
      <c r="K113" t="n">
        <v>0</v>
      </c>
      <c r="L113" t="n">
        <v>0</v>
      </c>
      <c r="M113" t="n">
        <v>0</v>
      </c>
      <c r="N113" t="n">
        <v>0</v>
      </c>
      <c r="O113" t="n">
        <v>1</v>
      </c>
      <c r="P113" t="n">
        <v>0</v>
      </c>
      <c r="Q113" t="n">
        <v>3</v>
      </c>
      <c r="R113" s="2" t="inlineStr">
        <is>
          <t>Talltita
Grovticka
Kungsfågel</t>
        </is>
      </c>
      <c r="S113">
        <f>HYPERLINK("https://klasma.github.io/Logging_0883/artfynd/A 35705-2025 artfynd.xlsx", "A 35705-2025")</f>
        <v/>
      </c>
      <c r="T113">
        <f>HYPERLINK("https://klasma.github.io/Logging_0883/kartor/A 35705-2025 karta.png", "A 35705-2025")</f>
        <v/>
      </c>
      <c r="U113">
        <f>HYPERLINK("https://klasma.github.io/Logging_0883/knärot/A 35705-2025 karta knärot.png", "A 35705-2025")</f>
        <v/>
      </c>
      <c r="V113">
        <f>HYPERLINK("https://klasma.github.io/Logging_0883/klagomål/A 35705-2025 FSC-klagomål.docx", "A 35705-2025")</f>
        <v/>
      </c>
      <c r="W113">
        <f>HYPERLINK("https://klasma.github.io/Logging_0883/klagomålsmail/A 35705-2025 FSC-klagomål mail.docx", "A 35705-2025")</f>
        <v/>
      </c>
      <c r="X113">
        <f>HYPERLINK("https://klasma.github.io/Logging_0883/tillsyn/A 35705-2025 tillsynsbegäran.docx", "A 35705-2025")</f>
        <v/>
      </c>
      <c r="Y113">
        <f>HYPERLINK("https://klasma.github.io/Logging_0883/tillsynsmail/A 35705-2025 tillsynsbegäran mail.docx", "A 35705-2025")</f>
        <v/>
      </c>
      <c r="Z113">
        <f>HYPERLINK("https://klasma.github.io/Logging_0883/fåglar/A 35705-2025 prioriterade fågelarter.docx", "A 35705-2025")</f>
        <v/>
      </c>
    </row>
    <row r="114" ht="15" customHeight="1">
      <c r="A114" t="inlineStr">
        <is>
          <t>A 12708-2023</t>
        </is>
      </c>
      <c r="B114" s="1" t="n">
        <v>45000</v>
      </c>
      <c r="C114" s="1" t="n">
        <v>46159</v>
      </c>
      <c r="D114" t="inlineStr">
        <is>
          <t>KALMAR LÄN</t>
        </is>
      </c>
      <c r="E114" t="inlineStr">
        <is>
          <t>VÄSTERVIK</t>
        </is>
      </c>
      <c r="G114" t="n">
        <v>8.6</v>
      </c>
      <c r="H114" t="n">
        <v>2</v>
      </c>
      <c r="I114" t="n">
        <v>0</v>
      </c>
      <c r="J114" t="n">
        <v>2</v>
      </c>
      <c r="K114" t="n">
        <v>1</v>
      </c>
      <c r="L114" t="n">
        <v>0</v>
      </c>
      <c r="M114" t="n">
        <v>0</v>
      </c>
      <c r="N114" t="n">
        <v>0</v>
      </c>
      <c r="O114" t="n">
        <v>3</v>
      </c>
      <c r="P114" t="n">
        <v>1</v>
      </c>
      <c r="Q114" t="n">
        <v>3</v>
      </c>
      <c r="R114" s="2" t="inlineStr">
        <is>
          <t>Knärot
Tallticka
Talltita</t>
        </is>
      </c>
      <c r="S114">
        <f>HYPERLINK("https://klasma.github.io/Logging_0883/artfynd/A 12708-2023 artfynd.xlsx", "A 12708-2023")</f>
        <v/>
      </c>
      <c r="T114">
        <f>HYPERLINK("https://klasma.github.io/Logging_0883/kartor/A 12708-2023 karta.png", "A 12708-2023")</f>
        <v/>
      </c>
      <c r="U114">
        <f>HYPERLINK("https://klasma.github.io/Logging_0883/knärot/A 12708-2023 karta knärot.png", "A 12708-2023")</f>
        <v/>
      </c>
      <c r="V114">
        <f>HYPERLINK("https://klasma.github.io/Logging_0883/klagomål/A 12708-2023 FSC-klagomål.docx", "A 12708-2023")</f>
        <v/>
      </c>
      <c r="W114">
        <f>HYPERLINK("https://klasma.github.io/Logging_0883/klagomålsmail/A 12708-2023 FSC-klagomål mail.docx", "A 12708-2023")</f>
        <v/>
      </c>
      <c r="X114">
        <f>HYPERLINK("https://klasma.github.io/Logging_0883/tillsyn/A 12708-2023 tillsynsbegäran.docx", "A 12708-2023")</f>
        <v/>
      </c>
      <c r="Y114">
        <f>HYPERLINK("https://klasma.github.io/Logging_0883/tillsynsmail/A 12708-2023 tillsynsbegäran mail.docx", "A 12708-2023")</f>
        <v/>
      </c>
      <c r="Z114">
        <f>HYPERLINK("https://klasma.github.io/Logging_0883/fåglar/A 12708-2023 prioriterade fågelarter.docx", "A 12708-2023")</f>
        <v/>
      </c>
    </row>
    <row r="115" ht="15" customHeight="1">
      <c r="A115" t="inlineStr">
        <is>
          <t>A 11183-2024</t>
        </is>
      </c>
      <c r="B115" s="1" t="n">
        <v>45371.53141203704</v>
      </c>
      <c r="C115" s="1" t="n">
        <v>46159</v>
      </c>
      <c r="D115" t="inlineStr">
        <is>
          <t>KALMAR LÄN</t>
        </is>
      </c>
      <c r="E115" t="inlineStr">
        <is>
          <t>VÄSTERVIK</t>
        </is>
      </c>
      <c r="G115" t="n">
        <v>4.5</v>
      </c>
      <c r="H115" t="n">
        <v>2</v>
      </c>
      <c r="I115" t="n">
        <v>0</v>
      </c>
      <c r="J115" t="n">
        <v>2</v>
      </c>
      <c r="K115" t="n">
        <v>1</v>
      </c>
      <c r="L115" t="n">
        <v>0</v>
      </c>
      <c r="M115" t="n">
        <v>0</v>
      </c>
      <c r="N115" t="n">
        <v>0</v>
      </c>
      <c r="O115" t="n">
        <v>3</v>
      </c>
      <c r="P115" t="n">
        <v>1</v>
      </c>
      <c r="Q115" t="n">
        <v>3</v>
      </c>
      <c r="R115" s="2" t="inlineStr">
        <is>
          <t>Knärot
Spillkråka
Tallticka</t>
        </is>
      </c>
      <c r="S115">
        <f>HYPERLINK("https://klasma.github.io/Logging_0883/artfynd/A 11183-2024 artfynd.xlsx", "A 11183-2024")</f>
        <v/>
      </c>
      <c r="T115">
        <f>HYPERLINK("https://klasma.github.io/Logging_0883/kartor/A 11183-2024 karta.png", "A 11183-2024")</f>
        <v/>
      </c>
      <c r="U115">
        <f>HYPERLINK("https://klasma.github.io/Logging_0883/knärot/A 11183-2024 karta knärot.png", "A 11183-2024")</f>
        <v/>
      </c>
      <c r="V115">
        <f>HYPERLINK("https://klasma.github.io/Logging_0883/klagomål/A 11183-2024 FSC-klagomål.docx", "A 11183-2024")</f>
        <v/>
      </c>
      <c r="W115">
        <f>HYPERLINK("https://klasma.github.io/Logging_0883/klagomålsmail/A 11183-2024 FSC-klagomål mail.docx", "A 11183-2024")</f>
        <v/>
      </c>
      <c r="X115">
        <f>HYPERLINK("https://klasma.github.io/Logging_0883/tillsyn/A 11183-2024 tillsynsbegäran.docx", "A 11183-2024")</f>
        <v/>
      </c>
      <c r="Y115">
        <f>HYPERLINK("https://klasma.github.io/Logging_0883/tillsynsmail/A 11183-2024 tillsynsbegäran mail.docx", "A 11183-2024")</f>
        <v/>
      </c>
      <c r="Z115">
        <f>HYPERLINK("https://klasma.github.io/Logging_0883/fåglar/A 11183-2024 prioriterade fågelarter.docx", "A 11183-2024")</f>
        <v/>
      </c>
    </row>
    <row r="116" ht="15" customHeight="1">
      <c r="A116" t="inlineStr">
        <is>
          <t>A 804-2023</t>
        </is>
      </c>
      <c r="B116" s="1" t="n">
        <v>44931</v>
      </c>
      <c r="C116" s="1" t="n">
        <v>46159</v>
      </c>
      <c r="D116" t="inlineStr">
        <is>
          <t>KALMAR LÄN</t>
        </is>
      </c>
      <c r="E116" t="inlineStr">
        <is>
          <t>VÄSTERVIK</t>
        </is>
      </c>
      <c r="F116" t="inlineStr">
        <is>
          <t>Holmen skog AB</t>
        </is>
      </c>
      <c r="G116" t="n">
        <v>5.2</v>
      </c>
      <c r="H116" t="n">
        <v>1</v>
      </c>
      <c r="I116" t="n">
        <v>1</v>
      </c>
      <c r="J116" t="n">
        <v>1</v>
      </c>
      <c r="K116" t="n">
        <v>1</v>
      </c>
      <c r="L116" t="n">
        <v>0</v>
      </c>
      <c r="M116" t="n">
        <v>0</v>
      </c>
      <c r="N116" t="n">
        <v>0</v>
      </c>
      <c r="O116" t="n">
        <v>2</v>
      </c>
      <c r="P116" t="n">
        <v>1</v>
      </c>
      <c r="Q116" t="n">
        <v>3</v>
      </c>
      <c r="R116" s="2" t="inlineStr">
        <is>
          <t>Violett fingersvamp
Ekticka
Ekoxe</t>
        </is>
      </c>
      <c r="S116">
        <f>HYPERLINK("https://klasma.github.io/Logging_0883/artfynd/A 804-2023 artfynd.xlsx", "A 804-2023")</f>
        <v/>
      </c>
      <c r="T116">
        <f>HYPERLINK("https://klasma.github.io/Logging_0883/kartor/A 804-2023 karta.png", "A 804-2023")</f>
        <v/>
      </c>
      <c r="V116">
        <f>HYPERLINK("https://klasma.github.io/Logging_0883/klagomål/A 804-2023 FSC-klagomål.docx", "A 804-2023")</f>
        <v/>
      </c>
      <c r="W116">
        <f>HYPERLINK("https://klasma.github.io/Logging_0883/klagomålsmail/A 804-2023 FSC-klagomål mail.docx", "A 804-2023")</f>
        <v/>
      </c>
      <c r="X116">
        <f>HYPERLINK("https://klasma.github.io/Logging_0883/tillsyn/A 804-2023 tillsynsbegäran.docx", "A 804-2023")</f>
        <v/>
      </c>
      <c r="Y116">
        <f>HYPERLINK("https://klasma.github.io/Logging_0883/tillsynsmail/A 804-2023 tillsynsbegäran mail.docx", "A 804-2023")</f>
        <v/>
      </c>
    </row>
    <row r="117" ht="15" customHeight="1">
      <c r="A117" t="inlineStr">
        <is>
          <t>A 42353-2023</t>
        </is>
      </c>
      <c r="B117" s="1" t="n">
        <v>45180</v>
      </c>
      <c r="C117" s="1" t="n">
        <v>46159</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52992-2024</t>
        </is>
      </c>
      <c r="B118" s="1" t="n">
        <v>45611</v>
      </c>
      <c r="C118" s="1" t="n">
        <v>46159</v>
      </c>
      <c r="D118" t="inlineStr">
        <is>
          <t>KALMAR LÄN</t>
        </is>
      </c>
      <c r="E118" t="inlineStr">
        <is>
          <t>VÄSTERVIK</t>
        </is>
      </c>
      <c r="F118" t="inlineStr">
        <is>
          <t>Holmen skog AB</t>
        </is>
      </c>
      <c r="G118" t="n">
        <v>5.5</v>
      </c>
      <c r="H118" t="n">
        <v>2</v>
      </c>
      <c r="I118" t="n">
        <v>1</v>
      </c>
      <c r="J118" t="n">
        <v>2</v>
      </c>
      <c r="K118" t="n">
        <v>0</v>
      </c>
      <c r="L118" t="n">
        <v>0</v>
      </c>
      <c r="M118" t="n">
        <v>0</v>
      </c>
      <c r="N118" t="n">
        <v>0</v>
      </c>
      <c r="O118" t="n">
        <v>2</v>
      </c>
      <c r="P118" t="n">
        <v>0</v>
      </c>
      <c r="Q118" t="n">
        <v>3</v>
      </c>
      <c r="R118" s="2" t="inlineStr">
        <is>
          <t>Spillkråka
Talltita
Brandticka</t>
        </is>
      </c>
      <c r="S118">
        <f>HYPERLINK("https://klasma.github.io/Logging_0883/artfynd/A 52992-2024 artfynd.xlsx", "A 52992-2024")</f>
        <v/>
      </c>
      <c r="T118">
        <f>HYPERLINK("https://klasma.github.io/Logging_0883/kartor/A 52992-2024 karta.png", "A 52992-2024")</f>
        <v/>
      </c>
      <c r="V118">
        <f>HYPERLINK("https://klasma.github.io/Logging_0883/klagomål/A 52992-2024 FSC-klagomål.docx", "A 52992-2024")</f>
        <v/>
      </c>
      <c r="W118">
        <f>HYPERLINK("https://klasma.github.io/Logging_0883/klagomålsmail/A 52992-2024 FSC-klagomål mail.docx", "A 52992-2024")</f>
        <v/>
      </c>
      <c r="X118">
        <f>HYPERLINK("https://klasma.github.io/Logging_0883/tillsyn/A 52992-2024 tillsynsbegäran.docx", "A 52992-2024")</f>
        <v/>
      </c>
      <c r="Y118">
        <f>HYPERLINK("https://klasma.github.io/Logging_0883/tillsynsmail/A 52992-2024 tillsynsbegäran mail.docx", "A 52992-2024")</f>
        <v/>
      </c>
      <c r="Z118">
        <f>HYPERLINK("https://klasma.github.io/Logging_0883/fåglar/A 52992-2024 prioriterade fågelarter.docx", "A 52992-2024")</f>
        <v/>
      </c>
    </row>
    <row r="119" ht="15" customHeight="1">
      <c r="A119" t="inlineStr">
        <is>
          <t>A 1763-2025</t>
        </is>
      </c>
      <c r="B119" s="1" t="n">
        <v>45671</v>
      </c>
      <c r="C119" s="1" t="n">
        <v>46159</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1764-2025</t>
        </is>
      </c>
      <c r="B120" s="1" t="n">
        <v>45671</v>
      </c>
      <c r="C120" s="1" t="n">
        <v>46159</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55506-2022</t>
        </is>
      </c>
      <c r="B121" s="1" t="n">
        <v>44887</v>
      </c>
      <c r="C121" s="1" t="n">
        <v>46159</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18712-2026</t>
        </is>
      </c>
      <c r="B122" s="1" t="n">
        <v>46128.4530787037</v>
      </c>
      <c r="C122" s="1" t="n">
        <v>46159</v>
      </c>
      <c r="D122" t="inlineStr">
        <is>
          <t>KALMAR LÄN</t>
        </is>
      </c>
      <c r="E122" t="inlineStr">
        <is>
          <t>VÄSTERVIK</t>
        </is>
      </c>
      <c r="G122" t="n">
        <v>1.6</v>
      </c>
      <c r="H122" t="n">
        <v>2</v>
      </c>
      <c r="I122" t="n">
        <v>1</v>
      </c>
      <c r="J122" t="n">
        <v>1</v>
      </c>
      <c r="K122" t="n">
        <v>1</v>
      </c>
      <c r="L122" t="n">
        <v>0</v>
      </c>
      <c r="M122" t="n">
        <v>0</v>
      </c>
      <c r="N122" t="n">
        <v>0</v>
      </c>
      <c r="O122" t="n">
        <v>2</v>
      </c>
      <c r="P122" t="n">
        <v>1</v>
      </c>
      <c r="Q122" t="n">
        <v>3</v>
      </c>
      <c r="R122" s="2" t="inlineStr">
        <is>
          <t>Knärot
Spillkråka
Grönpyrola</t>
        </is>
      </c>
      <c r="S122">
        <f>HYPERLINK("https://klasma.github.io/Logging_0883/artfynd/A 18712-2026 artfynd.xlsx", "A 18712-2026")</f>
        <v/>
      </c>
      <c r="T122">
        <f>HYPERLINK("https://klasma.github.io/Logging_0883/kartor/A 18712-2026 karta.png", "A 18712-2026")</f>
        <v/>
      </c>
      <c r="U122">
        <f>HYPERLINK("https://klasma.github.io/Logging_0883/knärot/A 18712-2026 karta knärot.png", "A 18712-2026")</f>
        <v/>
      </c>
      <c r="V122">
        <f>HYPERLINK("https://klasma.github.io/Logging_0883/klagomål/A 18712-2026 FSC-klagomål.docx", "A 18712-2026")</f>
        <v/>
      </c>
      <c r="W122">
        <f>HYPERLINK("https://klasma.github.io/Logging_0883/klagomålsmail/A 18712-2026 FSC-klagomål mail.docx", "A 18712-2026")</f>
        <v/>
      </c>
      <c r="X122">
        <f>HYPERLINK("https://klasma.github.io/Logging_0883/tillsyn/A 18712-2026 tillsynsbegäran.docx", "A 18712-2026")</f>
        <v/>
      </c>
      <c r="Y122">
        <f>HYPERLINK("https://klasma.github.io/Logging_0883/tillsynsmail/A 18712-2026 tillsynsbegäran mail.docx", "A 18712-2026")</f>
        <v/>
      </c>
      <c r="Z122">
        <f>HYPERLINK("https://klasma.github.io/Logging_0883/fåglar/A 18712-2026 prioriterade fågelarter.docx", "A 18712-2026")</f>
        <v/>
      </c>
    </row>
    <row r="123" ht="15" customHeight="1">
      <c r="A123" t="inlineStr">
        <is>
          <t>A 31854-2025</t>
        </is>
      </c>
      <c r="B123" s="1" t="n">
        <v>45834</v>
      </c>
      <c r="C123" s="1" t="n">
        <v>46159</v>
      </c>
      <c r="D123" t="inlineStr">
        <is>
          <t>KALMAR LÄN</t>
        </is>
      </c>
      <c r="E123" t="inlineStr">
        <is>
          <t>VÄSTERVIK</t>
        </is>
      </c>
      <c r="F123" t="inlineStr">
        <is>
          <t>Holmen skog AB</t>
        </is>
      </c>
      <c r="G123" t="n">
        <v>4.3</v>
      </c>
      <c r="H123" t="n">
        <v>2</v>
      </c>
      <c r="I123" t="n">
        <v>1</v>
      </c>
      <c r="J123" t="n">
        <v>1</v>
      </c>
      <c r="K123" t="n">
        <v>1</v>
      </c>
      <c r="L123" t="n">
        <v>0</v>
      </c>
      <c r="M123" t="n">
        <v>0</v>
      </c>
      <c r="N123" t="n">
        <v>0</v>
      </c>
      <c r="O123" t="n">
        <v>2</v>
      </c>
      <c r="P123" t="n">
        <v>1</v>
      </c>
      <c r="Q123" t="n">
        <v>3</v>
      </c>
      <c r="R123" s="2" t="inlineStr">
        <is>
          <t>Knärot
Talltita
Grönpyrola</t>
        </is>
      </c>
      <c r="S123">
        <f>HYPERLINK("https://klasma.github.io/Logging_0883/artfynd/A 31854-2025 artfynd.xlsx", "A 31854-2025")</f>
        <v/>
      </c>
      <c r="T123">
        <f>HYPERLINK("https://klasma.github.io/Logging_0883/kartor/A 31854-2025 karta.png", "A 31854-2025")</f>
        <v/>
      </c>
      <c r="U123">
        <f>HYPERLINK("https://klasma.github.io/Logging_0883/knärot/A 31854-2025 karta knärot.png", "A 31854-2025")</f>
        <v/>
      </c>
      <c r="V123">
        <f>HYPERLINK("https://klasma.github.io/Logging_0883/klagomål/A 31854-2025 FSC-klagomål.docx", "A 31854-2025")</f>
        <v/>
      </c>
      <c r="W123">
        <f>HYPERLINK("https://klasma.github.io/Logging_0883/klagomålsmail/A 31854-2025 FSC-klagomål mail.docx", "A 31854-2025")</f>
        <v/>
      </c>
      <c r="X123">
        <f>HYPERLINK("https://klasma.github.io/Logging_0883/tillsyn/A 31854-2025 tillsynsbegäran.docx", "A 31854-2025")</f>
        <v/>
      </c>
      <c r="Y123">
        <f>HYPERLINK("https://klasma.github.io/Logging_0883/tillsynsmail/A 31854-2025 tillsynsbegäran mail.docx", "A 31854-2025")</f>
        <v/>
      </c>
      <c r="Z123">
        <f>HYPERLINK("https://klasma.github.io/Logging_0883/fåglar/A 31854-2025 prioriterade fågelarter.docx", "A 31854-2025")</f>
        <v/>
      </c>
    </row>
    <row r="124" ht="15" customHeight="1">
      <c r="A124" t="inlineStr">
        <is>
          <t>A 60671-2025</t>
        </is>
      </c>
      <c r="B124" s="1" t="n">
        <v>45996</v>
      </c>
      <c r="C124" s="1" t="n">
        <v>46159</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8654-2026</t>
        </is>
      </c>
      <c r="B125" s="1" t="n">
        <v>46066</v>
      </c>
      <c r="C125" s="1" t="n">
        <v>46159</v>
      </c>
      <c r="D125" t="inlineStr">
        <is>
          <t>KALMAR LÄN</t>
        </is>
      </c>
      <c r="E125" t="inlineStr">
        <is>
          <t>VÄSTERVIK</t>
        </is>
      </c>
      <c r="G125" t="n">
        <v>2.6</v>
      </c>
      <c r="H125" t="n">
        <v>3</v>
      </c>
      <c r="I125" t="n">
        <v>0</v>
      </c>
      <c r="J125" t="n">
        <v>2</v>
      </c>
      <c r="K125" t="n">
        <v>0</v>
      </c>
      <c r="L125" t="n">
        <v>0</v>
      </c>
      <c r="M125" t="n">
        <v>0</v>
      </c>
      <c r="N125" t="n">
        <v>0</v>
      </c>
      <c r="O125" t="n">
        <v>2</v>
      </c>
      <c r="P125" t="n">
        <v>0</v>
      </c>
      <c r="Q125" t="n">
        <v>3</v>
      </c>
      <c r="R125" s="2" t="inlineStr">
        <is>
          <t>Entita
Spillkråka
Kungsfågel</t>
        </is>
      </c>
      <c r="S125">
        <f>HYPERLINK("https://klasma.github.io/Logging_0883/artfynd/A 8654-2026 artfynd.xlsx", "A 8654-2026")</f>
        <v/>
      </c>
      <c r="T125">
        <f>HYPERLINK("https://klasma.github.io/Logging_0883/kartor/A 8654-2026 karta.png", "A 8654-2026")</f>
        <v/>
      </c>
      <c r="V125">
        <f>HYPERLINK("https://klasma.github.io/Logging_0883/klagomål/A 8654-2026 FSC-klagomål.docx", "A 8654-2026")</f>
        <v/>
      </c>
      <c r="W125">
        <f>HYPERLINK("https://klasma.github.io/Logging_0883/klagomålsmail/A 8654-2026 FSC-klagomål mail.docx", "A 8654-2026")</f>
        <v/>
      </c>
      <c r="X125">
        <f>HYPERLINK("https://klasma.github.io/Logging_0883/tillsyn/A 8654-2026 tillsynsbegäran.docx", "A 8654-2026")</f>
        <v/>
      </c>
      <c r="Y125">
        <f>HYPERLINK("https://klasma.github.io/Logging_0883/tillsynsmail/A 8654-2026 tillsynsbegäran mail.docx", "A 8654-2026")</f>
        <v/>
      </c>
      <c r="Z125">
        <f>HYPERLINK("https://klasma.github.io/Logging_0883/fåglar/A 8654-2026 prioriterade fågelarter.docx", "A 8654-2026")</f>
        <v/>
      </c>
    </row>
    <row r="126" ht="15" customHeight="1">
      <c r="A126" t="inlineStr">
        <is>
          <t>A 12201-2026</t>
        </is>
      </c>
      <c r="B126" s="1" t="n">
        <v>46086.97782407407</v>
      </c>
      <c r="C126" s="1" t="n">
        <v>46159</v>
      </c>
      <c r="D126" t="inlineStr">
        <is>
          <t>KALMAR LÄN</t>
        </is>
      </c>
      <c r="E126" t="inlineStr">
        <is>
          <t>VÄSTERVIK</t>
        </is>
      </c>
      <c r="F126" t="inlineStr">
        <is>
          <t>Övriga Aktiebolag</t>
        </is>
      </c>
      <c r="G126" t="n">
        <v>1.5</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12201-2026 artfynd.xlsx", "A 12201-2026")</f>
        <v/>
      </c>
      <c r="T126">
        <f>HYPERLINK("https://klasma.github.io/Logging_0883/kartor/A 12201-2026 karta.png", "A 12201-2026")</f>
        <v/>
      </c>
      <c r="U126">
        <f>HYPERLINK("https://klasma.github.io/Logging_0883/knärot/A 12201-2026 karta knärot.png", "A 12201-2026")</f>
        <v/>
      </c>
      <c r="V126">
        <f>HYPERLINK("https://klasma.github.io/Logging_0883/klagomål/A 12201-2026 FSC-klagomål.docx", "A 12201-2026")</f>
        <v/>
      </c>
      <c r="W126">
        <f>HYPERLINK("https://klasma.github.io/Logging_0883/klagomålsmail/A 12201-2026 FSC-klagomål mail.docx", "A 12201-2026")</f>
        <v/>
      </c>
      <c r="X126">
        <f>HYPERLINK("https://klasma.github.io/Logging_0883/tillsyn/A 12201-2026 tillsynsbegäran.docx", "A 12201-2026")</f>
        <v/>
      </c>
      <c r="Y126">
        <f>HYPERLINK("https://klasma.github.io/Logging_0883/tillsynsmail/A 12201-2026 tillsynsbegäran mail.docx", "A 12201-2026")</f>
        <v/>
      </c>
      <c r="Z126">
        <f>HYPERLINK("https://klasma.github.io/Logging_0883/fåglar/A 12201-2026 prioriterade fågelarter.docx", "A 12201-2026")</f>
        <v/>
      </c>
    </row>
    <row r="127" ht="15" customHeight="1">
      <c r="A127" t="inlineStr">
        <is>
          <t>A 11604-2026</t>
        </is>
      </c>
      <c r="B127" s="1" t="n">
        <v>46084.43278935185</v>
      </c>
      <c r="C127" s="1" t="n">
        <v>46159</v>
      </c>
      <c r="D127" t="inlineStr">
        <is>
          <t>KALMAR LÄN</t>
        </is>
      </c>
      <c r="E127" t="inlineStr">
        <is>
          <t>VÄSTERVIK</t>
        </is>
      </c>
      <c r="G127" t="n">
        <v>1.3</v>
      </c>
      <c r="H127" t="n">
        <v>1</v>
      </c>
      <c r="I127" t="n">
        <v>1</v>
      </c>
      <c r="J127" t="n">
        <v>2</v>
      </c>
      <c r="K127" t="n">
        <v>0</v>
      </c>
      <c r="L127" t="n">
        <v>0</v>
      </c>
      <c r="M127" t="n">
        <v>0</v>
      </c>
      <c r="N127" t="n">
        <v>0</v>
      </c>
      <c r="O127" t="n">
        <v>2</v>
      </c>
      <c r="P127" t="n">
        <v>0</v>
      </c>
      <c r="Q127" t="n">
        <v>3</v>
      </c>
      <c r="R127" s="2" t="inlineStr">
        <is>
          <t>Tallticka
Talltita
Blåmossa</t>
        </is>
      </c>
      <c r="S127">
        <f>HYPERLINK("https://klasma.github.io/Logging_0883/artfynd/A 11604-2026 artfynd.xlsx", "A 11604-2026")</f>
        <v/>
      </c>
      <c r="T127">
        <f>HYPERLINK("https://klasma.github.io/Logging_0883/kartor/A 11604-2026 karta.png", "A 11604-2026")</f>
        <v/>
      </c>
      <c r="V127">
        <f>HYPERLINK("https://klasma.github.io/Logging_0883/klagomål/A 11604-2026 FSC-klagomål.docx", "A 11604-2026")</f>
        <v/>
      </c>
      <c r="W127">
        <f>HYPERLINK("https://klasma.github.io/Logging_0883/klagomålsmail/A 11604-2026 FSC-klagomål mail.docx", "A 11604-2026")</f>
        <v/>
      </c>
      <c r="X127">
        <f>HYPERLINK("https://klasma.github.io/Logging_0883/tillsyn/A 11604-2026 tillsynsbegäran.docx", "A 11604-2026")</f>
        <v/>
      </c>
      <c r="Y127">
        <f>HYPERLINK("https://klasma.github.io/Logging_0883/tillsynsmail/A 11604-2026 tillsynsbegäran mail.docx", "A 11604-2026")</f>
        <v/>
      </c>
      <c r="Z127">
        <f>HYPERLINK("https://klasma.github.io/Logging_0883/fåglar/A 11604-2026 prioriterade fågelarter.docx", "A 11604-2026")</f>
        <v/>
      </c>
    </row>
    <row r="128" ht="15" customHeight="1">
      <c r="A128" t="inlineStr">
        <is>
          <t>A 2657-2024</t>
        </is>
      </c>
      <c r="B128" s="1" t="n">
        <v>45314</v>
      </c>
      <c r="C128" s="1" t="n">
        <v>46159</v>
      </c>
      <c r="D128" t="inlineStr">
        <is>
          <t>KALMAR LÄN</t>
        </is>
      </c>
      <c r="E128" t="inlineStr">
        <is>
          <t>VÄSTERVIK</t>
        </is>
      </c>
      <c r="G128" t="n">
        <v>5.9</v>
      </c>
      <c r="H128" t="n">
        <v>2</v>
      </c>
      <c r="I128" t="n">
        <v>1</v>
      </c>
      <c r="J128" t="n">
        <v>1</v>
      </c>
      <c r="K128" t="n">
        <v>1</v>
      </c>
      <c r="L128" t="n">
        <v>0</v>
      </c>
      <c r="M128" t="n">
        <v>0</v>
      </c>
      <c r="N128" t="n">
        <v>0</v>
      </c>
      <c r="O128" t="n">
        <v>2</v>
      </c>
      <c r="P128" t="n">
        <v>1</v>
      </c>
      <c r="Q128" t="n">
        <v>3</v>
      </c>
      <c r="R128" s="2" t="inlineStr">
        <is>
          <t>Knärot
Spillkråka
Grönpyrola</t>
        </is>
      </c>
      <c r="S128">
        <f>HYPERLINK("https://klasma.github.io/Logging_0883/artfynd/A 2657-2024 artfynd.xlsx", "A 2657-2024")</f>
        <v/>
      </c>
      <c r="T128">
        <f>HYPERLINK("https://klasma.github.io/Logging_0883/kartor/A 2657-2024 karta.png", "A 2657-2024")</f>
        <v/>
      </c>
      <c r="U128">
        <f>HYPERLINK("https://klasma.github.io/Logging_0883/knärot/A 2657-2024 karta knärot.png", "A 2657-2024")</f>
        <v/>
      </c>
      <c r="V128">
        <f>HYPERLINK("https://klasma.github.io/Logging_0883/klagomål/A 2657-2024 FSC-klagomål.docx", "A 2657-2024")</f>
        <v/>
      </c>
      <c r="W128">
        <f>HYPERLINK("https://klasma.github.io/Logging_0883/klagomålsmail/A 2657-2024 FSC-klagomål mail.docx", "A 2657-2024")</f>
        <v/>
      </c>
      <c r="X128">
        <f>HYPERLINK("https://klasma.github.io/Logging_0883/tillsyn/A 2657-2024 tillsynsbegäran.docx", "A 2657-2024")</f>
        <v/>
      </c>
      <c r="Y128">
        <f>HYPERLINK("https://klasma.github.io/Logging_0883/tillsynsmail/A 2657-2024 tillsynsbegäran mail.docx", "A 2657-2024")</f>
        <v/>
      </c>
      <c r="Z128">
        <f>HYPERLINK("https://klasma.github.io/Logging_0883/fåglar/A 2657-2024 prioriterade fågelarter.docx", "A 2657-2024")</f>
        <v/>
      </c>
    </row>
    <row r="129" ht="15" customHeight="1">
      <c r="A129" t="inlineStr">
        <is>
          <t>A 8620-2024</t>
        </is>
      </c>
      <c r="B129" s="1" t="n">
        <v>45355.74270833333</v>
      </c>
      <c r="C129" s="1" t="n">
        <v>46159</v>
      </c>
      <c r="D129" t="inlineStr">
        <is>
          <t>KALMAR LÄN</t>
        </is>
      </c>
      <c r="E129" t="inlineStr">
        <is>
          <t>VÄSTERVIK</t>
        </is>
      </c>
      <c r="G129" t="n">
        <v>0.9</v>
      </c>
      <c r="H129" t="n">
        <v>2</v>
      </c>
      <c r="I129" t="n">
        <v>1</v>
      </c>
      <c r="J129" t="n">
        <v>1</v>
      </c>
      <c r="K129" t="n">
        <v>1</v>
      </c>
      <c r="L129" t="n">
        <v>0</v>
      </c>
      <c r="M129" t="n">
        <v>0</v>
      </c>
      <c r="N129" t="n">
        <v>0</v>
      </c>
      <c r="O129" t="n">
        <v>2</v>
      </c>
      <c r="P129" t="n">
        <v>1</v>
      </c>
      <c r="Q129" t="n">
        <v>3</v>
      </c>
      <c r="R129" s="2" t="inlineStr">
        <is>
          <t>Knärot
Talltita
Blodticka</t>
        </is>
      </c>
      <c r="S129">
        <f>HYPERLINK("https://klasma.github.io/Logging_0883/artfynd/A 8620-2024 artfynd.xlsx", "A 8620-2024")</f>
        <v/>
      </c>
      <c r="T129">
        <f>HYPERLINK("https://klasma.github.io/Logging_0883/kartor/A 8620-2024 karta.png", "A 8620-2024")</f>
        <v/>
      </c>
      <c r="U129">
        <f>HYPERLINK("https://klasma.github.io/Logging_0883/knärot/A 8620-2024 karta knärot.png", "A 8620-2024")</f>
        <v/>
      </c>
      <c r="V129">
        <f>HYPERLINK("https://klasma.github.io/Logging_0883/klagomål/A 8620-2024 FSC-klagomål.docx", "A 8620-2024")</f>
        <v/>
      </c>
      <c r="W129">
        <f>HYPERLINK("https://klasma.github.io/Logging_0883/klagomålsmail/A 8620-2024 FSC-klagomål mail.docx", "A 8620-2024")</f>
        <v/>
      </c>
      <c r="X129">
        <f>HYPERLINK("https://klasma.github.io/Logging_0883/tillsyn/A 8620-2024 tillsynsbegäran.docx", "A 8620-2024")</f>
        <v/>
      </c>
      <c r="Y129">
        <f>HYPERLINK("https://klasma.github.io/Logging_0883/tillsynsmail/A 8620-2024 tillsynsbegäran mail.docx", "A 8620-2024")</f>
        <v/>
      </c>
      <c r="Z129">
        <f>HYPERLINK("https://klasma.github.io/Logging_0883/fåglar/A 8620-2024 prioriterade fågelarter.docx", "A 8620-2024")</f>
        <v/>
      </c>
    </row>
    <row r="130" ht="15" customHeight="1">
      <c r="A130" t="inlineStr">
        <is>
          <t>A 2340-2025</t>
        </is>
      </c>
      <c r="B130" s="1" t="n">
        <v>45673</v>
      </c>
      <c r="C130" s="1" t="n">
        <v>46159</v>
      </c>
      <c r="D130" t="inlineStr">
        <is>
          <t>KALMAR LÄN</t>
        </is>
      </c>
      <c r="E130" t="inlineStr">
        <is>
          <t>VÄSTERVIK</t>
        </is>
      </c>
      <c r="G130" t="n">
        <v>3.5</v>
      </c>
      <c r="H130" t="n">
        <v>3</v>
      </c>
      <c r="I130" t="n">
        <v>0</v>
      </c>
      <c r="J130" t="n">
        <v>2</v>
      </c>
      <c r="K130" t="n">
        <v>0</v>
      </c>
      <c r="L130" t="n">
        <v>0</v>
      </c>
      <c r="M130" t="n">
        <v>0</v>
      </c>
      <c r="N130" t="n">
        <v>0</v>
      </c>
      <c r="O130" t="n">
        <v>2</v>
      </c>
      <c r="P130" t="n">
        <v>0</v>
      </c>
      <c r="Q130" t="n">
        <v>3</v>
      </c>
      <c r="R130" s="2" t="inlineStr">
        <is>
          <t>Spillkråka
Talltita
Kungsfågel</t>
        </is>
      </c>
      <c r="S130">
        <f>HYPERLINK("https://klasma.github.io/Logging_0883/artfynd/A 2340-2025 artfynd.xlsx", "A 2340-2025")</f>
        <v/>
      </c>
      <c r="T130">
        <f>HYPERLINK("https://klasma.github.io/Logging_0883/kartor/A 2340-2025 karta.png", "A 2340-2025")</f>
        <v/>
      </c>
      <c r="U130">
        <f>HYPERLINK("https://klasma.github.io/Logging_0883/knärot/A 2340-2025 karta knärot.png", "A 2340-2025")</f>
        <v/>
      </c>
      <c r="V130">
        <f>HYPERLINK("https://klasma.github.io/Logging_0883/klagomål/A 2340-2025 FSC-klagomål.docx", "A 2340-2025")</f>
        <v/>
      </c>
      <c r="W130">
        <f>HYPERLINK("https://klasma.github.io/Logging_0883/klagomålsmail/A 2340-2025 FSC-klagomål mail.docx", "A 2340-2025")</f>
        <v/>
      </c>
      <c r="X130">
        <f>HYPERLINK("https://klasma.github.io/Logging_0883/tillsyn/A 2340-2025 tillsynsbegäran.docx", "A 2340-2025")</f>
        <v/>
      </c>
      <c r="Y130">
        <f>HYPERLINK("https://klasma.github.io/Logging_0883/tillsynsmail/A 2340-2025 tillsynsbegäran mail.docx", "A 2340-2025")</f>
        <v/>
      </c>
      <c r="Z130">
        <f>HYPERLINK("https://klasma.github.io/Logging_0883/fåglar/A 2340-2025 prioriterade fågelarter.docx", "A 2340-2025")</f>
        <v/>
      </c>
    </row>
    <row r="131" ht="15" customHeight="1">
      <c r="A131" t="inlineStr">
        <is>
          <t>A 48318-2024</t>
        </is>
      </c>
      <c r="B131" s="1" t="n">
        <v>45590.49690972222</v>
      </c>
      <c r="C131" s="1" t="n">
        <v>46159</v>
      </c>
      <c r="D131" t="inlineStr">
        <is>
          <t>KALMAR LÄN</t>
        </is>
      </c>
      <c r="E131" t="inlineStr">
        <is>
          <t>VÄSTERVIK</t>
        </is>
      </c>
      <c r="F131" t="inlineStr">
        <is>
          <t>Holmen skog AB</t>
        </is>
      </c>
      <c r="G131" t="n">
        <v>4</v>
      </c>
      <c r="H131" t="n">
        <v>3</v>
      </c>
      <c r="I131" t="n">
        <v>0</v>
      </c>
      <c r="J131" t="n">
        <v>3</v>
      </c>
      <c r="K131" t="n">
        <v>0</v>
      </c>
      <c r="L131" t="n">
        <v>0</v>
      </c>
      <c r="M131" t="n">
        <v>0</v>
      </c>
      <c r="N131" t="n">
        <v>0</v>
      </c>
      <c r="O131" t="n">
        <v>3</v>
      </c>
      <c r="P131" t="n">
        <v>0</v>
      </c>
      <c r="Q131" t="n">
        <v>3</v>
      </c>
      <c r="R131" s="2" t="inlineStr">
        <is>
          <t>Entita
Spillkråka
Talltita</t>
        </is>
      </c>
      <c r="S131">
        <f>HYPERLINK("https://klasma.github.io/Logging_0883/artfynd/A 48318-2024 artfynd.xlsx", "A 48318-2024")</f>
        <v/>
      </c>
      <c r="T131">
        <f>HYPERLINK("https://klasma.github.io/Logging_0883/kartor/A 48318-2024 karta.png", "A 48318-2024")</f>
        <v/>
      </c>
      <c r="U131">
        <f>HYPERLINK("https://klasma.github.io/Logging_0883/knärot/A 48318-2024 karta knärot.png", "A 48318-2024")</f>
        <v/>
      </c>
      <c r="V131">
        <f>HYPERLINK("https://klasma.github.io/Logging_0883/klagomål/A 48318-2024 FSC-klagomål.docx", "A 48318-2024")</f>
        <v/>
      </c>
      <c r="W131">
        <f>HYPERLINK("https://klasma.github.io/Logging_0883/klagomålsmail/A 48318-2024 FSC-klagomål mail.docx", "A 48318-2024")</f>
        <v/>
      </c>
      <c r="X131">
        <f>HYPERLINK("https://klasma.github.io/Logging_0883/tillsyn/A 48318-2024 tillsynsbegäran.docx", "A 48318-2024")</f>
        <v/>
      </c>
      <c r="Y131">
        <f>HYPERLINK("https://klasma.github.io/Logging_0883/tillsynsmail/A 48318-2024 tillsynsbegäran mail.docx", "A 48318-2024")</f>
        <v/>
      </c>
      <c r="Z131">
        <f>HYPERLINK("https://klasma.github.io/Logging_0883/fåglar/A 48318-2024 prioriterade fågelarter.docx", "A 48318-2024")</f>
        <v/>
      </c>
    </row>
    <row r="132" ht="15" customHeight="1">
      <c r="A132" t="inlineStr">
        <is>
          <t>A 27700-2024</t>
        </is>
      </c>
      <c r="B132" s="1" t="n">
        <v>45475.35597222222</v>
      </c>
      <c r="C132" s="1" t="n">
        <v>46159</v>
      </c>
      <c r="D132" t="inlineStr">
        <is>
          <t>KALMAR LÄN</t>
        </is>
      </c>
      <c r="E132" t="inlineStr">
        <is>
          <t>VÄSTERVIK</t>
        </is>
      </c>
      <c r="F132" t="inlineStr">
        <is>
          <t>Holmen skog AB</t>
        </is>
      </c>
      <c r="G132" t="n">
        <v>1.1</v>
      </c>
      <c r="H132" t="n">
        <v>1</v>
      </c>
      <c r="I132" t="n">
        <v>2</v>
      </c>
      <c r="J132" t="n">
        <v>1</v>
      </c>
      <c r="K132" t="n">
        <v>0</v>
      </c>
      <c r="L132" t="n">
        <v>0</v>
      </c>
      <c r="M132" t="n">
        <v>0</v>
      </c>
      <c r="N132" t="n">
        <v>0</v>
      </c>
      <c r="O132" t="n">
        <v>1</v>
      </c>
      <c r="P132" t="n">
        <v>0</v>
      </c>
      <c r="Q132" t="n">
        <v>3</v>
      </c>
      <c r="R132" s="2" t="inlineStr">
        <is>
          <t>Spillkråka
Blåmossa
Zontaggsvamp</t>
        </is>
      </c>
      <c r="S132">
        <f>HYPERLINK("https://klasma.github.io/Logging_0883/artfynd/A 27700-2024 artfynd.xlsx", "A 27700-2024")</f>
        <v/>
      </c>
      <c r="T132">
        <f>HYPERLINK("https://klasma.github.io/Logging_0883/kartor/A 27700-2024 karta.png", "A 27700-2024")</f>
        <v/>
      </c>
      <c r="V132">
        <f>HYPERLINK("https://klasma.github.io/Logging_0883/klagomål/A 27700-2024 FSC-klagomål.docx", "A 27700-2024")</f>
        <v/>
      </c>
      <c r="W132">
        <f>HYPERLINK("https://klasma.github.io/Logging_0883/klagomålsmail/A 27700-2024 FSC-klagomål mail.docx", "A 27700-2024")</f>
        <v/>
      </c>
      <c r="X132">
        <f>HYPERLINK("https://klasma.github.io/Logging_0883/tillsyn/A 27700-2024 tillsynsbegäran.docx", "A 27700-2024")</f>
        <v/>
      </c>
      <c r="Y132">
        <f>HYPERLINK("https://klasma.github.io/Logging_0883/tillsynsmail/A 27700-2024 tillsynsbegäran mail.docx", "A 27700-2024")</f>
        <v/>
      </c>
      <c r="Z132">
        <f>HYPERLINK("https://klasma.github.io/Logging_0883/fåglar/A 27700-2024 prioriterade fågelarter.docx", "A 27700-2024")</f>
        <v/>
      </c>
    </row>
    <row r="133" ht="15" customHeight="1">
      <c r="A133" t="inlineStr">
        <is>
          <t>A 21084-2025</t>
        </is>
      </c>
      <c r="B133" s="1" t="n">
        <v>45777.6084837963</v>
      </c>
      <c r="C133" s="1" t="n">
        <v>46159</v>
      </c>
      <c r="D133" t="inlineStr">
        <is>
          <t>KALMAR LÄN</t>
        </is>
      </c>
      <c r="E133" t="inlineStr">
        <is>
          <t>VÄSTERVIK</t>
        </is>
      </c>
      <c r="G133" t="n">
        <v>0.8</v>
      </c>
      <c r="H133" t="n">
        <v>2</v>
      </c>
      <c r="I133" t="n">
        <v>1</v>
      </c>
      <c r="J133" t="n">
        <v>2</v>
      </c>
      <c r="K133" t="n">
        <v>0</v>
      </c>
      <c r="L133" t="n">
        <v>0</v>
      </c>
      <c r="M133" t="n">
        <v>0</v>
      </c>
      <c r="N133" t="n">
        <v>0</v>
      </c>
      <c r="O133" t="n">
        <v>2</v>
      </c>
      <c r="P133" t="n">
        <v>0</v>
      </c>
      <c r="Q133" t="n">
        <v>3</v>
      </c>
      <c r="R133" s="2" t="inlineStr">
        <is>
          <t>Spillkråka
Talltita
Grönpyrola</t>
        </is>
      </c>
      <c r="S133">
        <f>HYPERLINK("https://klasma.github.io/Logging_0883/artfynd/A 21084-2025 artfynd.xlsx", "A 21084-2025")</f>
        <v/>
      </c>
      <c r="T133">
        <f>HYPERLINK("https://klasma.github.io/Logging_0883/kartor/A 21084-2025 karta.png", "A 21084-2025")</f>
        <v/>
      </c>
      <c r="V133">
        <f>HYPERLINK("https://klasma.github.io/Logging_0883/klagomål/A 21084-2025 FSC-klagomål.docx", "A 21084-2025")</f>
        <v/>
      </c>
      <c r="W133">
        <f>HYPERLINK("https://klasma.github.io/Logging_0883/klagomålsmail/A 21084-2025 FSC-klagomål mail.docx", "A 21084-2025")</f>
        <v/>
      </c>
      <c r="X133">
        <f>HYPERLINK("https://klasma.github.io/Logging_0883/tillsyn/A 21084-2025 tillsynsbegäran.docx", "A 21084-2025")</f>
        <v/>
      </c>
      <c r="Y133">
        <f>HYPERLINK("https://klasma.github.io/Logging_0883/tillsynsmail/A 21084-2025 tillsynsbegäran mail.docx", "A 21084-2025")</f>
        <v/>
      </c>
      <c r="Z133">
        <f>HYPERLINK("https://klasma.github.io/Logging_0883/fåglar/A 21084-2025 prioriterade fågelarter.docx", "A 21084-2025")</f>
        <v/>
      </c>
    </row>
    <row r="134" ht="15" customHeight="1">
      <c r="A134" t="inlineStr">
        <is>
          <t>A 58750-2024</t>
        </is>
      </c>
      <c r="B134" s="1" t="n">
        <v>45635.71747685185</v>
      </c>
      <c r="C134" s="1" t="n">
        <v>46159</v>
      </c>
      <c r="D134" t="inlineStr">
        <is>
          <t>KALMAR LÄN</t>
        </is>
      </c>
      <c r="E134" t="inlineStr">
        <is>
          <t>VÄSTERVIK</t>
        </is>
      </c>
      <c r="G134" t="n">
        <v>6.7</v>
      </c>
      <c r="H134" t="n">
        <v>1</v>
      </c>
      <c r="I134" t="n">
        <v>1</v>
      </c>
      <c r="J134" t="n">
        <v>1</v>
      </c>
      <c r="K134" t="n">
        <v>1</v>
      </c>
      <c r="L134" t="n">
        <v>0</v>
      </c>
      <c r="M134" t="n">
        <v>0</v>
      </c>
      <c r="N134" t="n">
        <v>0</v>
      </c>
      <c r="O134" t="n">
        <v>2</v>
      </c>
      <c r="P134" t="n">
        <v>1</v>
      </c>
      <c r="Q134" t="n">
        <v>3</v>
      </c>
      <c r="R134" s="2" t="inlineStr">
        <is>
          <t>Knärot
Tallticka
Blåmossa</t>
        </is>
      </c>
      <c r="S134">
        <f>HYPERLINK("https://klasma.github.io/Logging_0883/artfynd/A 58750-2024 artfynd.xlsx", "A 58750-2024")</f>
        <v/>
      </c>
      <c r="T134">
        <f>HYPERLINK("https://klasma.github.io/Logging_0883/kartor/A 58750-2024 karta.png", "A 58750-2024")</f>
        <v/>
      </c>
      <c r="U134">
        <f>HYPERLINK("https://klasma.github.io/Logging_0883/knärot/A 58750-2024 karta knärot.png", "A 58750-2024")</f>
        <v/>
      </c>
      <c r="V134">
        <f>HYPERLINK("https://klasma.github.io/Logging_0883/klagomål/A 58750-2024 FSC-klagomål.docx", "A 58750-2024")</f>
        <v/>
      </c>
      <c r="W134">
        <f>HYPERLINK("https://klasma.github.io/Logging_0883/klagomålsmail/A 58750-2024 FSC-klagomål mail.docx", "A 58750-2024")</f>
        <v/>
      </c>
      <c r="X134">
        <f>HYPERLINK("https://klasma.github.io/Logging_0883/tillsyn/A 58750-2024 tillsynsbegäran.docx", "A 58750-2024")</f>
        <v/>
      </c>
      <c r="Y134">
        <f>HYPERLINK("https://klasma.github.io/Logging_0883/tillsynsmail/A 58750-2024 tillsynsbegäran mail.docx", "A 58750-2024")</f>
        <v/>
      </c>
    </row>
    <row r="135" ht="15" customHeight="1">
      <c r="A135" t="inlineStr">
        <is>
          <t>A 3658-2024</t>
        </is>
      </c>
      <c r="B135" s="1" t="n">
        <v>45321</v>
      </c>
      <c r="C135" s="1" t="n">
        <v>46159</v>
      </c>
      <c r="D135" t="inlineStr">
        <is>
          <t>KALMAR LÄN</t>
        </is>
      </c>
      <c r="E135" t="inlineStr">
        <is>
          <t>VÄSTERVIK</t>
        </is>
      </c>
      <c r="G135" t="n">
        <v>2.6</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3658-2024 artfynd.xlsx", "A 3658-2024")</f>
        <v/>
      </c>
      <c r="T135">
        <f>HYPERLINK("https://klasma.github.io/Logging_0883/kartor/A 3658-2024 karta.png", "A 3658-2024")</f>
        <v/>
      </c>
      <c r="U135">
        <f>HYPERLINK("https://klasma.github.io/Logging_0883/knärot/A 3658-2024 karta knärot.png", "A 3658-2024")</f>
        <v/>
      </c>
      <c r="V135">
        <f>HYPERLINK("https://klasma.github.io/Logging_0883/klagomål/A 3658-2024 FSC-klagomål.docx", "A 3658-2024")</f>
        <v/>
      </c>
      <c r="W135">
        <f>HYPERLINK("https://klasma.github.io/Logging_0883/klagomålsmail/A 3658-2024 FSC-klagomål mail.docx", "A 3658-2024")</f>
        <v/>
      </c>
      <c r="X135">
        <f>HYPERLINK("https://klasma.github.io/Logging_0883/tillsyn/A 3658-2024 tillsynsbegäran.docx", "A 3658-2024")</f>
        <v/>
      </c>
      <c r="Y135">
        <f>HYPERLINK("https://klasma.github.io/Logging_0883/tillsynsmail/A 3658-2024 tillsynsbegäran mail.docx", "A 3658-2024")</f>
        <v/>
      </c>
    </row>
    <row r="136" ht="15" customHeight="1">
      <c r="A136" t="inlineStr">
        <is>
          <t>A 11849-2024</t>
        </is>
      </c>
      <c r="B136" s="1" t="n">
        <v>45376.41797453703</v>
      </c>
      <c r="C136" s="1" t="n">
        <v>46159</v>
      </c>
      <c r="D136" t="inlineStr">
        <is>
          <t>KALMAR LÄN</t>
        </is>
      </c>
      <c r="E136" t="inlineStr">
        <is>
          <t>VÄSTERVIK</t>
        </is>
      </c>
      <c r="F136" t="inlineStr">
        <is>
          <t>Sveaskog</t>
        </is>
      </c>
      <c r="G136" t="n">
        <v>5.3</v>
      </c>
      <c r="H136" t="n">
        <v>2</v>
      </c>
      <c r="I136" t="n">
        <v>0</v>
      </c>
      <c r="J136" t="n">
        <v>0</v>
      </c>
      <c r="K136" t="n">
        <v>0</v>
      </c>
      <c r="L136" t="n">
        <v>0</v>
      </c>
      <c r="M136" t="n">
        <v>0</v>
      </c>
      <c r="N136" t="n">
        <v>0</v>
      </c>
      <c r="O136" t="n">
        <v>0</v>
      </c>
      <c r="P136" t="n">
        <v>0</v>
      </c>
      <c r="Q136" t="n">
        <v>2</v>
      </c>
      <c r="R136" s="2" t="inlineStr">
        <is>
          <t>Mattlummer
Revlummer</t>
        </is>
      </c>
      <c r="S136">
        <f>HYPERLINK("https://klasma.github.io/Logging_0883/artfynd/A 11849-2024 artfynd.xlsx", "A 11849-2024")</f>
        <v/>
      </c>
      <c r="T136">
        <f>HYPERLINK("https://klasma.github.io/Logging_0883/kartor/A 11849-2024 karta.png", "A 11849-2024")</f>
        <v/>
      </c>
      <c r="V136">
        <f>HYPERLINK("https://klasma.github.io/Logging_0883/klagomål/A 11849-2024 FSC-klagomål.docx", "A 11849-2024")</f>
        <v/>
      </c>
      <c r="W136">
        <f>HYPERLINK("https://klasma.github.io/Logging_0883/klagomålsmail/A 11849-2024 FSC-klagomål mail.docx", "A 11849-2024")</f>
        <v/>
      </c>
      <c r="X136">
        <f>HYPERLINK("https://klasma.github.io/Logging_0883/tillsyn/A 11849-2024 tillsynsbegäran.docx", "A 11849-2024")</f>
        <v/>
      </c>
      <c r="Y136">
        <f>HYPERLINK("https://klasma.github.io/Logging_0883/tillsynsmail/A 11849-2024 tillsynsbegäran mail.docx", "A 11849-2024")</f>
        <v/>
      </c>
    </row>
    <row r="137" ht="15" customHeight="1">
      <c r="A137" t="inlineStr">
        <is>
          <t>A 12212-2024</t>
        </is>
      </c>
      <c r="B137" s="1" t="n">
        <v>45378.31111111111</v>
      </c>
      <c r="C137" s="1" t="n">
        <v>46159</v>
      </c>
      <c r="D137" t="inlineStr">
        <is>
          <t>KALMAR LÄN</t>
        </is>
      </c>
      <c r="E137" t="inlineStr">
        <is>
          <t>VÄSTERVIK</t>
        </is>
      </c>
      <c r="G137" t="n">
        <v>0.8</v>
      </c>
      <c r="H137" t="n">
        <v>2</v>
      </c>
      <c r="I137" t="n">
        <v>0</v>
      </c>
      <c r="J137" t="n">
        <v>2</v>
      </c>
      <c r="K137" t="n">
        <v>0</v>
      </c>
      <c r="L137" t="n">
        <v>0</v>
      </c>
      <c r="M137" t="n">
        <v>0</v>
      </c>
      <c r="N137" t="n">
        <v>0</v>
      </c>
      <c r="O137" t="n">
        <v>2</v>
      </c>
      <c r="P137" t="n">
        <v>0</v>
      </c>
      <c r="Q137" t="n">
        <v>2</v>
      </c>
      <c r="R137" s="2" t="inlineStr">
        <is>
          <t>Spillkråka
Talltita</t>
        </is>
      </c>
      <c r="S137">
        <f>HYPERLINK("https://klasma.github.io/Logging_0883/artfynd/A 12212-2024 artfynd.xlsx", "A 12212-2024")</f>
        <v/>
      </c>
      <c r="T137">
        <f>HYPERLINK("https://klasma.github.io/Logging_0883/kartor/A 12212-2024 karta.png", "A 12212-2024")</f>
        <v/>
      </c>
      <c r="V137">
        <f>HYPERLINK("https://klasma.github.io/Logging_0883/klagomål/A 12212-2024 FSC-klagomål.docx", "A 12212-2024")</f>
        <v/>
      </c>
      <c r="W137">
        <f>HYPERLINK("https://klasma.github.io/Logging_0883/klagomålsmail/A 12212-2024 FSC-klagomål mail.docx", "A 12212-2024")</f>
        <v/>
      </c>
      <c r="X137">
        <f>HYPERLINK("https://klasma.github.io/Logging_0883/tillsyn/A 12212-2024 tillsynsbegäran.docx", "A 12212-2024")</f>
        <v/>
      </c>
      <c r="Y137">
        <f>HYPERLINK("https://klasma.github.io/Logging_0883/tillsynsmail/A 12212-2024 tillsynsbegäran mail.docx", "A 12212-2024")</f>
        <v/>
      </c>
      <c r="Z137">
        <f>HYPERLINK("https://klasma.github.io/Logging_0883/fåglar/A 12212-2024 prioriterade fågelarter.docx", "A 12212-2024")</f>
        <v/>
      </c>
    </row>
    <row r="138" ht="15" customHeight="1">
      <c r="A138" t="inlineStr">
        <is>
          <t>A 46552-2022</t>
        </is>
      </c>
      <c r="B138" s="1" t="n">
        <v>44848</v>
      </c>
      <c r="C138" s="1" t="n">
        <v>46159</v>
      </c>
      <c r="D138" t="inlineStr">
        <is>
          <t>KALMAR LÄN</t>
        </is>
      </c>
      <c r="E138" t="inlineStr">
        <is>
          <t>VÄSTERVIK</t>
        </is>
      </c>
      <c r="F138" t="inlineStr">
        <is>
          <t>Sveaskog</t>
        </is>
      </c>
      <c r="G138" t="n">
        <v>1.7</v>
      </c>
      <c r="H138" t="n">
        <v>0</v>
      </c>
      <c r="I138" t="n">
        <v>1</v>
      </c>
      <c r="J138" t="n">
        <v>1</v>
      </c>
      <c r="K138" t="n">
        <v>0</v>
      </c>
      <c r="L138" t="n">
        <v>0</v>
      </c>
      <c r="M138" t="n">
        <v>0</v>
      </c>
      <c r="N138" t="n">
        <v>0</v>
      </c>
      <c r="O138" t="n">
        <v>1</v>
      </c>
      <c r="P138" t="n">
        <v>0</v>
      </c>
      <c r="Q138" t="n">
        <v>2</v>
      </c>
      <c r="R138" s="2" t="inlineStr">
        <is>
          <t>Motaggsvamp
Sårläka</t>
        </is>
      </c>
      <c r="S138">
        <f>HYPERLINK("https://klasma.github.io/Logging_0883/artfynd/A 46552-2022 artfynd.xlsx", "A 46552-2022")</f>
        <v/>
      </c>
      <c r="T138">
        <f>HYPERLINK("https://klasma.github.io/Logging_0883/kartor/A 46552-2022 karta.png", "A 46552-2022")</f>
        <v/>
      </c>
      <c r="V138">
        <f>HYPERLINK("https://klasma.github.io/Logging_0883/klagomål/A 46552-2022 FSC-klagomål.docx", "A 46552-2022")</f>
        <v/>
      </c>
      <c r="W138">
        <f>HYPERLINK("https://klasma.github.io/Logging_0883/klagomålsmail/A 46552-2022 FSC-klagomål mail.docx", "A 46552-2022")</f>
        <v/>
      </c>
      <c r="X138">
        <f>HYPERLINK("https://klasma.github.io/Logging_0883/tillsyn/A 46552-2022 tillsynsbegäran.docx", "A 46552-2022")</f>
        <v/>
      </c>
      <c r="Y138">
        <f>HYPERLINK("https://klasma.github.io/Logging_0883/tillsynsmail/A 46552-2022 tillsynsbegäran mail.docx", "A 46552-2022")</f>
        <v/>
      </c>
    </row>
    <row r="139" ht="15" customHeight="1">
      <c r="A139" t="inlineStr">
        <is>
          <t>A 61804-2023</t>
        </is>
      </c>
      <c r="B139" s="1" t="n">
        <v>45266</v>
      </c>
      <c r="C139" s="1" t="n">
        <v>46159</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46787-2022</t>
        </is>
      </c>
      <c r="B140" s="1" t="n">
        <v>44851</v>
      </c>
      <c r="C140" s="1" t="n">
        <v>46159</v>
      </c>
      <c r="D140" t="inlineStr">
        <is>
          <t>KALMAR LÄN</t>
        </is>
      </c>
      <c r="E140" t="inlineStr">
        <is>
          <t>VÄSTERVIK</t>
        </is>
      </c>
      <c r="G140" t="n">
        <v>4.4</v>
      </c>
      <c r="H140" t="n">
        <v>0</v>
      </c>
      <c r="I140" t="n">
        <v>0</v>
      </c>
      <c r="J140" t="n">
        <v>2</v>
      </c>
      <c r="K140" t="n">
        <v>0</v>
      </c>
      <c r="L140" t="n">
        <v>0</v>
      </c>
      <c r="M140" t="n">
        <v>0</v>
      </c>
      <c r="N140" t="n">
        <v>0</v>
      </c>
      <c r="O140" t="n">
        <v>2</v>
      </c>
      <c r="P140" t="n">
        <v>0</v>
      </c>
      <c r="Q140" t="n">
        <v>2</v>
      </c>
      <c r="R140" s="2" t="inlineStr">
        <is>
          <t>Motaggsvamp
Tallticka</t>
        </is>
      </c>
      <c r="S140">
        <f>HYPERLINK("https://klasma.github.io/Logging_0883/artfynd/A 46787-2022 artfynd.xlsx", "A 46787-2022")</f>
        <v/>
      </c>
      <c r="T140">
        <f>HYPERLINK("https://klasma.github.io/Logging_0883/kartor/A 46787-2022 karta.png", "A 46787-2022")</f>
        <v/>
      </c>
      <c r="V140">
        <f>HYPERLINK("https://klasma.github.io/Logging_0883/klagomål/A 46787-2022 FSC-klagomål.docx", "A 46787-2022")</f>
        <v/>
      </c>
      <c r="W140">
        <f>HYPERLINK("https://klasma.github.io/Logging_0883/klagomålsmail/A 46787-2022 FSC-klagomål mail.docx", "A 46787-2022")</f>
        <v/>
      </c>
      <c r="X140">
        <f>HYPERLINK("https://klasma.github.io/Logging_0883/tillsyn/A 46787-2022 tillsynsbegäran.docx", "A 46787-2022")</f>
        <v/>
      </c>
      <c r="Y140">
        <f>HYPERLINK("https://klasma.github.io/Logging_0883/tillsynsmail/A 46787-2022 tillsynsbegäran mail.docx", "A 46787-2022")</f>
        <v/>
      </c>
    </row>
    <row r="141" ht="15" customHeight="1">
      <c r="A141" t="inlineStr">
        <is>
          <t>A 2126-2024</t>
        </is>
      </c>
      <c r="B141" s="1" t="n">
        <v>45309</v>
      </c>
      <c r="C141" s="1" t="n">
        <v>46159</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2126-2024 artfynd.xlsx", "A 2126-2024")</f>
        <v/>
      </c>
      <c r="T141">
        <f>HYPERLINK("https://klasma.github.io/Logging_0883/kartor/A 2126-2024 karta.png", "A 2126-2024")</f>
        <v/>
      </c>
      <c r="U141">
        <f>HYPERLINK("https://klasma.github.io/Logging_0883/knärot/A 2126-2024 karta knärot.png", "A 2126-2024")</f>
        <v/>
      </c>
      <c r="V141">
        <f>HYPERLINK("https://klasma.github.io/Logging_0883/klagomål/A 2126-2024 FSC-klagomål.docx", "A 2126-2024")</f>
        <v/>
      </c>
      <c r="W141">
        <f>HYPERLINK("https://klasma.github.io/Logging_0883/klagomålsmail/A 2126-2024 FSC-klagomål mail.docx", "A 2126-2024")</f>
        <v/>
      </c>
      <c r="X141">
        <f>HYPERLINK("https://klasma.github.io/Logging_0883/tillsyn/A 2126-2024 tillsynsbegäran.docx", "A 2126-2024")</f>
        <v/>
      </c>
      <c r="Y141">
        <f>HYPERLINK("https://klasma.github.io/Logging_0883/tillsynsmail/A 2126-2024 tillsynsbegäran mail.docx", "A 2126-2024")</f>
        <v/>
      </c>
      <c r="Z141">
        <f>HYPERLINK("https://klasma.github.io/Logging_0883/fåglar/A 2126-2024 prioriterade fågelarter.docx", "A 2126-2024")</f>
        <v/>
      </c>
    </row>
    <row r="142" ht="15" customHeight="1">
      <c r="A142" t="inlineStr">
        <is>
          <t>A 3173-2023</t>
        </is>
      </c>
      <c r="B142" s="1" t="n">
        <v>44946</v>
      </c>
      <c r="C142" s="1" t="n">
        <v>46159</v>
      </c>
      <c r="D142" t="inlineStr">
        <is>
          <t>KALMAR LÄN</t>
        </is>
      </c>
      <c r="E142" t="inlineStr">
        <is>
          <t>VÄSTERVIK</t>
        </is>
      </c>
      <c r="G142" t="n">
        <v>4</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3173-2023 artfynd.xlsx", "A 3173-2023")</f>
        <v/>
      </c>
      <c r="T142">
        <f>HYPERLINK("https://klasma.github.io/Logging_0883/kartor/A 3173-2023 karta.png", "A 3173-2023")</f>
        <v/>
      </c>
      <c r="U142">
        <f>HYPERLINK("https://klasma.github.io/Logging_0883/knärot/A 3173-2023 karta knärot.png", "A 3173-2023")</f>
        <v/>
      </c>
      <c r="V142">
        <f>HYPERLINK("https://klasma.github.io/Logging_0883/klagomål/A 3173-2023 FSC-klagomål.docx", "A 3173-2023")</f>
        <v/>
      </c>
      <c r="W142">
        <f>HYPERLINK("https://klasma.github.io/Logging_0883/klagomålsmail/A 3173-2023 FSC-klagomål mail.docx", "A 3173-2023")</f>
        <v/>
      </c>
      <c r="X142">
        <f>HYPERLINK("https://klasma.github.io/Logging_0883/tillsyn/A 3173-2023 tillsynsbegäran.docx", "A 3173-2023")</f>
        <v/>
      </c>
      <c r="Y142">
        <f>HYPERLINK("https://klasma.github.io/Logging_0883/tillsynsmail/A 3173-2023 tillsynsbegäran mail.docx", "A 3173-2023")</f>
        <v/>
      </c>
    </row>
    <row r="143" ht="15" customHeight="1">
      <c r="A143" t="inlineStr">
        <is>
          <t>A 21081-2025</t>
        </is>
      </c>
      <c r="B143" s="1" t="n">
        <v>45777</v>
      </c>
      <c r="C143" s="1" t="n">
        <v>46159</v>
      </c>
      <c r="D143" t="inlineStr">
        <is>
          <t>KALMAR LÄN</t>
        </is>
      </c>
      <c r="E143" t="inlineStr">
        <is>
          <t>VÄSTERVIK</t>
        </is>
      </c>
      <c r="G143" t="n">
        <v>1</v>
      </c>
      <c r="H143" t="n">
        <v>1</v>
      </c>
      <c r="I143" t="n">
        <v>0</v>
      </c>
      <c r="J143" t="n">
        <v>1</v>
      </c>
      <c r="K143" t="n">
        <v>1</v>
      </c>
      <c r="L143" t="n">
        <v>0</v>
      </c>
      <c r="M143" t="n">
        <v>0</v>
      </c>
      <c r="N143" t="n">
        <v>0</v>
      </c>
      <c r="O143" t="n">
        <v>2</v>
      </c>
      <c r="P143" t="n">
        <v>1</v>
      </c>
      <c r="Q143" t="n">
        <v>2</v>
      </c>
      <c r="R143" s="2" t="inlineStr">
        <is>
          <t>Knärot
Ullticka</t>
        </is>
      </c>
      <c r="S143">
        <f>HYPERLINK("https://klasma.github.io/Logging_0883/artfynd/A 21081-2025 artfynd.xlsx", "A 21081-2025")</f>
        <v/>
      </c>
      <c r="T143">
        <f>HYPERLINK("https://klasma.github.io/Logging_0883/kartor/A 21081-2025 karta.png", "A 21081-2025")</f>
        <v/>
      </c>
      <c r="U143">
        <f>HYPERLINK("https://klasma.github.io/Logging_0883/knärot/A 21081-2025 karta knärot.png", "A 21081-2025")</f>
        <v/>
      </c>
      <c r="V143">
        <f>HYPERLINK("https://klasma.github.io/Logging_0883/klagomål/A 21081-2025 FSC-klagomål.docx", "A 21081-2025")</f>
        <v/>
      </c>
      <c r="W143">
        <f>HYPERLINK("https://klasma.github.io/Logging_0883/klagomålsmail/A 21081-2025 FSC-klagomål mail.docx", "A 21081-2025")</f>
        <v/>
      </c>
      <c r="X143">
        <f>HYPERLINK("https://klasma.github.io/Logging_0883/tillsyn/A 21081-2025 tillsynsbegäran.docx", "A 21081-2025")</f>
        <v/>
      </c>
      <c r="Y143">
        <f>HYPERLINK("https://klasma.github.io/Logging_0883/tillsynsmail/A 21081-2025 tillsynsbegäran mail.docx", "A 21081-2025")</f>
        <v/>
      </c>
    </row>
    <row r="144" ht="15" customHeight="1">
      <c r="A144" t="inlineStr">
        <is>
          <t>A 9040-2023</t>
        </is>
      </c>
      <c r="B144" s="1" t="n">
        <v>44979</v>
      </c>
      <c r="C144" s="1" t="n">
        <v>46159</v>
      </c>
      <c r="D144" t="inlineStr">
        <is>
          <t>KALMAR LÄN</t>
        </is>
      </c>
      <c r="E144" t="inlineStr">
        <is>
          <t>VÄSTERVIK</t>
        </is>
      </c>
      <c r="G144" t="n">
        <v>5.1</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9040-2023 artfynd.xlsx", "A 9040-2023")</f>
        <v/>
      </c>
      <c r="T144">
        <f>HYPERLINK("https://klasma.github.io/Logging_0883/kartor/A 9040-2023 karta.png", "A 9040-2023")</f>
        <v/>
      </c>
      <c r="U144">
        <f>HYPERLINK("https://klasma.github.io/Logging_0883/knärot/A 9040-2023 karta knärot.png", "A 9040-2023")</f>
        <v/>
      </c>
      <c r="V144">
        <f>HYPERLINK("https://klasma.github.io/Logging_0883/klagomål/A 9040-2023 FSC-klagomål.docx", "A 9040-2023")</f>
        <v/>
      </c>
      <c r="W144">
        <f>HYPERLINK("https://klasma.github.io/Logging_0883/klagomålsmail/A 9040-2023 FSC-klagomål mail.docx", "A 9040-2023")</f>
        <v/>
      </c>
      <c r="X144">
        <f>HYPERLINK("https://klasma.github.io/Logging_0883/tillsyn/A 9040-2023 tillsynsbegäran.docx", "A 9040-2023")</f>
        <v/>
      </c>
      <c r="Y144">
        <f>HYPERLINK("https://klasma.github.io/Logging_0883/tillsynsmail/A 9040-2023 tillsynsbegäran mail.docx", "A 9040-2023")</f>
        <v/>
      </c>
    </row>
    <row r="145" ht="15" customHeight="1">
      <c r="A145" t="inlineStr">
        <is>
          <t>A 33687-2025</t>
        </is>
      </c>
      <c r="B145" s="1" t="n">
        <v>45841.69072916666</v>
      </c>
      <c r="C145" s="1" t="n">
        <v>46159</v>
      </c>
      <c r="D145" t="inlineStr">
        <is>
          <t>KALMAR LÄN</t>
        </is>
      </c>
      <c r="E145" t="inlineStr">
        <is>
          <t>VÄSTERVIK</t>
        </is>
      </c>
      <c r="G145" t="n">
        <v>1.7</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33687-2025 artfynd.xlsx", "A 33687-2025")</f>
        <v/>
      </c>
      <c r="T145">
        <f>HYPERLINK("https://klasma.github.io/Logging_0883/kartor/A 33687-2025 karta.png", "A 33687-2025")</f>
        <v/>
      </c>
      <c r="U145">
        <f>HYPERLINK("https://klasma.github.io/Logging_0883/knärot/A 33687-2025 karta knärot.png", "A 33687-2025")</f>
        <v/>
      </c>
      <c r="V145">
        <f>HYPERLINK("https://klasma.github.io/Logging_0883/klagomål/A 33687-2025 FSC-klagomål.docx", "A 33687-2025")</f>
        <v/>
      </c>
      <c r="W145">
        <f>HYPERLINK("https://klasma.github.io/Logging_0883/klagomålsmail/A 33687-2025 FSC-klagomål mail.docx", "A 33687-2025")</f>
        <v/>
      </c>
      <c r="X145">
        <f>HYPERLINK("https://klasma.github.io/Logging_0883/tillsyn/A 33687-2025 tillsynsbegäran.docx", "A 33687-2025")</f>
        <v/>
      </c>
      <c r="Y145">
        <f>HYPERLINK("https://klasma.github.io/Logging_0883/tillsynsmail/A 33687-2025 tillsynsbegäran mail.docx", "A 33687-2025")</f>
        <v/>
      </c>
      <c r="Z145">
        <f>HYPERLINK("https://klasma.github.io/Logging_0883/fåglar/A 33687-2025 prioriterade fågelarter.docx", "A 33687-2025")</f>
        <v/>
      </c>
    </row>
    <row r="146" ht="15" customHeight="1">
      <c r="A146" t="inlineStr">
        <is>
          <t>A 52723-2024</t>
        </is>
      </c>
      <c r="B146" s="1" t="n">
        <v>45610.44008101852</v>
      </c>
      <c r="C146" s="1" t="n">
        <v>46159</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4778-2025</t>
        </is>
      </c>
      <c r="B147" s="1" t="n">
        <v>45688</v>
      </c>
      <c r="C147" s="1" t="n">
        <v>46159</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46157-2025</t>
        </is>
      </c>
      <c r="B148" s="1" t="n">
        <v>45924.63246527778</v>
      </c>
      <c r="C148" s="1" t="n">
        <v>46159</v>
      </c>
      <c r="D148" t="inlineStr">
        <is>
          <t>KALMAR LÄN</t>
        </is>
      </c>
      <c r="E148" t="inlineStr">
        <is>
          <t>VÄSTERVIK</t>
        </is>
      </c>
      <c r="G148" t="n">
        <v>3.1</v>
      </c>
      <c r="H148" t="n">
        <v>2</v>
      </c>
      <c r="I148" t="n">
        <v>0</v>
      </c>
      <c r="J148" t="n">
        <v>1</v>
      </c>
      <c r="K148" t="n">
        <v>0</v>
      </c>
      <c r="L148" t="n">
        <v>0</v>
      </c>
      <c r="M148" t="n">
        <v>0</v>
      </c>
      <c r="N148" t="n">
        <v>0</v>
      </c>
      <c r="O148" t="n">
        <v>1</v>
      </c>
      <c r="P148" t="n">
        <v>0</v>
      </c>
      <c r="Q148" t="n">
        <v>2</v>
      </c>
      <c r="R148" s="2" t="inlineStr">
        <is>
          <t>Spillkråka
Kungsfågel</t>
        </is>
      </c>
      <c r="S148">
        <f>HYPERLINK("https://klasma.github.io/Logging_0883/artfynd/A 46157-2025 artfynd.xlsx", "A 46157-2025")</f>
        <v/>
      </c>
      <c r="T148">
        <f>HYPERLINK("https://klasma.github.io/Logging_0883/kartor/A 46157-2025 karta.png", "A 46157-2025")</f>
        <v/>
      </c>
      <c r="V148">
        <f>HYPERLINK("https://klasma.github.io/Logging_0883/klagomål/A 46157-2025 FSC-klagomål.docx", "A 46157-2025")</f>
        <v/>
      </c>
      <c r="W148">
        <f>HYPERLINK("https://klasma.github.io/Logging_0883/klagomålsmail/A 46157-2025 FSC-klagomål mail.docx", "A 46157-2025")</f>
        <v/>
      </c>
      <c r="X148">
        <f>HYPERLINK("https://klasma.github.io/Logging_0883/tillsyn/A 46157-2025 tillsynsbegäran.docx", "A 46157-2025")</f>
        <v/>
      </c>
      <c r="Y148">
        <f>HYPERLINK("https://klasma.github.io/Logging_0883/tillsynsmail/A 46157-2025 tillsynsbegäran mail.docx", "A 46157-2025")</f>
        <v/>
      </c>
      <c r="Z148">
        <f>HYPERLINK("https://klasma.github.io/Logging_0883/fåglar/A 46157-2025 prioriterade fågelarter.docx", "A 46157-2025")</f>
        <v/>
      </c>
    </row>
    <row r="149" ht="15" customHeight="1">
      <c r="A149" t="inlineStr">
        <is>
          <t>A 2515-2023</t>
        </is>
      </c>
      <c r="B149" s="1" t="n">
        <v>44943</v>
      </c>
      <c r="C149" s="1" t="n">
        <v>46159</v>
      </c>
      <c r="D149" t="inlineStr">
        <is>
          <t>KALMAR LÄN</t>
        </is>
      </c>
      <c r="E149" t="inlineStr">
        <is>
          <t>VÄSTERVIK</t>
        </is>
      </c>
      <c r="G149" t="n">
        <v>1.3</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2515-2023 artfynd.xlsx", "A 2515-2023")</f>
        <v/>
      </c>
      <c r="T149">
        <f>HYPERLINK("https://klasma.github.io/Logging_0883/kartor/A 2515-2023 karta.png", "A 2515-2023")</f>
        <v/>
      </c>
      <c r="U149">
        <f>HYPERLINK("https://klasma.github.io/Logging_0883/knärot/A 2515-2023 karta knärot.png", "A 2515-2023")</f>
        <v/>
      </c>
      <c r="V149">
        <f>HYPERLINK("https://klasma.github.io/Logging_0883/klagomål/A 2515-2023 FSC-klagomål.docx", "A 2515-2023")</f>
        <v/>
      </c>
      <c r="W149">
        <f>HYPERLINK("https://klasma.github.io/Logging_0883/klagomålsmail/A 2515-2023 FSC-klagomål mail.docx", "A 2515-2023")</f>
        <v/>
      </c>
      <c r="X149">
        <f>HYPERLINK("https://klasma.github.io/Logging_0883/tillsyn/A 2515-2023 tillsynsbegäran.docx", "A 2515-2023")</f>
        <v/>
      </c>
      <c r="Y149">
        <f>HYPERLINK("https://klasma.github.io/Logging_0883/tillsynsmail/A 2515-2023 tillsynsbegäran mail.docx", "A 2515-2023")</f>
        <v/>
      </c>
    </row>
    <row r="150" ht="15" customHeight="1">
      <c r="A150" t="inlineStr">
        <is>
          <t>A 17438-2024</t>
        </is>
      </c>
      <c r="B150" s="1" t="n">
        <v>45415</v>
      </c>
      <c r="C150" s="1" t="n">
        <v>46159</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10784-2025</t>
        </is>
      </c>
      <c r="B151" s="1" t="n">
        <v>45722</v>
      </c>
      <c r="C151" s="1" t="n">
        <v>46159</v>
      </c>
      <c r="D151" t="inlineStr">
        <is>
          <t>KALMAR LÄN</t>
        </is>
      </c>
      <c r="E151" t="inlineStr">
        <is>
          <t>VÄSTERVIK</t>
        </is>
      </c>
      <c r="G151" t="n">
        <v>2.1</v>
      </c>
      <c r="H151" t="n">
        <v>2</v>
      </c>
      <c r="I151" t="n">
        <v>0</v>
      </c>
      <c r="J151" t="n">
        <v>1</v>
      </c>
      <c r="K151" t="n">
        <v>0</v>
      </c>
      <c r="L151" t="n">
        <v>0</v>
      </c>
      <c r="M151" t="n">
        <v>0</v>
      </c>
      <c r="N151" t="n">
        <v>0</v>
      </c>
      <c r="O151" t="n">
        <v>1</v>
      </c>
      <c r="P151" t="n">
        <v>0</v>
      </c>
      <c r="Q151" t="n">
        <v>2</v>
      </c>
      <c r="R151" s="2" t="inlineStr">
        <is>
          <t>Talltita
Kungsfågel</t>
        </is>
      </c>
      <c r="S151">
        <f>HYPERLINK("https://klasma.github.io/Logging_0883/artfynd/A 10784-2025 artfynd.xlsx", "A 10784-2025")</f>
        <v/>
      </c>
      <c r="T151">
        <f>HYPERLINK("https://klasma.github.io/Logging_0883/kartor/A 10784-2025 karta.png", "A 10784-2025")</f>
        <v/>
      </c>
      <c r="V151">
        <f>HYPERLINK("https://klasma.github.io/Logging_0883/klagomål/A 10784-2025 FSC-klagomål.docx", "A 10784-2025")</f>
        <v/>
      </c>
      <c r="W151">
        <f>HYPERLINK("https://klasma.github.io/Logging_0883/klagomålsmail/A 10784-2025 FSC-klagomål mail.docx", "A 10784-2025")</f>
        <v/>
      </c>
      <c r="X151">
        <f>HYPERLINK("https://klasma.github.io/Logging_0883/tillsyn/A 10784-2025 tillsynsbegäran.docx", "A 10784-2025")</f>
        <v/>
      </c>
      <c r="Y151">
        <f>HYPERLINK("https://klasma.github.io/Logging_0883/tillsynsmail/A 10784-2025 tillsynsbegäran mail.docx", "A 10784-2025")</f>
        <v/>
      </c>
      <c r="Z151">
        <f>HYPERLINK("https://klasma.github.io/Logging_0883/fåglar/A 10784-2025 prioriterade fågelarter.docx", "A 10784-2025")</f>
        <v/>
      </c>
    </row>
    <row r="152" ht="15" customHeight="1">
      <c r="A152" t="inlineStr">
        <is>
          <t>A 1373-2024</t>
        </is>
      </c>
      <c r="B152" s="1" t="n">
        <v>45303</v>
      </c>
      <c r="C152" s="1" t="n">
        <v>46159</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34292-2025</t>
        </is>
      </c>
      <c r="B153" s="1" t="n">
        <v>45846.34083333334</v>
      </c>
      <c r="C153" s="1" t="n">
        <v>46159</v>
      </c>
      <c r="D153" t="inlineStr">
        <is>
          <t>KALMAR LÄN</t>
        </is>
      </c>
      <c r="E153" t="inlineStr">
        <is>
          <t>VÄSTERVIK</t>
        </is>
      </c>
      <c r="G153" t="n">
        <v>3.4</v>
      </c>
      <c r="H153" t="n">
        <v>0</v>
      </c>
      <c r="I153" t="n">
        <v>1</v>
      </c>
      <c r="J153" t="n">
        <v>1</v>
      </c>
      <c r="K153" t="n">
        <v>0</v>
      </c>
      <c r="L153" t="n">
        <v>0</v>
      </c>
      <c r="M153" t="n">
        <v>0</v>
      </c>
      <c r="N153" t="n">
        <v>0</v>
      </c>
      <c r="O153" t="n">
        <v>1</v>
      </c>
      <c r="P153" t="n">
        <v>0</v>
      </c>
      <c r="Q153" t="n">
        <v>2</v>
      </c>
      <c r="R153" s="2" t="inlineStr">
        <is>
          <t>Tallticka
Blåmossa</t>
        </is>
      </c>
      <c r="S153">
        <f>HYPERLINK("https://klasma.github.io/Logging_0883/artfynd/A 34292-2025 artfynd.xlsx", "A 34292-2025")</f>
        <v/>
      </c>
      <c r="T153">
        <f>HYPERLINK("https://klasma.github.io/Logging_0883/kartor/A 34292-2025 karta.png", "A 34292-2025")</f>
        <v/>
      </c>
      <c r="V153">
        <f>HYPERLINK("https://klasma.github.io/Logging_0883/klagomål/A 34292-2025 FSC-klagomål.docx", "A 34292-2025")</f>
        <v/>
      </c>
      <c r="W153">
        <f>HYPERLINK("https://klasma.github.io/Logging_0883/klagomålsmail/A 34292-2025 FSC-klagomål mail.docx", "A 34292-2025")</f>
        <v/>
      </c>
      <c r="X153">
        <f>HYPERLINK("https://klasma.github.io/Logging_0883/tillsyn/A 34292-2025 tillsynsbegäran.docx", "A 34292-2025")</f>
        <v/>
      </c>
      <c r="Y153">
        <f>HYPERLINK("https://klasma.github.io/Logging_0883/tillsynsmail/A 34292-2025 tillsynsbegäran mail.docx", "A 34292-2025")</f>
        <v/>
      </c>
    </row>
    <row r="154" ht="15" customHeight="1">
      <c r="A154" t="inlineStr">
        <is>
          <t>A 48877-2025</t>
        </is>
      </c>
      <c r="B154" s="1" t="n">
        <v>45937.4565162037</v>
      </c>
      <c r="C154" s="1" t="n">
        <v>46159</v>
      </c>
      <c r="D154" t="inlineStr">
        <is>
          <t>KALMAR LÄN</t>
        </is>
      </c>
      <c r="E154" t="inlineStr">
        <is>
          <t>VÄSTERVIK</t>
        </is>
      </c>
      <c r="F154" t="inlineStr">
        <is>
          <t>Sveaskog</t>
        </is>
      </c>
      <c r="G154" t="n">
        <v>1.9</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48877-2025 artfynd.xlsx", "A 48877-2025")</f>
        <v/>
      </c>
      <c r="T154">
        <f>HYPERLINK("https://klasma.github.io/Logging_0883/kartor/A 48877-2025 karta.png", "A 48877-2025")</f>
        <v/>
      </c>
      <c r="V154">
        <f>HYPERLINK("https://klasma.github.io/Logging_0883/klagomål/A 48877-2025 FSC-klagomål.docx", "A 48877-2025")</f>
        <v/>
      </c>
      <c r="W154">
        <f>HYPERLINK("https://klasma.github.io/Logging_0883/klagomålsmail/A 48877-2025 FSC-klagomål mail.docx", "A 48877-2025")</f>
        <v/>
      </c>
      <c r="X154">
        <f>HYPERLINK("https://klasma.github.io/Logging_0883/tillsyn/A 48877-2025 tillsynsbegäran.docx", "A 48877-2025")</f>
        <v/>
      </c>
      <c r="Y154">
        <f>HYPERLINK("https://klasma.github.io/Logging_0883/tillsynsmail/A 48877-2025 tillsynsbegäran mail.docx", "A 48877-2025")</f>
        <v/>
      </c>
    </row>
    <row r="155" ht="15" customHeight="1">
      <c r="A155" t="inlineStr">
        <is>
          <t>A 48892-2025</t>
        </is>
      </c>
      <c r="B155" s="1" t="n">
        <v>45937.47267361111</v>
      </c>
      <c r="C155" s="1" t="n">
        <v>46159</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49414-2025</t>
        </is>
      </c>
      <c r="B156" s="1" t="n">
        <v>45938.68725694445</v>
      </c>
      <c r="C156" s="1" t="n">
        <v>46159</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25435-2023</t>
        </is>
      </c>
      <c r="B157" s="1" t="n">
        <v>45089</v>
      </c>
      <c r="C157" s="1" t="n">
        <v>46159</v>
      </c>
      <c r="D157" t="inlineStr">
        <is>
          <t>KALMAR LÄN</t>
        </is>
      </c>
      <c r="E157" t="inlineStr">
        <is>
          <t>VÄSTERVIK</t>
        </is>
      </c>
      <c r="G157" t="n">
        <v>1.6</v>
      </c>
      <c r="H157" t="n">
        <v>2</v>
      </c>
      <c r="I157" t="n">
        <v>0</v>
      </c>
      <c r="J157" t="n">
        <v>0</v>
      </c>
      <c r="K157" t="n">
        <v>1</v>
      </c>
      <c r="L157" t="n">
        <v>0</v>
      </c>
      <c r="M157" t="n">
        <v>0</v>
      </c>
      <c r="N157" t="n">
        <v>0</v>
      </c>
      <c r="O157" t="n">
        <v>1</v>
      </c>
      <c r="P157" t="n">
        <v>1</v>
      </c>
      <c r="Q157" t="n">
        <v>2</v>
      </c>
      <c r="R157" s="2" t="inlineStr">
        <is>
          <t>Knärot
Tjäder</t>
        </is>
      </c>
      <c r="S157">
        <f>HYPERLINK("https://klasma.github.io/Logging_0883/artfynd/A 25435-2023 artfynd.xlsx", "A 25435-2023")</f>
        <v/>
      </c>
      <c r="T157">
        <f>HYPERLINK("https://klasma.github.io/Logging_0883/kartor/A 25435-2023 karta.png", "A 25435-2023")</f>
        <v/>
      </c>
      <c r="U157">
        <f>HYPERLINK("https://klasma.github.io/Logging_0883/knärot/A 25435-2023 karta knärot.png", "A 25435-2023")</f>
        <v/>
      </c>
      <c r="V157">
        <f>HYPERLINK("https://klasma.github.io/Logging_0883/klagomål/A 25435-2023 FSC-klagomål.docx", "A 25435-2023")</f>
        <v/>
      </c>
      <c r="W157">
        <f>HYPERLINK("https://klasma.github.io/Logging_0883/klagomålsmail/A 25435-2023 FSC-klagomål mail.docx", "A 25435-2023")</f>
        <v/>
      </c>
      <c r="X157">
        <f>HYPERLINK("https://klasma.github.io/Logging_0883/tillsyn/A 25435-2023 tillsynsbegäran.docx", "A 25435-2023")</f>
        <v/>
      </c>
      <c r="Y157">
        <f>HYPERLINK("https://klasma.github.io/Logging_0883/tillsynsmail/A 25435-2023 tillsynsbegäran mail.docx", "A 25435-2023")</f>
        <v/>
      </c>
      <c r="Z157">
        <f>HYPERLINK("https://klasma.github.io/Logging_0883/fåglar/A 25435-2023 prioriterade fågelarter.docx", "A 25435-2023")</f>
        <v/>
      </c>
    </row>
    <row r="158" ht="15" customHeight="1">
      <c r="A158" t="inlineStr">
        <is>
          <t>A 53769-2021</t>
        </is>
      </c>
      <c r="B158" s="1" t="n">
        <v>44467</v>
      </c>
      <c r="C158" s="1" t="n">
        <v>46159</v>
      </c>
      <c r="D158" t="inlineStr">
        <is>
          <t>KALMAR LÄN</t>
        </is>
      </c>
      <c r="E158" t="inlineStr">
        <is>
          <t>VÄSTERVIK</t>
        </is>
      </c>
      <c r="G158" t="n">
        <v>2.2</v>
      </c>
      <c r="H158" t="n">
        <v>1</v>
      </c>
      <c r="I158" t="n">
        <v>2</v>
      </c>
      <c r="J158" t="n">
        <v>0</v>
      </c>
      <c r="K158" t="n">
        <v>0</v>
      </c>
      <c r="L158" t="n">
        <v>0</v>
      </c>
      <c r="M158" t="n">
        <v>0</v>
      </c>
      <c r="N158" t="n">
        <v>0</v>
      </c>
      <c r="O158" t="n">
        <v>0</v>
      </c>
      <c r="P158" t="n">
        <v>0</v>
      </c>
      <c r="Q158" t="n">
        <v>2</v>
      </c>
      <c r="R158" s="2" t="inlineStr">
        <is>
          <t>Grön sköldmossa
Stubbspretmossa</t>
        </is>
      </c>
      <c r="S158">
        <f>HYPERLINK("https://klasma.github.io/Logging_0883/artfynd/A 53769-2021 artfynd.xlsx", "A 53769-2021")</f>
        <v/>
      </c>
      <c r="T158">
        <f>HYPERLINK("https://klasma.github.io/Logging_0883/kartor/A 53769-2021 karta.png", "A 53769-2021")</f>
        <v/>
      </c>
      <c r="V158">
        <f>HYPERLINK("https://klasma.github.io/Logging_0883/klagomål/A 53769-2021 FSC-klagomål.docx", "A 53769-2021")</f>
        <v/>
      </c>
      <c r="W158">
        <f>HYPERLINK("https://klasma.github.io/Logging_0883/klagomålsmail/A 53769-2021 FSC-klagomål mail.docx", "A 53769-2021")</f>
        <v/>
      </c>
      <c r="X158">
        <f>HYPERLINK("https://klasma.github.io/Logging_0883/tillsyn/A 53769-2021 tillsynsbegäran.docx", "A 53769-2021")</f>
        <v/>
      </c>
      <c r="Y158">
        <f>HYPERLINK("https://klasma.github.io/Logging_0883/tillsynsmail/A 53769-2021 tillsynsbegäran mail.docx", "A 53769-2021")</f>
        <v/>
      </c>
    </row>
    <row r="159" ht="15" customHeight="1">
      <c r="A159" t="inlineStr">
        <is>
          <t>A 15534-2024</t>
        </is>
      </c>
      <c r="B159" s="1" t="n">
        <v>45401</v>
      </c>
      <c r="C159" s="1" t="n">
        <v>46159</v>
      </c>
      <c r="D159" t="inlineStr">
        <is>
          <t>KALMAR LÄN</t>
        </is>
      </c>
      <c r="E159" t="inlineStr">
        <is>
          <t>VÄSTERVIK</t>
        </is>
      </c>
      <c r="F159" t="inlineStr">
        <is>
          <t>Holmen skog AB</t>
        </is>
      </c>
      <c r="G159" t="n">
        <v>5.1</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15534-2024 artfynd.xlsx", "A 15534-2024")</f>
        <v/>
      </c>
      <c r="T159">
        <f>HYPERLINK("https://klasma.github.io/Logging_0883/kartor/A 15534-2024 karta.png", "A 15534-2024")</f>
        <v/>
      </c>
      <c r="U159">
        <f>HYPERLINK("https://klasma.github.io/Logging_0883/knärot/A 15534-2024 karta knärot.png", "A 15534-2024")</f>
        <v/>
      </c>
      <c r="V159">
        <f>HYPERLINK("https://klasma.github.io/Logging_0883/klagomål/A 15534-2024 FSC-klagomål.docx", "A 15534-2024")</f>
        <v/>
      </c>
      <c r="W159">
        <f>HYPERLINK("https://klasma.github.io/Logging_0883/klagomålsmail/A 15534-2024 FSC-klagomål mail.docx", "A 15534-2024")</f>
        <v/>
      </c>
      <c r="X159">
        <f>HYPERLINK("https://klasma.github.io/Logging_0883/tillsyn/A 15534-2024 tillsynsbegäran.docx", "A 15534-2024")</f>
        <v/>
      </c>
      <c r="Y159">
        <f>HYPERLINK("https://klasma.github.io/Logging_0883/tillsynsmail/A 15534-2024 tillsynsbegäran mail.docx", "A 15534-2024")</f>
        <v/>
      </c>
    </row>
    <row r="160" ht="15" customHeight="1">
      <c r="A160" t="inlineStr">
        <is>
          <t>A 50647-2025</t>
        </is>
      </c>
      <c r="B160" s="1" t="n">
        <v>45945.65792824074</v>
      </c>
      <c r="C160" s="1" t="n">
        <v>46159</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6195-2026</t>
        </is>
      </c>
      <c r="B161" s="1" t="n">
        <v>46055.39365740741</v>
      </c>
      <c r="C161" s="1" t="n">
        <v>46159</v>
      </c>
      <c r="D161" t="inlineStr">
        <is>
          <t>KALMAR LÄN</t>
        </is>
      </c>
      <c r="E161" t="inlineStr">
        <is>
          <t>VÄSTERVIK</t>
        </is>
      </c>
      <c r="G161" t="n">
        <v>1.4</v>
      </c>
      <c r="H161" t="n">
        <v>2</v>
      </c>
      <c r="I161" t="n">
        <v>1</v>
      </c>
      <c r="J161" t="n">
        <v>0</v>
      </c>
      <c r="K161" t="n">
        <v>0</v>
      </c>
      <c r="L161" t="n">
        <v>0</v>
      </c>
      <c r="M161" t="n">
        <v>0</v>
      </c>
      <c r="N161" t="n">
        <v>0</v>
      </c>
      <c r="O161" t="n">
        <v>0</v>
      </c>
      <c r="P161" t="n">
        <v>0</v>
      </c>
      <c r="Q161" t="n">
        <v>2</v>
      </c>
      <c r="R161" s="2" t="inlineStr">
        <is>
          <t>Korallrot
Gröngöling</t>
        </is>
      </c>
      <c r="S161">
        <f>HYPERLINK("https://klasma.github.io/Logging_0883/artfynd/A 6195-2026 artfynd.xlsx", "A 6195-2026")</f>
        <v/>
      </c>
      <c r="T161">
        <f>HYPERLINK("https://klasma.github.io/Logging_0883/kartor/A 6195-2026 karta.png", "A 6195-2026")</f>
        <v/>
      </c>
      <c r="V161">
        <f>HYPERLINK("https://klasma.github.io/Logging_0883/klagomål/A 6195-2026 FSC-klagomål.docx", "A 6195-2026")</f>
        <v/>
      </c>
      <c r="W161">
        <f>HYPERLINK("https://klasma.github.io/Logging_0883/klagomålsmail/A 6195-2026 FSC-klagomål mail.docx", "A 6195-2026")</f>
        <v/>
      </c>
      <c r="X161">
        <f>HYPERLINK("https://klasma.github.io/Logging_0883/tillsyn/A 6195-2026 tillsynsbegäran.docx", "A 6195-2026")</f>
        <v/>
      </c>
      <c r="Y161">
        <f>HYPERLINK("https://klasma.github.io/Logging_0883/tillsynsmail/A 6195-2026 tillsynsbegäran mail.docx", "A 6195-2026")</f>
        <v/>
      </c>
      <c r="Z161">
        <f>HYPERLINK("https://klasma.github.io/Logging_0883/fåglar/A 6195-2026 prioriterade fågelarter.docx", "A 6195-2026")</f>
        <v/>
      </c>
    </row>
    <row r="162" ht="15" customHeight="1">
      <c r="A162" t="inlineStr">
        <is>
          <t>A 52030-2025</t>
        </is>
      </c>
      <c r="B162" s="1" t="n">
        <v>45952.60846064815</v>
      </c>
      <c r="C162" s="1" t="n">
        <v>46159</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53129-2025</t>
        </is>
      </c>
      <c r="B163" s="1" t="n">
        <v>45958.46118055555</v>
      </c>
      <c r="C163" s="1" t="n">
        <v>46159</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14086-2025</t>
        </is>
      </c>
      <c r="B164" s="1" t="n">
        <v>45740.44130787037</v>
      </c>
      <c r="C164" s="1" t="n">
        <v>46159</v>
      </c>
      <c r="D164" t="inlineStr">
        <is>
          <t>KALMAR LÄN</t>
        </is>
      </c>
      <c r="E164" t="inlineStr">
        <is>
          <t>VÄSTERVIK</t>
        </is>
      </c>
      <c r="F164" t="inlineStr">
        <is>
          <t>Sveaskog</t>
        </is>
      </c>
      <c r="G164" t="n">
        <v>3.2</v>
      </c>
      <c r="H164" t="n">
        <v>1</v>
      </c>
      <c r="I164" t="n">
        <v>1</v>
      </c>
      <c r="J164" t="n">
        <v>0</v>
      </c>
      <c r="K164" t="n">
        <v>0</v>
      </c>
      <c r="L164" t="n">
        <v>0</v>
      </c>
      <c r="M164" t="n">
        <v>0</v>
      </c>
      <c r="N164" t="n">
        <v>0</v>
      </c>
      <c r="O164" t="n">
        <v>0</v>
      </c>
      <c r="P164" t="n">
        <v>0</v>
      </c>
      <c r="Q164" t="n">
        <v>2</v>
      </c>
      <c r="R164" s="2" t="inlineStr">
        <is>
          <t>Skogsbräsma
Åkergroda</t>
        </is>
      </c>
      <c r="S164">
        <f>HYPERLINK("https://klasma.github.io/Logging_0883/artfynd/A 14086-2025 artfynd.xlsx", "A 14086-2025")</f>
        <v/>
      </c>
      <c r="T164">
        <f>HYPERLINK("https://klasma.github.io/Logging_0883/kartor/A 14086-2025 karta.png", "A 14086-2025")</f>
        <v/>
      </c>
      <c r="V164">
        <f>HYPERLINK("https://klasma.github.io/Logging_0883/klagomål/A 14086-2025 FSC-klagomål.docx", "A 14086-2025")</f>
        <v/>
      </c>
      <c r="W164">
        <f>HYPERLINK("https://klasma.github.io/Logging_0883/klagomålsmail/A 14086-2025 FSC-klagomål mail.docx", "A 14086-2025")</f>
        <v/>
      </c>
      <c r="X164">
        <f>HYPERLINK("https://klasma.github.io/Logging_0883/tillsyn/A 14086-2025 tillsynsbegäran.docx", "A 14086-2025")</f>
        <v/>
      </c>
      <c r="Y164">
        <f>HYPERLINK("https://klasma.github.io/Logging_0883/tillsynsmail/A 14086-2025 tillsynsbegäran mail.docx", "A 14086-2025")</f>
        <v/>
      </c>
    </row>
    <row r="165" ht="15" customHeight="1">
      <c r="A165" t="inlineStr">
        <is>
          <t>A 14089-2025</t>
        </is>
      </c>
      <c r="B165" s="1" t="n">
        <v>45740.44363425926</v>
      </c>
      <c r="C165" s="1" t="n">
        <v>46159</v>
      </c>
      <c r="D165" t="inlineStr">
        <is>
          <t>KALMAR LÄN</t>
        </is>
      </c>
      <c r="E165" t="inlineStr">
        <is>
          <t>VÄSTERVIK</t>
        </is>
      </c>
      <c r="F165" t="inlineStr">
        <is>
          <t>Sveaskog</t>
        </is>
      </c>
      <c r="G165" t="n">
        <v>1.3</v>
      </c>
      <c r="H165" t="n">
        <v>2</v>
      </c>
      <c r="I165" t="n">
        <v>0</v>
      </c>
      <c r="J165" t="n">
        <v>2</v>
      </c>
      <c r="K165" t="n">
        <v>0</v>
      </c>
      <c r="L165" t="n">
        <v>0</v>
      </c>
      <c r="M165" t="n">
        <v>0</v>
      </c>
      <c r="N165" t="n">
        <v>0</v>
      </c>
      <c r="O165" t="n">
        <v>2</v>
      </c>
      <c r="P165" t="n">
        <v>0</v>
      </c>
      <c r="Q165" t="n">
        <v>2</v>
      </c>
      <c r="R165" s="2" t="inlineStr">
        <is>
          <t>Mindre hackspett
Spillkråka</t>
        </is>
      </c>
      <c r="S165">
        <f>HYPERLINK("https://klasma.github.io/Logging_0883/artfynd/A 14089-2025 artfynd.xlsx", "A 14089-2025")</f>
        <v/>
      </c>
      <c r="T165">
        <f>HYPERLINK("https://klasma.github.io/Logging_0883/kartor/A 14089-2025 karta.png", "A 14089-2025")</f>
        <v/>
      </c>
      <c r="V165">
        <f>HYPERLINK("https://klasma.github.io/Logging_0883/klagomål/A 14089-2025 FSC-klagomål.docx", "A 14089-2025")</f>
        <v/>
      </c>
      <c r="W165">
        <f>HYPERLINK("https://klasma.github.io/Logging_0883/klagomålsmail/A 14089-2025 FSC-klagomål mail.docx", "A 14089-2025")</f>
        <v/>
      </c>
      <c r="X165">
        <f>HYPERLINK("https://klasma.github.io/Logging_0883/tillsyn/A 14089-2025 tillsynsbegäran.docx", "A 14089-2025")</f>
        <v/>
      </c>
      <c r="Y165">
        <f>HYPERLINK("https://klasma.github.io/Logging_0883/tillsynsmail/A 14089-2025 tillsynsbegäran mail.docx", "A 14089-2025")</f>
        <v/>
      </c>
      <c r="Z165">
        <f>HYPERLINK("https://klasma.github.io/Logging_0883/fåglar/A 14089-2025 prioriterade fågelarter.docx", "A 14089-2025")</f>
        <v/>
      </c>
    </row>
    <row r="166" ht="15" customHeight="1">
      <c r="A166" t="inlineStr">
        <is>
          <t>A 1767-2025</t>
        </is>
      </c>
      <c r="B166" s="1" t="n">
        <v>45671</v>
      </c>
      <c r="C166" s="1" t="n">
        <v>46159</v>
      </c>
      <c r="D166" t="inlineStr">
        <is>
          <t>KALMAR LÄN</t>
        </is>
      </c>
      <c r="E166" t="inlineStr">
        <is>
          <t>VÄSTERVIK</t>
        </is>
      </c>
      <c r="G166" t="n">
        <v>1.4</v>
      </c>
      <c r="H166" t="n">
        <v>1</v>
      </c>
      <c r="I166" t="n">
        <v>0</v>
      </c>
      <c r="J166" t="n">
        <v>2</v>
      </c>
      <c r="K166" t="n">
        <v>0</v>
      </c>
      <c r="L166" t="n">
        <v>0</v>
      </c>
      <c r="M166" t="n">
        <v>0</v>
      </c>
      <c r="N166" t="n">
        <v>0</v>
      </c>
      <c r="O166" t="n">
        <v>2</v>
      </c>
      <c r="P166" t="n">
        <v>0</v>
      </c>
      <c r="Q166" t="n">
        <v>2</v>
      </c>
      <c r="R166" s="2" t="inlineStr">
        <is>
          <t>Garnlav
Spillkråka</t>
        </is>
      </c>
      <c r="S166">
        <f>HYPERLINK("https://klasma.github.io/Logging_0883/artfynd/A 1767-2025 artfynd.xlsx", "A 1767-2025")</f>
        <v/>
      </c>
      <c r="T166">
        <f>HYPERLINK("https://klasma.github.io/Logging_0883/kartor/A 1767-2025 karta.png", "A 1767-2025")</f>
        <v/>
      </c>
      <c r="U166">
        <f>HYPERLINK("https://klasma.github.io/Logging_0883/knärot/A 1767-2025 karta knärot.png", "A 1767-2025")</f>
        <v/>
      </c>
      <c r="V166">
        <f>HYPERLINK("https://klasma.github.io/Logging_0883/klagomål/A 1767-2025 FSC-klagomål.docx", "A 1767-2025")</f>
        <v/>
      </c>
      <c r="W166">
        <f>HYPERLINK("https://klasma.github.io/Logging_0883/klagomålsmail/A 1767-2025 FSC-klagomål mail.docx", "A 1767-2025")</f>
        <v/>
      </c>
      <c r="X166">
        <f>HYPERLINK("https://klasma.github.io/Logging_0883/tillsyn/A 1767-2025 tillsynsbegäran.docx", "A 1767-2025")</f>
        <v/>
      </c>
      <c r="Y166">
        <f>HYPERLINK("https://klasma.github.io/Logging_0883/tillsynsmail/A 1767-2025 tillsynsbegäran mail.docx", "A 1767-2025")</f>
        <v/>
      </c>
      <c r="Z166">
        <f>HYPERLINK("https://klasma.github.io/Logging_0883/fåglar/A 1767-2025 prioriterade fågelarter.docx", "A 1767-2025")</f>
        <v/>
      </c>
    </row>
    <row r="167" ht="15" customHeight="1">
      <c r="A167" t="inlineStr">
        <is>
          <t>A 55142-2025</t>
        </is>
      </c>
      <c r="B167" s="1" t="n">
        <v>45968</v>
      </c>
      <c r="C167" s="1" t="n">
        <v>46159</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Entita
Hasselticka</t>
        </is>
      </c>
      <c r="S167">
        <f>HYPERLINK("https://klasma.github.io/Logging_0883/artfynd/A 55142-2025 artfynd.xlsx", "A 55142-2025")</f>
        <v/>
      </c>
      <c r="T167">
        <f>HYPERLINK("https://klasma.github.io/Logging_0883/kartor/A 55142-2025 karta.png", "A 55142-2025")</f>
        <v/>
      </c>
      <c r="V167">
        <f>HYPERLINK("https://klasma.github.io/Logging_0883/klagomål/A 55142-2025 FSC-klagomål.docx", "A 55142-2025")</f>
        <v/>
      </c>
      <c r="W167">
        <f>HYPERLINK("https://klasma.github.io/Logging_0883/klagomålsmail/A 55142-2025 FSC-klagomål mail.docx", "A 55142-2025")</f>
        <v/>
      </c>
      <c r="X167">
        <f>HYPERLINK("https://klasma.github.io/Logging_0883/tillsyn/A 55142-2025 tillsynsbegäran.docx", "A 55142-2025")</f>
        <v/>
      </c>
      <c r="Y167">
        <f>HYPERLINK("https://klasma.github.io/Logging_0883/tillsynsmail/A 55142-2025 tillsynsbegäran mail.docx", "A 55142-2025")</f>
        <v/>
      </c>
      <c r="Z167">
        <f>HYPERLINK("https://klasma.github.io/Logging_0883/fåglar/A 55142-2025 prioriterade fågelarter.docx", "A 55142-2025")</f>
        <v/>
      </c>
    </row>
    <row r="168" ht="15" customHeight="1">
      <c r="A168" t="inlineStr">
        <is>
          <t>A 55086-2025</t>
        </is>
      </c>
      <c r="B168" s="1" t="n">
        <v>45968.33027777778</v>
      </c>
      <c r="C168" s="1" t="n">
        <v>46159</v>
      </c>
      <c r="D168" t="inlineStr">
        <is>
          <t>KALMAR LÄN</t>
        </is>
      </c>
      <c r="E168" t="inlineStr">
        <is>
          <t>VÄSTERVIK</t>
        </is>
      </c>
      <c r="G168" t="n">
        <v>0.7</v>
      </c>
      <c r="H168" t="n">
        <v>2</v>
      </c>
      <c r="I168" t="n">
        <v>0</v>
      </c>
      <c r="J168" t="n">
        <v>2</v>
      </c>
      <c r="K168" t="n">
        <v>0</v>
      </c>
      <c r="L168" t="n">
        <v>0</v>
      </c>
      <c r="M168" t="n">
        <v>0</v>
      </c>
      <c r="N168" t="n">
        <v>0</v>
      </c>
      <c r="O168" t="n">
        <v>2</v>
      </c>
      <c r="P168" t="n">
        <v>0</v>
      </c>
      <c r="Q168" t="n">
        <v>2</v>
      </c>
      <c r="R168" s="2" t="inlineStr">
        <is>
          <t>Spillkråka
Talltita</t>
        </is>
      </c>
      <c r="S168">
        <f>HYPERLINK("https://klasma.github.io/Logging_0883/artfynd/A 55086-2025 artfynd.xlsx", "A 55086-2025")</f>
        <v/>
      </c>
      <c r="T168">
        <f>HYPERLINK("https://klasma.github.io/Logging_0883/kartor/A 55086-2025 karta.png", "A 55086-2025")</f>
        <v/>
      </c>
      <c r="V168">
        <f>HYPERLINK("https://klasma.github.io/Logging_0883/klagomål/A 55086-2025 FSC-klagomål.docx", "A 55086-2025")</f>
        <v/>
      </c>
      <c r="W168">
        <f>HYPERLINK("https://klasma.github.io/Logging_0883/klagomålsmail/A 55086-2025 FSC-klagomål mail.docx", "A 55086-2025")</f>
        <v/>
      </c>
      <c r="X168">
        <f>HYPERLINK("https://klasma.github.io/Logging_0883/tillsyn/A 55086-2025 tillsynsbegäran.docx", "A 55086-2025")</f>
        <v/>
      </c>
      <c r="Y168">
        <f>HYPERLINK("https://klasma.github.io/Logging_0883/tillsynsmail/A 55086-2025 tillsynsbegäran mail.docx", "A 55086-2025")</f>
        <v/>
      </c>
      <c r="Z168">
        <f>HYPERLINK("https://klasma.github.io/Logging_0883/fåglar/A 55086-2025 prioriterade fågelarter.docx", "A 55086-2025")</f>
        <v/>
      </c>
    </row>
    <row r="169" ht="15" customHeight="1">
      <c r="A169" t="inlineStr">
        <is>
          <t>A 55408-2023</t>
        </is>
      </c>
      <c r="B169" s="1" t="n">
        <v>45238</v>
      </c>
      <c r="C169" s="1" t="n">
        <v>46159</v>
      </c>
      <c r="D169" t="inlineStr">
        <is>
          <t>KALMAR LÄN</t>
        </is>
      </c>
      <c r="E169" t="inlineStr">
        <is>
          <t>VÄSTERVIK</t>
        </is>
      </c>
      <c r="G169" t="n">
        <v>2.8</v>
      </c>
      <c r="H169" t="n">
        <v>0</v>
      </c>
      <c r="I169" t="n">
        <v>0</v>
      </c>
      <c r="J169" t="n">
        <v>2</v>
      </c>
      <c r="K169" t="n">
        <v>0</v>
      </c>
      <c r="L169" t="n">
        <v>0</v>
      </c>
      <c r="M169" t="n">
        <v>0</v>
      </c>
      <c r="N169" t="n">
        <v>0</v>
      </c>
      <c r="O169" t="n">
        <v>2</v>
      </c>
      <c r="P169" t="n">
        <v>0</v>
      </c>
      <c r="Q169" t="n">
        <v>2</v>
      </c>
      <c r="R169" s="2" t="inlineStr">
        <is>
          <t>Ekticka
Tallticka</t>
        </is>
      </c>
      <c r="S169">
        <f>HYPERLINK("https://klasma.github.io/Logging_0883/artfynd/A 55408-2023 artfynd.xlsx", "A 55408-2023")</f>
        <v/>
      </c>
      <c r="T169">
        <f>HYPERLINK("https://klasma.github.io/Logging_0883/kartor/A 55408-2023 karta.png", "A 55408-2023")</f>
        <v/>
      </c>
      <c r="V169">
        <f>HYPERLINK("https://klasma.github.io/Logging_0883/klagomål/A 55408-2023 FSC-klagomål.docx", "A 55408-2023")</f>
        <v/>
      </c>
      <c r="W169">
        <f>HYPERLINK("https://klasma.github.io/Logging_0883/klagomålsmail/A 55408-2023 FSC-klagomål mail.docx", "A 55408-2023")</f>
        <v/>
      </c>
      <c r="X169">
        <f>HYPERLINK("https://klasma.github.io/Logging_0883/tillsyn/A 55408-2023 tillsynsbegäran.docx", "A 55408-2023")</f>
        <v/>
      </c>
      <c r="Y169">
        <f>HYPERLINK("https://klasma.github.io/Logging_0883/tillsynsmail/A 55408-2023 tillsynsbegäran mail.docx", "A 55408-2023")</f>
        <v/>
      </c>
    </row>
    <row r="170" ht="15" customHeight="1">
      <c r="A170" t="inlineStr">
        <is>
          <t>A 28401-2024</t>
        </is>
      </c>
      <c r="B170" s="1" t="n">
        <v>45477</v>
      </c>
      <c r="C170" s="1" t="n">
        <v>46159</v>
      </c>
      <c r="D170" t="inlineStr">
        <is>
          <t>KALMAR LÄN</t>
        </is>
      </c>
      <c r="E170" t="inlineStr">
        <is>
          <t>VÄSTERVIK</t>
        </is>
      </c>
      <c r="F170" t="inlineStr">
        <is>
          <t>Holmen skog AB</t>
        </is>
      </c>
      <c r="G170" t="n">
        <v>2.4</v>
      </c>
      <c r="H170" t="n">
        <v>2</v>
      </c>
      <c r="I170" t="n">
        <v>0</v>
      </c>
      <c r="J170" t="n">
        <v>1</v>
      </c>
      <c r="K170" t="n">
        <v>0</v>
      </c>
      <c r="L170" t="n">
        <v>0</v>
      </c>
      <c r="M170" t="n">
        <v>0</v>
      </c>
      <c r="N170" t="n">
        <v>0</v>
      </c>
      <c r="O170" t="n">
        <v>1</v>
      </c>
      <c r="P170" t="n">
        <v>0</v>
      </c>
      <c r="Q170" t="n">
        <v>2</v>
      </c>
      <c r="R170" s="2" t="inlineStr">
        <is>
          <t>Talltita
Revlummer</t>
        </is>
      </c>
      <c r="S170">
        <f>HYPERLINK("https://klasma.github.io/Logging_0883/artfynd/A 28401-2024 artfynd.xlsx", "A 28401-2024")</f>
        <v/>
      </c>
      <c r="T170">
        <f>HYPERLINK("https://klasma.github.io/Logging_0883/kartor/A 28401-2024 karta.png", "A 28401-2024")</f>
        <v/>
      </c>
      <c r="V170">
        <f>HYPERLINK("https://klasma.github.io/Logging_0883/klagomål/A 28401-2024 FSC-klagomål.docx", "A 28401-2024")</f>
        <v/>
      </c>
      <c r="W170">
        <f>HYPERLINK("https://klasma.github.io/Logging_0883/klagomålsmail/A 28401-2024 FSC-klagomål mail.docx", "A 28401-2024")</f>
        <v/>
      </c>
      <c r="X170">
        <f>HYPERLINK("https://klasma.github.io/Logging_0883/tillsyn/A 28401-2024 tillsynsbegäran.docx", "A 28401-2024")</f>
        <v/>
      </c>
      <c r="Y170">
        <f>HYPERLINK("https://klasma.github.io/Logging_0883/tillsynsmail/A 28401-2024 tillsynsbegäran mail.docx", "A 28401-2024")</f>
        <v/>
      </c>
      <c r="Z170">
        <f>HYPERLINK("https://klasma.github.io/Logging_0883/fåglar/A 28401-2024 prioriterade fågelarter.docx", "A 28401-2024")</f>
        <v/>
      </c>
    </row>
    <row r="171" ht="15" customHeight="1">
      <c r="A171" t="inlineStr">
        <is>
          <t>A 57977-2025</t>
        </is>
      </c>
      <c r="B171" s="1" t="n">
        <v>45982.39497685185</v>
      </c>
      <c r="C171" s="1" t="n">
        <v>46159</v>
      </c>
      <c r="D171" t="inlineStr">
        <is>
          <t>KALMAR LÄN</t>
        </is>
      </c>
      <c r="E171" t="inlineStr">
        <is>
          <t>VÄSTERVIK</t>
        </is>
      </c>
      <c r="F171" t="inlineStr">
        <is>
          <t>Holmen skog AB</t>
        </is>
      </c>
      <c r="G171" t="n">
        <v>6.5</v>
      </c>
      <c r="H171" t="n">
        <v>0</v>
      </c>
      <c r="I171" t="n">
        <v>1</v>
      </c>
      <c r="J171" t="n">
        <v>1</v>
      </c>
      <c r="K171" t="n">
        <v>0</v>
      </c>
      <c r="L171" t="n">
        <v>0</v>
      </c>
      <c r="M171" t="n">
        <v>0</v>
      </c>
      <c r="N171" t="n">
        <v>0</v>
      </c>
      <c r="O171" t="n">
        <v>1</v>
      </c>
      <c r="P171" t="n">
        <v>0</v>
      </c>
      <c r="Q171" t="n">
        <v>2</v>
      </c>
      <c r="R171" s="2" t="inlineStr">
        <is>
          <t>Orange taggsvamp
Blåmossa</t>
        </is>
      </c>
      <c r="S171">
        <f>HYPERLINK("https://klasma.github.io/Logging_0883/artfynd/A 57977-2025 artfynd.xlsx", "A 57977-2025")</f>
        <v/>
      </c>
      <c r="T171">
        <f>HYPERLINK("https://klasma.github.io/Logging_0883/kartor/A 57977-2025 karta.png", "A 57977-2025")</f>
        <v/>
      </c>
      <c r="V171">
        <f>HYPERLINK("https://klasma.github.io/Logging_0883/klagomål/A 57977-2025 FSC-klagomål.docx", "A 57977-2025")</f>
        <v/>
      </c>
      <c r="W171">
        <f>HYPERLINK("https://klasma.github.io/Logging_0883/klagomålsmail/A 57977-2025 FSC-klagomål mail.docx", "A 57977-2025")</f>
        <v/>
      </c>
      <c r="X171">
        <f>HYPERLINK("https://klasma.github.io/Logging_0883/tillsyn/A 57977-2025 tillsynsbegäran.docx", "A 57977-2025")</f>
        <v/>
      </c>
      <c r="Y171">
        <f>HYPERLINK("https://klasma.github.io/Logging_0883/tillsynsmail/A 57977-2025 tillsynsbegäran mail.docx", "A 57977-2025")</f>
        <v/>
      </c>
    </row>
    <row r="172" ht="15" customHeight="1">
      <c r="A172" t="inlineStr">
        <is>
          <t>A 58348-2025</t>
        </is>
      </c>
      <c r="B172" s="1" t="n">
        <v>45985.50482638889</v>
      </c>
      <c r="C172" s="1" t="n">
        <v>46159</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Tallkötticka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59852-2025</t>
        </is>
      </c>
      <c r="B173" s="1" t="n">
        <v>45992.71744212963</v>
      </c>
      <c r="C173" s="1" t="n">
        <v>46159</v>
      </c>
      <c r="D173" t="inlineStr">
        <is>
          <t>KALMAR LÄN</t>
        </is>
      </c>
      <c r="E173" t="inlineStr">
        <is>
          <t>VÄSTERVIK</t>
        </is>
      </c>
      <c r="F173" t="inlineStr">
        <is>
          <t>Holmen skog AB</t>
        </is>
      </c>
      <c r="G173" t="n">
        <v>3.3</v>
      </c>
      <c r="H173" t="n">
        <v>2</v>
      </c>
      <c r="I173" t="n">
        <v>0</v>
      </c>
      <c r="J173" t="n">
        <v>1</v>
      </c>
      <c r="K173" t="n">
        <v>0</v>
      </c>
      <c r="L173" t="n">
        <v>0</v>
      </c>
      <c r="M173" t="n">
        <v>0</v>
      </c>
      <c r="N173" t="n">
        <v>0</v>
      </c>
      <c r="O173" t="n">
        <v>1</v>
      </c>
      <c r="P173" t="n">
        <v>0</v>
      </c>
      <c r="Q173" t="n">
        <v>2</v>
      </c>
      <c r="R173" s="2" t="inlineStr">
        <is>
          <t>Spillkråka
Gröngöling</t>
        </is>
      </c>
      <c r="S173">
        <f>HYPERLINK("https://klasma.github.io/Logging_0883/artfynd/A 59852-2025 artfynd.xlsx", "A 59852-2025")</f>
        <v/>
      </c>
      <c r="T173">
        <f>HYPERLINK("https://klasma.github.io/Logging_0883/kartor/A 59852-2025 karta.png", "A 59852-2025")</f>
        <v/>
      </c>
      <c r="V173">
        <f>HYPERLINK("https://klasma.github.io/Logging_0883/klagomål/A 59852-2025 FSC-klagomål.docx", "A 59852-2025")</f>
        <v/>
      </c>
      <c r="W173">
        <f>HYPERLINK("https://klasma.github.io/Logging_0883/klagomålsmail/A 59852-2025 FSC-klagomål mail.docx", "A 59852-2025")</f>
        <v/>
      </c>
      <c r="X173">
        <f>HYPERLINK("https://klasma.github.io/Logging_0883/tillsyn/A 59852-2025 tillsynsbegäran.docx", "A 59852-2025")</f>
        <v/>
      </c>
      <c r="Y173">
        <f>HYPERLINK("https://klasma.github.io/Logging_0883/tillsynsmail/A 59852-2025 tillsynsbegäran mail.docx", "A 59852-2025")</f>
        <v/>
      </c>
      <c r="Z173">
        <f>HYPERLINK("https://klasma.github.io/Logging_0883/fåglar/A 59852-2025 prioriterade fågelarter.docx", "A 59852-2025")</f>
        <v/>
      </c>
    </row>
    <row r="174" ht="15" customHeight="1">
      <c r="A174" t="inlineStr">
        <is>
          <t>A 59654-2025</t>
        </is>
      </c>
      <c r="B174" s="1" t="n">
        <v>45992.43790509259</v>
      </c>
      <c r="C174" s="1" t="n">
        <v>46159</v>
      </c>
      <c r="D174" t="inlineStr">
        <is>
          <t>KALMAR LÄN</t>
        </is>
      </c>
      <c r="E174" t="inlineStr">
        <is>
          <t>VÄSTERVIK</t>
        </is>
      </c>
      <c r="G174" t="n">
        <v>3.3</v>
      </c>
      <c r="H174" t="n">
        <v>1</v>
      </c>
      <c r="I174" t="n">
        <v>0</v>
      </c>
      <c r="J174" t="n">
        <v>2</v>
      </c>
      <c r="K174" t="n">
        <v>0</v>
      </c>
      <c r="L174" t="n">
        <v>0</v>
      </c>
      <c r="M174" t="n">
        <v>0</v>
      </c>
      <c r="N174" t="n">
        <v>0</v>
      </c>
      <c r="O174" t="n">
        <v>2</v>
      </c>
      <c r="P174" t="n">
        <v>0</v>
      </c>
      <c r="Q174" t="n">
        <v>2</v>
      </c>
      <c r="R174" s="2" t="inlineStr">
        <is>
          <t>Rutskinn
Spillkråka</t>
        </is>
      </c>
      <c r="S174">
        <f>HYPERLINK("https://klasma.github.io/Logging_0883/artfynd/A 59654-2025 artfynd.xlsx", "A 59654-2025")</f>
        <v/>
      </c>
      <c r="T174">
        <f>HYPERLINK("https://klasma.github.io/Logging_0883/kartor/A 59654-2025 karta.png", "A 59654-2025")</f>
        <v/>
      </c>
      <c r="V174">
        <f>HYPERLINK("https://klasma.github.io/Logging_0883/klagomål/A 59654-2025 FSC-klagomål.docx", "A 59654-2025")</f>
        <v/>
      </c>
      <c r="W174">
        <f>HYPERLINK("https://klasma.github.io/Logging_0883/klagomålsmail/A 59654-2025 FSC-klagomål mail.docx", "A 59654-2025")</f>
        <v/>
      </c>
      <c r="X174">
        <f>HYPERLINK("https://klasma.github.io/Logging_0883/tillsyn/A 59654-2025 tillsynsbegäran.docx", "A 59654-2025")</f>
        <v/>
      </c>
      <c r="Y174">
        <f>HYPERLINK("https://klasma.github.io/Logging_0883/tillsynsmail/A 59654-2025 tillsynsbegäran mail.docx", "A 59654-2025")</f>
        <v/>
      </c>
      <c r="Z174">
        <f>HYPERLINK("https://klasma.github.io/Logging_0883/fåglar/A 59654-2025 prioriterade fågelarter.docx", "A 59654-2025")</f>
        <v/>
      </c>
    </row>
    <row r="175" ht="15" customHeight="1">
      <c r="A175" t="inlineStr">
        <is>
          <t>A 14126-2025</t>
        </is>
      </c>
      <c r="B175" s="1" t="n">
        <v>45740.47012731482</v>
      </c>
      <c r="C175" s="1" t="n">
        <v>46159</v>
      </c>
      <c r="D175" t="inlineStr">
        <is>
          <t>KALMAR LÄN</t>
        </is>
      </c>
      <c r="E175" t="inlineStr">
        <is>
          <t>VÄSTERVIK</t>
        </is>
      </c>
      <c r="F175" t="inlineStr">
        <is>
          <t>Sveaskog</t>
        </is>
      </c>
      <c r="G175" t="n">
        <v>1.3</v>
      </c>
      <c r="H175" t="n">
        <v>2</v>
      </c>
      <c r="I175" t="n">
        <v>0</v>
      </c>
      <c r="J175" t="n">
        <v>1</v>
      </c>
      <c r="K175" t="n">
        <v>0</v>
      </c>
      <c r="L175" t="n">
        <v>0</v>
      </c>
      <c r="M175" t="n">
        <v>0</v>
      </c>
      <c r="N175" t="n">
        <v>0</v>
      </c>
      <c r="O175" t="n">
        <v>1</v>
      </c>
      <c r="P175" t="n">
        <v>0</v>
      </c>
      <c r="Q175" t="n">
        <v>2</v>
      </c>
      <c r="R175" s="2" t="inlineStr">
        <is>
          <t>Grönsångare
Blåsippa</t>
        </is>
      </c>
      <c r="S175">
        <f>HYPERLINK("https://klasma.github.io/Logging_0883/artfynd/A 14126-2025 artfynd.xlsx", "A 14126-2025")</f>
        <v/>
      </c>
      <c r="T175">
        <f>HYPERLINK("https://klasma.github.io/Logging_0883/kartor/A 14126-2025 karta.png", "A 14126-2025")</f>
        <v/>
      </c>
      <c r="V175">
        <f>HYPERLINK("https://klasma.github.io/Logging_0883/klagomål/A 14126-2025 FSC-klagomål.docx", "A 14126-2025")</f>
        <v/>
      </c>
      <c r="W175">
        <f>HYPERLINK("https://klasma.github.io/Logging_0883/klagomålsmail/A 14126-2025 FSC-klagomål mail.docx", "A 14126-2025")</f>
        <v/>
      </c>
      <c r="X175">
        <f>HYPERLINK("https://klasma.github.io/Logging_0883/tillsyn/A 14126-2025 tillsynsbegäran.docx", "A 14126-2025")</f>
        <v/>
      </c>
      <c r="Y175">
        <f>HYPERLINK("https://klasma.github.io/Logging_0883/tillsynsmail/A 14126-2025 tillsynsbegäran mail.docx", "A 14126-2025")</f>
        <v/>
      </c>
      <c r="Z175">
        <f>HYPERLINK("https://klasma.github.io/Logging_0883/fåglar/A 14126-2025 prioriterade fågelarter.docx", "A 14126-2025")</f>
        <v/>
      </c>
    </row>
    <row r="176" ht="15" customHeight="1">
      <c r="A176" t="inlineStr">
        <is>
          <t>A 61229-2025</t>
        </is>
      </c>
      <c r="B176" s="1" t="n">
        <v>46000.63108796296</v>
      </c>
      <c r="C176" s="1" t="n">
        <v>46159</v>
      </c>
      <c r="D176" t="inlineStr">
        <is>
          <t>KALMAR LÄN</t>
        </is>
      </c>
      <c r="E176" t="inlineStr">
        <is>
          <t>VÄSTERVIK</t>
        </is>
      </c>
      <c r="G176" t="n">
        <v>1.3</v>
      </c>
      <c r="H176" t="n">
        <v>1</v>
      </c>
      <c r="I176" t="n">
        <v>1</v>
      </c>
      <c r="J176" t="n">
        <v>1</v>
      </c>
      <c r="K176" t="n">
        <v>0</v>
      </c>
      <c r="L176" t="n">
        <v>0</v>
      </c>
      <c r="M176" t="n">
        <v>0</v>
      </c>
      <c r="N176" t="n">
        <v>0</v>
      </c>
      <c r="O176" t="n">
        <v>1</v>
      </c>
      <c r="P176" t="n">
        <v>0</v>
      </c>
      <c r="Q176" t="n">
        <v>2</v>
      </c>
      <c r="R176" s="2" t="inlineStr">
        <is>
          <t>Spillkråka
Dropptaggsvamp</t>
        </is>
      </c>
      <c r="S176">
        <f>HYPERLINK("https://klasma.github.io/Logging_0883/artfynd/A 61229-2025 artfynd.xlsx", "A 61229-2025")</f>
        <v/>
      </c>
      <c r="T176">
        <f>HYPERLINK("https://klasma.github.io/Logging_0883/kartor/A 61229-2025 karta.png", "A 61229-2025")</f>
        <v/>
      </c>
      <c r="V176">
        <f>HYPERLINK("https://klasma.github.io/Logging_0883/klagomål/A 61229-2025 FSC-klagomål.docx", "A 61229-2025")</f>
        <v/>
      </c>
      <c r="W176">
        <f>HYPERLINK("https://klasma.github.io/Logging_0883/klagomålsmail/A 61229-2025 FSC-klagomål mail.docx", "A 61229-2025")</f>
        <v/>
      </c>
      <c r="X176">
        <f>HYPERLINK("https://klasma.github.io/Logging_0883/tillsyn/A 61229-2025 tillsynsbegäran.docx", "A 61229-2025")</f>
        <v/>
      </c>
      <c r="Y176">
        <f>HYPERLINK("https://klasma.github.io/Logging_0883/tillsynsmail/A 61229-2025 tillsynsbegäran mail.docx", "A 61229-2025")</f>
        <v/>
      </c>
      <c r="Z176">
        <f>HYPERLINK("https://klasma.github.io/Logging_0883/fåglar/A 61229-2025 prioriterade fågelarter.docx", "A 61229-2025")</f>
        <v/>
      </c>
    </row>
    <row r="177" ht="15" customHeight="1">
      <c r="A177" t="inlineStr">
        <is>
          <t>A 14301-2023</t>
        </is>
      </c>
      <c r="B177" s="1" t="n">
        <v>45011</v>
      </c>
      <c r="C177" s="1" t="n">
        <v>46159</v>
      </c>
      <c r="D177" t="inlineStr">
        <is>
          <t>KALMAR LÄN</t>
        </is>
      </c>
      <c r="E177" t="inlineStr">
        <is>
          <t>VÄSTERVIK</t>
        </is>
      </c>
      <c r="G177" t="n">
        <v>4.4</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14301-2023 artfynd.xlsx", "A 14301-2023")</f>
        <v/>
      </c>
      <c r="T177">
        <f>HYPERLINK("https://klasma.github.io/Logging_0883/kartor/A 14301-2023 karta.png", "A 14301-2023")</f>
        <v/>
      </c>
      <c r="U177">
        <f>HYPERLINK("https://klasma.github.io/Logging_0883/knärot/A 14301-2023 karta knärot.png", "A 14301-2023")</f>
        <v/>
      </c>
      <c r="V177">
        <f>HYPERLINK("https://klasma.github.io/Logging_0883/klagomål/A 14301-2023 FSC-klagomål.docx", "A 14301-2023")</f>
        <v/>
      </c>
      <c r="W177">
        <f>HYPERLINK("https://klasma.github.io/Logging_0883/klagomålsmail/A 14301-2023 FSC-klagomål mail.docx", "A 14301-2023")</f>
        <v/>
      </c>
      <c r="X177">
        <f>HYPERLINK("https://klasma.github.io/Logging_0883/tillsyn/A 14301-2023 tillsynsbegäran.docx", "A 14301-2023")</f>
        <v/>
      </c>
      <c r="Y177">
        <f>HYPERLINK("https://klasma.github.io/Logging_0883/tillsynsmail/A 14301-2023 tillsynsbegäran mail.docx", "A 14301-2023")</f>
        <v/>
      </c>
    </row>
    <row r="178" ht="15" customHeight="1">
      <c r="A178" t="inlineStr">
        <is>
          <t>A 8618-2024</t>
        </is>
      </c>
      <c r="B178" s="1" t="n">
        <v>45355.73453703704</v>
      </c>
      <c r="C178" s="1" t="n">
        <v>46159</v>
      </c>
      <c r="D178" t="inlineStr">
        <is>
          <t>KALMAR LÄN</t>
        </is>
      </c>
      <c r="E178" t="inlineStr">
        <is>
          <t>VÄSTERVIK</t>
        </is>
      </c>
      <c r="G178" t="n">
        <v>4.3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8618-2024 artfynd.xlsx", "A 8618-2024")</f>
        <v/>
      </c>
      <c r="T178">
        <f>HYPERLINK("https://klasma.github.io/Logging_0883/kartor/A 8618-2024 karta.png", "A 8618-2024")</f>
        <v/>
      </c>
      <c r="U178">
        <f>HYPERLINK("https://klasma.github.io/Logging_0883/knärot/A 8618-2024 karta knärot.png", "A 8618-2024")</f>
        <v/>
      </c>
      <c r="V178">
        <f>HYPERLINK("https://klasma.github.io/Logging_0883/klagomål/A 8618-2024 FSC-klagomål.docx", "A 8618-2024")</f>
        <v/>
      </c>
      <c r="W178">
        <f>HYPERLINK("https://klasma.github.io/Logging_0883/klagomålsmail/A 8618-2024 FSC-klagomål mail.docx", "A 8618-2024")</f>
        <v/>
      </c>
      <c r="X178">
        <f>HYPERLINK("https://klasma.github.io/Logging_0883/tillsyn/A 8618-2024 tillsynsbegäran.docx", "A 8618-2024")</f>
        <v/>
      </c>
      <c r="Y178">
        <f>HYPERLINK("https://klasma.github.io/Logging_0883/tillsynsmail/A 8618-2024 tillsynsbegäran mail.docx", "A 8618-2024")</f>
        <v/>
      </c>
    </row>
    <row r="179" ht="15" customHeight="1">
      <c r="A179" t="inlineStr">
        <is>
          <t>A 32649-2023</t>
        </is>
      </c>
      <c r="B179" s="1" t="n">
        <v>45121</v>
      </c>
      <c r="C179" s="1" t="n">
        <v>46159</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32649-2023 artfynd.xlsx", "A 32649-2023")</f>
        <v/>
      </c>
      <c r="T179">
        <f>HYPERLINK("https://klasma.github.io/Logging_0883/kartor/A 32649-2023 karta.png", "A 32649-2023")</f>
        <v/>
      </c>
      <c r="U179">
        <f>HYPERLINK("https://klasma.github.io/Logging_0883/knärot/A 32649-2023 karta knärot.png", "A 32649-2023")</f>
        <v/>
      </c>
      <c r="V179">
        <f>HYPERLINK("https://klasma.github.io/Logging_0883/klagomål/A 32649-2023 FSC-klagomål.docx", "A 32649-2023")</f>
        <v/>
      </c>
      <c r="W179">
        <f>HYPERLINK("https://klasma.github.io/Logging_0883/klagomålsmail/A 32649-2023 FSC-klagomål mail.docx", "A 32649-2023")</f>
        <v/>
      </c>
      <c r="X179">
        <f>HYPERLINK("https://klasma.github.io/Logging_0883/tillsyn/A 32649-2023 tillsynsbegäran.docx", "A 32649-2023")</f>
        <v/>
      </c>
      <c r="Y179">
        <f>HYPERLINK("https://klasma.github.io/Logging_0883/tillsynsmail/A 32649-2023 tillsynsbegäran mail.docx", "A 32649-2023")</f>
        <v/>
      </c>
    </row>
    <row r="180" ht="15" customHeight="1">
      <c r="A180" t="inlineStr">
        <is>
          <t>A 63387-2025</t>
        </is>
      </c>
      <c r="B180" s="1" t="n">
        <v>46011.668125</v>
      </c>
      <c r="C180" s="1" t="n">
        <v>46159</v>
      </c>
      <c r="D180" t="inlineStr">
        <is>
          <t>KALMAR LÄN</t>
        </is>
      </c>
      <c r="E180" t="inlineStr">
        <is>
          <t>VÄSTERVIK</t>
        </is>
      </c>
      <c r="G180" t="n">
        <v>1.3</v>
      </c>
      <c r="H180" t="n">
        <v>1</v>
      </c>
      <c r="I180" t="n">
        <v>1</v>
      </c>
      <c r="J180" t="n">
        <v>0</v>
      </c>
      <c r="K180" t="n">
        <v>0</v>
      </c>
      <c r="L180" t="n">
        <v>0</v>
      </c>
      <c r="M180" t="n">
        <v>0</v>
      </c>
      <c r="N180" t="n">
        <v>0</v>
      </c>
      <c r="O180" t="n">
        <v>0</v>
      </c>
      <c r="P180" t="n">
        <v>0</v>
      </c>
      <c r="Q180" t="n">
        <v>2</v>
      </c>
      <c r="R180" s="2" t="inlineStr">
        <is>
          <t>Guldlockmossa
Blåsippa</t>
        </is>
      </c>
      <c r="S180">
        <f>HYPERLINK("https://klasma.github.io/Logging_0883/artfynd/A 63387-2025 artfynd.xlsx", "A 63387-2025")</f>
        <v/>
      </c>
      <c r="T180">
        <f>HYPERLINK("https://klasma.github.io/Logging_0883/kartor/A 63387-2025 karta.png", "A 63387-2025")</f>
        <v/>
      </c>
      <c r="V180">
        <f>HYPERLINK("https://klasma.github.io/Logging_0883/klagomål/A 63387-2025 FSC-klagomål.docx", "A 63387-2025")</f>
        <v/>
      </c>
      <c r="W180">
        <f>HYPERLINK("https://klasma.github.io/Logging_0883/klagomålsmail/A 63387-2025 FSC-klagomål mail.docx", "A 63387-2025")</f>
        <v/>
      </c>
      <c r="X180">
        <f>HYPERLINK("https://klasma.github.io/Logging_0883/tillsyn/A 63387-2025 tillsynsbegäran.docx", "A 63387-2025")</f>
        <v/>
      </c>
      <c r="Y180">
        <f>HYPERLINK("https://klasma.github.io/Logging_0883/tillsynsmail/A 63387-2025 tillsynsbegäran mail.docx", "A 63387-2025")</f>
        <v/>
      </c>
    </row>
    <row r="181" ht="15" customHeight="1">
      <c r="A181" t="inlineStr">
        <is>
          <t>A 51833-2021</t>
        </is>
      </c>
      <c r="B181" s="1" t="n">
        <v>44462</v>
      </c>
      <c r="C181" s="1" t="n">
        <v>46159</v>
      </c>
      <c r="D181" t="inlineStr">
        <is>
          <t>KALMAR LÄN</t>
        </is>
      </c>
      <c r="E181" t="inlineStr">
        <is>
          <t>VÄSTERVIK</t>
        </is>
      </c>
      <c r="G181" t="n">
        <v>4</v>
      </c>
      <c r="H181" t="n">
        <v>1</v>
      </c>
      <c r="I181" t="n">
        <v>0</v>
      </c>
      <c r="J181" t="n">
        <v>1</v>
      </c>
      <c r="K181" t="n">
        <v>0</v>
      </c>
      <c r="L181" t="n">
        <v>0</v>
      </c>
      <c r="M181" t="n">
        <v>0</v>
      </c>
      <c r="N181" t="n">
        <v>0</v>
      </c>
      <c r="O181" t="n">
        <v>1</v>
      </c>
      <c r="P181" t="n">
        <v>0</v>
      </c>
      <c r="Q181" t="n">
        <v>2</v>
      </c>
      <c r="R181" s="2" t="inlineStr">
        <is>
          <t>Motaggsvamp
Fläcknycklar</t>
        </is>
      </c>
      <c r="S181">
        <f>HYPERLINK("https://klasma.github.io/Logging_0883/artfynd/A 51833-2021 artfynd.xlsx", "A 51833-2021")</f>
        <v/>
      </c>
      <c r="T181">
        <f>HYPERLINK("https://klasma.github.io/Logging_0883/kartor/A 51833-2021 karta.png", "A 51833-2021")</f>
        <v/>
      </c>
      <c r="V181">
        <f>HYPERLINK("https://klasma.github.io/Logging_0883/klagomål/A 51833-2021 FSC-klagomål.docx", "A 51833-2021")</f>
        <v/>
      </c>
      <c r="W181">
        <f>HYPERLINK("https://klasma.github.io/Logging_0883/klagomålsmail/A 51833-2021 FSC-klagomål mail.docx", "A 51833-2021")</f>
        <v/>
      </c>
      <c r="X181">
        <f>HYPERLINK("https://klasma.github.io/Logging_0883/tillsyn/A 51833-2021 tillsynsbegäran.docx", "A 51833-2021")</f>
        <v/>
      </c>
      <c r="Y181">
        <f>HYPERLINK("https://klasma.github.io/Logging_0883/tillsynsmail/A 51833-2021 tillsynsbegäran mail.docx", "A 51833-2021")</f>
        <v/>
      </c>
    </row>
    <row r="182" ht="15" customHeight="1">
      <c r="A182" t="inlineStr">
        <is>
          <t>A 26992-2024</t>
        </is>
      </c>
      <c r="B182" s="1" t="n">
        <v>45471</v>
      </c>
      <c r="C182" s="1" t="n">
        <v>46159</v>
      </c>
      <c r="D182" t="inlineStr">
        <is>
          <t>KALMAR LÄN</t>
        </is>
      </c>
      <c r="E182" t="inlineStr">
        <is>
          <t>VÄSTERVIK</t>
        </is>
      </c>
      <c r="F182" t="inlineStr">
        <is>
          <t>Holmen skog AB</t>
        </is>
      </c>
      <c r="G182" t="n">
        <v>4.6</v>
      </c>
      <c r="H182" t="n">
        <v>2</v>
      </c>
      <c r="I182" t="n">
        <v>0</v>
      </c>
      <c r="J182" t="n">
        <v>2</v>
      </c>
      <c r="K182" t="n">
        <v>0</v>
      </c>
      <c r="L182" t="n">
        <v>0</v>
      </c>
      <c r="M182" t="n">
        <v>0</v>
      </c>
      <c r="N182" t="n">
        <v>0</v>
      </c>
      <c r="O182" t="n">
        <v>2</v>
      </c>
      <c r="P182" t="n">
        <v>0</v>
      </c>
      <c r="Q182" t="n">
        <v>2</v>
      </c>
      <c r="R182" s="2" t="inlineStr">
        <is>
          <t>Mindre hackspett
Talltita</t>
        </is>
      </c>
      <c r="S182">
        <f>HYPERLINK("https://klasma.github.io/Logging_0883/artfynd/A 26992-2024 artfynd.xlsx", "A 26992-2024")</f>
        <v/>
      </c>
      <c r="T182">
        <f>HYPERLINK("https://klasma.github.io/Logging_0883/kartor/A 26992-2024 karta.png", "A 26992-2024")</f>
        <v/>
      </c>
      <c r="V182">
        <f>HYPERLINK("https://klasma.github.io/Logging_0883/klagomål/A 26992-2024 FSC-klagomål.docx", "A 26992-2024")</f>
        <v/>
      </c>
      <c r="W182">
        <f>HYPERLINK("https://klasma.github.io/Logging_0883/klagomålsmail/A 26992-2024 FSC-klagomål mail.docx", "A 26992-2024")</f>
        <v/>
      </c>
      <c r="X182">
        <f>HYPERLINK("https://klasma.github.io/Logging_0883/tillsyn/A 26992-2024 tillsynsbegäran.docx", "A 26992-2024")</f>
        <v/>
      </c>
      <c r="Y182">
        <f>HYPERLINK("https://klasma.github.io/Logging_0883/tillsynsmail/A 26992-2024 tillsynsbegäran mail.docx", "A 26992-2024")</f>
        <v/>
      </c>
      <c r="Z182">
        <f>HYPERLINK("https://klasma.github.io/Logging_0883/fåglar/A 26992-2024 prioriterade fågelarter.docx", "A 26992-2024")</f>
        <v/>
      </c>
    </row>
    <row r="183" ht="15" customHeight="1">
      <c r="A183" t="inlineStr">
        <is>
          <t>A 72945-2021</t>
        </is>
      </c>
      <c r="B183" s="1" t="n">
        <v>44547.90868055556</v>
      </c>
      <c r="C183" s="1" t="n">
        <v>46159</v>
      </c>
      <c r="D183" t="inlineStr">
        <is>
          <t>KALMAR LÄN</t>
        </is>
      </c>
      <c r="E183" t="inlineStr">
        <is>
          <t>VÄSTERVIK</t>
        </is>
      </c>
      <c r="G183" t="n">
        <v>1.6</v>
      </c>
      <c r="H183" t="n">
        <v>0</v>
      </c>
      <c r="I183" t="n">
        <v>1</v>
      </c>
      <c r="J183" t="n">
        <v>1</v>
      </c>
      <c r="K183" t="n">
        <v>0</v>
      </c>
      <c r="L183" t="n">
        <v>0</v>
      </c>
      <c r="M183" t="n">
        <v>0</v>
      </c>
      <c r="N183" t="n">
        <v>0</v>
      </c>
      <c r="O183" t="n">
        <v>1</v>
      </c>
      <c r="P183" t="n">
        <v>0</v>
      </c>
      <c r="Q183" t="n">
        <v>2</v>
      </c>
      <c r="R183" s="2" t="inlineStr">
        <is>
          <t>Veckticka
Rävticka</t>
        </is>
      </c>
      <c r="S183">
        <f>HYPERLINK("https://klasma.github.io/Logging_0883/artfynd/A 72945-2021 artfynd.xlsx", "A 72945-2021")</f>
        <v/>
      </c>
      <c r="T183">
        <f>HYPERLINK("https://klasma.github.io/Logging_0883/kartor/A 72945-2021 karta.png", "A 72945-2021")</f>
        <v/>
      </c>
      <c r="V183">
        <f>HYPERLINK("https://klasma.github.io/Logging_0883/klagomål/A 72945-2021 FSC-klagomål.docx", "A 72945-2021")</f>
        <v/>
      </c>
      <c r="W183">
        <f>HYPERLINK("https://klasma.github.io/Logging_0883/klagomålsmail/A 72945-2021 FSC-klagomål mail.docx", "A 72945-2021")</f>
        <v/>
      </c>
      <c r="X183">
        <f>HYPERLINK("https://klasma.github.io/Logging_0883/tillsyn/A 72945-2021 tillsynsbegäran.docx", "A 72945-2021")</f>
        <v/>
      </c>
      <c r="Y183">
        <f>HYPERLINK("https://klasma.github.io/Logging_0883/tillsynsmail/A 72945-2021 tillsynsbegäran mail.docx", "A 72945-2021")</f>
        <v/>
      </c>
    </row>
    <row r="184" ht="15" customHeight="1">
      <c r="A184" t="inlineStr">
        <is>
          <t>A 40331-2024</t>
        </is>
      </c>
      <c r="B184" s="1" t="n">
        <v>45555.31039351852</v>
      </c>
      <c r="C184" s="1" t="n">
        <v>46159</v>
      </c>
      <c r="D184" t="inlineStr">
        <is>
          <t>KALMAR LÄN</t>
        </is>
      </c>
      <c r="E184" t="inlineStr">
        <is>
          <t>VÄSTERVIK</t>
        </is>
      </c>
      <c r="G184" t="n">
        <v>1.5</v>
      </c>
      <c r="H184" t="n">
        <v>1</v>
      </c>
      <c r="I184" t="n">
        <v>1</v>
      </c>
      <c r="J184" t="n">
        <v>0</v>
      </c>
      <c r="K184" t="n">
        <v>0</v>
      </c>
      <c r="L184" t="n">
        <v>0</v>
      </c>
      <c r="M184" t="n">
        <v>0</v>
      </c>
      <c r="N184" t="n">
        <v>0</v>
      </c>
      <c r="O184" t="n">
        <v>0</v>
      </c>
      <c r="P184" t="n">
        <v>0</v>
      </c>
      <c r="Q184" t="n">
        <v>2</v>
      </c>
      <c r="R184" s="2" t="inlineStr">
        <is>
          <t>Murgröna
Blåsippa</t>
        </is>
      </c>
      <c r="S184">
        <f>HYPERLINK("https://klasma.github.io/Logging_0883/artfynd/A 40331-2024 artfynd.xlsx", "A 40331-2024")</f>
        <v/>
      </c>
      <c r="T184">
        <f>HYPERLINK("https://klasma.github.io/Logging_0883/kartor/A 40331-2024 karta.png", "A 40331-2024")</f>
        <v/>
      </c>
      <c r="V184">
        <f>HYPERLINK("https://klasma.github.io/Logging_0883/klagomål/A 40331-2024 FSC-klagomål.docx", "A 40331-2024")</f>
        <v/>
      </c>
      <c r="W184">
        <f>HYPERLINK("https://klasma.github.io/Logging_0883/klagomålsmail/A 40331-2024 FSC-klagomål mail.docx", "A 40331-2024")</f>
        <v/>
      </c>
      <c r="X184">
        <f>HYPERLINK("https://klasma.github.io/Logging_0883/tillsyn/A 40331-2024 tillsynsbegäran.docx", "A 40331-2024")</f>
        <v/>
      </c>
      <c r="Y184">
        <f>HYPERLINK("https://klasma.github.io/Logging_0883/tillsynsmail/A 40331-2024 tillsynsbegäran mail.docx", "A 40331-2024")</f>
        <v/>
      </c>
    </row>
    <row r="185" ht="15" customHeight="1">
      <c r="A185" t="inlineStr">
        <is>
          <t>A 41271-2025</t>
        </is>
      </c>
      <c r="B185" s="1" t="n">
        <v>45898</v>
      </c>
      <c r="C185" s="1" t="n">
        <v>46159</v>
      </c>
      <c r="D185" t="inlineStr">
        <is>
          <t>KALMAR LÄN</t>
        </is>
      </c>
      <c r="E185" t="inlineStr">
        <is>
          <t>VÄSTERVIK</t>
        </is>
      </c>
      <c r="G185" t="n">
        <v>1.1</v>
      </c>
      <c r="H185" t="n">
        <v>2</v>
      </c>
      <c r="I185" t="n">
        <v>0</v>
      </c>
      <c r="J185" t="n">
        <v>1</v>
      </c>
      <c r="K185" t="n">
        <v>1</v>
      </c>
      <c r="L185" t="n">
        <v>0</v>
      </c>
      <c r="M185" t="n">
        <v>0</v>
      </c>
      <c r="N185" t="n">
        <v>0</v>
      </c>
      <c r="O185" t="n">
        <v>2</v>
      </c>
      <c r="P185" t="n">
        <v>1</v>
      </c>
      <c r="Q185" t="n">
        <v>2</v>
      </c>
      <c r="R185" s="2" t="inlineStr">
        <is>
          <t>Knärot
Talltita</t>
        </is>
      </c>
      <c r="S185">
        <f>HYPERLINK("https://klasma.github.io/Logging_0883/artfynd/A 41271-2025 artfynd.xlsx", "A 41271-2025")</f>
        <v/>
      </c>
      <c r="T185">
        <f>HYPERLINK("https://klasma.github.io/Logging_0883/kartor/A 41271-2025 karta.png", "A 41271-2025")</f>
        <v/>
      </c>
      <c r="U185">
        <f>HYPERLINK("https://klasma.github.io/Logging_0883/knärot/A 41271-2025 karta knärot.png", "A 41271-2025")</f>
        <v/>
      </c>
      <c r="V185">
        <f>HYPERLINK("https://klasma.github.io/Logging_0883/klagomål/A 41271-2025 FSC-klagomål.docx", "A 41271-2025")</f>
        <v/>
      </c>
      <c r="W185">
        <f>HYPERLINK("https://klasma.github.io/Logging_0883/klagomålsmail/A 41271-2025 FSC-klagomål mail.docx", "A 41271-2025")</f>
        <v/>
      </c>
      <c r="X185">
        <f>HYPERLINK("https://klasma.github.io/Logging_0883/tillsyn/A 41271-2025 tillsynsbegäran.docx", "A 41271-2025")</f>
        <v/>
      </c>
      <c r="Y185">
        <f>HYPERLINK("https://klasma.github.io/Logging_0883/tillsynsmail/A 41271-2025 tillsynsbegäran mail.docx", "A 41271-2025")</f>
        <v/>
      </c>
      <c r="Z185">
        <f>HYPERLINK("https://klasma.github.io/Logging_0883/fåglar/A 41271-2025 prioriterade fågelarter.docx", "A 41271-2025")</f>
        <v/>
      </c>
    </row>
    <row r="186" ht="15" customHeight="1">
      <c r="A186" t="inlineStr">
        <is>
          <t>A 25439-2021</t>
        </is>
      </c>
      <c r="B186" s="1" t="n">
        <v>44342</v>
      </c>
      <c r="C186" s="1" t="n">
        <v>46159</v>
      </c>
      <c r="D186" t="inlineStr">
        <is>
          <t>KALMAR LÄN</t>
        </is>
      </c>
      <c r="E186" t="inlineStr">
        <is>
          <t>VÄSTERVIK</t>
        </is>
      </c>
      <c r="F186" t="inlineStr">
        <is>
          <t>Holmen skog AB</t>
        </is>
      </c>
      <c r="G186" t="n">
        <v>2.4</v>
      </c>
      <c r="H186" t="n">
        <v>2</v>
      </c>
      <c r="I186" t="n">
        <v>1</v>
      </c>
      <c r="J186" t="n">
        <v>0</v>
      </c>
      <c r="K186" t="n">
        <v>0</v>
      </c>
      <c r="L186" t="n">
        <v>0</v>
      </c>
      <c r="M186" t="n">
        <v>0</v>
      </c>
      <c r="N186" t="n">
        <v>0</v>
      </c>
      <c r="O186" t="n">
        <v>0</v>
      </c>
      <c r="P186" t="n">
        <v>0</v>
      </c>
      <c r="Q186" t="n">
        <v>2</v>
      </c>
      <c r="R186" s="2" t="inlineStr">
        <is>
          <t>Grön sköldmossa
Röd glada</t>
        </is>
      </c>
      <c r="S186">
        <f>HYPERLINK("https://klasma.github.io/Logging_0883/artfynd/A 25439-2021 artfynd.xlsx", "A 25439-2021")</f>
        <v/>
      </c>
      <c r="T186">
        <f>HYPERLINK("https://klasma.github.io/Logging_0883/kartor/A 25439-2021 karta.png", "A 25439-2021")</f>
        <v/>
      </c>
      <c r="V186">
        <f>HYPERLINK("https://klasma.github.io/Logging_0883/klagomål/A 25439-2021 FSC-klagomål.docx", "A 25439-2021")</f>
        <v/>
      </c>
      <c r="W186">
        <f>HYPERLINK("https://klasma.github.io/Logging_0883/klagomålsmail/A 25439-2021 FSC-klagomål mail.docx", "A 25439-2021")</f>
        <v/>
      </c>
      <c r="X186">
        <f>HYPERLINK("https://klasma.github.io/Logging_0883/tillsyn/A 25439-2021 tillsynsbegäran.docx", "A 25439-2021")</f>
        <v/>
      </c>
      <c r="Y186">
        <f>HYPERLINK("https://klasma.github.io/Logging_0883/tillsynsmail/A 25439-2021 tillsynsbegäran mail.docx", "A 25439-2021")</f>
        <v/>
      </c>
      <c r="Z186">
        <f>HYPERLINK("https://klasma.github.io/Logging_0883/fåglar/A 25439-2021 prioriterade fågelarter.docx", "A 25439-2021")</f>
        <v/>
      </c>
    </row>
    <row r="187" ht="15" customHeight="1">
      <c r="A187" t="inlineStr">
        <is>
          <t>A 62889-2025</t>
        </is>
      </c>
      <c r="B187" s="1" t="n">
        <v>46009</v>
      </c>
      <c r="C187" s="1" t="n">
        <v>46159</v>
      </c>
      <c r="D187" t="inlineStr">
        <is>
          <t>KALMAR LÄN</t>
        </is>
      </c>
      <c r="E187" t="inlineStr">
        <is>
          <t>VÄSTERVIK</t>
        </is>
      </c>
      <c r="G187" t="n">
        <v>1.8</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62889-2025 artfynd.xlsx", "A 62889-2025")</f>
        <v/>
      </c>
      <c r="T187">
        <f>HYPERLINK("https://klasma.github.io/Logging_0883/kartor/A 62889-2025 karta.png", "A 62889-2025")</f>
        <v/>
      </c>
      <c r="U187">
        <f>HYPERLINK("https://klasma.github.io/Logging_0883/knärot/A 62889-2025 karta knärot.png", "A 62889-2025")</f>
        <v/>
      </c>
      <c r="V187">
        <f>HYPERLINK("https://klasma.github.io/Logging_0883/klagomål/A 62889-2025 FSC-klagomål.docx", "A 62889-2025")</f>
        <v/>
      </c>
      <c r="W187">
        <f>HYPERLINK("https://klasma.github.io/Logging_0883/klagomålsmail/A 62889-2025 FSC-klagomål mail.docx", "A 62889-2025")</f>
        <v/>
      </c>
      <c r="X187">
        <f>HYPERLINK("https://klasma.github.io/Logging_0883/tillsyn/A 62889-2025 tillsynsbegäran.docx", "A 62889-2025")</f>
        <v/>
      </c>
      <c r="Y187">
        <f>HYPERLINK("https://klasma.github.io/Logging_0883/tillsynsmail/A 62889-2025 tillsynsbegäran mail.docx", "A 62889-2025")</f>
        <v/>
      </c>
    </row>
    <row r="188" ht="15" customHeight="1">
      <c r="A188" t="inlineStr">
        <is>
          <t>A 15165-2026</t>
        </is>
      </c>
      <c r="B188" s="1" t="n">
        <v>46105.43518518518</v>
      </c>
      <c r="C188" s="1" t="n">
        <v>46159</v>
      </c>
      <c r="D188" t="inlineStr">
        <is>
          <t>KALMAR LÄN</t>
        </is>
      </c>
      <c r="E188" t="inlineStr">
        <is>
          <t>VÄSTERVIK</t>
        </is>
      </c>
      <c r="F188" t="inlineStr">
        <is>
          <t>Sveaskog</t>
        </is>
      </c>
      <c r="G188" t="n">
        <v>1.4</v>
      </c>
      <c r="H188" t="n">
        <v>2</v>
      </c>
      <c r="I188" t="n">
        <v>0</v>
      </c>
      <c r="J188" t="n">
        <v>1</v>
      </c>
      <c r="K188" t="n">
        <v>0</v>
      </c>
      <c r="L188" t="n">
        <v>0</v>
      </c>
      <c r="M188" t="n">
        <v>0</v>
      </c>
      <c r="N188" t="n">
        <v>0</v>
      </c>
      <c r="O188" t="n">
        <v>1</v>
      </c>
      <c r="P188" t="n">
        <v>0</v>
      </c>
      <c r="Q188" t="n">
        <v>2</v>
      </c>
      <c r="R188" s="2" t="inlineStr">
        <is>
          <t>Spillkråka
Grönsiska</t>
        </is>
      </c>
      <c r="S188">
        <f>HYPERLINK("https://klasma.github.io/Logging_0883/artfynd/A 15165-2026 artfynd.xlsx", "A 15165-2026")</f>
        <v/>
      </c>
      <c r="T188">
        <f>HYPERLINK("https://klasma.github.io/Logging_0883/kartor/A 15165-2026 karta.png", "A 15165-2026")</f>
        <v/>
      </c>
      <c r="V188">
        <f>HYPERLINK("https://klasma.github.io/Logging_0883/klagomål/A 15165-2026 FSC-klagomål.docx", "A 15165-2026")</f>
        <v/>
      </c>
      <c r="W188">
        <f>HYPERLINK("https://klasma.github.io/Logging_0883/klagomålsmail/A 15165-2026 FSC-klagomål mail.docx", "A 15165-2026")</f>
        <v/>
      </c>
      <c r="X188">
        <f>HYPERLINK("https://klasma.github.io/Logging_0883/tillsyn/A 15165-2026 tillsynsbegäran.docx", "A 15165-2026")</f>
        <v/>
      </c>
      <c r="Y188">
        <f>HYPERLINK("https://klasma.github.io/Logging_0883/tillsynsmail/A 15165-2026 tillsynsbegäran mail.docx", "A 15165-2026")</f>
        <v/>
      </c>
      <c r="Z188">
        <f>HYPERLINK("https://klasma.github.io/Logging_0883/fåglar/A 15165-2026 prioriterade fågelarter.docx", "A 15165-2026")</f>
        <v/>
      </c>
    </row>
    <row r="189" ht="15" customHeight="1">
      <c r="A189" t="inlineStr">
        <is>
          <t>A 1879-2026</t>
        </is>
      </c>
      <c r="B189" s="1" t="n">
        <v>46035.47266203703</v>
      </c>
      <c r="C189" s="1" t="n">
        <v>46159</v>
      </c>
      <c r="D189" t="inlineStr">
        <is>
          <t>KALMAR LÄN</t>
        </is>
      </c>
      <c r="E189" t="inlineStr">
        <is>
          <t>VÄSTERVIK</t>
        </is>
      </c>
      <c r="G189" t="n">
        <v>1.6</v>
      </c>
      <c r="H189" t="n">
        <v>1</v>
      </c>
      <c r="I189" t="n">
        <v>0</v>
      </c>
      <c r="J189" t="n">
        <v>1</v>
      </c>
      <c r="K189" t="n">
        <v>1</v>
      </c>
      <c r="L189" t="n">
        <v>0</v>
      </c>
      <c r="M189" t="n">
        <v>0</v>
      </c>
      <c r="N189" t="n">
        <v>0</v>
      </c>
      <c r="O189" t="n">
        <v>2</v>
      </c>
      <c r="P189" t="n">
        <v>1</v>
      </c>
      <c r="Q189" t="n">
        <v>2</v>
      </c>
      <c r="R189" s="2" t="inlineStr">
        <is>
          <t>Knärot
Motaggsvamp</t>
        </is>
      </c>
      <c r="S189">
        <f>HYPERLINK("https://klasma.github.io/Logging_0883/artfynd/A 1879-2026 artfynd.xlsx", "A 1879-2026")</f>
        <v/>
      </c>
      <c r="T189">
        <f>HYPERLINK("https://klasma.github.io/Logging_0883/kartor/A 1879-2026 karta.png", "A 1879-2026")</f>
        <v/>
      </c>
      <c r="U189">
        <f>HYPERLINK("https://klasma.github.io/Logging_0883/knärot/A 1879-2026 karta knärot.png", "A 1879-2026")</f>
        <v/>
      </c>
      <c r="V189">
        <f>HYPERLINK("https://klasma.github.io/Logging_0883/klagomål/A 1879-2026 FSC-klagomål.docx", "A 1879-2026")</f>
        <v/>
      </c>
      <c r="W189">
        <f>HYPERLINK("https://klasma.github.io/Logging_0883/klagomålsmail/A 1879-2026 FSC-klagomål mail.docx", "A 1879-2026")</f>
        <v/>
      </c>
      <c r="X189">
        <f>HYPERLINK("https://klasma.github.io/Logging_0883/tillsyn/A 1879-2026 tillsynsbegäran.docx", "A 1879-2026")</f>
        <v/>
      </c>
      <c r="Y189">
        <f>HYPERLINK("https://klasma.github.io/Logging_0883/tillsynsmail/A 1879-2026 tillsynsbegäran mail.docx", "A 1879-2026")</f>
        <v/>
      </c>
    </row>
    <row r="190" ht="15" customHeight="1">
      <c r="A190" t="inlineStr">
        <is>
          <t>A 958-2025</t>
        </is>
      </c>
      <c r="B190" s="1" t="n">
        <v>45666</v>
      </c>
      <c r="C190" s="1" t="n">
        <v>46159</v>
      </c>
      <c r="D190" t="inlineStr">
        <is>
          <t>KALMAR LÄN</t>
        </is>
      </c>
      <c r="E190" t="inlineStr">
        <is>
          <t>VÄSTERVIK</t>
        </is>
      </c>
      <c r="G190" t="n">
        <v>2.8</v>
      </c>
      <c r="H190" t="n">
        <v>1</v>
      </c>
      <c r="I190" t="n">
        <v>0</v>
      </c>
      <c r="J190" t="n">
        <v>2</v>
      </c>
      <c r="K190" t="n">
        <v>0</v>
      </c>
      <c r="L190" t="n">
        <v>0</v>
      </c>
      <c r="M190" t="n">
        <v>0</v>
      </c>
      <c r="N190" t="n">
        <v>0</v>
      </c>
      <c r="O190" t="n">
        <v>2</v>
      </c>
      <c r="P190" t="n">
        <v>0</v>
      </c>
      <c r="Q190" t="n">
        <v>2</v>
      </c>
      <c r="R190" s="2" t="inlineStr">
        <is>
          <t>Orange taggsvamp
Spillkråka</t>
        </is>
      </c>
      <c r="S190">
        <f>HYPERLINK("https://klasma.github.io/Logging_0883/artfynd/A 958-2025 artfynd.xlsx", "A 958-2025")</f>
        <v/>
      </c>
      <c r="T190">
        <f>HYPERLINK("https://klasma.github.io/Logging_0883/kartor/A 958-2025 karta.png", "A 958-2025")</f>
        <v/>
      </c>
      <c r="V190">
        <f>HYPERLINK("https://klasma.github.io/Logging_0883/klagomål/A 958-2025 FSC-klagomål.docx", "A 958-2025")</f>
        <v/>
      </c>
      <c r="W190">
        <f>HYPERLINK("https://klasma.github.io/Logging_0883/klagomålsmail/A 958-2025 FSC-klagomål mail.docx", "A 958-2025")</f>
        <v/>
      </c>
      <c r="X190">
        <f>HYPERLINK("https://klasma.github.io/Logging_0883/tillsyn/A 958-2025 tillsynsbegäran.docx", "A 958-2025")</f>
        <v/>
      </c>
      <c r="Y190">
        <f>HYPERLINK("https://klasma.github.io/Logging_0883/tillsynsmail/A 958-2025 tillsynsbegäran mail.docx", "A 958-2025")</f>
        <v/>
      </c>
      <c r="Z190">
        <f>HYPERLINK("https://klasma.github.io/Logging_0883/fåglar/A 958-2025 prioriterade fågelarter.docx", "A 958-2025")</f>
        <v/>
      </c>
    </row>
    <row r="191" ht="15" customHeight="1">
      <c r="A191" t="inlineStr">
        <is>
          <t>A 14041-2026</t>
        </is>
      </c>
      <c r="B191" s="1" t="n">
        <v>46098</v>
      </c>
      <c r="C191" s="1" t="n">
        <v>46159</v>
      </c>
      <c r="D191" t="inlineStr">
        <is>
          <t>KALMAR LÄN</t>
        </is>
      </c>
      <c r="E191" t="inlineStr">
        <is>
          <t>VÄSTERVIK</t>
        </is>
      </c>
      <c r="F191" t="inlineStr">
        <is>
          <t>Holmen skog AB</t>
        </is>
      </c>
      <c r="G191" t="n">
        <v>7.8</v>
      </c>
      <c r="H191" t="n">
        <v>2</v>
      </c>
      <c r="I191" t="n">
        <v>0</v>
      </c>
      <c r="J191" t="n">
        <v>2</v>
      </c>
      <c r="K191" t="n">
        <v>0</v>
      </c>
      <c r="L191" t="n">
        <v>0</v>
      </c>
      <c r="M191" t="n">
        <v>0</v>
      </c>
      <c r="N191" t="n">
        <v>0</v>
      </c>
      <c r="O191" t="n">
        <v>2</v>
      </c>
      <c r="P191" t="n">
        <v>0</v>
      </c>
      <c r="Q191" t="n">
        <v>2</v>
      </c>
      <c r="R191" s="2" t="inlineStr">
        <is>
          <t>Duvhök
Talltita</t>
        </is>
      </c>
      <c r="S191">
        <f>HYPERLINK("https://klasma.github.io/Logging_0883/artfynd/A 14041-2026 artfynd.xlsx", "A 14041-2026")</f>
        <v/>
      </c>
      <c r="T191">
        <f>HYPERLINK("https://klasma.github.io/Logging_0883/kartor/A 14041-2026 karta.png", "A 14041-2026")</f>
        <v/>
      </c>
      <c r="V191">
        <f>HYPERLINK("https://klasma.github.io/Logging_0883/klagomål/A 14041-2026 FSC-klagomål.docx", "A 14041-2026")</f>
        <v/>
      </c>
      <c r="W191">
        <f>HYPERLINK("https://klasma.github.io/Logging_0883/klagomålsmail/A 14041-2026 FSC-klagomål mail.docx", "A 14041-2026")</f>
        <v/>
      </c>
      <c r="X191">
        <f>HYPERLINK("https://klasma.github.io/Logging_0883/tillsyn/A 14041-2026 tillsynsbegäran.docx", "A 14041-2026")</f>
        <v/>
      </c>
      <c r="Y191">
        <f>HYPERLINK("https://klasma.github.io/Logging_0883/tillsynsmail/A 14041-2026 tillsynsbegäran mail.docx", "A 14041-2026")</f>
        <v/>
      </c>
      <c r="Z191">
        <f>HYPERLINK("https://klasma.github.io/Logging_0883/fåglar/A 14041-2026 prioriterade fågelarter.docx", "A 14041-2026")</f>
        <v/>
      </c>
    </row>
    <row r="192" ht="15" customHeight="1">
      <c r="A192" t="inlineStr">
        <is>
          <t>A 14090-2025</t>
        </is>
      </c>
      <c r="B192" s="1" t="n">
        <v>45740.44487268518</v>
      </c>
      <c r="C192" s="1" t="n">
        <v>46159</v>
      </c>
      <c r="D192" t="inlineStr">
        <is>
          <t>KALMAR LÄN</t>
        </is>
      </c>
      <c r="E192" t="inlineStr">
        <is>
          <t>VÄSTERVIK</t>
        </is>
      </c>
      <c r="F192" t="inlineStr">
        <is>
          <t>Sveaskog</t>
        </is>
      </c>
      <c r="G192" t="n">
        <v>1</v>
      </c>
      <c r="H192" t="n">
        <v>2</v>
      </c>
      <c r="I192" t="n">
        <v>0</v>
      </c>
      <c r="J192" t="n">
        <v>1</v>
      </c>
      <c r="K192" t="n">
        <v>0</v>
      </c>
      <c r="L192" t="n">
        <v>0</v>
      </c>
      <c r="M192" t="n">
        <v>0</v>
      </c>
      <c r="N192" t="n">
        <v>0</v>
      </c>
      <c r="O192" t="n">
        <v>1</v>
      </c>
      <c r="P192" t="n">
        <v>0</v>
      </c>
      <c r="Q192" t="n">
        <v>2</v>
      </c>
      <c r="R192" s="2" t="inlineStr">
        <is>
          <t>Grönsångare
Åkergroda</t>
        </is>
      </c>
      <c r="S192">
        <f>HYPERLINK("https://klasma.github.io/Logging_0883/artfynd/A 14090-2025 artfynd.xlsx", "A 14090-2025")</f>
        <v/>
      </c>
      <c r="T192">
        <f>HYPERLINK("https://klasma.github.io/Logging_0883/kartor/A 14090-2025 karta.png", "A 14090-2025")</f>
        <v/>
      </c>
      <c r="V192">
        <f>HYPERLINK("https://klasma.github.io/Logging_0883/klagomål/A 14090-2025 FSC-klagomål.docx", "A 14090-2025")</f>
        <v/>
      </c>
      <c r="W192">
        <f>HYPERLINK("https://klasma.github.io/Logging_0883/klagomålsmail/A 14090-2025 FSC-klagomål mail.docx", "A 14090-2025")</f>
        <v/>
      </c>
      <c r="X192">
        <f>HYPERLINK("https://klasma.github.io/Logging_0883/tillsyn/A 14090-2025 tillsynsbegäran.docx", "A 14090-2025")</f>
        <v/>
      </c>
      <c r="Y192">
        <f>HYPERLINK("https://klasma.github.io/Logging_0883/tillsynsmail/A 14090-2025 tillsynsbegäran mail.docx", "A 14090-2025")</f>
        <v/>
      </c>
      <c r="Z192">
        <f>HYPERLINK("https://klasma.github.io/Logging_0883/fåglar/A 14090-2025 prioriterade fågelarter.docx", "A 14090-2025")</f>
        <v/>
      </c>
    </row>
    <row r="193" ht="15" customHeight="1">
      <c r="A193" t="inlineStr">
        <is>
          <t>A 25145-2022</t>
        </is>
      </c>
      <c r="B193" s="1" t="n">
        <v>44729</v>
      </c>
      <c r="C193" s="1" t="n">
        <v>46159</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46159</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16956-2026</t>
        </is>
      </c>
      <c r="B195" s="1" t="n">
        <v>46114.32854166667</v>
      </c>
      <c r="C195" s="1" t="n">
        <v>46159</v>
      </c>
      <c r="D195" t="inlineStr">
        <is>
          <t>KALMAR LÄN</t>
        </is>
      </c>
      <c r="E195" t="inlineStr">
        <is>
          <t>VÄSTERVIK</t>
        </is>
      </c>
      <c r="G195" t="n">
        <v>1.4</v>
      </c>
      <c r="H195" t="n">
        <v>2</v>
      </c>
      <c r="I195" t="n">
        <v>0</v>
      </c>
      <c r="J195" t="n">
        <v>1</v>
      </c>
      <c r="K195" t="n">
        <v>0</v>
      </c>
      <c r="L195" t="n">
        <v>0</v>
      </c>
      <c r="M195" t="n">
        <v>0</v>
      </c>
      <c r="N195" t="n">
        <v>0</v>
      </c>
      <c r="O195" t="n">
        <v>1</v>
      </c>
      <c r="P195" t="n">
        <v>0</v>
      </c>
      <c r="Q195" t="n">
        <v>2</v>
      </c>
      <c r="R195" s="2" t="inlineStr">
        <is>
          <t>Talltita
Järnsparv</t>
        </is>
      </c>
      <c r="S195">
        <f>HYPERLINK("https://klasma.github.io/Logging_0883/artfynd/A 16956-2026 artfynd.xlsx", "A 16956-2026")</f>
        <v/>
      </c>
      <c r="T195">
        <f>HYPERLINK("https://klasma.github.io/Logging_0883/kartor/A 16956-2026 karta.png", "A 16956-2026")</f>
        <v/>
      </c>
      <c r="V195">
        <f>HYPERLINK("https://klasma.github.io/Logging_0883/klagomål/A 16956-2026 FSC-klagomål.docx", "A 16956-2026")</f>
        <v/>
      </c>
      <c r="W195">
        <f>HYPERLINK("https://klasma.github.io/Logging_0883/klagomålsmail/A 16956-2026 FSC-klagomål mail.docx", "A 16956-2026")</f>
        <v/>
      </c>
      <c r="X195">
        <f>HYPERLINK("https://klasma.github.io/Logging_0883/tillsyn/A 16956-2026 tillsynsbegäran.docx", "A 16956-2026")</f>
        <v/>
      </c>
      <c r="Y195">
        <f>HYPERLINK("https://klasma.github.io/Logging_0883/tillsynsmail/A 16956-2026 tillsynsbegäran mail.docx", "A 16956-2026")</f>
        <v/>
      </c>
      <c r="Z195">
        <f>HYPERLINK("https://klasma.github.io/Logging_0883/fåglar/A 16956-2026 prioriterade fågelarter.docx", "A 16956-2026")</f>
        <v/>
      </c>
    </row>
    <row r="196" ht="15" customHeight="1">
      <c r="A196" t="inlineStr">
        <is>
          <t>A 47935-2023</t>
        </is>
      </c>
      <c r="B196" s="1" t="n">
        <v>45204</v>
      </c>
      <c r="C196" s="1" t="n">
        <v>46159</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U196">
        <f>HYPERLINK("https://klasma.github.io/Logging_0883/knärot/A 47935-2023 karta knärot.png",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9770-2024</t>
        </is>
      </c>
      <c r="B197" s="1" t="n">
        <v>45362.63960648148</v>
      </c>
      <c r="C197" s="1" t="n">
        <v>46159</v>
      </c>
      <c r="D197" t="inlineStr">
        <is>
          <t>KALMAR LÄN</t>
        </is>
      </c>
      <c r="E197" t="inlineStr">
        <is>
          <t>VÄSTERVIK</t>
        </is>
      </c>
      <c r="G197" t="n">
        <v>2.6</v>
      </c>
      <c r="H197" t="n">
        <v>2</v>
      </c>
      <c r="I197" t="n">
        <v>0</v>
      </c>
      <c r="J197" t="n">
        <v>1</v>
      </c>
      <c r="K197" t="n">
        <v>0</v>
      </c>
      <c r="L197" t="n">
        <v>0</v>
      </c>
      <c r="M197" t="n">
        <v>0</v>
      </c>
      <c r="N197" t="n">
        <v>0</v>
      </c>
      <c r="O197" t="n">
        <v>1</v>
      </c>
      <c r="P197" t="n">
        <v>0</v>
      </c>
      <c r="Q197" t="n">
        <v>2</v>
      </c>
      <c r="R197" s="2" t="inlineStr">
        <is>
          <t>Talltita
Tjäder</t>
        </is>
      </c>
      <c r="S197">
        <f>HYPERLINK("https://klasma.github.io/Logging_0883/artfynd/A 9770-2024 artfynd.xlsx", "A 9770-2024")</f>
        <v/>
      </c>
      <c r="T197">
        <f>HYPERLINK("https://klasma.github.io/Logging_0883/kartor/A 9770-2024 karta.png", "A 9770-2024")</f>
        <v/>
      </c>
      <c r="V197">
        <f>HYPERLINK("https://klasma.github.io/Logging_0883/klagomål/A 9770-2024 FSC-klagomål.docx", "A 9770-2024")</f>
        <v/>
      </c>
      <c r="W197">
        <f>HYPERLINK("https://klasma.github.io/Logging_0883/klagomålsmail/A 9770-2024 FSC-klagomål mail.docx", "A 9770-2024")</f>
        <v/>
      </c>
      <c r="X197">
        <f>HYPERLINK("https://klasma.github.io/Logging_0883/tillsyn/A 9770-2024 tillsynsbegäran.docx", "A 9770-2024")</f>
        <v/>
      </c>
      <c r="Y197">
        <f>HYPERLINK("https://klasma.github.io/Logging_0883/tillsynsmail/A 9770-2024 tillsynsbegäran mail.docx", "A 9770-2024")</f>
        <v/>
      </c>
      <c r="Z197">
        <f>HYPERLINK("https://klasma.github.io/Logging_0883/fåglar/A 9770-2024 prioriterade fågelarter.docx", "A 9770-2024")</f>
        <v/>
      </c>
    </row>
    <row r="198" ht="15" customHeight="1">
      <c r="A198" t="inlineStr">
        <is>
          <t>A 948-2024</t>
        </is>
      </c>
      <c r="B198" s="1" t="n">
        <v>45301</v>
      </c>
      <c r="C198" s="1" t="n">
        <v>46159</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Dropptaggsvamp
Tjäder</t>
        </is>
      </c>
      <c r="S198">
        <f>HYPERLINK("https://klasma.github.io/Logging_0883/artfynd/A 948-2024 artfynd.xlsx", "A 948-2024")</f>
        <v/>
      </c>
      <c r="T198">
        <f>HYPERLINK("https://klasma.github.io/Logging_0883/kartor/A 948-2024 karta.png", "A 948-2024")</f>
        <v/>
      </c>
      <c r="V198">
        <f>HYPERLINK("https://klasma.github.io/Logging_0883/klagomål/A 948-2024 FSC-klagomål.docx", "A 948-2024")</f>
        <v/>
      </c>
      <c r="W198">
        <f>HYPERLINK("https://klasma.github.io/Logging_0883/klagomålsmail/A 948-2024 FSC-klagomål mail.docx", "A 948-2024")</f>
        <v/>
      </c>
      <c r="X198">
        <f>HYPERLINK("https://klasma.github.io/Logging_0883/tillsyn/A 948-2024 tillsynsbegäran.docx", "A 948-2024")</f>
        <v/>
      </c>
      <c r="Y198">
        <f>HYPERLINK("https://klasma.github.io/Logging_0883/tillsynsmail/A 948-2024 tillsynsbegäran mail.docx", "A 948-2024")</f>
        <v/>
      </c>
      <c r="Z198">
        <f>HYPERLINK("https://klasma.github.io/Logging_0883/fåglar/A 948-2024 prioriterade fågelarter.docx", "A 948-2024")</f>
        <v/>
      </c>
    </row>
    <row r="199" ht="15" customHeight="1">
      <c r="A199" t="inlineStr">
        <is>
          <t>A 941-2024</t>
        </is>
      </c>
      <c r="B199" s="1" t="n">
        <v>45301</v>
      </c>
      <c r="C199" s="1" t="n">
        <v>46159</v>
      </c>
      <c r="D199" t="inlineStr">
        <is>
          <t>KALMAR LÄN</t>
        </is>
      </c>
      <c r="E199" t="inlineStr">
        <is>
          <t>VÄSTERVIK</t>
        </is>
      </c>
      <c r="G199" t="n">
        <v>2.7</v>
      </c>
      <c r="H199" t="n">
        <v>1</v>
      </c>
      <c r="I199" t="n">
        <v>0</v>
      </c>
      <c r="J199" t="n">
        <v>1</v>
      </c>
      <c r="K199" t="n">
        <v>1</v>
      </c>
      <c r="L199" t="n">
        <v>0</v>
      </c>
      <c r="M199" t="n">
        <v>0</v>
      </c>
      <c r="N199" t="n">
        <v>0</v>
      </c>
      <c r="O199" t="n">
        <v>2</v>
      </c>
      <c r="P199" t="n">
        <v>1</v>
      </c>
      <c r="Q199" t="n">
        <v>2</v>
      </c>
      <c r="R199" s="2" t="inlineStr">
        <is>
          <t>Knärot
Svinrot</t>
        </is>
      </c>
      <c r="S199">
        <f>HYPERLINK("https://klasma.github.io/Logging_0883/artfynd/A 941-2024 artfynd.xlsx", "A 941-2024")</f>
        <v/>
      </c>
      <c r="T199">
        <f>HYPERLINK("https://klasma.github.io/Logging_0883/kartor/A 941-2024 karta.png", "A 941-2024")</f>
        <v/>
      </c>
      <c r="U199">
        <f>HYPERLINK("https://klasma.github.io/Logging_0883/knärot/A 941-2024 karta knärot.png", "A 941-2024")</f>
        <v/>
      </c>
      <c r="V199">
        <f>HYPERLINK("https://klasma.github.io/Logging_0883/klagomål/A 941-2024 FSC-klagomål.docx", "A 941-2024")</f>
        <v/>
      </c>
      <c r="W199">
        <f>HYPERLINK("https://klasma.github.io/Logging_0883/klagomålsmail/A 941-2024 FSC-klagomål mail.docx", "A 941-2024")</f>
        <v/>
      </c>
      <c r="X199">
        <f>HYPERLINK("https://klasma.github.io/Logging_0883/tillsyn/A 941-2024 tillsynsbegäran.docx", "A 941-2024")</f>
        <v/>
      </c>
      <c r="Y199">
        <f>HYPERLINK("https://klasma.github.io/Logging_0883/tillsynsmail/A 941-2024 tillsynsbegäran mail.docx", "A 941-2024")</f>
        <v/>
      </c>
    </row>
    <row r="200" ht="15" customHeight="1">
      <c r="A200" t="inlineStr">
        <is>
          <t>A 56036-2024</t>
        </is>
      </c>
      <c r="B200" s="1" t="n">
        <v>45624</v>
      </c>
      <c r="C200" s="1" t="n">
        <v>46159</v>
      </c>
      <c r="D200" t="inlineStr">
        <is>
          <t>KALMAR LÄN</t>
        </is>
      </c>
      <c r="E200" t="inlineStr">
        <is>
          <t>VÄSTERVIK</t>
        </is>
      </c>
      <c r="F200" t="inlineStr">
        <is>
          <t>Kyrkan</t>
        </is>
      </c>
      <c r="G200" t="n">
        <v>5.5</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56036-2024 artfynd.xlsx", "A 56036-2024")</f>
        <v/>
      </c>
      <c r="T200">
        <f>HYPERLINK("https://klasma.github.io/Logging_0883/kartor/A 56036-2024 karta.png", "A 56036-2024")</f>
        <v/>
      </c>
      <c r="U200">
        <f>HYPERLINK("https://klasma.github.io/Logging_0883/knärot/A 56036-2024 karta knärot.png", "A 56036-2024")</f>
        <v/>
      </c>
      <c r="V200">
        <f>HYPERLINK("https://klasma.github.io/Logging_0883/klagomål/A 56036-2024 FSC-klagomål.docx", "A 56036-2024")</f>
        <v/>
      </c>
      <c r="W200">
        <f>HYPERLINK("https://klasma.github.io/Logging_0883/klagomålsmail/A 56036-2024 FSC-klagomål mail.docx", "A 56036-2024")</f>
        <v/>
      </c>
      <c r="X200">
        <f>HYPERLINK("https://klasma.github.io/Logging_0883/tillsyn/A 56036-2024 tillsynsbegäran.docx", "A 56036-2024")</f>
        <v/>
      </c>
      <c r="Y200">
        <f>HYPERLINK("https://klasma.github.io/Logging_0883/tillsynsmail/A 56036-2024 tillsynsbegäran mail.docx", "A 56036-2024")</f>
        <v/>
      </c>
      <c r="Z200">
        <f>HYPERLINK("https://klasma.github.io/Logging_0883/fåglar/A 56036-2024 prioriterade fågelarter.docx", "A 56036-2024")</f>
        <v/>
      </c>
    </row>
    <row r="201" ht="15" customHeight="1">
      <c r="A201" t="inlineStr">
        <is>
          <t>A 932-2024</t>
        </is>
      </c>
      <c r="B201" s="1" t="n">
        <v>45301</v>
      </c>
      <c r="C201" s="1" t="n">
        <v>46159</v>
      </c>
      <c r="D201" t="inlineStr">
        <is>
          <t>KALMAR LÄN</t>
        </is>
      </c>
      <c r="E201" t="inlineStr">
        <is>
          <t>VÄSTERVIK</t>
        </is>
      </c>
      <c r="G201" t="n">
        <v>3.7</v>
      </c>
      <c r="H201" t="n">
        <v>1</v>
      </c>
      <c r="I201" t="n">
        <v>1</v>
      </c>
      <c r="J201" t="n">
        <v>1</v>
      </c>
      <c r="K201" t="n">
        <v>0</v>
      </c>
      <c r="L201" t="n">
        <v>0</v>
      </c>
      <c r="M201" t="n">
        <v>0</v>
      </c>
      <c r="N201" t="n">
        <v>0</v>
      </c>
      <c r="O201" t="n">
        <v>1</v>
      </c>
      <c r="P201" t="n">
        <v>0</v>
      </c>
      <c r="Q201" t="n">
        <v>2</v>
      </c>
      <c r="R201" s="2" t="inlineStr">
        <is>
          <t>Spillkråka
Grovticka</t>
        </is>
      </c>
      <c r="S201">
        <f>HYPERLINK("https://klasma.github.io/Logging_0883/artfynd/A 932-2024 artfynd.xlsx", "A 932-2024")</f>
        <v/>
      </c>
      <c r="T201">
        <f>HYPERLINK("https://klasma.github.io/Logging_0883/kartor/A 932-2024 karta.png", "A 932-2024")</f>
        <v/>
      </c>
      <c r="V201">
        <f>HYPERLINK("https://klasma.github.io/Logging_0883/klagomål/A 932-2024 FSC-klagomål.docx", "A 932-2024")</f>
        <v/>
      </c>
      <c r="W201">
        <f>HYPERLINK("https://klasma.github.io/Logging_0883/klagomålsmail/A 932-2024 FSC-klagomål mail.docx", "A 932-2024")</f>
        <v/>
      </c>
      <c r="X201">
        <f>HYPERLINK("https://klasma.github.io/Logging_0883/tillsyn/A 932-2024 tillsynsbegäran.docx", "A 932-2024")</f>
        <v/>
      </c>
      <c r="Y201">
        <f>HYPERLINK("https://klasma.github.io/Logging_0883/tillsynsmail/A 932-2024 tillsynsbegäran mail.docx", "A 932-2024")</f>
        <v/>
      </c>
      <c r="Z201">
        <f>HYPERLINK("https://klasma.github.io/Logging_0883/fåglar/A 932-2024 prioriterade fågelarter.docx", "A 932-2024")</f>
        <v/>
      </c>
    </row>
    <row r="202" ht="15" customHeight="1">
      <c r="A202" t="inlineStr">
        <is>
          <t>A 911-2024</t>
        </is>
      </c>
      <c r="B202" s="1" t="n">
        <v>45301</v>
      </c>
      <c r="C202" s="1" t="n">
        <v>46159</v>
      </c>
      <c r="D202" t="inlineStr">
        <is>
          <t>KALMAR LÄN</t>
        </is>
      </c>
      <c r="E202" t="inlineStr">
        <is>
          <t>VÄSTERVIK</t>
        </is>
      </c>
      <c r="G202" t="n">
        <v>5.6</v>
      </c>
      <c r="H202" t="n">
        <v>1</v>
      </c>
      <c r="I202" t="n">
        <v>1</v>
      </c>
      <c r="J202" t="n">
        <v>1</v>
      </c>
      <c r="K202" t="n">
        <v>0</v>
      </c>
      <c r="L202" t="n">
        <v>0</v>
      </c>
      <c r="M202" t="n">
        <v>0</v>
      </c>
      <c r="N202" t="n">
        <v>0</v>
      </c>
      <c r="O202" t="n">
        <v>1</v>
      </c>
      <c r="P202" t="n">
        <v>0</v>
      </c>
      <c r="Q202" t="n">
        <v>2</v>
      </c>
      <c r="R202" s="2" t="inlineStr">
        <is>
          <t>Talltita
Blodticka</t>
        </is>
      </c>
      <c r="S202">
        <f>HYPERLINK("https://klasma.github.io/Logging_0883/artfynd/A 911-2024 artfynd.xlsx", "A 911-2024")</f>
        <v/>
      </c>
      <c r="T202">
        <f>HYPERLINK("https://klasma.github.io/Logging_0883/kartor/A 911-2024 karta.png", "A 911-2024")</f>
        <v/>
      </c>
      <c r="V202">
        <f>HYPERLINK("https://klasma.github.io/Logging_0883/klagomål/A 911-2024 FSC-klagomål.docx", "A 911-2024")</f>
        <v/>
      </c>
      <c r="W202">
        <f>HYPERLINK("https://klasma.github.io/Logging_0883/klagomålsmail/A 911-2024 FSC-klagomål mail.docx", "A 911-2024")</f>
        <v/>
      </c>
      <c r="X202">
        <f>HYPERLINK("https://klasma.github.io/Logging_0883/tillsyn/A 911-2024 tillsynsbegäran.docx", "A 911-2024")</f>
        <v/>
      </c>
      <c r="Y202">
        <f>HYPERLINK("https://klasma.github.io/Logging_0883/tillsynsmail/A 911-2024 tillsynsbegäran mail.docx", "A 911-2024")</f>
        <v/>
      </c>
      <c r="Z202">
        <f>HYPERLINK("https://klasma.github.io/Logging_0883/fåglar/A 911-2024 prioriterade fågelarter.docx", "A 911-2024")</f>
        <v/>
      </c>
    </row>
    <row r="203" ht="15" customHeight="1">
      <c r="A203" t="inlineStr">
        <is>
          <t>A 59940-2021</t>
        </is>
      </c>
      <c r="B203" s="1" t="n">
        <v>44494</v>
      </c>
      <c r="C203" s="1" t="n">
        <v>46159</v>
      </c>
      <c r="D203" t="inlineStr">
        <is>
          <t>KALMAR LÄN</t>
        </is>
      </c>
      <c r="E203" t="inlineStr">
        <is>
          <t>VÄSTERVIK</t>
        </is>
      </c>
      <c r="G203" t="n">
        <v>4.3</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59940-2021 artfynd.xlsx", "A 59940-2021")</f>
        <v/>
      </c>
      <c r="T203">
        <f>HYPERLINK("https://klasma.github.io/Logging_0883/kartor/A 59940-2021 karta.png", "A 59940-2021")</f>
        <v/>
      </c>
      <c r="U203">
        <f>HYPERLINK("https://klasma.github.io/Logging_0883/knärot/A 59940-2021 karta knärot.png", "A 59940-2021")</f>
        <v/>
      </c>
      <c r="V203">
        <f>HYPERLINK("https://klasma.github.io/Logging_0883/klagomål/A 59940-2021 FSC-klagomål.docx", "A 59940-2021")</f>
        <v/>
      </c>
      <c r="W203">
        <f>HYPERLINK("https://klasma.github.io/Logging_0883/klagomålsmail/A 59940-2021 FSC-klagomål mail.docx", "A 59940-2021")</f>
        <v/>
      </c>
      <c r="X203">
        <f>HYPERLINK("https://klasma.github.io/Logging_0883/tillsyn/A 59940-2021 tillsynsbegäran.docx", "A 59940-2021")</f>
        <v/>
      </c>
      <c r="Y203">
        <f>HYPERLINK("https://klasma.github.io/Logging_0883/tillsynsmail/A 59940-2021 tillsynsbegäran mail.docx", "A 59940-2021")</f>
        <v/>
      </c>
    </row>
    <row r="204" ht="15" customHeight="1">
      <c r="A204" t="inlineStr">
        <is>
          <t>A 59231-2022</t>
        </is>
      </c>
      <c r="B204" s="1" t="n">
        <v>44904.55646990741</v>
      </c>
      <c r="C204" s="1" t="n">
        <v>46159</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59221-2022</t>
        </is>
      </c>
      <c r="B205" s="1" t="n">
        <v>44904.53858796296</v>
      </c>
      <c r="C205" s="1" t="n">
        <v>46159</v>
      </c>
      <c r="D205" t="inlineStr">
        <is>
          <t>KALMAR LÄN</t>
        </is>
      </c>
      <c r="E205" t="inlineStr">
        <is>
          <t>VÄSTERVIK</t>
        </is>
      </c>
      <c r="G205" t="n">
        <v>6.1</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59221-2022 artfynd.xlsx", "A 59221-2022")</f>
        <v/>
      </c>
      <c r="T205">
        <f>HYPERLINK("https://klasma.github.io/Logging_0883/kartor/A 59221-2022 karta.png", "A 59221-2022")</f>
        <v/>
      </c>
      <c r="V205">
        <f>HYPERLINK("https://klasma.github.io/Logging_0883/klagomål/A 59221-2022 FSC-klagomål.docx", "A 59221-2022")</f>
        <v/>
      </c>
      <c r="W205">
        <f>HYPERLINK("https://klasma.github.io/Logging_0883/klagomålsmail/A 59221-2022 FSC-klagomål mail.docx", "A 59221-2022")</f>
        <v/>
      </c>
      <c r="X205">
        <f>HYPERLINK("https://klasma.github.io/Logging_0883/tillsyn/A 59221-2022 tillsynsbegäran.docx", "A 59221-2022")</f>
        <v/>
      </c>
      <c r="Y205">
        <f>HYPERLINK("https://klasma.github.io/Logging_0883/tillsynsmail/A 59221-2022 tillsynsbegäran mail.docx", "A 59221-2022")</f>
        <v/>
      </c>
      <c r="Z205">
        <f>HYPERLINK("https://klasma.github.io/Logging_0883/fåglar/A 59221-2022 prioriterade fågelarter.docx", "A 59221-2022")</f>
        <v/>
      </c>
    </row>
    <row r="206" ht="15" customHeight="1">
      <c r="A206" t="inlineStr">
        <is>
          <t>A 59178-2022</t>
        </is>
      </c>
      <c r="B206" s="1" t="n">
        <v>44904</v>
      </c>
      <c r="C206" s="1" t="n">
        <v>46159</v>
      </c>
      <c r="D206" t="inlineStr">
        <is>
          <t>KALMAR LÄN</t>
        </is>
      </c>
      <c r="E206" t="inlineStr">
        <is>
          <t>VÄSTERVIK</t>
        </is>
      </c>
      <c r="G206" t="n">
        <v>3.3</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c r="Z206">
        <f>HYPERLINK("https://klasma.github.io/Logging_0883/fåglar/A 59178-2022 prioriterade fågelarter.docx", "A 59178-2022")</f>
        <v/>
      </c>
    </row>
    <row r="207" ht="15" customHeight="1">
      <c r="A207" t="inlineStr">
        <is>
          <t>A 34119-2023</t>
        </is>
      </c>
      <c r="B207" s="1" t="n">
        <v>45135</v>
      </c>
      <c r="C207" s="1" t="n">
        <v>46159</v>
      </c>
      <c r="D207" t="inlineStr">
        <is>
          <t>KALMAR LÄN</t>
        </is>
      </c>
      <c r="E207" t="inlineStr">
        <is>
          <t>VÄSTERVIK</t>
        </is>
      </c>
      <c r="G207" t="n">
        <v>3.1</v>
      </c>
      <c r="H207" t="n">
        <v>1</v>
      </c>
      <c r="I207" t="n">
        <v>1</v>
      </c>
      <c r="J207" t="n">
        <v>0</v>
      </c>
      <c r="K207" t="n">
        <v>1</v>
      </c>
      <c r="L207" t="n">
        <v>0</v>
      </c>
      <c r="M207" t="n">
        <v>0</v>
      </c>
      <c r="N207" t="n">
        <v>0</v>
      </c>
      <c r="O207" t="n">
        <v>1</v>
      </c>
      <c r="P207" t="n">
        <v>1</v>
      </c>
      <c r="Q207" t="n">
        <v>2</v>
      </c>
      <c r="R207" s="2" t="inlineStr">
        <is>
          <t>Knärot
Blomkålssvamp</t>
        </is>
      </c>
      <c r="S207">
        <f>HYPERLINK("https://klasma.github.io/Logging_0883/artfynd/A 34119-2023 artfynd.xlsx", "A 34119-2023")</f>
        <v/>
      </c>
      <c r="T207">
        <f>HYPERLINK("https://klasma.github.io/Logging_0883/kartor/A 34119-2023 karta.png", "A 34119-2023")</f>
        <v/>
      </c>
      <c r="U207">
        <f>HYPERLINK("https://klasma.github.io/Logging_0883/knärot/A 34119-2023 karta knärot.png", "A 34119-2023")</f>
        <v/>
      </c>
      <c r="V207">
        <f>HYPERLINK("https://klasma.github.io/Logging_0883/klagomål/A 34119-2023 FSC-klagomål.docx", "A 34119-2023")</f>
        <v/>
      </c>
      <c r="W207">
        <f>HYPERLINK("https://klasma.github.io/Logging_0883/klagomålsmail/A 34119-2023 FSC-klagomål mail.docx", "A 34119-2023")</f>
        <v/>
      </c>
      <c r="X207">
        <f>HYPERLINK("https://klasma.github.io/Logging_0883/tillsyn/A 34119-2023 tillsynsbegäran.docx", "A 34119-2023")</f>
        <v/>
      </c>
      <c r="Y207">
        <f>HYPERLINK("https://klasma.github.io/Logging_0883/tillsynsmail/A 34119-2023 tillsynsbegäran mail.docx", "A 34119-2023")</f>
        <v/>
      </c>
    </row>
    <row r="208" ht="15" customHeight="1">
      <c r="A208" t="inlineStr">
        <is>
          <t>A 56857-2023</t>
        </is>
      </c>
      <c r="B208" s="1" t="n">
        <v>45244</v>
      </c>
      <c r="C208" s="1" t="n">
        <v>46159</v>
      </c>
      <c r="D208" t="inlineStr">
        <is>
          <t>KALMAR LÄN</t>
        </is>
      </c>
      <c r="E208" t="inlineStr">
        <is>
          <t>VÄSTERVIK</t>
        </is>
      </c>
      <c r="F208" t="inlineStr">
        <is>
          <t>Kyrkan</t>
        </is>
      </c>
      <c r="G208" t="n">
        <v>7.5</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56857-2023 artfynd.xlsx", "A 56857-2023")</f>
        <v/>
      </c>
      <c r="T208">
        <f>HYPERLINK("https://klasma.github.io/Logging_0883/kartor/A 56857-2023 karta.png", "A 56857-2023")</f>
        <v/>
      </c>
      <c r="U208">
        <f>HYPERLINK("https://klasma.github.io/Logging_0883/knärot/A 56857-2023 karta knärot.png", "A 56857-2023")</f>
        <v/>
      </c>
      <c r="V208">
        <f>HYPERLINK("https://klasma.github.io/Logging_0883/klagomål/A 56857-2023 FSC-klagomål.docx", "A 56857-2023")</f>
        <v/>
      </c>
      <c r="W208">
        <f>HYPERLINK("https://klasma.github.io/Logging_0883/klagomålsmail/A 56857-2023 FSC-klagomål mail.docx", "A 56857-2023")</f>
        <v/>
      </c>
      <c r="X208">
        <f>HYPERLINK("https://klasma.github.io/Logging_0883/tillsyn/A 56857-2023 tillsynsbegäran.docx", "A 56857-2023")</f>
        <v/>
      </c>
      <c r="Y208">
        <f>HYPERLINK("https://klasma.github.io/Logging_0883/tillsynsmail/A 56857-2023 tillsynsbegäran mail.docx", "A 56857-2023")</f>
        <v/>
      </c>
    </row>
    <row r="209" ht="15" customHeight="1">
      <c r="A209" t="inlineStr">
        <is>
          <t>A 35236-2024</t>
        </is>
      </c>
      <c r="B209" s="1" t="n">
        <v>45530.54184027778</v>
      </c>
      <c r="C209" s="1" t="n">
        <v>46159</v>
      </c>
      <c r="D209" t="inlineStr">
        <is>
          <t>KALMAR LÄN</t>
        </is>
      </c>
      <c r="E209" t="inlineStr">
        <is>
          <t>VÄSTERVIK</t>
        </is>
      </c>
      <c r="G209" t="n">
        <v>0.9</v>
      </c>
      <c r="H209" t="n">
        <v>1</v>
      </c>
      <c r="I209" t="n">
        <v>1</v>
      </c>
      <c r="J209" t="n">
        <v>0</v>
      </c>
      <c r="K209" t="n">
        <v>1</v>
      </c>
      <c r="L209" t="n">
        <v>0</v>
      </c>
      <c r="M209" t="n">
        <v>0</v>
      </c>
      <c r="N209" t="n">
        <v>0</v>
      </c>
      <c r="O209" t="n">
        <v>1</v>
      </c>
      <c r="P209" t="n">
        <v>1</v>
      </c>
      <c r="Q209" t="n">
        <v>2</v>
      </c>
      <c r="R209" s="2" t="inlineStr">
        <is>
          <t>Knärot
Blåmossa</t>
        </is>
      </c>
      <c r="S209">
        <f>HYPERLINK("https://klasma.github.io/Logging_0883/artfynd/A 35236-2024 artfynd.xlsx", "A 35236-2024")</f>
        <v/>
      </c>
      <c r="T209">
        <f>HYPERLINK("https://klasma.github.io/Logging_0883/kartor/A 35236-2024 karta.png", "A 35236-2024")</f>
        <v/>
      </c>
      <c r="U209">
        <f>HYPERLINK("https://klasma.github.io/Logging_0883/knärot/A 35236-2024 karta knärot.png", "A 35236-2024")</f>
        <v/>
      </c>
      <c r="V209">
        <f>HYPERLINK("https://klasma.github.io/Logging_0883/klagomål/A 35236-2024 FSC-klagomål.docx", "A 35236-2024")</f>
        <v/>
      </c>
      <c r="W209">
        <f>HYPERLINK("https://klasma.github.io/Logging_0883/klagomålsmail/A 35236-2024 FSC-klagomål mail.docx", "A 35236-2024")</f>
        <v/>
      </c>
      <c r="X209">
        <f>HYPERLINK("https://klasma.github.io/Logging_0883/tillsyn/A 35236-2024 tillsynsbegäran.docx", "A 35236-2024")</f>
        <v/>
      </c>
      <c r="Y209">
        <f>HYPERLINK("https://klasma.github.io/Logging_0883/tillsynsmail/A 35236-2024 tillsynsbegäran mail.docx", "A 35236-2024")</f>
        <v/>
      </c>
    </row>
    <row r="210" ht="15" customHeight="1">
      <c r="A210" t="inlineStr">
        <is>
          <t>A 38373-2022</t>
        </is>
      </c>
      <c r="B210" s="1" t="n">
        <v>44812</v>
      </c>
      <c r="C210" s="1" t="n">
        <v>46159</v>
      </c>
      <c r="D210" t="inlineStr">
        <is>
          <t>KALMAR LÄN</t>
        </is>
      </c>
      <c r="E210" t="inlineStr">
        <is>
          <t>VÄSTERVIK</t>
        </is>
      </c>
      <c r="G210" t="n">
        <v>3.1</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38373-2022 artfynd.xlsx", "A 38373-2022")</f>
        <v/>
      </c>
      <c r="T210">
        <f>HYPERLINK("https://klasma.github.io/Logging_0883/kartor/A 38373-2022 karta.png", "A 38373-2022")</f>
        <v/>
      </c>
      <c r="U210">
        <f>HYPERLINK("https://klasma.github.io/Logging_0883/knärot/A 38373-2022 karta knärot.png", "A 38373-2022")</f>
        <v/>
      </c>
      <c r="V210">
        <f>HYPERLINK("https://klasma.github.io/Logging_0883/klagomål/A 38373-2022 FSC-klagomål.docx", "A 38373-2022")</f>
        <v/>
      </c>
      <c r="W210">
        <f>HYPERLINK("https://klasma.github.io/Logging_0883/klagomålsmail/A 38373-2022 FSC-klagomål mail.docx", "A 38373-2022")</f>
        <v/>
      </c>
      <c r="X210">
        <f>HYPERLINK("https://klasma.github.io/Logging_0883/tillsyn/A 38373-2022 tillsynsbegäran.docx", "A 38373-2022")</f>
        <v/>
      </c>
      <c r="Y210">
        <f>HYPERLINK("https://klasma.github.io/Logging_0883/tillsynsmail/A 38373-2022 tillsynsbegäran mail.docx", "A 38373-2022")</f>
        <v/>
      </c>
    </row>
    <row r="211" ht="15" customHeight="1">
      <c r="A211" t="inlineStr">
        <is>
          <t>A 62008-2023</t>
        </is>
      </c>
      <c r="B211" s="1" t="n">
        <v>45266</v>
      </c>
      <c r="C211" s="1" t="n">
        <v>46159</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46159</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46159</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46159</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23192-2025</t>
        </is>
      </c>
      <c r="B215" s="1" t="n">
        <v>45791.45371527778</v>
      </c>
      <c r="C215" s="1" t="n">
        <v>46159</v>
      </c>
      <c r="D215" t="inlineStr">
        <is>
          <t>KALMAR LÄN</t>
        </is>
      </c>
      <c r="E215" t="inlineStr">
        <is>
          <t>VÄSTERVIK</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HYPERLINK("https://klasma.github.io/Logging_0883/artfynd/A 23192-2025 artfynd.xlsx", "A 23192-2025")</f>
        <v/>
      </c>
      <c r="T215">
        <f>HYPERLINK("https://klasma.github.io/Logging_0883/kartor/A 23192-2025 karta.png", "A 23192-2025")</f>
        <v/>
      </c>
      <c r="V215">
        <f>HYPERLINK("https://klasma.github.io/Logging_0883/klagomål/A 23192-2025 FSC-klagomål.docx", "A 23192-2025")</f>
        <v/>
      </c>
      <c r="W215">
        <f>HYPERLINK("https://klasma.github.io/Logging_0883/klagomålsmail/A 23192-2025 FSC-klagomål mail.docx", "A 23192-2025")</f>
        <v/>
      </c>
      <c r="X215">
        <f>HYPERLINK("https://klasma.github.io/Logging_0883/tillsyn/A 23192-2025 tillsynsbegäran.docx", "A 23192-2025")</f>
        <v/>
      </c>
      <c r="Y215">
        <f>HYPERLINK("https://klasma.github.io/Logging_0883/tillsynsmail/A 23192-2025 tillsynsbegäran mail.docx", "A 23192-2025")</f>
        <v/>
      </c>
      <c r="Z215">
        <f>HYPERLINK("https://klasma.github.io/Logging_0883/fåglar/A 23192-2025 prioriterade fågelarter.docx", "A 23192-2025")</f>
        <v/>
      </c>
    </row>
    <row r="216" ht="15" customHeight="1">
      <c r="A216" t="inlineStr">
        <is>
          <t>A 23199-2025</t>
        </is>
      </c>
      <c r="B216" s="1" t="n">
        <v>45791.45887731481</v>
      </c>
      <c r="C216" s="1" t="n">
        <v>46159</v>
      </c>
      <c r="D216" t="inlineStr">
        <is>
          <t>KALMAR LÄN</t>
        </is>
      </c>
      <c r="E216" t="inlineStr">
        <is>
          <t>VÄSTERVIK</t>
        </is>
      </c>
      <c r="G216" t="n">
        <v>2.1</v>
      </c>
      <c r="H216" t="n">
        <v>0</v>
      </c>
      <c r="I216" t="n">
        <v>1</v>
      </c>
      <c r="J216" t="n">
        <v>0</v>
      </c>
      <c r="K216" t="n">
        <v>0</v>
      </c>
      <c r="L216" t="n">
        <v>0</v>
      </c>
      <c r="M216" t="n">
        <v>0</v>
      </c>
      <c r="N216" t="n">
        <v>0</v>
      </c>
      <c r="O216" t="n">
        <v>0</v>
      </c>
      <c r="P216" t="n">
        <v>0</v>
      </c>
      <c r="Q216" t="n">
        <v>1</v>
      </c>
      <c r="R216" s="2" t="inlineStr">
        <is>
          <t>Blåmossa</t>
        </is>
      </c>
      <c r="S216">
        <f>HYPERLINK("https://klasma.github.io/Logging_0883/artfynd/A 23199-2025 artfynd.xlsx", "A 23199-2025")</f>
        <v/>
      </c>
      <c r="T216">
        <f>HYPERLINK("https://klasma.github.io/Logging_0883/kartor/A 23199-2025 karta.png", "A 23199-2025")</f>
        <v/>
      </c>
      <c r="V216">
        <f>HYPERLINK("https://klasma.github.io/Logging_0883/klagomål/A 23199-2025 FSC-klagomål.docx", "A 23199-2025")</f>
        <v/>
      </c>
      <c r="W216">
        <f>HYPERLINK("https://klasma.github.io/Logging_0883/klagomålsmail/A 23199-2025 FSC-klagomål mail.docx", "A 23199-2025")</f>
        <v/>
      </c>
      <c r="X216">
        <f>HYPERLINK("https://klasma.github.io/Logging_0883/tillsyn/A 23199-2025 tillsynsbegäran.docx", "A 23199-2025")</f>
        <v/>
      </c>
      <c r="Y216">
        <f>HYPERLINK("https://klasma.github.io/Logging_0883/tillsynsmail/A 23199-2025 tillsynsbegäran mail.docx", "A 23199-2025")</f>
        <v/>
      </c>
    </row>
    <row r="217" ht="15" customHeight="1">
      <c r="A217" t="inlineStr">
        <is>
          <t>A 53075-2024</t>
        </is>
      </c>
      <c r="B217" s="1" t="n">
        <v>45611</v>
      </c>
      <c r="C217" s="1" t="n">
        <v>46159</v>
      </c>
      <c r="D217" t="inlineStr">
        <is>
          <t>KALMAR LÄN</t>
        </is>
      </c>
      <c r="E217" t="inlineStr">
        <is>
          <t>VÄSTERVIK</t>
        </is>
      </c>
      <c r="F217" t="inlineStr">
        <is>
          <t>Holmen skog AB</t>
        </is>
      </c>
      <c r="G217" t="n">
        <v>8.5</v>
      </c>
      <c r="H217" t="n">
        <v>1</v>
      </c>
      <c r="I217" t="n">
        <v>0</v>
      </c>
      <c r="J217" t="n">
        <v>1</v>
      </c>
      <c r="K217" t="n">
        <v>0</v>
      </c>
      <c r="L217" t="n">
        <v>0</v>
      </c>
      <c r="M217" t="n">
        <v>0</v>
      </c>
      <c r="N217" t="n">
        <v>0</v>
      </c>
      <c r="O217" t="n">
        <v>1</v>
      </c>
      <c r="P217" t="n">
        <v>0</v>
      </c>
      <c r="Q217" t="n">
        <v>1</v>
      </c>
      <c r="R217" s="2" t="inlineStr">
        <is>
          <t>Talltita</t>
        </is>
      </c>
      <c r="S217">
        <f>HYPERLINK("https://klasma.github.io/Logging_0883/artfynd/A 53075-2024 artfynd.xlsx", "A 53075-2024")</f>
        <v/>
      </c>
      <c r="T217">
        <f>HYPERLINK("https://klasma.github.io/Logging_0883/kartor/A 53075-2024 karta.png", "A 53075-2024")</f>
        <v/>
      </c>
      <c r="V217">
        <f>HYPERLINK("https://klasma.github.io/Logging_0883/klagomål/A 53075-2024 FSC-klagomål.docx", "A 53075-2024")</f>
        <v/>
      </c>
      <c r="W217">
        <f>HYPERLINK("https://klasma.github.io/Logging_0883/klagomålsmail/A 53075-2024 FSC-klagomål mail.docx", "A 53075-2024")</f>
        <v/>
      </c>
      <c r="X217">
        <f>HYPERLINK("https://klasma.github.io/Logging_0883/tillsyn/A 53075-2024 tillsynsbegäran.docx", "A 53075-2024")</f>
        <v/>
      </c>
      <c r="Y217">
        <f>HYPERLINK("https://klasma.github.io/Logging_0883/tillsynsmail/A 53075-2024 tillsynsbegäran mail.docx", "A 53075-2024")</f>
        <v/>
      </c>
      <c r="Z217">
        <f>HYPERLINK("https://klasma.github.io/Logging_0883/fåglar/A 53075-2024 prioriterade fågelarter.docx", "A 53075-2024")</f>
        <v/>
      </c>
    </row>
    <row r="218" ht="15" customHeight="1">
      <c r="A218" t="inlineStr">
        <is>
          <t>A 46559-2022</t>
        </is>
      </c>
      <c r="B218" s="1" t="n">
        <v>44848</v>
      </c>
      <c r="C218" s="1" t="n">
        <v>46159</v>
      </c>
      <c r="D218" t="inlineStr">
        <is>
          <t>KALMAR LÄN</t>
        </is>
      </c>
      <c r="E218" t="inlineStr">
        <is>
          <t>VÄSTERVIK</t>
        </is>
      </c>
      <c r="F218" t="inlineStr">
        <is>
          <t>Sveaskog</t>
        </is>
      </c>
      <c r="G218" t="n">
        <v>2.2</v>
      </c>
      <c r="H218" t="n">
        <v>1</v>
      </c>
      <c r="I218" t="n">
        <v>0</v>
      </c>
      <c r="J218" t="n">
        <v>0</v>
      </c>
      <c r="K218" t="n">
        <v>0</v>
      </c>
      <c r="L218" t="n">
        <v>0</v>
      </c>
      <c r="M218" t="n">
        <v>0</v>
      </c>
      <c r="N218" t="n">
        <v>0</v>
      </c>
      <c r="O218" t="n">
        <v>0</v>
      </c>
      <c r="P218" t="n">
        <v>0</v>
      </c>
      <c r="Q218" t="n">
        <v>1</v>
      </c>
      <c r="R218" s="2" t="inlineStr">
        <is>
          <t>Blåsippa</t>
        </is>
      </c>
      <c r="S218">
        <f>HYPERLINK("https://klasma.github.io/Logging_0883/artfynd/A 46559-2022 artfynd.xlsx", "A 46559-2022")</f>
        <v/>
      </c>
      <c r="T218">
        <f>HYPERLINK("https://klasma.github.io/Logging_0883/kartor/A 46559-2022 karta.png", "A 46559-2022")</f>
        <v/>
      </c>
      <c r="V218">
        <f>HYPERLINK("https://klasma.github.io/Logging_0883/klagomål/A 46559-2022 FSC-klagomål.docx", "A 46559-2022")</f>
        <v/>
      </c>
      <c r="W218">
        <f>HYPERLINK("https://klasma.github.io/Logging_0883/klagomålsmail/A 46559-2022 FSC-klagomål mail.docx", "A 46559-2022")</f>
        <v/>
      </c>
      <c r="X218">
        <f>HYPERLINK("https://klasma.github.io/Logging_0883/tillsyn/A 46559-2022 tillsynsbegäran.docx", "A 46559-2022")</f>
        <v/>
      </c>
      <c r="Y218">
        <f>HYPERLINK("https://klasma.github.io/Logging_0883/tillsynsmail/A 46559-2022 tillsynsbegäran mail.docx", "A 46559-2022")</f>
        <v/>
      </c>
    </row>
    <row r="219" ht="15" customHeight="1">
      <c r="A219" t="inlineStr">
        <is>
          <t>A 24884-2025</t>
        </is>
      </c>
      <c r="B219" s="1" t="n">
        <v>45799.50620370371</v>
      </c>
      <c r="C219" s="1" t="n">
        <v>46159</v>
      </c>
      <c r="D219" t="inlineStr">
        <is>
          <t>KALMAR LÄN</t>
        </is>
      </c>
      <c r="E219" t="inlineStr">
        <is>
          <t>VÄSTERVIK</t>
        </is>
      </c>
      <c r="F219" t="inlineStr">
        <is>
          <t>Holmen skog AB</t>
        </is>
      </c>
      <c r="G219" t="n">
        <v>5.1</v>
      </c>
      <c r="H219" t="n">
        <v>0</v>
      </c>
      <c r="I219" t="n">
        <v>1</v>
      </c>
      <c r="J219" t="n">
        <v>0</v>
      </c>
      <c r="K219" t="n">
        <v>0</v>
      </c>
      <c r="L219" t="n">
        <v>0</v>
      </c>
      <c r="M219" t="n">
        <v>0</v>
      </c>
      <c r="N219" t="n">
        <v>0</v>
      </c>
      <c r="O219" t="n">
        <v>0</v>
      </c>
      <c r="P219" t="n">
        <v>0</v>
      </c>
      <c r="Q219" t="n">
        <v>1</v>
      </c>
      <c r="R219" s="2" t="inlineStr">
        <is>
          <t>Strävlosta</t>
        </is>
      </c>
      <c r="S219">
        <f>HYPERLINK("https://klasma.github.io/Logging_0883/artfynd/A 24884-2025 artfynd.xlsx", "A 24884-2025")</f>
        <v/>
      </c>
      <c r="T219">
        <f>HYPERLINK("https://klasma.github.io/Logging_0883/kartor/A 24884-2025 karta.png", "A 24884-2025")</f>
        <v/>
      </c>
      <c r="V219">
        <f>HYPERLINK("https://klasma.github.io/Logging_0883/klagomål/A 24884-2025 FSC-klagomål.docx", "A 24884-2025")</f>
        <v/>
      </c>
      <c r="W219">
        <f>HYPERLINK("https://klasma.github.io/Logging_0883/klagomålsmail/A 24884-2025 FSC-klagomål mail.docx", "A 24884-2025")</f>
        <v/>
      </c>
      <c r="X219">
        <f>HYPERLINK("https://klasma.github.io/Logging_0883/tillsyn/A 24884-2025 tillsynsbegäran.docx", "A 24884-2025")</f>
        <v/>
      </c>
      <c r="Y219">
        <f>HYPERLINK("https://klasma.github.io/Logging_0883/tillsynsmail/A 24884-2025 tillsynsbegäran mail.docx", "A 24884-2025")</f>
        <v/>
      </c>
    </row>
    <row r="220" ht="15" customHeight="1">
      <c r="A220" t="inlineStr">
        <is>
          <t>A 25594-2021</t>
        </is>
      </c>
      <c r="B220" s="1" t="n">
        <v>44343</v>
      </c>
      <c r="C220" s="1" t="n">
        <v>46159</v>
      </c>
      <c r="D220" t="inlineStr">
        <is>
          <t>KALMAR LÄN</t>
        </is>
      </c>
      <c r="E220" t="inlineStr">
        <is>
          <t>VÄSTERVIK</t>
        </is>
      </c>
      <c r="F220" t="inlineStr">
        <is>
          <t>Holmen skog AB</t>
        </is>
      </c>
      <c r="G220" t="n">
        <v>3.2</v>
      </c>
      <c r="H220" t="n">
        <v>1</v>
      </c>
      <c r="I220" t="n">
        <v>0</v>
      </c>
      <c r="J220" t="n">
        <v>0</v>
      </c>
      <c r="K220" t="n">
        <v>1</v>
      </c>
      <c r="L220" t="n">
        <v>0</v>
      </c>
      <c r="M220" t="n">
        <v>0</v>
      </c>
      <c r="N220" t="n">
        <v>0</v>
      </c>
      <c r="O220" t="n">
        <v>1</v>
      </c>
      <c r="P220" t="n">
        <v>1</v>
      </c>
      <c r="Q220" t="n">
        <v>1</v>
      </c>
      <c r="R220" s="2" t="inlineStr">
        <is>
          <t>Knärot</t>
        </is>
      </c>
      <c r="S220">
        <f>HYPERLINK("https://klasma.github.io/Logging_0883/artfynd/A 25594-2021 artfynd.xlsx", "A 25594-2021")</f>
        <v/>
      </c>
      <c r="T220">
        <f>HYPERLINK("https://klasma.github.io/Logging_0883/kartor/A 25594-2021 karta.png", "A 25594-2021")</f>
        <v/>
      </c>
      <c r="U220">
        <f>HYPERLINK("https://klasma.github.io/Logging_0883/knärot/A 25594-2021 karta knärot.png", "A 25594-2021")</f>
        <v/>
      </c>
      <c r="V220">
        <f>HYPERLINK("https://klasma.github.io/Logging_0883/klagomål/A 25594-2021 FSC-klagomål.docx", "A 25594-2021")</f>
        <v/>
      </c>
      <c r="W220">
        <f>HYPERLINK("https://klasma.github.io/Logging_0883/klagomålsmail/A 25594-2021 FSC-klagomål mail.docx", "A 25594-2021")</f>
        <v/>
      </c>
      <c r="X220">
        <f>HYPERLINK("https://klasma.github.io/Logging_0883/tillsyn/A 25594-2021 tillsynsbegäran.docx", "A 25594-2021")</f>
        <v/>
      </c>
      <c r="Y220">
        <f>HYPERLINK("https://klasma.github.io/Logging_0883/tillsynsmail/A 25594-2021 tillsynsbegäran mail.docx", "A 25594-2021")</f>
        <v/>
      </c>
    </row>
    <row r="221" ht="15" customHeight="1">
      <c r="A221" t="inlineStr">
        <is>
          <t>A 1041-2026</t>
        </is>
      </c>
      <c r="B221" s="1" t="n">
        <v>46030.62386574074</v>
      </c>
      <c r="C221" s="1" t="n">
        <v>46159</v>
      </c>
      <c r="D221" t="inlineStr">
        <is>
          <t>KALMAR LÄN</t>
        </is>
      </c>
      <c r="E221" t="inlineStr">
        <is>
          <t>VÄSTERVIK</t>
        </is>
      </c>
      <c r="G221" t="n">
        <v>1.2</v>
      </c>
      <c r="H221" t="n">
        <v>0</v>
      </c>
      <c r="I221" t="n">
        <v>1</v>
      </c>
      <c r="J221" t="n">
        <v>0</v>
      </c>
      <c r="K221" t="n">
        <v>0</v>
      </c>
      <c r="L221" t="n">
        <v>0</v>
      </c>
      <c r="M221" t="n">
        <v>0</v>
      </c>
      <c r="N221" t="n">
        <v>0</v>
      </c>
      <c r="O221" t="n">
        <v>0</v>
      </c>
      <c r="P221" t="n">
        <v>0</v>
      </c>
      <c r="Q221" t="n">
        <v>1</v>
      </c>
      <c r="R221" s="2" t="inlineStr">
        <is>
          <t>Ögonpyrola</t>
        </is>
      </c>
      <c r="S221">
        <f>HYPERLINK("https://klasma.github.io/Logging_0883/artfynd/A 1041-2026 artfynd.xlsx", "A 1041-2026")</f>
        <v/>
      </c>
      <c r="T221">
        <f>HYPERLINK("https://klasma.github.io/Logging_0883/kartor/A 1041-2026 karta.png", "A 1041-2026")</f>
        <v/>
      </c>
      <c r="V221">
        <f>HYPERLINK("https://klasma.github.io/Logging_0883/klagomål/A 1041-2026 FSC-klagomål.docx", "A 1041-2026")</f>
        <v/>
      </c>
      <c r="W221">
        <f>HYPERLINK("https://klasma.github.io/Logging_0883/klagomålsmail/A 1041-2026 FSC-klagomål mail.docx", "A 1041-2026")</f>
        <v/>
      </c>
      <c r="X221">
        <f>HYPERLINK("https://klasma.github.io/Logging_0883/tillsyn/A 1041-2026 tillsynsbegäran.docx", "A 1041-2026")</f>
        <v/>
      </c>
      <c r="Y221">
        <f>HYPERLINK("https://klasma.github.io/Logging_0883/tillsynsmail/A 1041-2026 tillsynsbegäran mail.docx", "A 1041-2026")</f>
        <v/>
      </c>
    </row>
    <row r="222" ht="15" customHeight="1">
      <c r="A222" t="inlineStr">
        <is>
          <t>A 440-2026</t>
        </is>
      </c>
      <c r="B222" s="1" t="n">
        <v>46029.34443287037</v>
      </c>
      <c r="C222" s="1" t="n">
        <v>46159</v>
      </c>
      <c r="D222" t="inlineStr">
        <is>
          <t>KALMAR LÄN</t>
        </is>
      </c>
      <c r="E222" t="inlineStr">
        <is>
          <t>VÄSTERVIK</t>
        </is>
      </c>
      <c r="G222" t="n">
        <v>3.9</v>
      </c>
      <c r="H222" t="n">
        <v>0</v>
      </c>
      <c r="I222" t="n">
        <v>0</v>
      </c>
      <c r="J222" t="n">
        <v>1</v>
      </c>
      <c r="K222" t="n">
        <v>0</v>
      </c>
      <c r="L222" t="n">
        <v>0</v>
      </c>
      <c r="M222" t="n">
        <v>0</v>
      </c>
      <c r="N222" t="n">
        <v>0</v>
      </c>
      <c r="O222" t="n">
        <v>1</v>
      </c>
      <c r="P222" t="n">
        <v>0</v>
      </c>
      <c r="Q222" t="n">
        <v>1</v>
      </c>
      <c r="R222" s="2" t="inlineStr">
        <is>
          <t>Tallticka</t>
        </is>
      </c>
      <c r="S222">
        <f>HYPERLINK("https://klasma.github.io/Logging_0883/artfynd/A 440-2026 artfynd.xlsx", "A 440-2026")</f>
        <v/>
      </c>
      <c r="T222">
        <f>HYPERLINK("https://klasma.github.io/Logging_0883/kartor/A 440-2026 karta.png", "A 440-2026")</f>
        <v/>
      </c>
      <c r="V222">
        <f>HYPERLINK("https://klasma.github.io/Logging_0883/klagomål/A 440-2026 FSC-klagomål.docx", "A 440-2026")</f>
        <v/>
      </c>
      <c r="W222">
        <f>HYPERLINK("https://klasma.github.io/Logging_0883/klagomålsmail/A 440-2026 FSC-klagomål mail.docx", "A 440-2026")</f>
        <v/>
      </c>
      <c r="X222">
        <f>HYPERLINK("https://klasma.github.io/Logging_0883/tillsyn/A 440-2026 tillsynsbegäran.docx", "A 440-2026")</f>
        <v/>
      </c>
      <c r="Y222">
        <f>HYPERLINK("https://klasma.github.io/Logging_0883/tillsynsmail/A 440-2026 tillsynsbegäran mail.docx", "A 440-2026")</f>
        <v/>
      </c>
    </row>
    <row r="223" ht="15" customHeight="1">
      <c r="A223" t="inlineStr">
        <is>
          <t>A 26516-2025</t>
        </is>
      </c>
      <c r="B223" s="1" t="n">
        <v>45807.55402777778</v>
      </c>
      <c r="C223" s="1" t="n">
        <v>46159</v>
      </c>
      <c r="D223" t="inlineStr">
        <is>
          <t>KALMAR LÄN</t>
        </is>
      </c>
      <c r="E223" t="inlineStr">
        <is>
          <t>VÄSTERVIK</t>
        </is>
      </c>
      <c r="G223" t="n">
        <v>1.3</v>
      </c>
      <c r="H223" t="n">
        <v>1</v>
      </c>
      <c r="I223" t="n">
        <v>0</v>
      </c>
      <c r="J223" t="n">
        <v>1</v>
      </c>
      <c r="K223" t="n">
        <v>0</v>
      </c>
      <c r="L223" t="n">
        <v>0</v>
      </c>
      <c r="M223" t="n">
        <v>0</v>
      </c>
      <c r="N223" t="n">
        <v>0</v>
      </c>
      <c r="O223" t="n">
        <v>1</v>
      </c>
      <c r="P223" t="n">
        <v>0</v>
      </c>
      <c r="Q223" t="n">
        <v>1</v>
      </c>
      <c r="R223" s="2" t="inlineStr">
        <is>
          <t>Grönsångare</t>
        </is>
      </c>
      <c r="S223">
        <f>HYPERLINK("https://klasma.github.io/Logging_0883/artfynd/A 26516-2025 artfynd.xlsx", "A 26516-2025")</f>
        <v/>
      </c>
      <c r="T223">
        <f>HYPERLINK("https://klasma.github.io/Logging_0883/kartor/A 26516-2025 karta.png", "A 26516-2025")</f>
        <v/>
      </c>
      <c r="V223">
        <f>HYPERLINK("https://klasma.github.io/Logging_0883/klagomål/A 26516-2025 FSC-klagomål.docx", "A 26516-2025")</f>
        <v/>
      </c>
      <c r="W223">
        <f>HYPERLINK("https://klasma.github.io/Logging_0883/klagomålsmail/A 26516-2025 FSC-klagomål mail.docx", "A 26516-2025")</f>
        <v/>
      </c>
      <c r="X223">
        <f>HYPERLINK("https://klasma.github.io/Logging_0883/tillsyn/A 26516-2025 tillsynsbegäran.docx", "A 26516-2025")</f>
        <v/>
      </c>
      <c r="Y223">
        <f>HYPERLINK("https://klasma.github.io/Logging_0883/tillsynsmail/A 26516-2025 tillsynsbegäran mail.docx", "A 26516-2025")</f>
        <v/>
      </c>
      <c r="Z223">
        <f>HYPERLINK("https://klasma.github.io/Logging_0883/fåglar/A 26516-2025 prioriterade fågelarter.docx", "A 26516-2025")</f>
        <v/>
      </c>
    </row>
    <row r="224" ht="15" customHeight="1">
      <c r="A224" t="inlineStr">
        <is>
          <t>A 6657-2025</t>
        </is>
      </c>
      <c r="B224" s="1" t="n">
        <v>45700</v>
      </c>
      <c r="C224" s="1" t="n">
        <v>46159</v>
      </c>
      <c r="D224" t="inlineStr">
        <is>
          <t>KALMAR LÄN</t>
        </is>
      </c>
      <c r="E224" t="inlineStr">
        <is>
          <t>VÄSTERVIK</t>
        </is>
      </c>
      <c r="F224" t="inlineStr">
        <is>
          <t>Holmen skog AB</t>
        </is>
      </c>
      <c r="G224" t="n">
        <v>3</v>
      </c>
      <c r="H224" t="n">
        <v>1</v>
      </c>
      <c r="I224" t="n">
        <v>0</v>
      </c>
      <c r="J224" t="n">
        <v>0</v>
      </c>
      <c r="K224" t="n">
        <v>1</v>
      </c>
      <c r="L224" t="n">
        <v>0</v>
      </c>
      <c r="M224" t="n">
        <v>0</v>
      </c>
      <c r="N224" t="n">
        <v>0</v>
      </c>
      <c r="O224" t="n">
        <v>1</v>
      </c>
      <c r="P224" t="n">
        <v>1</v>
      </c>
      <c r="Q224" t="n">
        <v>1</v>
      </c>
      <c r="R224" s="2" t="inlineStr">
        <is>
          <t>Knärot</t>
        </is>
      </c>
      <c r="S224">
        <f>HYPERLINK("https://klasma.github.io/Logging_0883/artfynd/A 6657-2025 artfynd.xlsx", "A 6657-2025")</f>
        <v/>
      </c>
      <c r="T224">
        <f>HYPERLINK("https://klasma.github.io/Logging_0883/kartor/A 6657-2025 karta.png", "A 6657-2025")</f>
        <v/>
      </c>
      <c r="U224">
        <f>HYPERLINK("https://klasma.github.io/Logging_0883/knärot/A 6657-2025 karta knärot.png", "A 6657-2025")</f>
        <v/>
      </c>
      <c r="V224">
        <f>HYPERLINK("https://klasma.github.io/Logging_0883/klagomål/A 6657-2025 FSC-klagomål.docx", "A 6657-2025")</f>
        <v/>
      </c>
      <c r="W224">
        <f>HYPERLINK("https://klasma.github.io/Logging_0883/klagomålsmail/A 6657-2025 FSC-klagomål mail.docx", "A 6657-2025")</f>
        <v/>
      </c>
      <c r="X224">
        <f>HYPERLINK("https://klasma.github.io/Logging_0883/tillsyn/A 6657-2025 tillsynsbegäran.docx", "A 6657-2025")</f>
        <v/>
      </c>
      <c r="Y224">
        <f>HYPERLINK("https://klasma.github.io/Logging_0883/tillsynsmail/A 6657-2025 tillsynsbegäran mail.docx", "A 6657-2025")</f>
        <v/>
      </c>
    </row>
    <row r="225" ht="15" customHeight="1">
      <c r="A225" t="inlineStr">
        <is>
          <t>A 4750-2025</t>
        </is>
      </c>
      <c r="B225" s="1" t="n">
        <v>45688</v>
      </c>
      <c r="C225" s="1" t="n">
        <v>46159</v>
      </c>
      <c r="D225" t="inlineStr">
        <is>
          <t>KALMAR LÄN</t>
        </is>
      </c>
      <c r="E225" t="inlineStr">
        <is>
          <t>VÄSTERVIK</t>
        </is>
      </c>
      <c r="F225" t="inlineStr">
        <is>
          <t>Holmen skog AB</t>
        </is>
      </c>
      <c r="G225" t="n">
        <v>0.9</v>
      </c>
      <c r="H225" t="n">
        <v>1</v>
      </c>
      <c r="I225" t="n">
        <v>0</v>
      </c>
      <c r="J225" t="n">
        <v>1</v>
      </c>
      <c r="K225" t="n">
        <v>0</v>
      </c>
      <c r="L225" t="n">
        <v>0</v>
      </c>
      <c r="M225" t="n">
        <v>0</v>
      </c>
      <c r="N225" t="n">
        <v>0</v>
      </c>
      <c r="O225" t="n">
        <v>1</v>
      </c>
      <c r="P225" t="n">
        <v>0</v>
      </c>
      <c r="Q225" t="n">
        <v>1</v>
      </c>
      <c r="R225" s="2" t="inlineStr">
        <is>
          <t>Talltita</t>
        </is>
      </c>
      <c r="S225">
        <f>HYPERLINK("https://klasma.github.io/Logging_0883/artfynd/A 4750-2025 artfynd.xlsx", "A 4750-2025")</f>
        <v/>
      </c>
      <c r="T225">
        <f>HYPERLINK("https://klasma.github.io/Logging_0883/kartor/A 4750-2025 karta.png", "A 4750-2025")</f>
        <v/>
      </c>
      <c r="V225">
        <f>HYPERLINK("https://klasma.github.io/Logging_0883/klagomål/A 4750-2025 FSC-klagomål.docx", "A 4750-2025")</f>
        <v/>
      </c>
      <c r="W225">
        <f>HYPERLINK("https://klasma.github.io/Logging_0883/klagomålsmail/A 4750-2025 FSC-klagomål mail.docx", "A 4750-2025")</f>
        <v/>
      </c>
      <c r="X225">
        <f>HYPERLINK("https://klasma.github.io/Logging_0883/tillsyn/A 4750-2025 tillsynsbegäran.docx", "A 4750-2025")</f>
        <v/>
      </c>
      <c r="Y225">
        <f>HYPERLINK("https://klasma.github.io/Logging_0883/tillsynsmail/A 4750-2025 tillsynsbegäran mail.docx", "A 4750-2025")</f>
        <v/>
      </c>
      <c r="Z225">
        <f>HYPERLINK("https://klasma.github.io/Logging_0883/fåglar/A 4750-2025 prioriterade fågelarter.docx", "A 4750-2025")</f>
        <v/>
      </c>
    </row>
    <row r="226" ht="15" customHeight="1">
      <c r="A226" t="inlineStr">
        <is>
          <t>A 58221-2025</t>
        </is>
      </c>
      <c r="B226" s="1" t="n">
        <v>45985.36417824074</v>
      </c>
      <c r="C226" s="1" t="n">
        <v>46159</v>
      </c>
      <c r="D226" t="inlineStr">
        <is>
          <t>KALMAR LÄN</t>
        </is>
      </c>
      <c r="E226" t="inlineStr">
        <is>
          <t>VÄSTERVIK</t>
        </is>
      </c>
      <c r="G226" t="n">
        <v>1.5</v>
      </c>
      <c r="H226" t="n">
        <v>0</v>
      </c>
      <c r="I226" t="n">
        <v>0</v>
      </c>
      <c r="J226" t="n">
        <v>1</v>
      </c>
      <c r="K226" t="n">
        <v>0</v>
      </c>
      <c r="L226" t="n">
        <v>0</v>
      </c>
      <c r="M226" t="n">
        <v>0</v>
      </c>
      <c r="N226" t="n">
        <v>0</v>
      </c>
      <c r="O226" t="n">
        <v>1</v>
      </c>
      <c r="P226" t="n">
        <v>0</v>
      </c>
      <c r="Q226" t="n">
        <v>1</v>
      </c>
      <c r="R226" s="2" t="inlineStr">
        <is>
          <t>Tallticka</t>
        </is>
      </c>
      <c r="S226">
        <f>HYPERLINK("https://klasma.github.io/Logging_0883/artfynd/A 58221-2025 artfynd.xlsx", "A 58221-2025")</f>
        <v/>
      </c>
      <c r="T226">
        <f>HYPERLINK("https://klasma.github.io/Logging_0883/kartor/A 58221-2025 karta.png", "A 58221-2025")</f>
        <v/>
      </c>
      <c r="V226">
        <f>HYPERLINK("https://klasma.github.io/Logging_0883/klagomål/A 58221-2025 FSC-klagomål.docx", "A 58221-2025")</f>
        <v/>
      </c>
      <c r="W226">
        <f>HYPERLINK("https://klasma.github.io/Logging_0883/klagomålsmail/A 58221-2025 FSC-klagomål mail.docx", "A 58221-2025")</f>
        <v/>
      </c>
      <c r="X226">
        <f>HYPERLINK("https://klasma.github.io/Logging_0883/tillsyn/A 58221-2025 tillsynsbegäran.docx", "A 58221-2025")</f>
        <v/>
      </c>
      <c r="Y226">
        <f>HYPERLINK("https://klasma.github.io/Logging_0883/tillsynsmail/A 58221-2025 tillsynsbegäran mail.docx", "A 58221-2025")</f>
        <v/>
      </c>
    </row>
    <row r="227" ht="15" customHeight="1">
      <c r="A227" t="inlineStr">
        <is>
          <t>A 27426-2025</t>
        </is>
      </c>
      <c r="B227" s="1" t="n">
        <v>45813</v>
      </c>
      <c r="C227" s="1" t="n">
        <v>46159</v>
      </c>
      <c r="D227" t="inlineStr">
        <is>
          <t>KALMAR LÄN</t>
        </is>
      </c>
      <c r="E227" t="inlineStr">
        <is>
          <t>VÄSTERVIK</t>
        </is>
      </c>
      <c r="G227" t="n">
        <v>2</v>
      </c>
      <c r="H227" t="n">
        <v>0</v>
      </c>
      <c r="I227" t="n">
        <v>1</v>
      </c>
      <c r="J227" t="n">
        <v>0</v>
      </c>
      <c r="K227" t="n">
        <v>0</v>
      </c>
      <c r="L227" t="n">
        <v>0</v>
      </c>
      <c r="M227" t="n">
        <v>0</v>
      </c>
      <c r="N227" t="n">
        <v>0</v>
      </c>
      <c r="O227" t="n">
        <v>0</v>
      </c>
      <c r="P227" t="n">
        <v>0</v>
      </c>
      <c r="Q227" t="n">
        <v>1</v>
      </c>
      <c r="R227" s="2" t="inlineStr">
        <is>
          <t>Vätteros</t>
        </is>
      </c>
      <c r="S227">
        <f>HYPERLINK("https://klasma.github.io/Logging_0883/artfynd/A 27426-2025 artfynd.xlsx", "A 27426-2025")</f>
        <v/>
      </c>
      <c r="T227">
        <f>HYPERLINK("https://klasma.github.io/Logging_0883/kartor/A 27426-2025 karta.png", "A 27426-2025")</f>
        <v/>
      </c>
      <c r="V227">
        <f>HYPERLINK("https://klasma.github.io/Logging_0883/klagomål/A 27426-2025 FSC-klagomål.docx", "A 27426-2025")</f>
        <v/>
      </c>
      <c r="W227">
        <f>HYPERLINK("https://klasma.github.io/Logging_0883/klagomålsmail/A 27426-2025 FSC-klagomål mail.docx", "A 27426-2025")</f>
        <v/>
      </c>
      <c r="X227">
        <f>HYPERLINK("https://klasma.github.io/Logging_0883/tillsyn/A 27426-2025 tillsynsbegäran.docx", "A 27426-2025")</f>
        <v/>
      </c>
      <c r="Y227">
        <f>HYPERLINK("https://klasma.github.io/Logging_0883/tillsynsmail/A 27426-2025 tillsynsbegäran mail.docx", "A 27426-2025")</f>
        <v/>
      </c>
    </row>
    <row r="228" ht="15" customHeight="1">
      <c r="A228" t="inlineStr">
        <is>
          <t>A 51488-2024</t>
        </is>
      </c>
      <c r="B228" s="1" t="n">
        <v>45604</v>
      </c>
      <c r="C228" s="1" t="n">
        <v>46159</v>
      </c>
      <c r="D228" t="inlineStr">
        <is>
          <t>KALMAR LÄN</t>
        </is>
      </c>
      <c r="E228" t="inlineStr">
        <is>
          <t>VÄSTERVIK</t>
        </is>
      </c>
      <c r="F228" t="inlineStr">
        <is>
          <t>Övriga Aktiebolag</t>
        </is>
      </c>
      <c r="G228" t="n">
        <v>2.9</v>
      </c>
      <c r="H228" t="n">
        <v>1</v>
      </c>
      <c r="I228" t="n">
        <v>0</v>
      </c>
      <c r="J228" t="n">
        <v>1</v>
      </c>
      <c r="K228" t="n">
        <v>0</v>
      </c>
      <c r="L228" t="n">
        <v>0</v>
      </c>
      <c r="M228" t="n">
        <v>0</v>
      </c>
      <c r="N228" t="n">
        <v>0</v>
      </c>
      <c r="O228" t="n">
        <v>1</v>
      </c>
      <c r="P228" t="n">
        <v>0</v>
      </c>
      <c r="Q228" t="n">
        <v>1</v>
      </c>
      <c r="R228" s="2" t="inlineStr">
        <is>
          <t>Entita</t>
        </is>
      </c>
      <c r="S228">
        <f>HYPERLINK("https://klasma.github.io/Logging_0883/artfynd/A 51488-2024 artfynd.xlsx", "A 51488-2024")</f>
        <v/>
      </c>
      <c r="T228">
        <f>HYPERLINK("https://klasma.github.io/Logging_0883/kartor/A 51488-2024 karta.png", "A 51488-2024")</f>
        <v/>
      </c>
      <c r="V228">
        <f>HYPERLINK("https://klasma.github.io/Logging_0883/klagomål/A 51488-2024 FSC-klagomål.docx", "A 51488-2024")</f>
        <v/>
      </c>
      <c r="W228">
        <f>HYPERLINK("https://klasma.github.io/Logging_0883/klagomålsmail/A 51488-2024 FSC-klagomål mail.docx", "A 51488-2024")</f>
        <v/>
      </c>
      <c r="X228">
        <f>HYPERLINK("https://klasma.github.io/Logging_0883/tillsyn/A 51488-2024 tillsynsbegäran.docx", "A 51488-2024")</f>
        <v/>
      </c>
      <c r="Y228">
        <f>HYPERLINK("https://klasma.github.io/Logging_0883/tillsynsmail/A 51488-2024 tillsynsbegäran mail.docx", "A 51488-2024")</f>
        <v/>
      </c>
      <c r="Z228">
        <f>HYPERLINK("https://klasma.github.io/Logging_0883/fåglar/A 51488-2024 prioriterade fågelarter.docx", "A 51488-2024")</f>
        <v/>
      </c>
    </row>
    <row r="229" ht="15" customHeight="1">
      <c r="A229" t="inlineStr">
        <is>
          <t>A 30794-2025</t>
        </is>
      </c>
      <c r="B229" s="1" t="n">
        <v>45831.63834490741</v>
      </c>
      <c r="C229" s="1" t="n">
        <v>46159</v>
      </c>
      <c r="D229" t="inlineStr">
        <is>
          <t>KALMAR LÄN</t>
        </is>
      </c>
      <c r="E229" t="inlineStr">
        <is>
          <t>VÄSTERVIK</t>
        </is>
      </c>
      <c r="G229" t="n">
        <v>4.8</v>
      </c>
      <c r="H229" t="n">
        <v>0</v>
      </c>
      <c r="I229" t="n">
        <v>0</v>
      </c>
      <c r="J229" t="n">
        <v>1</v>
      </c>
      <c r="K229" t="n">
        <v>0</v>
      </c>
      <c r="L229" t="n">
        <v>0</v>
      </c>
      <c r="M229" t="n">
        <v>0</v>
      </c>
      <c r="N229" t="n">
        <v>0</v>
      </c>
      <c r="O229" t="n">
        <v>1</v>
      </c>
      <c r="P229" t="n">
        <v>0</v>
      </c>
      <c r="Q229" t="n">
        <v>1</v>
      </c>
      <c r="R229" s="2" t="inlineStr">
        <is>
          <t>Tallticka</t>
        </is>
      </c>
      <c r="S229">
        <f>HYPERLINK("https://klasma.github.io/Logging_0883/artfynd/A 30794-2025 artfynd.xlsx", "A 30794-2025")</f>
        <v/>
      </c>
      <c r="T229">
        <f>HYPERLINK("https://klasma.github.io/Logging_0883/kartor/A 30794-2025 karta.png", "A 30794-2025")</f>
        <v/>
      </c>
      <c r="V229">
        <f>HYPERLINK("https://klasma.github.io/Logging_0883/klagomål/A 30794-2025 FSC-klagomål.docx", "A 30794-2025")</f>
        <v/>
      </c>
      <c r="W229">
        <f>HYPERLINK("https://klasma.github.io/Logging_0883/klagomålsmail/A 30794-2025 FSC-klagomål mail.docx", "A 30794-2025")</f>
        <v/>
      </c>
      <c r="X229">
        <f>HYPERLINK("https://klasma.github.io/Logging_0883/tillsyn/A 30794-2025 tillsynsbegäran.docx", "A 30794-2025")</f>
        <v/>
      </c>
      <c r="Y229">
        <f>HYPERLINK("https://klasma.github.io/Logging_0883/tillsynsmail/A 30794-2025 tillsynsbegäran mail.docx", "A 30794-2025")</f>
        <v/>
      </c>
    </row>
    <row r="230" ht="15" customHeight="1">
      <c r="A230" t="inlineStr">
        <is>
          <t>A 44618-2025</t>
        </is>
      </c>
      <c r="B230" s="1" t="n">
        <v>45917.46385416666</v>
      </c>
      <c r="C230" s="1" t="n">
        <v>46159</v>
      </c>
      <c r="D230" t="inlineStr">
        <is>
          <t>KALMAR LÄN</t>
        </is>
      </c>
      <c r="E230" t="inlineStr">
        <is>
          <t>VÄSTERVIK</t>
        </is>
      </c>
      <c r="F230" t="inlineStr">
        <is>
          <t>Övriga Aktiebolag</t>
        </is>
      </c>
      <c r="G230" t="n">
        <v>6.9</v>
      </c>
      <c r="H230" t="n">
        <v>1</v>
      </c>
      <c r="I230" t="n">
        <v>0</v>
      </c>
      <c r="J230" t="n">
        <v>1</v>
      </c>
      <c r="K230" t="n">
        <v>0</v>
      </c>
      <c r="L230" t="n">
        <v>0</v>
      </c>
      <c r="M230" t="n">
        <v>0</v>
      </c>
      <c r="N230" t="n">
        <v>0</v>
      </c>
      <c r="O230" t="n">
        <v>1</v>
      </c>
      <c r="P230" t="n">
        <v>0</v>
      </c>
      <c r="Q230" t="n">
        <v>1</v>
      </c>
      <c r="R230" s="2" t="inlineStr">
        <is>
          <t>Havsörn</t>
        </is>
      </c>
      <c r="S230">
        <f>HYPERLINK("https://klasma.github.io/Logging_0883/artfynd/A 44618-2025 artfynd.xlsx", "A 44618-2025")</f>
        <v/>
      </c>
      <c r="T230">
        <f>HYPERLINK("https://klasma.github.io/Logging_0883/kartor/A 44618-2025 karta.png", "A 44618-2025")</f>
        <v/>
      </c>
      <c r="V230">
        <f>HYPERLINK("https://klasma.github.io/Logging_0883/klagomål/A 44618-2025 FSC-klagomål.docx", "A 44618-2025")</f>
        <v/>
      </c>
      <c r="W230">
        <f>HYPERLINK("https://klasma.github.io/Logging_0883/klagomålsmail/A 44618-2025 FSC-klagomål mail.docx", "A 44618-2025")</f>
        <v/>
      </c>
      <c r="X230">
        <f>HYPERLINK("https://klasma.github.io/Logging_0883/tillsyn/A 44618-2025 tillsynsbegäran.docx", "A 44618-2025")</f>
        <v/>
      </c>
      <c r="Y230">
        <f>HYPERLINK("https://klasma.github.io/Logging_0883/tillsynsmail/A 44618-2025 tillsynsbegäran mail.docx", "A 44618-2025")</f>
        <v/>
      </c>
      <c r="Z230">
        <f>HYPERLINK("https://klasma.github.io/Logging_0883/fåglar/A 44618-2025 prioriterade fågelarter.docx", "A 44618-2025")</f>
        <v/>
      </c>
    </row>
    <row r="231" ht="15" customHeight="1">
      <c r="A231" t="inlineStr">
        <is>
          <t>A 44865-2025</t>
        </is>
      </c>
      <c r="B231" s="1" t="n">
        <v>45918.46114583333</v>
      </c>
      <c r="C231" s="1" t="n">
        <v>46159</v>
      </c>
      <c r="D231" t="inlineStr">
        <is>
          <t>KALMAR LÄN</t>
        </is>
      </c>
      <c r="E231" t="inlineStr">
        <is>
          <t>VÄSTERVIK</t>
        </is>
      </c>
      <c r="G231" t="n">
        <v>1.1</v>
      </c>
      <c r="H231" t="n">
        <v>1</v>
      </c>
      <c r="I231" t="n">
        <v>0</v>
      </c>
      <c r="J231" t="n">
        <v>0</v>
      </c>
      <c r="K231" t="n">
        <v>1</v>
      </c>
      <c r="L231" t="n">
        <v>0</v>
      </c>
      <c r="M231" t="n">
        <v>0</v>
      </c>
      <c r="N231" t="n">
        <v>0</v>
      </c>
      <c r="O231" t="n">
        <v>1</v>
      </c>
      <c r="P231" t="n">
        <v>1</v>
      </c>
      <c r="Q231" t="n">
        <v>1</v>
      </c>
      <c r="R231" s="2" t="inlineStr">
        <is>
          <t>Knärot</t>
        </is>
      </c>
      <c r="S231">
        <f>HYPERLINK("https://klasma.github.io/Logging_0883/artfynd/A 44865-2025 artfynd.xlsx", "A 44865-2025")</f>
        <v/>
      </c>
      <c r="T231">
        <f>HYPERLINK("https://klasma.github.io/Logging_0883/kartor/A 44865-2025 karta.png", "A 44865-2025")</f>
        <v/>
      </c>
      <c r="U231">
        <f>HYPERLINK("https://klasma.github.io/Logging_0883/knärot/A 44865-2025 karta knärot.png", "A 44865-2025")</f>
        <v/>
      </c>
      <c r="V231">
        <f>HYPERLINK("https://klasma.github.io/Logging_0883/klagomål/A 44865-2025 FSC-klagomål.docx", "A 44865-2025")</f>
        <v/>
      </c>
      <c r="W231">
        <f>HYPERLINK("https://klasma.github.io/Logging_0883/klagomålsmail/A 44865-2025 FSC-klagomål mail.docx", "A 44865-2025")</f>
        <v/>
      </c>
      <c r="X231">
        <f>HYPERLINK("https://klasma.github.io/Logging_0883/tillsyn/A 44865-2025 tillsynsbegäran.docx", "A 44865-2025")</f>
        <v/>
      </c>
      <c r="Y231">
        <f>HYPERLINK("https://klasma.github.io/Logging_0883/tillsynsmail/A 44865-2025 tillsynsbegäran mail.docx", "A 44865-2025")</f>
        <v/>
      </c>
    </row>
    <row r="232" ht="15" customHeight="1">
      <c r="A232" t="inlineStr">
        <is>
          <t>A 47112-2023</t>
        </is>
      </c>
      <c r="B232" s="1" t="n">
        <v>45201</v>
      </c>
      <c r="C232" s="1" t="n">
        <v>46159</v>
      </c>
      <c r="D232" t="inlineStr">
        <is>
          <t>KALMAR LÄN</t>
        </is>
      </c>
      <c r="E232" t="inlineStr">
        <is>
          <t>VÄSTERVIK</t>
        </is>
      </c>
      <c r="G232" t="n">
        <v>1</v>
      </c>
      <c r="H232" t="n">
        <v>0</v>
      </c>
      <c r="I232" t="n">
        <v>0</v>
      </c>
      <c r="J232" t="n">
        <v>1</v>
      </c>
      <c r="K232" t="n">
        <v>0</v>
      </c>
      <c r="L232" t="n">
        <v>0</v>
      </c>
      <c r="M232" t="n">
        <v>0</v>
      </c>
      <c r="N232" t="n">
        <v>0</v>
      </c>
      <c r="O232" t="n">
        <v>1</v>
      </c>
      <c r="P232" t="n">
        <v>0</v>
      </c>
      <c r="Q232" t="n">
        <v>1</v>
      </c>
      <c r="R232" s="2" t="inlineStr">
        <is>
          <t>Tallticka</t>
        </is>
      </c>
      <c r="S232">
        <f>HYPERLINK("https://klasma.github.io/Logging_0883/artfynd/A 47112-2023 artfynd.xlsx", "A 47112-2023")</f>
        <v/>
      </c>
      <c r="T232">
        <f>HYPERLINK("https://klasma.github.io/Logging_0883/kartor/A 47112-2023 karta.png", "A 47112-2023")</f>
        <v/>
      </c>
      <c r="V232">
        <f>HYPERLINK("https://klasma.github.io/Logging_0883/klagomål/A 47112-2023 FSC-klagomål.docx", "A 47112-2023")</f>
        <v/>
      </c>
      <c r="W232">
        <f>HYPERLINK("https://klasma.github.io/Logging_0883/klagomålsmail/A 47112-2023 FSC-klagomål mail.docx", "A 47112-2023")</f>
        <v/>
      </c>
      <c r="X232">
        <f>HYPERLINK("https://klasma.github.io/Logging_0883/tillsyn/A 47112-2023 tillsynsbegäran.docx", "A 47112-2023")</f>
        <v/>
      </c>
      <c r="Y232">
        <f>HYPERLINK("https://klasma.github.io/Logging_0883/tillsynsmail/A 47112-2023 tillsynsbegäran mail.docx", "A 47112-2023")</f>
        <v/>
      </c>
    </row>
    <row r="233" ht="15" customHeight="1">
      <c r="A233" t="inlineStr">
        <is>
          <t>A 4120-2026</t>
        </is>
      </c>
      <c r="B233" s="1" t="n">
        <v>46044.6109375</v>
      </c>
      <c r="C233" s="1" t="n">
        <v>46159</v>
      </c>
      <c r="D233" t="inlineStr">
        <is>
          <t>KALMAR LÄN</t>
        </is>
      </c>
      <c r="E233" t="inlineStr">
        <is>
          <t>VÄSTERVIK</t>
        </is>
      </c>
      <c r="G233" t="n">
        <v>4</v>
      </c>
      <c r="H233" t="n">
        <v>1</v>
      </c>
      <c r="I233" t="n">
        <v>0</v>
      </c>
      <c r="J233" t="n">
        <v>0</v>
      </c>
      <c r="K233" t="n">
        <v>0</v>
      </c>
      <c r="L233" t="n">
        <v>0</v>
      </c>
      <c r="M233" t="n">
        <v>0</v>
      </c>
      <c r="N233" t="n">
        <v>0</v>
      </c>
      <c r="O233" t="n">
        <v>0</v>
      </c>
      <c r="P233" t="n">
        <v>0</v>
      </c>
      <c r="Q233" t="n">
        <v>1</v>
      </c>
      <c r="R233" s="2" t="inlineStr">
        <is>
          <t>Tjäder</t>
        </is>
      </c>
      <c r="S233">
        <f>HYPERLINK("https://klasma.github.io/Logging_0883/artfynd/A 4120-2026 artfynd.xlsx", "A 4120-2026")</f>
        <v/>
      </c>
      <c r="T233">
        <f>HYPERLINK("https://klasma.github.io/Logging_0883/kartor/A 4120-2026 karta.png", "A 4120-2026")</f>
        <v/>
      </c>
      <c r="V233">
        <f>HYPERLINK("https://klasma.github.io/Logging_0883/klagomål/A 4120-2026 FSC-klagomål.docx", "A 4120-2026")</f>
        <v/>
      </c>
      <c r="W233">
        <f>HYPERLINK("https://klasma.github.io/Logging_0883/klagomålsmail/A 4120-2026 FSC-klagomål mail.docx", "A 4120-2026")</f>
        <v/>
      </c>
      <c r="X233">
        <f>HYPERLINK("https://klasma.github.io/Logging_0883/tillsyn/A 4120-2026 tillsynsbegäran.docx", "A 4120-2026")</f>
        <v/>
      </c>
      <c r="Y233">
        <f>HYPERLINK("https://klasma.github.io/Logging_0883/tillsynsmail/A 4120-2026 tillsynsbegäran mail.docx", "A 4120-2026")</f>
        <v/>
      </c>
      <c r="Z233">
        <f>HYPERLINK("https://klasma.github.io/Logging_0883/fåglar/A 4120-2026 prioriterade fågelarter.docx", "A 4120-2026")</f>
        <v/>
      </c>
    </row>
    <row r="234" ht="15" customHeight="1">
      <c r="A234" t="inlineStr">
        <is>
          <t>A 3624-2026</t>
        </is>
      </c>
      <c r="B234" s="1" t="n">
        <v>46043</v>
      </c>
      <c r="C234" s="1" t="n">
        <v>46159</v>
      </c>
      <c r="D234" t="inlineStr">
        <is>
          <t>KALMAR LÄN</t>
        </is>
      </c>
      <c r="E234" t="inlineStr">
        <is>
          <t>VÄSTERVIK</t>
        </is>
      </c>
      <c r="G234" t="n">
        <v>2.2</v>
      </c>
      <c r="H234" t="n">
        <v>1</v>
      </c>
      <c r="I234" t="n">
        <v>1</v>
      </c>
      <c r="J234" t="n">
        <v>0</v>
      </c>
      <c r="K234" t="n">
        <v>0</v>
      </c>
      <c r="L234" t="n">
        <v>0</v>
      </c>
      <c r="M234" t="n">
        <v>0</v>
      </c>
      <c r="N234" t="n">
        <v>0</v>
      </c>
      <c r="O234" t="n">
        <v>0</v>
      </c>
      <c r="P234" t="n">
        <v>0</v>
      </c>
      <c r="Q234" t="n">
        <v>1</v>
      </c>
      <c r="R234" s="2" t="inlineStr">
        <is>
          <t>Purpurknipprot</t>
        </is>
      </c>
      <c r="S234">
        <f>HYPERLINK("https://klasma.github.io/Logging_0883/artfynd/A 3624-2026 artfynd.xlsx", "A 3624-2026")</f>
        <v/>
      </c>
      <c r="T234">
        <f>HYPERLINK("https://klasma.github.io/Logging_0883/kartor/A 3624-2026 karta.png", "A 3624-2026")</f>
        <v/>
      </c>
      <c r="V234">
        <f>HYPERLINK("https://klasma.github.io/Logging_0883/klagomål/A 3624-2026 FSC-klagomål.docx", "A 3624-2026")</f>
        <v/>
      </c>
      <c r="W234">
        <f>HYPERLINK("https://klasma.github.io/Logging_0883/klagomålsmail/A 3624-2026 FSC-klagomål mail.docx", "A 3624-2026")</f>
        <v/>
      </c>
      <c r="X234">
        <f>HYPERLINK("https://klasma.github.io/Logging_0883/tillsyn/A 3624-2026 tillsynsbegäran.docx", "A 3624-2026")</f>
        <v/>
      </c>
      <c r="Y234">
        <f>HYPERLINK("https://klasma.github.io/Logging_0883/tillsynsmail/A 3624-2026 tillsynsbegäran mail.docx", "A 3624-2026")</f>
        <v/>
      </c>
    </row>
    <row r="235" ht="15" customHeight="1">
      <c r="A235" t="inlineStr">
        <is>
          <t>A 31419-2025</t>
        </is>
      </c>
      <c r="B235" s="1" t="n">
        <v>45833.48370370371</v>
      </c>
      <c r="C235" s="1" t="n">
        <v>46159</v>
      </c>
      <c r="D235" t="inlineStr">
        <is>
          <t>KALMAR LÄN</t>
        </is>
      </c>
      <c r="E235" t="inlineStr">
        <is>
          <t>VÄSTERVIK</t>
        </is>
      </c>
      <c r="F235" t="inlineStr">
        <is>
          <t>Kommuner</t>
        </is>
      </c>
      <c r="G235" t="n">
        <v>1.1</v>
      </c>
      <c r="H235" t="n">
        <v>1</v>
      </c>
      <c r="I235" t="n">
        <v>0</v>
      </c>
      <c r="J235" t="n">
        <v>1</v>
      </c>
      <c r="K235" t="n">
        <v>0</v>
      </c>
      <c r="L235" t="n">
        <v>0</v>
      </c>
      <c r="M235" t="n">
        <v>0</v>
      </c>
      <c r="N235" t="n">
        <v>0</v>
      </c>
      <c r="O235" t="n">
        <v>1</v>
      </c>
      <c r="P235" t="n">
        <v>0</v>
      </c>
      <c r="Q235" t="n">
        <v>1</v>
      </c>
      <c r="R235" s="2" t="inlineStr">
        <is>
          <t>Järpe</t>
        </is>
      </c>
      <c r="S235">
        <f>HYPERLINK("https://klasma.github.io/Logging_0883/artfynd/A 31419-2025 artfynd.xlsx", "A 31419-2025")</f>
        <v/>
      </c>
      <c r="T235">
        <f>HYPERLINK("https://klasma.github.io/Logging_0883/kartor/A 31419-2025 karta.png", "A 31419-2025")</f>
        <v/>
      </c>
      <c r="V235">
        <f>HYPERLINK("https://klasma.github.io/Logging_0883/klagomål/A 31419-2025 FSC-klagomål.docx", "A 31419-2025")</f>
        <v/>
      </c>
      <c r="W235">
        <f>HYPERLINK("https://klasma.github.io/Logging_0883/klagomålsmail/A 31419-2025 FSC-klagomål mail.docx", "A 31419-2025")</f>
        <v/>
      </c>
      <c r="X235">
        <f>HYPERLINK("https://klasma.github.io/Logging_0883/tillsyn/A 31419-2025 tillsynsbegäran.docx", "A 31419-2025")</f>
        <v/>
      </c>
      <c r="Y235">
        <f>HYPERLINK("https://klasma.github.io/Logging_0883/tillsynsmail/A 31419-2025 tillsynsbegäran mail.docx", "A 31419-2025")</f>
        <v/>
      </c>
      <c r="Z235">
        <f>HYPERLINK("https://klasma.github.io/Logging_0883/fåglar/A 31419-2025 prioriterade fågelarter.docx", "A 31419-2025")</f>
        <v/>
      </c>
    </row>
    <row r="236" ht="15" customHeight="1">
      <c r="A236" t="inlineStr">
        <is>
          <t>A 26056-2022</t>
        </is>
      </c>
      <c r="B236" s="1" t="n">
        <v>44734</v>
      </c>
      <c r="C236" s="1" t="n">
        <v>46159</v>
      </c>
      <c r="D236" t="inlineStr">
        <is>
          <t>KALMAR LÄN</t>
        </is>
      </c>
      <c r="E236" t="inlineStr">
        <is>
          <t>VÄSTERVIK</t>
        </is>
      </c>
      <c r="G236" t="n">
        <v>1.1</v>
      </c>
      <c r="H236" t="n">
        <v>0</v>
      </c>
      <c r="I236" t="n">
        <v>0</v>
      </c>
      <c r="J236" t="n">
        <v>1</v>
      </c>
      <c r="K236" t="n">
        <v>0</v>
      </c>
      <c r="L236" t="n">
        <v>0</v>
      </c>
      <c r="M236" t="n">
        <v>0</v>
      </c>
      <c r="N236" t="n">
        <v>0</v>
      </c>
      <c r="O236" t="n">
        <v>1</v>
      </c>
      <c r="P236" t="n">
        <v>0</v>
      </c>
      <c r="Q236" t="n">
        <v>1</v>
      </c>
      <c r="R236" s="2" t="inlineStr">
        <is>
          <t>Slåtterfibbla</t>
        </is>
      </c>
      <c r="S236">
        <f>HYPERLINK("https://klasma.github.io/Logging_0883/artfynd/A 26056-2022 artfynd.xlsx", "A 26056-2022")</f>
        <v/>
      </c>
      <c r="T236">
        <f>HYPERLINK("https://klasma.github.io/Logging_0883/kartor/A 26056-2022 karta.png", "A 26056-2022")</f>
        <v/>
      </c>
      <c r="V236">
        <f>HYPERLINK("https://klasma.github.io/Logging_0883/klagomål/A 26056-2022 FSC-klagomål.docx", "A 26056-2022")</f>
        <v/>
      </c>
      <c r="W236">
        <f>HYPERLINK("https://klasma.github.io/Logging_0883/klagomålsmail/A 26056-2022 FSC-klagomål mail.docx", "A 26056-2022")</f>
        <v/>
      </c>
      <c r="X236">
        <f>HYPERLINK("https://klasma.github.io/Logging_0883/tillsyn/A 26056-2022 tillsynsbegäran.docx", "A 26056-2022")</f>
        <v/>
      </c>
      <c r="Y236">
        <f>HYPERLINK("https://klasma.github.io/Logging_0883/tillsynsmail/A 26056-2022 tillsynsbegäran mail.docx", "A 26056-2022")</f>
        <v/>
      </c>
    </row>
    <row r="237" ht="15" customHeight="1">
      <c r="A237" t="inlineStr">
        <is>
          <t>A 1370-2024</t>
        </is>
      </c>
      <c r="B237" s="1" t="n">
        <v>45303</v>
      </c>
      <c r="C237" s="1" t="n">
        <v>46159</v>
      </c>
      <c r="D237" t="inlineStr">
        <is>
          <t>KALMAR LÄN</t>
        </is>
      </c>
      <c r="E237" t="inlineStr">
        <is>
          <t>VÄSTERVIK</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HYPERLINK("https://klasma.github.io/Logging_0883/artfynd/A 1370-2024 artfynd.xlsx", "A 1370-2024")</f>
        <v/>
      </c>
      <c r="T237">
        <f>HYPERLINK("https://klasma.github.io/Logging_0883/kartor/A 1370-2024 karta.png", "A 1370-2024")</f>
        <v/>
      </c>
      <c r="V237">
        <f>HYPERLINK("https://klasma.github.io/Logging_0883/klagomål/A 1370-2024 FSC-klagomål.docx", "A 1370-2024")</f>
        <v/>
      </c>
      <c r="W237">
        <f>HYPERLINK("https://klasma.github.io/Logging_0883/klagomålsmail/A 1370-2024 FSC-klagomål mail.docx", "A 1370-2024")</f>
        <v/>
      </c>
      <c r="X237">
        <f>HYPERLINK("https://klasma.github.io/Logging_0883/tillsyn/A 1370-2024 tillsynsbegäran.docx", "A 1370-2024")</f>
        <v/>
      </c>
      <c r="Y237">
        <f>HYPERLINK("https://klasma.github.io/Logging_0883/tillsynsmail/A 1370-2024 tillsynsbegäran mail.docx", "A 1370-2024")</f>
        <v/>
      </c>
    </row>
    <row r="238" ht="15" customHeight="1">
      <c r="A238" t="inlineStr">
        <is>
          <t>A 33916-2025</t>
        </is>
      </c>
      <c r="B238" s="1" t="n">
        <v>45842.61306712963</v>
      </c>
      <c r="C238" s="1" t="n">
        <v>46159</v>
      </c>
      <c r="D238" t="inlineStr">
        <is>
          <t>KALMAR LÄN</t>
        </is>
      </c>
      <c r="E238" t="inlineStr">
        <is>
          <t>VÄSTERVIK</t>
        </is>
      </c>
      <c r="G238" t="n">
        <v>0.7</v>
      </c>
      <c r="H238" t="n">
        <v>1</v>
      </c>
      <c r="I238" t="n">
        <v>0</v>
      </c>
      <c r="J238" t="n">
        <v>1</v>
      </c>
      <c r="K238" t="n">
        <v>0</v>
      </c>
      <c r="L238" t="n">
        <v>0</v>
      </c>
      <c r="M238" t="n">
        <v>0</v>
      </c>
      <c r="N238" t="n">
        <v>0</v>
      </c>
      <c r="O238" t="n">
        <v>1</v>
      </c>
      <c r="P238" t="n">
        <v>0</v>
      </c>
      <c r="Q238" t="n">
        <v>1</v>
      </c>
      <c r="R238" s="2" t="inlineStr">
        <is>
          <t>Talltita</t>
        </is>
      </c>
      <c r="S238">
        <f>HYPERLINK("https://klasma.github.io/Logging_0883/artfynd/A 33916-2025 artfynd.xlsx", "A 33916-2025")</f>
        <v/>
      </c>
      <c r="T238">
        <f>HYPERLINK("https://klasma.github.io/Logging_0883/kartor/A 33916-2025 karta.png", "A 33916-2025")</f>
        <v/>
      </c>
      <c r="V238">
        <f>HYPERLINK("https://klasma.github.io/Logging_0883/klagomål/A 33916-2025 FSC-klagomål.docx", "A 33916-2025")</f>
        <v/>
      </c>
      <c r="W238">
        <f>HYPERLINK("https://klasma.github.io/Logging_0883/klagomålsmail/A 33916-2025 FSC-klagomål mail.docx", "A 33916-2025")</f>
        <v/>
      </c>
      <c r="X238">
        <f>HYPERLINK("https://klasma.github.io/Logging_0883/tillsyn/A 33916-2025 tillsynsbegäran.docx", "A 33916-2025")</f>
        <v/>
      </c>
      <c r="Y238">
        <f>HYPERLINK("https://klasma.github.io/Logging_0883/tillsynsmail/A 33916-2025 tillsynsbegäran mail.docx", "A 33916-2025")</f>
        <v/>
      </c>
      <c r="Z238">
        <f>HYPERLINK("https://klasma.github.io/Logging_0883/fåglar/A 33916-2025 prioriterade fågelarter.docx", "A 33916-2025")</f>
        <v/>
      </c>
    </row>
    <row r="239" ht="15" customHeight="1">
      <c r="A239" t="inlineStr">
        <is>
          <t>A 34168-2025</t>
        </is>
      </c>
      <c r="B239" s="1" t="n">
        <v>45845.58349537037</v>
      </c>
      <c r="C239" s="1" t="n">
        <v>46159</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34166-2025</t>
        </is>
      </c>
      <c r="B240" s="1" t="n">
        <v>45845.5819675926</v>
      </c>
      <c r="C240" s="1" t="n">
        <v>46159</v>
      </c>
      <c r="D240" t="inlineStr">
        <is>
          <t>KALMAR LÄN</t>
        </is>
      </c>
      <c r="E240" t="inlineStr">
        <is>
          <t>VÄSTERVIK</t>
        </is>
      </c>
      <c r="G240" t="n">
        <v>3.5</v>
      </c>
      <c r="H240" t="n">
        <v>0</v>
      </c>
      <c r="I240" t="n">
        <v>0</v>
      </c>
      <c r="J240" t="n">
        <v>0</v>
      </c>
      <c r="K240" t="n">
        <v>0</v>
      </c>
      <c r="L240" t="n">
        <v>0</v>
      </c>
      <c r="M240" t="n">
        <v>1</v>
      </c>
      <c r="N240" t="n">
        <v>0</v>
      </c>
      <c r="O240" t="n">
        <v>1</v>
      </c>
      <c r="P240" t="n">
        <v>1</v>
      </c>
      <c r="Q240" t="n">
        <v>1</v>
      </c>
      <c r="R240" s="2" t="inlineStr">
        <is>
          <t>Skogsalm</t>
        </is>
      </c>
      <c r="S240">
        <f>HYPERLINK("https://klasma.github.io/Logging_0883/artfynd/A 34166-2025 artfynd.xlsx", "A 34166-2025")</f>
        <v/>
      </c>
      <c r="T240">
        <f>HYPERLINK("https://klasma.github.io/Logging_0883/kartor/A 34166-2025 karta.png", "A 34166-2025")</f>
        <v/>
      </c>
      <c r="V240">
        <f>HYPERLINK("https://klasma.github.io/Logging_0883/klagomål/A 34166-2025 FSC-klagomål.docx", "A 34166-2025")</f>
        <v/>
      </c>
      <c r="W240">
        <f>HYPERLINK("https://klasma.github.io/Logging_0883/klagomålsmail/A 34166-2025 FSC-klagomål mail.docx", "A 34166-2025")</f>
        <v/>
      </c>
      <c r="X240">
        <f>HYPERLINK("https://klasma.github.io/Logging_0883/tillsyn/A 34166-2025 tillsynsbegäran.docx", "A 34166-2025")</f>
        <v/>
      </c>
      <c r="Y240">
        <f>HYPERLINK("https://klasma.github.io/Logging_0883/tillsynsmail/A 34166-2025 tillsynsbegäran mail.docx", "A 34166-2025")</f>
        <v/>
      </c>
    </row>
    <row r="241" ht="15" customHeight="1">
      <c r="A241" t="inlineStr">
        <is>
          <t>A 34212-2025</t>
        </is>
      </c>
      <c r="B241" s="1" t="n">
        <v>45845.64383101852</v>
      </c>
      <c r="C241" s="1" t="n">
        <v>46159</v>
      </c>
      <c r="D241" t="inlineStr">
        <is>
          <t>KALMAR LÄN</t>
        </is>
      </c>
      <c r="E241" t="inlineStr">
        <is>
          <t>VÄSTERVIK</t>
        </is>
      </c>
      <c r="G241" t="n">
        <v>6.4</v>
      </c>
      <c r="H241" t="n">
        <v>0</v>
      </c>
      <c r="I241" t="n">
        <v>1</v>
      </c>
      <c r="J241" t="n">
        <v>0</v>
      </c>
      <c r="K241" t="n">
        <v>0</v>
      </c>
      <c r="L241" t="n">
        <v>0</v>
      </c>
      <c r="M241" t="n">
        <v>0</v>
      </c>
      <c r="N241" t="n">
        <v>0</v>
      </c>
      <c r="O241" t="n">
        <v>0</v>
      </c>
      <c r="P241" t="n">
        <v>0</v>
      </c>
      <c r="Q241" t="n">
        <v>1</v>
      </c>
      <c r="R241" s="2" t="inlineStr">
        <is>
          <t>Blåmossa</t>
        </is>
      </c>
      <c r="S241">
        <f>HYPERLINK("https://klasma.github.io/Logging_0883/artfynd/A 34212-2025 artfynd.xlsx", "A 34212-2025")</f>
        <v/>
      </c>
      <c r="T241">
        <f>HYPERLINK("https://klasma.github.io/Logging_0883/kartor/A 34212-2025 karta.png", "A 34212-2025")</f>
        <v/>
      </c>
      <c r="V241">
        <f>HYPERLINK("https://klasma.github.io/Logging_0883/klagomål/A 34212-2025 FSC-klagomål.docx", "A 34212-2025")</f>
        <v/>
      </c>
      <c r="W241">
        <f>HYPERLINK("https://klasma.github.io/Logging_0883/klagomålsmail/A 34212-2025 FSC-klagomål mail.docx", "A 34212-2025")</f>
        <v/>
      </c>
      <c r="X241">
        <f>HYPERLINK("https://klasma.github.io/Logging_0883/tillsyn/A 34212-2025 tillsynsbegäran.docx", "A 34212-2025")</f>
        <v/>
      </c>
      <c r="Y241">
        <f>HYPERLINK("https://klasma.github.io/Logging_0883/tillsynsmail/A 34212-2025 tillsynsbegäran mail.docx", "A 34212-2025")</f>
        <v/>
      </c>
    </row>
    <row r="242" ht="15" customHeight="1">
      <c r="A242" t="inlineStr">
        <is>
          <t>A 61806-2023</t>
        </is>
      </c>
      <c r="B242" s="1" t="n">
        <v>45266.27928240741</v>
      </c>
      <c r="C242" s="1" t="n">
        <v>46159</v>
      </c>
      <c r="D242" t="inlineStr">
        <is>
          <t>KALMAR LÄN</t>
        </is>
      </c>
      <c r="E242" t="inlineStr">
        <is>
          <t>VÄSTERVIK</t>
        </is>
      </c>
      <c r="G242" t="n">
        <v>1.1</v>
      </c>
      <c r="H242" t="n">
        <v>0</v>
      </c>
      <c r="I242" t="n">
        <v>0</v>
      </c>
      <c r="J242" t="n">
        <v>1</v>
      </c>
      <c r="K242" t="n">
        <v>0</v>
      </c>
      <c r="L242" t="n">
        <v>0</v>
      </c>
      <c r="M242" t="n">
        <v>0</v>
      </c>
      <c r="N242" t="n">
        <v>0</v>
      </c>
      <c r="O242" t="n">
        <v>1</v>
      </c>
      <c r="P242" t="n">
        <v>0</v>
      </c>
      <c r="Q242" t="n">
        <v>1</v>
      </c>
      <c r="R242" s="2" t="inlineStr">
        <is>
          <t>Veckticka</t>
        </is>
      </c>
      <c r="S242">
        <f>HYPERLINK("https://klasma.github.io/Logging_0883/artfynd/A 61806-2023 artfynd.xlsx", "A 61806-2023")</f>
        <v/>
      </c>
      <c r="T242">
        <f>HYPERLINK("https://klasma.github.io/Logging_0883/kartor/A 61806-2023 karta.png", "A 61806-2023")</f>
        <v/>
      </c>
      <c r="V242">
        <f>HYPERLINK("https://klasma.github.io/Logging_0883/klagomål/A 61806-2023 FSC-klagomål.docx", "A 61806-2023")</f>
        <v/>
      </c>
      <c r="W242">
        <f>HYPERLINK("https://klasma.github.io/Logging_0883/klagomålsmail/A 61806-2023 FSC-klagomål mail.docx", "A 61806-2023")</f>
        <v/>
      </c>
      <c r="X242">
        <f>HYPERLINK("https://klasma.github.io/Logging_0883/tillsyn/A 61806-2023 tillsynsbegäran.docx", "A 61806-2023")</f>
        <v/>
      </c>
      <c r="Y242">
        <f>HYPERLINK("https://klasma.github.io/Logging_0883/tillsynsmail/A 61806-2023 tillsynsbegäran mail.docx", "A 61806-2023")</f>
        <v/>
      </c>
    </row>
    <row r="243" ht="15" customHeight="1">
      <c r="A243" t="inlineStr">
        <is>
          <t>A 9261-2025</t>
        </is>
      </c>
      <c r="B243" s="1" t="n">
        <v>45714.60472222222</v>
      </c>
      <c r="C243" s="1" t="n">
        <v>46159</v>
      </c>
      <c r="D243" t="inlineStr">
        <is>
          <t>KALMAR LÄN</t>
        </is>
      </c>
      <c r="E243" t="inlineStr">
        <is>
          <t>VÄSTERVIK</t>
        </is>
      </c>
      <c r="F243" t="inlineStr">
        <is>
          <t>Sveaskog</t>
        </is>
      </c>
      <c r="G243" t="n">
        <v>4.9</v>
      </c>
      <c r="H243" t="n">
        <v>1</v>
      </c>
      <c r="I243" t="n">
        <v>0</v>
      </c>
      <c r="J243" t="n">
        <v>1</v>
      </c>
      <c r="K243" t="n">
        <v>0</v>
      </c>
      <c r="L243" t="n">
        <v>0</v>
      </c>
      <c r="M243" t="n">
        <v>0</v>
      </c>
      <c r="N243" t="n">
        <v>0</v>
      </c>
      <c r="O243" t="n">
        <v>1</v>
      </c>
      <c r="P243" t="n">
        <v>0</v>
      </c>
      <c r="Q243" t="n">
        <v>1</v>
      </c>
      <c r="R243" s="2" t="inlineStr">
        <is>
          <t>Havsörn</t>
        </is>
      </c>
      <c r="S243">
        <f>HYPERLINK("https://klasma.github.io/Logging_0883/artfynd/A 9261-2025 artfynd.xlsx", "A 9261-2025")</f>
        <v/>
      </c>
      <c r="T243">
        <f>HYPERLINK("https://klasma.github.io/Logging_0883/kartor/A 9261-2025 karta.png", "A 9261-2025")</f>
        <v/>
      </c>
      <c r="V243">
        <f>HYPERLINK("https://klasma.github.io/Logging_0883/klagomål/A 9261-2025 FSC-klagomål.docx", "A 9261-2025")</f>
        <v/>
      </c>
      <c r="W243">
        <f>HYPERLINK("https://klasma.github.io/Logging_0883/klagomålsmail/A 9261-2025 FSC-klagomål mail.docx", "A 9261-2025")</f>
        <v/>
      </c>
      <c r="X243">
        <f>HYPERLINK("https://klasma.github.io/Logging_0883/tillsyn/A 9261-2025 tillsynsbegäran.docx", "A 9261-2025")</f>
        <v/>
      </c>
      <c r="Y243">
        <f>HYPERLINK("https://klasma.github.io/Logging_0883/tillsynsmail/A 9261-2025 tillsynsbegäran mail.docx", "A 9261-2025")</f>
        <v/>
      </c>
      <c r="Z243">
        <f>HYPERLINK("https://klasma.github.io/Logging_0883/fåglar/A 9261-2025 prioriterade fågelarter.docx", "A 9261-2025")</f>
        <v/>
      </c>
    </row>
    <row r="244" ht="15" customHeight="1">
      <c r="A244" t="inlineStr">
        <is>
          <t>A 11195-2024</t>
        </is>
      </c>
      <c r="B244" s="1" t="n">
        <v>45371</v>
      </c>
      <c r="C244" s="1" t="n">
        <v>46159</v>
      </c>
      <c r="D244" t="inlineStr">
        <is>
          <t>KALMAR LÄN</t>
        </is>
      </c>
      <c r="E244" t="inlineStr">
        <is>
          <t>VÄSTERVIK</t>
        </is>
      </c>
      <c r="G244" t="n">
        <v>1.9</v>
      </c>
      <c r="H244" t="n">
        <v>1</v>
      </c>
      <c r="I244" t="n">
        <v>0</v>
      </c>
      <c r="J244" t="n">
        <v>0</v>
      </c>
      <c r="K244" t="n">
        <v>1</v>
      </c>
      <c r="L244" t="n">
        <v>0</v>
      </c>
      <c r="M244" t="n">
        <v>0</v>
      </c>
      <c r="N244" t="n">
        <v>0</v>
      </c>
      <c r="O244" t="n">
        <v>1</v>
      </c>
      <c r="P244" t="n">
        <v>1</v>
      </c>
      <c r="Q244" t="n">
        <v>1</v>
      </c>
      <c r="R244" s="2" t="inlineStr">
        <is>
          <t>Knärot</t>
        </is>
      </c>
      <c r="S244">
        <f>HYPERLINK("https://klasma.github.io/Logging_0883/artfynd/A 11195-2024 artfynd.xlsx", "A 11195-2024")</f>
        <v/>
      </c>
      <c r="T244">
        <f>HYPERLINK("https://klasma.github.io/Logging_0883/kartor/A 11195-2024 karta.png", "A 11195-2024")</f>
        <v/>
      </c>
      <c r="U244">
        <f>HYPERLINK("https://klasma.github.io/Logging_0883/knärot/A 11195-2024 karta knärot.png", "A 11195-2024")</f>
        <v/>
      </c>
      <c r="V244">
        <f>HYPERLINK("https://klasma.github.io/Logging_0883/klagomål/A 11195-2024 FSC-klagomål.docx", "A 11195-2024")</f>
        <v/>
      </c>
      <c r="W244">
        <f>HYPERLINK("https://klasma.github.io/Logging_0883/klagomålsmail/A 11195-2024 FSC-klagomål mail.docx", "A 11195-2024")</f>
        <v/>
      </c>
      <c r="X244">
        <f>HYPERLINK("https://klasma.github.io/Logging_0883/tillsyn/A 11195-2024 tillsynsbegäran.docx", "A 11195-2024")</f>
        <v/>
      </c>
      <c r="Y244">
        <f>HYPERLINK("https://klasma.github.io/Logging_0883/tillsynsmail/A 11195-2024 tillsynsbegäran mail.docx", "A 11195-2024")</f>
        <v/>
      </c>
    </row>
    <row r="245" ht="15" customHeight="1">
      <c r="A245" t="inlineStr">
        <is>
          <t>A 48897-2025</t>
        </is>
      </c>
      <c r="B245" s="1" t="n">
        <v>45937.47533564815</v>
      </c>
      <c r="C245" s="1" t="n">
        <v>46159</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55616-2024</t>
        </is>
      </c>
      <c r="B246" s="1" t="n">
        <v>45622.5916087963</v>
      </c>
      <c r="C246" s="1" t="n">
        <v>46159</v>
      </c>
      <c r="D246" t="inlineStr">
        <is>
          <t>KALMAR LÄN</t>
        </is>
      </c>
      <c r="E246" t="inlineStr">
        <is>
          <t>VÄSTERVIK</t>
        </is>
      </c>
      <c r="G246" t="n">
        <v>0.5</v>
      </c>
      <c r="H246" t="n">
        <v>1</v>
      </c>
      <c r="I246" t="n">
        <v>0</v>
      </c>
      <c r="J246" t="n">
        <v>1</v>
      </c>
      <c r="K246" t="n">
        <v>0</v>
      </c>
      <c r="L246" t="n">
        <v>0</v>
      </c>
      <c r="M246" t="n">
        <v>0</v>
      </c>
      <c r="N246" t="n">
        <v>0</v>
      </c>
      <c r="O246" t="n">
        <v>1</v>
      </c>
      <c r="P246" t="n">
        <v>0</v>
      </c>
      <c r="Q246" t="n">
        <v>1</v>
      </c>
      <c r="R246" s="2" t="inlineStr">
        <is>
          <t>Entita</t>
        </is>
      </c>
      <c r="S246">
        <f>HYPERLINK("https://klasma.github.io/Logging_0883/artfynd/A 55616-2024 artfynd.xlsx", "A 55616-2024")</f>
        <v/>
      </c>
      <c r="T246">
        <f>HYPERLINK("https://klasma.github.io/Logging_0883/kartor/A 55616-2024 karta.png", "A 55616-2024")</f>
        <v/>
      </c>
      <c r="V246">
        <f>HYPERLINK("https://klasma.github.io/Logging_0883/klagomål/A 55616-2024 FSC-klagomål.docx", "A 55616-2024")</f>
        <v/>
      </c>
      <c r="W246">
        <f>HYPERLINK("https://klasma.github.io/Logging_0883/klagomålsmail/A 55616-2024 FSC-klagomål mail.docx", "A 55616-2024")</f>
        <v/>
      </c>
      <c r="X246">
        <f>HYPERLINK("https://klasma.github.io/Logging_0883/tillsyn/A 55616-2024 tillsynsbegäran.docx", "A 55616-2024")</f>
        <v/>
      </c>
      <c r="Y246">
        <f>HYPERLINK("https://klasma.github.io/Logging_0883/tillsynsmail/A 55616-2024 tillsynsbegäran mail.docx", "A 55616-2024")</f>
        <v/>
      </c>
      <c r="Z246">
        <f>HYPERLINK("https://klasma.github.io/Logging_0883/fåglar/A 55616-2024 prioriterade fågelarter.docx", "A 55616-2024")</f>
        <v/>
      </c>
    </row>
    <row r="247" ht="15" customHeight="1">
      <c r="A247" t="inlineStr">
        <is>
          <t>A 25436-2023</t>
        </is>
      </c>
      <c r="B247" s="1" t="n">
        <v>45089</v>
      </c>
      <c r="C247" s="1" t="n">
        <v>46159</v>
      </c>
      <c r="D247" t="inlineStr">
        <is>
          <t>KALMAR LÄN</t>
        </is>
      </c>
      <c r="E247" t="inlineStr">
        <is>
          <t>VÄSTERVIK</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HYPERLINK("https://klasma.github.io/Logging_0883/artfynd/A 25436-2023 artfynd.xlsx", "A 25436-2023")</f>
        <v/>
      </c>
      <c r="T247">
        <f>HYPERLINK("https://klasma.github.io/Logging_0883/kartor/A 25436-2023 karta.png", "A 25436-2023")</f>
        <v/>
      </c>
      <c r="U247">
        <f>HYPERLINK("https://klasma.github.io/Logging_0883/knärot/A 25436-2023 karta knärot.png", "A 25436-2023")</f>
        <v/>
      </c>
      <c r="V247">
        <f>HYPERLINK("https://klasma.github.io/Logging_0883/klagomål/A 25436-2023 FSC-klagomål.docx", "A 25436-2023")</f>
        <v/>
      </c>
      <c r="W247">
        <f>HYPERLINK("https://klasma.github.io/Logging_0883/klagomålsmail/A 25436-2023 FSC-klagomål mail.docx", "A 25436-2023")</f>
        <v/>
      </c>
      <c r="X247">
        <f>HYPERLINK("https://klasma.github.io/Logging_0883/tillsyn/A 25436-2023 tillsynsbegäran.docx", "A 25436-2023")</f>
        <v/>
      </c>
      <c r="Y247">
        <f>HYPERLINK("https://klasma.github.io/Logging_0883/tillsynsmail/A 25436-2023 tillsynsbegäran mail.docx", "A 25436-2023")</f>
        <v/>
      </c>
    </row>
    <row r="248" ht="15" customHeight="1">
      <c r="A248" t="inlineStr">
        <is>
          <t>A 11165-2024</t>
        </is>
      </c>
      <c r="B248" s="1" t="n">
        <v>45371</v>
      </c>
      <c r="C248" s="1" t="n">
        <v>46159</v>
      </c>
      <c r="D248" t="inlineStr">
        <is>
          <t>KALMAR LÄN</t>
        </is>
      </c>
      <c r="E248" t="inlineStr">
        <is>
          <t>VÄSTERVIK</t>
        </is>
      </c>
      <c r="G248" t="n">
        <v>3.7</v>
      </c>
      <c r="H248" t="n">
        <v>1</v>
      </c>
      <c r="I248" t="n">
        <v>0</v>
      </c>
      <c r="J248" t="n">
        <v>1</v>
      </c>
      <c r="K248" t="n">
        <v>0</v>
      </c>
      <c r="L248" t="n">
        <v>0</v>
      </c>
      <c r="M248" t="n">
        <v>0</v>
      </c>
      <c r="N248" t="n">
        <v>0</v>
      </c>
      <c r="O248" t="n">
        <v>1</v>
      </c>
      <c r="P248" t="n">
        <v>0</v>
      </c>
      <c r="Q248" t="n">
        <v>1</v>
      </c>
      <c r="R248" s="2" t="inlineStr">
        <is>
          <t>Spillkråka</t>
        </is>
      </c>
      <c r="S248">
        <f>HYPERLINK("https://klasma.github.io/Logging_0883/artfynd/A 11165-2024 artfynd.xlsx", "A 11165-2024")</f>
        <v/>
      </c>
      <c r="T248">
        <f>HYPERLINK("https://klasma.github.io/Logging_0883/kartor/A 11165-2024 karta.png", "A 11165-2024")</f>
        <v/>
      </c>
      <c r="V248">
        <f>HYPERLINK("https://klasma.github.io/Logging_0883/klagomål/A 11165-2024 FSC-klagomål.docx", "A 11165-2024")</f>
        <v/>
      </c>
      <c r="W248">
        <f>HYPERLINK("https://klasma.github.io/Logging_0883/klagomålsmail/A 11165-2024 FSC-klagomål mail.docx", "A 11165-2024")</f>
        <v/>
      </c>
      <c r="X248">
        <f>HYPERLINK("https://klasma.github.io/Logging_0883/tillsyn/A 11165-2024 tillsynsbegäran.docx", "A 11165-2024")</f>
        <v/>
      </c>
      <c r="Y248">
        <f>HYPERLINK("https://klasma.github.io/Logging_0883/tillsynsmail/A 11165-2024 tillsynsbegäran mail.docx", "A 11165-2024")</f>
        <v/>
      </c>
      <c r="Z248">
        <f>HYPERLINK("https://klasma.github.io/Logging_0883/fåglar/A 11165-2024 prioriterade fågelarter.docx", "A 11165-2024")</f>
        <v/>
      </c>
    </row>
    <row r="249" ht="15" customHeight="1">
      <c r="A249" t="inlineStr">
        <is>
          <t>A 11609-2022</t>
        </is>
      </c>
      <c r="B249" s="1" t="n">
        <v>44631</v>
      </c>
      <c r="C249" s="1" t="n">
        <v>46159</v>
      </c>
      <c r="D249" t="inlineStr">
        <is>
          <t>KALMAR LÄN</t>
        </is>
      </c>
      <c r="E249" t="inlineStr">
        <is>
          <t>VÄSTERVIK</t>
        </is>
      </c>
      <c r="F249" t="inlineStr">
        <is>
          <t>Holmen skog AB</t>
        </is>
      </c>
      <c r="G249" t="n">
        <v>3.2</v>
      </c>
      <c r="H249" t="n">
        <v>0</v>
      </c>
      <c r="I249" t="n">
        <v>0</v>
      </c>
      <c r="J249" t="n">
        <v>1</v>
      </c>
      <c r="K249" t="n">
        <v>0</v>
      </c>
      <c r="L249" t="n">
        <v>0</v>
      </c>
      <c r="M249" t="n">
        <v>0</v>
      </c>
      <c r="N249" t="n">
        <v>0</v>
      </c>
      <c r="O249" t="n">
        <v>1</v>
      </c>
      <c r="P249" t="n">
        <v>0</v>
      </c>
      <c r="Q249" t="n">
        <v>1</v>
      </c>
      <c r="R249" s="2" t="inlineStr">
        <is>
          <t>Tallticka</t>
        </is>
      </c>
      <c r="S249">
        <f>HYPERLINK("https://klasma.github.io/Logging_0883/artfynd/A 11609-2022 artfynd.xlsx", "A 11609-2022")</f>
        <v/>
      </c>
      <c r="T249">
        <f>HYPERLINK("https://klasma.github.io/Logging_0883/kartor/A 11609-2022 karta.png", "A 11609-2022")</f>
        <v/>
      </c>
      <c r="U249">
        <f>HYPERLINK("https://klasma.github.io/Logging_0883/knärot/A 11609-2022 karta knärot.png", "A 11609-2022")</f>
        <v/>
      </c>
      <c r="V249">
        <f>HYPERLINK("https://klasma.github.io/Logging_0883/klagomål/A 11609-2022 FSC-klagomål.docx", "A 11609-2022")</f>
        <v/>
      </c>
      <c r="W249">
        <f>HYPERLINK("https://klasma.github.io/Logging_0883/klagomålsmail/A 11609-2022 FSC-klagomål mail.docx", "A 11609-2022")</f>
        <v/>
      </c>
      <c r="X249">
        <f>HYPERLINK("https://klasma.github.io/Logging_0883/tillsyn/A 11609-2022 tillsynsbegäran.docx", "A 11609-2022")</f>
        <v/>
      </c>
      <c r="Y249">
        <f>HYPERLINK("https://klasma.github.io/Logging_0883/tillsynsmail/A 11609-2022 tillsynsbegäran mail.docx", "A 11609-2022")</f>
        <v/>
      </c>
    </row>
    <row r="250" ht="15" customHeight="1">
      <c r="A250" t="inlineStr">
        <is>
          <t>A 50172-2025</t>
        </is>
      </c>
      <c r="B250" s="1" t="n">
        <v>45943.60153935185</v>
      </c>
      <c r="C250" s="1" t="n">
        <v>46159</v>
      </c>
      <c r="D250" t="inlineStr">
        <is>
          <t>KALMAR LÄN</t>
        </is>
      </c>
      <c r="E250" t="inlineStr">
        <is>
          <t>VÄSTERVIK</t>
        </is>
      </c>
      <c r="G250" t="n">
        <v>2.2</v>
      </c>
      <c r="H250" t="n">
        <v>0</v>
      </c>
      <c r="I250" t="n">
        <v>1</v>
      </c>
      <c r="J250" t="n">
        <v>0</v>
      </c>
      <c r="K250" t="n">
        <v>0</v>
      </c>
      <c r="L250" t="n">
        <v>0</v>
      </c>
      <c r="M250" t="n">
        <v>0</v>
      </c>
      <c r="N250" t="n">
        <v>0</v>
      </c>
      <c r="O250" t="n">
        <v>0</v>
      </c>
      <c r="P250" t="n">
        <v>0</v>
      </c>
      <c r="Q250" t="n">
        <v>1</v>
      </c>
      <c r="R250" s="2" t="inlineStr">
        <is>
          <t>Dropptaggsvamp</t>
        </is>
      </c>
      <c r="S250">
        <f>HYPERLINK("https://klasma.github.io/Logging_0883/artfynd/A 50172-2025 artfynd.xlsx", "A 50172-2025")</f>
        <v/>
      </c>
      <c r="T250">
        <f>HYPERLINK("https://klasma.github.io/Logging_0883/kartor/A 50172-2025 karta.png", "A 50172-2025")</f>
        <v/>
      </c>
      <c r="V250">
        <f>HYPERLINK("https://klasma.github.io/Logging_0883/klagomål/A 50172-2025 FSC-klagomål.docx", "A 50172-2025")</f>
        <v/>
      </c>
      <c r="W250">
        <f>HYPERLINK("https://klasma.github.io/Logging_0883/klagomålsmail/A 50172-2025 FSC-klagomål mail.docx", "A 50172-2025")</f>
        <v/>
      </c>
      <c r="X250">
        <f>HYPERLINK("https://klasma.github.io/Logging_0883/tillsyn/A 50172-2025 tillsynsbegäran.docx", "A 50172-2025")</f>
        <v/>
      </c>
      <c r="Y250">
        <f>HYPERLINK("https://klasma.github.io/Logging_0883/tillsynsmail/A 50172-2025 tillsynsbegäran mail.docx", "A 50172-2025")</f>
        <v/>
      </c>
    </row>
    <row r="251" ht="15" customHeight="1">
      <c r="A251" t="inlineStr">
        <is>
          <t>A 12292-2025</t>
        </is>
      </c>
      <c r="B251" s="1" t="n">
        <v>45729.68322916667</v>
      </c>
      <c r="C251" s="1" t="n">
        <v>46159</v>
      </c>
      <c r="D251" t="inlineStr">
        <is>
          <t>KALMAR LÄN</t>
        </is>
      </c>
      <c r="E251" t="inlineStr">
        <is>
          <t>VÄSTERVIK</t>
        </is>
      </c>
      <c r="G251" t="n">
        <v>1.7</v>
      </c>
      <c r="H251" t="n">
        <v>1</v>
      </c>
      <c r="I251" t="n">
        <v>0</v>
      </c>
      <c r="J251" t="n">
        <v>0</v>
      </c>
      <c r="K251" t="n">
        <v>1</v>
      </c>
      <c r="L251" t="n">
        <v>0</v>
      </c>
      <c r="M251" t="n">
        <v>0</v>
      </c>
      <c r="N251" t="n">
        <v>0</v>
      </c>
      <c r="O251" t="n">
        <v>1</v>
      </c>
      <c r="P251" t="n">
        <v>1</v>
      </c>
      <c r="Q251" t="n">
        <v>1</v>
      </c>
      <c r="R251" s="2" t="inlineStr">
        <is>
          <t>Knärot</t>
        </is>
      </c>
      <c r="S251">
        <f>HYPERLINK("https://klasma.github.io/Logging_0883/artfynd/A 12292-2025 artfynd.xlsx", "A 12292-2025")</f>
        <v/>
      </c>
      <c r="T251">
        <f>HYPERLINK("https://klasma.github.io/Logging_0883/kartor/A 12292-2025 karta.png", "A 12292-2025")</f>
        <v/>
      </c>
      <c r="U251">
        <f>HYPERLINK("https://klasma.github.io/Logging_0883/knärot/A 12292-2025 karta knärot.png", "A 12292-2025")</f>
        <v/>
      </c>
      <c r="V251">
        <f>HYPERLINK("https://klasma.github.io/Logging_0883/klagomål/A 12292-2025 FSC-klagomål.docx", "A 12292-2025")</f>
        <v/>
      </c>
      <c r="W251">
        <f>HYPERLINK("https://klasma.github.io/Logging_0883/klagomålsmail/A 12292-2025 FSC-klagomål mail.docx", "A 12292-2025")</f>
        <v/>
      </c>
      <c r="X251">
        <f>HYPERLINK("https://klasma.github.io/Logging_0883/tillsyn/A 12292-2025 tillsynsbegäran.docx", "A 12292-2025")</f>
        <v/>
      </c>
      <c r="Y251">
        <f>HYPERLINK("https://klasma.github.io/Logging_0883/tillsynsmail/A 12292-2025 tillsynsbegäran mail.docx", "A 12292-2025")</f>
        <v/>
      </c>
    </row>
    <row r="252" ht="15" customHeight="1">
      <c r="A252" t="inlineStr">
        <is>
          <t>A 36595-2025</t>
        </is>
      </c>
      <c r="B252" s="1" t="n">
        <v>45870.513125</v>
      </c>
      <c r="C252" s="1" t="n">
        <v>46159</v>
      </c>
      <c r="D252" t="inlineStr">
        <is>
          <t>KALMAR LÄN</t>
        </is>
      </c>
      <c r="E252" t="inlineStr">
        <is>
          <t>VÄSTERVIK</t>
        </is>
      </c>
      <c r="G252" t="n">
        <v>1.5</v>
      </c>
      <c r="H252" t="n">
        <v>1</v>
      </c>
      <c r="I252" t="n">
        <v>0</v>
      </c>
      <c r="J252" t="n">
        <v>1</v>
      </c>
      <c r="K252" t="n">
        <v>0</v>
      </c>
      <c r="L252" t="n">
        <v>0</v>
      </c>
      <c r="M252" t="n">
        <v>0</v>
      </c>
      <c r="N252" t="n">
        <v>0</v>
      </c>
      <c r="O252" t="n">
        <v>1</v>
      </c>
      <c r="P252" t="n">
        <v>0</v>
      </c>
      <c r="Q252" t="n">
        <v>1</v>
      </c>
      <c r="R252" s="2" t="inlineStr">
        <is>
          <t>Talltita</t>
        </is>
      </c>
      <c r="S252">
        <f>HYPERLINK("https://klasma.github.io/Logging_0883/artfynd/A 36595-2025 artfynd.xlsx", "A 36595-2025")</f>
        <v/>
      </c>
      <c r="T252">
        <f>HYPERLINK("https://klasma.github.io/Logging_0883/kartor/A 36595-2025 karta.png", "A 36595-2025")</f>
        <v/>
      </c>
      <c r="V252">
        <f>HYPERLINK("https://klasma.github.io/Logging_0883/klagomål/A 36595-2025 FSC-klagomål.docx", "A 36595-2025")</f>
        <v/>
      </c>
      <c r="W252">
        <f>HYPERLINK("https://klasma.github.io/Logging_0883/klagomålsmail/A 36595-2025 FSC-klagomål mail.docx", "A 36595-2025")</f>
        <v/>
      </c>
      <c r="X252">
        <f>HYPERLINK("https://klasma.github.io/Logging_0883/tillsyn/A 36595-2025 tillsynsbegäran.docx", "A 36595-2025")</f>
        <v/>
      </c>
      <c r="Y252">
        <f>HYPERLINK("https://klasma.github.io/Logging_0883/tillsynsmail/A 36595-2025 tillsynsbegäran mail.docx", "A 36595-2025")</f>
        <v/>
      </c>
      <c r="Z252">
        <f>HYPERLINK("https://klasma.github.io/Logging_0883/fåglar/A 36595-2025 prioriterade fågelarter.docx", "A 36595-2025")</f>
        <v/>
      </c>
    </row>
    <row r="253" ht="15" customHeight="1">
      <c r="A253" t="inlineStr">
        <is>
          <t>A 34563-2023</t>
        </is>
      </c>
      <c r="B253" s="1" t="n">
        <v>45140.52086805556</v>
      </c>
      <c r="C253" s="1" t="n">
        <v>46159</v>
      </c>
      <c r="D253" t="inlineStr">
        <is>
          <t>KALMAR LÄN</t>
        </is>
      </c>
      <c r="E253" t="inlineStr">
        <is>
          <t>VÄSTERVIK</t>
        </is>
      </c>
      <c r="G253" t="n">
        <v>1.4</v>
      </c>
      <c r="H253" t="n">
        <v>0</v>
      </c>
      <c r="I253" t="n">
        <v>1</v>
      </c>
      <c r="J253" t="n">
        <v>0</v>
      </c>
      <c r="K253" t="n">
        <v>0</v>
      </c>
      <c r="L253" t="n">
        <v>0</v>
      </c>
      <c r="M253" t="n">
        <v>0</v>
      </c>
      <c r="N253" t="n">
        <v>0</v>
      </c>
      <c r="O253" t="n">
        <v>0</v>
      </c>
      <c r="P253" t="n">
        <v>0</v>
      </c>
      <c r="Q253" t="n">
        <v>1</v>
      </c>
      <c r="R253" s="2" t="inlineStr">
        <is>
          <t>Fjällig taggsvamp s.str.</t>
        </is>
      </c>
      <c r="S253">
        <f>HYPERLINK("https://klasma.github.io/Logging_0883/artfynd/A 34563-2023 artfynd.xlsx", "A 34563-2023")</f>
        <v/>
      </c>
      <c r="T253">
        <f>HYPERLINK("https://klasma.github.io/Logging_0883/kartor/A 34563-2023 karta.png", "A 34563-2023")</f>
        <v/>
      </c>
      <c r="U253">
        <f>HYPERLINK("https://klasma.github.io/Logging_0883/knärot/A 34563-2023 karta knärot.png", "A 34563-2023")</f>
        <v/>
      </c>
      <c r="V253">
        <f>HYPERLINK("https://klasma.github.io/Logging_0883/klagomål/A 34563-2023 FSC-klagomål.docx", "A 34563-2023")</f>
        <v/>
      </c>
      <c r="W253">
        <f>HYPERLINK("https://klasma.github.io/Logging_0883/klagomålsmail/A 34563-2023 FSC-klagomål mail.docx", "A 34563-2023")</f>
        <v/>
      </c>
      <c r="X253">
        <f>HYPERLINK("https://klasma.github.io/Logging_0883/tillsyn/A 34563-2023 tillsynsbegäran.docx", "A 34563-2023")</f>
        <v/>
      </c>
      <c r="Y253">
        <f>HYPERLINK("https://klasma.github.io/Logging_0883/tillsynsmail/A 34563-2023 tillsynsbegäran mail.docx", "A 34563-2023")</f>
        <v/>
      </c>
    </row>
    <row r="254" ht="15" customHeight="1">
      <c r="A254" t="inlineStr">
        <is>
          <t>A 25447-2021</t>
        </is>
      </c>
      <c r="B254" s="1" t="n">
        <v>44342</v>
      </c>
      <c r="C254" s="1" t="n">
        <v>46159</v>
      </c>
      <c r="D254" t="inlineStr">
        <is>
          <t>KALMAR LÄN</t>
        </is>
      </c>
      <c r="E254" t="inlineStr">
        <is>
          <t>VÄSTERVIK</t>
        </is>
      </c>
      <c r="F254" t="inlineStr">
        <is>
          <t>Holmen skog AB</t>
        </is>
      </c>
      <c r="G254" t="n">
        <v>9</v>
      </c>
      <c r="H254" t="n">
        <v>1</v>
      </c>
      <c r="I254" t="n">
        <v>0</v>
      </c>
      <c r="J254" t="n">
        <v>0</v>
      </c>
      <c r="K254" t="n">
        <v>1</v>
      </c>
      <c r="L254" t="n">
        <v>0</v>
      </c>
      <c r="M254" t="n">
        <v>0</v>
      </c>
      <c r="N254" t="n">
        <v>0</v>
      </c>
      <c r="O254" t="n">
        <v>1</v>
      </c>
      <c r="P254" t="n">
        <v>1</v>
      </c>
      <c r="Q254" t="n">
        <v>1</v>
      </c>
      <c r="R254" s="2" t="inlineStr">
        <is>
          <t>Knärot</t>
        </is>
      </c>
      <c r="S254">
        <f>HYPERLINK("https://klasma.github.io/Logging_0883/artfynd/A 25447-2021 artfynd.xlsx", "A 25447-2021")</f>
        <v/>
      </c>
      <c r="T254">
        <f>HYPERLINK("https://klasma.github.io/Logging_0883/kartor/A 25447-2021 karta.png", "A 25447-2021")</f>
        <v/>
      </c>
      <c r="U254">
        <f>HYPERLINK("https://klasma.github.io/Logging_0883/knärot/A 25447-2021 karta knärot.png", "A 25447-2021")</f>
        <v/>
      </c>
      <c r="V254">
        <f>HYPERLINK("https://klasma.github.io/Logging_0883/klagomål/A 25447-2021 FSC-klagomål.docx", "A 25447-2021")</f>
        <v/>
      </c>
      <c r="W254">
        <f>HYPERLINK("https://klasma.github.io/Logging_0883/klagomålsmail/A 25447-2021 FSC-klagomål mail.docx", "A 25447-2021")</f>
        <v/>
      </c>
      <c r="X254">
        <f>HYPERLINK("https://klasma.github.io/Logging_0883/tillsyn/A 25447-2021 tillsynsbegäran.docx", "A 25447-2021")</f>
        <v/>
      </c>
      <c r="Y254">
        <f>HYPERLINK("https://klasma.github.io/Logging_0883/tillsynsmail/A 25447-2021 tillsynsbegäran mail.docx", "A 25447-2021")</f>
        <v/>
      </c>
    </row>
    <row r="255" ht="15" customHeight="1">
      <c r="A255" t="inlineStr">
        <is>
          <t>A 10768-2025</t>
        </is>
      </c>
      <c r="B255" s="1" t="n">
        <v>45722.46649305556</v>
      </c>
      <c r="C255" s="1" t="n">
        <v>46159</v>
      </c>
      <c r="D255" t="inlineStr">
        <is>
          <t>KALMAR LÄN</t>
        </is>
      </c>
      <c r="E255" t="inlineStr">
        <is>
          <t>VÄSTERVIK</t>
        </is>
      </c>
      <c r="G255" t="n">
        <v>0.9</v>
      </c>
      <c r="H255" t="n">
        <v>1</v>
      </c>
      <c r="I255" t="n">
        <v>0</v>
      </c>
      <c r="J255" t="n">
        <v>1</v>
      </c>
      <c r="K255" t="n">
        <v>0</v>
      </c>
      <c r="L255" t="n">
        <v>0</v>
      </c>
      <c r="M255" t="n">
        <v>0</v>
      </c>
      <c r="N255" t="n">
        <v>0</v>
      </c>
      <c r="O255" t="n">
        <v>1</v>
      </c>
      <c r="P255" t="n">
        <v>0</v>
      </c>
      <c r="Q255" t="n">
        <v>1</v>
      </c>
      <c r="R255" s="2" t="inlineStr">
        <is>
          <t>Talltita</t>
        </is>
      </c>
      <c r="S255">
        <f>HYPERLINK("https://klasma.github.io/Logging_0883/artfynd/A 10768-2025 artfynd.xlsx", "A 10768-2025")</f>
        <v/>
      </c>
      <c r="T255">
        <f>HYPERLINK("https://klasma.github.io/Logging_0883/kartor/A 10768-2025 karta.png", "A 10768-2025")</f>
        <v/>
      </c>
      <c r="V255">
        <f>HYPERLINK("https://klasma.github.io/Logging_0883/klagomål/A 10768-2025 FSC-klagomål.docx", "A 10768-2025")</f>
        <v/>
      </c>
      <c r="W255">
        <f>HYPERLINK("https://klasma.github.io/Logging_0883/klagomålsmail/A 10768-2025 FSC-klagomål mail.docx", "A 10768-2025")</f>
        <v/>
      </c>
      <c r="X255">
        <f>HYPERLINK("https://klasma.github.io/Logging_0883/tillsyn/A 10768-2025 tillsynsbegäran.docx", "A 10768-2025")</f>
        <v/>
      </c>
      <c r="Y255">
        <f>HYPERLINK("https://klasma.github.io/Logging_0883/tillsynsmail/A 10768-2025 tillsynsbegäran mail.docx", "A 10768-2025")</f>
        <v/>
      </c>
      <c r="Z255">
        <f>HYPERLINK("https://klasma.github.io/Logging_0883/fåglar/A 10768-2025 prioriterade fågelarter.docx", "A 10768-2025")</f>
        <v/>
      </c>
    </row>
    <row r="256" ht="15" customHeight="1">
      <c r="A256" t="inlineStr">
        <is>
          <t>A 52194-2025</t>
        </is>
      </c>
      <c r="B256" s="1" t="n">
        <v>45953.39189814815</v>
      </c>
      <c r="C256" s="1" t="n">
        <v>46159</v>
      </c>
      <c r="D256" t="inlineStr">
        <is>
          <t>KALMAR LÄN</t>
        </is>
      </c>
      <c r="E256" t="inlineStr">
        <is>
          <t>VÄSTERVIK</t>
        </is>
      </c>
      <c r="G256" t="n">
        <v>1.2</v>
      </c>
      <c r="H256" t="n">
        <v>1</v>
      </c>
      <c r="I256" t="n">
        <v>0</v>
      </c>
      <c r="J256" t="n">
        <v>0</v>
      </c>
      <c r="K256" t="n">
        <v>0</v>
      </c>
      <c r="L256" t="n">
        <v>0</v>
      </c>
      <c r="M256" t="n">
        <v>0</v>
      </c>
      <c r="N256" t="n">
        <v>0</v>
      </c>
      <c r="O256" t="n">
        <v>0</v>
      </c>
      <c r="P256" t="n">
        <v>0</v>
      </c>
      <c r="Q256" t="n">
        <v>1</v>
      </c>
      <c r="R256" s="2" t="inlineStr">
        <is>
          <t>Revlummer</t>
        </is>
      </c>
      <c r="S256">
        <f>HYPERLINK("https://klasma.github.io/Logging_0883/artfynd/A 52194-2025 artfynd.xlsx", "A 52194-2025")</f>
        <v/>
      </c>
      <c r="T256">
        <f>HYPERLINK("https://klasma.github.io/Logging_0883/kartor/A 52194-2025 karta.png", "A 52194-2025")</f>
        <v/>
      </c>
      <c r="V256">
        <f>HYPERLINK("https://klasma.github.io/Logging_0883/klagomål/A 52194-2025 FSC-klagomål.docx", "A 52194-2025")</f>
        <v/>
      </c>
      <c r="W256">
        <f>HYPERLINK("https://klasma.github.io/Logging_0883/klagomålsmail/A 52194-2025 FSC-klagomål mail.docx", "A 52194-2025")</f>
        <v/>
      </c>
      <c r="X256">
        <f>HYPERLINK("https://klasma.github.io/Logging_0883/tillsyn/A 52194-2025 tillsynsbegäran.docx", "A 52194-2025")</f>
        <v/>
      </c>
      <c r="Y256">
        <f>HYPERLINK("https://klasma.github.io/Logging_0883/tillsynsmail/A 52194-2025 tillsynsbegäran mail.docx", "A 52194-2025")</f>
        <v/>
      </c>
    </row>
    <row r="257" ht="15" customHeight="1">
      <c r="A257" t="inlineStr">
        <is>
          <t>A 24048-2021</t>
        </is>
      </c>
      <c r="B257" s="1" t="n">
        <v>44336</v>
      </c>
      <c r="C257" s="1" t="n">
        <v>46159</v>
      </c>
      <c r="D257" t="inlineStr">
        <is>
          <t>KALMAR LÄN</t>
        </is>
      </c>
      <c r="E257" t="inlineStr">
        <is>
          <t>VÄSTERVIK</t>
        </is>
      </c>
      <c r="G257" t="n">
        <v>3.5</v>
      </c>
      <c r="H257" t="n">
        <v>1</v>
      </c>
      <c r="I257" t="n">
        <v>0</v>
      </c>
      <c r="J257" t="n">
        <v>0</v>
      </c>
      <c r="K257" t="n">
        <v>1</v>
      </c>
      <c r="L257" t="n">
        <v>0</v>
      </c>
      <c r="M257" t="n">
        <v>0</v>
      </c>
      <c r="N257" t="n">
        <v>0</v>
      </c>
      <c r="O257" t="n">
        <v>1</v>
      </c>
      <c r="P257" t="n">
        <v>1</v>
      </c>
      <c r="Q257" t="n">
        <v>1</v>
      </c>
      <c r="R257" s="2" t="inlineStr">
        <is>
          <t>Knärot</t>
        </is>
      </c>
      <c r="S257">
        <f>HYPERLINK("https://klasma.github.io/Logging_0883/artfynd/A 24048-2021 artfynd.xlsx", "A 24048-2021")</f>
        <v/>
      </c>
      <c r="T257">
        <f>HYPERLINK("https://klasma.github.io/Logging_0883/kartor/A 24048-2021 karta.png", "A 24048-2021")</f>
        <v/>
      </c>
      <c r="U257">
        <f>HYPERLINK("https://klasma.github.io/Logging_0883/knärot/A 24048-2021 karta knärot.png", "A 24048-2021")</f>
        <v/>
      </c>
      <c r="V257">
        <f>HYPERLINK("https://klasma.github.io/Logging_0883/klagomål/A 24048-2021 FSC-klagomål.docx", "A 24048-2021")</f>
        <v/>
      </c>
      <c r="W257">
        <f>HYPERLINK("https://klasma.github.io/Logging_0883/klagomålsmail/A 24048-2021 FSC-klagomål mail.docx", "A 24048-2021")</f>
        <v/>
      </c>
      <c r="X257">
        <f>HYPERLINK("https://klasma.github.io/Logging_0883/tillsyn/A 24048-2021 tillsynsbegäran.docx", "A 24048-2021")</f>
        <v/>
      </c>
      <c r="Y257">
        <f>HYPERLINK("https://klasma.github.io/Logging_0883/tillsynsmail/A 24048-2021 tillsynsbegäran mail.docx", "A 24048-2021")</f>
        <v/>
      </c>
    </row>
    <row r="258" ht="15" customHeight="1">
      <c r="A258" t="inlineStr">
        <is>
          <t>A 53877-2025</t>
        </is>
      </c>
      <c r="B258" s="1" t="n">
        <v>45961.39565972222</v>
      </c>
      <c r="C258" s="1" t="n">
        <v>46159</v>
      </c>
      <c r="D258" t="inlineStr">
        <is>
          <t>KALMAR LÄN</t>
        </is>
      </c>
      <c r="E258" t="inlineStr">
        <is>
          <t>VÄSTERVIK</t>
        </is>
      </c>
      <c r="F258" t="inlineStr">
        <is>
          <t>Sveaskog</t>
        </is>
      </c>
      <c r="G258" t="n">
        <v>2.2</v>
      </c>
      <c r="H258" t="n">
        <v>0</v>
      </c>
      <c r="I258" t="n">
        <v>0</v>
      </c>
      <c r="J258" t="n">
        <v>1</v>
      </c>
      <c r="K258" t="n">
        <v>0</v>
      </c>
      <c r="L258" t="n">
        <v>0</v>
      </c>
      <c r="M258" t="n">
        <v>0</v>
      </c>
      <c r="N258" t="n">
        <v>0</v>
      </c>
      <c r="O258" t="n">
        <v>1</v>
      </c>
      <c r="P258" t="n">
        <v>0</v>
      </c>
      <c r="Q258" t="n">
        <v>1</v>
      </c>
      <c r="R258" s="2" t="inlineStr">
        <is>
          <t>Pilblad</t>
        </is>
      </c>
      <c r="S258">
        <f>HYPERLINK("https://klasma.github.io/Logging_0883/artfynd/A 53877-2025 artfynd.xlsx", "A 53877-2025")</f>
        <v/>
      </c>
      <c r="T258">
        <f>HYPERLINK("https://klasma.github.io/Logging_0883/kartor/A 53877-2025 karta.png", "A 53877-2025")</f>
        <v/>
      </c>
      <c r="V258">
        <f>HYPERLINK("https://klasma.github.io/Logging_0883/klagomål/A 53877-2025 FSC-klagomål.docx", "A 53877-2025")</f>
        <v/>
      </c>
      <c r="W258">
        <f>HYPERLINK("https://klasma.github.io/Logging_0883/klagomålsmail/A 53877-2025 FSC-klagomål mail.docx", "A 53877-2025")</f>
        <v/>
      </c>
      <c r="X258">
        <f>HYPERLINK("https://klasma.github.io/Logging_0883/tillsyn/A 53877-2025 tillsynsbegäran.docx", "A 53877-2025")</f>
        <v/>
      </c>
      <c r="Y258">
        <f>HYPERLINK("https://klasma.github.io/Logging_0883/tillsynsmail/A 53877-2025 tillsynsbegäran mail.docx", "A 53877-2025")</f>
        <v/>
      </c>
    </row>
    <row r="259" ht="15" customHeight="1">
      <c r="A259" t="inlineStr">
        <is>
          <t>A 53843-2025</t>
        </is>
      </c>
      <c r="B259" s="1" t="n">
        <v>45961.36483796296</v>
      </c>
      <c r="C259" s="1" t="n">
        <v>46159</v>
      </c>
      <c r="D259" t="inlineStr">
        <is>
          <t>KALMAR LÄN</t>
        </is>
      </c>
      <c r="E259" t="inlineStr">
        <is>
          <t>VÄSTERVIK</t>
        </is>
      </c>
      <c r="F259" t="inlineStr">
        <is>
          <t>Sveaskog</t>
        </is>
      </c>
      <c r="G259" t="n">
        <v>6</v>
      </c>
      <c r="H259" t="n">
        <v>1</v>
      </c>
      <c r="I259" t="n">
        <v>0</v>
      </c>
      <c r="J259" t="n">
        <v>0</v>
      </c>
      <c r="K259" t="n">
        <v>0</v>
      </c>
      <c r="L259" t="n">
        <v>0</v>
      </c>
      <c r="M259" t="n">
        <v>0</v>
      </c>
      <c r="N259" t="n">
        <v>0</v>
      </c>
      <c r="O259" t="n">
        <v>0</v>
      </c>
      <c r="P259" t="n">
        <v>0</v>
      </c>
      <c r="Q259" t="n">
        <v>1</v>
      </c>
      <c r="R259" s="2" t="inlineStr">
        <is>
          <t>Blåsippa</t>
        </is>
      </c>
      <c r="S259">
        <f>HYPERLINK("https://klasma.github.io/Logging_0883/artfynd/A 53843-2025 artfynd.xlsx", "A 53843-2025")</f>
        <v/>
      </c>
      <c r="T259">
        <f>HYPERLINK("https://klasma.github.io/Logging_0883/kartor/A 53843-2025 karta.png", "A 53843-2025")</f>
        <v/>
      </c>
      <c r="V259">
        <f>HYPERLINK("https://klasma.github.io/Logging_0883/klagomål/A 53843-2025 FSC-klagomål.docx", "A 53843-2025")</f>
        <v/>
      </c>
      <c r="W259">
        <f>HYPERLINK("https://klasma.github.io/Logging_0883/klagomålsmail/A 53843-2025 FSC-klagomål mail.docx", "A 53843-2025")</f>
        <v/>
      </c>
      <c r="X259">
        <f>HYPERLINK("https://klasma.github.io/Logging_0883/tillsyn/A 53843-2025 tillsynsbegäran.docx", "A 53843-2025")</f>
        <v/>
      </c>
      <c r="Y259">
        <f>HYPERLINK("https://klasma.github.io/Logging_0883/tillsynsmail/A 53843-2025 tillsynsbegäran mail.docx", "A 53843-2025")</f>
        <v/>
      </c>
    </row>
    <row r="260" ht="15" customHeight="1">
      <c r="A260" t="inlineStr">
        <is>
          <t>A 53860-2025</t>
        </is>
      </c>
      <c r="B260" s="1" t="n">
        <v>45961.37815972222</v>
      </c>
      <c r="C260" s="1" t="n">
        <v>46159</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53875-2025</t>
        </is>
      </c>
      <c r="B261" s="1" t="n">
        <v>45961.3937962963</v>
      </c>
      <c r="C261" s="1" t="n">
        <v>46159</v>
      </c>
      <c r="D261" t="inlineStr">
        <is>
          <t>KALMAR LÄN</t>
        </is>
      </c>
      <c r="E261" t="inlineStr">
        <is>
          <t>VÄSTERVIK</t>
        </is>
      </c>
      <c r="F261" t="inlineStr">
        <is>
          <t>Sveaskog</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HYPERLINK("https://klasma.github.io/Logging_0883/artfynd/A 53875-2025 artfynd.xlsx", "A 53875-2025")</f>
        <v/>
      </c>
      <c r="T261">
        <f>HYPERLINK("https://klasma.github.io/Logging_0883/kartor/A 53875-2025 karta.png", "A 53875-2025")</f>
        <v/>
      </c>
      <c r="V261">
        <f>HYPERLINK("https://klasma.github.io/Logging_0883/klagomål/A 53875-2025 FSC-klagomål.docx", "A 53875-2025")</f>
        <v/>
      </c>
      <c r="W261">
        <f>HYPERLINK("https://klasma.github.io/Logging_0883/klagomålsmail/A 53875-2025 FSC-klagomål mail.docx", "A 53875-2025")</f>
        <v/>
      </c>
      <c r="X261">
        <f>HYPERLINK("https://klasma.github.io/Logging_0883/tillsyn/A 53875-2025 tillsynsbegäran.docx", "A 53875-2025")</f>
        <v/>
      </c>
      <c r="Y261">
        <f>HYPERLINK("https://klasma.github.io/Logging_0883/tillsynsmail/A 53875-2025 tillsynsbegäran mail.docx", "A 53875-2025")</f>
        <v/>
      </c>
    </row>
    <row r="262" ht="15" customHeight="1">
      <c r="A262" t="inlineStr">
        <is>
          <t>A 54859-2025</t>
        </is>
      </c>
      <c r="B262" s="1" t="n">
        <v>45966.75758101852</v>
      </c>
      <c r="C262" s="1" t="n">
        <v>46159</v>
      </c>
      <c r="D262" t="inlineStr">
        <is>
          <t>KALMAR LÄN</t>
        </is>
      </c>
      <c r="E262" t="inlineStr">
        <is>
          <t>VÄSTERVIK</t>
        </is>
      </c>
      <c r="F262" t="inlineStr">
        <is>
          <t>Sveaskog</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HYPERLINK("https://klasma.github.io/Logging_0883/artfynd/A 54859-2025 artfynd.xlsx", "A 54859-2025")</f>
        <v/>
      </c>
      <c r="T262">
        <f>HYPERLINK("https://klasma.github.io/Logging_0883/kartor/A 54859-2025 karta.png", "A 54859-2025")</f>
        <v/>
      </c>
      <c r="V262">
        <f>HYPERLINK("https://klasma.github.io/Logging_0883/klagomål/A 54859-2025 FSC-klagomål.docx", "A 54859-2025")</f>
        <v/>
      </c>
      <c r="W262">
        <f>HYPERLINK("https://klasma.github.io/Logging_0883/klagomålsmail/A 54859-2025 FSC-klagomål mail.docx", "A 54859-2025")</f>
        <v/>
      </c>
      <c r="X262">
        <f>HYPERLINK("https://klasma.github.io/Logging_0883/tillsyn/A 54859-2025 tillsynsbegäran.docx", "A 54859-2025")</f>
        <v/>
      </c>
      <c r="Y262">
        <f>HYPERLINK("https://klasma.github.io/Logging_0883/tillsynsmail/A 54859-2025 tillsynsbegäran mail.docx", "A 54859-2025")</f>
        <v/>
      </c>
    </row>
    <row r="263" ht="15" customHeight="1">
      <c r="A263" t="inlineStr">
        <is>
          <t>A 14131-2025</t>
        </is>
      </c>
      <c r="B263" s="1" t="n">
        <v>45740.47480324074</v>
      </c>
      <c r="C263" s="1" t="n">
        <v>46159</v>
      </c>
      <c r="D263" t="inlineStr">
        <is>
          <t>KALMAR LÄN</t>
        </is>
      </c>
      <c r="E263" t="inlineStr">
        <is>
          <t>VÄSTERVIK</t>
        </is>
      </c>
      <c r="F263" t="inlineStr">
        <is>
          <t>Sveaskog</t>
        </is>
      </c>
      <c r="G263" t="n">
        <v>0.7</v>
      </c>
      <c r="H263" t="n">
        <v>1</v>
      </c>
      <c r="I263" t="n">
        <v>0</v>
      </c>
      <c r="J263" t="n">
        <v>0</v>
      </c>
      <c r="K263" t="n">
        <v>0</v>
      </c>
      <c r="L263" t="n">
        <v>0</v>
      </c>
      <c r="M263" t="n">
        <v>0</v>
      </c>
      <c r="N263" t="n">
        <v>0</v>
      </c>
      <c r="O263" t="n">
        <v>0</v>
      </c>
      <c r="P263" t="n">
        <v>0</v>
      </c>
      <c r="Q263" t="n">
        <v>1</v>
      </c>
      <c r="R263" s="2" t="inlineStr">
        <is>
          <t>Blåsippa</t>
        </is>
      </c>
      <c r="S263">
        <f>HYPERLINK("https://klasma.github.io/Logging_0883/artfynd/A 14131-2025 artfynd.xlsx", "A 14131-2025")</f>
        <v/>
      </c>
      <c r="T263">
        <f>HYPERLINK("https://klasma.github.io/Logging_0883/kartor/A 14131-2025 karta.png", "A 14131-2025")</f>
        <v/>
      </c>
      <c r="V263">
        <f>HYPERLINK("https://klasma.github.io/Logging_0883/klagomål/A 14131-2025 FSC-klagomål.docx", "A 14131-2025")</f>
        <v/>
      </c>
      <c r="W263">
        <f>HYPERLINK("https://klasma.github.io/Logging_0883/klagomålsmail/A 14131-2025 FSC-klagomål mail.docx", "A 14131-2025")</f>
        <v/>
      </c>
      <c r="X263">
        <f>HYPERLINK("https://klasma.github.io/Logging_0883/tillsyn/A 14131-2025 tillsynsbegäran.docx", "A 14131-2025")</f>
        <v/>
      </c>
      <c r="Y263">
        <f>HYPERLINK("https://klasma.github.io/Logging_0883/tillsynsmail/A 14131-2025 tillsynsbegäran mail.docx", "A 14131-2025")</f>
        <v/>
      </c>
    </row>
    <row r="264" ht="15" customHeight="1">
      <c r="A264" t="inlineStr">
        <is>
          <t>A 57451-2025</t>
        </is>
      </c>
      <c r="B264" s="1" t="n">
        <v>45980.50101851852</v>
      </c>
      <c r="C264" s="1" t="n">
        <v>46159</v>
      </c>
      <c r="D264" t="inlineStr">
        <is>
          <t>KALMAR LÄN</t>
        </is>
      </c>
      <c r="E264" t="inlineStr">
        <is>
          <t>VÄSTERVIK</t>
        </is>
      </c>
      <c r="G264" t="n">
        <v>2.3</v>
      </c>
      <c r="H264" t="n">
        <v>1</v>
      </c>
      <c r="I264" t="n">
        <v>0</v>
      </c>
      <c r="J264" t="n">
        <v>0</v>
      </c>
      <c r="K264" t="n">
        <v>0</v>
      </c>
      <c r="L264" t="n">
        <v>0</v>
      </c>
      <c r="M264" t="n">
        <v>0</v>
      </c>
      <c r="N264" t="n">
        <v>0</v>
      </c>
      <c r="O264" t="n">
        <v>0</v>
      </c>
      <c r="P264" t="n">
        <v>0</v>
      </c>
      <c r="Q264" t="n">
        <v>1</v>
      </c>
      <c r="R264" s="2" t="inlineStr">
        <is>
          <t>Kungsfågel</t>
        </is>
      </c>
      <c r="S264">
        <f>HYPERLINK("https://klasma.github.io/Logging_0883/artfynd/A 57451-2025 artfynd.xlsx", "A 57451-2025")</f>
        <v/>
      </c>
      <c r="T264">
        <f>HYPERLINK("https://klasma.github.io/Logging_0883/kartor/A 57451-2025 karta.png", "A 57451-2025")</f>
        <v/>
      </c>
      <c r="V264">
        <f>HYPERLINK("https://klasma.github.io/Logging_0883/klagomål/A 57451-2025 FSC-klagomål.docx", "A 57451-2025")</f>
        <v/>
      </c>
      <c r="W264">
        <f>HYPERLINK("https://klasma.github.io/Logging_0883/klagomålsmail/A 57451-2025 FSC-klagomål mail.docx", "A 57451-2025")</f>
        <v/>
      </c>
      <c r="X264">
        <f>HYPERLINK("https://klasma.github.io/Logging_0883/tillsyn/A 57451-2025 tillsynsbegäran.docx", "A 57451-2025")</f>
        <v/>
      </c>
      <c r="Y264">
        <f>HYPERLINK("https://klasma.github.io/Logging_0883/tillsynsmail/A 57451-2025 tillsynsbegäran mail.docx", "A 57451-2025")</f>
        <v/>
      </c>
      <c r="Z264">
        <f>HYPERLINK("https://klasma.github.io/Logging_0883/fåglar/A 57451-2025 prioriterade fågelarter.docx", "A 57451-2025")</f>
        <v/>
      </c>
    </row>
    <row r="265" ht="15" customHeight="1">
      <c r="A265" t="inlineStr">
        <is>
          <t>A 57452-2025</t>
        </is>
      </c>
      <c r="B265" s="1" t="n">
        <v>45980.50665509259</v>
      </c>
      <c r="C265" s="1" t="n">
        <v>46159</v>
      </c>
      <c r="D265" t="inlineStr">
        <is>
          <t>KALMAR LÄN</t>
        </is>
      </c>
      <c r="E265" t="inlineStr">
        <is>
          <t>VÄSTERVIK</t>
        </is>
      </c>
      <c r="G265" t="n">
        <v>1.2</v>
      </c>
      <c r="H265" t="n">
        <v>1</v>
      </c>
      <c r="I265" t="n">
        <v>0</v>
      </c>
      <c r="J265" t="n">
        <v>0</v>
      </c>
      <c r="K265" t="n">
        <v>1</v>
      </c>
      <c r="L265" t="n">
        <v>0</v>
      </c>
      <c r="M265" t="n">
        <v>0</v>
      </c>
      <c r="N265" t="n">
        <v>0</v>
      </c>
      <c r="O265" t="n">
        <v>1</v>
      </c>
      <c r="P265" t="n">
        <v>1</v>
      </c>
      <c r="Q265" t="n">
        <v>1</v>
      </c>
      <c r="R265" s="2" t="inlineStr">
        <is>
          <t>Knärot</t>
        </is>
      </c>
      <c r="S265">
        <f>HYPERLINK("https://klasma.github.io/Logging_0883/artfynd/A 57452-2025 artfynd.xlsx", "A 57452-2025")</f>
        <v/>
      </c>
      <c r="T265">
        <f>HYPERLINK("https://klasma.github.io/Logging_0883/kartor/A 57452-2025 karta.png", "A 57452-2025")</f>
        <v/>
      </c>
      <c r="U265">
        <f>HYPERLINK("https://klasma.github.io/Logging_0883/knärot/A 57452-2025 karta knärot.png", "A 57452-2025")</f>
        <v/>
      </c>
      <c r="V265">
        <f>HYPERLINK("https://klasma.github.io/Logging_0883/klagomål/A 57452-2025 FSC-klagomål.docx", "A 57452-2025")</f>
        <v/>
      </c>
      <c r="W265">
        <f>HYPERLINK("https://klasma.github.io/Logging_0883/klagomålsmail/A 57452-2025 FSC-klagomål mail.docx", "A 57452-2025")</f>
        <v/>
      </c>
      <c r="X265">
        <f>HYPERLINK("https://klasma.github.io/Logging_0883/tillsyn/A 57452-2025 tillsynsbegäran.docx", "A 57452-2025")</f>
        <v/>
      </c>
      <c r="Y265">
        <f>HYPERLINK("https://klasma.github.io/Logging_0883/tillsynsmail/A 57452-2025 tillsynsbegäran mail.docx", "A 57452-2025")</f>
        <v/>
      </c>
    </row>
    <row r="266" ht="15" customHeight="1">
      <c r="A266" t="inlineStr">
        <is>
          <t>A 58172-2025</t>
        </is>
      </c>
      <c r="B266" s="1" t="n">
        <v>45982</v>
      </c>
      <c r="C266" s="1" t="n">
        <v>46159</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16695-2025</t>
        </is>
      </c>
      <c r="B267" s="1" t="n">
        <v>45754.46579861111</v>
      </c>
      <c r="C267" s="1" t="n">
        <v>46159</v>
      </c>
      <c r="D267" t="inlineStr">
        <is>
          <t>KALMAR LÄN</t>
        </is>
      </c>
      <c r="E267" t="inlineStr">
        <is>
          <t>VÄSTERVIK</t>
        </is>
      </c>
      <c r="F267" t="inlineStr">
        <is>
          <t>Sveaskog</t>
        </is>
      </c>
      <c r="G267" t="n">
        <v>1.8</v>
      </c>
      <c r="H267" t="n">
        <v>1</v>
      </c>
      <c r="I267" t="n">
        <v>0</v>
      </c>
      <c r="J267" t="n">
        <v>0</v>
      </c>
      <c r="K267" t="n">
        <v>0</v>
      </c>
      <c r="L267" t="n">
        <v>0</v>
      </c>
      <c r="M267" t="n">
        <v>0</v>
      </c>
      <c r="N267" t="n">
        <v>0</v>
      </c>
      <c r="O267" t="n">
        <v>0</v>
      </c>
      <c r="P267" t="n">
        <v>0</v>
      </c>
      <c r="Q267" t="n">
        <v>1</v>
      </c>
      <c r="R267" s="2" t="inlineStr">
        <is>
          <t>Kungsfågel</t>
        </is>
      </c>
      <c r="S267">
        <f>HYPERLINK("https://klasma.github.io/Logging_0883/artfynd/A 16695-2025 artfynd.xlsx", "A 16695-2025")</f>
        <v/>
      </c>
      <c r="T267">
        <f>HYPERLINK("https://klasma.github.io/Logging_0883/kartor/A 16695-2025 karta.png", "A 16695-2025")</f>
        <v/>
      </c>
      <c r="V267">
        <f>HYPERLINK("https://klasma.github.io/Logging_0883/klagomål/A 16695-2025 FSC-klagomål.docx", "A 16695-2025")</f>
        <v/>
      </c>
      <c r="W267">
        <f>HYPERLINK("https://klasma.github.io/Logging_0883/klagomålsmail/A 16695-2025 FSC-klagomål mail.docx", "A 16695-2025")</f>
        <v/>
      </c>
      <c r="X267">
        <f>HYPERLINK("https://klasma.github.io/Logging_0883/tillsyn/A 16695-2025 tillsynsbegäran.docx", "A 16695-2025")</f>
        <v/>
      </c>
      <c r="Y267">
        <f>HYPERLINK("https://klasma.github.io/Logging_0883/tillsynsmail/A 16695-2025 tillsynsbegäran mail.docx", "A 16695-2025")</f>
        <v/>
      </c>
      <c r="Z267">
        <f>HYPERLINK("https://klasma.github.io/Logging_0883/fåglar/A 16695-2025 prioriterade fågelarter.docx", "A 16695-2025")</f>
        <v/>
      </c>
    </row>
    <row r="268" ht="15" customHeight="1">
      <c r="A268" t="inlineStr">
        <is>
          <t>A 16697-2025</t>
        </is>
      </c>
      <c r="B268" s="1" t="n">
        <v>45754.46709490741</v>
      </c>
      <c r="C268" s="1" t="n">
        <v>46159</v>
      </c>
      <c r="D268" t="inlineStr">
        <is>
          <t>KALMAR LÄN</t>
        </is>
      </c>
      <c r="E268" t="inlineStr">
        <is>
          <t>VÄSTERVIK</t>
        </is>
      </c>
      <c r="F268" t="inlineStr">
        <is>
          <t>Sveaskog</t>
        </is>
      </c>
      <c r="G268" t="n">
        <v>1.3</v>
      </c>
      <c r="H268" t="n">
        <v>1</v>
      </c>
      <c r="I268" t="n">
        <v>0</v>
      </c>
      <c r="J268" t="n">
        <v>1</v>
      </c>
      <c r="K268" t="n">
        <v>0</v>
      </c>
      <c r="L268" t="n">
        <v>0</v>
      </c>
      <c r="M268" t="n">
        <v>0</v>
      </c>
      <c r="N268" t="n">
        <v>0</v>
      </c>
      <c r="O268" t="n">
        <v>1</v>
      </c>
      <c r="P268" t="n">
        <v>0</v>
      </c>
      <c r="Q268" t="n">
        <v>1</v>
      </c>
      <c r="R268" s="2" t="inlineStr">
        <is>
          <t>Spillkråka</t>
        </is>
      </c>
      <c r="S268">
        <f>HYPERLINK("https://klasma.github.io/Logging_0883/artfynd/A 16697-2025 artfynd.xlsx", "A 16697-2025")</f>
        <v/>
      </c>
      <c r="T268">
        <f>HYPERLINK("https://klasma.github.io/Logging_0883/kartor/A 16697-2025 karta.png", "A 16697-2025")</f>
        <v/>
      </c>
      <c r="V268">
        <f>HYPERLINK("https://klasma.github.io/Logging_0883/klagomål/A 16697-2025 FSC-klagomål.docx", "A 16697-2025")</f>
        <v/>
      </c>
      <c r="W268">
        <f>HYPERLINK("https://klasma.github.io/Logging_0883/klagomålsmail/A 16697-2025 FSC-klagomål mail.docx", "A 16697-2025")</f>
        <v/>
      </c>
      <c r="X268">
        <f>HYPERLINK("https://klasma.github.io/Logging_0883/tillsyn/A 16697-2025 tillsynsbegäran.docx", "A 16697-2025")</f>
        <v/>
      </c>
      <c r="Y268">
        <f>HYPERLINK("https://klasma.github.io/Logging_0883/tillsynsmail/A 16697-2025 tillsynsbegäran mail.docx", "A 16697-2025")</f>
        <v/>
      </c>
      <c r="Z268">
        <f>HYPERLINK("https://klasma.github.io/Logging_0883/fåglar/A 16697-2025 prioriterade fågelarter.docx", "A 16697-2025")</f>
        <v/>
      </c>
    </row>
    <row r="269" ht="15" customHeight="1">
      <c r="A269" t="inlineStr">
        <is>
          <t>A 17952-2025</t>
        </is>
      </c>
      <c r="B269" s="1" t="n">
        <v>45760.85842592592</v>
      </c>
      <c r="C269" s="1" t="n">
        <v>46159</v>
      </c>
      <c r="D269" t="inlineStr">
        <is>
          <t>KALMAR LÄN</t>
        </is>
      </c>
      <c r="E269" t="inlineStr">
        <is>
          <t>VÄSTERVIK</t>
        </is>
      </c>
      <c r="G269" t="n">
        <v>3.3</v>
      </c>
      <c r="H269" t="n">
        <v>1</v>
      </c>
      <c r="I269" t="n">
        <v>0</v>
      </c>
      <c r="J269" t="n">
        <v>0</v>
      </c>
      <c r="K269" t="n">
        <v>0</v>
      </c>
      <c r="L269" t="n">
        <v>0</v>
      </c>
      <c r="M269" t="n">
        <v>0</v>
      </c>
      <c r="N269" t="n">
        <v>0</v>
      </c>
      <c r="O269" t="n">
        <v>0</v>
      </c>
      <c r="P269" t="n">
        <v>0</v>
      </c>
      <c r="Q269" t="n">
        <v>1</v>
      </c>
      <c r="R269" s="2" t="inlineStr">
        <is>
          <t>Revlummer</t>
        </is>
      </c>
      <c r="S269">
        <f>HYPERLINK("https://klasma.github.io/Logging_0883/artfynd/A 17952-2025 artfynd.xlsx", "A 17952-2025")</f>
        <v/>
      </c>
      <c r="T269">
        <f>HYPERLINK("https://klasma.github.io/Logging_0883/kartor/A 17952-2025 karta.png", "A 17952-2025")</f>
        <v/>
      </c>
      <c r="V269">
        <f>HYPERLINK("https://klasma.github.io/Logging_0883/klagomål/A 17952-2025 FSC-klagomål.docx", "A 17952-2025")</f>
        <v/>
      </c>
      <c r="W269">
        <f>HYPERLINK("https://klasma.github.io/Logging_0883/klagomålsmail/A 17952-2025 FSC-klagomål mail.docx", "A 17952-2025")</f>
        <v/>
      </c>
      <c r="X269">
        <f>HYPERLINK("https://klasma.github.io/Logging_0883/tillsyn/A 17952-2025 tillsynsbegäran.docx", "A 17952-2025")</f>
        <v/>
      </c>
      <c r="Y269">
        <f>HYPERLINK("https://klasma.github.io/Logging_0883/tillsynsmail/A 17952-2025 tillsynsbegäran mail.docx", "A 17952-2025")</f>
        <v/>
      </c>
    </row>
    <row r="270" ht="15" customHeight="1">
      <c r="A270" t="inlineStr">
        <is>
          <t>A 59241-2025</t>
        </is>
      </c>
      <c r="B270" s="1" t="n">
        <v>45988.63915509259</v>
      </c>
      <c r="C270" s="1" t="n">
        <v>46159</v>
      </c>
      <c r="D270" t="inlineStr">
        <is>
          <t>KALMAR LÄN</t>
        </is>
      </c>
      <c r="E270" t="inlineStr">
        <is>
          <t>VÄSTERVIK</t>
        </is>
      </c>
      <c r="F270" t="inlineStr">
        <is>
          <t>Holmen skog AB</t>
        </is>
      </c>
      <c r="G270" t="n">
        <v>1.7</v>
      </c>
      <c r="H270" t="n">
        <v>1</v>
      </c>
      <c r="I270" t="n">
        <v>0</v>
      </c>
      <c r="J270" t="n">
        <v>1</v>
      </c>
      <c r="K270" t="n">
        <v>0</v>
      </c>
      <c r="L270" t="n">
        <v>0</v>
      </c>
      <c r="M270" t="n">
        <v>0</v>
      </c>
      <c r="N270" t="n">
        <v>0</v>
      </c>
      <c r="O270" t="n">
        <v>1</v>
      </c>
      <c r="P270" t="n">
        <v>0</v>
      </c>
      <c r="Q270" t="n">
        <v>1</v>
      </c>
      <c r="R270" s="2" t="inlineStr">
        <is>
          <t>Spillkråka</t>
        </is>
      </c>
      <c r="S270">
        <f>HYPERLINK("https://klasma.github.io/Logging_0883/artfynd/A 59241-2025 artfynd.xlsx", "A 59241-2025")</f>
        <v/>
      </c>
      <c r="T270">
        <f>HYPERLINK("https://klasma.github.io/Logging_0883/kartor/A 59241-2025 karta.png", "A 59241-2025")</f>
        <v/>
      </c>
      <c r="V270">
        <f>HYPERLINK("https://klasma.github.io/Logging_0883/klagomål/A 59241-2025 FSC-klagomål.docx", "A 59241-2025")</f>
        <v/>
      </c>
      <c r="W270">
        <f>HYPERLINK("https://klasma.github.io/Logging_0883/klagomålsmail/A 59241-2025 FSC-klagomål mail.docx", "A 59241-2025")</f>
        <v/>
      </c>
      <c r="X270">
        <f>HYPERLINK("https://klasma.github.io/Logging_0883/tillsyn/A 59241-2025 tillsynsbegäran.docx", "A 59241-2025")</f>
        <v/>
      </c>
      <c r="Y270">
        <f>HYPERLINK("https://klasma.github.io/Logging_0883/tillsynsmail/A 59241-2025 tillsynsbegäran mail.docx", "A 59241-2025")</f>
        <v/>
      </c>
      <c r="Z270">
        <f>HYPERLINK("https://klasma.github.io/Logging_0883/fåglar/A 59241-2025 prioriterade fågelarter.docx", "A 59241-2025")</f>
        <v/>
      </c>
    </row>
    <row r="271" ht="15" customHeight="1">
      <c r="A271" t="inlineStr">
        <is>
          <t>A 6025-2024</t>
        </is>
      </c>
      <c r="B271" s="1" t="n">
        <v>45336</v>
      </c>
      <c r="C271" s="1" t="n">
        <v>46159</v>
      </c>
      <c r="D271" t="inlineStr">
        <is>
          <t>KALMAR LÄN</t>
        </is>
      </c>
      <c r="E271" t="inlineStr">
        <is>
          <t>VÄSTERVIK</t>
        </is>
      </c>
      <c r="G271" t="n">
        <v>2.8</v>
      </c>
      <c r="H271" t="n">
        <v>0</v>
      </c>
      <c r="I271" t="n">
        <v>0</v>
      </c>
      <c r="J271" t="n">
        <v>1</v>
      </c>
      <c r="K271" t="n">
        <v>0</v>
      </c>
      <c r="L271" t="n">
        <v>0</v>
      </c>
      <c r="M271" t="n">
        <v>0</v>
      </c>
      <c r="N271" t="n">
        <v>0</v>
      </c>
      <c r="O271" t="n">
        <v>1</v>
      </c>
      <c r="P271" t="n">
        <v>0</v>
      </c>
      <c r="Q271" t="n">
        <v>1</v>
      </c>
      <c r="R271" s="2" t="inlineStr">
        <is>
          <t>Tallticka</t>
        </is>
      </c>
      <c r="S271">
        <f>HYPERLINK("https://klasma.github.io/Logging_0883/artfynd/A 6025-2024 artfynd.xlsx", "A 6025-2024")</f>
        <v/>
      </c>
      <c r="T271">
        <f>HYPERLINK("https://klasma.github.io/Logging_0883/kartor/A 6025-2024 karta.png", "A 6025-2024")</f>
        <v/>
      </c>
      <c r="V271">
        <f>HYPERLINK("https://klasma.github.io/Logging_0883/klagomål/A 6025-2024 FSC-klagomål.docx", "A 6025-2024")</f>
        <v/>
      </c>
      <c r="W271">
        <f>HYPERLINK("https://klasma.github.io/Logging_0883/klagomålsmail/A 6025-2024 FSC-klagomål mail.docx", "A 6025-2024")</f>
        <v/>
      </c>
      <c r="X271">
        <f>HYPERLINK("https://klasma.github.io/Logging_0883/tillsyn/A 6025-2024 tillsynsbegäran.docx", "A 6025-2024")</f>
        <v/>
      </c>
      <c r="Y271">
        <f>HYPERLINK("https://klasma.github.io/Logging_0883/tillsynsmail/A 6025-2024 tillsynsbegäran mail.docx", "A 6025-2024")</f>
        <v/>
      </c>
    </row>
    <row r="272" ht="15" customHeight="1">
      <c r="A272" t="inlineStr">
        <is>
          <t>A 32653-2023</t>
        </is>
      </c>
      <c r="B272" s="1" t="n">
        <v>45121</v>
      </c>
      <c r="C272" s="1" t="n">
        <v>46159</v>
      </c>
      <c r="D272" t="inlineStr">
        <is>
          <t>KALMAR LÄN</t>
        </is>
      </c>
      <c r="E272" t="inlineStr">
        <is>
          <t>VÄSTERVIK</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HYPERLINK("https://klasma.github.io/Logging_0883/artfynd/A 32653-2023 artfynd.xlsx", "A 32653-2023")</f>
        <v/>
      </c>
      <c r="T272">
        <f>HYPERLINK("https://klasma.github.io/Logging_0883/kartor/A 32653-2023 karta.png", "A 32653-2023")</f>
        <v/>
      </c>
      <c r="U272">
        <f>HYPERLINK("https://klasma.github.io/Logging_0883/knärot/A 32653-2023 karta knärot.png", "A 32653-2023")</f>
        <v/>
      </c>
      <c r="V272">
        <f>HYPERLINK("https://klasma.github.io/Logging_0883/klagomål/A 32653-2023 FSC-klagomål.docx", "A 32653-2023")</f>
        <v/>
      </c>
      <c r="W272">
        <f>HYPERLINK("https://klasma.github.io/Logging_0883/klagomålsmail/A 32653-2023 FSC-klagomål mail.docx", "A 32653-2023")</f>
        <v/>
      </c>
      <c r="X272">
        <f>HYPERLINK("https://klasma.github.io/Logging_0883/tillsyn/A 32653-2023 tillsynsbegäran.docx", "A 32653-2023")</f>
        <v/>
      </c>
      <c r="Y272">
        <f>HYPERLINK("https://klasma.github.io/Logging_0883/tillsynsmail/A 32653-2023 tillsynsbegäran mail.docx", "A 32653-2023")</f>
        <v/>
      </c>
    </row>
    <row r="273" ht="15" customHeight="1">
      <c r="A273" t="inlineStr">
        <is>
          <t>A 62888-2025</t>
        </is>
      </c>
      <c r="B273" s="1" t="n">
        <v>46009.3238425926</v>
      </c>
      <c r="C273" s="1" t="n">
        <v>46159</v>
      </c>
      <c r="D273" t="inlineStr">
        <is>
          <t>KALMAR LÄN</t>
        </is>
      </c>
      <c r="E273" t="inlineStr">
        <is>
          <t>VÄSTERVIK</t>
        </is>
      </c>
      <c r="G273" t="n">
        <v>2.5</v>
      </c>
      <c r="H273" t="n">
        <v>1</v>
      </c>
      <c r="I273" t="n">
        <v>0</v>
      </c>
      <c r="J273" t="n">
        <v>1</v>
      </c>
      <c r="K273" t="n">
        <v>0</v>
      </c>
      <c r="L273" t="n">
        <v>0</v>
      </c>
      <c r="M273" t="n">
        <v>0</v>
      </c>
      <c r="N273" t="n">
        <v>0</v>
      </c>
      <c r="O273" t="n">
        <v>1</v>
      </c>
      <c r="P273" t="n">
        <v>0</v>
      </c>
      <c r="Q273" t="n">
        <v>1</v>
      </c>
      <c r="R273" s="2" t="inlineStr">
        <is>
          <t>Spillkråka</t>
        </is>
      </c>
      <c r="S273">
        <f>HYPERLINK("https://klasma.github.io/Logging_0883/artfynd/A 62888-2025 artfynd.xlsx", "A 62888-2025")</f>
        <v/>
      </c>
      <c r="T273">
        <f>HYPERLINK("https://klasma.github.io/Logging_0883/kartor/A 62888-2025 karta.png", "A 62888-2025")</f>
        <v/>
      </c>
      <c r="U273">
        <f>HYPERLINK("https://klasma.github.io/Logging_0883/knärot/A 62888-2025 karta knärot.png", "A 62888-2025")</f>
        <v/>
      </c>
      <c r="V273">
        <f>HYPERLINK("https://klasma.github.io/Logging_0883/klagomål/A 62888-2025 FSC-klagomål.docx", "A 62888-2025")</f>
        <v/>
      </c>
      <c r="W273">
        <f>HYPERLINK("https://klasma.github.io/Logging_0883/klagomålsmail/A 62888-2025 FSC-klagomål mail.docx", "A 62888-2025")</f>
        <v/>
      </c>
      <c r="X273">
        <f>HYPERLINK("https://klasma.github.io/Logging_0883/tillsyn/A 62888-2025 tillsynsbegäran.docx", "A 62888-2025")</f>
        <v/>
      </c>
      <c r="Y273">
        <f>HYPERLINK("https://klasma.github.io/Logging_0883/tillsynsmail/A 62888-2025 tillsynsbegäran mail.docx", "A 62888-2025")</f>
        <v/>
      </c>
      <c r="Z273">
        <f>HYPERLINK("https://klasma.github.io/Logging_0883/fåglar/A 62888-2025 prioriterade fågelarter.docx", "A 62888-2025")</f>
        <v/>
      </c>
    </row>
    <row r="274" ht="15" customHeight="1">
      <c r="A274" t="inlineStr">
        <is>
          <t>A 12199-2026</t>
        </is>
      </c>
      <c r="B274" s="1" t="n">
        <v>46086.9659837963</v>
      </c>
      <c r="C274" s="1" t="n">
        <v>46159</v>
      </c>
      <c r="D274" t="inlineStr">
        <is>
          <t>KALMAR LÄN</t>
        </is>
      </c>
      <c r="E274" t="inlineStr">
        <is>
          <t>VÄSTERVIK</t>
        </is>
      </c>
      <c r="F274" t="inlineStr">
        <is>
          <t>Övriga Aktiebolag</t>
        </is>
      </c>
      <c r="G274" t="n">
        <v>6.2</v>
      </c>
      <c r="H274" t="n">
        <v>1</v>
      </c>
      <c r="I274" t="n">
        <v>0</v>
      </c>
      <c r="J274" t="n">
        <v>0</v>
      </c>
      <c r="K274" t="n">
        <v>0</v>
      </c>
      <c r="L274" t="n">
        <v>0</v>
      </c>
      <c r="M274" t="n">
        <v>0</v>
      </c>
      <c r="N274" t="n">
        <v>0</v>
      </c>
      <c r="O274" t="n">
        <v>0</v>
      </c>
      <c r="P274" t="n">
        <v>0</v>
      </c>
      <c r="Q274" t="n">
        <v>1</v>
      </c>
      <c r="R274" s="2" t="inlineStr">
        <is>
          <t>Tjäder</t>
        </is>
      </c>
      <c r="S274">
        <f>HYPERLINK("https://klasma.github.io/Logging_0883/artfynd/A 12199-2026 artfynd.xlsx", "A 12199-2026")</f>
        <v/>
      </c>
      <c r="T274">
        <f>HYPERLINK("https://klasma.github.io/Logging_0883/kartor/A 12199-2026 karta.png", "A 12199-2026")</f>
        <v/>
      </c>
      <c r="V274">
        <f>HYPERLINK("https://klasma.github.io/Logging_0883/klagomål/A 12199-2026 FSC-klagomål.docx", "A 12199-2026")</f>
        <v/>
      </c>
      <c r="W274">
        <f>HYPERLINK("https://klasma.github.io/Logging_0883/klagomålsmail/A 12199-2026 FSC-klagomål mail.docx", "A 12199-2026")</f>
        <v/>
      </c>
      <c r="X274">
        <f>HYPERLINK("https://klasma.github.io/Logging_0883/tillsyn/A 12199-2026 tillsynsbegäran.docx", "A 12199-2026")</f>
        <v/>
      </c>
      <c r="Y274">
        <f>HYPERLINK("https://klasma.github.io/Logging_0883/tillsynsmail/A 12199-2026 tillsynsbegäran mail.docx", "A 12199-2026")</f>
        <v/>
      </c>
      <c r="Z274">
        <f>HYPERLINK("https://klasma.github.io/Logging_0883/fåglar/A 12199-2026 prioriterade fågelarter.docx", "A 12199-2026")</f>
        <v/>
      </c>
    </row>
    <row r="275" ht="15" customHeight="1">
      <c r="A275" t="inlineStr">
        <is>
          <t>A 33815-2023</t>
        </is>
      </c>
      <c r="B275" s="1" t="n">
        <v>45133.59306712963</v>
      </c>
      <c r="C275" s="1" t="n">
        <v>46159</v>
      </c>
      <c r="D275" t="inlineStr">
        <is>
          <t>KALMAR LÄN</t>
        </is>
      </c>
      <c r="E275" t="inlineStr">
        <is>
          <t>VÄSTERVIK</t>
        </is>
      </c>
      <c r="G275" t="n">
        <v>3.4</v>
      </c>
      <c r="H275" t="n">
        <v>0</v>
      </c>
      <c r="I275" t="n">
        <v>1</v>
      </c>
      <c r="J275" t="n">
        <v>0</v>
      </c>
      <c r="K275" t="n">
        <v>0</v>
      </c>
      <c r="L275" t="n">
        <v>0</v>
      </c>
      <c r="M275" t="n">
        <v>0</v>
      </c>
      <c r="N275" t="n">
        <v>0</v>
      </c>
      <c r="O275" t="n">
        <v>0</v>
      </c>
      <c r="P275" t="n">
        <v>0</v>
      </c>
      <c r="Q275" t="n">
        <v>1</v>
      </c>
      <c r="R275" s="2" t="inlineStr">
        <is>
          <t>Grönpyrola</t>
        </is>
      </c>
      <c r="S275">
        <f>HYPERLINK("https://klasma.github.io/Logging_0883/artfynd/A 33815-2023 artfynd.xlsx", "A 33815-2023")</f>
        <v/>
      </c>
      <c r="T275">
        <f>HYPERLINK("https://klasma.github.io/Logging_0883/kartor/A 33815-2023 karta.png", "A 33815-2023")</f>
        <v/>
      </c>
      <c r="V275">
        <f>HYPERLINK("https://klasma.github.io/Logging_0883/klagomål/A 33815-2023 FSC-klagomål.docx", "A 33815-2023")</f>
        <v/>
      </c>
      <c r="W275">
        <f>HYPERLINK("https://klasma.github.io/Logging_0883/klagomålsmail/A 33815-2023 FSC-klagomål mail.docx", "A 33815-2023")</f>
        <v/>
      </c>
      <c r="X275">
        <f>HYPERLINK("https://klasma.github.io/Logging_0883/tillsyn/A 33815-2023 tillsynsbegäran.docx", "A 33815-2023")</f>
        <v/>
      </c>
      <c r="Y275">
        <f>HYPERLINK("https://klasma.github.io/Logging_0883/tillsynsmail/A 33815-2023 tillsynsbegäran mail.docx", "A 33815-2023")</f>
        <v/>
      </c>
    </row>
    <row r="276" ht="15" customHeight="1">
      <c r="A276" t="inlineStr">
        <is>
          <t>A 33816-2023</t>
        </is>
      </c>
      <c r="B276" s="1" t="n">
        <v>45133.59490740741</v>
      </c>
      <c r="C276" s="1" t="n">
        <v>46159</v>
      </c>
      <c r="D276" t="inlineStr">
        <is>
          <t>KALMAR LÄN</t>
        </is>
      </c>
      <c r="E276" t="inlineStr">
        <is>
          <t>VÄSTERVIK</t>
        </is>
      </c>
      <c r="G276" t="n">
        <v>4.9</v>
      </c>
      <c r="H276" t="n">
        <v>0</v>
      </c>
      <c r="I276" t="n">
        <v>0</v>
      </c>
      <c r="J276" t="n">
        <v>1</v>
      </c>
      <c r="K276" t="n">
        <v>0</v>
      </c>
      <c r="L276" t="n">
        <v>0</v>
      </c>
      <c r="M276" t="n">
        <v>0</v>
      </c>
      <c r="N276" t="n">
        <v>0</v>
      </c>
      <c r="O276" t="n">
        <v>1</v>
      </c>
      <c r="P276" t="n">
        <v>0</v>
      </c>
      <c r="Q276" t="n">
        <v>1</v>
      </c>
      <c r="R276" s="2" t="inlineStr">
        <is>
          <t>Tallticka</t>
        </is>
      </c>
      <c r="S276">
        <f>HYPERLINK("https://klasma.github.io/Logging_0883/artfynd/A 33816-2023 artfynd.xlsx", "A 33816-2023")</f>
        <v/>
      </c>
      <c r="T276">
        <f>HYPERLINK("https://klasma.github.io/Logging_0883/kartor/A 33816-2023 karta.png", "A 33816-2023")</f>
        <v/>
      </c>
      <c r="V276">
        <f>HYPERLINK("https://klasma.github.io/Logging_0883/klagomål/A 33816-2023 FSC-klagomål.docx", "A 33816-2023")</f>
        <v/>
      </c>
      <c r="W276">
        <f>HYPERLINK("https://klasma.github.io/Logging_0883/klagomålsmail/A 33816-2023 FSC-klagomål mail.docx", "A 33816-2023")</f>
        <v/>
      </c>
      <c r="X276">
        <f>HYPERLINK("https://klasma.github.io/Logging_0883/tillsyn/A 33816-2023 tillsynsbegäran.docx", "A 33816-2023")</f>
        <v/>
      </c>
      <c r="Y276">
        <f>HYPERLINK("https://klasma.github.io/Logging_0883/tillsynsmail/A 33816-2023 tillsynsbegäran mail.docx", "A 33816-2023")</f>
        <v/>
      </c>
    </row>
    <row r="277" ht="15" customHeight="1">
      <c r="A277" t="inlineStr">
        <is>
          <t>A 1775-2025</t>
        </is>
      </c>
      <c r="B277" s="1" t="n">
        <v>45671.44059027778</v>
      </c>
      <c r="C277" s="1" t="n">
        <v>46159</v>
      </c>
      <c r="D277" t="inlineStr">
        <is>
          <t>KALMAR LÄN</t>
        </is>
      </c>
      <c r="E277" t="inlineStr">
        <is>
          <t>VÄSTERVIK</t>
        </is>
      </c>
      <c r="G277" t="n">
        <v>0.9</v>
      </c>
      <c r="H277" t="n">
        <v>1</v>
      </c>
      <c r="I277" t="n">
        <v>0</v>
      </c>
      <c r="J277" t="n">
        <v>0</v>
      </c>
      <c r="K277" t="n">
        <v>0</v>
      </c>
      <c r="L277" t="n">
        <v>0</v>
      </c>
      <c r="M277" t="n">
        <v>0</v>
      </c>
      <c r="N277" t="n">
        <v>0</v>
      </c>
      <c r="O277" t="n">
        <v>0</v>
      </c>
      <c r="P277" t="n">
        <v>0</v>
      </c>
      <c r="Q277" t="n">
        <v>1</v>
      </c>
      <c r="R277" s="2" t="inlineStr">
        <is>
          <t>Kungsfågel</t>
        </is>
      </c>
      <c r="S277">
        <f>HYPERLINK("https://klasma.github.io/Logging_0883/artfynd/A 1775-2025 artfynd.xlsx", "A 1775-2025")</f>
        <v/>
      </c>
      <c r="T277">
        <f>HYPERLINK("https://klasma.github.io/Logging_0883/kartor/A 1775-2025 karta.png", "A 1775-2025")</f>
        <v/>
      </c>
      <c r="V277">
        <f>HYPERLINK("https://klasma.github.io/Logging_0883/klagomål/A 1775-2025 FSC-klagomål.docx", "A 1775-2025")</f>
        <v/>
      </c>
      <c r="W277">
        <f>HYPERLINK("https://klasma.github.io/Logging_0883/klagomålsmail/A 1775-2025 FSC-klagomål mail.docx", "A 1775-2025")</f>
        <v/>
      </c>
      <c r="X277">
        <f>HYPERLINK("https://klasma.github.io/Logging_0883/tillsyn/A 1775-2025 tillsynsbegäran.docx", "A 1775-2025")</f>
        <v/>
      </c>
      <c r="Y277">
        <f>HYPERLINK("https://klasma.github.io/Logging_0883/tillsynsmail/A 1775-2025 tillsynsbegäran mail.docx", "A 1775-2025")</f>
        <v/>
      </c>
      <c r="Z277">
        <f>HYPERLINK("https://klasma.github.io/Logging_0883/fåglar/A 1775-2025 prioriterade fågelarter.docx", "A 1775-2025")</f>
        <v/>
      </c>
    </row>
    <row r="278" ht="15" customHeight="1">
      <c r="A278" t="inlineStr">
        <is>
          <t>A 43788-2023</t>
        </is>
      </c>
      <c r="B278" s="1" t="n">
        <v>45187.53707175926</v>
      </c>
      <c r="C278" s="1" t="n">
        <v>46159</v>
      </c>
      <c r="D278" t="inlineStr">
        <is>
          <t>KALMAR LÄN</t>
        </is>
      </c>
      <c r="E278" t="inlineStr">
        <is>
          <t>VÄSTERVIK</t>
        </is>
      </c>
      <c r="G278" t="n">
        <v>4.5</v>
      </c>
      <c r="H278" t="n">
        <v>0</v>
      </c>
      <c r="I278" t="n">
        <v>0</v>
      </c>
      <c r="J278" t="n">
        <v>1</v>
      </c>
      <c r="K278" t="n">
        <v>0</v>
      </c>
      <c r="L278" t="n">
        <v>0</v>
      </c>
      <c r="M278" t="n">
        <v>0</v>
      </c>
      <c r="N278" t="n">
        <v>0</v>
      </c>
      <c r="O278" t="n">
        <v>1</v>
      </c>
      <c r="P278" t="n">
        <v>0</v>
      </c>
      <c r="Q278" t="n">
        <v>1</v>
      </c>
      <c r="R278" s="2" t="inlineStr">
        <is>
          <t>Motaggsvamp</t>
        </is>
      </c>
      <c r="S278">
        <f>HYPERLINK("https://klasma.github.io/Logging_0883/artfynd/A 43788-2023 artfynd.xlsx", "A 43788-2023")</f>
        <v/>
      </c>
      <c r="T278">
        <f>HYPERLINK("https://klasma.github.io/Logging_0883/kartor/A 43788-2023 karta.png", "A 43788-2023")</f>
        <v/>
      </c>
      <c r="V278">
        <f>HYPERLINK("https://klasma.github.io/Logging_0883/klagomål/A 43788-2023 FSC-klagomål.docx", "A 43788-2023")</f>
        <v/>
      </c>
      <c r="W278">
        <f>HYPERLINK("https://klasma.github.io/Logging_0883/klagomålsmail/A 43788-2023 FSC-klagomål mail.docx", "A 43788-2023")</f>
        <v/>
      </c>
      <c r="X278">
        <f>HYPERLINK("https://klasma.github.io/Logging_0883/tillsyn/A 43788-2023 tillsynsbegäran.docx", "A 43788-2023")</f>
        <v/>
      </c>
      <c r="Y278">
        <f>HYPERLINK("https://klasma.github.io/Logging_0883/tillsynsmail/A 43788-2023 tillsynsbegäran mail.docx", "A 43788-2023")</f>
        <v/>
      </c>
    </row>
    <row r="279" ht="15" customHeight="1">
      <c r="A279" t="inlineStr">
        <is>
          <t>A 14082-2025</t>
        </is>
      </c>
      <c r="B279" s="1" t="n">
        <v>45740.43934027778</v>
      </c>
      <c r="C279" s="1" t="n">
        <v>46159</v>
      </c>
      <c r="D279" t="inlineStr">
        <is>
          <t>KALMAR LÄN</t>
        </is>
      </c>
      <c r="E279" t="inlineStr">
        <is>
          <t>VÄSTERVIK</t>
        </is>
      </c>
      <c r="F279" t="inlineStr">
        <is>
          <t>Sveaskog</t>
        </is>
      </c>
      <c r="G279" t="n">
        <v>1.2</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HYPERLINK("https://klasma.github.io/Logging_0883/artfynd/A 14082-2025 artfynd.xlsx", "A 14082-2025")</f>
        <v/>
      </c>
      <c r="T279">
        <f>HYPERLINK("https://klasma.github.io/Logging_0883/kartor/A 14082-2025 karta.png", "A 14082-2025")</f>
        <v/>
      </c>
      <c r="V279">
        <f>HYPERLINK("https://klasma.github.io/Logging_0883/klagomål/A 14082-2025 FSC-klagomål.docx", "A 14082-2025")</f>
        <v/>
      </c>
      <c r="W279">
        <f>HYPERLINK("https://klasma.github.io/Logging_0883/klagomålsmail/A 14082-2025 FSC-klagomål mail.docx", "A 14082-2025")</f>
        <v/>
      </c>
      <c r="X279">
        <f>HYPERLINK("https://klasma.github.io/Logging_0883/tillsyn/A 14082-2025 tillsynsbegäran.docx", "A 14082-2025")</f>
        <v/>
      </c>
      <c r="Y279">
        <f>HYPERLINK("https://klasma.github.io/Logging_0883/tillsynsmail/A 14082-2025 tillsynsbegäran mail.docx", "A 14082-2025")</f>
        <v/>
      </c>
    </row>
    <row r="280" ht="15" customHeight="1">
      <c r="A280" t="inlineStr">
        <is>
          <t>A 40924-2022</t>
        </is>
      </c>
      <c r="B280" s="1" t="n">
        <v>44825</v>
      </c>
      <c r="C280" s="1" t="n">
        <v>46159</v>
      </c>
      <c r="D280" t="inlineStr">
        <is>
          <t>KALMAR LÄN</t>
        </is>
      </c>
      <c r="E280" t="inlineStr">
        <is>
          <t>VÄSTERVIK</t>
        </is>
      </c>
      <c r="F280" t="inlineStr">
        <is>
          <t>Sveaskog</t>
        </is>
      </c>
      <c r="G280" t="n">
        <v>0.5</v>
      </c>
      <c r="H280" t="n">
        <v>1</v>
      </c>
      <c r="I280" t="n">
        <v>0</v>
      </c>
      <c r="J280" t="n">
        <v>1</v>
      </c>
      <c r="K280" t="n">
        <v>0</v>
      </c>
      <c r="L280" t="n">
        <v>0</v>
      </c>
      <c r="M280" t="n">
        <v>0</v>
      </c>
      <c r="N280" t="n">
        <v>0</v>
      </c>
      <c r="O280" t="n">
        <v>1</v>
      </c>
      <c r="P280" t="n">
        <v>0</v>
      </c>
      <c r="Q280" t="n">
        <v>1</v>
      </c>
      <c r="R280" s="2" t="inlineStr">
        <is>
          <t>Barbastell</t>
        </is>
      </c>
      <c r="S280">
        <f>HYPERLINK("https://klasma.github.io/Logging_0883/artfynd/A 40924-2022 artfynd.xlsx", "A 40924-2022")</f>
        <v/>
      </c>
      <c r="T280">
        <f>HYPERLINK("https://klasma.github.io/Logging_0883/kartor/A 40924-2022 karta.png", "A 40924-2022")</f>
        <v/>
      </c>
      <c r="V280">
        <f>HYPERLINK("https://klasma.github.io/Logging_0883/klagomål/A 40924-2022 FSC-klagomål.docx", "A 40924-2022")</f>
        <v/>
      </c>
      <c r="W280">
        <f>HYPERLINK("https://klasma.github.io/Logging_0883/klagomålsmail/A 40924-2022 FSC-klagomål mail.docx", "A 40924-2022")</f>
        <v/>
      </c>
      <c r="X280">
        <f>HYPERLINK("https://klasma.github.io/Logging_0883/tillsyn/A 40924-2022 tillsynsbegäran.docx", "A 40924-2022")</f>
        <v/>
      </c>
      <c r="Y280">
        <f>HYPERLINK("https://klasma.github.io/Logging_0883/tillsynsmail/A 40924-2022 tillsynsbegäran mail.docx", "A 40924-2022")</f>
        <v/>
      </c>
    </row>
    <row r="281" ht="15" customHeight="1">
      <c r="A281" t="inlineStr">
        <is>
          <t>A 21341-2026</t>
        </is>
      </c>
      <c r="B281" s="1" t="n">
        <v>46147.59761574074</v>
      </c>
      <c r="C281" s="1" t="n">
        <v>46159</v>
      </c>
      <c r="D281" t="inlineStr">
        <is>
          <t>KALMAR LÄN</t>
        </is>
      </c>
      <c r="E281" t="inlineStr">
        <is>
          <t>VÄSTERVIK</t>
        </is>
      </c>
      <c r="G281" t="n">
        <v>0.8</v>
      </c>
      <c r="H281" t="n">
        <v>1</v>
      </c>
      <c r="I281" t="n">
        <v>0</v>
      </c>
      <c r="J281" t="n">
        <v>0</v>
      </c>
      <c r="K281" t="n">
        <v>1</v>
      </c>
      <c r="L281" t="n">
        <v>0</v>
      </c>
      <c r="M281" t="n">
        <v>0</v>
      </c>
      <c r="N281" t="n">
        <v>0</v>
      </c>
      <c r="O281" t="n">
        <v>1</v>
      </c>
      <c r="P281" t="n">
        <v>1</v>
      </c>
      <c r="Q281" t="n">
        <v>1</v>
      </c>
      <c r="R281" s="2" t="inlineStr">
        <is>
          <t>Knärot</t>
        </is>
      </c>
      <c r="S281">
        <f>HYPERLINK("https://klasma.github.io/Logging_0883/artfynd/A 21341-2026 artfynd.xlsx", "A 21341-2026")</f>
        <v/>
      </c>
      <c r="T281">
        <f>HYPERLINK("https://klasma.github.io/Logging_0883/kartor/A 21341-2026 karta.png", "A 21341-2026")</f>
        <v/>
      </c>
      <c r="U281">
        <f>HYPERLINK("https://klasma.github.io/Logging_0883/knärot/A 21341-2026 karta knärot.png", "A 21341-2026")</f>
        <v/>
      </c>
      <c r="V281">
        <f>HYPERLINK("https://klasma.github.io/Logging_0883/klagomål/A 21341-2026 FSC-klagomål.docx", "A 21341-2026")</f>
        <v/>
      </c>
      <c r="W281">
        <f>HYPERLINK("https://klasma.github.io/Logging_0883/klagomålsmail/A 21341-2026 FSC-klagomål mail.docx", "A 21341-2026")</f>
        <v/>
      </c>
      <c r="X281">
        <f>HYPERLINK("https://klasma.github.io/Logging_0883/tillsyn/A 21341-2026 tillsynsbegäran.docx", "A 21341-2026")</f>
        <v/>
      </c>
      <c r="Y281">
        <f>HYPERLINK("https://klasma.github.io/Logging_0883/tillsynsmail/A 21341-2026 tillsynsbegäran mail.docx", "A 21341-2026")</f>
        <v/>
      </c>
    </row>
    <row r="282" ht="15" customHeight="1">
      <c r="A282" t="inlineStr">
        <is>
          <t>A 15180-2026</t>
        </is>
      </c>
      <c r="B282" s="1" t="n">
        <v>46105.45332175926</v>
      </c>
      <c r="C282" s="1" t="n">
        <v>46159</v>
      </c>
      <c r="D282" t="inlineStr">
        <is>
          <t>KALMAR LÄN</t>
        </is>
      </c>
      <c r="E282" t="inlineStr">
        <is>
          <t>VÄSTERVIK</t>
        </is>
      </c>
      <c r="F282" t="inlineStr">
        <is>
          <t>Sveaskog</t>
        </is>
      </c>
      <c r="G282" t="n">
        <v>1.9</v>
      </c>
      <c r="H282" t="n">
        <v>1</v>
      </c>
      <c r="I282" t="n">
        <v>0</v>
      </c>
      <c r="J282" t="n">
        <v>0</v>
      </c>
      <c r="K282" t="n">
        <v>0</v>
      </c>
      <c r="L282" t="n">
        <v>0</v>
      </c>
      <c r="M282" t="n">
        <v>0</v>
      </c>
      <c r="N282" t="n">
        <v>0</v>
      </c>
      <c r="O282" t="n">
        <v>0</v>
      </c>
      <c r="P282" t="n">
        <v>0</v>
      </c>
      <c r="Q282" t="n">
        <v>1</v>
      </c>
      <c r="R282" s="2" t="inlineStr">
        <is>
          <t>Blåsippa</t>
        </is>
      </c>
      <c r="S282">
        <f>HYPERLINK("https://klasma.github.io/Logging_0883/artfynd/A 15180-2026 artfynd.xlsx", "A 15180-2026")</f>
        <v/>
      </c>
      <c r="T282">
        <f>HYPERLINK("https://klasma.github.io/Logging_0883/kartor/A 15180-2026 karta.png", "A 15180-2026")</f>
        <v/>
      </c>
      <c r="V282">
        <f>HYPERLINK("https://klasma.github.io/Logging_0883/klagomål/A 15180-2026 FSC-klagomål.docx", "A 15180-2026")</f>
        <v/>
      </c>
      <c r="W282">
        <f>HYPERLINK("https://klasma.github.io/Logging_0883/klagomålsmail/A 15180-2026 FSC-klagomål mail.docx", "A 15180-2026")</f>
        <v/>
      </c>
      <c r="X282">
        <f>HYPERLINK("https://klasma.github.io/Logging_0883/tillsyn/A 15180-2026 tillsynsbegäran.docx", "A 15180-2026")</f>
        <v/>
      </c>
      <c r="Y282">
        <f>HYPERLINK("https://klasma.github.io/Logging_0883/tillsynsmail/A 15180-2026 tillsynsbegäran mail.docx", "A 15180-2026")</f>
        <v/>
      </c>
    </row>
    <row r="283" ht="15" customHeight="1">
      <c r="A283" t="inlineStr">
        <is>
          <t>A 55360-2024</t>
        </is>
      </c>
      <c r="B283" s="1" t="n">
        <v>45621.8252199074</v>
      </c>
      <c r="C283" s="1" t="n">
        <v>46159</v>
      </c>
      <c r="D283" t="inlineStr">
        <is>
          <t>KALMAR LÄN</t>
        </is>
      </c>
      <c r="E283" t="inlineStr">
        <is>
          <t>VÄSTERVIK</t>
        </is>
      </c>
      <c r="F283" t="inlineStr">
        <is>
          <t>Sveaskog</t>
        </is>
      </c>
      <c r="G283" t="n">
        <v>11.1</v>
      </c>
      <c r="H283" t="n">
        <v>0</v>
      </c>
      <c r="I283" t="n">
        <v>0</v>
      </c>
      <c r="J283" t="n">
        <v>1</v>
      </c>
      <c r="K283" t="n">
        <v>0</v>
      </c>
      <c r="L283" t="n">
        <v>0</v>
      </c>
      <c r="M283" t="n">
        <v>0</v>
      </c>
      <c r="N283" t="n">
        <v>0</v>
      </c>
      <c r="O283" t="n">
        <v>1</v>
      </c>
      <c r="P283" t="n">
        <v>0</v>
      </c>
      <c r="Q283" t="n">
        <v>1</v>
      </c>
      <c r="R283" s="2" t="inlineStr">
        <is>
          <t>Vårstarr</t>
        </is>
      </c>
      <c r="S283">
        <f>HYPERLINK("https://klasma.github.io/Logging_0883/artfynd/A 55360-2024 artfynd.xlsx", "A 55360-2024")</f>
        <v/>
      </c>
      <c r="T283">
        <f>HYPERLINK("https://klasma.github.io/Logging_0883/kartor/A 55360-2024 karta.png", "A 55360-2024")</f>
        <v/>
      </c>
      <c r="V283">
        <f>HYPERLINK("https://klasma.github.io/Logging_0883/klagomål/A 55360-2024 FSC-klagomål.docx", "A 55360-2024")</f>
        <v/>
      </c>
      <c r="W283">
        <f>HYPERLINK("https://klasma.github.io/Logging_0883/klagomålsmail/A 55360-2024 FSC-klagomål mail.docx", "A 55360-2024")</f>
        <v/>
      </c>
      <c r="X283">
        <f>HYPERLINK("https://klasma.github.io/Logging_0883/tillsyn/A 55360-2024 tillsynsbegäran.docx", "A 55360-2024")</f>
        <v/>
      </c>
      <c r="Y283">
        <f>HYPERLINK("https://klasma.github.io/Logging_0883/tillsynsmail/A 55360-2024 tillsynsbegäran mail.docx", "A 55360-2024")</f>
        <v/>
      </c>
    </row>
    <row r="284" ht="15" customHeight="1">
      <c r="A284" t="inlineStr">
        <is>
          <t>A 9571-2025</t>
        </is>
      </c>
      <c r="B284" s="1" t="n">
        <v>45715.61996527778</v>
      </c>
      <c r="C284" s="1" t="n">
        <v>46159</v>
      </c>
      <c r="D284" t="inlineStr">
        <is>
          <t>KALMAR LÄN</t>
        </is>
      </c>
      <c r="E284" t="inlineStr">
        <is>
          <t>VÄSTERVIK</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HYPERLINK("https://klasma.github.io/Logging_0883/artfynd/A 9571-2025 artfynd.xlsx", "A 9571-2025")</f>
        <v/>
      </c>
      <c r="T284">
        <f>HYPERLINK("https://klasma.github.io/Logging_0883/kartor/A 9571-2025 karta.png", "A 9571-2025")</f>
        <v/>
      </c>
      <c r="V284">
        <f>HYPERLINK("https://klasma.github.io/Logging_0883/klagomål/A 9571-2025 FSC-klagomål.docx", "A 9571-2025")</f>
        <v/>
      </c>
      <c r="W284">
        <f>HYPERLINK("https://klasma.github.io/Logging_0883/klagomålsmail/A 9571-2025 FSC-klagomål mail.docx", "A 9571-2025")</f>
        <v/>
      </c>
      <c r="X284">
        <f>HYPERLINK("https://klasma.github.io/Logging_0883/tillsyn/A 9571-2025 tillsynsbegäran.docx", "A 9571-2025")</f>
        <v/>
      </c>
      <c r="Y284">
        <f>HYPERLINK("https://klasma.github.io/Logging_0883/tillsynsmail/A 9571-2025 tillsynsbegäran mail.docx", "A 9571-2025")</f>
        <v/>
      </c>
    </row>
    <row r="285" ht="15" customHeight="1">
      <c r="A285" t="inlineStr">
        <is>
          <t>A 59198-2025</t>
        </is>
      </c>
      <c r="B285" s="1" t="n">
        <v>45988</v>
      </c>
      <c r="C285" s="1" t="n">
        <v>46159</v>
      </c>
      <c r="D285" t="inlineStr">
        <is>
          <t>KALMAR LÄN</t>
        </is>
      </c>
      <c r="E285" t="inlineStr">
        <is>
          <t>VÄSTERVIK</t>
        </is>
      </c>
      <c r="F285" t="inlineStr">
        <is>
          <t>Holmen skog AB</t>
        </is>
      </c>
      <c r="G285" t="n">
        <v>0.8</v>
      </c>
      <c r="H285" t="n">
        <v>1</v>
      </c>
      <c r="I285" t="n">
        <v>0</v>
      </c>
      <c r="J285" t="n">
        <v>0</v>
      </c>
      <c r="K285" t="n">
        <v>1</v>
      </c>
      <c r="L285" t="n">
        <v>0</v>
      </c>
      <c r="M285" t="n">
        <v>0</v>
      </c>
      <c r="N285" t="n">
        <v>0</v>
      </c>
      <c r="O285" t="n">
        <v>1</v>
      </c>
      <c r="P285" t="n">
        <v>1</v>
      </c>
      <c r="Q285" t="n">
        <v>1</v>
      </c>
      <c r="R285" s="2" t="inlineStr">
        <is>
          <t>Knärot</t>
        </is>
      </c>
      <c r="S285">
        <f>HYPERLINK("https://klasma.github.io/Logging_0883/artfynd/A 59198-2025 artfynd.xlsx", "A 59198-2025")</f>
        <v/>
      </c>
      <c r="T285">
        <f>HYPERLINK("https://klasma.github.io/Logging_0883/kartor/A 59198-2025 karta.png", "A 59198-2025")</f>
        <v/>
      </c>
      <c r="U285">
        <f>HYPERLINK("https://klasma.github.io/Logging_0883/knärot/A 59198-2025 karta knärot.png", "A 59198-2025")</f>
        <v/>
      </c>
      <c r="V285">
        <f>HYPERLINK("https://klasma.github.io/Logging_0883/klagomål/A 59198-2025 FSC-klagomål.docx", "A 59198-2025")</f>
        <v/>
      </c>
      <c r="W285">
        <f>HYPERLINK("https://klasma.github.io/Logging_0883/klagomålsmail/A 59198-2025 FSC-klagomål mail.docx", "A 59198-2025")</f>
        <v/>
      </c>
      <c r="X285">
        <f>HYPERLINK("https://klasma.github.io/Logging_0883/tillsyn/A 59198-2025 tillsynsbegäran.docx", "A 59198-2025")</f>
        <v/>
      </c>
      <c r="Y285">
        <f>HYPERLINK("https://klasma.github.io/Logging_0883/tillsynsmail/A 59198-2025 tillsynsbegäran mail.docx", "A 59198-2025")</f>
        <v/>
      </c>
    </row>
    <row r="286" ht="15" customHeight="1">
      <c r="A286" t="inlineStr">
        <is>
          <t>A 21858-2026</t>
        </is>
      </c>
      <c r="B286" s="1" t="n">
        <v>46150.545</v>
      </c>
      <c r="C286" s="1" t="n">
        <v>46159</v>
      </c>
      <c r="D286" t="inlineStr">
        <is>
          <t>KALMAR LÄN</t>
        </is>
      </c>
      <c r="E286" t="inlineStr">
        <is>
          <t>VÄSTERVIK</t>
        </is>
      </c>
      <c r="G286" t="n">
        <v>1.3</v>
      </c>
      <c r="H286" t="n">
        <v>1</v>
      </c>
      <c r="I286" t="n">
        <v>0</v>
      </c>
      <c r="J286" t="n">
        <v>1</v>
      </c>
      <c r="K286" t="n">
        <v>0</v>
      </c>
      <c r="L286" t="n">
        <v>0</v>
      </c>
      <c r="M286" t="n">
        <v>0</v>
      </c>
      <c r="N286" t="n">
        <v>0</v>
      </c>
      <c r="O286" t="n">
        <v>1</v>
      </c>
      <c r="P286" t="n">
        <v>0</v>
      </c>
      <c r="Q286" t="n">
        <v>1</v>
      </c>
      <c r="R286" s="2" t="inlineStr">
        <is>
          <t>Svartvit flugsnappare</t>
        </is>
      </c>
      <c r="S286">
        <f>HYPERLINK("https://klasma.github.io/Logging_0883/artfynd/A 21858-2026 artfynd.xlsx", "A 21858-2026")</f>
        <v/>
      </c>
      <c r="T286">
        <f>HYPERLINK("https://klasma.github.io/Logging_0883/kartor/A 21858-2026 karta.png", "A 21858-2026")</f>
        <v/>
      </c>
      <c r="V286">
        <f>HYPERLINK("https://klasma.github.io/Logging_0883/klagomål/A 21858-2026 FSC-klagomål.docx", "A 21858-2026")</f>
        <v/>
      </c>
      <c r="W286">
        <f>HYPERLINK("https://klasma.github.io/Logging_0883/klagomålsmail/A 21858-2026 FSC-klagomål mail.docx", "A 21858-2026")</f>
        <v/>
      </c>
      <c r="X286">
        <f>HYPERLINK("https://klasma.github.io/Logging_0883/tillsyn/A 21858-2026 tillsynsbegäran.docx", "A 21858-2026")</f>
        <v/>
      </c>
      <c r="Y286">
        <f>HYPERLINK("https://klasma.github.io/Logging_0883/tillsynsmail/A 21858-2026 tillsynsbegäran mail.docx", "A 21858-2026")</f>
        <v/>
      </c>
      <c r="Z286">
        <f>HYPERLINK("https://klasma.github.io/Logging_0883/fåglar/A 21858-2026 prioriterade fågelarter.docx", "A 21858-2026")</f>
        <v/>
      </c>
    </row>
    <row r="287" ht="15" customHeight="1">
      <c r="A287" t="inlineStr">
        <is>
          <t>A 6634-2025</t>
        </is>
      </c>
      <c r="B287" s="1" t="n">
        <v>45700.38141203704</v>
      </c>
      <c r="C287" s="1" t="n">
        <v>46159</v>
      </c>
      <c r="D287" t="inlineStr">
        <is>
          <t>KALMAR LÄN</t>
        </is>
      </c>
      <c r="E287" t="inlineStr">
        <is>
          <t>VÄSTERVIK</t>
        </is>
      </c>
      <c r="G287" t="n">
        <v>2.2</v>
      </c>
      <c r="H287" t="n">
        <v>0</v>
      </c>
      <c r="I287" t="n">
        <v>1</v>
      </c>
      <c r="J287" t="n">
        <v>0</v>
      </c>
      <c r="K287" t="n">
        <v>0</v>
      </c>
      <c r="L287" t="n">
        <v>0</v>
      </c>
      <c r="M287" t="n">
        <v>0</v>
      </c>
      <c r="N287" t="n">
        <v>0</v>
      </c>
      <c r="O287" t="n">
        <v>0</v>
      </c>
      <c r="P287" t="n">
        <v>0</v>
      </c>
      <c r="Q287" t="n">
        <v>1</v>
      </c>
      <c r="R287" s="2" t="inlineStr">
        <is>
          <t>Ögonpyrola</t>
        </is>
      </c>
      <c r="S287">
        <f>HYPERLINK("https://klasma.github.io/Logging_0883/artfynd/A 6634-2025 artfynd.xlsx", "A 6634-2025")</f>
        <v/>
      </c>
      <c r="T287">
        <f>HYPERLINK("https://klasma.github.io/Logging_0883/kartor/A 6634-2025 karta.png", "A 6634-2025")</f>
        <v/>
      </c>
      <c r="V287">
        <f>HYPERLINK("https://klasma.github.io/Logging_0883/klagomål/A 6634-2025 FSC-klagomål.docx", "A 6634-2025")</f>
        <v/>
      </c>
      <c r="W287">
        <f>HYPERLINK("https://klasma.github.io/Logging_0883/klagomålsmail/A 6634-2025 FSC-klagomål mail.docx", "A 6634-2025")</f>
        <v/>
      </c>
      <c r="X287">
        <f>HYPERLINK("https://klasma.github.io/Logging_0883/tillsyn/A 6634-2025 tillsynsbegäran.docx", "A 6634-2025")</f>
        <v/>
      </c>
      <c r="Y287">
        <f>HYPERLINK("https://klasma.github.io/Logging_0883/tillsynsmail/A 6634-2025 tillsynsbegäran mail.docx", "A 6634-2025")</f>
        <v/>
      </c>
    </row>
    <row r="288" ht="15" customHeight="1">
      <c r="A288" t="inlineStr">
        <is>
          <t>A 27708-2024</t>
        </is>
      </c>
      <c r="B288" s="1" t="n">
        <v>45475</v>
      </c>
      <c r="C288" s="1" t="n">
        <v>46159</v>
      </c>
      <c r="D288" t="inlineStr">
        <is>
          <t>KALMAR LÄN</t>
        </is>
      </c>
      <c r="E288" t="inlineStr">
        <is>
          <t>VÄSTERVIK</t>
        </is>
      </c>
      <c r="F288" t="inlineStr">
        <is>
          <t>Holmen skog AB</t>
        </is>
      </c>
      <c r="G288" t="n">
        <v>1.7</v>
      </c>
      <c r="H288" t="n">
        <v>1</v>
      </c>
      <c r="I288" t="n">
        <v>0</v>
      </c>
      <c r="J288" t="n">
        <v>1</v>
      </c>
      <c r="K288" t="n">
        <v>0</v>
      </c>
      <c r="L288" t="n">
        <v>0</v>
      </c>
      <c r="M288" t="n">
        <v>0</v>
      </c>
      <c r="N288" t="n">
        <v>0</v>
      </c>
      <c r="O288" t="n">
        <v>1</v>
      </c>
      <c r="P288" t="n">
        <v>0</v>
      </c>
      <c r="Q288" t="n">
        <v>1</v>
      </c>
      <c r="R288" s="2" t="inlineStr">
        <is>
          <t>Spillkråka</t>
        </is>
      </c>
      <c r="S288">
        <f>HYPERLINK("https://klasma.github.io/Logging_0883/artfynd/A 27708-2024 artfynd.xlsx", "A 27708-2024")</f>
        <v/>
      </c>
      <c r="T288">
        <f>HYPERLINK("https://klasma.github.io/Logging_0883/kartor/A 27708-2024 karta.png", "A 27708-2024")</f>
        <v/>
      </c>
      <c r="V288">
        <f>HYPERLINK("https://klasma.github.io/Logging_0883/klagomål/A 27708-2024 FSC-klagomål.docx", "A 27708-2024")</f>
        <v/>
      </c>
      <c r="W288">
        <f>HYPERLINK("https://klasma.github.io/Logging_0883/klagomålsmail/A 27708-2024 FSC-klagomål mail.docx", "A 27708-2024")</f>
        <v/>
      </c>
      <c r="X288">
        <f>HYPERLINK("https://klasma.github.io/Logging_0883/tillsyn/A 27708-2024 tillsynsbegäran.docx", "A 27708-2024")</f>
        <v/>
      </c>
      <c r="Y288">
        <f>HYPERLINK("https://klasma.github.io/Logging_0883/tillsynsmail/A 27708-2024 tillsynsbegäran mail.docx", "A 27708-2024")</f>
        <v/>
      </c>
      <c r="Z288">
        <f>HYPERLINK("https://klasma.github.io/Logging_0883/fåglar/A 27708-2024 prioriterade fågelarter.docx", "A 27708-2024")</f>
        <v/>
      </c>
    </row>
    <row r="289" ht="15" customHeight="1">
      <c r="A289" t="inlineStr">
        <is>
          <t>A 46722-2023</t>
        </is>
      </c>
      <c r="B289" s="1" t="n">
        <v>45194</v>
      </c>
      <c r="C289" s="1" t="n">
        <v>46159</v>
      </c>
      <c r="D289" t="inlineStr">
        <is>
          <t>KALMAR LÄN</t>
        </is>
      </c>
      <c r="E289" t="inlineStr">
        <is>
          <t>VÄSTERVIK</t>
        </is>
      </c>
      <c r="G289" t="n">
        <v>0.9</v>
      </c>
      <c r="H289" t="n">
        <v>1</v>
      </c>
      <c r="I289" t="n">
        <v>0</v>
      </c>
      <c r="J289" t="n">
        <v>0</v>
      </c>
      <c r="K289" t="n">
        <v>1</v>
      </c>
      <c r="L289" t="n">
        <v>0</v>
      </c>
      <c r="M289" t="n">
        <v>0</v>
      </c>
      <c r="N289" t="n">
        <v>0</v>
      </c>
      <c r="O289" t="n">
        <v>1</v>
      </c>
      <c r="P289" t="n">
        <v>1</v>
      </c>
      <c r="Q289" t="n">
        <v>1</v>
      </c>
      <c r="R289" s="2" t="inlineStr">
        <is>
          <t>Knärot</t>
        </is>
      </c>
      <c r="S289">
        <f>HYPERLINK("https://klasma.github.io/Logging_0883/artfynd/A 46722-2023 artfynd.xlsx", "A 46722-2023")</f>
        <v/>
      </c>
      <c r="T289">
        <f>HYPERLINK("https://klasma.github.io/Logging_0883/kartor/A 46722-2023 karta.png", "A 46722-2023")</f>
        <v/>
      </c>
      <c r="U289">
        <f>HYPERLINK("https://klasma.github.io/Logging_0883/knärot/A 46722-2023 karta knärot.png", "A 46722-2023")</f>
        <v/>
      </c>
      <c r="V289">
        <f>HYPERLINK("https://klasma.github.io/Logging_0883/klagomål/A 46722-2023 FSC-klagomål.docx", "A 46722-2023")</f>
        <v/>
      </c>
      <c r="W289">
        <f>HYPERLINK("https://klasma.github.io/Logging_0883/klagomålsmail/A 46722-2023 FSC-klagomål mail.docx", "A 46722-2023")</f>
        <v/>
      </c>
      <c r="X289">
        <f>HYPERLINK("https://klasma.github.io/Logging_0883/tillsyn/A 46722-2023 tillsynsbegäran.docx", "A 46722-2023")</f>
        <v/>
      </c>
      <c r="Y289">
        <f>HYPERLINK("https://klasma.github.io/Logging_0883/tillsynsmail/A 46722-2023 tillsynsbegäran mail.docx", "A 46722-2023")</f>
        <v/>
      </c>
    </row>
    <row r="290" ht="15" customHeight="1">
      <c r="A290" t="inlineStr">
        <is>
          <t>A 3600-2025</t>
        </is>
      </c>
      <c r="B290" s="1" t="n">
        <v>45681.34420138889</v>
      </c>
      <c r="C290" s="1" t="n">
        <v>46159</v>
      </c>
      <c r="D290" t="inlineStr">
        <is>
          <t>KALMAR LÄN</t>
        </is>
      </c>
      <c r="E290" t="inlineStr">
        <is>
          <t>VÄSTERVIK</t>
        </is>
      </c>
      <c r="G290" t="n">
        <v>1</v>
      </c>
      <c r="H290" t="n">
        <v>1</v>
      </c>
      <c r="I290" t="n">
        <v>0</v>
      </c>
      <c r="J290" t="n">
        <v>1</v>
      </c>
      <c r="K290" t="n">
        <v>0</v>
      </c>
      <c r="L290" t="n">
        <v>0</v>
      </c>
      <c r="M290" t="n">
        <v>0</v>
      </c>
      <c r="N290" t="n">
        <v>0</v>
      </c>
      <c r="O290" t="n">
        <v>1</v>
      </c>
      <c r="P290" t="n">
        <v>0</v>
      </c>
      <c r="Q290" t="n">
        <v>1</v>
      </c>
      <c r="R290" s="2" t="inlineStr">
        <is>
          <t>Spillkråka</t>
        </is>
      </c>
      <c r="S290">
        <f>HYPERLINK("https://klasma.github.io/Logging_0883/artfynd/A 3600-2025 artfynd.xlsx", "A 3600-2025")</f>
        <v/>
      </c>
      <c r="T290">
        <f>HYPERLINK("https://klasma.github.io/Logging_0883/kartor/A 3600-2025 karta.png", "A 3600-2025")</f>
        <v/>
      </c>
      <c r="V290">
        <f>HYPERLINK("https://klasma.github.io/Logging_0883/klagomål/A 3600-2025 FSC-klagomål.docx", "A 3600-2025")</f>
        <v/>
      </c>
      <c r="W290">
        <f>HYPERLINK("https://klasma.github.io/Logging_0883/klagomålsmail/A 3600-2025 FSC-klagomål mail.docx", "A 3600-2025")</f>
        <v/>
      </c>
      <c r="X290">
        <f>HYPERLINK("https://klasma.github.io/Logging_0883/tillsyn/A 3600-2025 tillsynsbegäran.docx", "A 3600-2025")</f>
        <v/>
      </c>
      <c r="Y290">
        <f>HYPERLINK("https://klasma.github.io/Logging_0883/tillsynsmail/A 3600-2025 tillsynsbegäran mail.docx", "A 3600-2025")</f>
        <v/>
      </c>
      <c r="Z290">
        <f>HYPERLINK("https://klasma.github.io/Logging_0883/fåglar/A 3600-2025 prioriterade fågelarter.docx", "A 3600-2025")</f>
        <v/>
      </c>
    </row>
    <row r="291" ht="15" customHeight="1">
      <c r="A291" t="inlineStr">
        <is>
          <t>A 3673-2025</t>
        </is>
      </c>
      <c r="B291" s="1" t="n">
        <v>45681.43706018518</v>
      </c>
      <c r="C291" s="1" t="n">
        <v>46159</v>
      </c>
      <c r="D291" t="inlineStr">
        <is>
          <t>KALMAR LÄN</t>
        </is>
      </c>
      <c r="E291" t="inlineStr">
        <is>
          <t>VÄSTERVIK</t>
        </is>
      </c>
      <c r="G291" t="n">
        <v>1.1</v>
      </c>
      <c r="H291" t="n">
        <v>0</v>
      </c>
      <c r="I291" t="n">
        <v>1</v>
      </c>
      <c r="J291" t="n">
        <v>0</v>
      </c>
      <c r="K291" t="n">
        <v>0</v>
      </c>
      <c r="L291" t="n">
        <v>0</v>
      </c>
      <c r="M291" t="n">
        <v>0</v>
      </c>
      <c r="N291" t="n">
        <v>0</v>
      </c>
      <c r="O291" t="n">
        <v>0</v>
      </c>
      <c r="P291" t="n">
        <v>0</v>
      </c>
      <c r="Q291" t="n">
        <v>1</v>
      </c>
      <c r="R291" s="2" t="inlineStr">
        <is>
          <t>Blodticka</t>
        </is>
      </c>
      <c r="S291">
        <f>HYPERLINK("https://klasma.github.io/Logging_0883/artfynd/A 3673-2025 artfynd.xlsx", "A 3673-2025")</f>
        <v/>
      </c>
      <c r="T291">
        <f>HYPERLINK("https://klasma.github.io/Logging_0883/kartor/A 3673-2025 karta.png", "A 3673-2025")</f>
        <v/>
      </c>
      <c r="V291">
        <f>HYPERLINK("https://klasma.github.io/Logging_0883/klagomål/A 3673-2025 FSC-klagomål.docx", "A 3673-2025")</f>
        <v/>
      </c>
      <c r="W291">
        <f>HYPERLINK("https://klasma.github.io/Logging_0883/klagomålsmail/A 3673-2025 FSC-klagomål mail.docx", "A 3673-2025")</f>
        <v/>
      </c>
      <c r="X291">
        <f>HYPERLINK("https://klasma.github.io/Logging_0883/tillsyn/A 3673-2025 tillsynsbegäran.docx", "A 3673-2025")</f>
        <v/>
      </c>
      <c r="Y291">
        <f>HYPERLINK("https://klasma.github.io/Logging_0883/tillsynsmail/A 3673-2025 tillsynsbegäran mail.docx", "A 3673-2025")</f>
        <v/>
      </c>
    </row>
    <row r="292" ht="15" customHeight="1">
      <c r="A292" t="inlineStr">
        <is>
          <t>A 1176-2024</t>
        </is>
      </c>
      <c r="B292" s="1" t="n">
        <v>45302</v>
      </c>
      <c r="C292" s="1" t="n">
        <v>46159</v>
      </c>
      <c r="D292" t="inlineStr">
        <is>
          <t>KALMAR LÄN</t>
        </is>
      </c>
      <c r="E292" t="inlineStr">
        <is>
          <t>VÄSTERVIK</t>
        </is>
      </c>
      <c r="G292" t="n">
        <v>2.5</v>
      </c>
      <c r="H292" t="n">
        <v>0</v>
      </c>
      <c r="I292" t="n">
        <v>0</v>
      </c>
      <c r="J292" t="n">
        <v>1</v>
      </c>
      <c r="K292" t="n">
        <v>0</v>
      </c>
      <c r="L292" t="n">
        <v>0</v>
      </c>
      <c r="M292" t="n">
        <v>0</v>
      </c>
      <c r="N292" t="n">
        <v>0</v>
      </c>
      <c r="O292" t="n">
        <v>1</v>
      </c>
      <c r="P292" t="n">
        <v>0</v>
      </c>
      <c r="Q292" t="n">
        <v>1</v>
      </c>
      <c r="R292" s="2" t="inlineStr">
        <is>
          <t>Tallticka</t>
        </is>
      </c>
      <c r="S292">
        <f>HYPERLINK("https://klasma.github.io/Logging_0883/artfynd/A 1176-2024 artfynd.xlsx", "A 1176-2024")</f>
        <v/>
      </c>
      <c r="T292">
        <f>HYPERLINK("https://klasma.github.io/Logging_0883/kartor/A 1176-2024 karta.png", "A 1176-2024")</f>
        <v/>
      </c>
      <c r="V292">
        <f>HYPERLINK("https://klasma.github.io/Logging_0883/klagomål/A 1176-2024 FSC-klagomål.docx", "A 1176-2024")</f>
        <v/>
      </c>
      <c r="W292">
        <f>HYPERLINK("https://klasma.github.io/Logging_0883/klagomålsmail/A 1176-2024 FSC-klagomål mail.docx", "A 1176-2024")</f>
        <v/>
      </c>
      <c r="X292">
        <f>HYPERLINK("https://klasma.github.io/Logging_0883/tillsyn/A 1176-2024 tillsynsbegäran.docx", "A 1176-2024")</f>
        <v/>
      </c>
      <c r="Y292">
        <f>HYPERLINK("https://klasma.github.io/Logging_0883/tillsynsmail/A 1176-2024 tillsynsbegäran mail.docx", "A 1176-2024")</f>
        <v/>
      </c>
    </row>
    <row r="293" ht="15" customHeight="1">
      <c r="A293" t="inlineStr">
        <is>
          <t>A 35028-2024</t>
        </is>
      </c>
      <c r="B293" s="1" t="n">
        <v>45527.60524305556</v>
      </c>
      <c r="C293" s="1" t="n">
        <v>46159</v>
      </c>
      <c r="D293" t="inlineStr">
        <is>
          <t>KALMAR LÄN</t>
        </is>
      </c>
      <c r="E293" t="inlineStr">
        <is>
          <t>VÄSTERVIK</t>
        </is>
      </c>
      <c r="G293" t="n">
        <v>1.3</v>
      </c>
      <c r="H293" t="n">
        <v>0</v>
      </c>
      <c r="I293" t="n">
        <v>1</v>
      </c>
      <c r="J293" t="n">
        <v>0</v>
      </c>
      <c r="K293" t="n">
        <v>0</v>
      </c>
      <c r="L293" t="n">
        <v>0</v>
      </c>
      <c r="M293" t="n">
        <v>0</v>
      </c>
      <c r="N293" t="n">
        <v>0</v>
      </c>
      <c r="O293" t="n">
        <v>0</v>
      </c>
      <c r="P293" t="n">
        <v>0</v>
      </c>
      <c r="Q293" t="n">
        <v>1</v>
      </c>
      <c r="R293" s="2" t="inlineStr">
        <is>
          <t>Blomkålssvamp</t>
        </is>
      </c>
      <c r="S293">
        <f>HYPERLINK("https://klasma.github.io/Logging_0883/artfynd/A 35028-2024 artfynd.xlsx", "A 35028-2024")</f>
        <v/>
      </c>
      <c r="T293">
        <f>HYPERLINK("https://klasma.github.io/Logging_0883/kartor/A 35028-2024 karta.png", "A 35028-2024")</f>
        <v/>
      </c>
      <c r="V293">
        <f>HYPERLINK("https://klasma.github.io/Logging_0883/klagomål/A 35028-2024 FSC-klagomål.docx", "A 35028-2024")</f>
        <v/>
      </c>
      <c r="W293">
        <f>HYPERLINK("https://klasma.github.io/Logging_0883/klagomålsmail/A 35028-2024 FSC-klagomål mail.docx", "A 35028-2024")</f>
        <v/>
      </c>
      <c r="X293">
        <f>HYPERLINK("https://klasma.github.io/Logging_0883/tillsyn/A 35028-2024 tillsynsbegäran.docx", "A 35028-2024")</f>
        <v/>
      </c>
      <c r="Y293">
        <f>HYPERLINK("https://klasma.github.io/Logging_0883/tillsynsmail/A 35028-2024 tillsynsbegäran mail.docx", "A 35028-2024")</f>
        <v/>
      </c>
    </row>
    <row r="294" ht="15" customHeight="1">
      <c r="A294" t="inlineStr">
        <is>
          <t>A 31315-2021</t>
        </is>
      </c>
      <c r="B294" s="1" t="n">
        <v>44368</v>
      </c>
      <c r="C294" s="1" t="n">
        <v>46159</v>
      </c>
      <c r="D294" t="inlineStr">
        <is>
          <t>KALMAR LÄN</t>
        </is>
      </c>
      <c r="E294" t="inlineStr">
        <is>
          <t>VÄSTERVIK</t>
        </is>
      </c>
      <c r="G294" t="n">
        <v>3.3</v>
      </c>
      <c r="H294" t="n">
        <v>1</v>
      </c>
      <c r="I294" t="n">
        <v>0</v>
      </c>
      <c r="J294" t="n">
        <v>0</v>
      </c>
      <c r="K294" t="n">
        <v>1</v>
      </c>
      <c r="L294" t="n">
        <v>0</v>
      </c>
      <c r="M294" t="n">
        <v>0</v>
      </c>
      <c r="N294" t="n">
        <v>0</v>
      </c>
      <c r="O294" t="n">
        <v>1</v>
      </c>
      <c r="P294" t="n">
        <v>1</v>
      </c>
      <c r="Q294" t="n">
        <v>1</v>
      </c>
      <c r="R294" s="2" t="inlineStr">
        <is>
          <t>Knärot</t>
        </is>
      </c>
      <c r="S294">
        <f>HYPERLINK("https://klasma.github.io/Logging_0883/artfynd/A 31315-2021 artfynd.xlsx", "A 31315-2021")</f>
        <v/>
      </c>
      <c r="T294">
        <f>HYPERLINK("https://klasma.github.io/Logging_0883/kartor/A 31315-2021 karta.png", "A 31315-2021")</f>
        <v/>
      </c>
      <c r="U294">
        <f>HYPERLINK("https://klasma.github.io/Logging_0883/knärot/A 31315-2021 karta knärot.png", "A 31315-2021")</f>
        <v/>
      </c>
      <c r="V294">
        <f>HYPERLINK("https://klasma.github.io/Logging_0883/klagomål/A 31315-2021 FSC-klagomål.docx", "A 31315-2021")</f>
        <v/>
      </c>
      <c r="W294">
        <f>HYPERLINK("https://klasma.github.io/Logging_0883/klagomålsmail/A 31315-2021 FSC-klagomål mail.docx", "A 31315-2021")</f>
        <v/>
      </c>
      <c r="X294">
        <f>HYPERLINK("https://klasma.github.io/Logging_0883/tillsyn/A 31315-2021 tillsynsbegäran.docx", "A 31315-2021")</f>
        <v/>
      </c>
      <c r="Y294">
        <f>HYPERLINK("https://klasma.github.io/Logging_0883/tillsynsmail/A 31315-2021 tillsynsbegäran mail.docx", "A 31315-2021")</f>
        <v/>
      </c>
    </row>
    <row r="295" ht="15" customHeight="1">
      <c r="A295" t="inlineStr">
        <is>
          <t>A 51024-2022</t>
        </is>
      </c>
      <c r="B295" s="1" t="n">
        <v>44867</v>
      </c>
      <c r="C295" s="1" t="n">
        <v>46159</v>
      </c>
      <c r="D295" t="inlineStr">
        <is>
          <t>KALMAR LÄN</t>
        </is>
      </c>
      <c r="E295" t="inlineStr">
        <is>
          <t>VÄSTERVIK</t>
        </is>
      </c>
      <c r="F295" t="inlineStr">
        <is>
          <t>Holmen skog AB</t>
        </is>
      </c>
      <c r="G295" t="n">
        <v>7.6</v>
      </c>
      <c r="H295" t="n">
        <v>1</v>
      </c>
      <c r="I295" t="n">
        <v>0</v>
      </c>
      <c r="J295" t="n">
        <v>1</v>
      </c>
      <c r="K295" t="n">
        <v>0</v>
      </c>
      <c r="L295" t="n">
        <v>0</v>
      </c>
      <c r="M295" t="n">
        <v>0</v>
      </c>
      <c r="N295" t="n">
        <v>0</v>
      </c>
      <c r="O295" t="n">
        <v>1</v>
      </c>
      <c r="P295" t="n">
        <v>0</v>
      </c>
      <c r="Q295" t="n">
        <v>1</v>
      </c>
      <c r="R295" s="2" t="inlineStr">
        <is>
          <t>Talltita</t>
        </is>
      </c>
      <c r="S295">
        <f>HYPERLINK("https://klasma.github.io/Logging_0883/artfynd/A 51024-2022 artfynd.xlsx", "A 51024-2022")</f>
        <v/>
      </c>
      <c r="T295">
        <f>HYPERLINK("https://klasma.github.io/Logging_0883/kartor/A 51024-2022 karta.png", "A 51024-2022")</f>
        <v/>
      </c>
      <c r="V295">
        <f>HYPERLINK("https://klasma.github.io/Logging_0883/klagomål/A 51024-2022 FSC-klagomål.docx", "A 51024-2022")</f>
        <v/>
      </c>
      <c r="W295">
        <f>HYPERLINK("https://klasma.github.io/Logging_0883/klagomålsmail/A 51024-2022 FSC-klagomål mail.docx", "A 51024-2022")</f>
        <v/>
      </c>
      <c r="X295">
        <f>HYPERLINK("https://klasma.github.io/Logging_0883/tillsyn/A 51024-2022 tillsynsbegäran.docx", "A 51024-2022")</f>
        <v/>
      </c>
      <c r="Y295">
        <f>HYPERLINK("https://klasma.github.io/Logging_0883/tillsynsmail/A 51024-2022 tillsynsbegäran mail.docx", "A 51024-2022")</f>
        <v/>
      </c>
      <c r="Z295">
        <f>HYPERLINK("https://klasma.github.io/Logging_0883/fåglar/A 51024-2022 prioriterade fågelarter.docx", "A 51024-2022")</f>
        <v/>
      </c>
    </row>
    <row r="296" ht="15" customHeight="1">
      <c r="A296" t="inlineStr">
        <is>
          <t>A 19900-2022</t>
        </is>
      </c>
      <c r="B296" s="1" t="n">
        <v>44697</v>
      </c>
      <c r="C296" s="1" t="n">
        <v>46159</v>
      </c>
      <c r="D296" t="inlineStr">
        <is>
          <t>KALMAR LÄN</t>
        </is>
      </c>
      <c r="E296" t="inlineStr">
        <is>
          <t>VÄSTERVIK</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HYPERLINK("https://klasma.github.io/Logging_0883/artfynd/A 19900-2022 artfynd.xlsx", "A 19900-2022")</f>
        <v/>
      </c>
      <c r="T296">
        <f>HYPERLINK("https://klasma.github.io/Logging_0883/kartor/A 19900-2022 karta.png", "A 19900-2022")</f>
        <v/>
      </c>
      <c r="U296">
        <f>HYPERLINK("https://klasma.github.io/Logging_0883/knärot/A 19900-2022 karta knärot.png", "A 19900-2022")</f>
        <v/>
      </c>
      <c r="V296">
        <f>HYPERLINK("https://klasma.github.io/Logging_0883/klagomål/A 19900-2022 FSC-klagomål.docx", "A 19900-2022")</f>
        <v/>
      </c>
      <c r="W296">
        <f>HYPERLINK("https://klasma.github.io/Logging_0883/klagomålsmail/A 19900-2022 FSC-klagomål mail.docx", "A 19900-2022")</f>
        <v/>
      </c>
      <c r="X296">
        <f>HYPERLINK("https://klasma.github.io/Logging_0883/tillsyn/A 19900-2022 tillsynsbegäran.docx", "A 19900-2022")</f>
        <v/>
      </c>
      <c r="Y296">
        <f>HYPERLINK("https://klasma.github.io/Logging_0883/tillsynsmail/A 19900-2022 tillsynsbegäran mail.docx", "A 19900-2022")</f>
        <v/>
      </c>
    </row>
    <row r="297" ht="15" customHeight="1">
      <c r="A297" t="inlineStr">
        <is>
          <t>A 1024-2023</t>
        </is>
      </c>
      <c r="B297" s="1" t="n">
        <v>44935</v>
      </c>
      <c r="C297" s="1" t="n">
        <v>46159</v>
      </c>
      <c r="D297" t="inlineStr">
        <is>
          <t>KALMAR LÄN</t>
        </is>
      </c>
      <c r="E297" t="inlineStr">
        <is>
          <t>VÄSTERVIK</t>
        </is>
      </c>
      <c r="F297" t="inlineStr">
        <is>
          <t>Holmen skog AB</t>
        </is>
      </c>
      <c r="G297" t="n">
        <v>1.9</v>
      </c>
      <c r="H297" t="n">
        <v>0</v>
      </c>
      <c r="I297" t="n">
        <v>0</v>
      </c>
      <c r="J297" t="n">
        <v>1</v>
      </c>
      <c r="K297" t="n">
        <v>0</v>
      </c>
      <c r="L297" t="n">
        <v>0</v>
      </c>
      <c r="M297" t="n">
        <v>0</v>
      </c>
      <c r="N297" t="n">
        <v>0</v>
      </c>
      <c r="O297" t="n">
        <v>1</v>
      </c>
      <c r="P297" t="n">
        <v>0</v>
      </c>
      <c r="Q297" t="n">
        <v>1</v>
      </c>
      <c r="R297" s="2" t="inlineStr">
        <is>
          <t>Ekticka</t>
        </is>
      </c>
      <c r="S297">
        <f>HYPERLINK("https://klasma.github.io/Logging_0883/artfynd/A 1024-2023 artfynd.xlsx", "A 1024-2023")</f>
        <v/>
      </c>
      <c r="T297">
        <f>HYPERLINK("https://klasma.github.io/Logging_0883/kartor/A 1024-2023 karta.png", "A 1024-2023")</f>
        <v/>
      </c>
      <c r="V297">
        <f>HYPERLINK("https://klasma.github.io/Logging_0883/klagomål/A 1024-2023 FSC-klagomål.docx", "A 1024-2023")</f>
        <v/>
      </c>
      <c r="W297">
        <f>HYPERLINK("https://klasma.github.io/Logging_0883/klagomålsmail/A 1024-2023 FSC-klagomål mail.docx", "A 1024-2023")</f>
        <v/>
      </c>
      <c r="X297">
        <f>HYPERLINK("https://klasma.github.io/Logging_0883/tillsyn/A 1024-2023 tillsynsbegäran.docx", "A 1024-2023")</f>
        <v/>
      </c>
      <c r="Y297">
        <f>HYPERLINK("https://klasma.github.io/Logging_0883/tillsynsmail/A 1024-2023 tillsynsbegäran mail.docx", "A 1024-2023")</f>
        <v/>
      </c>
    </row>
    <row r="298" ht="15" customHeight="1">
      <c r="A298" t="inlineStr">
        <is>
          <t>A 54272-2023</t>
        </is>
      </c>
      <c r="B298" s="1" t="n">
        <v>45232</v>
      </c>
      <c r="C298" s="1" t="n">
        <v>46159</v>
      </c>
      <c r="D298" t="inlineStr">
        <is>
          <t>KALMAR LÄN</t>
        </is>
      </c>
      <c r="E298" t="inlineStr">
        <is>
          <t>VÄSTERVIK</t>
        </is>
      </c>
      <c r="G298" t="n">
        <v>1</v>
      </c>
      <c r="H298" t="n">
        <v>0</v>
      </c>
      <c r="I298" t="n">
        <v>1</v>
      </c>
      <c r="J298" t="n">
        <v>0</v>
      </c>
      <c r="K298" t="n">
        <v>0</v>
      </c>
      <c r="L298" t="n">
        <v>0</v>
      </c>
      <c r="M298" t="n">
        <v>0</v>
      </c>
      <c r="N298" t="n">
        <v>0</v>
      </c>
      <c r="O298" t="n">
        <v>0</v>
      </c>
      <c r="P298" t="n">
        <v>0</v>
      </c>
      <c r="Q298" t="n">
        <v>1</v>
      </c>
      <c r="R298" s="2" t="inlineStr">
        <is>
          <t>Aprikosfingersvamp</t>
        </is>
      </c>
      <c r="S298">
        <f>HYPERLINK("https://klasma.github.io/Logging_0883/artfynd/A 54272-2023 artfynd.xlsx", "A 54272-2023")</f>
        <v/>
      </c>
      <c r="T298">
        <f>HYPERLINK("https://klasma.github.io/Logging_0883/kartor/A 54272-2023 karta.png", "A 54272-2023")</f>
        <v/>
      </c>
      <c r="V298">
        <f>HYPERLINK("https://klasma.github.io/Logging_0883/klagomål/A 54272-2023 FSC-klagomål.docx", "A 54272-2023")</f>
        <v/>
      </c>
      <c r="W298">
        <f>HYPERLINK("https://klasma.github.io/Logging_0883/klagomålsmail/A 54272-2023 FSC-klagomål mail.docx", "A 54272-2023")</f>
        <v/>
      </c>
      <c r="X298">
        <f>HYPERLINK("https://klasma.github.io/Logging_0883/tillsyn/A 54272-2023 tillsynsbegäran.docx", "A 54272-2023")</f>
        <v/>
      </c>
      <c r="Y298">
        <f>HYPERLINK("https://klasma.github.io/Logging_0883/tillsynsmail/A 54272-2023 tillsynsbegäran mail.docx", "A 54272-2023")</f>
        <v/>
      </c>
    </row>
    <row r="299" ht="15" customHeight="1">
      <c r="A299" t="inlineStr">
        <is>
          <t>A 12662-2022</t>
        </is>
      </c>
      <c r="B299" s="1" t="n">
        <v>44641</v>
      </c>
      <c r="C299" s="1" t="n">
        <v>46159</v>
      </c>
      <c r="D299" t="inlineStr">
        <is>
          <t>KALMAR LÄN</t>
        </is>
      </c>
      <c r="E299" t="inlineStr">
        <is>
          <t>VÄSTERVIK</t>
        </is>
      </c>
      <c r="G299" t="n">
        <v>2.1</v>
      </c>
      <c r="H299" t="n">
        <v>0</v>
      </c>
      <c r="I299" t="n">
        <v>1</v>
      </c>
      <c r="J299" t="n">
        <v>0</v>
      </c>
      <c r="K299" t="n">
        <v>0</v>
      </c>
      <c r="L299" t="n">
        <v>0</v>
      </c>
      <c r="M299" t="n">
        <v>0</v>
      </c>
      <c r="N299" t="n">
        <v>0</v>
      </c>
      <c r="O299" t="n">
        <v>0</v>
      </c>
      <c r="P299" t="n">
        <v>0</v>
      </c>
      <c r="Q299" t="n">
        <v>1</v>
      </c>
      <c r="R299" s="2" t="inlineStr">
        <is>
          <t>Blåmossa</t>
        </is>
      </c>
      <c r="S299">
        <f>HYPERLINK("https://klasma.github.io/Logging_0883/artfynd/A 12662-2022 artfynd.xlsx", "A 12662-2022")</f>
        <v/>
      </c>
      <c r="T299">
        <f>HYPERLINK("https://klasma.github.io/Logging_0883/kartor/A 12662-2022 karta.png", "A 12662-2022")</f>
        <v/>
      </c>
      <c r="V299">
        <f>HYPERLINK("https://klasma.github.io/Logging_0883/klagomål/A 12662-2022 FSC-klagomål.docx", "A 12662-2022")</f>
        <v/>
      </c>
      <c r="W299">
        <f>HYPERLINK("https://klasma.github.io/Logging_0883/klagomålsmail/A 12662-2022 FSC-klagomål mail.docx", "A 12662-2022")</f>
        <v/>
      </c>
      <c r="X299">
        <f>HYPERLINK("https://klasma.github.io/Logging_0883/tillsyn/A 12662-2022 tillsynsbegäran.docx", "A 12662-2022")</f>
        <v/>
      </c>
      <c r="Y299">
        <f>HYPERLINK("https://klasma.github.io/Logging_0883/tillsynsmail/A 12662-2022 tillsynsbegäran mail.docx", "A 12662-2022")</f>
        <v/>
      </c>
    </row>
    <row r="300" ht="15" customHeight="1">
      <c r="A300" t="inlineStr">
        <is>
          <t>A 9110-2023</t>
        </is>
      </c>
      <c r="B300" s="1" t="n">
        <v>44979</v>
      </c>
      <c r="C300" s="1" t="n">
        <v>46159</v>
      </c>
      <c r="D300" t="inlineStr">
        <is>
          <t>KALMAR LÄN</t>
        </is>
      </c>
      <c r="E300" t="inlineStr">
        <is>
          <t>VÄSTERVIK</t>
        </is>
      </c>
      <c r="G300" t="n">
        <v>1.1</v>
      </c>
      <c r="H300" t="n">
        <v>0</v>
      </c>
      <c r="I300" t="n">
        <v>1</v>
      </c>
      <c r="J300" t="n">
        <v>0</v>
      </c>
      <c r="K300" t="n">
        <v>0</v>
      </c>
      <c r="L300" t="n">
        <v>0</v>
      </c>
      <c r="M300" t="n">
        <v>0</v>
      </c>
      <c r="N300" t="n">
        <v>0</v>
      </c>
      <c r="O300" t="n">
        <v>0</v>
      </c>
      <c r="P300" t="n">
        <v>0</v>
      </c>
      <c r="Q300" t="n">
        <v>1</v>
      </c>
      <c r="R300" s="2" t="inlineStr">
        <is>
          <t>Blåmossa</t>
        </is>
      </c>
      <c r="S300">
        <f>HYPERLINK("https://klasma.github.io/Logging_0883/artfynd/A 9110-2023 artfynd.xlsx", "A 9110-2023")</f>
        <v/>
      </c>
      <c r="T300">
        <f>HYPERLINK("https://klasma.github.io/Logging_0883/kartor/A 9110-2023 karta.png", "A 9110-2023")</f>
        <v/>
      </c>
      <c r="V300">
        <f>HYPERLINK("https://klasma.github.io/Logging_0883/klagomål/A 9110-2023 FSC-klagomål.docx", "A 9110-2023")</f>
        <v/>
      </c>
      <c r="W300">
        <f>HYPERLINK("https://klasma.github.io/Logging_0883/klagomålsmail/A 9110-2023 FSC-klagomål mail.docx", "A 9110-2023")</f>
        <v/>
      </c>
      <c r="X300">
        <f>HYPERLINK("https://klasma.github.io/Logging_0883/tillsyn/A 9110-2023 tillsynsbegäran.docx", "A 9110-2023")</f>
        <v/>
      </c>
      <c r="Y300">
        <f>HYPERLINK("https://klasma.github.io/Logging_0883/tillsynsmail/A 9110-2023 tillsynsbegäran mail.docx", "A 9110-2023")</f>
        <v/>
      </c>
    </row>
    <row r="301" ht="15" customHeight="1">
      <c r="A301" t="inlineStr">
        <is>
          <t>A 51514-2024</t>
        </is>
      </c>
      <c r="B301" s="1" t="n">
        <v>45604.5640625</v>
      </c>
      <c r="C301" s="1" t="n">
        <v>46159</v>
      </c>
      <c r="D301" t="inlineStr">
        <is>
          <t>KALMAR LÄN</t>
        </is>
      </c>
      <c r="E301" t="inlineStr">
        <is>
          <t>VÄSTERVIK</t>
        </is>
      </c>
      <c r="F301" t="inlineStr">
        <is>
          <t>Övriga Aktiebolag</t>
        </is>
      </c>
      <c r="G301" t="n">
        <v>2.4</v>
      </c>
      <c r="H301" t="n">
        <v>1</v>
      </c>
      <c r="I301" t="n">
        <v>0</v>
      </c>
      <c r="J301" t="n">
        <v>1</v>
      </c>
      <c r="K301" t="n">
        <v>0</v>
      </c>
      <c r="L301" t="n">
        <v>0</v>
      </c>
      <c r="M301" t="n">
        <v>0</v>
      </c>
      <c r="N301" t="n">
        <v>0</v>
      </c>
      <c r="O301" t="n">
        <v>1</v>
      </c>
      <c r="P301" t="n">
        <v>0</v>
      </c>
      <c r="Q301" t="n">
        <v>1</v>
      </c>
      <c r="R301" s="2" t="inlineStr">
        <is>
          <t>Havsörn</t>
        </is>
      </c>
      <c r="S301">
        <f>HYPERLINK("https://klasma.github.io/Logging_0883/artfynd/A 51514-2024 artfynd.xlsx", "A 51514-2024")</f>
        <v/>
      </c>
      <c r="T301">
        <f>HYPERLINK("https://klasma.github.io/Logging_0883/kartor/A 51514-2024 karta.png", "A 51514-2024")</f>
        <v/>
      </c>
      <c r="V301">
        <f>HYPERLINK("https://klasma.github.io/Logging_0883/klagomål/A 51514-2024 FSC-klagomål.docx", "A 51514-2024")</f>
        <v/>
      </c>
      <c r="W301">
        <f>HYPERLINK("https://klasma.github.io/Logging_0883/klagomålsmail/A 51514-2024 FSC-klagomål mail.docx", "A 51514-2024")</f>
        <v/>
      </c>
      <c r="X301">
        <f>HYPERLINK("https://klasma.github.io/Logging_0883/tillsyn/A 51514-2024 tillsynsbegäran.docx", "A 51514-2024")</f>
        <v/>
      </c>
      <c r="Y301">
        <f>HYPERLINK("https://klasma.github.io/Logging_0883/tillsynsmail/A 51514-2024 tillsynsbegäran mail.docx", "A 51514-2024")</f>
        <v/>
      </c>
      <c r="Z301">
        <f>HYPERLINK("https://klasma.github.io/Logging_0883/fåglar/A 51514-2024 prioriterade fågelarter.docx", "A 51514-2024")</f>
        <v/>
      </c>
    </row>
    <row r="302" ht="15" customHeight="1">
      <c r="A302" t="inlineStr">
        <is>
          <t>A 975-2023</t>
        </is>
      </c>
      <c r="B302" s="1" t="n">
        <v>44935</v>
      </c>
      <c r="C302" s="1" t="n">
        <v>46159</v>
      </c>
      <c r="D302" t="inlineStr">
        <is>
          <t>KALMAR LÄN</t>
        </is>
      </c>
      <c r="E302" t="inlineStr">
        <is>
          <t>VÄSTERVIK</t>
        </is>
      </c>
      <c r="G302" t="n">
        <v>1.7</v>
      </c>
      <c r="H302" t="n">
        <v>1</v>
      </c>
      <c r="I302" t="n">
        <v>0</v>
      </c>
      <c r="J302" t="n">
        <v>0</v>
      </c>
      <c r="K302" t="n">
        <v>1</v>
      </c>
      <c r="L302" t="n">
        <v>0</v>
      </c>
      <c r="M302" t="n">
        <v>0</v>
      </c>
      <c r="N302" t="n">
        <v>0</v>
      </c>
      <c r="O302" t="n">
        <v>1</v>
      </c>
      <c r="P302" t="n">
        <v>1</v>
      </c>
      <c r="Q302" t="n">
        <v>1</v>
      </c>
      <c r="R302" s="2" t="inlineStr">
        <is>
          <t>Läderbagge</t>
        </is>
      </c>
      <c r="S302">
        <f>HYPERLINK("https://klasma.github.io/Logging_0883/artfynd/A 975-2023 artfynd.xlsx", "A 975-2023")</f>
        <v/>
      </c>
      <c r="T302">
        <f>HYPERLINK("https://klasma.github.io/Logging_0883/kartor/A 975-2023 karta.png", "A 975-2023")</f>
        <v/>
      </c>
      <c r="V302">
        <f>HYPERLINK("https://klasma.github.io/Logging_0883/klagomål/A 975-2023 FSC-klagomål.docx", "A 975-2023")</f>
        <v/>
      </c>
      <c r="W302">
        <f>HYPERLINK("https://klasma.github.io/Logging_0883/klagomålsmail/A 975-2023 FSC-klagomål mail.docx", "A 975-2023")</f>
        <v/>
      </c>
      <c r="X302">
        <f>HYPERLINK("https://klasma.github.io/Logging_0883/tillsyn/A 975-2023 tillsynsbegäran.docx", "A 975-2023")</f>
        <v/>
      </c>
      <c r="Y302">
        <f>HYPERLINK("https://klasma.github.io/Logging_0883/tillsynsmail/A 975-2023 tillsynsbegäran mail.docx", "A 975-2023")</f>
        <v/>
      </c>
    </row>
    <row r="303" ht="15" customHeight="1">
      <c r="A303" t="inlineStr">
        <is>
          <t>A 61319-2021</t>
        </is>
      </c>
      <c r="B303" s="1" t="n">
        <v>44498</v>
      </c>
      <c r="C303" s="1" t="n">
        <v>46159</v>
      </c>
      <c r="D303" t="inlineStr">
        <is>
          <t>KALMAR LÄN</t>
        </is>
      </c>
      <c r="E303" t="inlineStr">
        <is>
          <t>VÄSTERVIK</t>
        </is>
      </c>
      <c r="G303" t="n">
        <v>2.2</v>
      </c>
      <c r="H303" t="n">
        <v>1</v>
      </c>
      <c r="I303" t="n">
        <v>1</v>
      </c>
      <c r="J303" t="n">
        <v>0</v>
      </c>
      <c r="K303" t="n">
        <v>0</v>
      </c>
      <c r="L303" t="n">
        <v>0</v>
      </c>
      <c r="M303" t="n">
        <v>0</v>
      </c>
      <c r="N303" t="n">
        <v>0</v>
      </c>
      <c r="O303" t="n">
        <v>0</v>
      </c>
      <c r="P303" t="n">
        <v>0</v>
      </c>
      <c r="Q303" t="n">
        <v>1</v>
      </c>
      <c r="R303" s="2" t="inlineStr">
        <is>
          <t>Ekoxe</t>
        </is>
      </c>
      <c r="S303">
        <f>HYPERLINK("https://klasma.github.io/Logging_0883/artfynd/A 61319-2021 artfynd.xlsx", "A 61319-2021")</f>
        <v/>
      </c>
      <c r="T303">
        <f>HYPERLINK("https://klasma.github.io/Logging_0883/kartor/A 61319-2021 karta.png", "A 61319-2021")</f>
        <v/>
      </c>
      <c r="V303">
        <f>HYPERLINK("https://klasma.github.io/Logging_0883/klagomål/A 61319-2021 FSC-klagomål.docx", "A 61319-2021")</f>
        <v/>
      </c>
      <c r="W303">
        <f>HYPERLINK("https://klasma.github.io/Logging_0883/klagomålsmail/A 61319-2021 FSC-klagomål mail.docx", "A 61319-2021")</f>
        <v/>
      </c>
      <c r="X303">
        <f>HYPERLINK("https://klasma.github.io/Logging_0883/tillsyn/A 61319-2021 tillsynsbegäran.docx", "A 61319-2021")</f>
        <v/>
      </c>
      <c r="Y303">
        <f>HYPERLINK("https://klasma.github.io/Logging_0883/tillsynsmail/A 61319-2021 tillsynsbegäran mail.docx", "A 61319-2021")</f>
        <v/>
      </c>
    </row>
    <row r="304" ht="15" customHeight="1">
      <c r="A304" t="inlineStr">
        <is>
          <t>A 9265-2025</t>
        </is>
      </c>
      <c r="B304" s="1" t="n">
        <v>45714.61153935185</v>
      </c>
      <c r="C304" s="1" t="n">
        <v>46159</v>
      </c>
      <c r="D304" t="inlineStr">
        <is>
          <t>KALMAR LÄN</t>
        </is>
      </c>
      <c r="E304" t="inlineStr">
        <is>
          <t>VÄSTERVIK</t>
        </is>
      </c>
      <c r="F304" t="inlineStr">
        <is>
          <t>Sveaskog</t>
        </is>
      </c>
      <c r="G304" t="n">
        <v>2.2</v>
      </c>
      <c r="H304" t="n">
        <v>1</v>
      </c>
      <c r="I304" t="n">
        <v>0</v>
      </c>
      <c r="J304" t="n">
        <v>1</v>
      </c>
      <c r="K304" t="n">
        <v>0</v>
      </c>
      <c r="L304" t="n">
        <v>0</v>
      </c>
      <c r="M304" t="n">
        <v>0</v>
      </c>
      <c r="N304" t="n">
        <v>0</v>
      </c>
      <c r="O304" t="n">
        <v>1</v>
      </c>
      <c r="P304" t="n">
        <v>0</v>
      </c>
      <c r="Q304" t="n">
        <v>1</v>
      </c>
      <c r="R304" s="2" t="inlineStr">
        <is>
          <t>Havsörn</t>
        </is>
      </c>
      <c r="S304">
        <f>HYPERLINK("https://klasma.github.io/Logging_0883/artfynd/A 9265-2025 artfynd.xlsx", "A 9265-2025")</f>
        <v/>
      </c>
      <c r="T304">
        <f>HYPERLINK("https://klasma.github.io/Logging_0883/kartor/A 9265-2025 karta.png", "A 9265-2025")</f>
        <v/>
      </c>
      <c r="V304">
        <f>HYPERLINK("https://klasma.github.io/Logging_0883/klagomål/A 9265-2025 FSC-klagomål.docx", "A 9265-2025")</f>
        <v/>
      </c>
      <c r="W304">
        <f>HYPERLINK("https://klasma.github.io/Logging_0883/klagomålsmail/A 9265-2025 FSC-klagomål mail.docx", "A 9265-2025")</f>
        <v/>
      </c>
      <c r="X304">
        <f>HYPERLINK("https://klasma.github.io/Logging_0883/tillsyn/A 9265-2025 tillsynsbegäran.docx", "A 9265-2025")</f>
        <v/>
      </c>
      <c r="Y304">
        <f>HYPERLINK("https://klasma.github.io/Logging_0883/tillsynsmail/A 9265-2025 tillsynsbegäran mail.docx", "A 9265-2025")</f>
        <v/>
      </c>
      <c r="Z304">
        <f>HYPERLINK("https://klasma.github.io/Logging_0883/fåglar/A 9265-2025 prioriterade fågelarter.docx", "A 9265-2025")</f>
        <v/>
      </c>
    </row>
    <row r="305" ht="15" customHeight="1">
      <c r="A305" t="inlineStr">
        <is>
          <t>A 56439-2024</t>
        </is>
      </c>
      <c r="B305" s="1" t="n">
        <v>45625.4175</v>
      </c>
      <c r="C305" s="1" t="n">
        <v>46159</v>
      </c>
      <c r="D305" t="inlineStr">
        <is>
          <t>KALMAR LÄN</t>
        </is>
      </c>
      <c r="E305" t="inlineStr">
        <is>
          <t>VÄSTERVIK</t>
        </is>
      </c>
      <c r="F305" t="inlineStr">
        <is>
          <t>Övriga Aktiebolag</t>
        </is>
      </c>
      <c r="G305" t="n">
        <v>3.3</v>
      </c>
      <c r="H305" t="n">
        <v>0</v>
      </c>
      <c r="I305" t="n">
        <v>1</v>
      </c>
      <c r="J305" t="n">
        <v>0</v>
      </c>
      <c r="K305" t="n">
        <v>0</v>
      </c>
      <c r="L305" t="n">
        <v>0</v>
      </c>
      <c r="M305" t="n">
        <v>0</v>
      </c>
      <c r="N305" t="n">
        <v>0</v>
      </c>
      <c r="O305" t="n">
        <v>0</v>
      </c>
      <c r="P305" t="n">
        <v>0</v>
      </c>
      <c r="Q305" t="n">
        <v>1</v>
      </c>
      <c r="R305" s="2" t="inlineStr">
        <is>
          <t>Hasselticka</t>
        </is>
      </c>
      <c r="S305">
        <f>HYPERLINK("https://klasma.github.io/Logging_0883/artfynd/A 56439-2024 artfynd.xlsx", "A 56439-2024")</f>
        <v/>
      </c>
      <c r="T305">
        <f>HYPERLINK("https://klasma.github.io/Logging_0883/kartor/A 56439-2024 karta.png", "A 56439-2024")</f>
        <v/>
      </c>
      <c r="V305">
        <f>HYPERLINK("https://klasma.github.io/Logging_0883/klagomål/A 56439-2024 FSC-klagomål.docx", "A 56439-2024")</f>
        <v/>
      </c>
      <c r="W305">
        <f>HYPERLINK("https://klasma.github.io/Logging_0883/klagomålsmail/A 56439-2024 FSC-klagomål mail.docx", "A 56439-2024")</f>
        <v/>
      </c>
      <c r="X305">
        <f>HYPERLINK("https://klasma.github.io/Logging_0883/tillsyn/A 56439-2024 tillsynsbegäran.docx", "A 56439-2024")</f>
        <v/>
      </c>
      <c r="Y305">
        <f>HYPERLINK("https://klasma.github.io/Logging_0883/tillsynsmail/A 56439-2024 tillsynsbegäran mail.docx", "A 56439-2024")</f>
        <v/>
      </c>
    </row>
    <row r="306" ht="15" customHeight="1">
      <c r="A306" t="inlineStr">
        <is>
          <t>A 28495-2023</t>
        </is>
      </c>
      <c r="B306" s="1" t="n">
        <v>45103</v>
      </c>
      <c r="C306" s="1" t="n">
        <v>46159</v>
      </c>
      <c r="D306" t="inlineStr">
        <is>
          <t>KALMAR LÄN</t>
        </is>
      </c>
      <c r="E306" t="inlineStr">
        <is>
          <t>VÄSTERVIK</t>
        </is>
      </c>
      <c r="G306" t="n">
        <v>3.1</v>
      </c>
      <c r="H306" t="n">
        <v>1</v>
      </c>
      <c r="I306" t="n">
        <v>0</v>
      </c>
      <c r="J306" t="n">
        <v>0</v>
      </c>
      <c r="K306" t="n">
        <v>1</v>
      </c>
      <c r="L306" t="n">
        <v>0</v>
      </c>
      <c r="M306" t="n">
        <v>0</v>
      </c>
      <c r="N306" t="n">
        <v>0</v>
      </c>
      <c r="O306" t="n">
        <v>1</v>
      </c>
      <c r="P306" t="n">
        <v>1</v>
      </c>
      <c r="Q306" t="n">
        <v>1</v>
      </c>
      <c r="R306" s="2" t="inlineStr">
        <is>
          <t>Knärot</t>
        </is>
      </c>
      <c r="S306">
        <f>HYPERLINK("https://klasma.github.io/Logging_0883/artfynd/A 28495-2023 artfynd.xlsx", "A 28495-2023")</f>
        <v/>
      </c>
      <c r="T306">
        <f>HYPERLINK("https://klasma.github.io/Logging_0883/kartor/A 28495-2023 karta.png", "A 28495-2023")</f>
        <v/>
      </c>
      <c r="U306">
        <f>HYPERLINK("https://klasma.github.io/Logging_0883/knärot/A 28495-2023 karta knärot.png", "A 28495-2023")</f>
        <v/>
      </c>
      <c r="V306">
        <f>HYPERLINK("https://klasma.github.io/Logging_0883/klagomål/A 28495-2023 FSC-klagomål.docx", "A 28495-2023")</f>
        <v/>
      </c>
      <c r="W306">
        <f>HYPERLINK("https://klasma.github.io/Logging_0883/klagomålsmail/A 28495-2023 FSC-klagomål mail.docx", "A 28495-2023")</f>
        <v/>
      </c>
      <c r="X306">
        <f>HYPERLINK("https://klasma.github.io/Logging_0883/tillsyn/A 28495-2023 tillsynsbegäran.docx", "A 28495-2023")</f>
        <v/>
      </c>
      <c r="Y306">
        <f>HYPERLINK("https://klasma.github.io/Logging_0883/tillsynsmail/A 28495-2023 tillsynsbegäran mail.docx", "A 28495-2023")</f>
        <v/>
      </c>
    </row>
    <row r="307" ht="15" customHeight="1">
      <c r="A307" t="inlineStr">
        <is>
          <t>A 14103-2025</t>
        </is>
      </c>
      <c r="B307" s="1" t="n">
        <v>45740.45232638889</v>
      </c>
      <c r="C307" s="1" t="n">
        <v>46159</v>
      </c>
      <c r="D307" t="inlineStr">
        <is>
          <t>KALMAR LÄN</t>
        </is>
      </c>
      <c r="E307" t="inlineStr">
        <is>
          <t>VÄSTERVIK</t>
        </is>
      </c>
      <c r="F307" t="inlineStr">
        <is>
          <t>Sveaskog</t>
        </is>
      </c>
      <c r="G307" t="n">
        <v>0.8</v>
      </c>
      <c r="H307" t="n">
        <v>1</v>
      </c>
      <c r="I307" t="n">
        <v>0</v>
      </c>
      <c r="J307" t="n">
        <v>0</v>
      </c>
      <c r="K307" t="n">
        <v>0</v>
      </c>
      <c r="L307" t="n">
        <v>0</v>
      </c>
      <c r="M307" t="n">
        <v>0</v>
      </c>
      <c r="N307" t="n">
        <v>0</v>
      </c>
      <c r="O307" t="n">
        <v>0</v>
      </c>
      <c r="P307" t="n">
        <v>0</v>
      </c>
      <c r="Q307" t="n">
        <v>1</v>
      </c>
      <c r="R307" s="2" t="inlineStr">
        <is>
          <t>Grönvit nattviol</t>
        </is>
      </c>
      <c r="S307">
        <f>HYPERLINK("https://klasma.github.io/Logging_0883/artfynd/A 14103-2025 artfynd.xlsx", "A 14103-2025")</f>
        <v/>
      </c>
      <c r="T307">
        <f>HYPERLINK("https://klasma.github.io/Logging_0883/kartor/A 14103-2025 karta.png", "A 14103-2025")</f>
        <v/>
      </c>
      <c r="V307">
        <f>HYPERLINK("https://klasma.github.io/Logging_0883/klagomål/A 14103-2025 FSC-klagomål.docx", "A 14103-2025")</f>
        <v/>
      </c>
      <c r="W307">
        <f>HYPERLINK("https://klasma.github.io/Logging_0883/klagomålsmail/A 14103-2025 FSC-klagomål mail.docx", "A 14103-2025")</f>
        <v/>
      </c>
      <c r="X307">
        <f>HYPERLINK("https://klasma.github.io/Logging_0883/tillsyn/A 14103-2025 tillsynsbegäran.docx", "A 14103-2025")</f>
        <v/>
      </c>
      <c r="Y307">
        <f>HYPERLINK("https://klasma.github.io/Logging_0883/tillsynsmail/A 14103-2025 tillsynsbegäran mail.docx", "A 14103-2025")</f>
        <v/>
      </c>
    </row>
    <row r="308" ht="15" customHeight="1">
      <c r="A308" t="inlineStr">
        <is>
          <t>A 59368-2023</t>
        </is>
      </c>
      <c r="B308" s="1" t="n">
        <v>45253</v>
      </c>
      <c r="C308" s="1" t="n">
        <v>46159</v>
      </c>
      <c r="D308" t="inlineStr">
        <is>
          <t>KALMAR LÄN</t>
        </is>
      </c>
      <c r="E308" t="inlineStr">
        <is>
          <t>VÄSTERVIK</t>
        </is>
      </c>
      <c r="G308" t="n">
        <v>2.4</v>
      </c>
      <c r="H308" t="n">
        <v>1</v>
      </c>
      <c r="I308" t="n">
        <v>0</v>
      </c>
      <c r="J308" t="n">
        <v>0</v>
      </c>
      <c r="K308" t="n">
        <v>1</v>
      </c>
      <c r="L308" t="n">
        <v>0</v>
      </c>
      <c r="M308" t="n">
        <v>0</v>
      </c>
      <c r="N308" t="n">
        <v>0</v>
      </c>
      <c r="O308" t="n">
        <v>1</v>
      </c>
      <c r="P308" t="n">
        <v>1</v>
      </c>
      <c r="Q308" t="n">
        <v>1</v>
      </c>
      <c r="R308" s="2" t="inlineStr">
        <is>
          <t>Knärot</t>
        </is>
      </c>
      <c r="S308">
        <f>HYPERLINK("https://klasma.github.io/Logging_0883/artfynd/A 59368-2023 artfynd.xlsx", "A 59368-2023")</f>
        <v/>
      </c>
      <c r="T308">
        <f>HYPERLINK("https://klasma.github.io/Logging_0883/kartor/A 59368-2023 karta.png", "A 59368-2023")</f>
        <v/>
      </c>
      <c r="U308">
        <f>HYPERLINK("https://klasma.github.io/Logging_0883/knärot/A 59368-2023 karta knärot.png", "A 59368-2023")</f>
        <v/>
      </c>
      <c r="V308">
        <f>HYPERLINK("https://klasma.github.io/Logging_0883/klagomål/A 59368-2023 FSC-klagomål.docx", "A 59368-2023")</f>
        <v/>
      </c>
      <c r="W308">
        <f>HYPERLINK("https://klasma.github.io/Logging_0883/klagomålsmail/A 59368-2023 FSC-klagomål mail.docx", "A 59368-2023")</f>
        <v/>
      </c>
      <c r="X308">
        <f>HYPERLINK("https://klasma.github.io/Logging_0883/tillsyn/A 59368-2023 tillsynsbegäran.docx", "A 59368-2023")</f>
        <v/>
      </c>
      <c r="Y308">
        <f>HYPERLINK("https://klasma.github.io/Logging_0883/tillsynsmail/A 59368-2023 tillsynsbegäran mail.docx", "A 59368-2023")</f>
        <v/>
      </c>
    </row>
    <row r="309" ht="15" customHeight="1">
      <c r="A309" t="inlineStr">
        <is>
          <t>A 21409-2025</t>
        </is>
      </c>
      <c r="B309" s="1" t="n">
        <v>45782</v>
      </c>
      <c r="C309" s="1" t="n">
        <v>46159</v>
      </c>
      <c r="D309" t="inlineStr">
        <is>
          <t>KALMAR LÄN</t>
        </is>
      </c>
      <c r="E309" t="inlineStr">
        <is>
          <t>VÄSTERVIK</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HYPERLINK("https://klasma.github.io/Logging_0883/artfynd/A 21409-2025 artfynd.xlsx", "A 21409-2025")</f>
        <v/>
      </c>
      <c r="T309">
        <f>HYPERLINK("https://klasma.github.io/Logging_0883/kartor/A 21409-2025 karta.png", "A 21409-2025")</f>
        <v/>
      </c>
      <c r="V309">
        <f>HYPERLINK("https://klasma.github.io/Logging_0883/klagomål/A 21409-2025 FSC-klagomål.docx", "A 21409-2025")</f>
        <v/>
      </c>
      <c r="W309">
        <f>HYPERLINK("https://klasma.github.io/Logging_0883/klagomålsmail/A 21409-2025 FSC-klagomål mail.docx", "A 21409-2025")</f>
        <v/>
      </c>
      <c r="X309">
        <f>HYPERLINK("https://klasma.github.io/Logging_0883/tillsyn/A 21409-2025 tillsynsbegäran.docx", "A 21409-2025")</f>
        <v/>
      </c>
      <c r="Y309">
        <f>HYPERLINK("https://klasma.github.io/Logging_0883/tillsynsmail/A 21409-2025 tillsynsbegäran mail.docx", "A 21409-2025")</f>
        <v/>
      </c>
    </row>
    <row r="310" ht="15" customHeight="1">
      <c r="A310" t="inlineStr">
        <is>
          <t>A 21653-2025</t>
        </is>
      </c>
      <c r="B310" s="1" t="n">
        <v>45783.45039351852</v>
      </c>
      <c r="C310" s="1" t="n">
        <v>46159</v>
      </c>
      <c r="D310" t="inlineStr">
        <is>
          <t>KALMAR LÄN</t>
        </is>
      </c>
      <c r="E310" t="inlineStr">
        <is>
          <t>VÄSTERVIK</t>
        </is>
      </c>
      <c r="F310" t="inlineStr">
        <is>
          <t>Sveaskog</t>
        </is>
      </c>
      <c r="G310" t="n">
        <v>2.8</v>
      </c>
      <c r="H310" t="n">
        <v>1</v>
      </c>
      <c r="I310" t="n">
        <v>0</v>
      </c>
      <c r="J310" t="n">
        <v>1</v>
      </c>
      <c r="K310" t="n">
        <v>0</v>
      </c>
      <c r="L310" t="n">
        <v>0</v>
      </c>
      <c r="M310" t="n">
        <v>0</v>
      </c>
      <c r="N310" t="n">
        <v>0</v>
      </c>
      <c r="O310" t="n">
        <v>1</v>
      </c>
      <c r="P310" t="n">
        <v>0</v>
      </c>
      <c r="Q310" t="n">
        <v>1</v>
      </c>
      <c r="R310" s="2" t="inlineStr">
        <is>
          <t>Entita</t>
        </is>
      </c>
      <c r="S310">
        <f>HYPERLINK("https://klasma.github.io/Logging_0883/artfynd/A 21653-2025 artfynd.xlsx", "A 21653-2025")</f>
        <v/>
      </c>
      <c r="T310">
        <f>HYPERLINK("https://klasma.github.io/Logging_0883/kartor/A 21653-2025 karta.png", "A 21653-2025")</f>
        <v/>
      </c>
      <c r="V310">
        <f>HYPERLINK("https://klasma.github.io/Logging_0883/klagomål/A 21653-2025 FSC-klagomål.docx", "A 21653-2025")</f>
        <v/>
      </c>
      <c r="W310">
        <f>HYPERLINK("https://klasma.github.io/Logging_0883/klagomålsmail/A 21653-2025 FSC-klagomål mail.docx", "A 21653-2025")</f>
        <v/>
      </c>
      <c r="X310">
        <f>HYPERLINK("https://klasma.github.io/Logging_0883/tillsyn/A 21653-2025 tillsynsbegäran.docx", "A 21653-2025")</f>
        <v/>
      </c>
      <c r="Y310">
        <f>HYPERLINK("https://klasma.github.io/Logging_0883/tillsynsmail/A 21653-2025 tillsynsbegäran mail.docx", "A 21653-2025")</f>
        <v/>
      </c>
      <c r="Z310">
        <f>HYPERLINK("https://klasma.github.io/Logging_0883/fåglar/A 21653-2025 prioriterade fågelarter.docx", "A 21653-2025")</f>
        <v/>
      </c>
    </row>
    <row r="311" ht="15" customHeight="1">
      <c r="A311" t="inlineStr">
        <is>
          <t>A 11729-2023</t>
        </is>
      </c>
      <c r="B311" s="1" t="n">
        <v>44994</v>
      </c>
      <c r="C311" s="1" t="n">
        <v>46159</v>
      </c>
      <c r="D311" t="inlineStr">
        <is>
          <t>KALMAR LÄN</t>
        </is>
      </c>
      <c r="E311" t="inlineStr">
        <is>
          <t>VÄSTERVIK</t>
        </is>
      </c>
      <c r="F311" t="inlineStr">
        <is>
          <t>Sveaskog</t>
        </is>
      </c>
      <c r="G311" t="n">
        <v>4.1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HYPERLINK("https://klasma.github.io/Logging_0883/artfynd/A 11729-2023 artfynd.xlsx", "A 11729-2023")</f>
        <v/>
      </c>
      <c r="T311">
        <f>HYPERLINK("https://klasma.github.io/Logging_0883/kartor/A 11729-2023 karta.png", "A 11729-2023")</f>
        <v/>
      </c>
      <c r="V311">
        <f>HYPERLINK("https://klasma.github.io/Logging_0883/klagomål/A 11729-2023 FSC-klagomål.docx", "A 11729-2023")</f>
        <v/>
      </c>
      <c r="W311">
        <f>HYPERLINK("https://klasma.github.io/Logging_0883/klagomålsmail/A 11729-2023 FSC-klagomål mail.docx", "A 11729-2023")</f>
        <v/>
      </c>
      <c r="X311">
        <f>HYPERLINK("https://klasma.github.io/Logging_0883/tillsyn/A 11729-2023 tillsynsbegäran.docx", "A 11729-2023")</f>
        <v/>
      </c>
      <c r="Y311">
        <f>HYPERLINK("https://klasma.github.io/Logging_0883/tillsynsmail/A 11729-2023 tillsynsbegäran mail.docx", "A 11729-2023")</f>
        <v/>
      </c>
    </row>
    <row r="312" ht="15" customHeight="1">
      <c r="A312" t="inlineStr">
        <is>
          <t>A 23186-2025</t>
        </is>
      </c>
      <c r="B312" s="1" t="n">
        <v>45791.44415509259</v>
      </c>
      <c r="C312" s="1" t="n">
        <v>46159</v>
      </c>
      <c r="D312" t="inlineStr">
        <is>
          <t>KALMAR LÄN</t>
        </is>
      </c>
      <c r="E312" t="inlineStr">
        <is>
          <t>VÄSTERVIK</t>
        </is>
      </c>
      <c r="G312" t="n">
        <v>1.4</v>
      </c>
      <c r="H312" t="n">
        <v>0</v>
      </c>
      <c r="I312" t="n">
        <v>0</v>
      </c>
      <c r="J312" t="n">
        <v>1</v>
      </c>
      <c r="K312" t="n">
        <v>0</v>
      </c>
      <c r="L312" t="n">
        <v>0</v>
      </c>
      <c r="M312" t="n">
        <v>0</v>
      </c>
      <c r="N312" t="n">
        <v>0</v>
      </c>
      <c r="O312" t="n">
        <v>1</v>
      </c>
      <c r="P312" t="n">
        <v>0</v>
      </c>
      <c r="Q312" t="n">
        <v>1</v>
      </c>
      <c r="R312" s="2" t="inlineStr">
        <is>
          <t>Krusfrö</t>
        </is>
      </c>
      <c r="S312">
        <f>HYPERLINK("https://klasma.github.io/Logging_0883/artfynd/A 23186-2025 artfynd.xlsx", "A 23186-2025")</f>
        <v/>
      </c>
      <c r="T312">
        <f>HYPERLINK("https://klasma.github.io/Logging_0883/kartor/A 23186-2025 karta.png", "A 23186-2025")</f>
        <v/>
      </c>
      <c r="V312">
        <f>HYPERLINK("https://klasma.github.io/Logging_0883/klagomål/A 23186-2025 FSC-klagomål.docx", "A 23186-2025")</f>
        <v/>
      </c>
      <c r="W312">
        <f>HYPERLINK("https://klasma.github.io/Logging_0883/klagomålsmail/A 23186-2025 FSC-klagomål mail.docx", "A 23186-2025")</f>
        <v/>
      </c>
      <c r="X312">
        <f>HYPERLINK("https://klasma.github.io/Logging_0883/tillsyn/A 23186-2025 tillsynsbegäran.docx", "A 23186-2025")</f>
        <v/>
      </c>
      <c r="Y312">
        <f>HYPERLINK("https://klasma.github.io/Logging_0883/tillsynsmail/A 23186-2025 tillsynsbegäran mail.docx", "A 23186-2025")</f>
        <v/>
      </c>
    </row>
    <row r="313" ht="15" customHeight="1">
      <c r="A313" t="inlineStr">
        <is>
          <t>A 23626-2021</t>
        </is>
      </c>
      <c r="B313" s="1" t="n">
        <v>44334</v>
      </c>
      <c r="C313" s="1" t="n">
        <v>46159</v>
      </c>
      <c r="D313" t="inlineStr">
        <is>
          <t>KALMAR LÄN</t>
        </is>
      </c>
      <c r="E313" t="inlineStr">
        <is>
          <t>VÄSTERVIK</t>
        </is>
      </c>
      <c r="G313" t="n">
        <v>9</v>
      </c>
      <c r="H313" t="n">
        <v>0</v>
      </c>
      <c r="I313" t="n">
        <v>0</v>
      </c>
      <c r="J313" t="n">
        <v>0</v>
      </c>
      <c r="K313" t="n">
        <v>0</v>
      </c>
      <c r="L313" t="n">
        <v>0</v>
      </c>
      <c r="M313" t="n">
        <v>0</v>
      </c>
      <c r="N313" t="n">
        <v>0</v>
      </c>
      <c r="O313" t="n">
        <v>0</v>
      </c>
      <c r="P313" t="n">
        <v>0</v>
      </c>
      <c r="Q313" t="n">
        <v>0</v>
      </c>
      <c r="R313" s="2" t="inlineStr"/>
    </row>
    <row r="314" ht="15" customHeight="1">
      <c r="A314" t="inlineStr">
        <is>
          <t>A 42164-2021</t>
        </is>
      </c>
      <c r="B314" s="1" t="n">
        <v>44426</v>
      </c>
      <c r="C314" s="1" t="n">
        <v>46159</v>
      </c>
      <c r="D314" t="inlineStr">
        <is>
          <t>KALMAR LÄN</t>
        </is>
      </c>
      <c r="E314" t="inlineStr">
        <is>
          <t>VÄSTERVIK</t>
        </is>
      </c>
      <c r="G314" t="n">
        <v>5.5</v>
      </c>
      <c r="H314" t="n">
        <v>0</v>
      </c>
      <c r="I314" t="n">
        <v>0</v>
      </c>
      <c r="J314" t="n">
        <v>0</v>
      </c>
      <c r="K314" t="n">
        <v>0</v>
      </c>
      <c r="L314" t="n">
        <v>0</v>
      </c>
      <c r="M314" t="n">
        <v>0</v>
      </c>
      <c r="N314" t="n">
        <v>0</v>
      </c>
      <c r="O314" t="n">
        <v>0</v>
      </c>
      <c r="P314" t="n">
        <v>0</v>
      </c>
      <c r="Q314" t="n">
        <v>0</v>
      </c>
      <c r="R314" s="2" t="inlineStr"/>
      <c r="U314">
        <f>HYPERLINK("https://klasma.github.io/Logging_0883/knärot/A 42164-2021 karta knärot.png", "A 42164-2021")</f>
        <v/>
      </c>
      <c r="V314">
        <f>HYPERLINK("https://klasma.github.io/Logging_0883/klagomål/A 42164-2021 FSC-klagomål.docx", "A 42164-2021")</f>
        <v/>
      </c>
      <c r="W314">
        <f>HYPERLINK("https://klasma.github.io/Logging_0883/klagomålsmail/A 42164-2021 FSC-klagomål mail.docx", "A 42164-2021")</f>
        <v/>
      </c>
      <c r="X314">
        <f>HYPERLINK("https://klasma.github.io/Logging_0883/tillsyn/A 42164-2021 tillsynsbegäran.docx", "A 42164-2021")</f>
        <v/>
      </c>
      <c r="Y314">
        <f>HYPERLINK("https://klasma.github.io/Logging_0883/tillsynsmail/A 42164-2021 tillsynsbegäran mail.docx", "A 42164-2021")</f>
        <v/>
      </c>
    </row>
    <row r="315" ht="15" customHeight="1">
      <c r="A315" t="inlineStr">
        <is>
          <t>A 3145-2022</t>
        </is>
      </c>
      <c r="B315" s="1" t="n">
        <v>44582.5518287037</v>
      </c>
      <c r="C315" s="1" t="n">
        <v>46159</v>
      </c>
      <c r="D315" t="inlineStr">
        <is>
          <t>KALMAR LÄN</t>
        </is>
      </c>
      <c r="E315" t="inlineStr">
        <is>
          <t>VÄSTERVIK</t>
        </is>
      </c>
      <c r="G315" t="n">
        <v>0.8</v>
      </c>
      <c r="H315" t="n">
        <v>0</v>
      </c>
      <c r="I315" t="n">
        <v>0</v>
      </c>
      <c r="J315" t="n">
        <v>0</v>
      </c>
      <c r="K315" t="n">
        <v>0</v>
      </c>
      <c r="L315" t="n">
        <v>0</v>
      </c>
      <c r="M315" t="n">
        <v>0</v>
      </c>
      <c r="N315" t="n">
        <v>0</v>
      </c>
      <c r="O315" t="n">
        <v>0</v>
      </c>
      <c r="P315" t="n">
        <v>0</v>
      </c>
      <c r="Q315" t="n">
        <v>0</v>
      </c>
      <c r="R315" s="2" t="inlineStr"/>
    </row>
    <row r="316" ht="15" customHeight="1">
      <c r="A316" t="inlineStr">
        <is>
          <t>A 17953-2022</t>
        </is>
      </c>
      <c r="B316" s="1" t="n">
        <v>44683.64341435185</v>
      </c>
      <c r="C316" s="1" t="n">
        <v>46159</v>
      </c>
      <c r="D316" t="inlineStr">
        <is>
          <t>KALMAR LÄN</t>
        </is>
      </c>
      <c r="E316" t="inlineStr">
        <is>
          <t>VÄSTERVIK</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46159</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42131-2021</t>
        </is>
      </c>
      <c r="B318" s="1" t="n">
        <v>44426</v>
      </c>
      <c r="C318" s="1" t="n">
        <v>46159</v>
      </c>
      <c r="D318" t="inlineStr">
        <is>
          <t>KALMAR LÄN</t>
        </is>
      </c>
      <c r="E318" t="inlineStr">
        <is>
          <t>VÄSTERVIK</t>
        </is>
      </c>
      <c r="G318" t="n">
        <v>2.3</v>
      </c>
      <c r="H318" t="n">
        <v>0</v>
      </c>
      <c r="I318" t="n">
        <v>0</v>
      </c>
      <c r="J318" t="n">
        <v>0</v>
      </c>
      <c r="K318" t="n">
        <v>0</v>
      </c>
      <c r="L318" t="n">
        <v>0</v>
      </c>
      <c r="M318" t="n">
        <v>0</v>
      </c>
      <c r="N318" t="n">
        <v>0</v>
      </c>
      <c r="O318" t="n">
        <v>0</v>
      </c>
      <c r="P318" t="n">
        <v>0</v>
      </c>
      <c r="Q318" t="n">
        <v>0</v>
      </c>
      <c r="R318" s="2" t="inlineStr"/>
    </row>
    <row r="319" ht="15" customHeight="1">
      <c r="A319" t="inlineStr">
        <is>
          <t>A 37748-2021</t>
        </is>
      </c>
      <c r="B319" s="1" t="n">
        <v>44400.63459490741</v>
      </c>
      <c r="C319" s="1" t="n">
        <v>46159</v>
      </c>
      <c r="D319" t="inlineStr">
        <is>
          <t>KALMAR LÄN</t>
        </is>
      </c>
      <c r="E319" t="inlineStr">
        <is>
          <t>VÄSTERVIK</t>
        </is>
      </c>
      <c r="G319" t="n">
        <v>0.5</v>
      </c>
      <c r="H319" t="n">
        <v>0</v>
      </c>
      <c r="I319" t="n">
        <v>0</v>
      </c>
      <c r="J319" t="n">
        <v>0</v>
      </c>
      <c r="K319" t="n">
        <v>0</v>
      </c>
      <c r="L319" t="n">
        <v>0</v>
      </c>
      <c r="M319" t="n">
        <v>0</v>
      </c>
      <c r="N319" t="n">
        <v>0</v>
      </c>
      <c r="O319" t="n">
        <v>0</v>
      </c>
      <c r="P319" t="n">
        <v>0</v>
      </c>
      <c r="Q319" t="n">
        <v>0</v>
      </c>
      <c r="R319" s="2" t="inlineStr"/>
    </row>
    <row r="320" ht="15" customHeight="1">
      <c r="A320" t="inlineStr">
        <is>
          <t>A 52289-2022</t>
        </is>
      </c>
      <c r="B320" s="1" t="n">
        <v>44873.67061342593</v>
      </c>
      <c r="C320" s="1" t="n">
        <v>46159</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37036-2021</t>
        </is>
      </c>
      <c r="B321" s="1" t="n">
        <v>44393</v>
      </c>
      <c r="C321" s="1" t="n">
        <v>46159</v>
      </c>
      <c r="D321" t="inlineStr">
        <is>
          <t>KALMAR LÄN</t>
        </is>
      </c>
      <c r="E321" t="inlineStr">
        <is>
          <t>VÄSTERVIK</t>
        </is>
      </c>
      <c r="G321" t="n">
        <v>16.1</v>
      </c>
      <c r="H321" t="n">
        <v>0</v>
      </c>
      <c r="I321" t="n">
        <v>0</v>
      </c>
      <c r="J321" t="n">
        <v>0</v>
      </c>
      <c r="K321" t="n">
        <v>0</v>
      </c>
      <c r="L321" t="n">
        <v>0</v>
      </c>
      <c r="M321" t="n">
        <v>0</v>
      </c>
      <c r="N321" t="n">
        <v>0</v>
      </c>
      <c r="O321" t="n">
        <v>0</v>
      </c>
      <c r="P321" t="n">
        <v>0</v>
      </c>
      <c r="Q321" t="n">
        <v>0</v>
      </c>
      <c r="R321" s="2" t="inlineStr"/>
    </row>
    <row r="322" ht="15" customHeight="1">
      <c r="A322" t="inlineStr">
        <is>
          <t>A 14038-2022</t>
        </is>
      </c>
      <c r="B322" s="1" t="n">
        <v>44650</v>
      </c>
      <c r="C322" s="1" t="n">
        <v>46159</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64822-2021</t>
        </is>
      </c>
      <c r="B323" s="1" t="n">
        <v>44512</v>
      </c>
      <c r="C323" s="1" t="n">
        <v>46159</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57808-2021</t>
        </is>
      </c>
      <c r="B324" s="1" t="n">
        <v>44484</v>
      </c>
      <c r="C324" s="1" t="n">
        <v>46159</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48018-2021</t>
        </is>
      </c>
      <c r="B325" s="1" t="n">
        <v>44449.37518518518</v>
      </c>
      <c r="C325" s="1" t="n">
        <v>46159</v>
      </c>
      <c r="D325" t="inlineStr">
        <is>
          <t>KALMAR LÄN</t>
        </is>
      </c>
      <c r="E325" t="inlineStr">
        <is>
          <t>VÄSTERVIK</t>
        </is>
      </c>
      <c r="G325" t="n">
        <v>1.3</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46159</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46159</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46159</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46159</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46159</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46159</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46159</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46159</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46159</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46159</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46159</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46159</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46159</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10117-2022</t>
        </is>
      </c>
      <c r="B339" s="1" t="n">
        <v>44621.90621527778</v>
      </c>
      <c r="C339" s="1" t="n">
        <v>46159</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34958-2021</t>
        </is>
      </c>
      <c r="B340" s="1" t="n">
        <v>44383</v>
      </c>
      <c r="C340" s="1" t="n">
        <v>46159</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46159</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46159</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46159</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46159</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46159</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46159</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46159</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46159</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46159</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46159</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46159</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35906-2021</t>
        </is>
      </c>
      <c r="B352" s="1" t="n">
        <v>44387.67591435185</v>
      </c>
      <c r="C352" s="1" t="n">
        <v>46159</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46159</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46159</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46159</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46159</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46159</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46159</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46159</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46159</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46159</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46159</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46159</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46159</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46159</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46159</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46159</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46159</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46159</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46159</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46159</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46159</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46159</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46159</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46159</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46159</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46159</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46159</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46159</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46159</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46159</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46159</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46159</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46159</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46159</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49398-2021</t>
        </is>
      </c>
      <c r="B386" s="1" t="n">
        <v>44454.63141203704</v>
      </c>
      <c r="C386" s="1" t="n">
        <v>46159</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46159</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40920-2022</t>
        </is>
      </c>
      <c r="B388" s="1" t="n">
        <v>44825.40943287037</v>
      </c>
      <c r="C388" s="1" t="n">
        <v>46159</v>
      </c>
      <c r="D388" t="inlineStr">
        <is>
          <t>KALMAR LÄN</t>
        </is>
      </c>
      <c r="E388" t="inlineStr">
        <is>
          <t>VÄSTERVIK</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56620-2021</t>
        </is>
      </c>
      <c r="B389" s="1" t="n">
        <v>44480.82778935185</v>
      </c>
      <c r="C389" s="1" t="n">
        <v>46159</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46159</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34118-2021</t>
        </is>
      </c>
      <c r="B391" s="1" t="n">
        <v>44379.45400462963</v>
      </c>
      <c r="C391" s="1" t="n">
        <v>46159</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46159</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34125-2021</t>
        </is>
      </c>
      <c r="B393" s="1" t="n">
        <v>44379.4646875</v>
      </c>
      <c r="C393" s="1" t="n">
        <v>46159</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31319-2021</t>
        </is>
      </c>
      <c r="B394" s="1" t="n">
        <v>44368.91321759259</v>
      </c>
      <c r="C394" s="1" t="n">
        <v>46159</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23996-2021</t>
        </is>
      </c>
      <c r="B395" s="1" t="n">
        <v>44335.88916666667</v>
      </c>
      <c r="C395" s="1" t="n">
        <v>46159</v>
      </c>
      <c r="D395" t="inlineStr">
        <is>
          <t>KALMAR LÄN</t>
        </is>
      </c>
      <c r="E395" t="inlineStr">
        <is>
          <t>VÄSTERVIK</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61317-2021</t>
        </is>
      </c>
      <c r="B396" s="1" t="n">
        <v>44498.65975694444</v>
      </c>
      <c r="C396" s="1" t="n">
        <v>46159</v>
      </c>
      <c r="D396" t="inlineStr">
        <is>
          <t>KALMAR LÄN</t>
        </is>
      </c>
      <c r="E396" t="inlineStr">
        <is>
          <t>VÄSTERVIK</t>
        </is>
      </c>
      <c r="G396" t="n">
        <v>0.6</v>
      </c>
      <c r="H396" t="n">
        <v>0</v>
      </c>
      <c r="I396" t="n">
        <v>0</v>
      </c>
      <c r="J396" t="n">
        <v>0</v>
      </c>
      <c r="K396" t="n">
        <v>0</v>
      </c>
      <c r="L396" t="n">
        <v>0</v>
      </c>
      <c r="M396" t="n">
        <v>0</v>
      </c>
      <c r="N396" t="n">
        <v>0</v>
      </c>
      <c r="O396" t="n">
        <v>0</v>
      </c>
      <c r="P396" t="n">
        <v>0</v>
      </c>
      <c r="Q396" t="n">
        <v>0</v>
      </c>
      <c r="R396" s="2" t="inlineStr"/>
    </row>
    <row r="397" ht="15" customHeight="1">
      <c r="A397" t="inlineStr">
        <is>
          <t>A 49404-2021</t>
        </is>
      </c>
      <c r="B397" s="1" t="n">
        <v>44454.63494212963</v>
      </c>
      <c r="C397" s="1" t="n">
        <v>46159</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49407-2021</t>
        </is>
      </c>
      <c r="B398" s="1" t="n">
        <v>44454.63644675926</v>
      </c>
      <c r="C398" s="1" t="n">
        <v>46159</v>
      </c>
      <c r="D398" t="inlineStr">
        <is>
          <t>KALMAR LÄN</t>
        </is>
      </c>
      <c r="E398" t="inlineStr">
        <is>
          <t>VÄSTERVIK</t>
        </is>
      </c>
      <c r="G398" t="n">
        <v>1</v>
      </c>
      <c r="H398" t="n">
        <v>0</v>
      </c>
      <c r="I398" t="n">
        <v>0</v>
      </c>
      <c r="J398" t="n">
        <v>0</v>
      </c>
      <c r="K398" t="n">
        <v>0</v>
      </c>
      <c r="L398" t="n">
        <v>0</v>
      </c>
      <c r="M398" t="n">
        <v>0</v>
      </c>
      <c r="N398" t="n">
        <v>0</v>
      </c>
      <c r="O398" t="n">
        <v>0</v>
      </c>
      <c r="P398" t="n">
        <v>0</v>
      </c>
      <c r="Q398" t="n">
        <v>0</v>
      </c>
      <c r="R398" s="2" t="inlineStr"/>
    </row>
    <row r="399" ht="15" customHeight="1">
      <c r="A399" t="inlineStr">
        <is>
          <t>A 37753-2021</t>
        </is>
      </c>
      <c r="B399" s="1" t="n">
        <v>44400.63810185185</v>
      </c>
      <c r="C399" s="1" t="n">
        <v>46159</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45450-2023</t>
        </is>
      </c>
      <c r="B400" s="1" t="n">
        <v>45194</v>
      </c>
      <c r="C400" s="1" t="n">
        <v>46159</v>
      </c>
      <c r="D400" t="inlineStr">
        <is>
          <t>KALMAR LÄN</t>
        </is>
      </c>
      <c r="E400" t="inlineStr">
        <is>
          <t>VÄSTERVIK</t>
        </is>
      </c>
      <c r="F400" t="inlineStr">
        <is>
          <t>Holmen skog AB</t>
        </is>
      </c>
      <c r="G400" t="n">
        <v>1.5</v>
      </c>
      <c r="H400" t="n">
        <v>0</v>
      </c>
      <c r="I400" t="n">
        <v>0</v>
      </c>
      <c r="J400" t="n">
        <v>0</v>
      </c>
      <c r="K400" t="n">
        <v>0</v>
      </c>
      <c r="L400" t="n">
        <v>0</v>
      </c>
      <c r="M400" t="n">
        <v>0</v>
      </c>
      <c r="N400" t="n">
        <v>0</v>
      </c>
      <c r="O400" t="n">
        <v>0</v>
      </c>
      <c r="P400" t="n">
        <v>0</v>
      </c>
      <c r="Q400" t="n">
        <v>0</v>
      </c>
      <c r="R400" s="2" t="inlineStr"/>
    </row>
    <row r="401" ht="15" customHeight="1">
      <c r="A401" t="inlineStr">
        <is>
          <t>A 12333-2025</t>
        </is>
      </c>
      <c r="B401" s="1" t="n">
        <v>45730</v>
      </c>
      <c r="C401" s="1" t="n">
        <v>46159</v>
      </c>
      <c r="D401" t="inlineStr">
        <is>
          <t>KALMAR LÄN</t>
        </is>
      </c>
      <c r="E401" t="inlineStr">
        <is>
          <t>VÄSTERVIK</t>
        </is>
      </c>
      <c r="G401" t="n">
        <v>1</v>
      </c>
      <c r="H401" t="n">
        <v>0</v>
      </c>
      <c r="I401" t="n">
        <v>0</v>
      </c>
      <c r="J401" t="n">
        <v>0</v>
      </c>
      <c r="K401" t="n">
        <v>0</v>
      </c>
      <c r="L401" t="n">
        <v>0</v>
      </c>
      <c r="M401" t="n">
        <v>0</v>
      </c>
      <c r="N401" t="n">
        <v>0</v>
      </c>
      <c r="O401" t="n">
        <v>0</v>
      </c>
      <c r="P401" t="n">
        <v>0</v>
      </c>
      <c r="Q401" t="n">
        <v>0</v>
      </c>
      <c r="R401" s="2" t="inlineStr"/>
    </row>
    <row r="402" ht="15" customHeight="1">
      <c r="A402" t="inlineStr">
        <is>
          <t>A 45474-2023</t>
        </is>
      </c>
      <c r="B402" s="1" t="n">
        <v>45194</v>
      </c>
      <c r="C402" s="1" t="n">
        <v>46159</v>
      </c>
      <c r="D402" t="inlineStr">
        <is>
          <t>KALMAR LÄN</t>
        </is>
      </c>
      <c r="E402" t="inlineStr">
        <is>
          <t>VÄSTERVIK</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55053-2024</t>
        </is>
      </c>
      <c r="B403" s="1" t="n">
        <v>45621.39938657408</v>
      </c>
      <c r="C403" s="1" t="n">
        <v>46159</v>
      </c>
      <c r="D403" t="inlineStr">
        <is>
          <t>KALMAR LÄN</t>
        </is>
      </c>
      <c r="E403" t="inlineStr">
        <is>
          <t>VÄSTERVIK</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4520-2024</t>
        </is>
      </c>
      <c r="B404" s="1" t="n">
        <v>45327</v>
      </c>
      <c r="C404" s="1" t="n">
        <v>46159</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47363-2023</t>
        </is>
      </c>
      <c r="B405" s="1" t="n">
        <v>45202.59584490741</v>
      </c>
      <c r="C405" s="1" t="n">
        <v>46159</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43759-2023</t>
        </is>
      </c>
      <c r="B406" s="1" t="n">
        <v>45187</v>
      </c>
      <c r="C406" s="1" t="n">
        <v>46159</v>
      </c>
      <c r="D406" t="inlineStr">
        <is>
          <t>KALMAR LÄN</t>
        </is>
      </c>
      <c r="E406" t="inlineStr">
        <is>
          <t>VÄSTERVIK</t>
        </is>
      </c>
      <c r="G406" t="n">
        <v>3.3</v>
      </c>
      <c r="H406" t="n">
        <v>0</v>
      </c>
      <c r="I406" t="n">
        <v>0</v>
      </c>
      <c r="J406" t="n">
        <v>0</v>
      </c>
      <c r="K406" t="n">
        <v>0</v>
      </c>
      <c r="L406" t="n">
        <v>0</v>
      </c>
      <c r="M406" t="n">
        <v>0</v>
      </c>
      <c r="N406" t="n">
        <v>0</v>
      </c>
      <c r="O406" t="n">
        <v>0</v>
      </c>
      <c r="P406" t="n">
        <v>0</v>
      </c>
      <c r="Q406" t="n">
        <v>0</v>
      </c>
      <c r="R406" s="2" t="inlineStr"/>
    </row>
    <row r="407" ht="15" customHeight="1">
      <c r="A407" t="inlineStr">
        <is>
          <t>A 44705-2023</t>
        </is>
      </c>
      <c r="B407" s="1" t="n">
        <v>45190</v>
      </c>
      <c r="C407" s="1" t="n">
        <v>46159</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5355-2024</t>
        </is>
      </c>
      <c r="B408" s="1" t="n">
        <v>45331</v>
      </c>
      <c r="C408" s="1" t="n">
        <v>46159</v>
      </c>
      <c r="D408" t="inlineStr">
        <is>
          <t>KALMAR LÄN</t>
        </is>
      </c>
      <c r="E408" t="inlineStr">
        <is>
          <t>VÄSTERVIK</t>
        </is>
      </c>
      <c r="F408" t="inlineStr">
        <is>
          <t>Övriga Aktiebolag</t>
        </is>
      </c>
      <c r="G408" t="n">
        <v>1.8</v>
      </c>
      <c r="H408" t="n">
        <v>0</v>
      </c>
      <c r="I408" t="n">
        <v>0</v>
      </c>
      <c r="J408" t="n">
        <v>0</v>
      </c>
      <c r="K408" t="n">
        <v>0</v>
      </c>
      <c r="L408" t="n">
        <v>0</v>
      </c>
      <c r="M408" t="n">
        <v>0</v>
      </c>
      <c r="N408" t="n">
        <v>0</v>
      </c>
      <c r="O408" t="n">
        <v>0</v>
      </c>
      <c r="P408" t="n">
        <v>0</v>
      </c>
      <c r="Q408" t="n">
        <v>0</v>
      </c>
      <c r="R408" s="2" t="inlineStr"/>
    </row>
    <row r="409" ht="15" customHeight="1">
      <c r="A409" t="inlineStr">
        <is>
          <t>A 12433-2024</t>
        </is>
      </c>
      <c r="B409" s="1" t="n">
        <v>45379.44450231481</v>
      </c>
      <c r="C409" s="1" t="n">
        <v>46159</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8619-2024</t>
        </is>
      </c>
      <c r="B410" s="1" t="n">
        <v>45355.73599537037</v>
      </c>
      <c r="C410" s="1" t="n">
        <v>46159</v>
      </c>
      <c r="D410" t="inlineStr">
        <is>
          <t>KALMAR LÄN</t>
        </is>
      </c>
      <c r="E410" t="inlineStr">
        <is>
          <t>VÄSTERVIK</t>
        </is>
      </c>
      <c r="G410" t="n">
        <v>1.6</v>
      </c>
      <c r="H410" t="n">
        <v>0</v>
      </c>
      <c r="I410" t="n">
        <v>0</v>
      </c>
      <c r="J410" t="n">
        <v>0</v>
      </c>
      <c r="K410" t="n">
        <v>0</v>
      </c>
      <c r="L410" t="n">
        <v>0</v>
      </c>
      <c r="M410" t="n">
        <v>0</v>
      </c>
      <c r="N410" t="n">
        <v>0</v>
      </c>
      <c r="O410" t="n">
        <v>0</v>
      </c>
      <c r="P410" t="n">
        <v>0</v>
      </c>
      <c r="Q410" t="n">
        <v>0</v>
      </c>
      <c r="R410" s="2" t="inlineStr"/>
    </row>
    <row r="411" ht="15" customHeight="1">
      <c r="A411" t="inlineStr">
        <is>
          <t>A 562-2023</t>
        </is>
      </c>
      <c r="B411" s="1" t="n">
        <v>44930</v>
      </c>
      <c r="C411" s="1" t="n">
        <v>46159</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46267-2022</t>
        </is>
      </c>
      <c r="B412" s="1" t="n">
        <v>44847</v>
      </c>
      <c r="C412" s="1" t="n">
        <v>46159</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17650-2023</t>
        </is>
      </c>
      <c r="B413" s="1" t="n">
        <v>45036.70215277778</v>
      </c>
      <c r="C413" s="1" t="n">
        <v>46159</v>
      </c>
      <c r="D413" t="inlineStr">
        <is>
          <t>KALMAR LÄN</t>
        </is>
      </c>
      <c r="E413" t="inlineStr">
        <is>
          <t>VÄSTERVIK</t>
        </is>
      </c>
      <c r="G413" t="n">
        <v>0.3</v>
      </c>
      <c r="H413" t="n">
        <v>0</v>
      </c>
      <c r="I413" t="n">
        <v>0</v>
      </c>
      <c r="J413" t="n">
        <v>0</v>
      </c>
      <c r="K413" t="n">
        <v>0</v>
      </c>
      <c r="L413" t="n">
        <v>0</v>
      </c>
      <c r="M413" t="n">
        <v>0</v>
      </c>
      <c r="N413" t="n">
        <v>0</v>
      </c>
      <c r="O413" t="n">
        <v>0</v>
      </c>
      <c r="P413" t="n">
        <v>0</v>
      </c>
      <c r="Q413" t="n">
        <v>0</v>
      </c>
      <c r="R413" s="2" t="inlineStr"/>
    </row>
    <row r="414" ht="15" customHeight="1">
      <c r="A414" t="inlineStr">
        <is>
          <t>A 46560-2022</t>
        </is>
      </c>
      <c r="B414" s="1" t="n">
        <v>44848</v>
      </c>
      <c r="C414" s="1" t="n">
        <v>46159</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31952-2021</t>
        </is>
      </c>
      <c r="B415" s="1" t="n">
        <v>44370</v>
      </c>
      <c r="C415" s="1" t="n">
        <v>46159</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13836-2024</t>
        </is>
      </c>
      <c r="B416" s="1" t="n">
        <v>45391.44385416667</v>
      </c>
      <c r="C416" s="1" t="n">
        <v>46159</v>
      </c>
      <c r="D416" t="inlineStr">
        <is>
          <t>KALMAR LÄN</t>
        </is>
      </c>
      <c r="E416" t="inlineStr">
        <is>
          <t>VÄSTERVIK</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64920-2021</t>
        </is>
      </c>
      <c r="B417" s="1" t="n">
        <v>44512</v>
      </c>
      <c r="C417" s="1" t="n">
        <v>46159</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c r="U417">
        <f>HYPERLINK("https://klasma.github.io/Logging_0883/knärot/A 64920-2021 karta knärot.png", "A 64920-2021")</f>
        <v/>
      </c>
      <c r="V417">
        <f>HYPERLINK("https://klasma.github.io/Logging_0883/klagomål/A 64920-2021 FSC-klagomål.docx", "A 64920-2021")</f>
        <v/>
      </c>
      <c r="W417">
        <f>HYPERLINK("https://klasma.github.io/Logging_0883/klagomålsmail/A 64920-2021 FSC-klagomål mail.docx", "A 64920-2021")</f>
        <v/>
      </c>
      <c r="X417">
        <f>HYPERLINK("https://klasma.github.io/Logging_0883/tillsyn/A 64920-2021 tillsynsbegäran.docx", "A 64920-2021")</f>
        <v/>
      </c>
      <c r="Y417">
        <f>HYPERLINK("https://klasma.github.io/Logging_0883/tillsynsmail/A 64920-2021 tillsynsbegäran mail.docx", "A 64920-2021")</f>
        <v/>
      </c>
    </row>
    <row r="418" ht="15" customHeight="1">
      <c r="A418" t="inlineStr">
        <is>
          <t>A 12643-2024</t>
        </is>
      </c>
      <c r="B418" s="1" t="n">
        <v>45379</v>
      </c>
      <c r="C418" s="1" t="n">
        <v>46159</v>
      </c>
      <c r="D418" t="inlineStr">
        <is>
          <t>KALMAR LÄN</t>
        </is>
      </c>
      <c r="E418" t="inlineStr">
        <is>
          <t>VÄSTERVIK</t>
        </is>
      </c>
      <c r="F418" t="inlineStr">
        <is>
          <t>Kommuner</t>
        </is>
      </c>
      <c r="G418" t="n">
        <v>2.1</v>
      </c>
      <c r="H418" t="n">
        <v>0</v>
      </c>
      <c r="I418" t="n">
        <v>0</v>
      </c>
      <c r="J418" t="n">
        <v>0</v>
      </c>
      <c r="K418" t="n">
        <v>0</v>
      </c>
      <c r="L418" t="n">
        <v>0</v>
      </c>
      <c r="M418" t="n">
        <v>0</v>
      </c>
      <c r="N418" t="n">
        <v>0</v>
      </c>
      <c r="O418" t="n">
        <v>0</v>
      </c>
      <c r="P418" t="n">
        <v>0</v>
      </c>
      <c r="Q418" t="n">
        <v>0</v>
      </c>
      <c r="R418" s="2" t="inlineStr"/>
    </row>
    <row r="419" ht="15" customHeight="1">
      <c r="A419" t="inlineStr">
        <is>
          <t>A 1096-2024</t>
        </is>
      </c>
      <c r="B419" s="1" t="n">
        <v>45302</v>
      </c>
      <c r="C419" s="1" t="n">
        <v>46159</v>
      </c>
      <c r="D419" t="inlineStr">
        <is>
          <t>KALMAR LÄN</t>
        </is>
      </c>
      <c r="E419" t="inlineStr">
        <is>
          <t>VÄSTERVIK</t>
        </is>
      </c>
      <c r="G419" t="n">
        <v>2.6</v>
      </c>
      <c r="H419" t="n">
        <v>0</v>
      </c>
      <c r="I419" t="n">
        <v>0</v>
      </c>
      <c r="J419" t="n">
        <v>0</v>
      </c>
      <c r="K419" t="n">
        <v>0</v>
      </c>
      <c r="L419" t="n">
        <v>0</v>
      </c>
      <c r="M419" t="n">
        <v>0</v>
      </c>
      <c r="N419" t="n">
        <v>0</v>
      </c>
      <c r="O419" t="n">
        <v>0</v>
      </c>
      <c r="P419" t="n">
        <v>0</v>
      </c>
      <c r="Q419" t="n">
        <v>0</v>
      </c>
      <c r="R419" s="2" t="inlineStr"/>
    </row>
    <row r="420" ht="15" customHeight="1">
      <c r="A420" t="inlineStr">
        <is>
          <t>A 31592-2021</t>
        </is>
      </c>
      <c r="B420" s="1" t="n">
        <v>44369.56576388889</v>
      </c>
      <c r="C420" s="1" t="n">
        <v>46159</v>
      </c>
      <c r="D420" t="inlineStr">
        <is>
          <t>KALMAR LÄN</t>
        </is>
      </c>
      <c r="E420" t="inlineStr">
        <is>
          <t>VÄSTERVIK</t>
        </is>
      </c>
      <c r="G420" t="n">
        <v>1.3</v>
      </c>
      <c r="H420" t="n">
        <v>0</v>
      </c>
      <c r="I420" t="n">
        <v>0</v>
      </c>
      <c r="J420" t="n">
        <v>0</v>
      </c>
      <c r="K420" t="n">
        <v>0</v>
      </c>
      <c r="L420" t="n">
        <v>0</v>
      </c>
      <c r="M420" t="n">
        <v>0</v>
      </c>
      <c r="N420" t="n">
        <v>0</v>
      </c>
      <c r="O420" t="n">
        <v>0</v>
      </c>
      <c r="P420" t="n">
        <v>0</v>
      </c>
      <c r="Q420" t="n">
        <v>0</v>
      </c>
      <c r="R420" s="2" t="inlineStr"/>
    </row>
    <row r="421" ht="15" customHeight="1">
      <c r="A421" t="inlineStr">
        <is>
          <t>A 944-2024</t>
        </is>
      </c>
      <c r="B421" s="1" t="n">
        <v>45301.54230324074</v>
      </c>
      <c r="C421" s="1" t="n">
        <v>46159</v>
      </c>
      <c r="D421" t="inlineStr">
        <is>
          <t>KALMAR LÄN</t>
        </is>
      </c>
      <c r="E421" t="inlineStr">
        <is>
          <t>VÄSTERVIK</t>
        </is>
      </c>
      <c r="G421" t="n">
        <v>2.2</v>
      </c>
      <c r="H421" t="n">
        <v>0</v>
      </c>
      <c r="I421" t="n">
        <v>0</v>
      </c>
      <c r="J421" t="n">
        <v>0</v>
      </c>
      <c r="K421" t="n">
        <v>0</v>
      </c>
      <c r="L421" t="n">
        <v>0</v>
      </c>
      <c r="M421" t="n">
        <v>0</v>
      </c>
      <c r="N421" t="n">
        <v>0</v>
      </c>
      <c r="O421" t="n">
        <v>0</v>
      </c>
      <c r="P421" t="n">
        <v>0</v>
      </c>
      <c r="Q421" t="n">
        <v>0</v>
      </c>
      <c r="R421" s="2" t="inlineStr"/>
    </row>
    <row r="422" ht="15" customHeight="1">
      <c r="A422" t="inlineStr">
        <is>
          <t>A 946-2024</t>
        </is>
      </c>
      <c r="B422" s="1" t="n">
        <v>45301.54412037037</v>
      </c>
      <c r="C422" s="1" t="n">
        <v>46159</v>
      </c>
      <c r="D422" t="inlineStr">
        <is>
          <t>KALMAR LÄN</t>
        </is>
      </c>
      <c r="E422" t="inlineStr">
        <is>
          <t>VÄSTERVIK</t>
        </is>
      </c>
      <c r="G422" t="n">
        <v>1</v>
      </c>
      <c r="H422" t="n">
        <v>0</v>
      </c>
      <c r="I422" t="n">
        <v>0</v>
      </c>
      <c r="J422" t="n">
        <v>0</v>
      </c>
      <c r="K422" t="n">
        <v>0</v>
      </c>
      <c r="L422" t="n">
        <v>0</v>
      </c>
      <c r="M422" t="n">
        <v>0</v>
      </c>
      <c r="N422" t="n">
        <v>0</v>
      </c>
      <c r="O422" t="n">
        <v>0</v>
      </c>
      <c r="P422" t="n">
        <v>0</v>
      </c>
      <c r="Q422" t="n">
        <v>0</v>
      </c>
      <c r="R422" s="2" t="inlineStr"/>
    </row>
    <row r="423" ht="15" customHeight="1">
      <c r="A423" t="inlineStr">
        <is>
          <t>A 24567-2024</t>
        </is>
      </c>
      <c r="B423" s="1" t="n">
        <v>45460.44732638889</v>
      </c>
      <c r="C423" s="1" t="n">
        <v>46159</v>
      </c>
      <c r="D423" t="inlineStr">
        <is>
          <t>KALMAR LÄN</t>
        </is>
      </c>
      <c r="E423" t="inlineStr">
        <is>
          <t>VÄSTERVIK</t>
        </is>
      </c>
      <c r="G423" t="n">
        <v>5.1</v>
      </c>
      <c r="H423" t="n">
        <v>0</v>
      </c>
      <c r="I423" t="n">
        <v>0</v>
      </c>
      <c r="J423" t="n">
        <v>0</v>
      </c>
      <c r="K423" t="n">
        <v>0</v>
      </c>
      <c r="L423" t="n">
        <v>0</v>
      </c>
      <c r="M423" t="n">
        <v>0</v>
      </c>
      <c r="N423" t="n">
        <v>0</v>
      </c>
      <c r="O423" t="n">
        <v>0</v>
      </c>
      <c r="P423" t="n">
        <v>0</v>
      </c>
      <c r="Q423" t="n">
        <v>0</v>
      </c>
      <c r="R423" s="2" t="inlineStr"/>
    </row>
    <row r="424" ht="15" customHeight="1">
      <c r="A424" t="inlineStr">
        <is>
          <t>A 25561-2024</t>
        </is>
      </c>
      <c r="B424" s="1" t="n">
        <v>45463.58467592593</v>
      </c>
      <c r="C424" s="1" t="n">
        <v>46159</v>
      </c>
      <c r="D424" t="inlineStr">
        <is>
          <t>KALMAR LÄN</t>
        </is>
      </c>
      <c r="E424" t="inlineStr">
        <is>
          <t>VÄSTERVIK</t>
        </is>
      </c>
      <c r="F424" t="inlineStr">
        <is>
          <t>Holmen skog AB</t>
        </is>
      </c>
      <c r="G424" t="n">
        <v>7.2</v>
      </c>
      <c r="H424" t="n">
        <v>0</v>
      </c>
      <c r="I424" t="n">
        <v>0</v>
      </c>
      <c r="J424" t="n">
        <v>0</v>
      </c>
      <c r="K424" t="n">
        <v>0</v>
      </c>
      <c r="L424" t="n">
        <v>0</v>
      </c>
      <c r="M424" t="n">
        <v>0</v>
      </c>
      <c r="N424" t="n">
        <v>0</v>
      </c>
      <c r="O424" t="n">
        <v>0</v>
      </c>
      <c r="P424" t="n">
        <v>0</v>
      </c>
      <c r="Q424" t="n">
        <v>0</v>
      </c>
      <c r="R424" s="2" t="inlineStr"/>
    </row>
    <row r="425" ht="15" customHeight="1">
      <c r="A425" t="inlineStr">
        <is>
          <t>A 18143-2024</t>
        </is>
      </c>
      <c r="B425" s="1" t="n">
        <v>45420</v>
      </c>
      <c r="C425" s="1" t="n">
        <v>46159</v>
      </c>
      <c r="D425" t="inlineStr">
        <is>
          <t>KALMAR LÄN</t>
        </is>
      </c>
      <c r="E425" t="inlineStr">
        <is>
          <t>VÄSTERVIK</t>
        </is>
      </c>
      <c r="G425" t="n">
        <v>3</v>
      </c>
      <c r="H425" t="n">
        <v>0</v>
      </c>
      <c r="I425" t="n">
        <v>0</v>
      </c>
      <c r="J425" t="n">
        <v>0</v>
      </c>
      <c r="K425" t="n">
        <v>0</v>
      </c>
      <c r="L425" t="n">
        <v>0</v>
      </c>
      <c r="M425" t="n">
        <v>0</v>
      </c>
      <c r="N425" t="n">
        <v>0</v>
      </c>
      <c r="O425" t="n">
        <v>0</v>
      </c>
      <c r="P425" t="n">
        <v>0</v>
      </c>
      <c r="Q425" t="n">
        <v>0</v>
      </c>
      <c r="R425" s="2" t="inlineStr"/>
    </row>
    <row r="426" ht="15" customHeight="1">
      <c r="A426" t="inlineStr">
        <is>
          <t>A 21752-2024</t>
        </is>
      </c>
      <c r="B426" s="1" t="n">
        <v>45442.58048611111</v>
      </c>
      <c r="C426" s="1" t="n">
        <v>46159</v>
      </c>
      <c r="D426" t="inlineStr">
        <is>
          <t>KALMAR LÄN</t>
        </is>
      </c>
      <c r="E426" t="inlineStr">
        <is>
          <t>VÄSTERVIK</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13837-2024</t>
        </is>
      </c>
      <c r="B427" s="1" t="n">
        <v>45391.4450462963</v>
      </c>
      <c r="C427" s="1" t="n">
        <v>46159</v>
      </c>
      <c r="D427" t="inlineStr">
        <is>
          <t>KALMAR LÄN</t>
        </is>
      </c>
      <c r="E427" t="inlineStr">
        <is>
          <t>VÄSTERVIK</t>
        </is>
      </c>
      <c r="F427" t="inlineStr">
        <is>
          <t>Sveaskog</t>
        </is>
      </c>
      <c r="G427" t="n">
        <v>2.9</v>
      </c>
      <c r="H427" t="n">
        <v>0</v>
      </c>
      <c r="I427" t="n">
        <v>0</v>
      </c>
      <c r="J427" t="n">
        <v>0</v>
      </c>
      <c r="K427" t="n">
        <v>0</v>
      </c>
      <c r="L427" t="n">
        <v>0</v>
      </c>
      <c r="M427" t="n">
        <v>0</v>
      </c>
      <c r="N427" t="n">
        <v>0</v>
      </c>
      <c r="O427" t="n">
        <v>0</v>
      </c>
      <c r="P427" t="n">
        <v>0</v>
      </c>
      <c r="Q427" t="n">
        <v>0</v>
      </c>
      <c r="R427" s="2" t="inlineStr"/>
    </row>
    <row r="428" ht="15" customHeight="1">
      <c r="A428" t="inlineStr">
        <is>
          <t>A 13839-2024</t>
        </is>
      </c>
      <c r="B428" s="1" t="n">
        <v>45391.44789351852</v>
      </c>
      <c r="C428" s="1" t="n">
        <v>46159</v>
      </c>
      <c r="D428" t="inlineStr">
        <is>
          <t>KALMAR LÄN</t>
        </is>
      </c>
      <c r="E428" t="inlineStr">
        <is>
          <t>VÄSTERVIK</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31686-2023</t>
        </is>
      </c>
      <c r="B429" s="1" t="n">
        <v>45117</v>
      </c>
      <c r="C429" s="1" t="n">
        <v>46159</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60634-2023</t>
        </is>
      </c>
      <c r="B430" s="1" t="n">
        <v>45260.40186342593</v>
      </c>
      <c r="C430" s="1" t="n">
        <v>46159</v>
      </c>
      <c r="D430" t="inlineStr">
        <is>
          <t>KALMAR LÄN</t>
        </is>
      </c>
      <c r="E430" t="inlineStr">
        <is>
          <t>VÄSTERVIK</t>
        </is>
      </c>
      <c r="G430" t="n">
        <v>2</v>
      </c>
      <c r="H430" t="n">
        <v>0</v>
      </c>
      <c r="I430" t="n">
        <v>0</v>
      </c>
      <c r="J430" t="n">
        <v>0</v>
      </c>
      <c r="K430" t="n">
        <v>0</v>
      </c>
      <c r="L430" t="n">
        <v>0</v>
      </c>
      <c r="M430" t="n">
        <v>0</v>
      </c>
      <c r="N430" t="n">
        <v>0</v>
      </c>
      <c r="O430" t="n">
        <v>0</v>
      </c>
      <c r="P430" t="n">
        <v>0</v>
      </c>
      <c r="Q430" t="n">
        <v>0</v>
      </c>
      <c r="R430" s="2" t="inlineStr"/>
    </row>
    <row r="431" ht="15" customHeight="1">
      <c r="A431" t="inlineStr">
        <is>
          <t>A 23626-2024</t>
        </is>
      </c>
      <c r="B431" s="1" t="n">
        <v>45454</v>
      </c>
      <c r="C431" s="1" t="n">
        <v>46159</v>
      </c>
      <c r="D431" t="inlineStr">
        <is>
          <t>KALMAR LÄN</t>
        </is>
      </c>
      <c r="E431" t="inlineStr">
        <is>
          <t>VÄSTERVIK</t>
        </is>
      </c>
      <c r="G431" t="n">
        <v>2.1</v>
      </c>
      <c r="H431" t="n">
        <v>0</v>
      </c>
      <c r="I431" t="n">
        <v>0</v>
      </c>
      <c r="J431" t="n">
        <v>0</v>
      </c>
      <c r="K431" t="n">
        <v>0</v>
      </c>
      <c r="L431" t="n">
        <v>0</v>
      </c>
      <c r="M431" t="n">
        <v>0</v>
      </c>
      <c r="N431" t="n">
        <v>0</v>
      </c>
      <c r="O431" t="n">
        <v>0</v>
      </c>
      <c r="P431" t="n">
        <v>0</v>
      </c>
      <c r="Q431" t="n">
        <v>0</v>
      </c>
      <c r="R431" s="2" t="inlineStr"/>
    </row>
    <row r="432" ht="15" customHeight="1">
      <c r="A432" t="inlineStr">
        <is>
          <t>A 25180-2023</t>
        </is>
      </c>
      <c r="B432" s="1" t="n">
        <v>45086</v>
      </c>
      <c r="C432" s="1" t="n">
        <v>46159</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26140-2024</t>
        </is>
      </c>
      <c r="B433" s="1" t="n">
        <v>45468</v>
      </c>
      <c r="C433" s="1" t="n">
        <v>46159</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56188-2023</t>
        </is>
      </c>
      <c r="B434" s="1" t="n">
        <v>45240.65173611111</v>
      </c>
      <c r="C434" s="1" t="n">
        <v>46159</v>
      </c>
      <c r="D434" t="inlineStr">
        <is>
          <t>KALMAR LÄN</t>
        </is>
      </c>
      <c r="E434" t="inlineStr">
        <is>
          <t>VÄSTERVIK</t>
        </is>
      </c>
      <c r="G434" t="n">
        <v>1.9</v>
      </c>
      <c r="H434" t="n">
        <v>0</v>
      </c>
      <c r="I434" t="n">
        <v>0</v>
      </c>
      <c r="J434" t="n">
        <v>0</v>
      </c>
      <c r="K434" t="n">
        <v>0</v>
      </c>
      <c r="L434" t="n">
        <v>0</v>
      </c>
      <c r="M434" t="n">
        <v>0</v>
      </c>
      <c r="N434" t="n">
        <v>0</v>
      </c>
      <c r="O434" t="n">
        <v>0</v>
      </c>
      <c r="P434" t="n">
        <v>0</v>
      </c>
      <c r="Q434" t="n">
        <v>0</v>
      </c>
      <c r="R434" s="2" t="inlineStr"/>
    </row>
    <row r="435" ht="15" customHeight="1">
      <c r="A435" t="inlineStr">
        <is>
          <t>A 49286-2022</t>
        </is>
      </c>
      <c r="B435" s="1" t="n">
        <v>44861.45876157407</v>
      </c>
      <c r="C435" s="1" t="n">
        <v>46159</v>
      </c>
      <c r="D435" t="inlineStr">
        <is>
          <t>KALMAR LÄN</t>
        </is>
      </c>
      <c r="E435" t="inlineStr">
        <is>
          <t>VÄSTERVIK</t>
        </is>
      </c>
      <c r="G435" t="n">
        <v>2.6</v>
      </c>
      <c r="H435" t="n">
        <v>0</v>
      </c>
      <c r="I435" t="n">
        <v>0</v>
      </c>
      <c r="J435" t="n">
        <v>0</v>
      </c>
      <c r="K435" t="n">
        <v>0</v>
      </c>
      <c r="L435" t="n">
        <v>0</v>
      </c>
      <c r="M435" t="n">
        <v>0</v>
      </c>
      <c r="N435" t="n">
        <v>0</v>
      </c>
      <c r="O435" t="n">
        <v>0</v>
      </c>
      <c r="P435" t="n">
        <v>0</v>
      </c>
      <c r="Q435" t="n">
        <v>0</v>
      </c>
      <c r="R435" s="2" t="inlineStr"/>
    </row>
    <row r="436" ht="15" customHeight="1">
      <c r="A436" t="inlineStr">
        <is>
          <t>A 63589-2025</t>
        </is>
      </c>
      <c r="B436" s="1" t="n">
        <v>46013.80627314815</v>
      </c>
      <c r="C436" s="1" t="n">
        <v>46159</v>
      </c>
      <c r="D436" t="inlineStr">
        <is>
          <t>KALMAR LÄN</t>
        </is>
      </c>
      <c r="E436" t="inlineStr">
        <is>
          <t>VÄSTERVIK</t>
        </is>
      </c>
      <c r="F436" t="inlineStr">
        <is>
          <t>Sveaskog</t>
        </is>
      </c>
      <c r="G436" t="n">
        <v>13.2</v>
      </c>
      <c r="H436" t="n">
        <v>0</v>
      </c>
      <c r="I436" t="n">
        <v>0</v>
      </c>
      <c r="J436" t="n">
        <v>0</v>
      </c>
      <c r="K436" t="n">
        <v>0</v>
      </c>
      <c r="L436" t="n">
        <v>0</v>
      </c>
      <c r="M436" t="n">
        <v>0</v>
      </c>
      <c r="N436" t="n">
        <v>0</v>
      </c>
      <c r="O436" t="n">
        <v>0</v>
      </c>
      <c r="P436" t="n">
        <v>0</v>
      </c>
      <c r="Q436" t="n">
        <v>0</v>
      </c>
      <c r="R436" s="2" t="inlineStr"/>
    </row>
    <row r="437" ht="15" customHeight="1">
      <c r="A437" t="inlineStr">
        <is>
          <t>A 8005-2023</t>
        </is>
      </c>
      <c r="B437" s="1" t="n">
        <v>44973.88452546296</v>
      </c>
      <c r="C437" s="1" t="n">
        <v>46159</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63587-2025</t>
        </is>
      </c>
      <c r="B438" s="1" t="n">
        <v>46013.80384259259</v>
      </c>
      <c r="C438" s="1" t="n">
        <v>46159</v>
      </c>
      <c r="D438" t="inlineStr">
        <is>
          <t>KALMAR LÄN</t>
        </is>
      </c>
      <c r="E438" t="inlineStr">
        <is>
          <t>VÄSTERVIK</t>
        </is>
      </c>
      <c r="F438" t="inlineStr">
        <is>
          <t>Sveaskog</t>
        </is>
      </c>
      <c r="G438" t="n">
        <v>2.5</v>
      </c>
      <c r="H438" t="n">
        <v>0</v>
      </c>
      <c r="I438" t="n">
        <v>0</v>
      </c>
      <c r="J438" t="n">
        <v>0</v>
      </c>
      <c r="K438" t="n">
        <v>0</v>
      </c>
      <c r="L438" t="n">
        <v>0</v>
      </c>
      <c r="M438" t="n">
        <v>0</v>
      </c>
      <c r="N438" t="n">
        <v>0</v>
      </c>
      <c r="O438" t="n">
        <v>0</v>
      </c>
      <c r="P438" t="n">
        <v>0</v>
      </c>
      <c r="Q438" t="n">
        <v>0</v>
      </c>
      <c r="R438" s="2" t="inlineStr"/>
    </row>
    <row r="439" ht="15" customHeight="1">
      <c r="A439" t="inlineStr">
        <is>
          <t>A 63588-2025</t>
        </is>
      </c>
      <c r="B439" s="1" t="n">
        <v>46013.80505787037</v>
      </c>
      <c r="C439" s="1" t="n">
        <v>46159</v>
      </c>
      <c r="D439" t="inlineStr">
        <is>
          <t>KALMAR LÄN</t>
        </is>
      </c>
      <c r="E439" t="inlineStr">
        <is>
          <t>VÄSTERVIK</t>
        </is>
      </c>
      <c r="F439" t="inlineStr">
        <is>
          <t>Sveaskog</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63590-2025</t>
        </is>
      </c>
      <c r="B440" s="1" t="n">
        <v>46013.8079050926</v>
      </c>
      <c r="C440" s="1" t="n">
        <v>46159</v>
      </c>
      <c r="D440" t="inlineStr">
        <is>
          <t>KALMAR LÄN</t>
        </is>
      </c>
      <c r="E440" t="inlineStr">
        <is>
          <t>VÄSTERVIK</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63591-2025</t>
        </is>
      </c>
      <c r="B441" s="1" t="n">
        <v>46013.80930555556</v>
      </c>
      <c r="C441" s="1" t="n">
        <v>46159</v>
      </c>
      <c r="D441" t="inlineStr">
        <is>
          <t>KALMAR LÄN</t>
        </is>
      </c>
      <c r="E441" t="inlineStr">
        <is>
          <t>VÄSTERVIK</t>
        </is>
      </c>
      <c r="F441" t="inlineStr">
        <is>
          <t>Sveaskog</t>
        </is>
      </c>
      <c r="G441" t="n">
        <v>13.7</v>
      </c>
      <c r="H441" t="n">
        <v>0</v>
      </c>
      <c r="I441" t="n">
        <v>0</v>
      </c>
      <c r="J441" t="n">
        <v>0</v>
      </c>
      <c r="K441" t="n">
        <v>0</v>
      </c>
      <c r="L441" t="n">
        <v>0</v>
      </c>
      <c r="M441" t="n">
        <v>0</v>
      </c>
      <c r="N441" t="n">
        <v>0</v>
      </c>
      <c r="O441" t="n">
        <v>0</v>
      </c>
      <c r="P441" t="n">
        <v>0</v>
      </c>
      <c r="Q441" t="n">
        <v>0</v>
      </c>
      <c r="R441" s="2" t="inlineStr"/>
    </row>
    <row r="442" ht="15" customHeight="1">
      <c r="A442" t="inlineStr">
        <is>
          <t>A 59696-2023</t>
        </is>
      </c>
      <c r="B442" s="1" t="n">
        <v>45256.85211805555</v>
      </c>
      <c r="C442" s="1" t="n">
        <v>46159</v>
      </c>
      <c r="D442" t="inlineStr">
        <is>
          <t>KALMAR LÄN</t>
        </is>
      </c>
      <c r="E442" t="inlineStr">
        <is>
          <t>VÄSTERVIK</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60056-2023</t>
        </is>
      </c>
      <c r="B443" s="1" t="n">
        <v>45258</v>
      </c>
      <c r="C443" s="1" t="n">
        <v>46159</v>
      </c>
      <c r="D443" t="inlineStr">
        <is>
          <t>KALMAR LÄN</t>
        </is>
      </c>
      <c r="E443" t="inlineStr">
        <is>
          <t>VÄSTERVIK</t>
        </is>
      </c>
      <c r="G443" t="n">
        <v>0.4</v>
      </c>
      <c r="H443" t="n">
        <v>0</v>
      </c>
      <c r="I443" t="n">
        <v>0</v>
      </c>
      <c r="J443" t="n">
        <v>0</v>
      </c>
      <c r="K443" t="n">
        <v>0</v>
      </c>
      <c r="L443" t="n">
        <v>0</v>
      </c>
      <c r="M443" t="n">
        <v>0</v>
      </c>
      <c r="N443" t="n">
        <v>0</v>
      </c>
      <c r="O443" t="n">
        <v>0</v>
      </c>
      <c r="P443" t="n">
        <v>0</v>
      </c>
      <c r="Q443" t="n">
        <v>0</v>
      </c>
      <c r="R443" s="2" t="inlineStr"/>
    </row>
    <row r="444" ht="15" customHeight="1">
      <c r="A444" t="inlineStr">
        <is>
          <t>A 38442-2025</t>
        </is>
      </c>
      <c r="B444" s="1" t="n">
        <v>45883</v>
      </c>
      <c r="C444" s="1" t="n">
        <v>46159</v>
      </c>
      <c r="D444" t="inlineStr">
        <is>
          <t>KALMAR LÄN</t>
        </is>
      </c>
      <c r="E444" t="inlineStr">
        <is>
          <t>VÄSTERVIK</t>
        </is>
      </c>
      <c r="G444" t="n">
        <v>3.5</v>
      </c>
      <c r="H444" t="n">
        <v>0</v>
      </c>
      <c r="I444" t="n">
        <v>0</v>
      </c>
      <c r="J444" t="n">
        <v>0</v>
      </c>
      <c r="K444" t="n">
        <v>0</v>
      </c>
      <c r="L444" t="n">
        <v>0</v>
      </c>
      <c r="M444" t="n">
        <v>0</v>
      </c>
      <c r="N444" t="n">
        <v>0</v>
      </c>
      <c r="O444" t="n">
        <v>0</v>
      </c>
      <c r="P444" t="n">
        <v>0</v>
      </c>
      <c r="Q444" t="n">
        <v>0</v>
      </c>
      <c r="R444" s="2" t="inlineStr"/>
    </row>
    <row r="445" ht="15" customHeight="1">
      <c r="A445" t="inlineStr">
        <is>
          <t>A 63835-2025</t>
        </is>
      </c>
      <c r="B445" s="1" t="n">
        <v>46020.40302083334</v>
      </c>
      <c r="C445" s="1" t="n">
        <v>46159</v>
      </c>
      <c r="D445" t="inlineStr">
        <is>
          <t>KALMAR LÄN</t>
        </is>
      </c>
      <c r="E445" t="inlineStr">
        <is>
          <t>VÄSTERVIK</t>
        </is>
      </c>
      <c r="G445" t="n">
        <v>2.8</v>
      </c>
      <c r="H445" t="n">
        <v>0</v>
      </c>
      <c r="I445" t="n">
        <v>0</v>
      </c>
      <c r="J445" t="n">
        <v>0</v>
      </c>
      <c r="K445" t="n">
        <v>0</v>
      </c>
      <c r="L445" t="n">
        <v>0</v>
      </c>
      <c r="M445" t="n">
        <v>0</v>
      </c>
      <c r="N445" t="n">
        <v>0</v>
      </c>
      <c r="O445" t="n">
        <v>0</v>
      </c>
      <c r="P445" t="n">
        <v>0</v>
      </c>
      <c r="Q445" t="n">
        <v>0</v>
      </c>
      <c r="R445" s="2" t="inlineStr"/>
    </row>
    <row r="446" ht="15" customHeight="1">
      <c r="A446" t="inlineStr">
        <is>
          <t>A 32388-2024</t>
        </is>
      </c>
      <c r="B446" s="1" t="n">
        <v>45512.63465277778</v>
      </c>
      <c r="C446" s="1" t="n">
        <v>46159</v>
      </c>
      <c r="D446" t="inlineStr">
        <is>
          <t>KALMAR LÄN</t>
        </is>
      </c>
      <c r="E446" t="inlineStr">
        <is>
          <t>VÄSTERVIK</t>
        </is>
      </c>
      <c r="G446" t="n">
        <v>1.2</v>
      </c>
      <c r="H446" t="n">
        <v>0</v>
      </c>
      <c r="I446" t="n">
        <v>0</v>
      </c>
      <c r="J446" t="n">
        <v>0</v>
      </c>
      <c r="K446" t="n">
        <v>0</v>
      </c>
      <c r="L446" t="n">
        <v>0</v>
      </c>
      <c r="M446" t="n">
        <v>0</v>
      </c>
      <c r="N446" t="n">
        <v>0</v>
      </c>
      <c r="O446" t="n">
        <v>0</v>
      </c>
      <c r="P446" t="n">
        <v>0</v>
      </c>
      <c r="Q446" t="n">
        <v>0</v>
      </c>
      <c r="R446" s="2" t="inlineStr"/>
    </row>
    <row r="447" ht="15" customHeight="1">
      <c r="A447" t="inlineStr">
        <is>
          <t>A 32389-2024</t>
        </is>
      </c>
      <c r="B447" s="1" t="n">
        <v>45512.63642361111</v>
      </c>
      <c r="C447" s="1" t="n">
        <v>46159</v>
      </c>
      <c r="D447" t="inlineStr">
        <is>
          <t>KALMAR LÄN</t>
        </is>
      </c>
      <c r="E447" t="inlineStr">
        <is>
          <t>VÄSTERVIK</t>
        </is>
      </c>
      <c r="G447" t="n">
        <v>1.3</v>
      </c>
      <c r="H447" t="n">
        <v>0</v>
      </c>
      <c r="I447" t="n">
        <v>0</v>
      </c>
      <c r="J447" t="n">
        <v>0</v>
      </c>
      <c r="K447" t="n">
        <v>0</v>
      </c>
      <c r="L447" t="n">
        <v>0</v>
      </c>
      <c r="M447" t="n">
        <v>0</v>
      </c>
      <c r="N447" t="n">
        <v>0</v>
      </c>
      <c r="O447" t="n">
        <v>0</v>
      </c>
      <c r="P447" t="n">
        <v>0</v>
      </c>
      <c r="Q447" t="n">
        <v>0</v>
      </c>
      <c r="R447" s="2" t="inlineStr"/>
    </row>
    <row r="448" ht="15" customHeight="1">
      <c r="A448" t="inlineStr">
        <is>
          <t>A 54190-2022</t>
        </is>
      </c>
      <c r="B448" s="1" t="n">
        <v>44881.68282407407</v>
      </c>
      <c r="C448" s="1" t="n">
        <v>46159</v>
      </c>
      <c r="D448" t="inlineStr">
        <is>
          <t>KALMAR LÄN</t>
        </is>
      </c>
      <c r="E448" t="inlineStr">
        <is>
          <t>VÄSTERVIK</t>
        </is>
      </c>
      <c r="G448" t="n">
        <v>7.4</v>
      </c>
      <c r="H448" t="n">
        <v>0</v>
      </c>
      <c r="I448" t="n">
        <v>0</v>
      </c>
      <c r="J448" t="n">
        <v>0</v>
      </c>
      <c r="K448" t="n">
        <v>0</v>
      </c>
      <c r="L448" t="n">
        <v>0</v>
      </c>
      <c r="M448" t="n">
        <v>0</v>
      </c>
      <c r="N448" t="n">
        <v>0</v>
      </c>
      <c r="O448" t="n">
        <v>0</v>
      </c>
      <c r="P448" t="n">
        <v>0</v>
      </c>
      <c r="Q448" t="n">
        <v>0</v>
      </c>
      <c r="R448" s="2" t="inlineStr"/>
    </row>
    <row r="449" ht="15" customHeight="1">
      <c r="A449" t="inlineStr">
        <is>
          <t>A 23745-2025</t>
        </is>
      </c>
      <c r="B449" s="1" t="n">
        <v>45793.44484953704</v>
      </c>
      <c r="C449" s="1" t="n">
        <v>46159</v>
      </c>
      <c r="D449" t="inlineStr">
        <is>
          <t>KALMAR LÄN</t>
        </is>
      </c>
      <c r="E449" t="inlineStr">
        <is>
          <t>VÄSTERVIK</t>
        </is>
      </c>
      <c r="F449" t="inlineStr">
        <is>
          <t>Holmen skog AB</t>
        </is>
      </c>
      <c r="G449" t="n">
        <v>3.7</v>
      </c>
      <c r="H449" t="n">
        <v>0</v>
      </c>
      <c r="I449" t="n">
        <v>0</v>
      </c>
      <c r="J449" t="n">
        <v>0</v>
      </c>
      <c r="K449" t="n">
        <v>0</v>
      </c>
      <c r="L449" t="n">
        <v>0</v>
      </c>
      <c r="M449" t="n">
        <v>0</v>
      </c>
      <c r="N449" t="n">
        <v>0</v>
      </c>
      <c r="O449" t="n">
        <v>0</v>
      </c>
      <c r="P449" t="n">
        <v>0</v>
      </c>
      <c r="Q449" t="n">
        <v>0</v>
      </c>
      <c r="R449" s="2" t="inlineStr"/>
    </row>
    <row r="450" ht="15" customHeight="1">
      <c r="A450" t="inlineStr">
        <is>
          <t>A 36725-2024</t>
        </is>
      </c>
      <c r="B450" s="1" t="n">
        <v>45537.90300925926</v>
      </c>
      <c r="C450" s="1" t="n">
        <v>46159</v>
      </c>
      <c r="D450" t="inlineStr">
        <is>
          <t>KALMAR LÄN</t>
        </is>
      </c>
      <c r="E450" t="inlineStr">
        <is>
          <t>VÄSTERVIK</t>
        </is>
      </c>
      <c r="G450" t="n">
        <v>10.1</v>
      </c>
      <c r="H450" t="n">
        <v>0</v>
      </c>
      <c r="I450" t="n">
        <v>0</v>
      </c>
      <c r="J450" t="n">
        <v>0</v>
      </c>
      <c r="K450" t="n">
        <v>0</v>
      </c>
      <c r="L450" t="n">
        <v>0</v>
      </c>
      <c r="M450" t="n">
        <v>0</v>
      </c>
      <c r="N450" t="n">
        <v>0</v>
      </c>
      <c r="O450" t="n">
        <v>0</v>
      </c>
      <c r="P450" t="n">
        <v>0</v>
      </c>
      <c r="Q450" t="n">
        <v>0</v>
      </c>
      <c r="R450" s="2" t="inlineStr"/>
    </row>
    <row r="451" ht="15" customHeight="1">
      <c r="A451" t="inlineStr">
        <is>
          <t>A 23739-2025</t>
        </is>
      </c>
      <c r="B451" s="1" t="n">
        <v>45793.42939814815</v>
      </c>
      <c r="C451" s="1" t="n">
        <v>46159</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23859-2025</t>
        </is>
      </c>
      <c r="B452" s="1" t="n">
        <v>45793.65996527778</v>
      </c>
      <c r="C452" s="1" t="n">
        <v>46159</v>
      </c>
      <c r="D452" t="inlineStr">
        <is>
          <t>KALMAR LÄN</t>
        </is>
      </c>
      <c r="E452" t="inlineStr">
        <is>
          <t>VÄSTERVIK</t>
        </is>
      </c>
      <c r="F452" t="inlineStr">
        <is>
          <t>Holmen skog AB</t>
        </is>
      </c>
      <c r="G452" t="n">
        <v>17.7</v>
      </c>
      <c r="H452" t="n">
        <v>0</v>
      </c>
      <c r="I452" t="n">
        <v>0</v>
      </c>
      <c r="J452" t="n">
        <v>0</v>
      </c>
      <c r="K452" t="n">
        <v>0</v>
      </c>
      <c r="L452" t="n">
        <v>0</v>
      </c>
      <c r="M452" t="n">
        <v>0</v>
      </c>
      <c r="N452" t="n">
        <v>0</v>
      </c>
      <c r="O452" t="n">
        <v>0</v>
      </c>
      <c r="P452" t="n">
        <v>0</v>
      </c>
      <c r="Q452" t="n">
        <v>0</v>
      </c>
      <c r="R452" s="2" t="inlineStr"/>
    </row>
    <row r="453" ht="15" customHeight="1">
      <c r="A453" t="inlineStr">
        <is>
          <t>A 29405-2024</t>
        </is>
      </c>
      <c r="B453" s="1" t="n">
        <v>45483</v>
      </c>
      <c r="C453" s="1" t="n">
        <v>46159</v>
      </c>
      <c r="D453" t="inlineStr">
        <is>
          <t>KALMAR LÄN</t>
        </is>
      </c>
      <c r="E453" t="inlineStr">
        <is>
          <t>VÄSTERVIK</t>
        </is>
      </c>
      <c r="G453" t="n">
        <v>1.8</v>
      </c>
      <c r="H453" t="n">
        <v>0</v>
      </c>
      <c r="I453" t="n">
        <v>0</v>
      </c>
      <c r="J453" t="n">
        <v>0</v>
      </c>
      <c r="K453" t="n">
        <v>0</v>
      </c>
      <c r="L453" t="n">
        <v>0</v>
      </c>
      <c r="M453" t="n">
        <v>0</v>
      </c>
      <c r="N453" t="n">
        <v>0</v>
      </c>
      <c r="O453" t="n">
        <v>0</v>
      </c>
      <c r="P453" t="n">
        <v>0</v>
      </c>
      <c r="Q453" t="n">
        <v>0</v>
      </c>
      <c r="R453" s="2" t="inlineStr"/>
    </row>
    <row r="454" ht="15" customHeight="1">
      <c r="A454" t="inlineStr">
        <is>
          <t>A 55023-2021</t>
        </is>
      </c>
      <c r="B454" s="1" t="n">
        <v>44474</v>
      </c>
      <c r="C454" s="1" t="n">
        <v>46159</v>
      </c>
      <c r="D454" t="inlineStr">
        <is>
          <t>KALMAR LÄN</t>
        </is>
      </c>
      <c r="E454" t="inlineStr">
        <is>
          <t>VÄSTERVIK</t>
        </is>
      </c>
      <c r="G454" t="n">
        <v>1.2</v>
      </c>
      <c r="H454" t="n">
        <v>0</v>
      </c>
      <c r="I454" t="n">
        <v>0</v>
      </c>
      <c r="J454" t="n">
        <v>0</v>
      </c>
      <c r="K454" t="n">
        <v>0</v>
      </c>
      <c r="L454" t="n">
        <v>0</v>
      </c>
      <c r="M454" t="n">
        <v>0</v>
      </c>
      <c r="N454" t="n">
        <v>0</v>
      </c>
      <c r="O454" t="n">
        <v>0</v>
      </c>
      <c r="P454" t="n">
        <v>0</v>
      </c>
      <c r="Q454" t="n">
        <v>0</v>
      </c>
      <c r="R454" s="2" t="inlineStr"/>
    </row>
    <row r="455" ht="15" customHeight="1">
      <c r="A455" t="inlineStr">
        <is>
          <t>A 3190-2023</t>
        </is>
      </c>
      <c r="B455" s="1" t="n">
        <v>44946.61086805556</v>
      </c>
      <c r="C455" s="1" t="n">
        <v>46159</v>
      </c>
      <c r="D455" t="inlineStr">
        <is>
          <t>KALMAR LÄN</t>
        </is>
      </c>
      <c r="E455" t="inlineStr">
        <is>
          <t>VÄSTERVIK</t>
        </is>
      </c>
      <c r="G455" t="n">
        <v>0.9</v>
      </c>
      <c r="H455" t="n">
        <v>0</v>
      </c>
      <c r="I455" t="n">
        <v>0</v>
      </c>
      <c r="J455" t="n">
        <v>0</v>
      </c>
      <c r="K455" t="n">
        <v>0</v>
      </c>
      <c r="L455" t="n">
        <v>0</v>
      </c>
      <c r="M455" t="n">
        <v>0</v>
      </c>
      <c r="N455" t="n">
        <v>0</v>
      </c>
      <c r="O455" t="n">
        <v>0</v>
      </c>
      <c r="P455" t="n">
        <v>0</v>
      </c>
      <c r="Q455" t="n">
        <v>0</v>
      </c>
      <c r="R455" s="2" t="inlineStr"/>
    </row>
    <row r="456" ht="15" customHeight="1">
      <c r="A456" t="inlineStr">
        <is>
          <t>A 33842-2025</t>
        </is>
      </c>
      <c r="B456" s="1" t="n">
        <v>45842</v>
      </c>
      <c r="C456" s="1" t="n">
        <v>46159</v>
      </c>
      <c r="D456" t="inlineStr">
        <is>
          <t>KALMAR LÄN</t>
        </is>
      </c>
      <c r="E456" t="inlineStr">
        <is>
          <t>VÄSTERVIK</t>
        </is>
      </c>
      <c r="G456" t="n">
        <v>2</v>
      </c>
      <c r="H456" t="n">
        <v>0</v>
      </c>
      <c r="I456" t="n">
        <v>0</v>
      </c>
      <c r="J456" t="n">
        <v>0</v>
      </c>
      <c r="K456" t="n">
        <v>0</v>
      </c>
      <c r="L456" t="n">
        <v>0</v>
      </c>
      <c r="M456" t="n">
        <v>0</v>
      </c>
      <c r="N456" t="n">
        <v>0</v>
      </c>
      <c r="O456" t="n">
        <v>0</v>
      </c>
      <c r="P456" t="n">
        <v>0</v>
      </c>
      <c r="Q456" t="n">
        <v>0</v>
      </c>
      <c r="R456" s="2" t="inlineStr"/>
    </row>
    <row r="457" ht="15" customHeight="1">
      <c r="A457" t="inlineStr">
        <is>
          <t>A 34958-2021</t>
        </is>
      </c>
      <c r="B457" s="1" t="n">
        <v>44383</v>
      </c>
      <c r="C457" s="1" t="n">
        <v>46159</v>
      </c>
      <c r="D457" t="inlineStr">
        <is>
          <t>KALMAR LÄN</t>
        </is>
      </c>
      <c r="E457" t="inlineStr">
        <is>
          <t>VÄSTERVIK</t>
        </is>
      </c>
      <c r="G457" t="n">
        <v>2.7</v>
      </c>
      <c r="H457" t="n">
        <v>0</v>
      </c>
      <c r="I457" t="n">
        <v>0</v>
      </c>
      <c r="J457" t="n">
        <v>0</v>
      </c>
      <c r="K457" t="n">
        <v>0</v>
      </c>
      <c r="L457" t="n">
        <v>0</v>
      </c>
      <c r="M457" t="n">
        <v>0</v>
      </c>
      <c r="N457" t="n">
        <v>0</v>
      </c>
      <c r="O457" t="n">
        <v>0</v>
      </c>
      <c r="P457" t="n">
        <v>0</v>
      </c>
      <c r="Q457" t="n">
        <v>0</v>
      </c>
      <c r="R457" s="2" t="inlineStr"/>
    </row>
    <row r="458" ht="15" customHeight="1">
      <c r="A458" t="inlineStr">
        <is>
          <t>A 55047-2024</t>
        </is>
      </c>
      <c r="B458" s="1" t="n">
        <v>45621.39516203704</v>
      </c>
      <c r="C458" s="1" t="n">
        <v>46159</v>
      </c>
      <c r="D458" t="inlineStr">
        <is>
          <t>KALMAR LÄN</t>
        </is>
      </c>
      <c r="E458" t="inlineStr">
        <is>
          <t>VÄSTERVIK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35162-2024</t>
        </is>
      </c>
      <c r="B459" s="1" t="n">
        <v>45530.40025462963</v>
      </c>
      <c r="C459" s="1" t="n">
        <v>46159</v>
      </c>
      <c r="D459" t="inlineStr">
        <is>
          <t>KALMAR LÄN</t>
        </is>
      </c>
      <c r="E459" t="inlineStr">
        <is>
          <t>VÄSTERVIK</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23022-2025</t>
        </is>
      </c>
      <c r="B460" s="1" t="n">
        <v>45790.65489583334</v>
      </c>
      <c r="C460" s="1" t="n">
        <v>46159</v>
      </c>
      <c r="D460" t="inlineStr">
        <is>
          <t>KALMAR LÄN</t>
        </is>
      </c>
      <c r="E460" t="inlineStr">
        <is>
          <t>VÄSTERVIK</t>
        </is>
      </c>
      <c r="G460" t="n">
        <v>3.3</v>
      </c>
      <c r="H460" t="n">
        <v>0</v>
      </c>
      <c r="I460" t="n">
        <v>0</v>
      </c>
      <c r="J460" t="n">
        <v>0</v>
      </c>
      <c r="K460" t="n">
        <v>0</v>
      </c>
      <c r="L460" t="n">
        <v>0</v>
      </c>
      <c r="M460" t="n">
        <v>0</v>
      </c>
      <c r="N460" t="n">
        <v>0</v>
      </c>
      <c r="O460" t="n">
        <v>0</v>
      </c>
      <c r="P460" t="n">
        <v>0</v>
      </c>
      <c r="Q460" t="n">
        <v>0</v>
      </c>
      <c r="R460" s="2" t="inlineStr"/>
    </row>
    <row r="461" ht="15" customHeight="1">
      <c r="A461" t="inlineStr">
        <is>
          <t>A 52645-2021</t>
        </is>
      </c>
      <c r="B461" s="1" t="n">
        <v>44466</v>
      </c>
      <c r="C461" s="1" t="n">
        <v>46159</v>
      </c>
      <c r="D461" t="inlineStr">
        <is>
          <t>KALMAR LÄN</t>
        </is>
      </c>
      <c r="E461" t="inlineStr">
        <is>
          <t>VÄSTERVIK</t>
        </is>
      </c>
      <c r="G461" t="n">
        <v>5</v>
      </c>
      <c r="H461" t="n">
        <v>0</v>
      </c>
      <c r="I461" t="n">
        <v>0</v>
      </c>
      <c r="J461" t="n">
        <v>0</v>
      </c>
      <c r="K461" t="n">
        <v>0</v>
      </c>
      <c r="L461" t="n">
        <v>0</v>
      </c>
      <c r="M461" t="n">
        <v>0</v>
      </c>
      <c r="N461" t="n">
        <v>0</v>
      </c>
      <c r="O461" t="n">
        <v>0</v>
      </c>
      <c r="P461" t="n">
        <v>0</v>
      </c>
      <c r="Q461" t="n">
        <v>0</v>
      </c>
      <c r="R461" s="2" t="inlineStr"/>
    </row>
    <row r="462" ht="15" customHeight="1">
      <c r="A462" t="inlineStr">
        <is>
          <t>A 1568-2023</t>
        </is>
      </c>
      <c r="B462" s="1" t="n">
        <v>44937</v>
      </c>
      <c r="C462" s="1" t="n">
        <v>46159</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407-2026</t>
        </is>
      </c>
      <c r="B463" s="1" t="n">
        <v>46028.68821759259</v>
      </c>
      <c r="C463" s="1" t="n">
        <v>46159</v>
      </c>
      <c r="D463" t="inlineStr">
        <is>
          <t>KALMAR LÄN</t>
        </is>
      </c>
      <c r="E463" t="inlineStr">
        <is>
          <t>VÄSTERVIK</t>
        </is>
      </c>
      <c r="G463" t="n">
        <v>4.6</v>
      </c>
      <c r="H463" t="n">
        <v>0</v>
      </c>
      <c r="I463" t="n">
        <v>0</v>
      </c>
      <c r="J463" t="n">
        <v>0</v>
      </c>
      <c r="K463" t="n">
        <v>0</v>
      </c>
      <c r="L463" t="n">
        <v>0</v>
      </c>
      <c r="M463" t="n">
        <v>0</v>
      </c>
      <c r="N463" t="n">
        <v>0</v>
      </c>
      <c r="O463" t="n">
        <v>0</v>
      </c>
      <c r="P463" t="n">
        <v>0</v>
      </c>
      <c r="Q463" t="n">
        <v>0</v>
      </c>
      <c r="R463" s="2" t="inlineStr"/>
    </row>
    <row r="464" ht="15" customHeight="1">
      <c r="A464" t="inlineStr">
        <is>
          <t>A 45721-2022</t>
        </is>
      </c>
      <c r="B464" s="1" t="n">
        <v>44845</v>
      </c>
      <c r="C464" s="1" t="n">
        <v>46159</v>
      </c>
      <c r="D464" t="inlineStr">
        <is>
          <t>KALMAR LÄN</t>
        </is>
      </c>
      <c r="E464" t="inlineStr">
        <is>
          <t>VÄSTERVIK</t>
        </is>
      </c>
      <c r="F464" t="inlineStr">
        <is>
          <t>Holmen skog AB</t>
        </is>
      </c>
      <c r="G464" t="n">
        <v>3.3</v>
      </c>
      <c r="H464" t="n">
        <v>0</v>
      </c>
      <c r="I464" t="n">
        <v>0</v>
      </c>
      <c r="J464" t="n">
        <v>0</v>
      </c>
      <c r="K464" t="n">
        <v>0</v>
      </c>
      <c r="L464" t="n">
        <v>0</v>
      </c>
      <c r="M464" t="n">
        <v>0</v>
      </c>
      <c r="N464" t="n">
        <v>0</v>
      </c>
      <c r="O464" t="n">
        <v>0</v>
      </c>
      <c r="P464" t="n">
        <v>0</v>
      </c>
      <c r="Q464" t="n">
        <v>0</v>
      </c>
      <c r="R464" s="2" t="inlineStr"/>
      <c r="U464">
        <f>HYPERLINK("https://klasma.github.io/Logging_0883/knärot/A 45721-2022 karta knärot.png", "A 45721-2022")</f>
        <v/>
      </c>
      <c r="V464">
        <f>HYPERLINK("https://klasma.github.io/Logging_0883/klagomål/A 45721-2022 FSC-klagomål.docx", "A 45721-2022")</f>
        <v/>
      </c>
      <c r="W464">
        <f>HYPERLINK("https://klasma.github.io/Logging_0883/klagomålsmail/A 45721-2022 FSC-klagomål mail.docx", "A 45721-2022")</f>
        <v/>
      </c>
      <c r="X464">
        <f>HYPERLINK("https://klasma.github.io/Logging_0883/tillsyn/A 45721-2022 tillsynsbegäran.docx", "A 45721-2022")</f>
        <v/>
      </c>
      <c r="Y464">
        <f>HYPERLINK("https://klasma.github.io/Logging_0883/tillsynsmail/A 45721-2022 tillsynsbegäran mail.docx", "A 45721-2022")</f>
        <v/>
      </c>
    </row>
    <row r="465" ht="15" customHeight="1">
      <c r="A465" t="inlineStr">
        <is>
          <t>A 22891-2025</t>
        </is>
      </c>
      <c r="B465" s="1" t="n">
        <v>45790.39267361111</v>
      </c>
      <c r="C465" s="1" t="n">
        <v>46159</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7840-2025</t>
        </is>
      </c>
      <c r="B466" s="1" t="n">
        <v>45706.65895833333</v>
      </c>
      <c r="C466" s="1" t="n">
        <v>46159</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24819-2025</t>
        </is>
      </c>
      <c r="B467" s="1" t="n">
        <v>45799.45109953704</v>
      </c>
      <c r="C467" s="1" t="n">
        <v>46159</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row>
    <row r="468" ht="15" customHeight="1">
      <c r="A468" t="inlineStr">
        <is>
          <t>A 16080-2025</t>
        </is>
      </c>
      <c r="B468" s="1" t="n">
        <v>45749.72953703703</v>
      </c>
      <c r="C468" s="1" t="n">
        <v>46159</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39442-2025</t>
        </is>
      </c>
      <c r="B469" s="1" t="n">
        <v>45889.6947337963</v>
      </c>
      <c r="C469" s="1" t="n">
        <v>46159</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39428-2025</t>
        </is>
      </c>
      <c r="B470" s="1" t="n">
        <v>45889.67436342593</v>
      </c>
      <c r="C470" s="1" t="n">
        <v>46159</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39430-2025</t>
        </is>
      </c>
      <c r="B471" s="1" t="n">
        <v>45889.67606481481</v>
      </c>
      <c r="C471" s="1" t="n">
        <v>46159</v>
      </c>
      <c r="D471" t="inlineStr">
        <is>
          <t>KALMAR LÄN</t>
        </is>
      </c>
      <c r="E471" t="inlineStr">
        <is>
          <t>VÄSTERVIK</t>
        </is>
      </c>
      <c r="G471" t="n">
        <v>2.7</v>
      </c>
      <c r="H471" t="n">
        <v>0</v>
      </c>
      <c r="I471" t="n">
        <v>0</v>
      </c>
      <c r="J471" t="n">
        <v>0</v>
      </c>
      <c r="K471" t="n">
        <v>0</v>
      </c>
      <c r="L471" t="n">
        <v>0</v>
      </c>
      <c r="M471" t="n">
        <v>0</v>
      </c>
      <c r="N471" t="n">
        <v>0</v>
      </c>
      <c r="O471" t="n">
        <v>0</v>
      </c>
      <c r="P471" t="n">
        <v>0</v>
      </c>
      <c r="Q471" t="n">
        <v>0</v>
      </c>
      <c r="R471" s="2" t="inlineStr"/>
    </row>
    <row r="472" ht="15" customHeight="1">
      <c r="A472" t="inlineStr">
        <is>
          <t>A 41926-2024</t>
        </is>
      </c>
      <c r="B472" s="1" t="n">
        <v>45561</v>
      </c>
      <c r="C472" s="1" t="n">
        <v>46159</v>
      </c>
      <c r="D472" t="inlineStr">
        <is>
          <t>KALMAR LÄN</t>
        </is>
      </c>
      <c r="E472" t="inlineStr">
        <is>
          <t>VÄSTERVIK</t>
        </is>
      </c>
      <c r="F472" t="inlineStr">
        <is>
          <t>Kyrkan</t>
        </is>
      </c>
      <c r="G472" t="n">
        <v>10</v>
      </c>
      <c r="H472" t="n">
        <v>0</v>
      </c>
      <c r="I472" t="n">
        <v>0</v>
      </c>
      <c r="J472" t="n">
        <v>0</v>
      </c>
      <c r="K472" t="n">
        <v>0</v>
      </c>
      <c r="L472" t="n">
        <v>0</v>
      </c>
      <c r="M472" t="n">
        <v>0</v>
      </c>
      <c r="N472" t="n">
        <v>0</v>
      </c>
      <c r="O472" t="n">
        <v>0</v>
      </c>
      <c r="P472" t="n">
        <v>0</v>
      </c>
      <c r="Q472" t="n">
        <v>0</v>
      </c>
      <c r="R472" s="2" t="inlineStr"/>
    </row>
    <row r="473" ht="15" customHeight="1">
      <c r="A473" t="inlineStr">
        <is>
          <t>A 2738-2023</t>
        </is>
      </c>
      <c r="B473" s="1" t="n">
        <v>44944</v>
      </c>
      <c r="C473" s="1" t="n">
        <v>46159</v>
      </c>
      <c r="D473" t="inlineStr">
        <is>
          <t>KALMAR LÄN</t>
        </is>
      </c>
      <c r="E473" t="inlineStr">
        <is>
          <t>VÄSTERVIK</t>
        </is>
      </c>
      <c r="G473" t="n">
        <v>3</v>
      </c>
      <c r="H473" t="n">
        <v>0</v>
      </c>
      <c r="I473" t="n">
        <v>0</v>
      </c>
      <c r="J473" t="n">
        <v>0</v>
      </c>
      <c r="K473" t="n">
        <v>0</v>
      </c>
      <c r="L473" t="n">
        <v>0</v>
      </c>
      <c r="M473" t="n">
        <v>0</v>
      </c>
      <c r="N473" t="n">
        <v>0</v>
      </c>
      <c r="O473" t="n">
        <v>0</v>
      </c>
      <c r="P473" t="n">
        <v>0</v>
      </c>
      <c r="Q473" t="n">
        <v>0</v>
      </c>
      <c r="R473" s="2" t="inlineStr"/>
    </row>
    <row r="474" ht="15" customHeight="1">
      <c r="A474" t="inlineStr">
        <is>
          <t>A 14237-2024</t>
        </is>
      </c>
      <c r="B474" s="1" t="n">
        <v>45393.47158564815</v>
      </c>
      <c r="C474" s="1" t="n">
        <v>46159</v>
      </c>
      <c r="D474" t="inlineStr">
        <is>
          <t>KALMAR LÄN</t>
        </is>
      </c>
      <c r="E474" t="inlineStr">
        <is>
          <t>VÄSTERVIK</t>
        </is>
      </c>
      <c r="G474" t="n">
        <v>0.9</v>
      </c>
      <c r="H474" t="n">
        <v>0</v>
      </c>
      <c r="I474" t="n">
        <v>0</v>
      </c>
      <c r="J474" t="n">
        <v>0</v>
      </c>
      <c r="K474" t="n">
        <v>0</v>
      </c>
      <c r="L474" t="n">
        <v>0</v>
      </c>
      <c r="M474" t="n">
        <v>0</v>
      </c>
      <c r="N474" t="n">
        <v>0</v>
      </c>
      <c r="O474" t="n">
        <v>0</v>
      </c>
      <c r="P474" t="n">
        <v>0</v>
      </c>
      <c r="Q474" t="n">
        <v>0</v>
      </c>
      <c r="R474" s="2" t="inlineStr"/>
    </row>
    <row r="475" ht="15" customHeight="1">
      <c r="A475" t="inlineStr">
        <is>
          <t>A 39425-2025</t>
        </is>
      </c>
      <c r="B475" s="1" t="n">
        <v>45889.67297453704</v>
      </c>
      <c r="C475" s="1" t="n">
        <v>46159</v>
      </c>
      <c r="D475" t="inlineStr">
        <is>
          <t>KALMAR LÄN</t>
        </is>
      </c>
      <c r="E475" t="inlineStr">
        <is>
          <t>VÄSTERVIK</t>
        </is>
      </c>
      <c r="G475" t="n">
        <v>6.7</v>
      </c>
      <c r="H475" t="n">
        <v>0</v>
      </c>
      <c r="I475" t="n">
        <v>0</v>
      </c>
      <c r="J475" t="n">
        <v>0</v>
      </c>
      <c r="K475" t="n">
        <v>0</v>
      </c>
      <c r="L475" t="n">
        <v>0</v>
      </c>
      <c r="M475" t="n">
        <v>0</v>
      </c>
      <c r="N475" t="n">
        <v>0</v>
      </c>
      <c r="O475" t="n">
        <v>0</v>
      </c>
      <c r="P475" t="n">
        <v>0</v>
      </c>
      <c r="Q475" t="n">
        <v>0</v>
      </c>
      <c r="R475" s="2" t="inlineStr"/>
    </row>
    <row r="476" ht="15" customHeight="1">
      <c r="A476" t="inlineStr">
        <is>
          <t>A 170-2022</t>
        </is>
      </c>
      <c r="B476" s="1" t="n">
        <v>44564.62540509259</v>
      </c>
      <c r="C476" s="1" t="n">
        <v>46159</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174-2022</t>
        </is>
      </c>
      <c r="B477" s="1" t="n">
        <v>44564.62763888889</v>
      </c>
      <c r="C477" s="1" t="n">
        <v>46159</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58731-2024</t>
        </is>
      </c>
      <c r="B478" s="1" t="n">
        <v>45635.67120370371</v>
      </c>
      <c r="C478" s="1" t="n">
        <v>46159</v>
      </c>
      <c r="D478" t="inlineStr">
        <is>
          <t>KALMAR LÄN</t>
        </is>
      </c>
      <c r="E478" t="inlineStr">
        <is>
          <t>VÄSTERVIK</t>
        </is>
      </c>
      <c r="G478" t="n">
        <v>2.3</v>
      </c>
      <c r="H478" t="n">
        <v>0</v>
      </c>
      <c r="I478" t="n">
        <v>0</v>
      </c>
      <c r="J478" t="n">
        <v>0</v>
      </c>
      <c r="K478" t="n">
        <v>0</v>
      </c>
      <c r="L478" t="n">
        <v>0</v>
      </c>
      <c r="M478" t="n">
        <v>0</v>
      </c>
      <c r="N478" t="n">
        <v>0</v>
      </c>
      <c r="O478" t="n">
        <v>0</v>
      </c>
      <c r="P478" t="n">
        <v>0</v>
      </c>
      <c r="Q478" t="n">
        <v>0</v>
      </c>
      <c r="R478" s="2" t="inlineStr"/>
    </row>
    <row r="479" ht="15" customHeight="1">
      <c r="A479" t="inlineStr">
        <is>
          <t>A 4463-2022</t>
        </is>
      </c>
      <c r="B479" s="1" t="n">
        <v>44589</v>
      </c>
      <c r="C479" s="1" t="n">
        <v>46159</v>
      </c>
      <c r="D479" t="inlineStr">
        <is>
          <t>KALMAR LÄN</t>
        </is>
      </c>
      <c r="E479" t="inlineStr">
        <is>
          <t>VÄSTERVIK</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40038-2025</t>
        </is>
      </c>
      <c r="B480" s="1" t="n">
        <v>45894.39395833333</v>
      </c>
      <c r="C480" s="1" t="n">
        <v>46159</v>
      </c>
      <c r="D480" t="inlineStr">
        <is>
          <t>KALMAR LÄN</t>
        </is>
      </c>
      <c r="E480" t="inlineStr">
        <is>
          <t>VÄSTERVIK</t>
        </is>
      </c>
      <c r="G480" t="n">
        <v>3.2</v>
      </c>
      <c r="H480" t="n">
        <v>0</v>
      </c>
      <c r="I480" t="n">
        <v>0</v>
      </c>
      <c r="J480" t="n">
        <v>0</v>
      </c>
      <c r="K480" t="n">
        <v>0</v>
      </c>
      <c r="L480" t="n">
        <v>0</v>
      </c>
      <c r="M480" t="n">
        <v>0</v>
      </c>
      <c r="N480" t="n">
        <v>0</v>
      </c>
      <c r="O480" t="n">
        <v>0</v>
      </c>
      <c r="P480" t="n">
        <v>0</v>
      </c>
      <c r="Q480" t="n">
        <v>0</v>
      </c>
      <c r="R480" s="2" t="inlineStr"/>
    </row>
    <row r="481" ht="15" customHeight="1">
      <c r="A481" t="inlineStr">
        <is>
          <t>A 40165-2025</t>
        </is>
      </c>
      <c r="B481" s="1" t="n">
        <v>45894.62219907407</v>
      </c>
      <c r="C481" s="1" t="n">
        <v>46159</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4579-2023</t>
        </is>
      </c>
      <c r="B482" s="1" t="n">
        <v>44956.72383101852</v>
      </c>
      <c r="C482" s="1" t="n">
        <v>46159</v>
      </c>
      <c r="D482" t="inlineStr">
        <is>
          <t>KALMAR LÄN</t>
        </is>
      </c>
      <c r="E482" t="inlineStr">
        <is>
          <t>VÄSTERVIK</t>
        </is>
      </c>
      <c r="G482" t="n">
        <v>2.2</v>
      </c>
      <c r="H482" t="n">
        <v>0</v>
      </c>
      <c r="I482" t="n">
        <v>0</v>
      </c>
      <c r="J482" t="n">
        <v>0</v>
      </c>
      <c r="K482" t="n">
        <v>0</v>
      </c>
      <c r="L482" t="n">
        <v>0</v>
      </c>
      <c r="M482" t="n">
        <v>0</v>
      </c>
      <c r="N482" t="n">
        <v>0</v>
      </c>
      <c r="O482" t="n">
        <v>0</v>
      </c>
      <c r="P482" t="n">
        <v>0</v>
      </c>
      <c r="Q482" t="n">
        <v>0</v>
      </c>
      <c r="R482" s="2" t="inlineStr"/>
    </row>
    <row r="483" ht="15" customHeight="1">
      <c r="A483" t="inlineStr">
        <is>
          <t>A 65059-2023</t>
        </is>
      </c>
      <c r="B483" s="1" t="n">
        <v>45287</v>
      </c>
      <c r="C483" s="1" t="n">
        <v>46159</v>
      </c>
      <c r="D483" t="inlineStr">
        <is>
          <t>KALMAR LÄN</t>
        </is>
      </c>
      <c r="E483" t="inlineStr">
        <is>
          <t>VÄSTERVIK</t>
        </is>
      </c>
      <c r="F483" t="inlineStr">
        <is>
          <t>Holmen skog AB</t>
        </is>
      </c>
      <c r="G483" t="n">
        <v>4.9</v>
      </c>
      <c r="H483" t="n">
        <v>0</v>
      </c>
      <c r="I483" t="n">
        <v>0</v>
      </c>
      <c r="J483" t="n">
        <v>0</v>
      </c>
      <c r="K483" t="n">
        <v>0</v>
      </c>
      <c r="L483" t="n">
        <v>0</v>
      </c>
      <c r="M483" t="n">
        <v>0</v>
      </c>
      <c r="N483" t="n">
        <v>0</v>
      </c>
      <c r="O483" t="n">
        <v>0</v>
      </c>
      <c r="P483" t="n">
        <v>0</v>
      </c>
      <c r="Q483" t="n">
        <v>0</v>
      </c>
      <c r="R483" s="2" t="inlineStr"/>
    </row>
    <row r="484" ht="15" customHeight="1">
      <c r="A484" t="inlineStr">
        <is>
          <t>A 25819-2025</t>
        </is>
      </c>
      <c r="B484" s="1" t="n">
        <v>45804.43547453704</v>
      </c>
      <c r="C484" s="1" t="n">
        <v>46159</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25827-2025</t>
        </is>
      </c>
      <c r="B485" s="1" t="n">
        <v>45804.443125</v>
      </c>
      <c r="C485" s="1" t="n">
        <v>46159</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40168-2025</t>
        </is>
      </c>
      <c r="B486" s="1" t="n">
        <v>45894.62775462963</v>
      </c>
      <c r="C486" s="1" t="n">
        <v>46159</v>
      </c>
      <c r="D486" t="inlineStr">
        <is>
          <t>KALMAR LÄN</t>
        </is>
      </c>
      <c r="E486" t="inlineStr">
        <is>
          <t>VÄSTERVIK</t>
        </is>
      </c>
      <c r="G486" t="n">
        <v>0.3</v>
      </c>
      <c r="H486" t="n">
        <v>0</v>
      </c>
      <c r="I486" t="n">
        <v>0</v>
      </c>
      <c r="J486" t="n">
        <v>0</v>
      </c>
      <c r="K486" t="n">
        <v>0</v>
      </c>
      <c r="L486" t="n">
        <v>0</v>
      </c>
      <c r="M486" t="n">
        <v>0</v>
      </c>
      <c r="N486" t="n">
        <v>0</v>
      </c>
      <c r="O486" t="n">
        <v>0</v>
      </c>
      <c r="P486" t="n">
        <v>0</v>
      </c>
      <c r="Q486" t="n">
        <v>0</v>
      </c>
      <c r="R486" s="2" t="inlineStr"/>
    </row>
    <row r="487" ht="15" customHeight="1">
      <c r="A487" t="inlineStr">
        <is>
          <t>A 14068-2025</t>
        </is>
      </c>
      <c r="B487" s="1" t="n">
        <v>45740.42127314815</v>
      </c>
      <c r="C487" s="1" t="n">
        <v>46159</v>
      </c>
      <c r="D487" t="inlineStr">
        <is>
          <t>KALMAR LÄN</t>
        </is>
      </c>
      <c r="E487" t="inlineStr">
        <is>
          <t>VÄSTERVIK</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14071-2025</t>
        </is>
      </c>
      <c r="B488" s="1" t="n">
        <v>45740.42738425926</v>
      </c>
      <c r="C488" s="1" t="n">
        <v>46159</v>
      </c>
      <c r="D488" t="inlineStr">
        <is>
          <t>KALMAR LÄN</t>
        </is>
      </c>
      <c r="E488" t="inlineStr">
        <is>
          <t>VÄSTERVIK</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24578-2024</t>
        </is>
      </c>
      <c r="B489" s="1" t="n">
        <v>45460</v>
      </c>
      <c r="C489" s="1" t="n">
        <v>46159</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36400-2024</t>
        </is>
      </c>
      <c r="B490" s="1" t="n">
        <v>45535.67180555555</v>
      </c>
      <c r="C490" s="1" t="n">
        <v>46159</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3776-2024</t>
        </is>
      </c>
      <c r="B491" s="1" t="n">
        <v>45321.58569444445</v>
      </c>
      <c r="C491" s="1" t="n">
        <v>46159</v>
      </c>
      <c r="D491" t="inlineStr">
        <is>
          <t>KALMAR LÄN</t>
        </is>
      </c>
      <c r="E491" t="inlineStr">
        <is>
          <t>VÄSTERVIK</t>
        </is>
      </c>
      <c r="G491" t="n">
        <v>4.8</v>
      </c>
      <c r="H491" t="n">
        <v>0</v>
      </c>
      <c r="I491" t="n">
        <v>0</v>
      </c>
      <c r="J491" t="n">
        <v>0</v>
      </c>
      <c r="K491" t="n">
        <v>0</v>
      </c>
      <c r="L491" t="n">
        <v>0</v>
      </c>
      <c r="M491" t="n">
        <v>0</v>
      </c>
      <c r="N491" t="n">
        <v>0</v>
      </c>
      <c r="O491" t="n">
        <v>0</v>
      </c>
      <c r="P491" t="n">
        <v>0</v>
      </c>
      <c r="Q491" t="n">
        <v>0</v>
      </c>
      <c r="R491" s="2" t="inlineStr"/>
    </row>
    <row r="492" ht="15" customHeight="1">
      <c r="A492" t="inlineStr">
        <is>
          <t>A 60710-2022</t>
        </is>
      </c>
      <c r="B492" s="1" t="n">
        <v>44912</v>
      </c>
      <c r="C492" s="1" t="n">
        <v>46159</v>
      </c>
      <c r="D492" t="inlineStr">
        <is>
          <t>KALMAR LÄN</t>
        </is>
      </c>
      <c r="E492" t="inlineStr">
        <is>
          <t>VÄSTERVIK</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60713-2022</t>
        </is>
      </c>
      <c r="B493" s="1" t="n">
        <v>44912</v>
      </c>
      <c r="C493" s="1" t="n">
        <v>46159</v>
      </c>
      <c r="D493" t="inlineStr">
        <is>
          <t>KALMAR LÄN</t>
        </is>
      </c>
      <c r="E493" t="inlineStr">
        <is>
          <t>VÄSTERVIK</t>
        </is>
      </c>
      <c r="F493" t="inlineStr">
        <is>
          <t>Övriga Aktiebolag</t>
        </is>
      </c>
      <c r="G493" t="n">
        <v>2.6</v>
      </c>
      <c r="H493" t="n">
        <v>0</v>
      </c>
      <c r="I493" t="n">
        <v>0</v>
      </c>
      <c r="J493" t="n">
        <v>0</v>
      </c>
      <c r="K493" t="n">
        <v>0</v>
      </c>
      <c r="L493" t="n">
        <v>0</v>
      </c>
      <c r="M493" t="n">
        <v>0</v>
      </c>
      <c r="N493" t="n">
        <v>0</v>
      </c>
      <c r="O493" t="n">
        <v>0</v>
      </c>
      <c r="P493" t="n">
        <v>0</v>
      </c>
      <c r="Q493" t="n">
        <v>0</v>
      </c>
      <c r="R493" s="2" t="inlineStr"/>
    </row>
    <row r="494" ht="15" customHeight="1">
      <c r="A494" t="inlineStr">
        <is>
          <t>A 445-2026</t>
        </is>
      </c>
      <c r="B494" s="1" t="n">
        <v>46029.34517361111</v>
      </c>
      <c r="C494" s="1" t="n">
        <v>46159</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56440-2024</t>
        </is>
      </c>
      <c r="B495" s="1" t="n">
        <v>45625.41949074074</v>
      </c>
      <c r="C495" s="1" t="n">
        <v>46159</v>
      </c>
      <c r="D495" t="inlineStr">
        <is>
          <t>KALMAR LÄN</t>
        </is>
      </c>
      <c r="E495" t="inlineStr">
        <is>
          <t>VÄSTERVIK</t>
        </is>
      </c>
      <c r="F495" t="inlineStr">
        <is>
          <t>Övriga Aktiebolag</t>
        </is>
      </c>
      <c r="G495" t="n">
        <v>3</v>
      </c>
      <c r="H495" t="n">
        <v>0</v>
      </c>
      <c r="I495" t="n">
        <v>0</v>
      </c>
      <c r="J495" t="n">
        <v>0</v>
      </c>
      <c r="K495" t="n">
        <v>0</v>
      </c>
      <c r="L495" t="n">
        <v>0</v>
      </c>
      <c r="M495" t="n">
        <v>0</v>
      </c>
      <c r="N495" t="n">
        <v>0</v>
      </c>
      <c r="O495" t="n">
        <v>0</v>
      </c>
      <c r="P495" t="n">
        <v>0</v>
      </c>
      <c r="Q495" t="n">
        <v>0</v>
      </c>
      <c r="R495" s="2" t="inlineStr"/>
    </row>
    <row r="496" ht="15" customHeight="1">
      <c r="A496" t="inlineStr">
        <is>
          <t>A 50911-2022</t>
        </is>
      </c>
      <c r="B496" s="1" t="n">
        <v>44867.62262731481</v>
      </c>
      <c r="C496" s="1" t="n">
        <v>46159</v>
      </c>
      <c r="D496" t="inlineStr">
        <is>
          <t>KALMAR LÄN</t>
        </is>
      </c>
      <c r="E496" t="inlineStr">
        <is>
          <t>VÄSTERVIK</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36906-2024</t>
        </is>
      </c>
      <c r="B497" s="1" t="n">
        <v>45538</v>
      </c>
      <c r="C497" s="1" t="n">
        <v>46159</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26633-2025</t>
        </is>
      </c>
      <c r="B498" s="1" t="n">
        <v>45810.35262731482</v>
      </c>
      <c r="C498" s="1" t="n">
        <v>46159</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26566-2025</t>
        </is>
      </c>
      <c r="B499" s="1" t="n">
        <v>45807.66685185185</v>
      </c>
      <c r="C499" s="1" t="n">
        <v>46159</v>
      </c>
      <c r="D499" t="inlineStr">
        <is>
          <t>KALMAR LÄN</t>
        </is>
      </c>
      <c r="E499" t="inlineStr">
        <is>
          <t>VÄSTERVIK</t>
        </is>
      </c>
      <c r="G499" t="n">
        <v>2.5</v>
      </c>
      <c r="H499" t="n">
        <v>0</v>
      </c>
      <c r="I499" t="n">
        <v>0</v>
      </c>
      <c r="J499" t="n">
        <v>0</v>
      </c>
      <c r="K499" t="n">
        <v>0</v>
      </c>
      <c r="L499" t="n">
        <v>0</v>
      </c>
      <c r="M499" t="n">
        <v>0</v>
      </c>
      <c r="N499" t="n">
        <v>0</v>
      </c>
      <c r="O499" t="n">
        <v>0</v>
      </c>
      <c r="P499" t="n">
        <v>0</v>
      </c>
      <c r="Q499" t="n">
        <v>0</v>
      </c>
      <c r="R499" s="2" t="inlineStr"/>
    </row>
    <row r="500" ht="15" customHeight="1">
      <c r="A500" t="inlineStr">
        <is>
          <t>A 26569-2025</t>
        </is>
      </c>
      <c r="B500" s="1" t="n">
        <v>45807.67638888889</v>
      </c>
      <c r="C500" s="1" t="n">
        <v>46159</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26572-2025</t>
        </is>
      </c>
      <c r="B501" s="1" t="n">
        <v>45807.68232638889</v>
      </c>
      <c r="C501" s="1" t="n">
        <v>46159</v>
      </c>
      <c r="D501" t="inlineStr">
        <is>
          <t>KALMAR LÄN</t>
        </is>
      </c>
      <c r="E501" t="inlineStr">
        <is>
          <t>VÄSTERVIK</t>
        </is>
      </c>
      <c r="G501" t="n">
        <v>2.9</v>
      </c>
      <c r="H501" t="n">
        <v>0</v>
      </c>
      <c r="I501" t="n">
        <v>0</v>
      </c>
      <c r="J501" t="n">
        <v>0</v>
      </c>
      <c r="K501" t="n">
        <v>0</v>
      </c>
      <c r="L501" t="n">
        <v>0</v>
      </c>
      <c r="M501" t="n">
        <v>0</v>
      </c>
      <c r="N501" t="n">
        <v>0</v>
      </c>
      <c r="O501" t="n">
        <v>0</v>
      </c>
      <c r="P501" t="n">
        <v>0</v>
      </c>
      <c r="Q501" t="n">
        <v>0</v>
      </c>
      <c r="R501" s="2" t="inlineStr"/>
    </row>
    <row r="502" ht="15" customHeight="1">
      <c r="A502" t="inlineStr">
        <is>
          <t>A 719-2026</t>
        </is>
      </c>
      <c r="B502" s="1" t="n">
        <v>46029.6319212963</v>
      </c>
      <c r="C502" s="1" t="n">
        <v>46159</v>
      </c>
      <c r="D502" t="inlineStr">
        <is>
          <t>KALMAR LÄN</t>
        </is>
      </c>
      <c r="E502" t="inlineStr">
        <is>
          <t>VÄSTERVIK</t>
        </is>
      </c>
      <c r="G502" t="n">
        <v>2.2</v>
      </c>
      <c r="H502" t="n">
        <v>0</v>
      </c>
      <c r="I502" t="n">
        <v>0</v>
      </c>
      <c r="J502" t="n">
        <v>0</v>
      </c>
      <c r="K502" t="n">
        <v>0</v>
      </c>
      <c r="L502" t="n">
        <v>0</v>
      </c>
      <c r="M502" t="n">
        <v>0</v>
      </c>
      <c r="N502" t="n">
        <v>0</v>
      </c>
      <c r="O502" t="n">
        <v>0</v>
      </c>
      <c r="P502" t="n">
        <v>0</v>
      </c>
      <c r="Q502" t="n">
        <v>0</v>
      </c>
      <c r="R502" s="2" t="inlineStr"/>
    </row>
    <row r="503" ht="15" customHeight="1">
      <c r="A503" t="inlineStr">
        <is>
          <t>A 26568-2025</t>
        </is>
      </c>
      <c r="B503" s="1" t="n">
        <v>45807.67447916666</v>
      </c>
      <c r="C503" s="1" t="n">
        <v>46159</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26571-2025</t>
        </is>
      </c>
      <c r="B504" s="1" t="n">
        <v>45807.6794212963</v>
      </c>
      <c r="C504" s="1" t="n">
        <v>46159</v>
      </c>
      <c r="D504" t="inlineStr">
        <is>
          <t>KALMAR LÄN</t>
        </is>
      </c>
      <c r="E504" t="inlineStr">
        <is>
          <t>VÄSTERVIK</t>
        </is>
      </c>
      <c r="G504" t="n">
        <v>2.8</v>
      </c>
      <c r="H504" t="n">
        <v>0</v>
      </c>
      <c r="I504" t="n">
        <v>0</v>
      </c>
      <c r="J504" t="n">
        <v>0</v>
      </c>
      <c r="K504" t="n">
        <v>0</v>
      </c>
      <c r="L504" t="n">
        <v>0</v>
      </c>
      <c r="M504" t="n">
        <v>0</v>
      </c>
      <c r="N504" t="n">
        <v>0</v>
      </c>
      <c r="O504" t="n">
        <v>0</v>
      </c>
      <c r="P504" t="n">
        <v>0</v>
      </c>
      <c r="Q504" t="n">
        <v>0</v>
      </c>
      <c r="R504" s="2" t="inlineStr"/>
    </row>
    <row r="505" ht="15" customHeight="1">
      <c r="A505" t="inlineStr">
        <is>
          <t>A 33907-2025</t>
        </is>
      </c>
      <c r="B505" s="1" t="n">
        <v>45842.59880787037</v>
      </c>
      <c r="C505" s="1" t="n">
        <v>46159</v>
      </c>
      <c r="D505" t="inlineStr">
        <is>
          <t>KALMAR LÄN</t>
        </is>
      </c>
      <c r="E505" t="inlineStr">
        <is>
          <t>VÄSTERVIK</t>
        </is>
      </c>
      <c r="G505" t="n">
        <v>3.1</v>
      </c>
      <c r="H505" t="n">
        <v>0</v>
      </c>
      <c r="I505" t="n">
        <v>0</v>
      </c>
      <c r="J505" t="n">
        <v>0</v>
      </c>
      <c r="K505" t="n">
        <v>0</v>
      </c>
      <c r="L505" t="n">
        <v>0</v>
      </c>
      <c r="M505" t="n">
        <v>0</v>
      </c>
      <c r="N505" t="n">
        <v>0</v>
      </c>
      <c r="O505" t="n">
        <v>0</v>
      </c>
      <c r="P505" t="n">
        <v>0</v>
      </c>
      <c r="Q505" t="n">
        <v>0</v>
      </c>
      <c r="R505" s="2" t="inlineStr"/>
    </row>
    <row r="506" ht="15" customHeight="1">
      <c r="A506" t="inlineStr">
        <is>
          <t>A 62921-2023</t>
        </is>
      </c>
      <c r="B506" s="1" t="n">
        <v>45272</v>
      </c>
      <c r="C506" s="1" t="n">
        <v>46159</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2872-2025</t>
        </is>
      </c>
      <c r="B507" s="1" t="n">
        <v>45677.68357638889</v>
      </c>
      <c r="C507" s="1" t="n">
        <v>46159</v>
      </c>
      <c r="D507" t="inlineStr">
        <is>
          <t>KALMAR LÄN</t>
        </is>
      </c>
      <c r="E507" t="inlineStr">
        <is>
          <t>VÄSTERVIK</t>
        </is>
      </c>
      <c r="G507" t="n">
        <v>0.9</v>
      </c>
      <c r="H507" t="n">
        <v>0</v>
      </c>
      <c r="I507" t="n">
        <v>0</v>
      </c>
      <c r="J507" t="n">
        <v>0</v>
      </c>
      <c r="K507" t="n">
        <v>0</v>
      </c>
      <c r="L507" t="n">
        <v>0</v>
      </c>
      <c r="M507" t="n">
        <v>0</v>
      </c>
      <c r="N507" t="n">
        <v>0</v>
      </c>
      <c r="O507" t="n">
        <v>0</v>
      </c>
      <c r="P507" t="n">
        <v>0</v>
      </c>
      <c r="Q507" t="n">
        <v>0</v>
      </c>
      <c r="R507" s="2" t="inlineStr"/>
    </row>
    <row r="508" ht="15" customHeight="1">
      <c r="A508" t="inlineStr">
        <is>
          <t>A 5982-2023</t>
        </is>
      </c>
      <c r="B508" s="1" t="n">
        <v>44964.35730324074</v>
      </c>
      <c r="C508" s="1" t="n">
        <v>46159</v>
      </c>
      <c r="D508" t="inlineStr">
        <is>
          <t>KALMAR LÄN</t>
        </is>
      </c>
      <c r="E508" t="inlineStr">
        <is>
          <t>VÄSTERVIK</t>
        </is>
      </c>
      <c r="G508" t="n">
        <v>2.8</v>
      </c>
      <c r="H508" t="n">
        <v>0</v>
      </c>
      <c r="I508" t="n">
        <v>0</v>
      </c>
      <c r="J508" t="n">
        <v>0</v>
      </c>
      <c r="K508" t="n">
        <v>0</v>
      </c>
      <c r="L508" t="n">
        <v>0</v>
      </c>
      <c r="M508" t="n">
        <v>0</v>
      </c>
      <c r="N508" t="n">
        <v>0</v>
      </c>
      <c r="O508" t="n">
        <v>0</v>
      </c>
      <c r="P508" t="n">
        <v>0</v>
      </c>
      <c r="Q508" t="n">
        <v>0</v>
      </c>
      <c r="R508" s="2" t="inlineStr"/>
    </row>
    <row r="509" ht="15" customHeight="1">
      <c r="A509" t="inlineStr">
        <is>
          <t>A 60453-2024</t>
        </is>
      </c>
      <c r="B509" s="1" t="n">
        <v>45643.60487268519</v>
      </c>
      <c r="C509" s="1" t="n">
        <v>46159</v>
      </c>
      <c r="D509" t="inlineStr">
        <is>
          <t>KALMAR LÄN</t>
        </is>
      </c>
      <c r="E509" t="inlineStr">
        <is>
          <t>VÄSTERVIK</t>
        </is>
      </c>
      <c r="G509" t="n">
        <v>7.1</v>
      </c>
      <c r="H509" t="n">
        <v>0</v>
      </c>
      <c r="I509" t="n">
        <v>0</v>
      </c>
      <c r="J509" t="n">
        <v>0</v>
      </c>
      <c r="K509" t="n">
        <v>0</v>
      </c>
      <c r="L509" t="n">
        <v>0</v>
      </c>
      <c r="M509" t="n">
        <v>0</v>
      </c>
      <c r="N509" t="n">
        <v>0</v>
      </c>
      <c r="O509" t="n">
        <v>0</v>
      </c>
      <c r="P509" t="n">
        <v>0</v>
      </c>
      <c r="Q509" t="n">
        <v>0</v>
      </c>
      <c r="R509" s="2" t="inlineStr"/>
    </row>
    <row r="510" ht="15" customHeight="1">
      <c r="A510" t="inlineStr">
        <is>
          <t>A 27446-2025</t>
        </is>
      </c>
      <c r="B510" s="1" t="n">
        <v>45813.32667824074</v>
      </c>
      <c r="C510" s="1" t="n">
        <v>46159</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6941-2025</t>
        </is>
      </c>
      <c r="B511" s="1" t="n">
        <v>45701.46835648148</v>
      </c>
      <c r="C511" s="1" t="n">
        <v>46159</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27980-2025</t>
        </is>
      </c>
      <c r="B512" s="1" t="n">
        <v>45817.57395833333</v>
      </c>
      <c r="C512" s="1" t="n">
        <v>46159</v>
      </c>
      <c r="D512" t="inlineStr">
        <is>
          <t>KALMAR LÄN</t>
        </is>
      </c>
      <c r="E512" t="inlineStr">
        <is>
          <t>VÄSTERVIK</t>
        </is>
      </c>
      <c r="F512" t="inlineStr">
        <is>
          <t>Sveaskog</t>
        </is>
      </c>
      <c r="G512" t="n">
        <v>7.2</v>
      </c>
      <c r="H512" t="n">
        <v>0</v>
      </c>
      <c r="I512" t="n">
        <v>0</v>
      </c>
      <c r="J512" t="n">
        <v>0</v>
      </c>
      <c r="K512" t="n">
        <v>0</v>
      </c>
      <c r="L512" t="n">
        <v>0</v>
      </c>
      <c r="M512" t="n">
        <v>0</v>
      </c>
      <c r="N512" t="n">
        <v>0</v>
      </c>
      <c r="O512" t="n">
        <v>0</v>
      </c>
      <c r="P512" t="n">
        <v>0</v>
      </c>
      <c r="Q512" t="n">
        <v>0</v>
      </c>
      <c r="R512" s="2" t="inlineStr"/>
    </row>
    <row r="513" ht="15" customHeight="1">
      <c r="A513" t="inlineStr">
        <is>
          <t>A 5079-2025</t>
        </is>
      </c>
      <c r="B513" s="1" t="n">
        <v>45691.50069444445</v>
      </c>
      <c r="C513" s="1" t="n">
        <v>46159</v>
      </c>
      <c r="D513" t="inlineStr">
        <is>
          <t>KALMAR LÄN</t>
        </is>
      </c>
      <c r="E513" t="inlineStr">
        <is>
          <t>VÄSTERVIK</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895-2026</t>
        </is>
      </c>
      <c r="B514" s="1" t="n">
        <v>46030.45925925926</v>
      </c>
      <c r="C514" s="1" t="n">
        <v>46159</v>
      </c>
      <c r="D514" t="inlineStr">
        <is>
          <t>KALMAR LÄN</t>
        </is>
      </c>
      <c r="E514" t="inlineStr">
        <is>
          <t>VÄSTERVIK</t>
        </is>
      </c>
      <c r="F514" t="inlineStr">
        <is>
          <t>Kyrkan</t>
        </is>
      </c>
      <c r="G514" t="n">
        <v>3.2</v>
      </c>
      <c r="H514" t="n">
        <v>0</v>
      </c>
      <c r="I514" t="n">
        <v>0</v>
      </c>
      <c r="J514" t="n">
        <v>0</v>
      </c>
      <c r="K514" t="n">
        <v>0</v>
      </c>
      <c r="L514" t="n">
        <v>0</v>
      </c>
      <c r="M514" t="n">
        <v>0</v>
      </c>
      <c r="N514" t="n">
        <v>0</v>
      </c>
      <c r="O514" t="n">
        <v>0</v>
      </c>
      <c r="P514" t="n">
        <v>0</v>
      </c>
      <c r="Q514" t="n">
        <v>0</v>
      </c>
      <c r="R514" s="2" t="inlineStr"/>
    </row>
    <row r="515" ht="15" customHeight="1">
      <c r="A515" t="inlineStr">
        <is>
          <t>A 27978-2025</t>
        </is>
      </c>
      <c r="B515" s="1" t="n">
        <v>45817.57153935185</v>
      </c>
      <c r="C515" s="1" t="n">
        <v>46159</v>
      </c>
      <c r="D515" t="inlineStr">
        <is>
          <t>KALMAR LÄN</t>
        </is>
      </c>
      <c r="E515" t="inlineStr">
        <is>
          <t>VÄSTERVIK</t>
        </is>
      </c>
      <c r="F515" t="inlineStr">
        <is>
          <t>Sveaskog</t>
        </is>
      </c>
      <c r="G515" t="n">
        <v>10.8</v>
      </c>
      <c r="H515" t="n">
        <v>0</v>
      </c>
      <c r="I515" t="n">
        <v>0</v>
      </c>
      <c r="J515" t="n">
        <v>0</v>
      </c>
      <c r="K515" t="n">
        <v>0</v>
      </c>
      <c r="L515" t="n">
        <v>0</v>
      </c>
      <c r="M515" t="n">
        <v>0</v>
      </c>
      <c r="N515" t="n">
        <v>0</v>
      </c>
      <c r="O515" t="n">
        <v>0</v>
      </c>
      <c r="P515" t="n">
        <v>0</v>
      </c>
      <c r="Q515" t="n">
        <v>0</v>
      </c>
      <c r="R515" s="2" t="inlineStr"/>
    </row>
    <row r="516" ht="15" customHeight="1">
      <c r="A516" t="inlineStr">
        <is>
          <t>A 19608-2025</t>
        </is>
      </c>
      <c r="B516" s="1" t="n">
        <v>45770.60177083333</v>
      </c>
      <c r="C516" s="1" t="n">
        <v>46159</v>
      </c>
      <c r="D516" t="inlineStr">
        <is>
          <t>KALMAR LÄN</t>
        </is>
      </c>
      <c r="E516" t="inlineStr">
        <is>
          <t>VÄSTERVIK</t>
        </is>
      </c>
      <c r="G516" t="n">
        <v>3.5</v>
      </c>
      <c r="H516" t="n">
        <v>0</v>
      </c>
      <c r="I516" t="n">
        <v>0</v>
      </c>
      <c r="J516" t="n">
        <v>0</v>
      </c>
      <c r="K516" t="n">
        <v>0</v>
      </c>
      <c r="L516" t="n">
        <v>0</v>
      </c>
      <c r="M516" t="n">
        <v>0</v>
      </c>
      <c r="N516" t="n">
        <v>0</v>
      </c>
      <c r="O516" t="n">
        <v>0</v>
      </c>
      <c r="P516" t="n">
        <v>0</v>
      </c>
      <c r="Q516" t="n">
        <v>0</v>
      </c>
      <c r="R516" s="2" t="inlineStr"/>
    </row>
    <row r="517" ht="15" customHeight="1">
      <c r="A517" t="inlineStr">
        <is>
          <t>A 28203-2025</t>
        </is>
      </c>
      <c r="B517" s="1" t="n">
        <v>45818.44662037037</v>
      </c>
      <c r="C517" s="1" t="n">
        <v>46159</v>
      </c>
      <c r="D517" t="inlineStr">
        <is>
          <t>KALMAR LÄN</t>
        </is>
      </c>
      <c r="E517" t="inlineStr">
        <is>
          <t>VÄSTERVIK</t>
        </is>
      </c>
      <c r="G517" t="n">
        <v>1.7</v>
      </c>
      <c r="H517" t="n">
        <v>0</v>
      </c>
      <c r="I517" t="n">
        <v>0</v>
      </c>
      <c r="J517" t="n">
        <v>0</v>
      </c>
      <c r="K517" t="n">
        <v>0</v>
      </c>
      <c r="L517" t="n">
        <v>0</v>
      </c>
      <c r="M517" t="n">
        <v>0</v>
      </c>
      <c r="N517" t="n">
        <v>0</v>
      </c>
      <c r="O517" t="n">
        <v>0</v>
      </c>
      <c r="P517" t="n">
        <v>0</v>
      </c>
      <c r="Q517" t="n">
        <v>0</v>
      </c>
      <c r="R517" s="2" t="inlineStr"/>
    </row>
    <row r="518" ht="15" customHeight="1">
      <c r="A518" t="inlineStr">
        <is>
          <t>A 32137-2024</t>
        </is>
      </c>
      <c r="B518" s="1" t="n">
        <v>45511</v>
      </c>
      <c r="C518" s="1" t="n">
        <v>46159</v>
      </c>
      <c r="D518" t="inlineStr">
        <is>
          <t>KALMAR LÄN</t>
        </is>
      </c>
      <c r="E518" t="inlineStr">
        <is>
          <t>VÄSTERVIK</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41993-2025</t>
        </is>
      </c>
      <c r="B519" s="1" t="n">
        <v>45903.54821759259</v>
      </c>
      <c r="C519" s="1" t="n">
        <v>46159</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5450-2022</t>
        </is>
      </c>
      <c r="B520" s="1" t="n">
        <v>44595</v>
      </c>
      <c r="C520" s="1" t="n">
        <v>46159</v>
      </c>
      <c r="D520" t="inlineStr">
        <is>
          <t>KALMAR LÄN</t>
        </is>
      </c>
      <c r="E520" t="inlineStr">
        <is>
          <t>VÄSTERVIK</t>
        </is>
      </c>
      <c r="G520" t="n">
        <v>0.7</v>
      </c>
      <c r="H520" t="n">
        <v>0</v>
      </c>
      <c r="I520" t="n">
        <v>0</v>
      </c>
      <c r="J520" t="n">
        <v>0</v>
      </c>
      <c r="K520" t="n">
        <v>0</v>
      </c>
      <c r="L520" t="n">
        <v>0</v>
      </c>
      <c r="M520" t="n">
        <v>0</v>
      </c>
      <c r="N520" t="n">
        <v>0</v>
      </c>
      <c r="O520" t="n">
        <v>0</v>
      </c>
      <c r="P520" t="n">
        <v>0</v>
      </c>
      <c r="Q520" t="n">
        <v>0</v>
      </c>
      <c r="R520" s="2" t="inlineStr"/>
    </row>
    <row r="521" ht="15" customHeight="1">
      <c r="A521" t="inlineStr">
        <is>
          <t>A 27974-2025</t>
        </is>
      </c>
      <c r="B521" s="1" t="n">
        <v>45817.56891203704</v>
      </c>
      <c r="C521" s="1" t="n">
        <v>46159</v>
      </c>
      <c r="D521" t="inlineStr">
        <is>
          <t>KALMAR LÄN</t>
        </is>
      </c>
      <c r="E521" t="inlineStr">
        <is>
          <t>VÄSTERVIK</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740-2026</t>
        </is>
      </c>
      <c r="B522" s="1" t="n">
        <v>46029.66045138889</v>
      </c>
      <c r="C522" s="1" t="n">
        <v>46159</v>
      </c>
      <c r="D522" t="inlineStr">
        <is>
          <t>KALMAR LÄN</t>
        </is>
      </c>
      <c r="E522" t="inlineStr">
        <is>
          <t>VÄSTERVIK</t>
        </is>
      </c>
      <c r="G522" t="n">
        <v>1.5</v>
      </c>
      <c r="H522" t="n">
        <v>0</v>
      </c>
      <c r="I522" t="n">
        <v>0</v>
      </c>
      <c r="J522" t="n">
        <v>0</v>
      </c>
      <c r="K522" t="n">
        <v>0</v>
      </c>
      <c r="L522" t="n">
        <v>0</v>
      </c>
      <c r="M522" t="n">
        <v>0</v>
      </c>
      <c r="N522" t="n">
        <v>0</v>
      </c>
      <c r="O522" t="n">
        <v>0</v>
      </c>
      <c r="P522" t="n">
        <v>0</v>
      </c>
      <c r="Q522" t="n">
        <v>0</v>
      </c>
      <c r="R522" s="2" t="inlineStr"/>
    </row>
    <row r="523" ht="15" customHeight="1">
      <c r="A523" t="inlineStr">
        <is>
          <t>A 447-2026</t>
        </is>
      </c>
      <c r="B523" s="1" t="n">
        <v>46029.345625</v>
      </c>
      <c r="C523" s="1" t="n">
        <v>46159</v>
      </c>
      <c r="D523" t="inlineStr">
        <is>
          <t>KALMAR LÄN</t>
        </is>
      </c>
      <c r="E523" t="inlineStr">
        <is>
          <t>VÄSTERVIK</t>
        </is>
      </c>
      <c r="G523" t="n">
        <v>2.4</v>
      </c>
      <c r="H523" t="n">
        <v>0</v>
      </c>
      <c r="I523" t="n">
        <v>0</v>
      </c>
      <c r="J523" t="n">
        <v>0</v>
      </c>
      <c r="K523" t="n">
        <v>0</v>
      </c>
      <c r="L523" t="n">
        <v>0</v>
      </c>
      <c r="M523" t="n">
        <v>0</v>
      </c>
      <c r="N523" t="n">
        <v>0</v>
      </c>
      <c r="O523" t="n">
        <v>0</v>
      </c>
      <c r="P523" t="n">
        <v>0</v>
      </c>
      <c r="Q523" t="n">
        <v>0</v>
      </c>
      <c r="R523" s="2" t="inlineStr"/>
    </row>
    <row r="524" ht="15" customHeight="1">
      <c r="A524" t="inlineStr">
        <is>
          <t>A 28096-2025</t>
        </is>
      </c>
      <c r="B524" s="1" t="n">
        <v>45817.81831018518</v>
      </c>
      <c r="C524" s="1" t="n">
        <v>46159</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9760-2024</t>
        </is>
      </c>
      <c r="B525" s="1" t="n">
        <v>45362</v>
      </c>
      <c r="C525" s="1" t="n">
        <v>46159</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16586-2022</t>
        </is>
      </c>
      <c r="B526" s="1" t="n">
        <v>44672.47105324074</v>
      </c>
      <c r="C526" s="1" t="n">
        <v>46159</v>
      </c>
      <c r="D526" t="inlineStr">
        <is>
          <t>KALMAR LÄN</t>
        </is>
      </c>
      <c r="E526" t="inlineStr">
        <is>
          <t>VÄSTERVIK</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1867-2025</t>
        </is>
      </c>
      <c r="B527" s="1" t="n">
        <v>45671.61569444444</v>
      </c>
      <c r="C527" s="1" t="n">
        <v>46159</v>
      </c>
      <c r="D527" t="inlineStr">
        <is>
          <t>KALMAR LÄN</t>
        </is>
      </c>
      <c r="E527" t="inlineStr">
        <is>
          <t>VÄSTERVIK</t>
        </is>
      </c>
      <c r="G527" t="n">
        <v>1.8</v>
      </c>
      <c r="H527" t="n">
        <v>0</v>
      </c>
      <c r="I527" t="n">
        <v>0</v>
      </c>
      <c r="J527" t="n">
        <v>0</v>
      </c>
      <c r="K527" t="n">
        <v>0</v>
      </c>
      <c r="L527" t="n">
        <v>0</v>
      </c>
      <c r="M527" t="n">
        <v>0</v>
      </c>
      <c r="N527" t="n">
        <v>0</v>
      </c>
      <c r="O527" t="n">
        <v>0</v>
      </c>
      <c r="P527" t="n">
        <v>0</v>
      </c>
      <c r="Q527" t="n">
        <v>0</v>
      </c>
      <c r="R527" s="2" t="inlineStr"/>
    </row>
    <row r="528" ht="15" customHeight="1">
      <c r="A528" t="inlineStr">
        <is>
          <t>A 1488-2026</t>
        </is>
      </c>
      <c r="B528" s="1" t="n">
        <v>46034.26685185185</v>
      </c>
      <c r="C528" s="1" t="n">
        <v>46159</v>
      </c>
      <c r="D528" t="inlineStr">
        <is>
          <t>KALMAR LÄN</t>
        </is>
      </c>
      <c r="E528" t="inlineStr">
        <is>
          <t>VÄSTERVIK</t>
        </is>
      </c>
      <c r="G528" t="n">
        <v>2</v>
      </c>
      <c r="H528" t="n">
        <v>0</v>
      </c>
      <c r="I528" t="n">
        <v>0</v>
      </c>
      <c r="J528" t="n">
        <v>0</v>
      </c>
      <c r="K528" t="n">
        <v>0</v>
      </c>
      <c r="L528" t="n">
        <v>0</v>
      </c>
      <c r="M528" t="n">
        <v>0</v>
      </c>
      <c r="N528" t="n">
        <v>0</v>
      </c>
      <c r="O528" t="n">
        <v>0</v>
      </c>
      <c r="P528" t="n">
        <v>0</v>
      </c>
      <c r="Q528" t="n">
        <v>0</v>
      </c>
      <c r="R528" s="2" t="inlineStr"/>
    </row>
    <row r="529" ht="15" customHeight="1">
      <c r="A529" t="inlineStr">
        <is>
          <t>A 28696-2025</t>
        </is>
      </c>
      <c r="B529" s="1" t="n">
        <v>45819.91342592592</v>
      </c>
      <c r="C529" s="1" t="n">
        <v>46159</v>
      </c>
      <c r="D529" t="inlineStr">
        <is>
          <t>KALMAR LÄN</t>
        </is>
      </c>
      <c r="E529" t="inlineStr">
        <is>
          <t>VÄSTERVIK</t>
        </is>
      </c>
      <c r="G529" t="n">
        <v>2.8</v>
      </c>
      <c r="H529" t="n">
        <v>0</v>
      </c>
      <c r="I529" t="n">
        <v>0</v>
      </c>
      <c r="J529" t="n">
        <v>0</v>
      </c>
      <c r="K529" t="n">
        <v>0</v>
      </c>
      <c r="L529" t="n">
        <v>0</v>
      </c>
      <c r="M529" t="n">
        <v>0</v>
      </c>
      <c r="N529" t="n">
        <v>0</v>
      </c>
      <c r="O529" t="n">
        <v>0</v>
      </c>
      <c r="P529" t="n">
        <v>0</v>
      </c>
      <c r="Q529" t="n">
        <v>0</v>
      </c>
      <c r="R529" s="2" t="inlineStr"/>
    </row>
    <row r="530" ht="15" customHeight="1">
      <c r="A530" t="inlineStr">
        <is>
          <t>A 1489-2026</t>
        </is>
      </c>
      <c r="B530" s="1" t="n">
        <v>46034.26715277778</v>
      </c>
      <c r="C530" s="1" t="n">
        <v>46159</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1486-2026</t>
        </is>
      </c>
      <c r="B531" s="1" t="n">
        <v>46034.26603009259</v>
      </c>
      <c r="C531" s="1" t="n">
        <v>46159</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1487-2026</t>
        </is>
      </c>
      <c r="B532" s="1" t="n">
        <v>46034.26645833333</v>
      </c>
      <c r="C532" s="1" t="n">
        <v>46159</v>
      </c>
      <c r="D532" t="inlineStr">
        <is>
          <t>KALMAR LÄN</t>
        </is>
      </c>
      <c r="E532" t="inlineStr">
        <is>
          <t>VÄSTERVIK</t>
        </is>
      </c>
      <c r="G532" t="n">
        <v>2.4</v>
      </c>
      <c r="H532" t="n">
        <v>0</v>
      </c>
      <c r="I532" t="n">
        <v>0</v>
      </c>
      <c r="J532" t="n">
        <v>0</v>
      </c>
      <c r="K532" t="n">
        <v>0</v>
      </c>
      <c r="L532" t="n">
        <v>0</v>
      </c>
      <c r="M532" t="n">
        <v>0</v>
      </c>
      <c r="N532" t="n">
        <v>0</v>
      </c>
      <c r="O532" t="n">
        <v>0</v>
      </c>
      <c r="P532" t="n">
        <v>0</v>
      </c>
      <c r="Q532" t="n">
        <v>0</v>
      </c>
      <c r="R532" s="2" t="inlineStr"/>
    </row>
    <row r="533" ht="15" customHeight="1">
      <c r="A533" t="inlineStr">
        <is>
          <t>A 1873-2026</t>
        </is>
      </c>
      <c r="B533" s="1" t="n">
        <v>46035.46318287037</v>
      </c>
      <c r="C533" s="1" t="n">
        <v>46159</v>
      </c>
      <c r="D533" t="inlineStr">
        <is>
          <t>KALMAR LÄN</t>
        </is>
      </c>
      <c r="E533" t="inlineStr">
        <is>
          <t>VÄSTERVIK</t>
        </is>
      </c>
      <c r="G533" t="n">
        <v>0.9</v>
      </c>
      <c r="H533" t="n">
        <v>0</v>
      </c>
      <c r="I533" t="n">
        <v>0</v>
      </c>
      <c r="J533" t="n">
        <v>0</v>
      </c>
      <c r="K533" t="n">
        <v>0</v>
      </c>
      <c r="L533" t="n">
        <v>0</v>
      </c>
      <c r="M533" t="n">
        <v>0</v>
      </c>
      <c r="N533" t="n">
        <v>0</v>
      </c>
      <c r="O533" t="n">
        <v>0</v>
      </c>
      <c r="P533" t="n">
        <v>0</v>
      </c>
      <c r="Q533" t="n">
        <v>0</v>
      </c>
      <c r="R533" s="2" t="inlineStr"/>
    </row>
    <row r="534" ht="15" customHeight="1">
      <c r="A534" t="inlineStr">
        <is>
          <t>A 1872-2026</t>
        </is>
      </c>
      <c r="B534" s="1" t="n">
        <v>46035.46219907407</v>
      </c>
      <c r="C534" s="1" t="n">
        <v>46159</v>
      </c>
      <c r="D534" t="inlineStr">
        <is>
          <t>KALMAR LÄN</t>
        </is>
      </c>
      <c r="E534" t="inlineStr">
        <is>
          <t>VÄSTERVIK</t>
        </is>
      </c>
      <c r="G534" t="n">
        <v>3</v>
      </c>
      <c r="H534" t="n">
        <v>0</v>
      </c>
      <c r="I534" t="n">
        <v>0</v>
      </c>
      <c r="J534" t="n">
        <v>0</v>
      </c>
      <c r="K534" t="n">
        <v>0</v>
      </c>
      <c r="L534" t="n">
        <v>0</v>
      </c>
      <c r="M534" t="n">
        <v>0</v>
      </c>
      <c r="N534" t="n">
        <v>0</v>
      </c>
      <c r="O534" t="n">
        <v>0</v>
      </c>
      <c r="P534" t="n">
        <v>0</v>
      </c>
      <c r="Q534" t="n">
        <v>0</v>
      </c>
      <c r="R534" s="2" t="inlineStr"/>
    </row>
    <row r="535" ht="15" customHeight="1">
      <c r="A535" t="inlineStr">
        <is>
          <t>A 35108-2024</t>
        </is>
      </c>
      <c r="B535" s="1" t="n">
        <v>45529.64638888889</v>
      </c>
      <c r="C535" s="1" t="n">
        <v>46159</v>
      </c>
      <c r="D535" t="inlineStr">
        <is>
          <t>KALMAR LÄN</t>
        </is>
      </c>
      <c r="E535" t="inlineStr">
        <is>
          <t>VÄSTERVIK</t>
        </is>
      </c>
      <c r="G535" t="n">
        <v>10.5</v>
      </c>
      <c r="H535" t="n">
        <v>0</v>
      </c>
      <c r="I535" t="n">
        <v>0</v>
      </c>
      <c r="J535" t="n">
        <v>0</v>
      </c>
      <c r="K535" t="n">
        <v>0</v>
      </c>
      <c r="L535" t="n">
        <v>0</v>
      </c>
      <c r="M535" t="n">
        <v>0</v>
      </c>
      <c r="N535" t="n">
        <v>0</v>
      </c>
      <c r="O535" t="n">
        <v>0</v>
      </c>
      <c r="P535" t="n">
        <v>0</v>
      </c>
      <c r="Q535" t="n">
        <v>0</v>
      </c>
      <c r="R535" s="2" t="inlineStr"/>
    </row>
    <row r="536" ht="15" customHeight="1">
      <c r="A536" t="inlineStr">
        <is>
          <t>A 47527-2021</t>
        </is>
      </c>
      <c r="B536" s="1" t="n">
        <v>44447</v>
      </c>
      <c r="C536" s="1" t="n">
        <v>46159</v>
      </c>
      <c r="D536" t="inlineStr">
        <is>
          <t>KALMAR LÄN</t>
        </is>
      </c>
      <c r="E536" t="inlineStr">
        <is>
          <t>VÄSTERVIK</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1874-2026</t>
        </is>
      </c>
      <c r="B537" s="1" t="n">
        <v>46035.46372685185</v>
      </c>
      <c r="C537" s="1" t="n">
        <v>46159</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43651-2025</t>
        </is>
      </c>
      <c r="B538" s="1" t="n">
        <v>45912.32259259259</v>
      </c>
      <c r="C538" s="1" t="n">
        <v>46159</v>
      </c>
      <c r="D538" t="inlineStr">
        <is>
          <t>KALMAR LÄN</t>
        </is>
      </c>
      <c r="E538" t="inlineStr">
        <is>
          <t>VÄSTERVIK</t>
        </is>
      </c>
      <c r="G538" t="n">
        <v>1.1</v>
      </c>
      <c r="H538" t="n">
        <v>0</v>
      </c>
      <c r="I538" t="n">
        <v>0</v>
      </c>
      <c r="J538" t="n">
        <v>0</v>
      </c>
      <c r="K538" t="n">
        <v>0</v>
      </c>
      <c r="L538" t="n">
        <v>0</v>
      </c>
      <c r="M538" t="n">
        <v>0</v>
      </c>
      <c r="N538" t="n">
        <v>0</v>
      </c>
      <c r="O538" t="n">
        <v>0</v>
      </c>
      <c r="P538" t="n">
        <v>0</v>
      </c>
      <c r="Q538" t="n">
        <v>0</v>
      </c>
      <c r="R538" s="2" t="inlineStr"/>
    </row>
    <row r="539" ht="15" customHeight="1">
      <c r="A539" t="inlineStr">
        <is>
          <t>A 35456-2024</t>
        </is>
      </c>
      <c r="B539" s="1" t="n">
        <v>45531</v>
      </c>
      <c r="C539" s="1" t="n">
        <v>46159</v>
      </c>
      <c r="D539" t="inlineStr">
        <is>
          <t>KALMAR LÄN</t>
        </is>
      </c>
      <c r="E539" t="inlineStr">
        <is>
          <t>VÄSTERVIK</t>
        </is>
      </c>
      <c r="G539" t="n">
        <v>5.8</v>
      </c>
      <c r="H539" t="n">
        <v>0</v>
      </c>
      <c r="I539" t="n">
        <v>0</v>
      </c>
      <c r="J539" t="n">
        <v>0</v>
      </c>
      <c r="K539" t="n">
        <v>0</v>
      </c>
      <c r="L539" t="n">
        <v>0</v>
      </c>
      <c r="M539" t="n">
        <v>0</v>
      </c>
      <c r="N539" t="n">
        <v>0</v>
      </c>
      <c r="O539" t="n">
        <v>0</v>
      </c>
      <c r="P539" t="n">
        <v>0</v>
      </c>
      <c r="Q539" t="n">
        <v>0</v>
      </c>
      <c r="R539" s="2" t="inlineStr"/>
    </row>
    <row r="540" ht="15" customHeight="1">
      <c r="A540" t="inlineStr">
        <is>
          <t>A 31691-2023</t>
        </is>
      </c>
      <c r="B540" s="1" t="n">
        <v>45117.72543981481</v>
      </c>
      <c r="C540" s="1" t="n">
        <v>46159</v>
      </c>
      <c r="D540" t="inlineStr">
        <is>
          <t>KALMAR LÄN</t>
        </is>
      </c>
      <c r="E540" t="inlineStr">
        <is>
          <t>VÄSTERVIK</t>
        </is>
      </c>
      <c r="G540" t="n">
        <v>0.6</v>
      </c>
      <c r="H540" t="n">
        <v>0</v>
      </c>
      <c r="I540" t="n">
        <v>0</v>
      </c>
      <c r="J540" t="n">
        <v>0</v>
      </c>
      <c r="K540" t="n">
        <v>0</v>
      </c>
      <c r="L540" t="n">
        <v>0</v>
      </c>
      <c r="M540" t="n">
        <v>0</v>
      </c>
      <c r="N540" t="n">
        <v>0</v>
      </c>
      <c r="O540" t="n">
        <v>0</v>
      </c>
      <c r="P540" t="n">
        <v>0</v>
      </c>
      <c r="Q540" t="n">
        <v>0</v>
      </c>
      <c r="R540" s="2" t="inlineStr"/>
    </row>
    <row r="541" ht="15" customHeight="1">
      <c r="A541" t="inlineStr">
        <is>
          <t>A 52035-2023</t>
        </is>
      </c>
      <c r="B541" s="1" t="n">
        <v>45216</v>
      </c>
      <c r="C541" s="1" t="n">
        <v>46159</v>
      </c>
      <c r="D541" t="inlineStr">
        <is>
          <t>KALMAR LÄN</t>
        </is>
      </c>
      <c r="E541" t="inlineStr">
        <is>
          <t>VÄSTERVIK</t>
        </is>
      </c>
      <c r="G541" t="n">
        <v>3.4</v>
      </c>
      <c r="H541" t="n">
        <v>0</v>
      </c>
      <c r="I541" t="n">
        <v>0</v>
      </c>
      <c r="J541" t="n">
        <v>0</v>
      </c>
      <c r="K541" t="n">
        <v>0</v>
      </c>
      <c r="L541" t="n">
        <v>0</v>
      </c>
      <c r="M541" t="n">
        <v>0</v>
      </c>
      <c r="N541" t="n">
        <v>0</v>
      </c>
      <c r="O541" t="n">
        <v>0</v>
      </c>
      <c r="P541" t="n">
        <v>0</v>
      </c>
      <c r="Q541" t="n">
        <v>0</v>
      </c>
      <c r="R541" s="2" t="inlineStr"/>
    </row>
    <row r="542" ht="15" customHeight="1">
      <c r="A542" t="inlineStr">
        <is>
          <t>A 2631-2026</t>
        </is>
      </c>
      <c r="B542" s="1" t="n">
        <v>46037.60875</v>
      </c>
      <c r="C542" s="1" t="n">
        <v>46159</v>
      </c>
      <c r="D542" t="inlineStr">
        <is>
          <t>KALMAR LÄN</t>
        </is>
      </c>
      <c r="E542" t="inlineStr">
        <is>
          <t>VÄSTERVIK</t>
        </is>
      </c>
      <c r="G542" t="n">
        <v>2</v>
      </c>
      <c r="H542" t="n">
        <v>0</v>
      </c>
      <c r="I542" t="n">
        <v>0</v>
      </c>
      <c r="J542" t="n">
        <v>0</v>
      </c>
      <c r="K542" t="n">
        <v>0</v>
      </c>
      <c r="L542" t="n">
        <v>0</v>
      </c>
      <c r="M542" t="n">
        <v>0</v>
      </c>
      <c r="N542" t="n">
        <v>0</v>
      </c>
      <c r="O542" t="n">
        <v>0</v>
      </c>
      <c r="P542" t="n">
        <v>0</v>
      </c>
      <c r="Q542" t="n">
        <v>0</v>
      </c>
      <c r="R542" s="2" t="inlineStr"/>
    </row>
    <row r="543" ht="15" customHeight="1">
      <c r="A543" t="inlineStr">
        <is>
          <t>A 9249-2024</t>
        </is>
      </c>
      <c r="B543" s="1" t="n">
        <v>45358.59056712963</v>
      </c>
      <c r="C543" s="1" t="n">
        <v>46159</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42868-2025</t>
        </is>
      </c>
      <c r="B544" s="1" t="n">
        <v>45908</v>
      </c>
      <c r="C544" s="1" t="n">
        <v>46159</v>
      </c>
      <c r="D544" t="inlineStr">
        <is>
          <t>KALMAR LÄN</t>
        </is>
      </c>
      <c r="E544" t="inlineStr">
        <is>
          <t>VÄSTERVIK</t>
        </is>
      </c>
      <c r="F544" t="inlineStr">
        <is>
          <t>Holmen skog AB</t>
        </is>
      </c>
      <c r="G544" t="n">
        <v>3.7</v>
      </c>
      <c r="H544" t="n">
        <v>0</v>
      </c>
      <c r="I544" t="n">
        <v>0</v>
      </c>
      <c r="J544" t="n">
        <v>0</v>
      </c>
      <c r="K544" t="n">
        <v>0</v>
      </c>
      <c r="L544" t="n">
        <v>0</v>
      </c>
      <c r="M544" t="n">
        <v>0</v>
      </c>
      <c r="N544" t="n">
        <v>0</v>
      </c>
      <c r="O544" t="n">
        <v>0</v>
      </c>
      <c r="P544" t="n">
        <v>0</v>
      </c>
      <c r="Q544" t="n">
        <v>0</v>
      </c>
      <c r="R544" s="2" t="inlineStr"/>
      <c r="U544">
        <f>HYPERLINK("https://klasma.github.io/Logging_0883/knärot/A 42868-2025 karta knärot.png", "A 42868-2025")</f>
        <v/>
      </c>
      <c r="V544">
        <f>HYPERLINK("https://klasma.github.io/Logging_0883/klagomål/A 42868-2025 FSC-klagomål.docx", "A 42868-2025")</f>
        <v/>
      </c>
      <c r="W544">
        <f>HYPERLINK("https://klasma.github.io/Logging_0883/klagomålsmail/A 42868-2025 FSC-klagomål mail.docx", "A 42868-2025")</f>
        <v/>
      </c>
      <c r="X544">
        <f>HYPERLINK("https://klasma.github.io/Logging_0883/tillsyn/A 42868-2025 tillsynsbegäran.docx", "A 42868-2025")</f>
        <v/>
      </c>
      <c r="Y544">
        <f>HYPERLINK("https://klasma.github.io/Logging_0883/tillsynsmail/A 42868-2025 tillsynsbegäran mail.docx", "A 42868-2025")</f>
        <v/>
      </c>
    </row>
    <row r="545" ht="15" customHeight="1">
      <c r="A545" t="inlineStr">
        <is>
          <t>A 12435-2024</t>
        </is>
      </c>
      <c r="B545" s="1" t="n">
        <v>45379.4459375</v>
      </c>
      <c r="C545" s="1" t="n">
        <v>46159</v>
      </c>
      <c r="D545" t="inlineStr">
        <is>
          <t>KALMAR LÄN</t>
        </is>
      </c>
      <c r="E545" t="inlineStr">
        <is>
          <t>VÄSTERVIK</t>
        </is>
      </c>
      <c r="G545" t="n">
        <v>0.4</v>
      </c>
      <c r="H545" t="n">
        <v>0</v>
      </c>
      <c r="I545" t="n">
        <v>0</v>
      </c>
      <c r="J545" t="n">
        <v>0</v>
      </c>
      <c r="K545" t="n">
        <v>0</v>
      </c>
      <c r="L545" t="n">
        <v>0</v>
      </c>
      <c r="M545" t="n">
        <v>0</v>
      </c>
      <c r="N545" t="n">
        <v>0</v>
      </c>
      <c r="O545" t="n">
        <v>0</v>
      </c>
      <c r="P545" t="n">
        <v>0</v>
      </c>
      <c r="Q545" t="n">
        <v>0</v>
      </c>
      <c r="R545" s="2" t="inlineStr"/>
    </row>
    <row r="546" ht="15" customHeight="1">
      <c r="A546" t="inlineStr">
        <is>
          <t>A 3828-2024</t>
        </is>
      </c>
      <c r="B546" s="1" t="n">
        <v>45321</v>
      </c>
      <c r="C546" s="1" t="n">
        <v>46159</v>
      </c>
      <c r="D546" t="inlineStr">
        <is>
          <t>KALMAR LÄN</t>
        </is>
      </c>
      <c r="E546" t="inlineStr">
        <is>
          <t>VÄSTERVIK</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29678-2025</t>
        </is>
      </c>
      <c r="B547" s="1" t="n">
        <v>45825.50804398148</v>
      </c>
      <c r="C547" s="1" t="n">
        <v>46159</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44461-2025</t>
        </is>
      </c>
      <c r="B548" s="1" t="n">
        <v>45916.62190972222</v>
      </c>
      <c r="C548" s="1" t="n">
        <v>46159</v>
      </c>
      <c r="D548" t="inlineStr">
        <is>
          <t>KALMAR LÄN</t>
        </is>
      </c>
      <c r="E548" t="inlineStr">
        <is>
          <t>VÄSTERVIK</t>
        </is>
      </c>
      <c r="G548" t="n">
        <v>3.4</v>
      </c>
      <c r="H548" t="n">
        <v>0</v>
      </c>
      <c r="I548" t="n">
        <v>0</v>
      </c>
      <c r="J548" t="n">
        <v>0</v>
      </c>
      <c r="K548" t="n">
        <v>0</v>
      </c>
      <c r="L548" t="n">
        <v>0</v>
      </c>
      <c r="M548" t="n">
        <v>0</v>
      </c>
      <c r="N548" t="n">
        <v>0</v>
      </c>
      <c r="O548" t="n">
        <v>0</v>
      </c>
      <c r="P548" t="n">
        <v>0</v>
      </c>
      <c r="Q548" t="n">
        <v>0</v>
      </c>
      <c r="R548" s="2" t="inlineStr"/>
    </row>
    <row r="549" ht="15" customHeight="1">
      <c r="A549" t="inlineStr">
        <is>
          <t>A 39193-2024</t>
        </is>
      </c>
      <c r="B549" s="1" t="n">
        <v>45548.68</v>
      </c>
      <c r="C549" s="1" t="n">
        <v>46159</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16689-2025</t>
        </is>
      </c>
      <c r="B550" s="1" t="n">
        <v>45754.45739583333</v>
      </c>
      <c r="C550" s="1" t="n">
        <v>46159</v>
      </c>
      <c r="D550" t="inlineStr">
        <is>
          <t>KALMAR LÄN</t>
        </is>
      </c>
      <c r="E550" t="inlineStr">
        <is>
          <t>VÄSTERVIK</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16693-2025</t>
        </is>
      </c>
      <c r="B551" s="1" t="n">
        <v>45754.4644675926</v>
      </c>
      <c r="C551" s="1" t="n">
        <v>46159</v>
      </c>
      <c r="D551" t="inlineStr">
        <is>
          <t>KALMAR LÄN</t>
        </is>
      </c>
      <c r="E551" t="inlineStr">
        <is>
          <t>VÄSTERVIK</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7925-2023</t>
        </is>
      </c>
      <c r="B552" s="1" t="n">
        <v>44973.64606481481</v>
      </c>
      <c r="C552" s="1" t="n">
        <v>46159</v>
      </c>
      <c r="D552" t="inlineStr">
        <is>
          <t>KALMAR LÄN</t>
        </is>
      </c>
      <c r="E552" t="inlineStr">
        <is>
          <t>VÄSTERVIK</t>
        </is>
      </c>
      <c r="G552" t="n">
        <v>4.9</v>
      </c>
      <c r="H552" t="n">
        <v>0</v>
      </c>
      <c r="I552" t="n">
        <v>0</v>
      </c>
      <c r="J552" t="n">
        <v>0</v>
      </c>
      <c r="K552" t="n">
        <v>0</v>
      </c>
      <c r="L552" t="n">
        <v>0</v>
      </c>
      <c r="M552" t="n">
        <v>0</v>
      </c>
      <c r="N552" t="n">
        <v>0</v>
      </c>
      <c r="O552" t="n">
        <v>0</v>
      </c>
      <c r="P552" t="n">
        <v>0</v>
      </c>
      <c r="Q552" t="n">
        <v>0</v>
      </c>
      <c r="R552" s="2" t="inlineStr"/>
    </row>
    <row r="553" ht="15" customHeight="1">
      <c r="A553" t="inlineStr">
        <is>
          <t>A 51510-2024</t>
        </is>
      </c>
      <c r="B553" s="1" t="n">
        <v>45604.55837962963</v>
      </c>
      <c r="C553" s="1" t="n">
        <v>46159</v>
      </c>
      <c r="D553" t="inlineStr">
        <is>
          <t>KALMAR LÄN</t>
        </is>
      </c>
      <c r="E553" t="inlineStr">
        <is>
          <t>VÄSTERVIK</t>
        </is>
      </c>
      <c r="F553" t="inlineStr">
        <is>
          <t>Övriga Aktiebolag</t>
        </is>
      </c>
      <c r="G553" t="n">
        <v>1.5</v>
      </c>
      <c r="H553" t="n">
        <v>0</v>
      </c>
      <c r="I553" t="n">
        <v>0</v>
      </c>
      <c r="J553" t="n">
        <v>0</v>
      </c>
      <c r="K553" t="n">
        <v>0</v>
      </c>
      <c r="L553" t="n">
        <v>0</v>
      </c>
      <c r="M553" t="n">
        <v>0</v>
      </c>
      <c r="N553" t="n">
        <v>0</v>
      </c>
      <c r="O553" t="n">
        <v>0</v>
      </c>
      <c r="P553" t="n">
        <v>0</v>
      </c>
      <c r="Q553" t="n">
        <v>0</v>
      </c>
      <c r="R553" s="2" t="inlineStr"/>
    </row>
    <row r="554" ht="15" customHeight="1">
      <c r="A554" t="inlineStr">
        <is>
          <t>A 30644-2025</t>
        </is>
      </c>
      <c r="B554" s="1" t="n">
        <v>45831</v>
      </c>
      <c r="C554" s="1" t="n">
        <v>46159</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44849-2025</t>
        </is>
      </c>
      <c r="B555" s="1" t="n">
        <v>45918.44545138889</v>
      </c>
      <c r="C555" s="1" t="n">
        <v>46159</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4190-2026</t>
        </is>
      </c>
      <c r="B556" s="1" t="n">
        <v>46044.69321759259</v>
      </c>
      <c r="C556" s="1" t="n">
        <v>46159</v>
      </c>
      <c r="D556" t="inlineStr">
        <is>
          <t>KALMAR LÄN</t>
        </is>
      </c>
      <c r="E556" t="inlineStr">
        <is>
          <t>VÄSTERVIK</t>
        </is>
      </c>
      <c r="G556" t="n">
        <v>10.5</v>
      </c>
      <c r="H556" t="n">
        <v>0</v>
      </c>
      <c r="I556" t="n">
        <v>0</v>
      </c>
      <c r="J556" t="n">
        <v>0</v>
      </c>
      <c r="K556" t="n">
        <v>0</v>
      </c>
      <c r="L556" t="n">
        <v>0</v>
      </c>
      <c r="M556" t="n">
        <v>0</v>
      </c>
      <c r="N556" t="n">
        <v>0</v>
      </c>
      <c r="O556" t="n">
        <v>0</v>
      </c>
      <c r="P556" t="n">
        <v>0</v>
      </c>
      <c r="Q556" t="n">
        <v>0</v>
      </c>
      <c r="R556" s="2" t="inlineStr"/>
    </row>
    <row r="557" ht="15" customHeight="1">
      <c r="A557" t="inlineStr">
        <is>
          <t>A 30811-2025</t>
        </is>
      </c>
      <c r="B557" s="1" t="n">
        <v>45831.65712962963</v>
      </c>
      <c r="C557" s="1" t="n">
        <v>46159</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30800-2025</t>
        </is>
      </c>
      <c r="B558" s="1" t="n">
        <v>45831.65177083333</v>
      </c>
      <c r="C558" s="1" t="n">
        <v>46159</v>
      </c>
      <c r="D558" t="inlineStr">
        <is>
          <t>KALMAR LÄN</t>
        </is>
      </c>
      <c r="E558" t="inlineStr">
        <is>
          <t>VÄSTERVIK</t>
        </is>
      </c>
      <c r="G558" t="n">
        <v>1.6</v>
      </c>
      <c r="H558" t="n">
        <v>0</v>
      </c>
      <c r="I558" t="n">
        <v>0</v>
      </c>
      <c r="J558" t="n">
        <v>0</v>
      </c>
      <c r="K558" t="n">
        <v>0</v>
      </c>
      <c r="L558" t="n">
        <v>0</v>
      </c>
      <c r="M558" t="n">
        <v>0</v>
      </c>
      <c r="N558" t="n">
        <v>0</v>
      </c>
      <c r="O558" t="n">
        <v>0</v>
      </c>
      <c r="P558" t="n">
        <v>0</v>
      </c>
      <c r="Q558" t="n">
        <v>0</v>
      </c>
      <c r="R558" s="2" t="inlineStr"/>
    </row>
    <row r="559" ht="15" customHeight="1">
      <c r="A559" t="inlineStr">
        <is>
          <t>A 8007-2023</t>
        </is>
      </c>
      <c r="B559" s="1" t="n">
        <v>44973.88759259259</v>
      </c>
      <c r="C559" s="1" t="n">
        <v>46159</v>
      </c>
      <c r="D559" t="inlineStr">
        <is>
          <t>KALMAR LÄN</t>
        </is>
      </c>
      <c r="E559" t="inlineStr">
        <is>
          <t>VÄSTERVIK</t>
        </is>
      </c>
      <c r="G559" t="n">
        <v>4.5</v>
      </c>
      <c r="H559" t="n">
        <v>0</v>
      </c>
      <c r="I559" t="n">
        <v>0</v>
      </c>
      <c r="J559" t="n">
        <v>0</v>
      </c>
      <c r="K559" t="n">
        <v>0</v>
      </c>
      <c r="L559" t="n">
        <v>0</v>
      </c>
      <c r="M559" t="n">
        <v>0</v>
      </c>
      <c r="N559" t="n">
        <v>0</v>
      </c>
      <c r="O559" t="n">
        <v>0</v>
      </c>
      <c r="P559" t="n">
        <v>0</v>
      </c>
      <c r="Q559" t="n">
        <v>0</v>
      </c>
      <c r="R559" s="2" t="inlineStr"/>
    </row>
    <row r="560" ht="15" customHeight="1">
      <c r="A560" t="inlineStr">
        <is>
          <t>A 44848-2025</t>
        </is>
      </c>
      <c r="B560" s="1" t="n">
        <v>45918.44344907408</v>
      </c>
      <c r="C560" s="1" t="n">
        <v>46159</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44853-2025</t>
        </is>
      </c>
      <c r="B561" s="1" t="n">
        <v>45918.44818287037</v>
      </c>
      <c r="C561" s="1" t="n">
        <v>46159</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44861-2025</t>
        </is>
      </c>
      <c r="B562" s="1" t="n">
        <v>45918.45793981481</v>
      </c>
      <c r="C562" s="1" t="n">
        <v>46159</v>
      </c>
      <c r="D562" t="inlineStr">
        <is>
          <t>KALMAR LÄN</t>
        </is>
      </c>
      <c r="E562" t="inlineStr">
        <is>
          <t>VÄSTERVIK</t>
        </is>
      </c>
      <c r="G562" t="n">
        <v>1.3</v>
      </c>
      <c r="H562" t="n">
        <v>0</v>
      </c>
      <c r="I562" t="n">
        <v>0</v>
      </c>
      <c r="J562" t="n">
        <v>0</v>
      </c>
      <c r="K562" t="n">
        <v>0</v>
      </c>
      <c r="L562" t="n">
        <v>0</v>
      </c>
      <c r="M562" t="n">
        <v>0</v>
      </c>
      <c r="N562" t="n">
        <v>0</v>
      </c>
      <c r="O562" t="n">
        <v>0</v>
      </c>
      <c r="P562" t="n">
        <v>0</v>
      </c>
      <c r="Q562" t="n">
        <v>0</v>
      </c>
      <c r="R562" s="2" t="inlineStr"/>
      <c r="U562">
        <f>HYPERLINK("https://klasma.github.io/Logging_0883/knärot/A 44861-2025 karta knärot.png", "A 44861-2025")</f>
        <v/>
      </c>
      <c r="V562">
        <f>HYPERLINK("https://klasma.github.io/Logging_0883/klagomål/A 44861-2025 FSC-klagomål.docx", "A 44861-2025")</f>
        <v/>
      </c>
      <c r="W562">
        <f>HYPERLINK("https://klasma.github.io/Logging_0883/klagomålsmail/A 44861-2025 FSC-klagomål mail.docx", "A 44861-2025")</f>
        <v/>
      </c>
      <c r="X562">
        <f>HYPERLINK("https://klasma.github.io/Logging_0883/tillsyn/A 44861-2025 tillsynsbegäran.docx", "A 44861-2025")</f>
        <v/>
      </c>
      <c r="Y562">
        <f>HYPERLINK("https://klasma.github.io/Logging_0883/tillsynsmail/A 44861-2025 tillsynsbegäran mail.docx", "A 44861-2025")</f>
        <v/>
      </c>
    </row>
    <row r="563" ht="15" customHeight="1">
      <c r="A563" t="inlineStr">
        <is>
          <t>A 44792-2025</t>
        </is>
      </c>
      <c r="B563" s="1" t="n">
        <v>45918.31287037037</v>
      </c>
      <c r="C563" s="1" t="n">
        <v>46159</v>
      </c>
      <c r="D563" t="inlineStr">
        <is>
          <t>KALMAR LÄN</t>
        </is>
      </c>
      <c r="E563" t="inlineStr">
        <is>
          <t>VÄSTERVIK</t>
        </is>
      </c>
      <c r="G563" t="n">
        <v>3.9</v>
      </c>
      <c r="H563" t="n">
        <v>0</v>
      </c>
      <c r="I563" t="n">
        <v>0</v>
      </c>
      <c r="J563" t="n">
        <v>0</v>
      </c>
      <c r="K563" t="n">
        <v>0</v>
      </c>
      <c r="L563" t="n">
        <v>0</v>
      </c>
      <c r="M563" t="n">
        <v>0</v>
      </c>
      <c r="N563" t="n">
        <v>0</v>
      </c>
      <c r="O563" t="n">
        <v>0</v>
      </c>
      <c r="P563" t="n">
        <v>0</v>
      </c>
      <c r="Q563" t="n">
        <v>0</v>
      </c>
      <c r="R563" s="2" t="inlineStr"/>
    </row>
    <row r="564" ht="15" customHeight="1">
      <c r="A564" t="inlineStr">
        <is>
          <t>A 30789-2025</t>
        </is>
      </c>
      <c r="B564" s="1" t="n">
        <v>45831.63174768518</v>
      </c>
      <c r="C564" s="1" t="n">
        <v>46159</v>
      </c>
      <c r="D564" t="inlineStr">
        <is>
          <t>KALMAR LÄN</t>
        </is>
      </c>
      <c r="E564" t="inlineStr">
        <is>
          <t>VÄSTERVIK</t>
        </is>
      </c>
      <c r="G564" t="n">
        <v>7</v>
      </c>
      <c r="H564" t="n">
        <v>0</v>
      </c>
      <c r="I564" t="n">
        <v>0</v>
      </c>
      <c r="J564" t="n">
        <v>0</v>
      </c>
      <c r="K564" t="n">
        <v>0</v>
      </c>
      <c r="L564" t="n">
        <v>0</v>
      </c>
      <c r="M564" t="n">
        <v>0</v>
      </c>
      <c r="N564" t="n">
        <v>0</v>
      </c>
      <c r="O564" t="n">
        <v>0</v>
      </c>
      <c r="P564" t="n">
        <v>0</v>
      </c>
      <c r="Q564" t="n">
        <v>0</v>
      </c>
      <c r="R564" s="2" t="inlineStr"/>
    </row>
    <row r="565" ht="15" customHeight="1">
      <c r="A565" t="inlineStr">
        <is>
          <t>A 44981-2025</t>
        </is>
      </c>
      <c r="B565" s="1" t="n">
        <v>45918.64869212963</v>
      </c>
      <c r="C565" s="1" t="n">
        <v>46159</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48035-2024</t>
        </is>
      </c>
      <c r="B566" s="1" t="n">
        <v>45589.49168981481</v>
      </c>
      <c r="C566" s="1" t="n">
        <v>46159</v>
      </c>
      <c r="D566" t="inlineStr">
        <is>
          <t>KALMAR LÄN</t>
        </is>
      </c>
      <c r="E566" t="inlineStr">
        <is>
          <t>VÄSTERVIK</t>
        </is>
      </c>
      <c r="G566" t="n">
        <v>2.1</v>
      </c>
      <c r="H566" t="n">
        <v>0</v>
      </c>
      <c r="I566" t="n">
        <v>0</v>
      </c>
      <c r="J566" t="n">
        <v>0</v>
      </c>
      <c r="K566" t="n">
        <v>0</v>
      </c>
      <c r="L566" t="n">
        <v>0</v>
      </c>
      <c r="M566" t="n">
        <v>0</v>
      </c>
      <c r="N566" t="n">
        <v>0</v>
      </c>
      <c r="O566" t="n">
        <v>0</v>
      </c>
      <c r="P566" t="n">
        <v>0</v>
      </c>
      <c r="Q566" t="n">
        <v>0</v>
      </c>
      <c r="R566" s="2" t="inlineStr"/>
    </row>
    <row r="567" ht="15" customHeight="1">
      <c r="A567" t="inlineStr">
        <is>
          <t>A 4191-2026</t>
        </is>
      </c>
      <c r="B567" s="1" t="n">
        <v>46044.69344907408</v>
      </c>
      <c r="C567" s="1" t="n">
        <v>46159</v>
      </c>
      <c r="D567" t="inlineStr">
        <is>
          <t>KALMAR LÄN</t>
        </is>
      </c>
      <c r="E567" t="inlineStr">
        <is>
          <t>VÄSTERVIK</t>
        </is>
      </c>
      <c r="G567" t="n">
        <v>10.9</v>
      </c>
      <c r="H567" t="n">
        <v>0</v>
      </c>
      <c r="I567" t="n">
        <v>0</v>
      </c>
      <c r="J567" t="n">
        <v>0</v>
      </c>
      <c r="K567" t="n">
        <v>0</v>
      </c>
      <c r="L567" t="n">
        <v>0</v>
      </c>
      <c r="M567" t="n">
        <v>0</v>
      </c>
      <c r="N567" t="n">
        <v>0</v>
      </c>
      <c r="O567" t="n">
        <v>0</v>
      </c>
      <c r="P567" t="n">
        <v>0</v>
      </c>
      <c r="Q567" t="n">
        <v>0</v>
      </c>
      <c r="R567" s="2" t="inlineStr"/>
    </row>
    <row r="568" ht="15" customHeight="1">
      <c r="A568" t="inlineStr">
        <is>
          <t>A 4192-2026</t>
        </is>
      </c>
      <c r="B568" s="1" t="n">
        <v>46044.69368055555</v>
      </c>
      <c r="C568" s="1" t="n">
        <v>46159</v>
      </c>
      <c r="D568" t="inlineStr">
        <is>
          <t>KALMAR LÄN</t>
        </is>
      </c>
      <c r="E568" t="inlineStr">
        <is>
          <t>VÄSTERVIK</t>
        </is>
      </c>
      <c r="G568" t="n">
        <v>16.6</v>
      </c>
      <c r="H568" t="n">
        <v>0</v>
      </c>
      <c r="I568" t="n">
        <v>0</v>
      </c>
      <c r="J568" t="n">
        <v>0</v>
      </c>
      <c r="K568" t="n">
        <v>0</v>
      </c>
      <c r="L568" t="n">
        <v>0</v>
      </c>
      <c r="M568" t="n">
        <v>0</v>
      </c>
      <c r="N568" t="n">
        <v>0</v>
      </c>
      <c r="O568" t="n">
        <v>0</v>
      </c>
      <c r="P568" t="n">
        <v>0</v>
      </c>
      <c r="Q568" t="n">
        <v>0</v>
      </c>
      <c r="R568" s="2" t="inlineStr"/>
    </row>
    <row r="569" ht="15" customHeight="1">
      <c r="A569" t="inlineStr">
        <is>
          <t>A 3610-2026</t>
        </is>
      </c>
      <c r="B569" s="1" t="n">
        <v>46042.89953703704</v>
      </c>
      <c r="C569" s="1" t="n">
        <v>46159</v>
      </c>
      <c r="D569" t="inlineStr">
        <is>
          <t>KALMAR LÄN</t>
        </is>
      </c>
      <c r="E569" t="inlineStr">
        <is>
          <t>VÄSTERVIK</t>
        </is>
      </c>
      <c r="G569" t="n">
        <v>9.9</v>
      </c>
      <c r="H569" t="n">
        <v>0</v>
      </c>
      <c r="I569" t="n">
        <v>0</v>
      </c>
      <c r="J569" t="n">
        <v>0</v>
      </c>
      <c r="K569" t="n">
        <v>0</v>
      </c>
      <c r="L569" t="n">
        <v>0</v>
      </c>
      <c r="M569" t="n">
        <v>0</v>
      </c>
      <c r="N569" t="n">
        <v>0</v>
      </c>
      <c r="O569" t="n">
        <v>0</v>
      </c>
      <c r="P569" t="n">
        <v>0</v>
      </c>
      <c r="Q569" t="n">
        <v>0</v>
      </c>
      <c r="R569" s="2" t="inlineStr"/>
    </row>
    <row r="570" ht="15" customHeight="1">
      <c r="A570" t="inlineStr">
        <is>
          <t>A 30690-2025</t>
        </is>
      </c>
      <c r="B570" s="1" t="n">
        <v>45831.53775462963</v>
      </c>
      <c r="C570" s="1" t="n">
        <v>46159</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4185-2026</t>
        </is>
      </c>
      <c r="B571" s="1" t="n">
        <v>46044.6917824074</v>
      </c>
      <c r="C571" s="1" t="n">
        <v>46159</v>
      </c>
      <c r="D571" t="inlineStr">
        <is>
          <t>KALMAR LÄN</t>
        </is>
      </c>
      <c r="E571" t="inlineStr">
        <is>
          <t>VÄSTERVIK</t>
        </is>
      </c>
      <c r="G571" t="n">
        <v>2</v>
      </c>
      <c r="H571" t="n">
        <v>0</v>
      </c>
      <c r="I571" t="n">
        <v>0</v>
      </c>
      <c r="J571" t="n">
        <v>0</v>
      </c>
      <c r="K571" t="n">
        <v>0</v>
      </c>
      <c r="L571" t="n">
        <v>0</v>
      </c>
      <c r="M571" t="n">
        <v>0</v>
      </c>
      <c r="N571" t="n">
        <v>0</v>
      </c>
      <c r="O571" t="n">
        <v>0</v>
      </c>
      <c r="P571" t="n">
        <v>0</v>
      </c>
      <c r="Q571" t="n">
        <v>0</v>
      </c>
      <c r="R571" s="2" t="inlineStr"/>
    </row>
    <row r="572" ht="15" customHeight="1">
      <c r="A572" t="inlineStr">
        <is>
          <t>A 49452-2023</t>
        </is>
      </c>
      <c r="B572" s="1" t="n">
        <v>45211.49424768519</v>
      </c>
      <c r="C572" s="1" t="n">
        <v>46159</v>
      </c>
      <c r="D572" t="inlineStr">
        <is>
          <t>KALMAR LÄN</t>
        </is>
      </c>
      <c r="E572" t="inlineStr">
        <is>
          <t>VÄSTERVIK</t>
        </is>
      </c>
      <c r="F572" t="inlineStr">
        <is>
          <t>Övriga Aktiebolag</t>
        </is>
      </c>
      <c r="G572" t="n">
        <v>2.2</v>
      </c>
      <c r="H572" t="n">
        <v>0</v>
      </c>
      <c r="I572" t="n">
        <v>0</v>
      </c>
      <c r="J572" t="n">
        <v>0</v>
      </c>
      <c r="K572" t="n">
        <v>0</v>
      </c>
      <c r="L572" t="n">
        <v>0</v>
      </c>
      <c r="M572" t="n">
        <v>0</v>
      </c>
      <c r="N572" t="n">
        <v>0</v>
      </c>
      <c r="O572" t="n">
        <v>0</v>
      </c>
      <c r="P572" t="n">
        <v>0</v>
      </c>
      <c r="Q572" t="n">
        <v>0</v>
      </c>
      <c r="R572" s="2" t="inlineStr"/>
    </row>
    <row r="573" ht="15" customHeight="1">
      <c r="A573" t="inlineStr">
        <is>
          <t>A 30648-2025</t>
        </is>
      </c>
      <c r="B573" s="1" t="n">
        <v>45831</v>
      </c>
      <c r="C573" s="1" t="n">
        <v>46159</v>
      </c>
      <c r="D573" t="inlineStr">
        <is>
          <t>KALMAR LÄN</t>
        </is>
      </c>
      <c r="E573" t="inlineStr">
        <is>
          <t>VÄSTERVIK</t>
        </is>
      </c>
      <c r="G573" t="n">
        <v>3</v>
      </c>
      <c r="H573" t="n">
        <v>0</v>
      </c>
      <c r="I573" t="n">
        <v>0</v>
      </c>
      <c r="J573" t="n">
        <v>0</v>
      </c>
      <c r="K573" t="n">
        <v>0</v>
      </c>
      <c r="L573" t="n">
        <v>0</v>
      </c>
      <c r="M573" t="n">
        <v>0</v>
      </c>
      <c r="N573" t="n">
        <v>0</v>
      </c>
      <c r="O573" t="n">
        <v>0</v>
      </c>
      <c r="P573" t="n">
        <v>0</v>
      </c>
      <c r="Q573" t="n">
        <v>0</v>
      </c>
      <c r="R573" s="2" t="inlineStr"/>
    </row>
    <row r="574" ht="15" customHeight="1">
      <c r="A574" t="inlineStr">
        <is>
          <t>A 59170-2022</t>
        </is>
      </c>
      <c r="B574" s="1" t="n">
        <v>44904.48152777777</v>
      </c>
      <c r="C574" s="1" t="n">
        <v>46159</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4186-2026</t>
        </is>
      </c>
      <c r="B575" s="1" t="n">
        <v>46044.69216435185</v>
      </c>
      <c r="C575" s="1" t="n">
        <v>46159</v>
      </c>
      <c r="D575" t="inlineStr">
        <is>
          <t>KALMAR LÄN</t>
        </is>
      </c>
      <c r="E575" t="inlineStr">
        <is>
          <t>VÄSTERVIK</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31576-2025</t>
        </is>
      </c>
      <c r="B576" s="1" t="n">
        <v>45833.67266203704</v>
      </c>
      <c r="C576" s="1" t="n">
        <v>46159</v>
      </c>
      <c r="D576" t="inlineStr">
        <is>
          <t>KALMAR LÄN</t>
        </is>
      </c>
      <c r="E576" t="inlineStr">
        <is>
          <t>VÄSTERVIK</t>
        </is>
      </c>
      <c r="F576" t="inlineStr">
        <is>
          <t>Holmen skog AB</t>
        </is>
      </c>
      <c r="G576" t="n">
        <v>3.5</v>
      </c>
      <c r="H576" t="n">
        <v>0</v>
      </c>
      <c r="I576" t="n">
        <v>0</v>
      </c>
      <c r="J576" t="n">
        <v>0</v>
      </c>
      <c r="K576" t="n">
        <v>0</v>
      </c>
      <c r="L576" t="n">
        <v>0</v>
      </c>
      <c r="M576" t="n">
        <v>0</v>
      </c>
      <c r="N576" t="n">
        <v>0</v>
      </c>
      <c r="O576" t="n">
        <v>0</v>
      </c>
      <c r="P576" t="n">
        <v>0</v>
      </c>
      <c r="Q576" t="n">
        <v>0</v>
      </c>
      <c r="R576" s="2" t="inlineStr"/>
    </row>
    <row r="577" ht="15" customHeight="1">
      <c r="A577" t="inlineStr">
        <is>
          <t>A 4189-2026</t>
        </is>
      </c>
      <c r="B577" s="1" t="n">
        <v>46044.69300925926</v>
      </c>
      <c r="C577" s="1" t="n">
        <v>46159</v>
      </c>
      <c r="D577" t="inlineStr">
        <is>
          <t>KALMAR LÄN</t>
        </is>
      </c>
      <c r="E577" t="inlineStr">
        <is>
          <t>VÄSTERVIK</t>
        </is>
      </c>
      <c r="G577" t="n">
        <v>3.4</v>
      </c>
      <c r="H577" t="n">
        <v>0</v>
      </c>
      <c r="I577" t="n">
        <v>0</v>
      </c>
      <c r="J577" t="n">
        <v>0</v>
      </c>
      <c r="K577" t="n">
        <v>0</v>
      </c>
      <c r="L577" t="n">
        <v>0</v>
      </c>
      <c r="M577" t="n">
        <v>0</v>
      </c>
      <c r="N577" t="n">
        <v>0</v>
      </c>
      <c r="O577" t="n">
        <v>0</v>
      </c>
      <c r="P577" t="n">
        <v>0</v>
      </c>
      <c r="Q577" t="n">
        <v>0</v>
      </c>
      <c r="R577" s="2" t="inlineStr"/>
    </row>
    <row r="578" ht="15" customHeight="1">
      <c r="A578" t="inlineStr">
        <is>
          <t>A 59212-2022</t>
        </is>
      </c>
      <c r="B578" s="1" t="n">
        <v>44904.52560185185</v>
      </c>
      <c r="C578" s="1" t="n">
        <v>46159</v>
      </c>
      <c r="D578" t="inlineStr">
        <is>
          <t>KALMAR LÄN</t>
        </is>
      </c>
      <c r="E578" t="inlineStr">
        <is>
          <t>VÄSTERVIK</t>
        </is>
      </c>
      <c r="G578" t="n">
        <v>2.3</v>
      </c>
      <c r="H578" t="n">
        <v>0</v>
      </c>
      <c r="I578" t="n">
        <v>0</v>
      </c>
      <c r="J578" t="n">
        <v>0</v>
      </c>
      <c r="K578" t="n">
        <v>0</v>
      </c>
      <c r="L578" t="n">
        <v>0</v>
      </c>
      <c r="M578" t="n">
        <v>0</v>
      </c>
      <c r="N578" t="n">
        <v>0</v>
      </c>
      <c r="O578" t="n">
        <v>0</v>
      </c>
      <c r="P578" t="n">
        <v>0</v>
      </c>
      <c r="Q578" t="n">
        <v>0</v>
      </c>
      <c r="R578" s="2" t="inlineStr"/>
    </row>
    <row r="579" ht="15" customHeight="1">
      <c r="A579" t="inlineStr">
        <is>
          <t>A 59227-2022</t>
        </is>
      </c>
      <c r="B579" s="1" t="n">
        <v>44904</v>
      </c>
      <c r="C579" s="1" t="n">
        <v>46159</v>
      </c>
      <c r="D579" t="inlineStr">
        <is>
          <t>KALMAR LÄN</t>
        </is>
      </c>
      <c r="E579" t="inlineStr">
        <is>
          <t>VÄSTERVIK</t>
        </is>
      </c>
      <c r="G579" t="n">
        <v>6</v>
      </c>
      <c r="H579" t="n">
        <v>0</v>
      </c>
      <c r="I579" t="n">
        <v>0</v>
      </c>
      <c r="J579" t="n">
        <v>0</v>
      </c>
      <c r="K579" t="n">
        <v>0</v>
      </c>
      <c r="L579" t="n">
        <v>0</v>
      </c>
      <c r="M579" t="n">
        <v>0</v>
      </c>
      <c r="N579" t="n">
        <v>0</v>
      </c>
      <c r="O579" t="n">
        <v>0</v>
      </c>
      <c r="P579" t="n">
        <v>0</v>
      </c>
      <c r="Q579" t="n">
        <v>0</v>
      </c>
      <c r="R579" s="2" t="inlineStr"/>
    </row>
    <row r="580" ht="15" customHeight="1">
      <c r="A580" t="inlineStr">
        <is>
          <t>A 31826-2025</t>
        </is>
      </c>
      <c r="B580" s="1" t="n">
        <v>45834.58306712963</v>
      </c>
      <c r="C580" s="1" t="n">
        <v>46159</v>
      </c>
      <c r="D580" t="inlineStr">
        <is>
          <t>KALMAR LÄN</t>
        </is>
      </c>
      <c r="E580" t="inlineStr">
        <is>
          <t>VÄSTERVIK</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31843-2025</t>
        </is>
      </c>
      <c r="B581" s="1" t="n">
        <v>45834.5984375</v>
      </c>
      <c r="C581" s="1" t="n">
        <v>46159</v>
      </c>
      <c r="D581" t="inlineStr">
        <is>
          <t>KALMAR LÄN</t>
        </is>
      </c>
      <c r="E581" t="inlineStr">
        <is>
          <t>VÄSTERVIK</t>
        </is>
      </c>
      <c r="F581" t="inlineStr">
        <is>
          <t>Holmen skog AB</t>
        </is>
      </c>
      <c r="G581" t="n">
        <v>4.5</v>
      </c>
      <c r="H581" t="n">
        <v>0</v>
      </c>
      <c r="I581" t="n">
        <v>0</v>
      </c>
      <c r="J581" t="n">
        <v>0</v>
      </c>
      <c r="K581" t="n">
        <v>0</v>
      </c>
      <c r="L581" t="n">
        <v>0</v>
      </c>
      <c r="M581" t="n">
        <v>0</v>
      </c>
      <c r="N581" t="n">
        <v>0</v>
      </c>
      <c r="O581" t="n">
        <v>0</v>
      </c>
      <c r="P581" t="n">
        <v>0</v>
      </c>
      <c r="Q581" t="n">
        <v>0</v>
      </c>
      <c r="R581" s="2" t="inlineStr"/>
    </row>
    <row r="582" ht="15" customHeight="1">
      <c r="A582" t="inlineStr">
        <is>
          <t>A 31857-2025</t>
        </is>
      </c>
      <c r="B582" s="1" t="n">
        <v>45834.62629629629</v>
      </c>
      <c r="C582" s="1" t="n">
        <v>46159</v>
      </c>
      <c r="D582" t="inlineStr">
        <is>
          <t>KALMAR LÄN</t>
        </is>
      </c>
      <c r="E582" t="inlineStr">
        <is>
          <t>VÄSTERVIK</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46158-2025</t>
        </is>
      </c>
      <c r="B583" s="1" t="n">
        <v>45924.63511574074</v>
      </c>
      <c r="C583" s="1" t="n">
        <v>46159</v>
      </c>
      <c r="D583" t="inlineStr">
        <is>
          <t>KALMAR LÄN</t>
        </is>
      </c>
      <c r="E583" t="inlineStr">
        <is>
          <t>VÄSTERVIK</t>
        </is>
      </c>
      <c r="G583" t="n">
        <v>1.8</v>
      </c>
      <c r="H583" t="n">
        <v>0</v>
      </c>
      <c r="I583" t="n">
        <v>0</v>
      </c>
      <c r="J583" t="n">
        <v>0</v>
      </c>
      <c r="K583" t="n">
        <v>0</v>
      </c>
      <c r="L583" t="n">
        <v>0</v>
      </c>
      <c r="M583" t="n">
        <v>0</v>
      </c>
      <c r="N583" t="n">
        <v>0</v>
      </c>
      <c r="O583" t="n">
        <v>0</v>
      </c>
      <c r="P583" t="n">
        <v>0</v>
      </c>
      <c r="Q583" t="n">
        <v>0</v>
      </c>
      <c r="R583" s="2" t="inlineStr"/>
    </row>
    <row r="584" ht="15" customHeight="1">
      <c r="A584" t="inlineStr">
        <is>
          <t>A 46161-2025</t>
        </is>
      </c>
      <c r="B584" s="1" t="n">
        <v>45924.63733796297</v>
      </c>
      <c r="C584" s="1" t="n">
        <v>46159</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23706-2025</t>
        </is>
      </c>
      <c r="B585" s="1" t="n">
        <v>45793.36922453704</v>
      </c>
      <c r="C585" s="1" t="n">
        <v>46159</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45877-2025</t>
        </is>
      </c>
      <c r="B586" s="1" t="n">
        <v>45923.65804398148</v>
      </c>
      <c r="C586" s="1" t="n">
        <v>46159</v>
      </c>
      <c r="D586" t="inlineStr">
        <is>
          <t>KALMAR LÄN</t>
        </is>
      </c>
      <c r="E586" t="inlineStr">
        <is>
          <t>VÄSTERVIK</t>
        </is>
      </c>
      <c r="G586" t="n">
        <v>5.6</v>
      </c>
      <c r="H586" t="n">
        <v>0</v>
      </c>
      <c r="I586" t="n">
        <v>0</v>
      </c>
      <c r="J586" t="n">
        <v>0</v>
      </c>
      <c r="K586" t="n">
        <v>0</v>
      </c>
      <c r="L586" t="n">
        <v>0</v>
      </c>
      <c r="M586" t="n">
        <v>0</v>
      </c>
      <c r="N586" t="n">
        <v>0</v>
      </c>
      <c r="O586" t="n">
        <v>0</v>
      </c>
      <c r="P586" t="n">
        <v>0</v>
      </c>
      <c r="Q586" t="n">
        <v>0</v>
      </c>
      <c r="R586" s="2" t="inlineStr"/>
    </row>
    <row r="587" ht="15" customHeight="1">
      <c r="A587" t="inlineStr">
        <is>
          <t>A 31886-2025</t>
        </is>
      </c>
      <c r="B587" s="1" t="n">
        <v>45834.65864583333</v>
      </c>
      <c r="C587" s="1" t="n">
        <v>46159</v>
      </c>
      <c r="D587" t="inlineStr">
        <is>
          <t>KALMAR LÄN</t>
        </is>
      </c>
      <c r="E587" t="inlineStr">
        <is>
          <t>VÄSTERVIK</t>
        </is>
      </c>
      <c r="F587" t="inlineStr">
        <is>
          <t>Holmen skog AB</t>
        </is>
      </c>
      <c r="G587" t="n">
        <v>4.1</v>
      </c>
      <c r="H587" t="n">
        <v>0</v>
      </c>
      <c r="I587" t="n">
        <v>0</v>
      </c>
      <c r="J587" t="n">
        <v>0</v>
      </c>
      <c r="K587" t="n">
        <v>0</v>
      </c>
      <c r="L587" t="n">
        <v>0</v>
      </c>
      <c r="M587" t="n">
        <v>0</v>
      </c>
      <c r="N587" t="n">
        <v>0</v>
      </c>
      <c r="O587" t="n">
        <v>0</v>
      </c>
      <c r="P587" t="n">
        <v>0</v>
      </c>
      <c r="Q587" t="n">
        <v>0</v>
      </c>
      <c r="R587" s="2" t="inlineStr"/>
    </row>
    <row r="588" ht="15" customHeight="1">
      <c r="A588" t="inlineStr">
        <is>
          <t>A 31600-2025</t>
        </is>
      </c>
      <c r="B588" s="1" t="n">
        <v>45833.72505787037</v>
      </c>
      <c r="C588" s="1" t="n">
        <v>46159</v>
      </c>
      <c r="D588" t="inlineStr">
        <is>
          <t>KALMAR LÄN</t>
        </is>
      </c>
      <c r="E588" t="inlineStr">
        <is>
          <t>VÄSTERVIK</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7255-2023</t>
        </is>
      </c>
      <c r="B589" s="1" t="n">
        <v>44970</v>
      </c>
      <c r="C589" s="1" t="n">
        <v>46159</v>
      </c>
      <c r="D589" t="inlineStr">
        <is>
          <t>KALMAR LÄN</t>
        </is>
      </c>
      <c r="E589" t="inlineStr">
        <is>
          <t>VÄSTERVIK</t>
        </is>
      </c>
      <c r="F589" t="inlineStr">
        <is>
          <t>Naturvårdsverket</t>
        </is>
      </c>
      <c r="G589" t="n">
        <v>0.6</v>
      </c>
      <c r="H589" t="n">
        <v>0</v>
      </c>
      <c r="I589" t="n">
        <v>0</v>
      </c>
      <c r="J589" t="n">
        <v>0</v>
      </c>
      <c r="K589" t="n">
        <v>0</v>
      </c>
      <c r="L589" t="n">
        <v>0</v>
      </c>
      <c r="M589" t="n">
        <v>0</v>
      </c>
      <c r="N589" t="n">
        <v>0</v>
      </c>
      <c r="O589" t="n">
        <v>0</v>
      </c>
      <c r="P589" t="n">
        <v>0</v>
      </c>
      <c r="Q589" t="n">
        <v>0</v>
      </c>
      <c r="R589" s="2" t="inlineStr"/>
      <c r="U589">
        <f>HYPERLINK("https://klasma.github.io/Logging_0883/knärot/A 7255-2023 karta knärot.png", "A 7255-2023")</f>
        <v/>
      </c>
      <c r="V589">
        <f>HYPERLINK("https://klasma.github.io/Logging_0883/klagomål/A 7255-2023 FSC-klagomål.docx", "A 7255-2023")</f>
        <v/>
      </c>
      <c r="W589">
        <f>HYPERLINK("https://klasma.github.io/Logging_0883/klagomålsmail/A 7255-2023 FSC-klagomål mail.docx", "A 7255-2023")</f>
        <v/>
      </c>
      <c r="X589">
        <f>HYPERLINK("https://klasma.github.io/Logging_0883/tillsyn/A 7255-2023 tillsynsbegäran.docx", "A 7255-2023")</f>
        <v/>
      </c>
      <c r="Y589">
        <f>HYPERLINK("https://klasma.github.io/Logging_0883/tillsynsmail/A 7255-2023 tillsynsbegäran mail.docx", "A 7255-2023")</f>
        <v/>
      </c>
    </row>
    <row r="590" ht="15" customHeight="1">
      <c r="A590" t="inlineStr">
        <is>
          <t>A 36050-2024</t>
        </is>
      </c>
      <c r="B590" s="1" t="n">
        <v>45533.620625</v>
      </c>
      <c r="C590" s="1" t="n">
        <v>46159</v>
      </c>
      <c r="D590" t="inlineStr">
        <is>
          <t>KALMAR LÄN</t>
        </is>
      </c>
      <c r="E590" t="inlineStr">
        <is>
          <t>VÄSTERVIK</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4188-2026</t>
        </is>
      </c>
      <c r="B591" s="1" t="n">
        <v>46044.69266203704</v>
      </c>
      <c r="C591" s="1" t="n">
        <v>46159</v>
      </c>
      <c r="D591" t="inlineStr">
        <is>
          <t>KALMAR LÄN</t>
        </is>
      </c>
      <c r="E591" t="inlineStr">
        <is>
          <t>VÄSTERVIK</t>
        </is>
      </c>
      <c r="G591" t="n">
        <v>3.1</v>
      </c>
      <c r="H591" t="n">
        <v>0</v>
      </c>
      <c r="I591" t="n">
        <v>0</v>
      </c>
      <c r="J591" t="n">
        <v>0</v>
      </c>
      <c r="K591" t="n">
        <v>0</v>
      </c>
      <c r="L591" t="n">
        <v>0</v>
      </c>
      <c r="M591" t="n">
        <v>0</v>
      </c>
      <c r="N591" t="n">
        <v>0</v>
      </c>
      <c r="O591" t="n">
        <v>0</v>
      </c>
      <c r="P591" t="n">
        <v>0</v>
      </c>
      <c r="Q591" t="n">
        <v>0</v>
      </c>
      <c r="R591" s="2" t="inlineStr"/>
    </row>
    <row r="592" ht="15" customHeight="1">
      <c r="A592" t="inlineStr">
        <is>
          <t>A 45463-2024</t>
        </is>
      </c>
      <c r="B592" s="1" t="n">
        <v>45576.69753472223</v>
      </c>
      <c r="C592" s="1" t="n">
        <v>46159</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9025-2022</t>
        </is>
      </c>
      <c r="B593" s="1" t="n">
        <v>44615</v>
      </c>
      <c r="C593" s="1" t="n">
        <v>46159</v>
      </c>
      <c r="D593" t="inlineStr">
        <is>
          <t>KALMAR LÄN</t>
        </is>
      </c>
      <c r="E593" t="inlineStr">
        <is>
          <t>VÄSTERVIK</t>
        </is>
      </c>
      <c r="G593" t="n">
        <v>0.6</v>
      </c>
      <c r="H593" t="n">
        <v>0</v>
      </c>
      <c r="I593" t="n">
        <v>0</v>
      </c>
      <c r="J593" t="n">
        <v>0</v>
      </c>
      <c r="K593" t="n">
        <v>0</v>
      </c>
      <c r="L593" t="n">
        <v>0</v>
      </c>
      <c r="M593" t="n">
        <v>0</v>
      </c>
      <c r="N593" t="n">
        <v>0</v>
      </c>
      <c r="O593" t="n">
        <v>0</v>
      </c>
      <c r="P593" t="n">
        <v>0</v>
      </c>
      <c r="Q593" t="n">
        <v>0</v>
      </c>
      <c r="R593" s="2" t="inlineStr"/>
    </row>
    <row r="594" ht="15" customHeight="1">
      <c r="A594" t="inlineStr">
        <is>
          <t>A 10778-2025</t>
        </is>
      </c>
      <c r="B594" s="1" t="n">
        <v>45722</v>
      </c>
      <c r="C594" s="1" t="n">
        <v>46159</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3623-2026</t>
        </is>
      </c>
      <c r="B595" s="1" t="n">
        <v>46043</v>
      </c>
      <c r="C595" s="1" t="n">
        <v>46159</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32018-2025</t>
        </is>
      </c>
      <c r="B596" s="1" t="n">
        <v>45835.40452546296</v>
      </c>
      <c r="C596" s="1" t="n">
        <v>46159</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4309-2026</t>
        </is>
      </c>
      <c r="B597" s="1" t="n">
        <v>46045.44006944444</v>
      </c>
      <c r="C597" s="1" t="n">
        <v>46159</v>
      </c>
      <c r="D597" t="inlineStr">
        <is>
          <t>KALMAR LÄN</t>
        </is>
      </c>
      <c r="E597" t="inlineStr">
        <is>
          <t>VÄSTERVIK</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4298-2026</t>
        </is>
      </c>
      <c r="B598" s="1" t="n">
        <v>46045.42090277778</v>
      </c>
      <c r="C598" s="1" t="n">
        <v>46159</v>
      </c>
      <c r="D598" t="inlineStr">
        <is>
          <t>KALMAR LÄN</t>
        </is>
      </c>
      <c r="E598" t="inlineStr">
        <is>
          <t>VÄSTERVIK</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4911-2026</t>
        </is>
      </c>
      <c r="B599" s="1" t="n">
        <v>46048.71017361111</v>
      </c>
      <c r="C599" s="1" t="n">
        <v>46159</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4289-2026</t>
        </is>
      </c>
      <c r="B600" s="1" t="n">
        <v>46045.40174768519</v>
      </c>
      <c r="C600" s="1" t="n">
        <v>46159</v>
      </c>
      <c r="D600" t="inlineStr">
        <is>
          <t>KALMAR LÄN</t>
        </is>
      </c>
      <c r="E600" t="inlineStr">
        <is>
          <t>VÄSTERVIK</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32495-2025</t>
        </is>
      </c>
      <c r="B601" s="1" t="n">
        <v>45838.4546875</v>
      </c>
      <c r="C601" s="1" t="n">
        <v>46159</v>
      </c>
      <c r="D601" t="inlineStr">
        <is>
          <t>KALMAR LÄN</t>
        </is>
      </c>
      <c r="E601" t="inlineStr">
        <is>
          <t>VÄSTERVIK</t>
        </is>
      </c>
      <c r="G601" t="n">
        <v>0.5</v>
      </c>
      <c r="H601" t="n">
        <v>0</v>
      </c>
      <c r="I601" t="n">
        <v>0</v>
      </c>
      <c r="J601" t="n">
        <v>0</v>
      </c>
      <c r="K601" t="n">
        <v>0</v>
      </c>
      <c r="L601" t="n">
        <v>0</v>
      </c>
      <c r="M601" t="n">
        <v>0</v>
      </c>
      <c r="N601" t="n">
        <v>0</v>
      </c>
      <c r="O601" t="n">
        <v>0</v>
      </c>
      <c r="P601" t="n">
        <v>0</v>
      </c>
      <c r="Q601" t="n">
        <v>0</v>
      </c>
      <c r="R601" s="2" t="inlineStr"/>
    </row>
    <row r="602" ht="15" customHeight="1">
      <c r="A602" t="inlineStr">
        <is>
          <t>A 15106-2023</t>
        </is>
      </c>
      <c r="B602" s="1" t="n">
        <v>45016.41767361111</v>
      </c>
      <c r="C602" s="1" t="n">
        <v>46159</v>
      </c>
      <c r="D602" t="inlineStr">
        <is>
          <t>KALMAR LÄN</t>
        </is>
      </c>
      <c r="E602" t="inlineStr">
        <is>
          <t>VÄSTERVIK</t>
        </is>
      </c>
      <c r="G602" t="n">
        <v>0.4</v>
      </c>
      <c r="H602" t="n">
        <v>0</v>
      </c>
      <c r="I602" t="n">
        <v>0</v>
      </c>
      <c r="J602" t="n">
        <v>0</v>
      </c>
      <c r="K602" t="n">
        <v>0</v>
      </c>
      <c r="L602" t="n">
        <v>0</v>
      </c>
      <c r="M602" t="n">
        <v>0</v>
      </c>
      <c r="N602" t="n">
        <v>0</v>
      </c>
      <c r="O602" t="n">
        <v>0</v>
      </c>
      <c r="P602" t="n">
        <v>0</v>
      </c>
      <c r="Q602" t="n">
        <v>0</v>
      </c>
      <c r="R602" s="2" t="inlineStr"/>
    </row>
    <row r="603" ht="15" customHeight="1">
      <c r="A603" t="inlineStr">
        <is>
          <t>A 32778-2025</t>
        </is>
      </c>
      <c r="B603" s="1" t="n">
        <v>45839.46924768519</v>
      </c>
      <c r="C603" s="1" t="n">
        <v>46159</v>
      </c>
      <c r="D603" t="inlineStr">
        <is>
          <t>KALMAR LÄN</t>
        </is>
      </c>
      <c r="E603" t="inlineStr">
        <is>
          <t>VÄSTERVIK</t>
        </is>
      </c>
      <c r="G603" t="n">
        <v>2.2</v>
      </c>
      <c r="H603" t="n">
        <v>0</v>
      </c>
      <c r="I603" t="n">
        <v>0</v>
      </c>
      <c r="J603" t="n">
        <v>0</v>
      </c>
      <c r="K603" t="n">
        <v>0</v>
      </c>
      <c r="L603" t="n">
        <v>0</v>
      </c>
      <c r="M603" t="n">
        <v>0</v>
      </c>
      <c r="N603" t="n">
        <v>0</v>
      </c>
      <c r="O603" t="n">
        <v>0</v>
      </c>
      <c r="P603" t="n">
        <v>0</v>
      </c>
      <c r="Q603" t="n">
        <v>0</v>
      </c>
      <c r="R603" s="2" t="inlineStr"/>
    </row>
    <row r="604" ht="15" customHeight="1">
      <c r="A604" t="inlineStr">
        <is>
          <t>A 28588-2022</t>
        </is>
      </c>
      <c r="B604" s="1" t="n">
        <v>44748</v>
      </c>
      <c r="C604" s="1" t="n">
        <v>46159</v>
      </c>
      <c r="D604" t="inlineStr">
        <is>
          <t>KALMAR LÄN</t>
        </is>
      </c>
      <c r="E604" t="inlineStr">
        <is>
          <t>VÄSTERVIK</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32400-2025</t>
        </is>
      </c>
      <c r="B605" s="1" t="n">
        <v>45838.25818287037</v>
      </c>
      <c r="C605" s="1" t="n">
        <v>46159</v>
      </c>
      <c r="D605" t="inlineStr">
        <is>
          <t>KALMAR LÄN</t>
        </is>
      </c>
      <c r="E605" t="inlineStr">
        <is>
          <t>VÄSTERVIK</t>
        </is>
      </c>
      <c r="G605" t="n">
        <v>0.6</v>
      </c>
      <c r="H605" t="n">
        <v>0</v>
      </c>
      <c r="I605" t="n">
        <v>0</v>
      </c>
      <c r="J605" t="n">
        <v>0</v>
      </c>
      <c r="K605" t="n">
        <v>0</v>
      </c>
      <c r="L605" t="n">
        <v>0</v>
      </c>
      <c r="M605" t="n">
        <v>0</v>
      </c>
      <c r="N605" t="n">
        <v>0</v>
      </c>
      <c r="O605" t="n">
        <v>0</v>
      </c>
      <c r="P605" t="n">
        <v>0</v>
      </c>
      <c r="Q605" t="n">
        <v>0</v>
      </c>
      <c r="R605" s="2" t="inlineStr"/>
    </row>
    <row r="606" ht="15" customHeight="1">
      <c r="A606" t="inlineStr">
        <is>
          <t>A 15553-2024</t>
        </is>
      </c>
      <c r="B606" s="1" t="n">
        <v>45401.63736111111</v>
      </c>
      <c r="C606" s="1" t="n">
        <v>46159</v>
      </c>
      <c r="D606" t="inlineStr">
        <is>
          <t>KALMAR LÄN</t>
        </is>
      </c>
      <c r="E606" t="inlineStr">
        <is>
          <t>VÄSTERVIK</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33922-2025</t>
        </is>
      </c>
      <c r="B607" s="1" t="n">
        <v>45842.61993055556</v>
      </c>
      <c r="C607" s="1" t="n">
        <v>46159</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33928-2025</t>
        </is>
      </c>
      <c r="B608" s="1" t="n">
        <v>45842.62488425926</v>
      </c>
      <c r="C608" s="1" t="n">
        <v>46159</v>
      </c>
      <c r="D608" t="inlineStr">
        <is>
          <t>KALMAR LÄN</t>
        </is>
      </c>
      <c r="E608" t="inlineStr">
        <is>
          <t>VÄSTERVIK</t>
        </is>
      </c>
      <c r="G608" t="n">
        <v>2.4</v>
      </c>
      <c r="H608" t="n">
        <v>0</v>
      </c>
      <c r="I608" t="n">
        <v>0</v>
      </c>
      <c r="J608" t="n">
        <v>0</v>
      </c>
      <c r="K608" t="n">
        <v>0</v>
      </c>
      <c r="L608" t="n">
        <v>0</v>
      </c>
      <c r="M608" t="n">
        <v>0</v>
      </c>
      <c r="N608" t="n">
        <v>0</v>
      </c>
      <c r="O608" t="n">
        <v>0</v>
      </c>
      <c r="P608" t="n">
        <v>0</v>
      </c>
      <c r="Q608" t="n">
        <v>0</v>
      </c>
      <c r="R608" s="2" t="inlineStr"/>
    </row>
    <row r="609" ht="15" customHeight="1">
      <c r="A609" t="inlineStr">
        <is>
          <t>A 5915-2026</t>
        </is>
      </c>
      <c r="B609" s="1" t="n">
        <v>46052.45144675926</v>
      </c>
      <c r="C609" s="1" t="n">
        <v>46159</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5740-2026</t>
        </is>
      </c>
      <c r="B610" s="1" t="n">
        <v>46051.57940972222</v>
      </c>
      <c r="C610" s="1" t="n">
        <v>46159</v>
      </c>
      <c r="D610" t="inlineStr">
        <is>
          <t>KALMAR LÄN</t>
        </is>
      </c>
      <c r="E610" t="inlineStr">
        <is>
          <t>VÄSTERVIK</t>
        </is>
      </c>
      <c r="F610" t="inlineStr">
        <is>
          <t>Kyrkan</t>
        </is>
      </c>
      <c r="G610" t="n">
        <v>7.7</v>
      </c>
      <c r="H610" t="n">
        <v>0</v>
      </c>
      <c r="I610" t="n">
        <v>0</v>
      </c>
      <c r="J610" t="n">
        <v>0</v>
      </c>
      <c r="K610" t="n">
        <v>0</v>
      </c>
      <c r="L610" t="n">
        <v>0</v>
      </c>
      <c r="M610" t="n">
        <v>0</v>
      </c>
      <c r="N610" t="n">
        <v>0</v>
      </c>
      <c r="O610" t="n">
        <v>0</v>
      </c>
      <c r="P610" t="n">
        <v>0</v>
      </c>
      <c r="Q610" t="n">
        <v>0</v>
      </c>
      <c r="R610" s="2" t="inlineStr"/>
    </row>
    <row r="611" ht="15" customHeight="1">
      <c r="A611" t="inlineStr">
        <is>
          <t>A 13957-2025</t>
        </is>
      </c>
      <c r="B611" s="1" t="n">
        <v>45737.85231481482</v>
      </c>
      <c r="C611" s="1" t="n">
        <v>46159</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33924-2025</t>
        </is>
      </c>
      <c r="B612" s="1" t="n">
        <v>45842.62152777778</v>
      </c>
      <c r="C612" s="1" t="n">
        <v>46159</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47775-2025</t>
        </is>
      </c>
      <c r="B613" s="1" t="n">
        <v>45931.72548611111</v>
      </c>
      <c r="C613" s="1" t="n">
        <v>46159</v>
      </c>
      <c r="D613" t="inlineStr">
        <is>
          <t>KALMAR LÄN</t>
        </is>
      </c>
      <c r="E613" t="inlineStr">
        <is>
          <t>VÄSTERVIK</t>
        </is>
      </c>
      <c r="G613" t="n">
        <v>4.2</v>
      </c>
      <c r="H613" t="n">
        <v>0</v>
      </c>
      <c r="I613" t="n">
        <v>0</v>
      </c>
      <c r="J613" t="n">
        <v>0</v>
      </c>
      <c r="K613" t="n">
        <v>0</v>
      </c>
      <c r="L613" t="n">
        <v>0</v>
      </c>
      <c r="M613" t="n">
        <v>0</v>
      </c>
      <c r="N613" t="n">
        <v>0</v>
      </c>
      <c r="O613" t="n">
        <v>0</v>
      </c>
      <c r="P613" t="n">
        <v>0</v>
      </c>
      <c r="Q613" t="n">
        <v>0</v>
      </c>
      <c r="R613" s="2" t="inlineStr"/>
    </row>
    <row r="614" ht="15" customHeight="1">
      <c r="A614" t="inlineStr">
        <is>
          <t>A 47776-2025</t>
        </is>
      </c>
      <c r="B614" s="1" t="n">
        <v>45931.7262962963</v>
      </c>
      <c r="C614" s="1" t="n">
        <v>46159</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23580-2023</t>
        </is>
      </c>
      <c r="B615" s="1" t="n">
        <v>45077</v>
      </c>
      <c r="C615" s="1" t="n">
        <v>46159</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48039-2025</t>
        </is>
      </c>
      <c r="B616" s="1" t="n">
        <v>45932</v>
      </c>
      <c r="C616" s="1" t="n">
        <v>46159</v>
      </c>
      <c r="D616" t="inlineStr">
        <is>
          <t>KALMAR LÄN</t>
        </is>
      </c>
      <c r="E616" t="inlineStr">
        <is>
          <t>VÄSTERVIK</t>
        </is>
      </c>
      <c r="G616" t="n">
        <v>1.2</v>
      </c>
      <c r="H616" t="n">
        <v>0</v>
      </c>
      <c r="I616" t="n">
        <v>0</v>
      </c>
      <c r="J616" t="n">
        <v>0</v>
      </c>
      <c r="K616" t="n">
        <v>0</v>
      </c>
      <c r="L616" t="n">
        <v>0</v>
      </c>
      <c r="M616" t="n">
        <v>0</v>
      </c>
      <c r="N616" t="n">
        <v>0</v>
      </c>
      <c r="O616" t="n">
        <v>0</v>
      </c>
      <c r="P616" t="n">
        <v>0</v>
      </c>
      <c r="Q616" t="n">
        <v>0</v>
      </c>
      <c r="R616" s="2" t="inlineStr"/>
    </row>
    <row r="617" ht="15" customHeight="1">
      <c r="A617" t="inlineStr">
        <is>
          <t>A 33921-2025</t>
        </is>
      </c>
      <c r="B617" s="1" t="n">
        <v>45842.61626157408</v>
      </c>
      <c r="C617" s="1" t="n">
        <v>46159</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11584-2023</t>
        </is>
      </c>
      <c r="B618" s="1" t="n">
        <v>44994.35707175926</v>
      </c>
      <c r="C618" s="1" t="n">
        <v>46159</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48024-2025</t>
        </is>
      </c>
      <c r="B619" s="1" t="n">
        <v>45932.65021990741</v>
      </c>
      <c r="C619" s="1" t="n">
        <v>46159</v>
      </c>
      <c r="D619" t="inlineStr">
        <is>
          <t>KALMAR LÄN</t>
        </is>
      </c>
      <c r="E619" t="inlineStr">
        <is>
          <t>VÄSTERVIK</t>
        </is>
      </c>
      <c r="G619" t="n">
        <v>1.5</v>
      </c>
      <c r="H619" t="n">
        <v>0</v>
      </c>
      <c r="I619" t="n">
        <v>0</v>
      </c>
      <c r="J619" t="n">
        <v>0</v>
      </c>
      <c r="K619" t="n">
        <v>0</v>
      </c>
      <c r="L619" t="n">
        <v>0</v>
      </c>
      <c r="M619" t="n">
        <v>0</v>
      </c>
      <c r="N619" t="n">
        <v>0</v>
      </c>
      <c r="O619" t="n">
        <v>0</v>
      </c>
      <c r="P619" t="n">
        <v>0</v>
      </c>
      <c r="Q619" t="n">
        <v>0</v>
      </c>
      <c r="R619" s="2" t="inlineStr"/>
    </row>
    <row r="620" ht="15" customHeight="1">
      <c r="A620" t="inlineStr">
        <is>
          <t>A 33931-2025</t>
        </is>
      </c>
      <c r="B620" s="1" t="n">
        <v>45842.63288194445</v>
      </c>
      <c r="C620" s="1" t="n">
        <v>46159</v>
      </c>
      <c r="D620" t="inlineStr">
        <is>
          <t>KALMAR LÄN</t>
        </is>
      </c>
      <c r="E620" t="inlineStr">
        <is>
          <t>VÄSTERVIK</t>
        </is>
      </c>
      <c r="G620" t="n">
        <v>1.6</v>
      </c>
      <c r="H620" t="n">
        <v>0</v>
      </c>
      <c r="I620" t="n">
        <v>0</v>
      </c>
      <c r="J620" t="n">
        <v>0</v>
      </c>
      <c r="K620" t="n">
        <v>0</v>
      </c>
      <c r="L620" t="n">
        <v>0</v>
      </c>
      <c r="M620" t="n">
        <v>0</v>
      </c>
      <c r="N620" t="n">
        <v>0</v>
      </c>
      <c r="O620" t="n">
        <v>0</v>
      </c>
      <c r="P620" t="n">
        <v>0</v>
      </c>
      <c r="Q620" t="n">
        <v>0</v>
      </c>
      <c r="R620" s="2" t="inlineStr"/>
    </row>
    <row r="621" ht="15" customHeight="1">
      <c r="A621" t="inlineStr">
        <is>
          <t>A 23024-2025</t>
        </is>
      </c>
      <c r="B621" s="1" t="n">
        <v>45790.65615740741</v>
      </c>
      <c r="C621" s="1" t="n">
        <v>46159</v>
      </c>
      <c r="D621" t="inlineStr">
        <is>
          <t>KALMAR LÄN</t>
        </is>
      </c>
      <c r="E621" t="inlineStr">
        <is>
          <t>VÄSTERVIK</t>
        </is>
      </c>
      <c r="G621" t="n">
        <v>1.7</v>
      </c>
      <c r="H621" t="n">
        <v>0</v>
      </c>
      <c r="I621" t="n">
        <v>0</v>
      </c>
      <c r="J621" t="n">
        <v>0</v>
      </c>
      <c r="K621" t="n">
        <v>0</v>
      </c>
      <c r="L621" t="n">
        <v>0</v>
      </c>
      <c r="M621" t="n">
        <v>0</v>
      </c>
      <c r="N621" t="n">
        <v>0</v>
      </c>
      <c r="O621" t="n">
        <v>0</v>
      </c>
      <c r="P621" t="n">
        <v>0</v>
      </c>
      <c r="Q621" t="n">
        <v>0</v>
      </c>
      <c r="R621" s="2" t="inlineStr"/>
    </row>
    <row r="622" ht="15" customHeight="1">
      <c r="A622" t="inlineStr">
        <is>
          <t>A 47777-2025</t>
        </is>
      </c>
      <c r="B622" s="1" t="n">
        <v>45931.72782407407</v>
      </c>
      <c r="C622" s="1" t="n">
        <v>46159</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34162-2025</t>
        </is>
      </c>
      <c r="B623" s="1" t="n">
        <v>45845.57983796296</v>
      </c>
      <c r="C623" s="1" t="n">
        <v>46159</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34289-2025</t>
        </is>
      </c>
      <c r="B624" s="1" t="n">
        <v>45846.334375</v>
      </c>
      <c r="C624" s="1" t="n">
        <v>46159</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7100-2023</t>
        </is>
      </c>
      <c r="B625" s="1" t="n">
        <v>44970.37244212963</v>
      </c>
      <c r="C625" s="1" t="n">
        <v>46159</v>
      </c>
      <c r="D625" t="inlineStr">
        <is>
          <t>KALMAR LÄN</t>
        </is>
      </c>
      <c r="E625" t="inlineStr">
        <is>
          <t>VÄSTERVIK</t>
        </is>
      </c>
      <c r="G625" t="n">
        <v>1.7</v>
      </c>
      <c r="H625" t="n">
        <v>0</v>
      </c>
      <c r="I625" t="n">
        <v>0</v>
      </c>
      <c r="J625" t="n">
        <v>0</v>
      </c>
      <c r="K625" t="n">
        <v>0</v>
      </c>
      <c r="L625" t="n">
        <v>0</v>
      </c>
      <c r="M625" t="n">
        <v>0</v>
      </c>
      <c r="N625" t="n">
        <v>0</v>
      </c>
      <c r="O625" t="n">
        <v>0</v>
      </c>
      <c r="P625" t="n">
        <v>0</v>
      </c>
      <c r="Q625" t="n">
        <v>0</v>
      </c>
      <c r="R625" s="2" t="inlineStr"/>
    </row>
    <row r="626" ht="15" customHeight="1">
      <c r="A626" t="inlineStr">
        <is>
          <t>A 34397-2025</t>
        </is>
      </c>
      <c r="B626" s="1" t="n">
        <v>45846.59813657407</v>
      </c>
      <c r="C626" s="1" t="n">
        <v>46159</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34160-2025</t>
        </is>
      </c>
      <c r="B627" s="1" t="n">
        <v>45845.57701388889</v>
      </c>
      <c r="C627" s="1" t="n">
        <v>46159</v>
      </c>
      <c r="D627" t="inlineStr">
        <is>
          <t>KALMAR LÄN</t>
        </is>
      </c>
      <c r="E627" t="inlineStr">
        <is>
          <t>VÄSTERVIK</t>
        </is>
      </c>
      <c r="G627" t="n">
        <v>2.4</v>
      </c>
      <c r="H627" t="n">
        <v>0</v>
      </c>
      <c r="I627" t="n">
        <v>0</v>
      </c>
      <c r="J627" t="n">
        <v>0</v>
      </c>
      <c r="K627" t="n">
        <v>0</v>
      </c>
      <c r="L627" t="n">
        <v>0</v>
      </c>
      <c r="M627" t="n">
        <v>0</v>
      </c>
      <c r="N627" t="n">
        <v>0</v>
      </c>
      <c r="O627" t="n">
        <v>0</v>
      </c>
      <c r="P627" t="n">
        <v>0</v>
      </c>
      <c r="Q627" t="n">
        <v>0</v>
      </c>
      <c r="R627" s="2" t="inlineStr"/>
    </row>
    <row r="628" ht="15" customHeight="1">
      <c r="A628" t="inlineStr">
        <is>
          <t>A 24881-2023</t>
        </is>
      </c>
      <c r="B628" s="1" t="n">
        <v>45085</v>
      </c>
      <c r="C628" s="1" t="n">
        <v>46159</v>
      </c>
      <c r="D628" t="inlineStr">
        <is>
          <t>KALMAR LÄN</t>
        </is>
      </c>
      <c r="E628" t="inlineStr">
        <is>
          <t>VÄSTERVIK</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34171-2025</t>
        </is>
      </c>
      <c r="B629" s="1" t="n">
        <v>45845.58966435185</v>
      </c>
      <c r="C629" s="1" t="n">
        <v>46159</v>
      </c>
      <c r="D629" t="inlineStr">
        <is>
          <t>KALMAR LÄN</t>
        </is>
      </c>
      <c r="E629" t="inlineStr">
        <is>
          <t>VÄSTERVIK</t>
        </is>
      </c>
      <c r="G629" t="n">
        <v>1.6</v>
      </c>
      <c r="H629" t="n">
        <v>0</v>
      </c>
      <c r="I629" t="n">
        <v>0</v>
      </c>
      <c r="J629" t="n">
        <v>0</v>
      </c>
      <c r="K629" t="n">
        <v>0</v>
      </c>
      <c r="L629" t="n">
        <v>0</v>
      </c>
      <c r="M629" t="n">
        <v>0</v>
      </c>
      <c r="N629" t="n">
        <v>0</v>
      </c>
      <c r="O629" t="n">
        <v>0</v>
      </c>
      <c r="P629" t="n">
        <v>0</v>
      </c>
      <c r="Q629" t="n">
        <v>0</v>
      </c>
      <c r="R629" s="2" t="inlineStr"/>
    </row>
    <row r="630" ht="15" customHeight="1">
      <c r="A630" t="inlineStr">
        <is>
          <t>A 32647-2023</t>
        </is>
      </c>
      <c r="B630" s="1" t="n">
        <v>45121</v>
      </c>
      <c r="C630" s="1" t="n">
        <v>46159</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1785-2025</t>
        </is>
      </c>
      <c r="B631" s="1" t="n">
        <v>45671.45061342593</v>
      </c>
      <c r="C631" s="1" t="n">
        <v>46159</v>
      </c>
      <c r="D631" t="inlineStr">
        <is>
          <t>KALMAR LÄN</t>
        </is>
      </c>
      <c r="E631" t="inlineStr">
        <is>
          <t>VÄSTERVIK</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34617-2025</t>
        </is>
      </c>
      <c r="B632" s="1" t="n">
        <v>45847</v>
      </c>
      <c r="C632" s="1" t="n">
        <v>46159</v>
      </c>
      <c r="D632" t="inlineStr">
        <is>
          <t>KALMAR LÄN</t>
        </is>
      </c>
      <c r="E632" t="inlineStr">
        <is>
          <t>VÄSTERVIK</t>
        </is>
      </c>
      <c r="G632" t="n">
        <v>1.4</v>
      </c>
      <c r="H632" t="n">
        <v>0</v>
      </c>
      <c r="I632" t="n">
        <v>0</v>
      </c>
      <c r="J632" t="n">
        <v>0</v>
      </c>
      <c r="K632" t="n">
        <v>0</v>
      </c>
      <c r="L632" t="n">
        <v>0</v>
      </c>
      <c r="M632" t="n">
        <v>0</v>
      </c>
      <c r="N632" t="n">
        <v>0</v>
      </c>
      <c r="O632" t="n">
        <v>0</v>
      </c>
      <c r="P632" t="n">
        <v>0</v>
      </c>
      <c r="Q632" t="n">
        <v>0</v>
      </c>
      <c r="R632" s="2" t="inlineStr"/>
    </row>
    <row r="633" ht="15" customHeight="1">
      <c r="A633" t="inlineStr">
        <is>
          <t>A 34618-2025</t>
        </is>
      </c>
      <c r="B633" s="1" t="n">
        <v>45847</v>
      </c>
      <c r="C633" s="1" t="n">
        <v>46159</v>
      </c>
      <c r="D633" t="inlineStr">
        <is>
          <t>KALMAR LÄN</t>
        </is>
      </c>
      <c r="E633" t="inlineStr">
        <is>
          <t>VÄSTERVIK</t>
        </is>
      </c>
      <c r="G633" t="n">
        <v>2.6</v>
      </c>
      <c r="H633" t="n">
        <v>0</v>
      </c>
      <c r="I633" t="n">
        <v>0</v>
      </c>
      <c r="J633" t="n">
        <v>0</v>
      </c>
      <c r="K633" t="n">
        <v>0</v>
      </c>
      <c r="L633" t="n">
        <v>0</v>
      </c>
      <c r="M633" t="n">
        <v>0</v>
      </c>
      <c r="N633" t="n">
        <v>0</v>
      </c>
      <c r="O633" t="n">
        <v>0</v>
      </c>
      <c r="P633" t="n">
        <v>0</v>
      </c>
      <c r="Q633" t="n">
        <v>0</v>
      </c>
      <c r="R633" s="2" t="inlineStr"/>
    </row>
    <row r="634" ht="15" customHeight="1">
      <c r="A634" t="inlineStr">
        <is>
          <t>A 34639-2025</t>
        </is>
      </c>
      <c r="B634" s="1" t="n">
        <v>45848</v>
      </c>
      <c r="C634" s="1" t="n">
        <v>46159</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48738-2025</t>
        </is>
      </c>
      <c r="B635" s="1" t="n">
        <v>45936.67061342593</v>
      </c>
      <c r="C635" s="1" t="n">
        <v>46159</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34531-2025</t>
        </is>
      </c>
      <c r="B636" s="1" t="n">
        <v>45847.50152777778</v>
      </c>
      <c r="C636" s="1" t="n">
        <v>46159</v>
      </c>
      <c r="D636" t="inlineStr">
        <is>
          <t>KALMAR LÄN</t>
        </is>
      </c>
      <c r="E636" t="inlineStr">
        <is>
          <t>VÄSTERVIK</t>
        </is>
      </c>
      <c r="G636" t="n">
        <v>1.3</v>
      </c>
      <c r="H636" t="n">
        <v>0</v>
      </c>
      <c r="I636" t="n">
        <v>0</v>
      </c>
      <c r="J636" t="n">
        <v>0</v>
      </c>
      <c r="K636" t="n">
        <v>0</v>
      </c>
      <c r="L636" t="n">
        <v>0</v>
      </c>
      <c r="M636" t="n">
        <v>0</v>
      </c>
      <c r="N636" t="n">
        <v>0</v>
      </c>
      <c r="O636" t="n">
        <v>0</v>
      </c>
      <c r="P636" t="n">
        <v>0</v>
      </c>
      <c r="Q636" t="n">
        <v>0</v>
      </c>
      <c r="R636" s="2" t="inlineStr"/>
    </row>
    <row r="637" ht="15" customHeight="1">
      <c r="A637" t="inlineStr">
        <is>
          <t>A 34619-2025</t>
        </is>
      </c>
      <c r="B637" s="1" t="n">
        <v>45847</v>
      </c>
      <c r="C637" s="1" t="n">
        <v>46159</v>
      </c>
      <c r="D637" t="inlineStr">
        <is>
          <t>KALMAR LÄN</t>
        </is>
      </c>
      <c r="E637" t="inlineStr">
        <is>
          <t>VÄSTERVIK</t>
        </is>
      </c>
      <c r="G637" t="n">
        <v>3</v>
      </c>
      <c r="H637" t="n">
        <v>0</v>
      </c>
      <c r="I637" t="n">
        <v>0</v>
      </c>
      <c r="J637" t="n">
        <v>0</v>
      </c>
      <c r="K637" t="n">
        <v>0</v>
      </c>
      <c r="L637" t="n">
        <v>0</v>
      </c>
      <c r="M637" t="n">
        <v>0</v>
      </c>
      <c r="N637" t="n">
        <v>0</v>
      </c>
      <c r="O637" t="n">
        <v>0</v>
      </c>
      <c r="P637" t="n">
        <v>0</v>
      </c>
      <c r="Q637" t="n">
        <v>0</v>
      </c>
      <c r="R637" s="2" t="inlineStr"/>
    </row>
    <row r="638" ht="15" customHeight="1">
      <c r="A638" t="inlineStr">
        <is>
          <t>A 34643-2025</t>
        </is>
      </c>
      <c r="B638" s="1" t="n">
        <v>45848.32959490741</v>
      </c>
      <c r="C638" s="1" t="n">
        <v>46159</v>
      </c>
      <c r="D638" t="inlineStr">
        <is>
          <t>KALMAR LÄN</t>
        </is>
      </c>
      <c r="E638" t="inlineStr">
        <is>
          <t>VÄSTERVIK</t>
        </is>
      </c>
      <c r="G638" t="n">
        <v>0.5</v>
      </c>
      <c r="H638" t="n">
        <v>0</v>
      </c>
      <c r="I638" t="n">
        <v>0</v>
      </c>
      <c r="J638" t="n">
        <v>0</v>
      </c>
      <c r="K638" t="n">
        <v>0</v>
      </c>
      <c r="L638" t="n">
        <v>0</v>
      </c>
      <c r="M638" t="n">
        <v>0</v>
      </c>
      <c r="N638" t="n">
        <v>0</v>
      </c>
      <c r="O638" t="n">
        <v>0</v>
      </c>
      <c r="P638" t="n">
        <v>0</v>
      </c>
      <c r="Q638" t="n">
        <v>0</v>
      </c>
      <c r="R638" s="2" t="inlineStr"/>
    </row>
    <row r="639" ht="15" customHeight="1">
      <c r="A639" t="inlineStr">
        <is>
          <t>A 24584-2024</t>
        </is>
      </c>
      <c r="B639" s="1" t="n">
        <v>45460</v>
      </c>
      <c r="C639" s="1" t="n">
        <v>46159</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48887-2025</t>
        </is>
      </c>
      <c r="B640" s="1" t="n">
        <v>45937.46826388889</v>
      </c>
      <c r="C640" s="1" t="n">
        <v>46159</v>
      </c>
      <c r="D640" t="inlineStr">
        <is>
          <t>KALMAR LÄN</t>
        </is>
      </c>
      <c r="E640" t="inlineStr">
        <is>
          <t>VÄSTERVIK</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34916-2025</t>
        </is>
      </c>
      <c r="B641" s="1" t="n">
        <v>45849.54420138889</v>
      </c>
      <c r="C641" s="1" t="n">
        <v>46159</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32764-2022</t>
        </is>
      </c>
      <c r="B642" s="1" t="n">
        <v>44783</v>
      </c>
      <c r="C642" s="1" t="n">
        <v>46159</v>
      </c>
      <c r="D642" t="inlineStr">
        <is>
          <t>KALMAR LÄN</t>
        </is>
      </c>
      <c r="E642" t="inlineStr">
        <is>
          <t>VÄSTERVIK</t>
        </is>
      </c>
      <c r="G642" t="n">
        <v>1</v>
      </c>
      <c r="H642" t="n">
        <v>0</v>
      </c>
      <c r="I642" t="n">
        <v>0</v>
      </c>
      <c r="J642" t="n">
        <v>0</v>
      </c>
      <c r="K642" t="n">
        <v>0</v>
      </c>
      <c r="L642" t="n">
        <v>0</v>
      </c>
      <c r="M642" t="n">
        <v>0</v>
      </c>
      <c r="N642" t="n">
        <v>0</v>
      </c>
      <c r="O642" t="n">
        <v>0</v>
      </c>
      <c r="P642" t="n">
        <v>0</v>
      </c>
      <c r="Q642" t="n">
        <v>0</v>
      </c>
      <c r="R642" s="2" t="inlineStr"/>
    </row>
    <row r="643" ht="15" customHeight="1">
      <c r="A643" t="inlineStr">
        <is>
          <t>A 48881-2025</t>
        </is>
      </c>
      <c r="B643" s="1" t="n">
        <v>45937.46157407408</v>
      </c>
      <c r="C643" s="1" t="n">
        <v>46159</v>
      </c>
      <c r="D643" t="inlineStr">
        <is>
          <t>KALMAR LÄN</t>
        </is>
      </c>
      <c r="E643" t="inlineStr">
        <is>
          <t>VÄSTERVIK</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48873-2025</t>
        </is>
      </c>
      <c r="B644" s="1" t="n">
        <v>45937.45417824074</v>
      </c>
      <c r="C644" s="1" t="n">
        <v>46159</v>
      </c>
      <c r="D644" t="inlineStr">
        <is>
          <t>KALMAR LÄN</t>
        </is>
      </c>
      <c r="E644" t="inlineStr">
        <is>
          <t>VÄSTERVIK</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4624-2023</t>
        </is>
      </c>
      <c r="B645" s="1" t="n">
        <v>44956</v>
      </c>
      <c r="C645" s="1" t="n">
        <v>46159</v>
      </c>
      <c r="D645" t="inlineStr">
        <is>
          <t>KALMAR LÄN</t>
        </is>
      </c>
      <c r="E645" t="inlineStr">
        <is>
          <t>VÄSTERVIK</t>
        </is>
      </c>
      <c r="F645" t="inlineStr">
        <is>
          <t>Holmen skog AB</t>
        </is>
      </c>
      <c r="G645" t="n">
        <v>7.1</v>
      </c>
      <c r="H645" t="n">
        <v>0</v>
      </c>
      <c r="I645" t="n">
        <v>0</v>
      </c>
      <c r="J645" t="n">
        <v>0</v>
      </c>
      <c r="K645" t="n">
        <v>0</v>
      </c>
      <c r="L645" t="n">
        <v>0</v>
      </c>
      <c r="M645" t="n">
        <v>0</v>
      </c>
      <c r="N645" t="n">
        <v>0</v>
      </c>
      <c r="O645" t="n">
        <v>0</v>
      </c>
      <c r="P645" t="n">
        <v>0</v>
      </c>
      <c r="Q645" t="n">
        <v>0</v>
      </c>
      <c r="R645" s="2" t="inlineStr"/>
    </row>
    <row r="646" ht="15" customHeight="1">
      <c r="A646" t="inlineStr">
        <is>
          <t>A 10012-2025</t>
        </is>
      </c>
      <c r="B646" s="1" t="n">
        <v>45719.46681712963</v>
      </c>
      <c r="C646" s="1" t="n">
        <v>46159</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49409-2025</t>
        </is>
      </c>
      <c r="B647" s="1" t="n">
        <v>45938.678125</v>
      </c>
      <c r="C647" s="1" t="n">
        <v>46159</v>
      </c>
      <c r="D647" t="inlineStr">
        <is>
          <t>KALMAR LÄN</t>
        </is>
      </c>
      <c r="E647" t="inlineStr">
        <is>
          <t>VÄSTERVIK</t>
        </is>
      </c>
      <c r="G647" t="n">
        <v>2.6</v>
      </c>
      <c r="H647" t="n">
        <v>0</v>
      </c>
      <c r="I647" t="n">
        <v>0</v>
      </c>
      <c r="J647" t="n">
        <v>0</v>
      </c>
      <c r="K647" t="n">
        <v>0</v>
      </c>
      <c r="L647" t="n">
        <v>0</v>
      </c>
      <c r="M647" t="n">
        <v>0</v>
      </c>
      <c r="N647" t="n">
        <v>0</v>
      </c>
      <c r="O647" t="n">
        <v>0</v>
      </c>
      <c r="P647" t="n">
        <v>0</v>
      </c>
      <c r="Q647" t="n">
        <v>0</v>
      </c>
      <c r="R647" s="2" t="inlineStr"/>
    </row>
    <row r="648" ht="15" customHeight="1">
      <c r="A648" t="inlineStr">
        <is>
          <t>A 49411-2025</t>
        </is>
      </c>
      <c r="B648" s="1" t="n">
        <v>45938.68115740741</v>
      </c>
      <c r="C648" s="1" t="n">
        <v>46159</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9549-2024</t>
        </is>
      </c>
      <c r="B649" s="1" t="n">
        <v>45359.87989583334</v>
      </c>
      <c r="C649" s="1" t="n">
        <v>46159</v>
      </c>
      <c r="D649" t="inlineStr">
        <is>
          <t>KALMAR LÄN</t>
        </is>
      </c>
      <c r="E649" t="inlineStr">
        <is>
          <t>VÄSTERVIK</t>
        </is>
      </c>
      <c r="F649" t="inlineStr">
        <is>
          <t>Holmen skog AB</t>
        </is>
      </c>
      <c r="G649" t="n">
        <v>2.6</v>
      </c>
      <c r="H649" t="n">
        <v>0</v>
      </c>
      <c r="I649" t="n">
        <v>0</v>
      </c>
      <c r="J649" t="n">
        <v>0</v>
      </c>
      <c r="K649" t="n">
        <v>0</v>
      </c>
      <c r="L649" t="n">
        <v>0</v>
      </c>
      <c r="M649" t="n">
        <v>0</v>
      </c>
      <c r="N649" t="n">
        <v>0</v>
      </c>
      <c r="O649" t="n">
        <v>0</v>
      </c>
      <c r="P649" t="n">
        <v>0</v>
      </c>
      <c r="Q649" t="n">
        <v>0</v>
      </c>
      <c r="R649" s="2" t="inlineStr"/>
    </row>
    <row r="650" ht="15" customHeight="1">
      <c r="A650" t="inlineStr">
        <is>
          <t>A 27982-2025</t>
        </is>
      </c>
      <c r="B650" s="1" t="n">
        <v>45817.57549768518</v>
      </c>
      <c r="C650" s="1" t="n">
        <v>46159</v>
      </c>
      <c r="D650" t="inlineStr">
        <is>
          <t>KALMAR LÄN</t>
        </is>
      </c>
      <c r="E650" t="inlineStr">
        <is>
          <t>VÄSTERVIK</t>
        </is>
      </c>
      <c r="G650" t="n">
        <v>2.5</v>
      </c>
      <c r="H650" t="n">
        <v>0</v>
      </c>
      <c r="I650" t="n">
        <v>0</v>
      </c>
      <c r="J650" t="n">
        <v>0</v>
      </c>
      <c r="K650" t="n">
        <v>0</v>
      </c>
      <c r="L650" t="n">
        <v>0</v>
      </c>
      <c r="M650" t="n">
        <v>0</v>
      </c>
      <c r="N650" t="n">
        <v>0</v>
      </c>
      <c r="O650" t="n">
        <v>0</v>
      </c>
      <c r="P650" t="n">
        <v>0</v>
      </c>
      <c r="Q650" t="n">
        <v>0</v>
      </c>
      <c r="R650" s="2" t="inlineStr"/>
    </row>
    <row r="651" ht="15" customHeight="1">
      <c r="A651" t="inlineStr">
        <is>
          <t>A 49004-2025</t>
        </is>
      </c>
      <c r="B651" s="1" t="n">
        <v>45937.59958333334</v>
      </c>
      <c r="C651" s="1" t="n">
        <v>46159</v>
      </c>
      <c r="D651" t="inlineStr">
        <is>
          <t>KALMAR LÄN</t>
        </is>
      </c>
      <c r="E651" t="inlineStr">
        <is>
          <t>VÄSTERVIK</t>
        </is>
      </c>
      <c r="F651" t="inlineStr">
        <is>
          <t>Holmen skog AB</t>
        </is>
      </c>
      <c r="G651" t="n">
        <v>4.8</v>
      </c>
      <c r="H651" t="n">
        <v>0</v>
      </c>
      <c r="I651" t="n">
        <v>0</v>
      </c>
      <c r="J651" t="n">
        <v>0</v>
      </c>
      <c r="K651" t="n">
        <v>0</v>
      </c>
      <c r="L651" t="n">
        <v>0</v>
      </c>
      <c r="M651" t="n">
        <v>0</v>
      </c>
      <c r="N651" t="n">
        <v>0</v>
      </c>
      <c r="O651" t="n">
        <v>0</v>
      </c>
      <c r="P651" t="n">
        <v>0</v>
      </c>
      <c r="Q651" t="n">
        <v>0</v>
      </c>
      <c r="R651" s="2" t="inlineStr"/>
    </row>
    <row r="652" ht="15" customHeight="1">
      <c r="A652" t="inlineStr">
        <is>
          <t>A 3185-2023</t>
        </is>
      </c>
      <c r="B652" s="1" t="n">
        <v>44946.60753472222</v>
      </c>
      <c r="C652" s="1" t="n">
        <v>46159</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49616-2025</t>
        </is>
      </c>
      <c r="B653" s="1" t="n">
        <v>45939.58503472222</v>
      </c>
      <c r="C653" s="1" t="n">
        <v>46159</v>
      </c>
      <c r="D653" t="inlineStr">
        <is>
          <t>KALMAR LÄN</t>
        </is>
      </c>
      <c r="E653" t="inlineStr">
        <is>
          <t>VÄSTERVIK</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49648-2025</t>
        </is>
      </c>
      <c r="B654" s="1" t="n">
        <v>45939.62111111111</v>
      </c>
      <c r="C654" s="1" t="n">
        <v>46159</v>
      </c>
      <c r="D654" t="inlineStr">
        <is>
          <t>KALMAR LÄN</t>
        </is>
      </c>
      <c r="E654" t="inlineStr">
        <is>
          <t>VÄSTERVIK</t>
        </is>
      </c>
      <c r="F654" t="inlineStr">
        <is>
          <t>Holmen skog AB</t>
        </is>
      </c>
      <c r="G654" t="n">
        <v>7.2</v>
      </c>
      <c r="H654" t="n">
        <v>0</v>
      </c>
      <c r="I654" t="n">
        <v>0</v>
      </c>
      <c r="J654" t="n">
        <v>0</v>
      </c>
      <c r="K654" t="n">
        <v>0</v>
      </c>
      <c r="L654" t="n">
        <v>0</v>
      </c>
      <c r="M654" t="n">
        <v>0</v>
      </c>
      <c r="N654" t="n">
        <v>0</v>
      </c>
      <c r="O654" t="n">
        <v>0</v>
      </c>
      <c r="P654" t="n">
        <v>0</v>
      </c>
      <c r="Q654" t="n">
        <v>0</v>
      </c>
      <c r="R654" s="2" t="inlineStr"/>
    </row>
    <row r="655" ht="15" customHeight="1">
      <c r="A655" t="inlineStr">
        <is>
          <t>A 11198-2024</t>
        </is>
      </c>
      <c r="B655" s="1" t="n">
        <v>45371</v>
      </c>
      <c r="C655" s="1" t="n">
        <v>46159</v>
      </c>
      <c r="D655" t="inlineStr">
        <is>
          <t>KALMAR LÄN</t>
        </is>
      </c>
      <c r="E655" t="inlineStr">
        <is>
          <t>VÄSTERVIK</t>
        </is>
      </c>
      <c r="G655" t="n">
        <v>4.1</v>
      </c>
      <c r="H655" t="n">
        <v>0</v>
      </c>
      <c r="I655" t="n">
        <v>0</v>
      </c>
      <c r="J655" t="n">
        <v>0</v>
      </c>
      <c r="K655" t="n">
        <v>0</v>
      </c>
      <c r="L655" t="n">
        <v>0</v>
      </c>
      <c r="M655" t="n">
        <v>0</v>
      </c>
      <c r="N655" t="n">
        <v>0</v>
      </c>
      <c r="O655" t="n">
        <v>0</v>
      </c>
      <c r="P655" t="n">
        <v>0</v>
      </c>
      <c r="Q655" t="n">
        <v>0</v>
      </c>
      <c r="R655" s="2" t="inlineStr"/>
    </row>
    <row r="656" ht="15" customHeight="1">
      <c r="A656" t="inlineStr">
        <is>
          <t>A 35207-2025</t>
        </is>
      </c>
      <c r="B656" s="1" t="n">
        <v>45853.43320601852</v>
      </c>
      <c r="C656" s="1" t="n">
        <v>46159</v>
      </c>
      <c r="D656" t="inlineStr">
        <is>
          <t>KALMAR LÄN</t>
        </is>
      </c>
      <c r="E656" t="inlineStr">
        <is>
          <t>VÄSTERVIK</t>
        </is>
      </c>
      <c r="G656" t="n">
        <v>7</v>
      </c>
      <c r="H656" t="n">
        <v>0</v>
      </c>
      <c r="I656" t="n">
        <v>0</v>
      </c>
      <c r="J656" t="n">
        <v>0</v>
      </c>
      <c r="K656" t="n">
        <v>0</v>
      </c>
      <c r="L656" t="n">
        <v>0</v>
      </c>
      <c r="M656" t="n">
        <v>0</v>
      </c>
      <c r="N656" t="n">
        <v>0</v>
      </c>
      <c r="O656" t="n">
        <v>0</v>
      </c>
      <c r="P656" t="n">
        <v>0</v>
      </c>
      <c r="Q656" t="n">
        <v>0</v>
      </c>
      <c r="R656" s="2" t="inlineStr"/>
    </row>
    <row r="657" ht="15" customHeight="1">
      <c r="A657" t="inlineStr">
        <is>
          <t>A 35187-2025</t>
        </is>
      </c>
      <c r="B657" s="1" t="n">
        <v>45853.31940972222</v>
      </c>
      <c r="C657" s="1" t="n">
        <v>46159</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49525-2025</t>
        </is>
      </c>
      <c r="B658" s="1" t="n">
        <v>45939.4015625</v>
      </c>
      <c r="C658" s="1" t="n">
        <v>46159</v>
      </c>
      <c r="D658" t="inlineStr">
        <is>
          <t>KALMAR LÄN</t>
        </is>
      </c>
      <c r="E658" t="inlineStr">
        <is>
          <t>VÄSTERVIK</t>
        </is>
      </c>
      <c r="G658" t="n">
        <v>2.3</v>
      </c>
      <c r="H658" t="n">
        <v>0</v>
      </c>
      <c r="I658" t="n">
        <v>0</v>
      </c>
      <c r="J658" t="n">
        <v>0</v>
      </c>
      <c r="K658" t="n">
        <v>0</v>
      </c>
      <c r="L658" t="n">
        <v>0</v>
      </c>
      <c r="M658" t="n">
        <v>0</v>
      </c>
      <c r="N658" t="n">
        <v>0</v>
      </c>
      <c r="O658" t="n">
        <v>0</v>
      </c>
      <c r="P658" t="n">
        <v>0</v>
      </c>
      <c r="Q658" t="n">
        <v>0</v>
      </c>
      <c r="R658" s="2" t="inlineStr"/>
    </row>
    <row r="659" ht="15" customHeight="1">
      <c r="A659" t="inlineStr">
        <is>
          <t>A 2098-2023</t>
        </is>
      </c>
      <c r="B659" s="1" t="n">
        <v>44939</v>
      </c>
      <c r="C659" s="1" t="n">
        <v>46159</v>
      </c>
      <c r="D659" t="inlineStr">
        <is>
          <t>KALMAR LÄN</t>
        </is>
      </c>
      <c r="E659" t="inlineStr">
        <is>
          <t>VÄSTERVIK</t>
        </is>
      </c>
      <c r="G659" t="n">
        <v>1.9</v>
      </c>
      <c r="H659" t="n">
        <v>0</v>
      </c>
      <c r="I659" t="n">
        <v>0</v>
      </c>
      <c r="J659" t="n">
        <v>0</v>
      </c>
      <c r="K659" t="n">
        <v>0</v>
      </c>
      <c r="L659" t="n">
        <v>0</v>
      </c>
      <c r="M659" t="n">
        <v>0</v>
      </c>
      <c r="N659" t="n">
        <v>0</v>
      </c>
      <c r="O659" t="n">
        <v>0</v>
      </c>
      <c r="P659" t="n">
        <v>0</v>
      </c>
      <c r="Q659" t="n">
        <v>0</v>
      </c>
      <c r="R659" s="2" t="inlineStr"/>
    </row>
    <row r="660" ht="15" customHeight="1">
      <c r="A660" t="inlineStr">
        <is>
          <t>A 51883-2021</t>
        </is>
      </c>
      <c r="B660" s="1" t="n">
        <v>44462.80449074074</v>
      </c>
      <c r="C660" s="1" t="n">
        <v>46159</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51884-2021</t>
        </is>
      </c>
      <c r="B661" s="1" t="n">
        <v>44462.806875</v>
      </c>
      <c r="C661" s="1" t="n">
        <v>46159</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61728-2023</t>
        </is>
      </c>
      <c r="B662" s="1" t="n">
        <v>45265</v>
      </c>
      <c r="C662" s="1" t="n">
        <v>46159</v>
      </c>
      <c r="D662" t="inlineStr">
        <is>
          <t>KALMAR LÄN</t>
        </is>
      </c>
      <c r="E662" t="inlineStr">
        <is>
          <t>VÄSTERVIK</t>
        </is>
      </c>
      <c r="G662" t="n">
        <v>1.9</v>
      </c>
      <c r="H662" t="n">
        <v>0</v>
      </c>
      <c r="I662" t="n">
        <v>0</v>
      </c>
      <c r="J662" t="n">
        <v>0</v>
      </c>
      <c r="K662" t="n">
        <v>0</v>
      </c>
      <c r="L662" t="n">
        <v>0</v>
      </c>
      <c r="M662" t="n">
        <v>0</v>
      </c>
      <c r="N662" t="n">
        <v>0</v>
      </c>
      <c r="O662" t="n">
        <v>0</v>
      </c>
      <c r="P662" t="n">
        <v>0</v>
      </c>
      <c r="Q662" t="n">
        <v>0</v>
      </c>
      <c r="R662" s="2" t="inlineStr"/>
    </row>
    <row r="663" ht="15" customHeight="1">
      <c r="A663" t="inlineStr">
        <is>
          <t>A 49539-2025</t>
        </is>
      </c>
      <c r="B663" s="1" t="n">
        <v>45939.42453703703</v>
      </c>
      <c r="C663" s="1" t="n">
        <v>46159</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49542-2025</t>
        </is>
      </c>
      <c r="B664" s="1" t="n">
        <v>45939.4284837963</v>
      </c>
      <c r="C664" s="1" t="n">
        <v>46159</v>
      </c>
      <c r="D664" t="inlineStr">
        <is>
          <t>KALMAR LÄN</t>
        </is>
      </c>
      <c r="E664" t="inlineStr">
        <is>
          <t>VÄSTERVIK</t>
        </is>
      </c>
      <c r="G664" t="n">
        <v>2.2</v>
      </c>
      <c r="H664" t="n">
        <v>0</v>
      </c>
      <c r="I664" t="n">
        <v>0</v>
      </c>
      <c r="J664" t="n">
        <v>0</v>
      </c>
      <c r="K664" t="n">
        <v>0</v>
      </c>
      <c r="L664" t="n">
        <v>0</v>
      </c>
      <c r="M664" t="n">
        <v>0</v>
      </c>
      <c r="N664" t="n">
        <v>0</v>
      </c>
      <c r="O664" t="n">
        <v>0</v>
      </c>
      <c r="P664" t="n">
        <v>0</v>
      </c>
      <c r="Q664" t="n">
        <v>0</v>
      </c>
      <c r="R664" s="2" t="inlineStr"/>
    </row>
    <row r="665" ht="15" customHeight="1">
      <c r="A665" t="inlineStr">
        <is>
          <t>A 35655-2023</t>
        </is>
      </c>
      <c r="B665" s="1" t="n">
        <v>45147.59408564815</v>
      </c>
      <c r="C665" s="1" t="n">
        <v>46159</v>
      </c>
      <c r="D665" t="inlineStr">
        <is>
          <t>KALMAR LÄN</t>
        </is>
      </c>
      <c r="E665" t="inlineStr">
        <is>
          <t>VÄSTERVIK</t>
        </is>
      </c>
      <c r="G665" t="n">
        <v>3.3</v>
      </c>
      <c r="H665" t="n">
        <v>0</v>
      </c>
      <c r="I665" t="n">
        <v>0</v>
      </c>
      <c r="J665" t="n">
        <v>0</v>
      </c>
      <c r="K665" t="n">
        <v>0</v>
      </c>
      <c r="L665" t="n">
        <v>0</v>
      </c>
      <c r="M665" t="n">
        <v>0</v>
      </c>
      <c r="N665" t="n">
        <v>0</v>
      </c>
      <c r="O665" t="n">
        <v>0</v>
      </c>
      <c r="P665" t="n">
        <v>0</v>
      </c>
      <c r="Q665" t="n">
        <v>0</v>
      </c>
      <c r="R665" s="2" t="inlineStr"/>
    </row>
    <row r="666" ht="15" customHeight="1">
      <c r="A666" t="inlineStr">
        <is>
          <t>A 40969-2025</t>
        </is>
      </c>
      <c r="B666" s="1" t="n">
        <v>45897</v>
      </c>
      <c r="C666" s="1" t="n">
        <v>46159</v>
      </c>
      <c r="D666" t="inlineStr">
        <is>
          <t>KALMAR LÄN</t>
        </is>
      </c>
      <c r="E666" t="inlineStr">
        <is>
          <t>VÄSTERVIK</t>
        </is>
      </c>
      <c r="G666" t="n">
        <v>2.5</v>
      </c>
      <c r="H666" t="n">
        <v>0</v>
      </c>
      <c r="I666" t="n">
        <v>0</v>
      </c>
      <c r="J666" t="n">
        <v>0</v>
      </c>
      <c r="K666" t="n">
        <v>0</v>
      </c>
      <c r="L666" t="n">
        <v>0</v>
      </c>
      <c r="M666" t="n">
        <v>0</v>
      </c>
      <c r="N666" t="n">
        <v>0</v>
      </c>
      <c r="O666" t="n">
        <v>0</v>
      </c>
      <c r="P666" t="n">
        <v>0</v>
      </c>
      <c r="Q666" t="n">
        <v>0</v>
      </c>
      <c r="R666" s="2" t="inlineStr"/>
    </row>
    <row r="667" ht="15" customHeight="1">
      <c r="A667" t="inlineStr">
        <is>
          <t>A 58090-2021</t>
        </is>
      </c>
      <c r="B667" s="1" t="n">
        <v>44487.50277777778</v>
      </c>
      <c r="C667" s="1" t="n">
        <v>46159</v>
      </c>
      <c r="D667" t="inlineStr">
        <is>
          <t>KALMAR LÄN</t>
        </is>
      </c>
      <c r="E667" t="inlineStr">
        <is>
          <t>VÄSTERVIK</t>
        </is>
      </c>
      <c r="G667" t="n">
        <v>2.9</v>
      </c>
      <c r="H667" t="n">
        <v>0</v>
      </c>
      <c r="I667" t="n">
        <v>0</v>
      </c>
      <c r="J667" t="n">
        <v>0</v>
      </c>
      <c r="K667" t="n">
        <v>0</v>
      </c>
      <c r="L667" t="n">
        <v>0</v>
      </c>
      <c r="M667" t="n">
        <v>0</v>
      </c>
      <c r="N667" t="n">
        <v>0</v>
      </c>
      <c r="O667" t="n">
        <v>0</v>
      </c>
      <c r="P667" t="n">
        <v>0</v>
      </c>
      <c r="Q667" t="n">
        <v>0</v>
      </c>
      <c r="R667" s="2" t="inlineStr"/>
    </row>
    <row r="668" ht="15" customHeight="1">
      <c r="A668" t="inlineStr">
        <is>
          <t>A 31825-2022</t>
        </is>
      </c>
      <c r="B668" s="1" t="n">
        <v>44776.74908564815</v>
      </c>
      <c r="C668" s="1" t="n">
        <v>46159</v>
      </c>
      <c r="D668" t="inlineStr">
        <is>
          <t>KALMAR LÄN</t>
        </is>
      </c>
      <c r="E668" t="inlineStr">
        <is>
          <t>VÄSTERVIK</t>
        </is>
      </c>
      <c r="G668" t="n">
        <v>0.9</v>
      </c>
      <c r="H668" t="n">
        <v>0</v>
      </c>
      <c r="I668" t="n">
        <v>0</v>
      </c>
      <c r="J668" t="n">
        <v>0</v>
      </c>
      <c r="K668" t="n">
        <v>0</v>
      </c>
      <c r="L668" t="n">
        <v>0</v>
      </c>
      <c r="M668" t="n">
        <v>0</v>
      </c>
      <c r="N668" t="n">
        <v>0</v>
      </c>
      <c r="O668" t="n">
        <v>0</v>
      </c>
      <c r="P668" t="n">
        <v>0</v>
      </c>
      <c r="Q668" t="n">
        <v>0</v>
      </c>
      <c r="R668" s="2" t="inlineStr"/>
    </row>
    <row r="669" ht="15" customHeight="1">
      <c r="A669" t="inlineStr">
        <is>
          <t>A 50290-2025</t>
        </is>
      </c>
      <c r="B669" s="1" t="n">
        <v>45944.40484953704</v>
      </c>
      <c r="C669" s="1" t="n">
        <v>46159</v>
      </c>
      <c r="D669" t="inlineStr">
        <is>
          <t>KALMAR LÄN</t>
        </is>
      </c>
      <c r="E669" t="inlineStr">
        <is>
          <t>VÄSTERVIK</t>
        </is>
      </c>
      <c r="F669" t="inlineStr">
        <is>
          <t>Övriga Aktiebolag</t>
        </is>
      </c>
      <c r="G669" t="n">
        <v>6.4</v>
      </c>
      <c r="H669" t="n">
        <v>0</v>
      </c>
      <c r="I669" t="n">
        <v>0</v>
      </c>
      <c r="J669" t="n">
        <v>0</v>
      </c>
      <c r="K669" t="n">
        <v>0</v>
      </c>
      <c r="L669" t="n">
        <v>0</v>
      </c>
      <c r="M669" t="n">
        <v>0</v>
      </c>
      <c r="N669" t="n">
        <v>0</v>
      </c>
      <c r="O669" t="n">
        <v>0</v>
      </c>
      <c r="P669" t="n">
        <v>0</v>
      </c>
      <c r="Q669" t="n">
        <v>0</v>
      </c>
      <c r="R669" s="2" t="inlineStr"/>
    </row>
    <row r="670" ht="15" customHeight="1">
      <c r="A670" t="inlineStr">
        <is>
          <t>A 57366-2023</t>
        </is>
      </c>
      <c r="B670" s="1" t="n">
        <v>45245</v>
      </c>
      <c r="C670" s="1" t="n">
        <v>46159</v>
      </c>
      <c r="D670" t="inlineStr">
        <is>
          <t>KALMAR LÄN</t>
        </is>
      </c>
      <c r="E670" t="inlineStr">
        <is>
          <t>VÄSTERVIK</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23148-2025</t>
        </is>
      </c>
      <c r="B671" s="1" t="n">
        <v>45791.40225694444</v>
      </c>
      <c r="C671" s="1" t="n">
        <v>46159</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50692-2025</t>
        </is>
      </c>
      <c r="B672" s="1" t="n">
        <v>45945.8494212963</v>
      </c>
      <c r="C672" s="1" t="n">
        <v>46159</v>
      </c>
      <c r="D672" t="inlineStr">
        <is>
          <t>KALMAR LÄN</t>
        </is>
      </c>
      <c r="E672" t="inlineStr">
        <is>
          <t>VÄSTERVIK</t>
        </is>
      </c>
      <c r="F672" t="inlineStr">
        <is>
          <t>Övriga Aktiebolag</t>
        </is>
      </c>
      <c r="G672" t="n">
        <v>5</v>
      </c>
      <c r="H672" t="n">
        <v>0</v>
      </c>
      <c r="I672" t="n">
        <v>0</v>
      </c>
      <c r="J672" t="n">
        <v>0</v>
      </c>
      <c r="K672" t="n">
        <v>0</v>
      </c>
      <c r="L672" t="n">
        <v>0</v>
      </c>
      <c r="M672" t="n">
        <v>0</v>
      </c>
      <c r="N672" t="n">
        <v>0</v>
      </c>
      <c r="O672" t="n">
        <v>0</v>
      </c>
      <c r="P672" t="n">
        <v>0</v>
      </c>
      <c r="Q672" t="n">
        <v>0</v>
      </c>
      <c r="R672" s="2" t="inlineStr"/>
    </row>
    <row r="673" ht="15" customHeight="1">
      <c r="A673" t="inlineStr">
        <is>
          <t>A 12595-2023</t>
        </is>
      </c>
      <c r="B673" s="1" t="n">
        <v>45000.43240740741</v>
      </c>
      <c r="C673" s="1" t="n">
        <v>46159</v>
      </c>
      <c r="D673" t="inlineStr">
        <is>
          <t>KALMAR LÄN</t>
        </is>
      </c>
      <c r="E673" t="inlineStr">
        <is>
          <t>VÄSTERVIK</t>
        </is>
      </c>
      <c r="F673" t="inlineStr">
        <is>
          <t>Holmen skog AB</t>
        </is>
      </c>
      <c r="G673" t="n">
        <v>2.2</v>
      </c>
      <c r="H673" t="n">
        <v>0</v>
      </c>
      <c r="I673" t="n">
        <v>0</v>
      </c>
      <c r="J673" t="n">
        <v>0</v>
      </c>
      <c r="K673" t="n">
        <v>0</v>
      </c>
      <c r="L673" t="n">
        <v>0</v>
      </c>
      <c r="M673" t="n">
        <v>0</v>
      </c>
      <c r="N673" t="n">
        <v>0</v>
      </c>
      <c r="O673" t="n">
        <v>0</v>
      </c>
      <c r="P673" t="n">
        <v>0</v>
      </c>
      <c r="Q673" t="n">
        <v>0</v>
      </c>
      <c r="R673" s="2" t="inlineStr"/>
    </row>
    <row r="674" ht="15" customHeight="1">
      <c r="A674" t="inlineStr">
        <is>
          <t>A 23411-2022</t>
        </is>
      </c>
      <c r="B674" s="1" t="n">
        <v>44720.70361111111</v>
      </c>
      <c r="C674" s="1" t="n">
        <v>46159</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6315-2026</t>
        </is>
      </c>
      <c r="B675" s="1" t="n">
        <v>46055.58186342593</v>
      </c>
      <c r="C675" s="1" t="n">
        <v>46159</v>
      </c>
      <c r="D675" t="inlineStr">
        <is>
          <t>KALMAR LÄN</t>
        </is>
      </c>
      <c r="E675" t="inlineStr">
        <is>
          <t>VÄSTERVIK</t>
        </is>
      </c>
      <c r="G675" t="n">
        <v>2.6</v>
      </c>
      <c r="H675" t="n">
        <v>0</v>
      </c>
      <c r="I675" t="n">
        <v>0</v>
      </c>
      <c r="J675" t="n">
        <v>0</v>
      </c>
      <c r="K675" t="n">
        <v>0</v>
      </c>
      <c r="L675" t="n">
        <v>0</v>
      </c>
      <c r="M675" t="n">
        <v>0</v>
      </c>
      <c r="N675" t="n">
        <v>0</v>
      </c>
      <c r="O675" t="n">
        <v>0</v>
      </c>
      <c r="P675" t="n">
        <v>0</v>
      </c>
      <c r="Q675" t="n">
        <v>0</v>
      </c>
      <c r="R675" s="2" t="inlineStr"/>
    </row>
    <row r="676" ht="15" customHeight="1">
      <c r="A676" t="inlineStr">
        <is>
          <t>A 50651-2025</t>
        </is>
      </c>
      <c r="B676" s="1" t="n">
        <v>45945.66497685185</v>
      </c>
      <c r="C676" s="1" t="n">
        <v>46159</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50690-2025</t>
        </is>
      </c>
      <c r="B677" s="1" t="n">
        <v>45945.84136574074</v>
      </c>
      <c r="C677" s="1" t="n">
        <v>46159</v>
      </c>
      <c r="D677" t="inlineStr">
        <is>
          <t>KALMAR LÄN</t>
        </is>
      </c>
      <c r="E677" t="inlineStr">
        <is>
          <t>VÄSTERVIK</t>
        </is>
      </c>
      <c r="F677" t="inlineStr">
        <is>
          <t>Övriga Aktiebolag</t>
        </is>
      </c>
      <c r="G677" t="n">
        <v>2.4</v>
      </c>
      <c r="H677" t="n">
        <v>0</v>
      </c>
      <c r="I677" t="n">
        <v>0</v>
      </c>
      <c r="J677" t="n">
        <v>0</v>
      </c>
      <c r="K677" t="n">
        <v>0</v>
      </c>
      <c r="L677" t="n">
        <v>0</v>
      </c>
      <c r="M677" t="n">
        <v>0</v>
      </c>
      <c r="N677" t="n">
        <v>0</v>
      </c>
      <c r="O677" t="n">
        <v>0</v>
      </c>
      <c r="P677" t="n">
        <v>0</v>
      </c>
      <c r="Q677" t="n">
        <v>0</v>
      </c>
      <c r="R677" s="2" t="inlineStr"/>
    </row>
    <row r="678" ht="15" customHeight="1">
      <c r="A678" t="inlineStr">
        <is>
          <t>A 21660-2025</t>
        </is>
      </c>
      <c r="B678" s="1" t="n">
        <v>45783.45542824074</v>
      </c>
      <c r="C678" s="1" t="n">
        <v>46159</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6042-2023</t>
        </is>
      </c>
      <c r="B679" s="1" t="n">
        <v>44964</v>
      </c>
      <c r="C679" s="1" t="n">
        <v>46159</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29722-2025</t>
        </is>
      </c>
      <c r="B680" s="1" t="n">
        <v>45825.57524305556</v>
      </c>
      <c r="C680" s="1" t="n">
        <v>46159</v>
      </c>
      <c r="D680" t="inlineStr">
        <is>
          <t>KALMAR LÄN</t>
        </is>
      </c>
      <c r="E680" t="inlineStr">
        <is>
          <t>VÄSTERVIK</t>
        </is>
      </c>
      <c r="G680" t="n">
        <v>2.9</v>
      </c>
      <c r="H680" t="n">
        <v>0</v>
      </c>
      <c r="I680" t="n">
        <v>0</v>
      </c>
      <c r="J680" t="n">
        <v>0</v>
      </c>
      <c r="K680" t="n">
        <v>0</v>
      </c>
      <c r="L680" t="n">
        <v>0</v>
      </c>
      <c r="M680" t="n">
        <v>0</v>
      </c>
      <c r="N680" t="n">
        <v>0</v>
      </c>
      <c r="O680" t="n">
        <v>0</v>
      </c>
      <c r="P680" t="n">
        <v>0</v>
      </c>
      <c r="Q680" t="n">
        <v>0</v>
      </c>
      <c r="R680" s="2" t="inlineStr"/>
    </row>
    <row r="681" ht="15" customHeight="1">
      <c r="A681" t="inlineStr">
        <is>
          <t>A 50539-2025</t>
        </is>
      </c>
      <c r="B681" s="1" t="n">
        <v>45945.49340277778</v>
      </c>
      <c r="C681" s="1" t="n">
        <v>46159</v>
      </c>
      <c r="D681" t="inlineStr">
        <is>
          <t>KALMAR LÄN</t>
        </is>
      </c>
      <c r="E681" t="inlineStr">
        <is>
          <t>VÄSTERVIK</t>
        </is>
      </c>
      <c r="G681" t="n">
        <v>2.4</v>
      </c>
      <c r="H681" t="n">
        <v>0</v>
      </c>
      <c r="I681" t="n">
        <v>0</v>
      </c>
      <c r="J681" t="n">
        <v>0</v>
      </c>
      <c r="K681" t="n">
        <v>0</v>
      </c>
      <c r="L681" t="n">
        <v>0</v>
      </c>
      <c r="M681" t="n">
        <v>0</v>
      </c>
      <c r="N681" t="n">
        <v>0</v>
      </c>
      <c r="O681" t="n">
        <v>0</v>
      </c>
      <c r="P681" t="n">
        <v>0</v>
      </c>
      <c r="Q681" t="n">
        <v>0</v>
      </c>
      <c r="R681" s="2" t="inlineStr"/>
    </row>
    <row r="682" ht="15" customHeight="1">
      <c r="A682" t="inlineStr">
        <is>
          <t>A 43828-2021</t>
        </is>
      </c>
      <c r="B682" s="1" t="n">
        <v>44433</v>
      </c>
      <c r="C682" s="1" t="n">
        <v>46159</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4508-2023</t>
        </is>
      </c>
      <c r="B683" s="1" t="n">
        <v>44956</v>
      </c>
      <c r="C683" s="1" t="n">
        <v>46159</v>
      </c>
      <c r="D683" t="inlineStr">
        <is>
          <t>KALMAR LÄN</t>
        </is>
      </c>
      <c r="E683" t="inlineStr">
        <is>
          <t>VÄSTERVIK</t>
        </is>
      </c>
      <c r="G683" t="n">
        <v>0.5</v>
      </c>
      <c r="H683" t="n">
        <v>0</v>
      </c>
      <c r="I683" t="n">
        <v>0</v>
      </c>
      <c r="J683" t="n">
        <v>0</v>
      </c>
      <c r="K683" t="n">
        <v>0</v>
      </c>
      <c r="L683" t="n">
        <v>0</v>
      </c>
      <c r="M683" t="n">
        <v>0</v>
      </c>
      <c r="N683" t="n">
        <v>0</v>
      </c>
      <c r="O683" t="n">
        <v>0</v>
      </c>
      <c r="P683" t="n">
        <v>0</v>
      </c>
      <c r="Q683" t="n">
        <v>0</v>
      </c>
      <c r="R683" s="2" t="inlineStr"/>
    </row>
    <row r="684" ht="15" customHeight="1">
      <c r="A684" t="inlineStr">
        <is>
          <t>A 50679-2025</t>
        </is>
      </c>
      <c r="B684" s="1" t="n">
        <v>45945.7796875</v>
      </c>
      <c r="C684" s="1" t="n">
        <v>46159</v>
      </c>
      <c r="D684" t="inlineStr">
        <is>
          <t>KALMAR LÄN</t>
        </is>
      </c>
      <c r="E684" t="inlineStr">
        <is>
          <t>VÄSTERVIK</t>
        </is>
      </c>
      <c r="F684" t="inlineStr">
        <is>
          <t>Övriga Aktiebolag</t>
        </is>
      </c>
      <c r="G684" t="n">
        <v>2.3</v>
      </c>
      <c r="H684" t="n">
        <v>0</v>
      </c>
      <c r="I684" t="n">
        <v>0</v>
      </c>
      <c r="J684" t="n">
        <v>0</v>
      </c>
      <c r="K684" t="n">
        <v>0</v>
      </c>
      <c r="L684" t="n">
        <v>0</v>
      </c>
      <c r="M684" t="n">
        <v>0</v>
      </c>
      <c r="N684" t="n">
        <v>0</v>
      </c>
      <c r="O684" t="n">
        <v>0</v>
      </c>
      <c r="P684" t="n">
        <v>0</v>
      </c>
      <c r="Q684" t="n">
        <v>0</v>
      </c>
      <c r="R684" s="2" t="inlineStr"/>
    </row>
    <row r="685" ht="15" customHeight="1">
      <c r="A685" t="inlineStr">
        <is>
          <t>A 8593-2023</t>
        </is>
      </c>
      <c r="B685" s="1" t="n">
        <v>44977</v>
      </c>
      <c r="C685" s="1" t="n">
        <v>46159</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51437-2025</t>
        </is>
      </c>
      <c r="B686" s="1" t="n">
        <v>45950.56834490741</v>
      </c>
      <c r="C686" s="1" t="n">
        <v>46159</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51513-2025</t>
        </is>
      </c>
      <c r="B687" s="1" t="n">
        <v>45950.65234953703</v>
      </c>
      <c r="C687" s="1" t="n">
        <v>46159</v>
      </c>
      <c r="D687" t="inlineStr">
        <is>
          <t>KALMAR LÄN</t>
        </is>
      </c>
      <c r="E687" t="inlineStr">
        <is>
          <t>VÄSTERVIK</t>
        </is>
      </c>
      <c r="G687" t="n">
        <v>2.4</v>
      </c>
      <c r="H687" t="n">
        <v>0</v>
      </c>
      <c r="I687" t="n">
        <v>0</v>
      </c>
      <c r="J687" t="n">
        <v>0</v>
      </c>
      <c r="K687" t="n">
        <v>0</v>
      </c>
      <c r="L687" t="n">
        <v>0</v>
      </c>
      <c r="M687" t="n">
        <v>0</v>
      </c>
      <c r="N687" t="n">
        <v>0</v>
      </c>
      <c r="O687" t="n">
        <v>0</v>
      </c>
      <c r="P687" t="n">
        <v>0</v>
      </c>
      <c r="Q687" t="n">
        <v>0</v>
      </c>
      <c r="R687" s="2" t="inlineStr"/>
    </row>
    <row r="688" ht="15" customHeight="1">
      <c r="A688" t="inlineStr">
        <is>
          <t>A 51520-2025</t>
        </is>
      </c>
      <c r="B688" s="1" t="n">
        <v>45950.65695601852</v>
      </c>
      <c r="C688" s="1" t="n">
        <v>46159</v>
      </c>
      <c r="D688" t="inlineStr">
        <is>
          <t>KALMAR LÄN</t>
        </is>
      </c>
      <c r="E688" t="inlineStr">
        <is>
          <t>VÄSTERVIK</t>
        </is>
      </c>
      <c r="G688" t="n">
        <v>3.6</v>
      </c>
      <c r="H688" t="n">
        <v>0</v>
      </c>
      <c r="I688" t="n">
        <v>0</v>
      </c>
      <c r="J688" t="n">
        <v>0</v>
      </c>
      <c r="K688" t="n">
        <v>0</v>
      </c>
      <c r="L688" t="n">
        <v>0</v>
      </c>
      <c r="M688" t="n">
        <v>0</v>
      </c>
      <c r="N688" t="n">
        <v>0</v>
      </c>
      <c r="O688" t="n">
        <v>0</v>
      </c>
      <c r="P688" t="n">
        <v>0</v>
      </c>
      <c r="Q688" t="n">
        <v>0</v>
      </c>
      <c r="R688" s="2" t="inlineStr"/>
    </row>
    <row r="689" ht="15" customHeight="1">
      <c r="A689" t="inlineStr">
        <is>
          <t>A 51182-2025</t>
        </is>
      </c>
      <c r="B689" s="1" t="n">
        <v>45947.6204050926</v>
      </c>
      <c r="C689" s="1" t="n">
        <v>46159</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51191-2025</t>
        </is>
      </c>
      <c r="B690" s="1" t="n">
        <v>45947.62629629629</v>
      </c>
      <c r="C690" s="1" t="n">
        <v>46159</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11189-2024</t>
        </is>
      </c>
      <c r="B691" s="1" t="n">
        <v>45371</v>
      </c>
      <c r="C691" s="1" t="n">
        <v>46159</v>
      </c>
      <c r="D691" t="inlineStr">
        <is>
          <t>KALMAR LÄN</t>
        </is>
      </c>
      <c r="E691" t="inlineStr">
        <is>
          <t>VÄSTERVIK</t>
        </is>
      </c>
      <c r="G691" t="n">
        <v>5.2</v>
      </c>
      <c r="H691" t="n">
        <v>0</v>
      </c>
      <c r="I691" t="n">
        <v>0</v>
      </c>
      <c r="J691" t="n">
        <v>0</v>
      </c>
      <c r="K691" t="n">
        <v>0</v>
      </c>
      <c r="L691" t="n">
        <v>0</v>
      </c>
      <c r="M691" t="n">
        <v>0</v>
      </c>
      <c r="N691" t="n">
        <v>0</v>
      </c>
      <c r="O691" t="n">
        <v>0</v>
      </c>
      <c r="P691" t="n">
        <v>0</v>
      </c>
      <c r="Q691" t="n">
        <v>0</v>
      </c>
      <c r="R691" s="2" t="inlineStr"/>
    </row>
    <row r="692" ht="15" customHeight="1">
      <c r="A692" t="inlineStr">
        <is>
          <t>A 51050-2025</t>
        </is>
      </c>
      <c r="B692" s="1" t="n">
        <v>45947.43621527778</v>
      </c>
      <c r="C692" s="1" t="n">
        <v>46159</v>
      </c>
      <c r="D692" t="inlineStr">
        <is>
          <t>KALMAR LÄN</t>
        </is>
      </c>
      <c r="E692" t="inlineStr">
        <is>
          <t>VÄSTERVIK</t>
        </is>
      </c>
      <c r="G692" t="n">
        <v>2.8</v>
      </c>
      <c r="H692" t="n">
        <v>0</v>
      </c>
      <c r="I692" t="n">
        <v>0</v>
      </c>
      <c r="J692" t="n">
        <v>0</v>
      </c>
      <c r="K692" t="n">
        <v>0</v>
      </c>
      <c r="L692" t="n">
        <v>0</v>
      </c>
      <c r="M692" t="n">
        <v>0</v>
      </c>
      <c r="N692" t="n">
        <v>0</v>
      </c>
      <c r="O692" t="n">
        <v>0</v>
      </c>
      <c r="P692" t="n">
        <v>0</v>
      </c>
      <c r="Q692" t="n">
        <v>0</v>
      </c>
      <c r="R692" s="2" t="inlineStr"/>
    </row>
    <row r="693" ht="15" customHeight="1">
      <c r="A693" t="inlineStr">
        <is>
          <t>A 51441-2025</t>
        </is>
      </c>
      <c r="B693" s="1" t="n">
        <v>45950.57375</v>
      </c>
      <c r="C693" s="1" t="n">
        <v>46159</v>
      </c>
      <c r="D693" t="inlineStr">
        <is>
          <t>KALMAR LÄN</t>
        </is>
      </c>
      <c r="E693" t="inlineStr">
        <is>
          <t>VÄSTERVIK</t>
        </is>
      </c>
      <c r="G693" t="n">
        <v>0.6</v>
      </c>
      <c r="H693" t="n">
        <v>0</v>
      </c>
      <c r="I693" t="n">
        <v>0</v>
      </c>
      <c r="J693" t="n">
        <v>0</v>
      </c>
      <c r="K693" t="n">
        <v>0</v>
      </c>
      <c r="L693" t="n">
        <v>0</v>
      </c>
      <c r="M693" t="n">
        <v>0</v>
      </c>
      <c r="N693" t="n">
        <v>0</v>
      </c>
      <c r="O693" t="n">
        <v>0</v>
      </c>
      <c r="P693" t="n">
        <v>0</v>
      </c>
      <c r="Q693" t="n">
        <v>0</v>
      </c>
      <c r="R693" s="2" t="inlineStr"/>
    </row>
    <row r="694" ht="15" customHeight="1">
      <c r="A694" t="inlineStr">
        <is>
          <t>A 60147-2024</t>
        </is>
      </c>
      <c r="B694" s="1" t="n">
        <v>45642.61109953704</v>
      </c>
      <c r="C694" s="1" t="n">
        <v>46159</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51426-2025</t>
        </is>
      </c>
      <c r="B695" s="1" t="n">
        <v>45950.53288194445</v>
      </c>
      <c r="C695" s="1" t="n">
        <v>46159</v>
      </c>
      <c r="D695" t="inlineStr">
        <is>
          <t>KALMAR LÄN</t>
        </is>
      </c>
      <c r="E695" t="inlineStr">
        <is>
          <t>VÄSTERVIK</t>
        </is>
      </c>
      <c r="G695" t="n">
        <v>3.8</v>
      </c>
      <c r="H695" t="n">
        <v>0</v>
      </c>
      <c r="I695" t="n">
        <v>0</v>
      </c>
      <c r="J695" t="n">
        <v>0</v>
      </c>
      <c r="K695" t="n">
        <v>0</v>
      </c>
      <c r="L695" t="n">
        <v>0</v>
      </c>
      <c r="M695" t="n">
        <v>0</v>
      </c>
      <c r="N695" t="n">
        <v>0</v>
      </c>
      <c r="O695" t="n">
        <v>0</v>
      </c>
      <c r="P695" t="n">
        <v>0</v>
      </c>
      <c r="Q695" t="n">
        <v>0</v>
      </c>
      <c r="R695" s="2" t="inlineStr"/>
    </row>
    <row r="696" ht="15" customHeight="1">
      <c r="A696" t="inlineStr">
        <is>
          <t>A 51515-2025</t>
        </is>
      </c>
      <c r="B696" s="1" t="n">
        <v>45950.65560185185</v>
      </c>
      <c r="C696" s="1" t="n">
        <v>46159</v>
      </c>
      <c r="D696" t="inlineStr">
        <is>
          <t>KALMAR LÄN</t>
        </is>
      </c>
      <c r="E696" t="inlineStr">
        <is>
          <t>VÄSTERVIK</t>
        </is>
      </c>
      <c r="G696" t="n">
        <v>1.4</v>
      </c>
      <c r="H696" t="n">
        <v>0</v>
      </c>
      <c r="I696" t="n">
        <v>0</v>
      </c>
      <c r="J696" t="n">
        <v>0</v>
      </c>
      <c r="K696" t="n">
        <v>0</v>
      </c>
      <c r="L696" t="n">
        <v>0</v>
      </c>
      <c r="M696" t="n">
        <v>0</v>
      </c>
      <c r="N696" t="n">
        <v>0</v>
      </c>
      <c r="O696" t="n">
        <v>0</v>
      </c>
      <c r="P696" t="n">
        <v>0</v>
      </c>
      <c r="Q696" t="n">
        <v>0</v>
      </c>
      <c r="R696" s="2" t="inlineStr"/>
    </row>
    <row r="697" ht="15" customHeight="1">
      <c r="A697" t="inlineStr">
        <is>
          <t>A 51181-2025</t>
        </is>
      </c>
      <c r="B697" s="1" t="n">
        <v>45947.61859953704</v>
      </c>
      <c r="C697" s="1" t="n">
        <v>46159</v>
      </c>
      <c r="D697" t="inlineStr">
        <is>
          <t>KALMAR LÄN</t>
        </is>
      </c>
      <c r="E697" t="inlineStr">
        <is>
          <t>VÄSTERVIK</t>
        </is>
      </c>
      <c r="G697" t="n">
        <v>1.5</v>
      </c>
      <c r="H697" t="n">
        <v>0</v>
      </c>
      <c r="I697" t="n">
        <v>0</v>
      </c>
      <c r="J697" t="n">
        <v>0</v>
      </c>
      <c r="K697" t="n">
        <v>0</v>
      </c>
      <c r="L697" t="n">
        <v>0</v>
      </c>
      <c r="M697" t="n">
        <v>0</v>
      </c>
      <c r="N697" t="n">
        <v>0</v>
      </c>
      <c r="O697" t="n">
        <v>0</v>
      </c>
      <c r="P697" t="n">
        <v>0</v>
      </c>
      <c r="Q697" t="n">
        <v>0</v>
      </c>
      <c r="R697" s="2" t="inlineStr"/>
    </row>
    <row r="698" ht="15" customHeight="1">
      <c r="A698" t="inlineStr">
        <is>
          <t>A 7163-2025</t>
        </is>
      </c>
      <c r="B698" s="1" t="n">
        <v>45702.3918287037</v>
      </c>
      <c r="C698" s="1" t="n">
        <v>46159</v>
      </c>
      <c r="D698" t="inlineStr">
        <is>
          <t>KALMAR LÄN</t>
        </is>
      </c>
      <c r="E698" t="inlineStr">
        <is>
          <t>VÄSTERVIK</t>
        </is>
      </c>
      <c r="F698" t="inlineStr">
        <is>
          <t>Sveaskog</t>
        </is>
      </c>
      <c r="G698" t="n">
        <v>2.4</v>
      </c>
      <c r="H698" t="n">
        <v>0</v>
      </c>
      <c r="I698" t="n">
        <v>0</v>
      </c>
      <c r="J698" t="n">
        <v>0</v>
      </c>
      <c r="K698" t="n">
        <v>0</v>
      </c>
      <c r="L698" t="n">
        <v>0</v>
      </c>
      <c r="M698" t="n">
        <v>0</v>
      </c>
      <c r="N698" t="n">
        <v>0</v>
      </c>
      <c r="O698" t="n">
        <v>0</v>
      </c>
      <c r="P698" t="n">
        <v>0</v>
      </c>
      <c r="Q698" t="n">
        <v>0</v>
      </c>
      <c r="R698" s="2" t="inlineStr"/>
    </row>
    <row r="699" ht="15" customHeight="1">
      <c r="A699" t="inlineStr">
        <is>
          <t>A 35417-2022</t>
        </is>
      </c>
      <c r="B699" s="1" t="n">
        <v>44798</v>
      </c>
      <c r="C699" s="1" t="n">
        <v>46159</v>
      </c>
      <c r="D699" t="inlineStr">
        <is>
          <t>KALMAR LÄN</t>
        </is>
      </c>
      <c r="E699" t="inlineStr">
        <is>
          <t>VÄSTERVIK</t>
        </is>
      </c>
      <c r="G699" t="n">
        <v>5.2</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46159</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25238-2021</t>
        </is>
      </c>
      <c r="B701" s="1" t="n">
        <v>44342</v>
      </c>
      <c r="C701" s="1" t="n">
        <v>46159</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49708-2024</t>
        </is>
      </c>
      <c r="B702" s="1" t="n">
        <v>45596.69846064815</v>
      </c>
      <c r="C702" s="1" t="n">
        <v>46159</v>
      </c>
      <c r="D702" t="inlineStr">
        <is>
          <t>KALMAR LÄN</t>
        </is>
      </c>
      <c r="E702" t="inlineStr">
        <is>
          <t>VÄSTERVIK</t>
        </is>
      </c>
      <c r="G702" t="n">
        <v>1.6</v>
      </c>
      <c r="H702" t="n">
        <v>0</v>
      </c>
      <c r="I702" t="n">
        <v>0</v>
      </c>
      <c r="J702" t="n">
        <v>0</v>
      </c>
      <c r="K702" t="n">
        <v>0</v>
      </c>
      <c r="L702" t="n">
        <v>0</v>
      </c>
      <c r="M702" t="n">
        <v>0</v>
      </c>
      <c r="N702" t="n">
        <v>0</v>
      </c>
      <c r="O702" t="n">
        <v>0</v>
      </c>
      <c r="P702" t="n">
        <v>0</v>
      </c>
      <c r="Q702" t="n">
        <v>0</v>
      </c>
      <c r="R702" s="2" t="inlineStr"/>
    </row>
    <row r="703" ht="15" customHeight="1">
      <c r="A703" t="inlineStr">
        <is>
          <t>A 51983-2025</t>
        </is>
      </c>
      <c r="B703" s="1" t="n">
        <v>45952.57481481481</v>
      </c>
      <c r="C703" s="1" t="n">
        <v>46159</v>
      </c>
      <c r="D703" t="inlineStr">
        <is>
          <t>KALMAR LÄN</t>
        </is>
      </c>
      <c r="E703" t="inlineStr">
        <is>
          <t>VÄSTERVIK</t>
        </is>
      </c>
      <c r="G703" t="n">
        <v>2.6</v>
      </c>
      <c r="H703" t="n">
        <v>0</v>
      </c>
      <c r="I703" t="n">
        <v>0</v>
      </c>
      <c r="J703" t="n">
        <v>0</v>
      </c>
      <c r="K703" t="n">
        <v>0</v>
      </c>
      <c r="L703" t="n">
        <v>0</v>
      </c>
      <c r="M703" t="n">
        <v>0</v>
      </c>
      <c r="N703" t="n">
        <v>0</v>
      </c>
      <c r="O703" t="n">
        <v>0</v>
      </c>
      <c r="P703" t="n">
        <v>0</v>
      </c>
      <c r="Q703" t="n">
        <v>0</v>
      </c>
      <c r="R703" s="2" t="inlineStr"/>
    </row>
    <row r="704" ht="15" customHeight="1">
      <c r="A704" t="inlineStr">
        <is>
          <t>A 51769-2025</t>
        </is>
      </c>
      <c r="B704" s="1" t="n">
        <v>45951.64155092592</v>
      </c>
      <c r="C704" s="1" t="n">
        <v>46159</v>
      </c>
      <c r="D704" t="inlineStr">
        <is>
          <t>KALMAR LÄN</t>
        </is>
      </c>
      <c r="E704" t="inlineStr">
        <is>
          <t>VÄSTERVIK</t>
        </is>
      </c>
      <c r="G704" t="n">
        <v>3.6</v>
      </c>
      <c r="H704" t="n">
        <v>0</v>
      </c>
      <c r="I704" t="n">
        <v>0</v>
      </c>
      <c r="J704" t="n">
        <v>0</v>
      </c>
      <c r="K704" t="n">
        <v>0</v>
      </c>
      <c r="L704" t="n">
        <v>0</v>
      </c>
      <c r="M704" t="n">
        <v>0</v>
      </c>
      <c r="N704" t="n">
        <v>0</v>
      </c>
      <c r="O704" t="n">
        <v>0</v>
      </c>
      <c r="P704" t="n">
        <v>0</v>
      </c>
      <c r="Q704" t="n">
        <v>0</v>
      </c>
      <c r="R704" s="2" t="inlineStr"/>
    </row>
    <row r="705" ht="15" customHeight="1">
      <c r="A705" t="inlineStr">
        <is>
          <t>A 20483-2025</t>
        </is>
      </c>
      <c r="B705" s="1" t="n">
        <v>45775.55954861111</v>
      </c>
      <c r="C705" s="1" t="n">
        <v>46159</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6940-2025</t>
        </is>
      </c>
      <c r="B706" s="1" t="n">
        <v>45701.46581018518</v>
      </c>
      <c r="C706" s="1" t="n">
        <v>46159</v>
      </c>
      <c r="D706" t="inlineStr">
        <is>
          <t>KALMAR LÄN</t>
        </is>
      </c>
      <c r="E706" t="inlineStr">
        <is>
          <t>VÄSTERVIK</t>
        </is>
      </c>
      <c r="G706" t="n">
        <v>1.2</v>
      </c>
      <c r="H706" t="n">
        <v>0</v>
      </c>
      <c r="I706" t="n">
        <v>0</v>
      </c>
      <c r="J706" t="n">
        <v>0</v>
      </c>
      <c r="K706" t="n">
        <v>0</v>
      </c>
      <c r="L706" t="n">
        <v>0</v>
      </c>
      <c r="M706" t="n">
        <v>0</v>
      </c>
      <c r="N706" t="n">
        <v>0</v>
      </c>
      <c r="O706" t="n">
        <v>0</v>
      </c>
      <c r="P706" t="n">
        <v>0</v>
      </c>
      <c r="Q706" t="n">
        <v>0</v>
      </c>
      <c r="R706" s="2" t="inlineStr"/>
    </row>
    <row r="707" ht="15" customHeight="1">
      <c r="A707" t="inlineStr">
        <is>
          <t>A 51566-2025</t>
        </is>
      </c>
      <c r="B707" s="1" t="n">
        <v>45951.30868055556</v>
      </c>
      <c r="C707" s="1" t="n">
        <v>46159</v>
      </c>
      <c r="D707" t="inlineStr">
        <is>
          <t>KALMAR LÄN</t>
        </is>
      </c>
      <c r="E707" t="inlineStr">
        <is>
          <t>VÄSTERVIK</t>
        </is>
      </c>
      <c r="G707" t="n">
        <v>3.4</v>
      </c>
      <c r="H707" t="n">
        <v>0</v>
      </c>
      <c r="I707" t="n">
        <v>0</v>
      </c>
      <c r="J707" t="n">
        <v>0</v>
      </c>
      <c r="K707" t="n">
        <v>0</v>
      </c>
      <c r="L707" t="n">
        <v>0</v>
      </c>
      <c r="M707" t="n">
        <v>0</v>
      </c>
      <c r="N707" t="n">
        <v>0</v>
      </c>
      <c r="O707" t="n">
        <v>0</v>
      </c>
      <c r="P707" t="n">
        <v>0</v>
      </c>
      <c r="Q707" t="n">
        <v>0</v>
      </c>
      <c r="R707" s="2" t="inlineStr"/>
    </row>
    <row r="708" ht="15" customHeight="1">
      <c r="A708" t="inlineStr">
        <is>
          <t>A 47939-2023</t>
        </is>
      </c>
      <c r="B708" s="1" t="n">
        <v>45204.56195601852</v>
      </c>
      <c r="C708" s="1" t="n">
        <v>46159</v>
      </c>
      <c r="D708" t="inlineStr">
        <is>
          <t>KALMAR LÄN</t>
        </is>
      </c>
      <c r="E708" t="inlineStr">
        <is>
          <t>VÄSTERVIK</t>
        </is>
      </c>
      <c r="G708" t="n">
        <v>3.7</v>
      </c>
      <c r="H708" t="n">
        <v>0</v>
      </c>
      <c r="I708" t="n">
        <v>0</v>
      </c>
      <c r="J708" t="n">
        <v>0</v>
      </c>
      <c r="K708" t="n">
        <v>0</v>
      </c>
      <c r="L708" t="n">
        <v>0</v>
      </c>
      <c r="M708" t="n">
        <v>0</v>
      </c>
      <c r="N708" t="n">
        <v>0</v>
      </c>
      <c r="O708" t="n">
        <v>0</v>
      </c>
      <c r="P708" t="n">
        <v>0</v>
      </c>
      <c r="Q708" t="n">
        <v>0</v>
      </c>
      <c r="R708" s="2" t="inlineStr"/>
    </row>
    <row r="709" ht="15" customHeight="1">
      <c r="A709" t="inlineStr">
        <is>
          <t>A 36754-2025</t>
        </is>
      </c>
      <c r="B709" s="1" t="n">
        <v>45873.5591087963</v>
      </c>
      <c r="C709" s="1" t="n">
        <v>46159</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52488-2025</t>
        </is>
      </c>
      <c r="B710" s="1" t="n">
        <v>45953</v>
      </c>
      <c r="C710" s="1" t="n">
        <v>46159</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52492-2025</t>
        </is>
      </c>
      <c r="B711" s="1" t="n">
        <v>45953</v>
      </c>
      <c r="C711" s="1" t="n">
        <v>46159</v>
      </c>
      <c r="D711" t="inlineStr">
        <is>
          <t>KALMAR LÄN</t>
        </is>
      </c>
      <c r="E711" t="inlineStr">
        <is>
          <t>VÄSTERVIK</t>
        </is>
      </c>
      <c r="G711" t="n">
        <v>0.9</v>
      </c>
      <c r="H711" t="n">
        <v>0</v>
      </c>
      <c r="I711" t="n">
        <v>0</v>
      </c>
      <c r="J711" t="n">
        <v>0</v>
      </c>
      <c r="K711" t="n">
        <v>0</v>
      </c>
      <c r="L711" t="n">
        <v>0</v>
      </c>
      <c r="M711" t="n">
        <v>0</v>
      </c>
      <c r="N711" t="n">
        <v>0</v>
      </c>
      <c r="O711" t="n">
        <v>0</v>
      </c>
      <c r="P711" t="n">
        <v>0</v>
      </c>
      <c r="Q711" t="n">
        <v>0</v>
      </c>
      <c r="R711" s="2" t="inlineStr"/>
    </row>
    <row r="712" ht="15" customHeight="1">
      <c r="A712" t="inlineStr">
        <is>
          <t>A 52495-2025</t>
        </is>
      </c>
      <c r="B712" s="1" t="n">
        <v>45953</v>
      </c>
      <c r="C712" s="1" t="n">
        <v>46159</v>
      </c>
      <c r="D712" t="inlineStr">
        <is>
          <t>KALMAR LÄN</t>
        </is>
      </c>
      <c r="E712" t="inlineStr">
        <is>
          <t>VÄSTERVIK</t>
        </is>
      </c>
      <c r="G712" t="n">
        <v>1</v>
      </c>
      <c r="H712" t="n">
        <v>0</v>
      </c>
      <c r="I712" t="n">
        <v>0</v>
      </c>
      <c r="J712" t="n">
        <v>0</v>
      </c>
      <c r="K712" t="n">
        <v>0</v>
      </c>
      <c r="L712" t="n">
        <v>0</v>
      </c>
      <c r="M712" t="n">
        <v>0</v>
      </c>
      <c r="N712" t="n">
        <v>0</v>
      </c>
      <c r="O712" t="n">
        <v>0</v>
      </c>
      <c r="P712" t="n">
        <v>0</v>
      </c>
      <c r="Q712" t="n">
        <v>0</v>
      </c>
      <c r="R712" s="2" t="inlineStr"/>
    </row>
    <row r="713" ht="15" customHeight="1">
      <c r="A713" t="inlineStr">
        <is>
          <t>A 52170-2025</t>
        </is>
      </c>
      <c r="B713" s="1" t="n">
        <v>45953.36766203704</v>
      </c>
      <c r="C713" s="1" t="n">
        <v>46159</v>
      </c>
      <c r="D713" t="inlineStr">
        <is>
          <t>KALMAR LÄN</t>
        </is>
      </c>
      <c r="E713" t="inlineStr">
        <is>
          <t>VÄSTERVIK</t>
        </is>
      </c>
      <c r="G713" t="n">
        <v>4.6</v>
      </c>
      <c r="H713" t="n">
        <v>0</v>
      </c>
      <c r="I713" t="n">
        <v>0</v>
      </c>
      <c r="J713" t="n">
        <v>0</v>
      </c>
      <c r="K713" t="n">
        <v>0</v>
      </c>
      <c r="L713" t="n">
        <v>0</v>
      </c>
      <c r="M713" t="n">
        <v>0</v>
      </c>
      <c r="N713" t="n">
        <v>0</v>
      </c>
      <c r="O713" t="n">
        <v>0</v>
      </c>
      <c r="P713" t="n">
        <v>0</v>
      </c>
      <c r="Q713" t="n">
        <v>0</v>
      </c>
      <c r="R713" s="2" t="inlineStr"/>
    </row>
    <row r="714" ht="15" customHeight="1">
      <c r="A714" t="inlineStr">
        <is>
          <t>A 35652-2023</t>
        </is>
      </c>
      <c r="B714" s="1" t="n">
        <v>45147.59215277778</v>
      </c>
      <c r="C714" s="1" t="n">
        <v>46159</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52190-2025</t>
        </is>
      </c>
      <c r="B715" s="1" t="n">
        <v>45953.38814814815</v>
      </c>
      <c r="C715" s="1" t="n">
        <v>46159</v>
      </c>
      <c r="D715" t="inlineStr">
        <is>
          <t>KALMAR LÄN</t>
        </is>
      </c>
      <c r="E715" t="inlineStr">
        <is>
          <t>VÄSTERVIK</t>
        </is>
      </c>
      <c r="G715" t="n">
        <v>1.8</v>
      </c>
      <c r="H715" t="n">
        <v>0</v>
      </c>
      <c r="I715" t="n">
        <v>0</v>
      </c>
      <c r="J715" t="n">
        <v>0</v>
      </c>
      <c r="K715" t="n">
        <v>0</v>
      </c>
      <c r="L715" t="n">
        <v>0</v>
      </c>
      <c r="M715" t="n">
        <v>0</v>
      </c>
      <c r="N715" t="n">
        <v>0</v>
      </c>
      <c r="O715" t="n">
        <v>0</v>
      </c>
      <c r="P715" t="n">
        <v>0</v>
      </c>
      <c r="Q715" t="n">
        <v>0</v>
      </c>
      <c r="R715" s="2" t="inlineStr"/>
    </row>
    <row r="716" ht="15" customHeight="1">
      <c r="A716" t="inlineStr">
        <is>
          <t>A 36757-2025</t>
        </is>
      </c>
      <c r="B716" s="1" t="n">
        <v>45873.56483796296</v>
      </c>
      <c r="C716" s="1" t="n">
        <v>46159</v>
      </c>
      <c r="D716" t="inlineStr">
        <is>
          <t>KALMAR LÄN</t>
        </is>
      </c>
      <c r="E716" t="inlineStr">
        <is>
          <t>VÄSTERVIK</t>
        </is>
      </c>
      <c r="G716" t="n">
        <v>2.3</v>
      </c>
      <c r="H716" t="n">
        <v>0</v>
      </c>
      <c r="I716" t="n">
        <v>0</v>
      </c>
      <c r="J716" t="n">
        <v>0</v>
      </c>
      <c r="K716" t="n">
        <v>0</v>
      </c>
      <c r="L716" t="n">
        <v>0</v>
      </c>
      <c r="M716" t="n">
        <v>0</v>
      </c>
      <c r="N716" t="n">
        <v>0</v>
      </c>
      <c r="O716" t="n">
        <v>0</v>
      </c>
      <c r="P716" t="n">
        <v>0</v>
      </c>
      <c r="Q716" t="n">
        <v>0</v>
      </c>
      <c r="R716" s="2" t="inlineStr"/>
    </row>
    <row r="717" ht="15" customHeight="1">
      <c r="A717" t="inlineStr">
        <is>
          <t>A 6938-2025</t>
        </is>
      </c>
      <c r="B717" s="1" t="n">
        <v>45701.46288194445</v>
      </c>
      <c r="C717" s="1" t="n">
        <v>46159</v>
      </c>
      <c r="D717" t="inlineStr">
        <is>
          <t>KALMAR LÄN</t>
        </is>
      </c>
      <c r="E717" t="inlineStr">
        <is>
          <t>VÄSTERVIK</t>
        </is>
      </c>
      <c r="G717" t="n">
        <v>0.8</v>
      </c>
      <c r="H717" t="n">
        <v>0</v>
      </c>
      <c r="I717" t="n">
        <v>0</v>
      </c>
      <c r="J717" t="n">
        <v>0</v>
      </c>
      <c r="K717" t="n">
        <v>0</v>
      </c>
      <c r="L717" t="n">
        <v>0</v>
      </c>
      <c r="M717" t="n">
        <v>0</v>
      </c>
      <c r="N717" t="n">
        <v>0</v>
      </c>
      <c r="O717" t="n">
        <v>0</v>
      </c>
      <c r="P717" t="n">
        <v>0</v>
      </c>
      <c r="Q717" t="n">
        <v>0</v>
      </c>
      <c r="R717" s="2" t="inlineStr"/>
    </row>
    <row r="718" ht="15" customHeight="1">
      <c r="A718" t="inlineStr">
        <is>
          <t>A 63606-2023</t>
        </is>
      </c>
      <c r="B718" s="1" t="n">
        <v>45275</v>
      </c>
      <c r="C718" s="1" t="n">
        <v>46159</v>
      </c>
      <c r="D718" t="inlineStr">
        <is>
          <t>KALMAR LÄN</t>
        </is>
      </c>
      <c r="E718" t="inlineStr">
        <is>
          <t>VÄSTERVIK</t>
        </is>
      </c>
      <c r="G718" t="n">
        <v>2.9</v>
      </c>
      <c r="H718" t="n">
        <v>0</v>
      </c>
      <c r="I718" t="n">
        <v>0</v>
      </c>
      <c r="J718" t="n">
        <v>0</v>
      </c>
      <c r="K718" t="n">
        <v>0</v>
      </c>
      <c r="L718" t="n">
        <v>0</v>
      </c>
      <c r="M718" t="n">
        <v>0</v>
      </c>
      <c r="N718" t="n">
        <v>0</v>
      </c>
      <c r="O718" t="n">
        <v>0</v>
      </c>
      <c r="P718" t="n">
        <v>0</v>
      </c>
      <c r="Q718" t="n">
        <v>0</v>
      </c>
      <c r="R718" s="2" t="inlineStr"/>
    </row>
    <row r="719" ht="15" customHeight="1">
      <c r="A719" t="inlineStr">
        <is>
          <t>A 1115-2025</t>
        </is>
      </c>
      <c r="B719" s="1" t="n">
        <v>45666.65664351852</v>
      </c>
      <c r="C719" s="1" t="n">
        <v>46159</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10766-2025</t>
        </is>
      </c>
      <c r="B720" s="1" t="n">
        <v>45722.4630787037</v>
      </c>
      <c r="C720" s="1" t="n">
        <v>46159</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9770-2023</t>
        </is>
      </c>
      <c r="B721" s="1" t="n">
        <v>44984</v>
      </c>
      <c r="C721" s="1" t="n">
        <v>46159</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row>
    <row r="722" ht="15" customHeight="1">
      <c r="A722" t="inlineStr">
        <is>
          <t>A 9792-2023</t>
        </is>
      </c>
      <c r="B722" s="1" t="n">
        <v>44984.64269675926</v>
      </c>
      <c r="C722" s="1" t="n">
        <v>46159</v>
      </c>
      <c r="D722" t="inlineStr">
        <is>
          <t>KALMAR LÄN</t>
        </is>
      </c>
      <c r="E722" t="inlineStr">
        <is>
          <t>VÄSTERVIK</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53145-2025</t>
        </is>
      </c>
      <c r="B723" s="1" t="n">
        <v>45958</v>
      </c>
      <c r="C723" s="1" t="n">
        <v>46159</v>
      </c>
      <c r="D723" t="inlineStr">
        <is>
          <t>KALMAR LÄN</t>
        </is>
      </c>
      <c r="E723" t="inlineStr">
        <is>
          <t>VÄSTERVIK</t>
        </is>
      </c>
      <c r="G723" t="n">
        <v>2.7</v>
      </c>
      <c r="H723" t="n">
        <v>0</v>
      </c>
      <c r="I723" t="n">
        <v>0</v>
      </c>
      <c r="J723" t="n">
        <v>0</v>
      </c>
      <c r="K723" t="n">
        <v>0</v>
      </c>
      <c r="L723" t="n">
        <v>0</v>
      </c>
      <c r="M723" t="n">
        <v>0</v>
      </c>
      <c r="N723" t="n">
        <v>0</v>
      </c>
      <c r="O723" t="n">
        <v>0</v>
      </c>
      <c r="P723" t="n">
        <v>0</v>
      </c>
      <c r="Q723" t="n">
        <v>0</v>
      </c>
      <c r="R723" s="2" t="inlineStr"/>
    </row>
    <row r="724" ht="15" customHeight="1">
      <c r="A724" t="inlineStr">
        <is>
          <t>A 10803-2025</t>
        </is>
      </c>
      <c r="B724" s="1" t="n">
        <v>45722.52284722222</v>
      </c>
      <c r="C724" s="1" t="n">
        <v>46159</v>
      </c>
      <c r="D724" t="inlineStr">
        <is>
          <t>KALMAR LÄN</t>
        </is>
      </c>
      <c r="E724" t="inlineStr">
        <is>
          <t>VÄSTERVIK</t>
        </is>
      </c>
      <c r="F724" t="inlineStr">
        <is>
          <t>Övriga Aktiebolag</t>
        </is>
      </c>
      <c r="G724" t="n">
        <v>3.5</v>
      </c>
      <c r="H724" t="n">
        <v>0</v>
      </c>
      <c r="I724" t="n">
        <v>0</v>
      </c>
      <c r="J724" t="n">
        <v>0</v>
      </c>
      <c r="K724" t="n">
        <v>0</v>
      </c>
      <c r="L724" t="n">
        <v>0</v>
      </c>
      <c r="M724" t="n">
        <v>0</v>
      </c>
      <c r="N724" t="n">
        <v>0</v>
      </c>
      <c r="O724" t="n">
        <v>0</v>
      </c>
      <c r="P724" t="n">
        <v>0</v>
      </c>
      <c r="Q724" t="n">
        <v>0</v>
      </c>
      <c r="R724" s="2" t="inlineStr"/>
    </row>
    <row r="725" ht="15" customHeight="1">
      <c r="A725" t="inlineStr">
        <is>
          <t>A 37774-2025</t>
        </is>
      </c>
      <c r="B725" s="1" t="n">
        <v>45880</v>
      </c>
      <c r="C725" s="1" t="n">
        <v>46159</v>
      </c>
      <c r="D725" t="inlineStr">
        <is>
          <t>KALMAR LÄN</t>
        </is>
      </c>
      <c r="E725" t="inlineStr">
        <is>
          <t>VÄSTERVIK</t>
        </is>
      </c>
      <c r="G725" t="n">
        <v>1.3</v>
      </c>
      <c r="H725" t="n">
        <v>0</v>
      </c>
      <c r="I725" t="n">
        <v>0</v>
      </c>
      <c r="J725" t="n">
        <v>0</v>
      </c>
      <c r="K725" t="n">
        <v>0</v>
      </c>
      <c r="L725" t="n">
        <v>0</v>
      </c>
      <c r="M725" t="n">
        <v>0</v>
      </c>
      <c r="N725" t="n">
        <v>0</v>
      </c>
      <c r="O725" t="n">
        <v>0</v>
      </c>
      <c r="P725" t="n">
        <v>0</v>
      </c>
      <c r="Q725" t="n">
        <v>0</v>
      </c>
      <c r="R725" s="2" t="inlineStr"/>
    </row>
    <row r="726" ht="15" customHeight="1">
      <c r="A726" t="inlineStr">
        <is>
          <t>A 34650-2023</t>
        </is>
      </c>
      <c r="B726" s="1" t="n">
        <v>45140</v>
      </c>
      <c r="C726" s="1" t="n">
        <v>46159</v>
      </c>
      <c r="D726" t="inlineStr">
        <is>
          <t>KALMAR LÄN</t>
        </is>
      </c>
      <c r="E726" t="inlineStr">
        <is>
          <t>VÄSTERVIK</t>
        </is>
      </c>
      <c r="G726" t="n">
        <v>1.4</v>
      </c>
      <c r="H726" t="n">
        <v>0</v>
      </c>
      <c r="I726" t="n">
        <v>0</v>
      </c>
      <c r="J726" t="n">
        <v>0</v>
      </c>
      <c r="K726" t="n">
        <v>0</v>
      </c>
      <c r="L726" t="n">
        <v>0</v>
      </c>
      <c r="M726" t="n">
        <v>0</v>
      </c>
      <c r="N726" t="n">
        <v>0</v>
      </c>
      <c r="O726" t="n">
        <v>0</v>
      </c>
      <c r="P726" t="n">
        <v>0</v>
      </c>
      <c r="Q726" t="n">
        <v>0</v>
      </c>
      <c r="R726" s="2" t="inlineStr"/>
    </row>
    <row r="727" ht="15" customHeight="1">
      <c r="A727" t="inlineStr">
        <is>
          <t>A 53334-2025</t>
        </is>
      </c>
      <c r="B727" s="1" t="n">
        <v>45959.38063657407</v>
      </c>
      <c r="C727" s="1" t="n">
        <v>46159</v>
      </c>
      <c r="D727" t="inlineStr">
        <is>
          <t>KALMAR LÄN</t>
        </is>
      </c>
      <c r="E727" t="inlineStr">
        <is>
          <t>VÄSTERVIK</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53364-2025</t>
        </is>
      </c>
      <c r="B728" s="1" t="n">
        <v>45959.48401620371</v>
      </c>
      <c r="C728" s="1" t="n">
        <v>46159</v>
      </c>
      <c r="D728" t="inlineStr">
        <is>
          <t>KALMAR LÄN</t>
        </is>
      </c>
      <c r="E728" t="inlineStr">
        <is>
          <t>VÄSTERVIK</t>
        </is>
      </c>
      <c r="G728" t="n">
        <v>3.2</v>
      </c>
      <c r="H728" t="n">
        <v>0</v>
      </c>
      <c r="I728" t="n">
        <v>0</v>
      </c>
      <c r="J728" t="n">
        <v>0</v>
      </c>
      <c r="K728" t="n">
        <v>0</v>
      </c>
      <c r="L728" t="n">
        <v>0</v>
      </c>
      <c r="M728" t="n">
        <v>0</v>
      </c>
      <c r="N728" t="n">
        <v>0</v>
      </c>
      <c r="O728" t="n">
        <v>0</v>
      </c>
      <c r="P728" t="n">
        <v>0</v>
      </c>
      <c r="Q728" t="n">
        <v>0</v>
      </c>
      <c r="R728" s="2" t="inlineStr"/>
    </row>
    <row r="729" ht="15" customHeight="1">
      <c r="A729" t="inlineStr">
        <is>
          <t>A 37523-2025</t>
        </is>
      </c>
      <c r="B729" s="1" t="n">
        <v>45877</v>
      </c>
      <c r="C729" s="1" t="n">
        <v>46159</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row>
    <row r="730" ht="15" customHeight="1">
      <c r="A730" t="inlineStr">
        <is>
          <t>A 37526-2025</t>
        </is>
      </c>
      <c r="B730" s="1" t="n">
        <v>45877</v>
      </c>
      <c r="C730" s="1" t="n">
        <v>46159</v>
      </c>
      <c r="D730" t="inlineStr">
        <is>
          <t>KALMAR LÄN</t>
        </is>
      </c>
      <c r="E730" t="inlineStr">
        <is>
          <t>VÄSTERVIK</t>
        </is>
      </c>
      <c r="G730" t="n">
        <v>1.4</v>
      </c>
      <c r="H730" t="n">
        <v>0</v>
      </c>
      <c r="I730" t="n">
        <v>0</v>
      </c>
      <c r="J730" t="n">
        <v>0</v>
      </c>
      <c r="K730" t="n">
        <v>0</v>
      </c>
      <c r="L730" t="n">
        <v>0</v>
      </c>
      <c r="M730" t="n">
        <v>0</v>
      </c>
      <c r="N730" t="n">
        <v>0</v>
      </c>
      <c r="O730" t="n">
        <v>0</v>
      </c>
      <c r="P730" t="n">
        <v>0</v>
      </c>
      <c r="Q730" t="n">
        <v>0</v>
      </c>
      <c r="R730" s="2" t="inlineStr"/>
    </row>
    <row r="731" ht="15" customHeight="1">
      <c r="A731" t="inlineStr">
        <is>
          <t>A 53394-2025</t>
        </is>
      </c>
      <c r="B731" s="1" t="n">
        <v>45959.5534837963</v>
      </c>
      <c r="C731" s="1" t="n">
        <v>46159</v>
      </c>
      <c r="D731" t="inlineStr">
        <is>
          <t>KALMAR LÄN</t>
        </is>
      </c>
      <c r="E731" t="inlineStr">
        <is>
          <t>VÄSTERVIK</t>
        </is>
      </c>
      <c r="G731" t="n">
        <v>0.8</v>
      </c>
      <c r="H731" t="n">
        <v>0</v>
      </c>
      <c r="I731" t="n">
        <v>0</v>
      </c>
      <c r="J731" t="n">
        <v>0</v>
      </c>
      <c r="K731" t="n">
        <v>0</v>
      </c>
      <c r="L731" t="n">
        <v>0</v>
      </c>
      <c r="M731" t="n">
        <v>0</v>
      </c>
      <c r="N731" t="n">
        <v>0</v>
      </c>
      <c r="O731" t="n">
        <v>0</v>
      </c>
      <c r="P731" t="n">
        <v>0</v>
      </c>
      <c r="Q731" t="n">
        <v>0</v>
      </c>
      <c r="R731" s="2" t="inlineStr"/>
    </row>
    <row r="732" ht="15" customHeight="1">
      <c r="A732" t="inlineStr">
        <is>
          <t>A 53366-2025</t>
        </is>
      </c>
      <c r="B732" s="1" t="n">
        <v>45959.48521990741</v>
      </c>
      <c r="C732" s="1" t="n">
        <v>46159</v>
      </c>
      <c r="D732" t="inlineStr">
        <is>
          <t>KALMAR LÄN</t>
        </is>
      </c>
      <c r="E732" t="inlineStr">
        <is>
          <t>VÄSTERVIK</t>
        </is>
      </c>
      <c r="G732" t="n">
        <v>0.8</v>
      </c>
      <c r="H732" t="n">
        <v>0</v>
      </c>
      <c r="I732" t="n">
        <v>0</v>
      </c>
      <c r="J732" t="n">
        <v>0</v>
      </c>
      <c r="K732" t="n">
        <v>0</v>
      </c>
      <c r="L732" t="n">
        <v>0</v>
      </c>
      <c r="M732" t="n">
        <v>0</v>
      </c>
      <c r="N732" t="n">
        <v>0</v>
      </c>
      <c r="O732" t="n">
        <v>0</v>
      </c>
      <c r="P732" t="n">
        <v>0</v>
      </c>
      <c r="Q732" t="n">
        <v>0</v>
      </c>
      <c r="R732" s="2" t="inlineStr"/>
    </row>
    <row r="733" ht="15" customHeight="1">
      <c r="A733" t="inlineStr">
        <is>
          <t>A 53333-2025</t>
        </is>
      </c>
      <c r="B733" s="1" t="n">
        <v>45959.37754629629</v>
      </c>
      <c r="C733" s="1" t="n">
        <v>46159</v>
      </c>
      <c r="D733" t="inlineStr">
        <is>
          <t>KALMAR LÄN</t>
        </is>
      </c>
      <c r="E733" t="inlineStr">
        <is>
          <t>VÄSTERVIK</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7521-2026</t>
        </is>
      </c>
      <c r="B734" s="1" t="n">
        <v>46059.60282407407</v>
      </c>
      <c r="C734" s="1" t="n">
        <v>46159</v>
      </c>
      <c r="D734" t="inlineStr">
        <is>
          <t>KALMAR LÄN</t>
        </is>
      </c>
      <c r="E734" t="inlineStr">
        <is>
          <t>VÄSTERVIK</t>
        </is>
      </c>
      <c r="G734" t="n">
        <v>1.8</v>
      </c>
      <c r="H734" t="n">
        <v>0</v>
      </c>
      <c r="I734" t="n">
        <v>0</v>
      </c>
      <c r="J734" t="n">
        <v>0</v>
      </c>
      <c r="K734" t="n">
        <v>0</v>
      </c>
      <c r="L734" t="n">
        <v>0</v>
      </c>
      <c r="M734" t="n">
        <v>0</v>
      </c>
      <c r="N734" t="n">
        <v>0</v>
      </c>
      <c r="O734" t="n">
        <v>0</v>
      </c>
      <c r="P734" t="n">
        <v>0</v>
      </c>
      <c r="Q734" t="n">
        <v>0</v>
      </c>
      <c r="R734" s="2" t="inlineStr"/>
    </row>
    <row r="735" ht="15" customHeight="1">
      <c r="A735" t="inlineStr">
        <is>
          <t>A 53885-2025</t>
        </is>
      </c>
      <c r="B735" s="1" t="n">
        <v>45961.40505787037</v>
      </c>
      <c r="C735" s="1" t="n">
        <v>46159</v>
      </c>
      <c r="D735" t="inlineStr">
        <is>
          <t>KALMAR LÄN</t>
        </is>
      </c>
      <c r="E735" t="inlineStr">
        <is>
          <t>VÄSTERVIK</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7381-2025</t>
        </is>
      </c>
      <c r="B736" s="1" t="n">
        <v>45705.32234953704</v>
      </c>
      <c r="C736" s="1" t="n">
        <v>46159</v>
      </c>
      <c r="D736" t="inlineStr">
        <is>
          <t>KALMAR LÄN</t>
        </is>
      </c>
      <c r="E736" t="inlineStr">
        <is>
          <t>VÄSTERVIK</t>
        </is>
      </c>
      <c r="F736" t="inlineStr">
        <is>
          <t>Kyrkan</t>
        </is>
      </c>
      <c r="G736" t="n">
        <v>4.1</v>
      </c>
      <c r="H736" t="n">
        <v>0</v>
      </c>
      <c r="I736" t="n">
        <v>0</v>
      </c>
      <c r="J736" t="n">
        <v>0</v>
      </c>
      <c r="K736" t="n">
        <v>0</v>
      </c>
      <c r="L736" t="n">
        <v>0</v>
      </c>
      <c r="M736" t="n">
        <v>0</v>
      </c>
      <c r="N736" t="n">
        <v>0</v>
      </c>
      <c r="O736" t="n">
        <v>0</v>
      </c>
      <c r="P736" t="n">
        <v>0</v>
      </c>
      <c r="Q736" t="n">
        <v>0</v>
      </c>
      <c r="R736" s="2" t="inlineStr"/>
    </row>
    <row r="737" ht="15" customHeight="1">
      <c r="A737" t="inlineStr">
        <is>
          <t>A 53884-2025</t>
        </is>
      </c>
      <c r="B737" s="1" t="n">
        <v>45961.4030787037</v>
      </c>
      <c r="C737" s="1" t="n">
        <v>46159</v>
      </c>
      <c r="D737" t="inlineStr">
        <is>
          <t>KALMAR LÄN</t>
        </is>
      </c>
      <c r="E737" t="inlineStr">
        <is>
          <t>VÄSTERVIK</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17315-2023</t>
        </is>
      </c>
      <c r="B738" s="1" t="n">
        <v>45035.54475694444</v>
      </c>
      <c r="C738" s="1" t="n">
        <v>46159</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14529-2022</t>
        </is>
      </c>
      <c r="B739" s="1" t="n">
        <v>44655</v>
      </c>
      <c r="C739" s="1" t="n">
        <v>46159</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53854-2025</t>
        </is>
      </c>
      <c r="B740" s="1" t="n">
        <v>45961.37491898148</v>
      </c>
      <c r="C740" s="1" t="n">
        <v>46159</v>
      </c>
      <c r="D740" t="inlineStr">
        <is>
          <t>KALMAR LÄN</t>
        </is>
      </c>
      <c r="E740" t="inlineStr">
        <is>
          <t>VÄSTERVIK</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53872-2025</t>
        </is>
      </c>
      <c r="B741" s="1" t="n">
        <v>45961.39266203704</v>
      </c>
      <c r="C741" s="1" t="n">
        <v>46159</v>
      </c>
      <c r="D741" t="inlineStr">
        <is>
          <t>KALMAR LÄN</t>
        </is>
      </c>
      <c r="E741" t="inlineStr">
        <is>
          <t>VÄSTERVIK</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34672-2022</t>
        </is>
      </c>
      <c r="B742" s="1" t="n">
        <v>44795.48444444445</v>
      </c>
      <c r="C742" s="1" t="n">
        <v>46159</v>
      </c>
      <c r="D742" t="inlineStr">
        <is>
          <t>KALMAR LÄN</t>
        </is>
      </c>
      <c r="E742" t="inlineStr">
        <is>
          <t>VÄSTERVIK</t>
        </is>
      </c>
      <c r="G742" t="n">
        <v>1.1</v>
      </c>
      <c r="H742" t="n">
        <v>0</v>
      </c>
      <c r="I742" t="n">
        <v>0</v>
      </c>
      <c r="J742" t="n">
        <v>0</v>
      </c>
      <c r="K742" t="n">
        <v>0</v>
      </c>
      <c r="L742" t="n">
        <v>0</v>
      </c>
      <c r="M742" t="n">
        <v>0</v>
      </c>
      <c r="N742" t="n">
        <v>0</v>
      </c>
      <c r="O742" t="n">
        <v>0</v>
      </c>
      <c r="P742" t="n">
        <v>0</v>
      </c>
      <c r="Q742" t="n">
        <v>0</v>
      </c>
      <c r="R742" s="2" t="inlineStr"/>
    </row>
    <row r="743" ht="15" customHeight="1">
      <c r="A743" t="inlineStr">
        <is>
          <t>A 2866-2025</t>
        </is>
      </c>
      <c r="B743" s="1" t="n">
        <v>45677.67711805556</v>
      </c>
      <c r="C743" s="1" t="n">
        <v>46159</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8066-2026</t>
        </is>
      </c>
      <c r="B744" s="1" t="n">
        <v>46063.63578703703</v>
      </c>
      <c r="C744" s="1" t="n">
        <v>46159</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54567-2025</t>
        </is>
      </c>
      <c r="B745" s="1" t="n">
        <v>45965.67274305555</v>
      </c>
      <c r="C745" s="1" t="n">
        <v>46159</v>
      </c>
      <c r="D745" t="inlineStr">
        <is>
          <t>KALMAR LÄN</t>
        </is>
      </c>
      <c r="E745" t="inlineStr">
        <is>
          <t>VÄSTERVIK</t>
        </is>
      </c>
      <c r="G745" t="n">
        <v>5.7</v>
      </c>
      <c r="H745" t="n">
        <v>0</v>
      </c>
      <c r="I745" t="n">
        <v>0</v>
      </c>
      <c r="J745" t="n">
        <v>0</v>
      </c>
      <c r="K745" t="n">
        <v>0</v>
      </c>
      <c r="L745" t="n">
        <v>0</v>
      </c>
      <c r="M745" t="n">
        <v>0</v>
      </c>
      <c r="N745" t="n">
        <v>0</v>
      </c>
      <c r="O745" t="n">
        <v>0</v>
      </c>
      <c r="P745" t="n">
        <v>0</v>
      </c>
      <c r="Q745" t="n">
        <v>0</v>
      </c>
      <c r="R745" s="2" t="inlineStr"/>
    </row>
    <row r="746" ht="15" customHeight="1">
      <c r="A746" t="inlineStr">
        <is>
          <t>A 42130-2022</t>
        </is>
      </c>
      <c r="B746" s="1" t="n">
        <v>44830</v>
      </c>
      <c r="C746" s="1" t="n">
        <v>46159</v>
      </c>
      <c r="D746" t="inlineStr">
        <is>
          <t>KALMAR LÄN</t>
        </is>
      </c>
      <c r="E746" t="inlineStr">
        <is>
          <t>VÄSTERVIK</t>
        </is>
      </c>
      <c r="G746" t="n">
        <v>1.8</v>
      </c>
      <c r="H746" t="n">
        <v>0</v>
      </c>
      <c r="I746" t="n">
        <v>0</v>
      </c>
      <c r="J746" t="n">
        <v>0</v>
      </c>
      <c r="K746" t="n">
        <v>0</v>
      </c>
      <c r="L746" t="n">
        <v>0</v>
      </c>
      <c r="M746" t="n">
        <v>0</v>
      </c>
      <c r="N746" t="n">
        <v>0</v>
      </c>
      <c r="O746" t="n">
        <v>0</v>
      </c>
      <c r="P746" t="n">
        <v>0</v>
      </c>
      <c r="Q746" t="n">
        <v>0</v>
      </c>
      <c r="R746" s="2" t="inlineStr"/>
    </row>
    <row r="747" ht="15" customHeight="1">
      <c r="A747" t="inlineStr">
        <is>
          <t>A 2951-2025</t>
        </is>
      </c>
      <c r="B747" s="1" t="n">
        <v>45678</v>
      </c>
      <c r="C747" s="1" t="n">
        <v>46159</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12455-2025</t>
        </is>
      </c>
      <c r="B748" s="1" t="n">
        <v>45730</v>
      </c>
      <c r="C748" s="1" t="n">
        <v>46159</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54286-2025</t>
        </is>
      </c>
      <c r="B749" s="1" t="n">
        <v>45964.79894675926</v>
      </c>
      <c r="C749" s="1" t="n">
        <v>46159</v>
      </c>
      <c r="D749" t="inlineStr">
        <is>
          <t>KALMAR LÄN</t>
        </is>
      </c>
      <c r="E749" t="inlineStr">
        <is>
          <t>VÄSTERVIK</t>
        </is>
      </c>
      <c r="F749" t="inlineStr">
        <is>
          <t>Holmen skog AB</t>
        </is>
      </c>
      <c r="G749" t="n">
        <v>5.9</v>
      </c>
      <c r="H749" t="n">
        <v>0</v>
      </c>
      <c r="I749" t="n">
        <v>0</v>
      </c>
      <c r="J749" t="n">
        <v>0</v>
      </c>
      <c r="K749" t="n">
        <v>0</v>
      </c>
      <c r="L749" t="n">
        <v>0</v>
      </c>
      <c r="M749" t="n">
        <v>0</v>
      </c>
      <c r="N749" t="n">
        <v>0</v>
      </c>
      <c r="O749" t="n">
        <v>0</v>
      </c>
      <c r="P749" t="n">
        <v>0</v>
      </c>
      <c r="Q749" t="n">
        <v>0</v>
      </c>
      <c r="R749" s="2" t="inlineStr"/>
    </row>
    <row r="750" ht="15" customHeight="1">
      <c r="A750" t="inlineStr">
        <is>
          <t>A 54290-2025</t>
        </is>
      </c>
      <c r="B750" s="1" t="n">
        <v>45964.81896990741</v>
      </c>
      <c r="C750" s="1" t="n">
        <v>46159</v>
      </c>
      <c r="D750" t="inlineStr">
        <is>
          <t>KALMAR LÄN</t>
        </is>
      </c>
      <c r="E750" t="inlineStr">
        <is>
          <t>VÄSTERVIK</t>
        </is>
      </c>
      <c r="F750" t="inlineStr">
        <is>
          <t>Holmen skog AB</t>
        </is>
      </c>
      <c r="G750" t="n">
        <v>1.2</v>
      </c>
      <c r="H750" t="n">
        <v>0</v>
      </c>
      <c r="I750" t="n">
        <v>0</v>
      </c>
      <c r="J750" t="n">
        <v>0</v>
      </c>
      <c r="K750" t="n">
        <v>0</v>
      </c>
      <c r="L750" t="n">
        <v>0</v>
      </c>
      <c r="M750" t="n">
        <v>0</v>
      </c>
      <c r="N750" t="n">
        <v>0</v>
      </c>
      <c r="O750" t="n">
        <v>0</v>
      </c>
      <c r="P750" t="n">
        <v>0</v>
      </c>
      <c r="Q750" t="n">
        <v>0</v>
      </c>
      <c r="R750" s="2" t="inlineStr"/>
    </row>
    <row r="751" ht="15" customHeight="1">
      <c r="A751" t="inlineStr">
        <is>
          <t>A 54292-2025</t>
        </is>
      </c>
      <c r="B751" s="1" t="n">
        <v>45964.82712962963</v>
      </c>
      <c r="C751" s="1" t="n">
        <v>46159</v>
      </c>
      <c r="D751" t="inlineStr">
        <is>
          <t>KALMAR LÄN</t>
        </is>
      </c>
      <c r="E751" t="inlineStr">
        <is>
          <t>VÄSTERVIK</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46159</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47267-2023</t>
        </is>
      </c>
      <c r="B753" s="1" t="n">
        <v>45202.42667824074</v>
      </c>
      <c r="C753" s="1" t="n">
        <v>46159</v>
      </c>
      <c r="D753" t="inlineStr">
        <is>
          <t>KALMAR LÄN</t>
        </is>
      </c>
      <c r="E753" t="inlineStr">
        <is>
          <t>VÄSTERVIK</t>
        </is>
      </c>
      <c r="G753" t="n">
        <v>0.5</v>
      </c>
      <c r="H753" t="n">
        <v>0</v>
      </c>
      <c r="I753" t="n">
        <v>0</v>
      </c>
      <c r="J753" t="n">
        <v>0</v>
      </c>
      <c r="K753" t="n">
        <v>0</v>
      </c>
      <c r="L753" t="n">
        <v>0</v>
      </c>
      <c r="M753" t="n">
        <v>0</v>
      </c>
      <c r="N753" t="n">
        <v>0</v>
      </c>
      <c r="O753" t="n">
        <v>0</v>
      </c>
      <c r="P753" t="n">
        <v>0</v>
      </c>
      <c r="Q753" t="n">
        <v>0</v>
      </c>
      <c r="R753" s="2" t="inlineStr"/>
    </row>
    <row r="754" ht="15" customHeight="1">
      <c r="A754" t="inlineStr">
        <is>
          <t>A 29404-2024</t>
        </is>
      </c>
      <c r="B754" s="1" t="n">
        <v>45483</v>
      </c>
      <c r="C754" s="1" t="n">
        <v>46159</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8425-2026</t>
        </is>
      </c>
      <c r="B755" s="1" t="n">
        <v>46065.37771990741</v>
      </c>
      <c r="C755" s="1" t="n">
        <v>46159</v>
      </c>
      <c r="D755" t="inlineStr">
        <is>
          <t>KALMAR LÄN</t>
        </is>
      </c>
      <c r="E755" t="inlineStr">
        <is>
          <t>VÄSTERVIK</t>
        </is>
      </c>
      <c r="G755" t="n">
        <v>2.1</v>
      </c>
      <c r="H755" t="n">
        <v>0</v>
      </c>
      <c r="I755" t="n">
        <v>0</v>
      </c>
      <c r="J755" t="n">
        <v>0</v>
      </c>
      <c r="K755" t="n">
        <v>0</v>
      </c>
      <c r="L755" t="n">
        <v>0</v>
      </c>
      <c r="M755" t="n">
        <v>0</v>
      </c>
      <c r="N755" t="n">
        <v>0</v>
      </c>
      <c r="O755" t="n">
        <v>0</v>
      </c>
      <c r="P755" t="n">
        <v>0</v>
      </c>
      <c r="Q755" t="n">
        <v>0</v>
      </c>
      <c r="R755" s="2" t="inlineStr"/>
    </row>
    <row r="756" ht="15" customHeight="1">
      <c r="A756" t="inlineStr">
        <is>
          <t>A 4496-2022</t>
        </is>
      </c>
      <c r="B756" s="1" t="n">
        <v>44589.67060185185</v>
      </c>
      <c r="C756" s="1" t="n">
        <v>46159</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55489-2025</t>
        </is>
      </c>
      <c r="B757" s="1" t="n">
        <v>45971</v>
      </c>
      <c r="C757" s="1" t="n">
        <v>46159</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55184-2025</t>
        </is>
      </c>
      <c r="B758" s="1" t="n">
        <v>45968.53612268518</v>
      </c>
      <c r="C758" s="1" t="n">
        <v>46159</v>
      </c>
      <c r="D758" t="inlineStr">
        <is>
          <t>KALMAR LÄN</t>
        </is>
      </c>
      <c r="E758" t="inlineStr">
        <is>
          <t>VÄSTERVIK</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14080-2025</t>
        </is>
      </c>
      <c r="B759" s="1" t="n">
        <v>45740.43785879629</v>
      </c>
      <c r="C759" s="1" t="n">
        <v>46159</v>
      </c>
      <c r="D759" t="inlineStr">
        <is>
          <t>KALMAR LÄN</t>
        </is>
      </c>
      <c r="E759" t="inlineStr">
        <is>
          <t>VÄSTERVIK</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55557-2025</t>
        </is>
      </c>
      <c r="B760" s="1" t="n">
        <v>45971.6475</v>
      </c>
      <c r="C760" s="1" t="n">
        <v>46159</v>
      </c>
      <c r="D760" t="inlineStr">
        <is>
          <t>KALMAR LÄN</t>
        </is>
      </c>
      <c r="E760" t="inlineStr">
        <is>
          <t>VÄSTERVIK</t>
        </is>
      </c>
      <c r="F760" t="inlineStr">
        <is>
          <t>Holmen skog AB</t>
        </is>
      </c>
      <c r="G760" t="n">
        <v>0.9</v>
      </c>
      <c r="H760" t="n">
        <v>0</v>
      </c>
      <c r="I760" t="n">
        <v>0</v>
      </c>
      <c r="J760" t="n">
        <v>0</v>
      </c>
      <c r="K760" t="n">
        <v>0</v>
      </c>
      <c r="L760" t="n">
        <v>0</v>
      </c>
      <c r="M760" t="n">
        <v>0</v>
      </c>
      <c r="N760" t="n">
        <v>0</v>
      </c>
      <c r="O760" t="n">
        <v>0</v>
      </c>
      <c r="P760" t="n">
        <v>0</v>
      </c>
      <c r="Q760" t="n">
        <v>0</v>
      </c>
      <c r="R760" s="2" t="inlineStr"/>
    </row>
    <row r="761" ht="15" customHeight="1">
      <c r="A761" t="inlineStr">
        <is>
          <t>A 56046-2023</t>
        </is>
      </c>
      <c r="B761" s="1" t="n">
        <v>45240.45217592592</v>
      </c>
      <c r="C761" s="1" t="n">
        <v>46159</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47124-2023</t>
        </is>
      </c>
      <c r="B762" s="1" t="n">
        <v>45201</v>
      </c>
      <c r="C762" s="1" t="n">
        <v>46159</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55152-2025</t>
        </is>
      </c>
      <c r="B763" s="1" t="n">
        <v>45968.4571412037</v>
      </c>
      <c r="C763" s="1" t="n">
        <v>46159</v>
      </c>
      <c r="D763" t="inlineStr">
        <is>
          <t>KALMAR LÄN</t>
        </is>
      </c>
      <c r="E763" t="inlineStr">
        <is>
          <t>VÄSTERVIK</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55737-2025</t>
        </is>
      </c>
      <c r="B764" s="1" t="n">
        <v>45972.56077546296</v>
      </c>
      <c r="C764" s="1" t="n">
        <v>46159</v>
      </c>
      <c r="D764" t="inlineStr">
        <is>
          <t>KALMAR LÄN</t>
        </is>
      </c>
      <c r="E764" t="inlineStr">
        <is>
          <t>VÄSTERVIK</t>
        </is>
      </c>
      <c r="G764" t="n">
        <v>3.7</v>
      </c>
      <c r="H764" t="n">
        <v>0</v>
      </c>
      <c r="I764" t="n">
        <v>0</v>
      </c>
      <c r="J764" t="n">
        <v>0</v>
      </c>
      <c r="K764" t="n">
        <v>0</v>
      </c>
      <c r="L764" t="n">
        <v>0</v>
      </c>
      <c r="M764" t="n">
        <v>0</v>
      </c>
      <c r="N764" t="n">
        <v>0</v>
      </c>
      <c r="O764" t="n">
        <v>0</v>
      </c>
      <c r="P764" t="n">
        <v>0</v>
      </c>
      <c r="Q764" t="n">
        <v>0</v>
      </c>
      <c r="R764" s="2" t="inlineStr"/>
    </row>
    <row r="765" ht="15" customHeight="1">
      <c r="A765" t="inlineStr">
        <is>
          <t>A 46790-2022</t>
        </is>
      </c>
      <c r="B765" s="1" t="n">
        <v>44851</v>
      </c>
      <c r="C765" s="1" t="n">
        <v>46159</v>
      </c>
      <c r="D765" t="inlineStr">
        <is>
          <t>KALMAR LÄN</t>
        </is>
      </c>
      <c r="E765" t="inlineStr">
        <is>
          <t>VÄSTERVIK</t>
        </is>
      </c>
      <c r="G765" t="n">
        <v>9.9</v>
      </c>
      <c r="H765" t="n">
        <v>0</v>
      </c>
      <c r="I765" t="n">
        <v>0</v>
      </c>
      <c r="J765" t="n">
        <v>0</v>
      </c>
      <c r="K765" t="n">
        <v>0</v>
      </c>
      <c r="L765" t="n">
        <v>0</v>
      </c>
      <c r="M765" t="n">
        <v>0</v>
      </c>
      <c r="N765" t="n">
        <v>0</v>
      </c>
      <c r="O765" t="n">
        <v>0</v>
      </c>
      <c r="P765" t="n">
        <v>0</v>
      </c>
      <c r="Q765" t="n">
        <v>0</v>
      </c>
      <c r="R765" s="2" t="inlineStr"/>
    </row>
    <row r="766" ht="15" customHeight="1">
      <c r="A766" t="inlineStr">
        <is>
          <t>A 50127-2023</t>
        </is>
      </c>
      <c r="B766" s="1" t="n">
        <v>45215.65043981482</v>
      </c>
      <c r="C766" s="1" t="n">
        <v>46159</v>
      </c>
      <c r="D766" t="inlineStr">
        <is>
          <t>KALMAR LÄN</t>
        </is>
      </c>
      <c r="E766" t="inlineStr">
        <is>
          <t>VÄSTERVIK</t>
        </is>
      </c>
      <c r="G766" t="n">
        <v>1.2</v>
      </c>
      <c r="H766" t="n">
        <v>0</v>
      </c>
      <c r="I766" t="n">
        <v>0</v>
      </c>
      <c r="J766" t="n">
        <v>0</v>
      </c>
      <c r="K766" t="n">
        <v>0</v>
      </c>
      <c r="L766" t="n">
        <v>0</v>
      </c>
      <c r="M766" t="n">
        <v>0</v>
      </c>
      <c r="N766" t="n">
        <v>0</v>
      </c>
      <c r="O766" t="n">
        <v>0</v>
      </c>
      <c r="P766" t="n">
        <v>0</v>
      </c>
      <c r="Q766" t="n">
        <v>0</v>
      </c>
      <c r="R766" s="2" t="inlineStr"/>
    </row>
    <row r="767" ht="15" customHeight="1">
      <c r="A767" t="inlineStr">
        <is>
          <t>A 15379-2025</t>
        </is>
      </c>
      <c r="B767" s="1" t="n">
        <v>45747.40813657407</v>
      </c>
      <c r="C767" s="1" t="n">
        <v>46159</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56979-2025</t>
        </is>
      </c>
      <c r="B768" s="1" t="n">
        <v>45978.69274305556</v>
      </c>
      <c r="C768" s="1" t="n">
        <v>46159</v>
      </c>
      <c r="D768" t="inlineStr">
        <is>
          <t>KALMAR LÄN</t>
        </is>
      </c>
      <c r="E768" t="inlineStr">
        <is>
          <t>VÄSTERVIK</t>
        </is>
      </c>
      <c r="F768" t="inlineStr">
        <is>
          <t>Holmen skog AB</t>
        </is>
      </c>
      <c r="G768" t="n">
        <v>2.1</v>
      </c>
      <c r="H768" t="n">
        <v>0</v>
      </c>
      <c r="I768" t="n">
        <v>0</v>
      </c>
      <c r="J768" t="n">
        <v>0</v>
      </c>
      <c r="K768" t="n">
        <v>0</v>
      </c>
      <c r="L768" t="n">
        <v>0</v>
      </c>
      <c r="M768" t="n">
        <v>0</v>
      </c>
      <c r="N768" t="n">
        <v>0</v>
      </c>
      <c r="O768" t="n">
        <v>0</v>
      </c>
      <c r="P768" t="n">
        <v>0</v>
      </c>
      <c r="Q768" t="n">
        <v>0</v>
      </c>
      <c r="R768" s="2" t="inlineStr"/>
    </row>
    <row r="769" ht="15" customHeight="1">
      <c r="A769" t="inlineStr">
        <is>
          <t>A 62304-2022</t>
        </is>
      </c>
      <c r="B769" s="1" t="n">
        <v>44923.46215277778</v>
      </c>
      <c r="C769" s="1" t="n">
        <v>46159</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62306-2022</t>
        </is>
      </c>
      <c r="B770" s="1" t="n">
        <v>44923</v>
      </c>
      <c r="C770" s="1" t="n">
        <v>46159</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23080-2023</t>
        </is>
      </c>
      <c r="B771" s="1" t="n">
        <v>45075</v>
      </c>
      <c r="C771" s="1" t="n">
        <v>46159</v>
      </c>
      <c r="D771" t="inlineStr">
        <is>
          <t>KALMAR LÄN</t>
        </is>
      </c>
      <c r="E771" t="inlineStr">
        <is>
          <t>VÄSTERVIK</t>
        </is>
      </c>
      <c r="G771" t="n">
        <v>0.6</v>
      </c>
      <c r="H771" t="n">
        <v>0</v>
      </c>
      <c r="I771" t="n">
        <v>0</v>
      </c>
      <c r="J771" t="n">
        <v>0</v>
      </c>
      <c r="K771" t="n">
        <v>0</v>
      </c>
      <c r="L771" t="n">
        <v>0</v>
      </c>
      <c r="M771" t="n">
        <v>0</v>
      </c>
      <c r="N771" t="n">
        <v>0</v>
      </c>
      <c r="O771" t="n">
        <v>0</v>
      </c>
      <c r="P771" t="n">
        <v>0</v>
      </c>
      <c r="Q771" t="n">
        <v>0</v>
      </c>
      <c r="R771" s="2" t="inlineStr"/>
    </row>
    <row r="772" ht="15" customHeight="1">
      <c r="A772" t="inlineStr">
        <is>
          <t>A 56967-2025</t>
        </is>
      </c>
      <c r="B772" s="1" t="n">
        <v>45978.67582175926</v>
      </c>
      <c r="C772" s="1" t="n">
        <v>46159</v>
      </c>
      <c r="D772" t="inlineStr">
        <is>
          <t>KALMAR LÄN</t>
        </is>
      </c>
      <c r="E772" t="inlineStr">
        <is>
          <t>VÄSTERVIK</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56972-2025</t>
        </is>
      </c>
      <c r="B773" s="1" t="n">
        <v>45978.68155092592</v>
      </c>
      <c r="C773" s="1" t="n">
        <v>46159</v>
      </c>
      <c r="D773" t="inlineStr">
        <is>
          <t>KALMAR LÄN</t>
        </is>
      </c>
      <c r="E773" t="inlineStr">
        <is>
          <t>VÄSTERVIK</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56857-2025</t>
        </is>
      </c>
      <c r="B774" s="1" t="n">
        <v>45978.49924768518</v>
      </c>
      <c r="C774" s="1" t="n">
        <v>46159</v>
      </c>
      <c r="D774" t="inlineStr">
        <is>
          <t>KALMAR LÄN</t>
        </is>
      </c>
      <c r="E774" t="inlineStr">
        <is>
          <t>VÄSTERVIK</t>
        </is>
      </c>
      <c r="F774" t="inlineStr">
        <is>
          <t>Holmen skog AB</t>
        </is>
      </c>
      <c r="G774" t="n">
        <v>5.5</v>
      </c>
      <c r="H774" t="n">
        <v>0</v>
      </c>
      <c r="I774" t="n">
        <v>0</v>
      </c>
      <c r="J774" t="n">
        <v>0</v>
      </c>
      <c r="K774" t="n">
        <v>0</v>
      </c>
      <c r="L774" t="n">
        <v>0</v>
      </c>
      <c r="M774" t="n">
        <v>0</v>
      </c>
      <c r="N774" t="n">
        <v>0</v>
      </c>
      <c r="O774" t="n">
        <v>0</v>
      </c>
      <c r="P774" t="n">
        <v>0</v>
      </c>
      <c r="Q774" t="n">
        <v>0</v>
      </c>
      <c r="R774" s="2" t="inlineStr"/>
    </row>
    <row r="775" ht="15" customHeight="1">
      <c r="A775" t="inlineStr">
        <is>
          <t>A 11741-2023</t>
        </is>
      </c>
      <c r="B775" s="1" t="n">
        <v>44994.58689814815</v>
      </c>
      <c r="C775" s="1" t="n">
        <v>46159</v>
      </c>
      <c r="D775" t="inlineStr">
        <is>
          <t>KALMAR LÄN</t>
        </is>
      </c>
      <c r="E775" t="inlineStr">
        <is>
          <t>VÄSTERVIK</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408-2026</t>
        </is>
      </c>
      <c r="B776" s="1" t="n">
        <v>46028.6896412037</v>
      </c>
      <c r="C776" s="1" t="n">
        <v>46159</v>
      </c>
      <c r="D776" t="inlineStr">
        <is>
          <t>KALMAR LÄN</t>
        </is>
      </c>
      <c r="E776" t="inlineStr">
        <is>
          <t>VÄSTERVIK</t>
        </is>
      </c>
      <c r="G776" t="n">
        <v>4.7</v>
      </c>
      <c r="H776" t="n">
        <v>0</v>
      </c>
      <c r="I776" t="n">
        <v>0</v>
      </c>
      <c r="J776" t="n">
        <v>0</v>
      </c>
      <c r="K776" t="n">
        <v>0</v>
      </c>
      <c r="L776" t="n">
        <v>0</v>
      </c>
      <c r="M776" t="n">
        <v>0</v>
      </c>
      <c r="N776" t="n">
        <v>0</v>
      </c>
      <c r="O776" t="n">
        <v>0</v>
      </c>
      <c r="P776" t="n">
        <v>0</v>
      </c>
      <c r="Q776" t="n">
        <v>0</v>
      </c>
      <c r="R776" s="2" t="inlineStr"/>
    </row>
    <row r="777" ht="15" customHeight="1">
      <c r="A777" t="inlineStr">
        <is>
          <t>A 11120-2025</t>
        </is>
      </c>
      <c r="B777" s="1" t="n">
        <v>45723.63655092593</v>
      </c>
      <c r="C777" s="1" t="n">
        <v>46159</v>
      </c>
      <c r="D777" t="inlineStr">
        <is>
          <t>KALMAR LÄN</t>
        </is>
      </c>
      <c r="E777" t="inlineStr">
        <is>
          <t>VÄSTERVIK</t>
        </is>
      </c>
      <c r="G777" t="n">
        <v>1.1</v>
      </c>
      <c r="H777" t="n">
        <v>0</v>
      </c>
      <c r="I777" t="n">
        <v>0</v>
      </c>
      <c r="J777" t="n">
        <v>0</v>
      </c>
      <c r="K777" t="n">
        <v>0</v>
      </c>
      <c r="L777" t="n">
        <v>0</v>
      </c>
      <c r="M777" t="n">
        <v>0</v>
      </c>
      <c r="N777" t="n">
        <v>0</v>
      </c>
      <c r="O777" t="n">
        <v>0</v>
      </c>
      <c r="P777" t="n">
        <v>0</v>
      </c>
      <c r="Q777" t="n">
        <v>0</v>
      </c>
      <c r="R777" s="2" t="inlineStr"/>
    </row>
    <row r="778" ht="15" customHeight="1">
      <c r="A778" t="inlineStr">
        <is>
          <t>A 11122-2025</t>
        </is>
      </c>
      <c r="B778" s="1" t="n">
        <v>45723.63827546296</v>
      </c>
      <c r="C778" s="1" t="n">
        <v>46159</v>
      </c>
      <c r="D778" t="inlineStr">
        <is>
          <t>KALMAR LÄN</t>
        </is>
      </c>
      <c r="E778" t="inlineStr">
        <is>
          <t>VÄSTERVIK</t>
        </is>
      </c>
      <c r="G778" t="n">
        <v>0.3</v>
      </c>
      <c r="H778" t="n">
        <v>0</v>
      </c>
      <c r="I778" t="n">
        <v>0</v>
      </c>
      <c r="J778" t="n">
        <v>0</v>
      </c>
      <c r="K778" t="n">
        <v>0</v>
      </c>
      <c r="L778" t="n">
        <v>0</v>
      </c>
      <c r="M778" t="n">
        <v>0</v>
      </c>
      <c r="N778" t="n">
        <v>0</v>
      </c>
      <c r="O778" t="n">
        <v>0</v>
      </c>
      <c r="P778" t="n">
        <v>0</v>
      </c>
      <c r="Q778" t="n">
        <v>0</v>
      </c>
      <c r="R778" s="2" t="inlineStr"/>
    </row>
    <row r="779" ht="15" customHeight="1">
      <c r="A779" t="inlineStr">
        <is>
          <t>A 16680-2025</t>
        </is>
      </c>
      <c r="B779" s="1" t="n">
        <v>45754.44952546297</v>
      </c>
      <c r="C779" s="1" t="n">
        <v>46159</v>
      </c>
      <c r="D779" t="inlineStr">
        <is>
          <t>KALMAR LÄN</t>
        </is>
      </c>
      <c r="E779" t="inlineStr">
        <is>
          <t>VÄSTERVIK</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16691-2025</t>
        </is>
      </c>
      <c r="B780" s="1" t="n">
        <v>45754.46086805555</v>
      </c>
      <c r="C780" s="1" t="n">
        <v>46159</v>
      </c>
      <c r="D780" t="inlineStr">
        <is>
          <t>KALMAR LÄN</t>
        </is>
      </c>
      <c r="E780" t="inlineStr">
        <is>
          <t>VÄSTERVIK</t>
        </is>
      </c>
      <c r="F780" t="inlineStr">
        <is>
          <t>Sveaskog</t>
        </is>
      </c>
      <c r="G780" t="n">
        <v>2.8</v>
      </c>
      <c r="H780" t="n">
        <v>0</v>
      </c>
      <c r="I780" t="n">
        <v>0</v>
      </c>
      <c r="J780" t="n">
        <v>0</v>
      </c>
      <c r="K780" t="n">
        <v>0</v>
      </c>
      <c r="L780" t="n">
        <v>0</v>
      </c>
      <c r="M780" t="n">
        <v>0</v>
      </c>
      <c r="N780" t="n">
        <v>0</v>
      </c>
      <c r="O780" t="n">
        <v>0</v>
      </c>
      <c r="P780" t="n">
        <v>0</v>
      </c>
      <c r="Q780" t="n">
        <v>0</v>
      </c>
      <c r="R780" s="2" t="inlineStr"/>
    </row>
    <row r="781" ht="15" customHeight="1">
      <c r="A781" t="inlineStr">
        <is>
          <t>A 8597-2023</t>
        </is>
      </c>
      <c r="B781" s="1" t="n">
        <v>44977</v>
      </c>
      <c r="C781" s="1" t="n">
        <v>46159</v>
      </c>
      <c r="D781" t="inlineStr">
        <is>
          <t>KALMAR LÄN</t>
        </is>
      </c>
      <c r="E781" t="inlineStr">
        <is>
          <t>VÄSTERVIK</t>
        </is>
      </c>
      <c r="G781" t="n">
        <v>0.2</v>
      </c>
      <c r="H781" t="n">
        <v>0</v>
      </c>
      <c r="I781" t="n">
        <v>0</v>
      </c>
      <c r="J781" t="n">
        <v>0</v>
      </c>
      <c r="K781" t="n">
        <v>0</v>
      </c>
      <c r="L781" t="n">
        <v>0</v>
      </c>
      <c r="M781" t="n">
        <v>0</v>
      </c>
      <c r="N781" t="n">
        <v>0</v>
      </c>
      <c r="O781" t="n">
        <v>0</v>
      </c>
      <c r="P781" t="n">
        <v>0</v>
      </c>
      <c r="Q781" t="n">
        <v>0</v>
      </c>
      <c r="R781" s="2" t="inlineStr"/>
    </row>
    <row r="782" ht="15" customHeight="1">
      <c r="A782" t="inlineStr">
        <is>
          <t>A 21831-2023</t>
        </is>
      </c>
      <c r="B782" s="1" t="n">
        <v>45068</v>
      </c>
      <c r="C782" s="1" t="n">
        <v>46159</v>
      </c>
      <c r="D782" t="inlineStr">
        <is>
          <t>KALMAR LÄN</t>
        </is>
      </c>
      <c r="E782" t="inlineStr">
        <is>
          <t>VÄSTERVIK</t>
        </is>
      </c>
      <c r="G782" t="n">
        <v>0.4</v>
      </c>
      <c r="H782" t="n">
        <v>0</v>
      </c>
      <c r="I782" t="n">
        <v>0</v>
      </c>
      <c r="J782" t="n">
        <v>0</v>
      </c>
      <c r="K782" t="n">
        <v>0</v>
      </c>
      <c r="L782" t="n">
        <v>0</v>
      </c>
      <c r="M782" t="n">
        <v>0</v>
      </c>
      <c r="N782" t="n">
        <v>0</v>
      </c>
      <c r="O782" t="n">
        <v>0</v>
      </c>
      <c r="P782" t="n">
        <v>0</v>
      </c>
      <c r="Q782" t="n">
        <v>0</v>
      </c>
      <c r="R782" s="2" t="inlineStr"/>
    </row>
    <row r="783" ht="15" customHeight="1">
      <c r="A783" t="inlineStr">
        <is>
          <t>A 7165-2025</t>
        </is>
      </c>
      <c r="B783" s="1" t="n">
        <v>45702.39491898148</v>
      </c>
      <c r="C783" s="1" t="n">
        <v>46159</v>
      </c>
      <c r="D783" t="inlineStr">
        <is>
          <t>KALMAR LÄN</t>
        </is>
      </c>
      <c r="E783" t="inlineStr">
        <is>
          <t>VÄSTERVIK</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33969-2024</t>
        </is>
      </c>
      <c r="B784" s="1" t="n">
        <v>45523.49450231482</v>
      </c>
      <c r="C784" s="1" t="n">
        <v>46159</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57171-2025</t>
        </is>
      </c>
      <c r="B785" s="1" t="n">
        <v>45979.54754629629</v>
      </c>
      <c r="C785" s="1" t="n">
        <v>46159</v>
      </c>
      <c r="D785" t="inlineStr">
        <is>
          <t>KALMAR LÄN</t>
        </is>
      </c>
      <c r="E785" t="inlineStr">
        <is>
          <t>VÄSTERVIK</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23316-2023</t>
        </is>
      </c>
      <c r="B786" s="1" t="n">
        <v>45076.02563657407</v>
      </c>
      <c r="C786" s="1" t="n">
        <v>46159</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9269-2025</t>
        </is>
      </c>
      <c r="B787" s="1" t="n">
        <v>45714.61543981481</v>
      </c>
      <c r="C787" s="1" t="n">
        <v>46159</v>
      </c>
      <c r="D787" t="inlineStr">
        <is>
          <t>KALMAR LÄN</t>
        </is>
      </c>
      <c r="E787" t="inlineStr">
        <is>
          <t>VÄSTERVIK</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58170-2025</t>
        </is>
      </c>
      <c r="B788" s="1" t="n">
        <v>45982</v>
      </c>
      <c r="C788" s="1" t="n">
        <v>46159</v>
      </c>
      <c r="D788" t="inlineStr">
        <is>
          <t>KALMAR LÄN</t>
        </is>
      </c>
      <c r="E788" t="inlineStr">
        <is>
          <t>VÄSTERVIK</t>
        </is>
      </c>
      <c r="G788" t="n">
        <v>0.9</v>
      </c>
      <c r="H788" t="n">
        <v>0</v>
      </c>
      <c r="I788" t="n">
        <v>0</v>
      </c>
      <c r="J788" t="n">
        <v>0</v>
      </c>
      <c r="K788" t="n">
        <v>0</v>
      </c>
      <c r="L788" t="n">
        <v>0</v>
      </c>
      <c r="M788" t="n">
        <v>0</v>
      </c>
      <c r="N788" t="n">
        <v>0</v>
      </c>
      <c r="O788" t="n">
        <v>0</v>
      </c>
      <c r="P788" t="n">
        <v>0</v>
      </c>
      <c r="Q788" t="n">
        <v>0</v>
      </c>
      <c r="R788" s="2" t="inlineStr"/>
    </row>
    <row r="789" ht="15" customHeight="1">
      <c r="A789" t="inlineStr">
        <is>
          <t>A 5348-2024</t>
        </is>
      </c>
      <c r="B789" s="1" t="n">
        <v>45331</v>
      </c>
      <c r="C789" s="1" t="n">
        <v>46159</v>
      </c>
      <c r="D789" t="inlineStr">
        <is>
          <t>KALMAR LÄN</t>
        </is>
      </c>
      <c r="E789" t="inlineStr">
        <is>
          <t>VÄSTERVIK</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46562-2022</t>
        </is>
      </c>
      <c r="B790" s="1" t="n">
        <v>44848</v>
      </c>
      <c r="C790" s="1" t="n">
        <v>46159</v>
      </c>
      <c r="D790" t="inlineStr">
        <is>
          <t>KALMAR LÄN</t>
        </is>
      </c>
      <c r="E790" t="inlineStr">
        <is>
          <t>VÄSTERVIK</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58096-2025</t>
        </is>
      </c>
      <c r="B791" s="1" t="n">
        <v>45982.5784375</v>
      </c>
      <c r="C791" s="1" t="n">
        <v>46159</v>
      </c>
      <c r="D791" t="inlineStr">
        <is>
          <t>KALMAR LÄN</t>
        </is>
      </c>
      <c r="E791" t="inlineStr">
        <is>
          <t>VÄSTERVIK</t>
        </is>
      </c>
      <c r="F791" t="inlineStr">
        <is>
          <t>Holmen skog AB</t>
        </is>
      </c>
      <c r="G791" t="n">
        <v>2.8</v>
      </c>
      <c r="H791" t="n">
        <v>0</v>
      </c>
      <c r="I791" t="n">
        <v>0</v>
      </c>
      <c r="J791" t="n">
        <v>0</v>
      </c>
      <c r="K791" t="n">
        <v>0</v>
      </c>
      <c r="L791" t="n">
        <v>0</v>
      </c>
      <c r="M791" t="n">
        <v>0</v>
      </c>
      <c r="N791" t="n">
        <v>0</v>
      </c>
      <c r="O791" t="n">
        <v>0</v>
      </c>
      <c r="P791" t="n">
        <v>0</v>
      </c>
      <c r="Q791" t="n">
        <v>0</v>
      </c>
      <c r="R791" s="2" t="inlineStr"/>
    </row>
    <row r="792" ht="15" customHeight="1">
      <c r="A792" t="inlineStr">
        <is>
          <t>A 58118-2025</t>
        </is>
      </c>
      <c r="B792" s="1" t="n">
        <v>45982.60695601852</v>
      </c>
      <c r="C792" s="1" t="n">
        <v>46159</v>
      </c>
      <c r="D792" t="inlineStr">
        <is>
          <t>KALMAR LÄN</t>
        </is>
      </c>
      <c r="E792" t="inlineStr">
        <is>
          <t>VÄSTERVIK</t>
        </is>
      </c>
      <c r="F792" t="inlineStr">
        <is>
          <t>Holmen skog AB</t>
        </is>
      </c>
      <c r="G792" t="n">
        <v>6.7</v>
      </c>
      <c r="H792" t="n">
        <v>0</v>
      </c>
      <c r="I792" t="n">
        <v>0</v>
      </c>
      <c r="J792" t="n">
        <v>0</v>
      </c>
      <c r="K792" t="n">
        <v>0</v>
      </c>
      <c r="L792" t="n">
        <v>0</v>
      </c>
      <c r="M792" t="n">
        <v>0</v>
      </c>
      <c r="N792" t="n">
        <v>0</v>
      </c>
      <c r="O792" t="n">
        <v>0</v>
      </c>
      <c r="P792" t="n">
        <v>0</v>
      </c>
      <c r="Q792" t="n">
        <v>0</v>
      </c>
      <c r="R792" s="2" t="inlineStr"/>
    </row>
    <row r="793" ht="15" customHeight="1">
      <c r="A793" t="inlineStr">
        <is>
          <t>A 32822-2021</t>
        </is>
      </c>
      <c r="B793" s="1" t="n">
        <v>44375</v>
      </c>
      <c r="C793" s="1" t="n">
        <v>46159</v>
      </c>
      <c r="D793" t="inlineStr">
        <is>
          <t>KALMAR LÄN</t>
        </is>
      </c>
      <c r="E793" t="inlineStr">
        <is>
          <t>VÄSTERVIK</t>
        </is>
      </c>
      <c r="G793" t="n">
        <v>5.1</v>
      </c>
      <c r="H793" t="n">
        <v>0</v>
      </c>
      <c r="I793" t="n">
        <v>0</v>
      </c>
      <c r="J793" t="n">
        <v>0</v>
      </c>
      <c r="K793" t="n">
        <v>0</v>
      </c>
      <c r="L793" t="n">
        <v>0</v>
      </c>
      <c r="M793" t="n">
        <v>0</v>
      </c>
      <c r="N793" t="n">
        <v>0</v>
      </c>
      <c r="O793" t="n">
        <v>0</v>
      </c>
      <c r="P793" t="n">
        <v>0</v>
      </c>
      <c r="Q793" t="n">
        <v>0</v>
      </c>
      <c r="R793" s="2" t="inlineStr"/>
    </row>
    <row r="794" ht="15" customHeight="1">
      <c r="A794" t="inlineStr">
        <is>
          <t>A 58360-2025</t>
        </is>
      </c>
      <c r="B794" s="1" t="n">
        <v>45985.51743055556</v>
      </c>
      <c r="C794" s="1" t="n">
        <v>46159</v>
      </c>
      <c r="D794" t="inlineStr">
        <is>
          <t>KALMAR LÄN</t>
        </is>
      </c>
      <c r="E794" t="inlineStr">
        <is>
          <t>VÄSTERVIK</t>
        </is>
      </c>
      <c r="G794" t="n">
        <v>0.5</v>
      </c>
      <c r="H794" t="n">
        <v>0</v>
      </c>
      <c r="I794" t="n">
        <v>0</v>
      </c>
      <c r="J794" t="n">
        <v>0</v>
      </c>
      <c r="K794" t="n">
        <v>0</v>
      </c>
      <c r="L794" t="n">
        <v>0</v>
      </c>
      <c r="M794" t="n">
        <v>0</v>
      </c>
      <c r="N794" t="n">
        <v>0</v>
      </c>
      <c r="O794" t="n">
        <v>0</v>
      </c>
      <c r="P794" t="n">
        <v>0</v>
      </c>
      <c r="Q794" t="n">
        <v>0</v>
      </c>
      <c r="R794" s="2" t="inlineStr"/>
    </row>
    <row r="795" ht="15" customHeight="1">
      <c r="A795" t="inlineStr">
        <is>
          <t>A 16692-2025</t>
        </is>
      </c>
      <c r="B795" s="1" t="n">
        <v>45754.4621412037</v>
      </c>
      <c r="C795" s="1" t="n">
        <v>46159</v>
      </c>
      <c r="D795" t="inlineStr">
        <is>
          <t>KALMAR LÄN</t>
        </is>
      </c>
      <c r="E795" t="inlineStr">
        <is>
          <t>VÄSTERVIK</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54569-2023</t>
        </is>
      </c>
      <c r="B796" s="1" t="n">
        <v>45233.65532407408</v>
      </c>
      <c r="C796" s="1" t="n">
        <v>46159</v>
      </c>
      <c r="D796" t="inlineStr">
        <is>
          <t>KALMAR LÄN</t>
        </is>
      </c>
      <c r="E796" t="inlineStr">
        <is>
          <t>VÄSTERVIK</t>
        </is>
      </c>
      <c r="F796" t="inlineStr">
        <is>
          <t>Holmen skog AB</t>
        </is>
      </c>
      <c r="G796" t="n">
        <v>1.4</v>
      </c>
      <c r="H796" t="n">
        <v>0</v>
      </c>
      <c r="I796" t="n">
        <v>0</v>
      </c>
      <c r="J796" t="n">
        <v>0</v>
      </c>
      <c r="K796" t="n">
        <v>0</v>
      </c>
      <c r="L796" t="n">
        <v>0</v>
      </c>
      <c r="M796" t="n">
        <v>0</v>
      </c>
      <c r="N796" t="n">
        <v>0</v>
      </c>
      <c r="O796" t="n">
        <v>0</v>
      </c>
      <c r="P796" t="n">
        <v>0</v>
      </c>
      <c r="Q796" t="n">
        <v>0</v>
      </c>
      <c r="R796" s="2" t="inlineStr"/>
      <c r="U796">
        <f>HYPERLINK("https://klasma.github.io/Logging_0883/knärot/A 54569-2023 karta knärot.png", "A 54569-2023")</f>
        <v/>
      </c>
      <c r="V796">
        <f>HYPERLINK("https://klasma.github.io/Logging_0883/klagomål/A 54569-2023 FSC-klagomål.docx", "A 54569-2023")</f>
        <v/>
      </c>
      <c r="W796">
        <f>HYPERLINK("https://klasma.github.io/Logging_0883/klagomålsmail/A 54569-2023 FSC-klagomål mail.docx", "A 54569-2023")</f>
        <v/>
      </c>
      <c r="X796">
        <f>HYPERLINK("https://klasma.github.io/Logging_0883/tillsyn/A 54569-2023 tillsynsbegäran.docx", "A 54569-2023")</f>
        <v/>
      </c>
      <c r="Y796">
        <f>HYPERLINK("https://klasma.github.io/Logging_0883/tillsynsmail/A 54569-2023 tillsynsbegäran mail.docx", "A 54569-2023")</f>
        <v/>
      </c>
    </row>
    <row r="797" ht="15" customHeight="1">
      <c r="A797" t="inlineStr">
        <is>
          <t>A 58700-2025</t>
        </is>
      </c>
      <c r="B797" s="1" t="n">
        <v>45986.59064814815</v>
      </c>
      <c r="C797" s="1" t="n">
        <v>46159</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58338-2025</t>
        </is>
      </c>
      <c r="B798" s="1" t="n">
        <v>45985.48965277777</v>
      </c>
      <c r="C798" s="1" t="n">
        <v>46159</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58349-2025</t>
        </is>
      </c>
      <c r="B799" s="1" t="n">
        <v>45985.50574074074</v>
      </c>
      <c r="C799" s="1" t="n">
        <v>46159</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58771-2025</t>
        </is>
      </c>
      <c r="B800" s="1" t="n">
        <v>45986.68908564815</v>
      </c>
      <c r="C800" s="1" t="n">
        <v>46159</v>
      </c>
      <c r="D800" t="inlineStr">
        <is>
          <t>KALMAR LÄN</t>
        </is>
      </c>
      <c r="E800" t="inlineStr">
        <is>
          <t>VÄSTERVIK</t>
        </is>
      </c>
      <c r="F800" t="inlineStr">
        <is>
          <t>Holmen skog AB</t>
        </is>
      </c>
      <c r="G800" t="n">
        <v>0.5</v>
      </c>
      <c r="H800" t="n">
        <v>0</v>
      </c>
      <c r="I800" t="n">
        <v>0</v>
      </c>
      <c r="J800" t="n">
        <v>0</v>
      </c>
      <c r="K800" t="n">
        <v>0</v>
      </c>
      <c r="L800" t="n">
        <v>0</v>
      </c>
      <c r="M800" t="n">
        <v>0</v>
      </c>
      <c r="N800" t="n">
        <v>0</v>
      </c>
      <c r="O800" t="n">
        <v>0</v>
      </c>
      <c r="P800" t="n">
        <v>0</v>
      </c>
      <c r="Q800" t="n">
        <v>0</v>
      </c>
      <c r="R800" s="2" t="inlineStr"/>
    </row>
    <row r="801" ht="15" customHeight="1">
      <c r="A801" t="inlineStr">
        <is>
          <t>A 58370-2025</t>
        </is>
      </c>
      <c r="B801" s="1" t="n">
        <v>45985.53002314815</v>
      </c>
      <c r="C801" s="1" t="n">
        <v>46159</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10725-2023</t>
        </is>
      </c>
      <c r="B802" s="1" t="n">
        <v>44988.66966435185</v>
      </c>
      <c r="C802" s="1" t="n">
        <v>46159</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7360-2023</t>
        </is>
      </c>
      <c r="B803" s="1" t="n">
        <v>44971</v>
      </c>
      <c r="C803" s="1" t="n">
        <v>46159</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17306-2023</t>
        </is>
      </c>
      <c r="B804" s="1" t="n">
        <v>45035</v>
      </c>
      <c r="C804" s="1" t="n">
        <v>46159</v>
      </c>
      <c r="D804" t="inlineStr">
        <is>
          <t>KALMAR LÄN</t>
        </is>
      </c>
      <c r="E804" t="inlineStr">
        <is>
          <t>VÄSTERVIK</t>
        </is>
      </c>
      <c r="G804" t="n">
        <v>4.3</v>
      </c>
      <c r="H804" t="n">
        <v>0</v>
      </c>
      <c r="I804" t="n">
        <v>0</v>
      </c>
      <c r="J804" t="n">
        <v>0</v>
      </c>
      <c r="K804" t="n">
        <v>0</v>
      </c>
      <c r="L804" t="n">
        <v>0</v>
      </c>
      <c r="M804" t="n">
        <v>0</v>
      </c>
      <c r="N804" t="n">
        <v>0</v>
      </c>
      <c r="O804" t="n">
        <v>0</v>
      </c>
      <c r="P804" t="n">
        <v>0</v>
      </c>
      <c r="Q804" t="n">
        <v>0</v>
      </c>
      <c r="R804" s="2" t="inlineStr"/>
    </row>
    <row r="805" ht="15" customHeight="1">
      <c r="A805" t="inlineStr">
        <is>
          <t>A 23317-2023</t>
        </is>
      </c>
      <c r="B805" s="1" t="n">
        <v>45076</v>
      </c>
      <c r="C805" s="1" t="n">
        <v>46159</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58377-2025</t>
        </is>
      </c>
      <c r="B806" s="1" t="n">
        <v>45985.53223379629</v>
      </c>
      <c r="C806" s="1" t="n">
        <v>46159</v>
      </c>
      <c r="D806" t="inlineStr">
        <is>
          <t>KALMAR LÄN</t>
        </is>
      </c>
      <c r="E806" t="inlineStr">
        <is>
          <t>VÄSTERVIK</t>
        </is>
      </c>
      <c r="G806" t="n">
        <v>0.6</v>
      </c>
      <c r="H806" t="n">
        <v>0</v>
      </c>
      <c r="I806" t="n">
        <v>0</v>
      </c>
      <c r="J806" t="n">
        <v>0</v>
      </c>
      <c r="K806" t="n">
        <v>0</v>
      </c>
      <c r="L806" t="n">
        <v>0</v>
      </c>
      <c r="M806" t="n">
        <v>0</v>
      </c>
      <c r="N806" t="n">
        <v>0</v>
      </c>
      <c r="O806" t="n">
        <v>0</v>
      </c>
      <c r="P806" t="n">
        <v>0</v>
      </c>
      <c r="Q806" t="n">
        <v>0</v>
      </c>
      <c r="R806" s="2" t="inlineStr"/>
    </row>
    <row r="807" ht="15" customHeight="1">
      <c r="A807" t="inlineStr">
        <is>
          <t>A 58677-2025</t>
        </is>
      </c>
      <c r="B807" s="1" t="n">
        <v>45986.56268518518</v>
      </c>
      <c r="C807" s="1" t="n">
        <v>46159</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58778-2025</t>
        </is>
      </c>
      <c r="B808" s="1" t="n">
        <v>45986.70459490741</v>
      </c>
      <c r="C808" s="1" t="n">
        <v>46159</v>
      </c>
      <c r="D808" t="inlineStr">
        <is>
          <t>KALMAR LÄN</t>
        </is>
      </c>
      <c r="E808" t="inlineStr">
        <is>
          <t>VÄSTERVIK</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2543-2024</t>
        </is>
      </c>
      <c r="B809" s="1" t="n">
        <v>45313</v>
      </c>
      <c r="C809" s="1" t="n">
        <v>46159</v>
      </c>
      <c r="D809" t="inlineStr">
        <is>
          <t>KALMAR LÄN</t>
        </is>
      </c>
      <c r="E809" t="inlineStr">
        <is>
          <t>VÄSTERVIK</t>
        </is>
      </c>
      <c r="G809" t="n">
        <v>1.4</v>
      </c>
      <c r="H809" t="n">
        <v>0</v>
      </c>
      <c r="I809" t="n">
        <v>0</v>
      </c>
      <c r="J809" t="n">
        <v>0</v>
      </c>
      <c r="K809" t="n">
        <v>0</v>
      </c>
      <c r="L809" t="n">
        <v>0</v>
      </c>
      <c r="M809" t="n">
        <v>0</v>
      </c>
      <c r="N809" t="n">
        <v>0</v>
      </c>
      <c r="O809" t="n">
        <v>0</v>
      </c>
      <c r="P809" t="n">
        <v>0</v>
      </c>
      <c r="Q809" t="n">
        <v>0</v>
      </c>
      <c r="R809" s="2" t="inlineStr"/>
    </row>
    <row r="810" ht="15" customHeight="1">
      <c r="A810" t="inlineStr">
        <is>
          <t>A 58367-2025</t>
        </is>
      </c>
      <c r="B810" s="1" t="n">
        <v>45985.52637731482</v>
      </c>
      <c r="C810" s="1" t="n">
        <v>46159</v>
      </c>
      <c r="D810" t="inlineStr">
        <is>
          <t>KALMAR LÄN</t>
        </is>
      </c>
      <c r="E810" t="inlineStr">
        <is>
          <t>VÄSTERVIK</t>
        </is>
      </c>
      <c r="G810" t="n">
        <v>2.2</v>
      </c>
      <c r="H810" t="n">
        <v>0</v>
      </c>
      <c r="I810" t="n">
        <v>0</v>
      </c>
      <c r="J810" t="n">
        <v>0</v>
      </c>
      <c r="K810" t="n">
        <v>0</v>
      </c>
      <c r="L810" t="n">
        <v>0</v>
      </c>
      <c r="M810" t="n">
        <v>0</v>
      </c>
      <c r="N810" t="n">
        <v>0</v>
      </c>
      <c r="O810" t="n">
        <v>0</v>
      </c>
      <c r="P810" t="n">
        <v>0</v>
      </c>
      <c r="Q810" t="n">
        <v>0</v>
      </c>
      <c r="R810" s="2" t="inlineStr"/>
    </row>
    <row r="811" ht="15" customHeight="1">
      <c r="A811" t="inlineStr">
        <is>
          <t>A 9220-2023</t>
        </is>
      </c>
      <c r="B811" s="1" t="n">
        <v>44980.52182870371</v>
      </c>
      <c r="C811" s="1" t="n">
        <v>46159</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59216-2025</t>
        </is>
      </c>
      <c r="B812" s="1" t="n">
        <v>45988.61649305555</v>
      </c>
      <c r="C812" s="1" t="n">
        <v>46159</v>
      </c>
      <c r="D812" t="inlineStr">
        <is>
          <t>KALMAR LÄN</t>
        </is>
      </c>
      <c r="E812" t="inlineStr">
        <is>
          <t>VÄSTERVIK</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59045-2025</t>
        </is>
      </c>
      <c r="B813" s="1" t="n">
        <v>45988.37289351852</v>
      </c>
      <c r="C813" s="1" t="n">
        <v>46159</v>
      </c>
      <c r="D813" t="inlineStr">
        <is>
          <t>KALMAR LÄN</t>
        </is>
      </c>
      <c r="E813" t="inlineStr">
        <is>
          <t>VÄSTERVIK</t>
        </is>
      </c>
      <c r="F813" t="inlineStr">
        <is>
          <t>Kyrkan</t>
        </is>
      </c>
      <c r="G813" t="n">
        <v>6.9</v>
      </c>
      <c r="H813" t="n">
        <v>0</v>
      </c>
      <c r="I813" t="n">
        <v>0</v>
      </c>
      <c r="J813" t="n">
        <v>0</v>
      </c>
      <c r="K813" t="n">
        <v>0</v>
      </c>
      <c r="L813" t="n">
        <v>0</v>
      </c>
      <c r="M813" t="n">
        <v>0</v>
      </c>
      <c r="N813" t="n">
        <v>0</v>
      </c>
      <c r="O813" t="n">
        <v>0</v>
      </c>
      <c r="P813" t="n">
        <v>0</v>
      </c>
      <c r="Q813" t="n">
        <v>0</v>
      </c>
      <c r="R813" s="2" t="inlineStr"/>
    </row>
    <row r="814" ht="15" customHeight="1">
      <c r="A814" t="inlineStr">
        <is>
          <t>A 19950-2025</t>
        </is>
      </c>
      <c r="B814" s="1" t="n">
        <v>45771.65724537037</v>
      </c>
      <c r="C814" s="1" t="n">
        <v>46159</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36418-2023</t>
        </is>
      </c>
      <c r="B815" s="1" t="n">
        <v>45152</v>
      </c>
      <c r="C815" s="1" t="n">
        <v>46159</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c r="U815">
        <f>HYPERLINK("https://klasma.github.io/Logging_0883/knärot/A 36418-2023 karta knärot.png", "A 36418-2023")</f>
        <v/>
      </c>
      <c r="V815">
        <f>HYPERLINK("https://klasma.github.io/Logging_0883/klagomål/A 36418-2023 FSC-klagomål.docx", "A 36418-2023")</f>
        <v/>
      </c>
      <c r="W815">
        <f>HYPERLINK("https://klasma.github.io/Logging_0883/klagomålsmail/A 36418-2023 FSC-klagomål mail.docx", "A 36418-2023")</f>
        <v/>
      </c>
      <c r="X815">
        <f>HYPERLINK("https://klasma.github.io/Logging_0883/tillsyn/A 36418-2023 tillsynsbegäran.docx", "A 36418-2023")</f>
        <v/>
      </c>
      <c r="Y815">
        <f>HYPERLINK("https://klasma.github.io/Logging_0883/tillsynsmail/A 36418-2023 tillsynsbegäran mail.docx", "A 36418-2023")</f>
        <v/>
      </c>
    </row>
    <row r="816" ht="15" customHeight="1">
      <c r="A816" t="inlineStr">
        <is>
          <t>A 59189-2025</t>
        </is>
      </c>
      <c r="B816" s="1" t="n">
        <v>45988.5893287037</v>
      </c>
      <c r="C816" s="1" t="n">
        <v>46159</v>
      </c>
      <c r="D816" t="inlineStr">
        <is>
          <t>KALMAR LÄN</t>
        </is>
      </c>
      <c r="E816" t="inlineStr">
        <is>
          <t>VÄSTERVIK</t>
        </is>
      </c>
      <c r="F816" t="inlineStr">
        <is>
          <t>Holmen skog AB</t>
        </is>
      </c>
      <c r="G816" t="n">
        <v>3.6</v>
      </c>
      <c r="H816" t="n">
        <v>0</v>
      </c>
      <c r="I816" t="n">
        <v>0</v>
      </c>
      <c r="J816" t="n">
        <v>0</v>
      </c>
      <c r="K816" t="n">
        <v>0</v>
      </c>
      <c r="L816" t="n">
        <v>0</v>
      </c>
      <c r="M816" t="n">
        <v>0</v>
      </c>
      <c r="N816" t="n">
        <v>0</v>
      </c>
      <c r="O816" t="n">
        <v>0</v>
      </c>
      <c r="P816" t="n">
        <v>0</v>
      </c>
      <c r="Q816" t="n">
        <v>0</v>
      </c>
      <c r="R816" s="2" t="inlineStr"/>
    </row>
    <row r="817" ht="15" customHeight="1">
      <c r="A817" t="inlineStr">
        <is>
          <t>A 34646-2023</t>
        </is>
      </c>
      <c r="B817" s="1" t="n">
        <v>45140</v>
      </c>
      <c r="C817" s="1" t="n">
        <v>46159</v>
      </c>
      <c r="D817" t="inlineStr">
        <is>
          <t>KALMAR LÄN</t>
        </is>
      </c>
      <c r="E817" t="inlineStr">
        <is>
          <t>VÄSTERVIK</t>
        </is>
      </c>
      <c r="G817" t="n">
        <v>3.1</v>
      </c>
      <c r="H817" t="n">
        <v>0</v>
      </c>
      <c r="I817" t="n">
        <v>0</v>
      </c>
      <c r="J817" t="n">
        <v>0</v>
      </c>
      <c r="K817" t="n">
        <v>0</v>
      </c>
      <c r="L817" t="n">
        <v>0</v>
      </c>
      <c r="M817" t="n">
        <v>0</v>
      </c>
      <c r="N817" t="n">
        <v>0</v>
      </c>
      <c r="O817" t="n">
        <v>0</v>
      </c>
      <c r="P817" t="n">
        <v>0</v>
      </c>
      <c r="Q817" t="n">
        <v>0</v>
      </c>
      <c r="R817" s="2" t="inlineStr"/>
    </row>
    <row r="818" ht="15" customHeight="1">
      <c r="A818" t="inlineStr">
        <is>
          <t>A 37033-2021</t>
        </is>
      </c>
      <c r="B818" s="1" t="n">
        <v>44393</v>
      </c>
      <c r="C818" s="1" t="n">
        <v>46159</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row>
    <row r="819" ht="15" customHeight="1">
      <c r="A819" t="inlineStr">
        <is>
          <t>A 59093-2025</t>
        </is>
      </c>
      <c r="B819" s="1" t="n">
        <v>45988.44945601852</v>
      </c>
      <c r="C819" s="1" t="n">
        <v>46159</v>
      </c>
      <c r="D819" t="inlineStr">
        <is>
          <t>KALMAR LÄN</t>
        </is>
      </c>
      <c r="E819" t="inlineStr">
        <is>
          <t>VÄSTERVIK</t>
        </is>
      </c>
      <c r="F819" t="inlineStr">
        <is>
          <t>Kyrkan</t>
        </is>
      </c>
      <c r="G819" t="n">
        <v>1.4</v>
      </c>
      <c r="H819" t="n">
        <v>0</v>
      </c>
      <c r="I819" t="n">
        <v>0</v>
      </c>
      <c r="J819" t="n">
        <v>0</v>
      </c>
      <c r="K819" t="n">
        <v>0</v>
      </c>
      <c r="L819" t="n">
        <v>0</v>
      </c>
      <c r="M819" t="n">
        <v>0</v>
      </c>
      <c r="N819" t="n">
        <v>0</v>
      </c>
      <c r="O819" t="n">
        <v>0</v>
      </c>
      <c r="P819" t="n">
        <v>0</v>
      </c>
      <c r="Q819" t="n">
        <v>0</v>
      </c>
      <c r="R819" s="2" t="inlineStr"/>
    </row>
    <row r="820" ht="15" customHeight="1">
      <c r="A820" t="inlineStr">
        <is>
          <t>A 59187-2025</t>
        </is>
      </c>
      <c r="B820" s="1" t="n">
        <v>45988.58630787037</v>
      </c>
      <c r="C820" s="1" t="n">
        <v>46159</v>
      </c>
      <c r="D820" t="inlineStr">
        <is>
          <t>KALMAR LÄN</t>
        </is>
      </c>
      <c r="E820" t="inlineStr">
        <is>
          <t>VÄSTERVIK</t>
        </is>
      </c>
      <c r="G820" t="n">
        <v>1.6</v>
      </c>
      <c r="H820" t="n">
        <v>0</v>
      </c>
      <c r="I820" t="n">
        <v>0</v>
      </c>
      <c r="J820" t="n">
        <v>0</v>
      </c>
      <c r="K820" t="n">
        <v>0</v>
      </c>
      <c r="L820" t="n">
        <v>0</v>
      </c>
      <c r="M820" t="n">
        <v>0</v>
      </c>
      <c r="N820" t="n">
        <v>0</v>
      </c>
      <c r="O820" t="n">
        <v>0</v>
      </c>
      <c r="P820" t="n">
        <v>0</v>
      </c>
      <c r="Q820" t="n">
        <v>0</v>
      </c>
      <c r="R820" s="2" t="inlineStr"/>
    </row>
    <row r="821" ht="15" customHeight="1">
      <c r="A821" t="inlineStr">
        <is>
          <t>A 58707-2022</t>
        </is>
      </c>
      <c r="B821" s="1" t="n">
        <v>44902.80462962963</v>
      </c>
      <c r="C821" s="1" t="n">
        <v>46159</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65-2023</t>
        </is>
      </c>
      <c r="B822" s="1" t="n">
        <v>44928.44431712963</v>
      </c>
      <c r="C822" s="1" t="n">
        <v>46159</v>
      </c>
      <c r="D822" t="inlineStr">
        <is>
          <t>KALMAR LÄN</t>
        </is>
      </c>
      <c r="E822" t="inlineStr">
        <is>
          <t>VÄSTERVIK</t>
        </is>
      </c>
      <c r="G822" t="n">
        <v>1.8</v>
      </c>
      <c r="H822" t="n">
        <v>0</v>
      </c>
      <c r="I822" t="n">
        <v>0</v>
      </c>
      <c r="J822" t="n">
        <v>0</v>
      </c>
      <c r="K822" t="n">
        <v>0</v>
      </c>
      <c r="L822" t="n">
        <v>0</v>
      </c>
      <c r="M822" t="n">
        <v>0</v>
      </c>
      <c r="N822" t="n">
        <v>0</v>
      </c>
      <c r="O822" t="n">
        <v>0</v>
      </c>
      <c r="P822" t="n">
        <v>0</v>
      </c>
      <c r="Q822" t="n">
        <v>0</v>
      </c>
      <c r="R822" s="2" t="inlineStr"/>
    </row>
    <row r="823" ht="15" customHeight="1">
      <c r="A823" t="inlineStr">
        <is>
          <t>A 25714-2023</t>
        </is>
      </c>
      <c r="B823" s="1" t="n">
        <v>45089</v>
      </c>
      <c r="C823" s="1" t="n">
        <v>46159</v>
      </c>
      <c r="D823" t="inlineStr">
        <is>
          <t>KALMAR LÄN</t>
        </is>
      </c>
      <c r="E823" t="inlineStr">
        <is>
          <t>VÄSTERVIK</t>
        </is>
      </c>
      <c r="G823" t="n">
        <v>10.5</v>
      </c>
      <c r="H823" t="n">
        <v>0</v>
      </c>
      <c r="I823" t="n">
        <v>0</v>
      </c>
      <c r="J823" t="n">
        <v>0</v>
      </c>
      <c r="K823" t="n">
        <v>0</v>
      </c>
      <c r="L823" t="n">
        <v>0</v>
      </c>
      <c r="M823" t="n">
        <v>0</v>
      </c>
      <c r="N823" t="n">
        <v>0</v>
      </c>
      <c r="O823" t="n">
        <v>0</v>
      </c>
      <c r="P823" t="n">
        <v>0</v>
      </c>
      <c r="Q823" t="n">
        <v>0</v>
      </c>
      <c r="R823" s="2" t="inlineStr"/>
    </row>
    <row r="824" ht="15" customHeight="1">
      <c r="A824" t="inlineStr">
        <is>
          <t>A 45202-2023</t>
        </is>
      </c>
      <c r="B824" s="1" t="n">
        <v>45191</v>
      </c>
      <c r="C824" s="1" t="n">
        <v>46159</v>
      </c>
      <c r="D824" t="inlineStr">
        <is>
          <t>KALMAR LÄN</t>
        </is>
      </c>
      <c r="E824" t="inlineStr">
        <is>
          <t>VÄSTERVIK</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52845-2023</t>
        </is>
      </c>
      <c r="B825" s="1" t="n">
        <v>45226.43667824074</v>
      </c>
      <c r="C825" s="1" t="n">
        <v>46159</v>
      </c>
      <c r="D825" t="inlineStr">
        <is>
          <t>KALMAR LÄN</t>
        </is>
      </c>
      <c r="E825" t="inlineStr">
        <is>
          <t>VÄSTERVIK</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60178-2025</t>
        </is>
      </c>
      <c r="B826" s="1" t="n">
        <v>45994.45673611111</v>
      </c>
      <c r="C826" s="1" t="n">
        <v>46159</v>
      </c>
      <c r="D826" t="inlineStr">
        <is>
          <t>KALMAR LÄN</t>
        </is>
      </c>
      <c r="E826" t="inlineStr">
        <is>
          <t>VÄSTERVIK</t>
        </is>
      </c>
      <c r="G826" t="n">
        <v>1.4</v>
      </c>
      <c r="H826" t="n">
        <v>0</v>
      </c>
      <c r="I826" t="n">
        <v>0</v>
      </c>
      <c r="J826" t="n">
        <v>0</v>
      </c>
      <c r="K826" t="n">
        <v>0</v>
      </c>
      <c r="L826" t="n">
        <v>0</v>
      </c>
      <c r="M826" t="n">
        <v>0</v>
      </c>
      <c r="N826" t="n">
        <v>0</v>
      </c>
      <c r="O826" t="n">
        <v>0</v>
      </c>
      <c r="P826" t="n">
        <v>0</v>
      </c>
      <c r="Q826" t="n">
        <v>0</v>
      </c>
      <c r="R826" s="2" t="inlineStr"/>
    </row>
    <row r="827" ht="15" customHeight="1">
      <c r="A827" t="inlineStr">
        <is>
          <t>A 14114-2025</t>
        </is>
      </c>
      <c r="B827" s="1" t="n">
        <v>45740.45964120371</v>
      </c>
      <c r="C827" s="1" t="n">
        <v>46159</v>
      </c>
      <c r="D827" t="inlineStr">
        <is>
          <t>KALMAR LÄN</t>
        </is>
      </c>
      <c r="E827" t="inlineStr">
        <is>
          <t>VÄSTERVIK</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25488-2023</t>
        </is>
      </c>
      <c r="B828" s="1" t="n">
        <v>45089</v>
      </c>
      <c r="C828" s="1" t="n">
        <v>46159</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14212-2022</t>
        </is>
      </c>
      <c r="B829" s="1" t="n">
        <v>44651</v>
      </c>
      <c r="C829" s="1" t="n">
        <v>46159</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14105-2025</t>
        </is>
      </c>
      <c r="B830" s="1" t="n">
        <v>45740.45425925926</v>
      </c>
      <c r="C830" s="1" t="n">
        <v>46159</v>
      </c>
      <c r="D830" t="inlineStr">
        <is>
          <t>KALMAR LÄN</t>
        </is>
      </c>
      <c r="E830" t="inlineStr">
        <is>
          <t>VÄSTERVIK</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14109-2025</t>
        </is>
      </c>
      <c r="B831" s="1" t="n">
        <v>45740.45748842593</v>
      </c>
      <c r="C831" s="1" t="n">
        <v>46159</v>
      </c>
      <c r="D831" t="inlineStr">
        <is>
          <t>KALMAR LÄN</t>
        </is>
      </c>
      <c r="E831" t="inlineStr">
        <is>
          <t>VÄSTERVIK</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28894-2023</t>
        </is>
      </c>
      <c r="B832" s="1" t="n">
        <v>45104.49659722222</v>
      </c>
      <c r="C832" s="1" t="n">
        <v>46159</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60785-2025</t>
        </is>
      </c>
      <c r="B833" s="1" t="n">
        <v>45999.40421296296</v>
      </c>
      <c r="C833" s="1" t="n">
        <v>46159</v>
      </c>
      <c r="D833" t="inlineStr">
        <is>
          <t>KALMAR LÄN</t>
        </is>
      </c>
      <c r="E833" t="inlineStr">
        <is>
          <t>VÄSTERVIK</t>
        </is>
      </c>
      <c r="G833" t="n">
        <v>2.1</v>
      </c>
      <c r="H833" t="n">
        <v>0</v>
      </c>
      <c r="I833" t="n">
        <v>0</v>
      </c>
      <c r="J833" t="n">
        <v>0</v>
      </c>
      <c r="K833" t="n">
        <v>0</v>
      </c>
      <c r="L833" t="n">
        <v>0</v>
      </c>
      <c r="M833" t="n">
        <v>0</v>
      </c>
      <c r="N833" t="n">
        <v>0</v>
      </c>
      <c r="O833" t="n">
        <v>0</v>
      </c>
      <c r="P833" t="n">
        <v>0</v>
      </c>
      <c r="Q833" t="n">
        <v>0</v>
      </c>
      <c r="R833" s="2" t="inlineStr"/>
    </row>
    <row r="834" ht="15" customHeight="1">
      <c r="A834" t="inlineStr">
        <is>
          <t>A 11020-2026</t>
        </is>
      </c>
      <c r="B834" s="1" t="n">
        <v>46079.54993055556</v>
      </c>
      <c r="C834" s="1" t="n">
        <v>46159</v>
      </c>
      <c r="D834" t="inlineStr">
        <is>
          <t>KALMAR LÄN</t>
        </is>
      </c>
      <c r="E834" t="inlineStr">
        <is>
          <t>VÄSTERVIK</t>
        </is>
      </c>
      <c r="G834" t="n">
        <v>2</v>
      </c>
      <c r="H834" t="n">
        <v>0</v>
      </c>
      <c r="I834" t="n">
        <v>0</v>
      </c>
      <c r="J834" t="n">
        <v>0</v>
      </c>
      <c r="K834" t="n">
        <v>0</v>
      </c>
      <c r="L834" t="n">
        <v>0</v>
      </c>
      <c r="M834" t="n">
        <v>0</v>
      </c>
      <c r="N834" t="n">
        <v>0</v>
      </c>
      <c r="O834" t="n">
        <v>0</v>
      </c>
      <c r="P834" t="n">
        <v>0</v>
      </c>
      <c r="Q834" t="n">
        <v>0</v>
      </c>
      <c r="R834" s="2" t="inlineStr"/>
    </row>
    <row r="835" ht="15" customHeight="1">
      <c r="A835" t="inlineStr">
        <is>
          <t>A 19333-2023</t>
        </is>
      </c>
      <c r="B835" s="1" t="n">
        <v>45049.566875</v>
      </c>
      <c r="C835" s="1" t="n">
        <v>46159</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15097-2023</t>
        </is>
      </c>
      <c r="B836" s="1" t="n">
        <v>45016</v>
      </c>
      <c r="C836" s="1" t="n">
        <v>46159</v>
      </c>
      <c r="D836" t="inlineStr">
        <is>
          <t>KALMAR LÄN</t>
        </is>
      </c>
      <c r="E836" t="inlineStr">
        <is>
          <t>VÄSTERVIK</t>
        </is>
      </c>
      <c r="G836" t="n">
        <v>5.9</v>
      </c>
      <c r="H836" t="n">
        <v>0</v>
      </c>
      <c r="I836" t="n">
        <v>0</v>
      </c>
      <c r="J836" t="n">
        <v>0</v>
      </c>
      <c r="K836" t="n">
        <v>0</v>
      </c>
      <c r="L836" t="n">
        <v>0</v>
      </c>
      <c r="M836" t="n">
        <v>0</v>
      </c>
      <c r="N836" t="n">
        <v>0</v>
      </c>
      <c r="O836" t="n">
        <v>0</v>
      </c>
      <c r="P836" t="n">
        <v>0</v>
      </c>
      <c r="Q836" t="n">
        <v>0</v>
      </c>
      <c r="R836" s="2" t="inlineStr"/>
    </row>
    <row r="837" ht="15" customHeight="1">
      <c r="A837" t="inlineStr">
        <is>
          <t>A 61543-2025</t>
        </is>
      </c>
      <c r="B837" s="1" t="n">
        <v>46001.76518518518</v>
      </c>
      <c r="C837" s="1" t="n">
        <v>46159</v>
      </c>
      <c r="D837" t="inlineStr">
        <is>
          <t>KALMAR LÄN</t>
        </is>
      </c>
      <c r="E837" t="inlineStr">
        <is>
          <t>VÄSTERVIK</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46070-2023</t>
        </is>
      </c>
      <c r="B838" s="1" t="n">
        <v>45196</v>
      </c>
      <c r="C838" s="1" t="n">
        <v>46159</v>
      </c>
      <c r="D838" t="inlineStr">
        <is>
          <t>KALMAR LÄN</t>
        </is>
      </c>
      <c r="E838" t="inlineStr">
        <is>
          <t>VÄSTERVIK</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61544-2025</t>
        </is>
      </c>
      <c r="B839" s="1" t="n">
        <v>46001.76704861111</v>
      </c>
      <c r="C839" s="1" t="n">
        <v>46159</v>
      </c>
      <c r="D839" t="inlineStr">
        <is>
          <t>KALMAR LÄN</t>
        </is>
      </c>
      <c r="E839" t="inlineStr">
        <is>
          <t>VÄSTERVIK</t>
        </is>
      </c>
      <c r="F839" t="inlineStr">
        <is>
          <t>Sveaskog</t>
        </is>
      </c>
      <c r="G839" t="n">
        <v>17.8</v>
      </c>
      <c r="H839" t="n">
        <v>0</v>
      </c>
      <c r="I839" t="n">
        <v>0</v>
      </c>
      <c r="J839" t="n">
        <v>0</v>
      </c>
      <c r="K839" t="n">
        <v>0</v>
      </c>
      <c r="L839" t="n">
        <v>0</v>
      </c>
      <c r="M839" t="n">
        <v>0</v>
      </c>
      <c r="N839" t="n">
        <v>0</v>
      </c>
      <c r="O839" t="n">
        <v>0</v>
      </c>
      <c r="P839" t="n">
        <v>0</v>
      </c>
      <c r="Q839" t="n">
        <v>0</v>
      </c>
      <c r="R839" s="2" t="inlineStr"/>
    </row>
    <row r="840" ht="15" customHeight="1">
      <c r="A840" t="inlineStr">
        <is>
          <t>A 38174-2023</t>
        </is>
      </c>
      <c r="B840" s="1" t="n">
        <v>45161</v>
      </c>
      <c r="C840" s="1" t="n">
        <v>46159</v>
      </c>
      <c r="D840" t="inlineStr">
        <is>
          <t>KALMAR LÄN</t>
        </is>
      </c>
      <c r="E840" t="inlineStr">
        <is>
          <t>VÄSTERVIK</t>
        </is>
      </c>
      <c r="G840" t="n">
        <v>3.4</v>
      </c>
      <c r="H840" t="n">
        <v>0</v>
      </c>
      <c r="I840" t="n">
        <v>0</v>
      </c>
      <c r="J840" t="n">
        <v>0</v>
      </c>
      <c r="K840" t="n">
        <v>0</v>
      </c>
      <c r="L840" t="n">
        <v>0</v>
      </c>
      <c r="M840" t="n">
        <v>0</v>
      </c>
      <c r="N840" t="n">
        <v>0</v>
      </c>
      <c r="O840" t="n">
        <v>0</v>
      </c>
      <c r="P840" t="n">
        <v>0</v>
      </c>
      <c r="Q840" t="n">
        <v>0</v>
      </c>
      <c r="R840" s="2" t="inlineStr"/>
    </row>
    <row r="841" ht="15" customHeight="1">
      <c r="A841" t="inlineStr">
        <is>
          <t>A 61542-2025</t>
        </is>
      </c>
      <c r="B841" s="1" t="n">
        <v>46001.76293981481</v>
      </c>
      <c r="C841" s="1" t="n">
        <v>46159</v>
      </c>
      <c r="D841" t="inlineStr">
        <is>
          <t>KALMAR LÄN</t>
        </is>
      </c>
      <c r="E841" t="inlineStr">
        <is>
          <t>VÄSTERVIK</t>
        </is>
      </c>
      <c r="F841" t="inlineStr">
        <is>
          <t>Sveaskog</t>
        </is>
      </c>
      <c r="G841" t="n">
        <v>5.9</v>
      </c>
      <c r="H841" t="n">
        <v>0</v>
      </c>
      <c r="I841" t="n">
        <v>0</v>
      </c>
      <c r="J841" t="n">
        <v>0</v>
      </c>
      <c r="K841" t="n">
        <v>0</v>
      </c>
      <c r="L841" t="n">
        <v>0</v>
      </c>
      <c r="M841" t="n">
        <v>0</v>
      </c>
      <c r="N841" t="n">
        <v>0</v>
      </c>
      <c r="O841" t="n">
        <v>0</v>
      </c>
      <c r="P841" t="n">
        <v>0</v>
      </c>
      <c r="Q841" t="n">
        <v>0</v>
      </c>
      <c r="R841" s="2" t="inlineStr"/>
    </row>
    <row r="842" ht="15" customHeight="1">
      <c r="A842" t="inlineStr">
        <is>
          <t>A 37716-2023</t>
        </is>
      </c>
      <c r="B842" s="1" t="n">
        <v>45159</v>
      </c>
      <c r="C842" s="1" t="n">
        <v>46159</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58216-2022</t>
        </is>
      </c>
      <c r="B843" s="1" t="n">
        <v>44901.36292824074</v>
      </c>
      <c r="C843" s="1" t="n">
        <v>46159</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5234-2024</t>
        </is>
      </c>
      <c r="B844" s="1" t="n">
        <v>45330.80729166666</v>
      </c>
      <c r="C844" s="1" t="n">
        <v>46159</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row>
    <row r="845" ht="15" customHeight="1">
      <c r="A845" t="inlineStr">
        <is>
          <t>A 48753-2025</t>
        </is>
      </c>
      <c r="B845" s="1" t="n">
        <v>45936</v>
      </c>
      <c r="C845" s="1" t="n">
        <v>46159</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c r="U845">
        <f>HYPERLINK("https://klasma.github.io/Logging_0883/knärot/A 48753-2025 karta knärot.png", "A 48753-2025")</f>
        <v/>
      </c>
      <c r="V845">
        <f>HYPERLINK("https://klasma.github.io/Logging_0883/klagomål/A 48753-2025 FSC-klagomål.docx", "A 48753-2025")</f>
        <v/>
      </c>
      <c r="W845">
        <f>HYPERLINK("https://klasma.github.io/Logging_0883/klagomålsmail/A 48753-2025 FSC-klagomål mail.docx", "A 48753-2025")</f>
        <v/>
      </c>
      <c r="X845">
        <f>HYPERLINK("https://klasma.github.io/Logging_0883/tillsyn/A 48753-2025 tillsynsbegäran.docx", "A 48753-2025")</f>
        <v/>
      </c>
      <c r="Y845">
        <f>HYPERLINK("https://klasma.github.io/Logging_0883/tillsynsmail/A 48753-2025 tillsynsbegäran mail.docx", "A 48753-2025")</f>
        <v/>
      </c>
    </row>
    <row r="846" ht="15" customHeight="1">
      <c r="A846" t="inlineStr">
        <is>
          <t>A 13748-2024</t>
        </is>
      </c>
      <c r="B846" s="1" t="n">
        <v>45390</v>
      </c>
      <c r="C846" s="1" t="n">
        <v>46159</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36888-2024</t>
        </is>
      </c>
      <c r="B847" s="1" t="n">
        <v>45538</v>
      </c>
      <c r="C847" s="1" t="n">
        <v>46159</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62163-2025</t>
        </is>
      </c>
      <c r="B848" s="1" t="n">
        <v>46006.49480324074</v>
      </c>
      <c r="C848" s="1" t="n">
        <v>46159</v>
      </c>
      <c r="D848" t="inlineStr">
        <is>
          <t>KALMAR LÄN</t>
        </is>
      </c>
      <c r="E848" t="inlineStr">
        <is>
          <t>VÄSTERVIK</t>
        </is>
      </c>
      <c r="G848" t="n">
        <v>3.3</v>
      </c>
      <c r="H848" t="n">
        <v>0</v>
      </c>
      <c r="I848" t="n">
        <v>0</v>
      </c>
      <c r="J848" t="n">
        <v>0</v>
      </c>
      <c r="K848" t="n">
        <v>0</v>
      </c>
      <c r="L848" t="n">
        <v>0</v>
      </c>
      <c r="M848" t="n">
        <v>0</v>
      </c>
      <c r="N848" t="n">
        <v>0</v>
      </c>
      <c r="O848" t="n">
        <v>0</v>
      </c>
      <c r="P848" t="n">
        <v>0</v>
      </c>
      <c r="Q848" t="n">
        <v>0</v>
      </c>
      <c r="R848" s="2" t="inlineStr"/>
    </row>
    <row r="849" ht="15" customHeight="1">
      <c r="A849" t="inlineStr">
        <is>
          <t>A 2746-2023</t>
        </is>
      </c>
      <c r="B849" s="1" t="n">
        <v>44944</v>
      </c>
      <c r="C849" s="1" t="n">
        <v>46159</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row>
    <row r="850" ht="15" customHeight="1">
      <c r="A850" t="inlineStr">
        <is>
          <t>A 58209-2022</t>
        </is>
      </c>
      <c r="B850" s="1" t="n">
        <v>44901</v>
      </c>
      <c r="C850" s="1" t="n">
        <v>46159</v>
      </c>
      <c r="D850" t="inlineStr">
        <is>
          <t>KALMAR LÄN</t>
        </is>
      </c>
      <c r="E850" t="inlineStr">
        <is>
          <t>VÄSTERVIK</t>
        </is>
      </c>
      <c r="G850" t="n">
        <v>1.5</v>
      </c>
      <c r="H850" t="n">
        <v>0</v>
      </c>
      <c r="I850" t="n">
        <v>0</v>
      </c>
      <c r="J850" t="n">
        <v>0</v>
      </c>
      <c r="K850" t="n">
        <v>0</v>
      </c>
      <c r="L850" t="n">
        <v>0</v>
      </c>
      <c r="M850" t="n">
        <v>0</v>
      </c>
      <c r="N850" t="n">
        <v>0</v>
      </c>
      <c r="O850" t="n">
        <v>0</v>
      </c>
      <c r="P850" t="n">
        <v>0</v>
      </c>
      <c r="Q850" t="n">
        <v>0</v>
      </c>
      <c r="R850" s="2" t="inlineStr"/>
    </row>
    <row r="851" ht="15" customHeight="1">
      <c r="A851" t="inlineStr">
        <is>
          <t>A 52155-2021</t>
        </is>
      </c>
      <c r="B851" s="1" t="n">
        <v>44463</v>
      </c>
      <c r="C851" s="1" t="n">
        <v>46159</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62750-2025</t>
        </is>
      </c>
      <c r="B852" s="1" t="n">
        <v>46008.57989583333</v>
      </c>
      <c r="C852" s="1" t="n">
        <v>46159</v>
      </c>
      <c r="D852" t="inlineStr">
        <is>
          <t>KALMAR LÄN</t>
        </is>
      </c>
      <c r="E852" t="inlineStr">
        <is>
          <t>VÄSTERVIK</t>
        </is>
      </c>
      <c r="G852" t="n">
        <v>2.6</v>
      </c>
      <c r="H852" t="n">
        <v>0</v>
      </c>
      <c r="I852" t="n">
        <v>0</v>
      </c>
      <c r="J852" t="n">
        <v>0</v>
      </c>
      <c r="K852" t="n">
        <v>0</v>
      </c>
      <c r="L852" t="n">
        <v>0</v>
      </c>
      <c r="M852" t="n">
        <v>0</v>
      </c>
      <c r="N852" t="n">
        <v>0</v>
      </c>
      <c r="O852" t="n">
        <v>0</v>
      </c>
      <c r="P852" t="n">
        <v>0</v>
      </c>
      <c r="Q852" t="n">
        <v>0</v>
      </c>
      <c r="R852" s="2" t="inlineStr"/>
    </row>
    <row r="853" ht="15" customHeight="1">
      <c r="A853" t="inlineStr">
        <is>
          <t>A 1877-2025</t>
        </is>
      </c>
      <c r="B853" s="1" t="n">
        <v>45671.62141203704</v>
      </c>
      <c r="C853" s="1" t="n">
        <v>46159</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62743-2025</t>
        </is>
      </c>
      <c r="B854" s="1" t="n">
        <v>46008.5749074074</v>
      </c>
      <c r="C854" s="1" t="n">
        <v>46159</v>
      </c>
      <c r="D854" t="inlineStr">
        <is>
          <t>KALMAR LÄN</t>
        </is>
      </c>
      <c r="E854" t="inlineStr">
        <is>
          <t>VÄSTERVIK</t>
        </is>
      </c>
      <c r="G854" t="n">
        <v>7.5</v>
      </c>
      <c r="H854" t="n">
        <v>0</v>
      </c>
      <c r="I854" t="n">
        <v>0</v>
      </c>
      <c r="J854" t="n">
        <v>0</v>
      </c>
      <c r="K854" t="n">
        <v>0</v>
      </c>
      <c r="L854" t="n">
        <v>0</v>
      </c>
      <c r="M854" t="n">
        <v>0</v>
      </c>
      <c r="N854" t="n">
        <v>0</v>
      </c>
      <c r="O854" t="n">
        <v>0</v>
      </c>
      <c r="P854" t="n">
        <v>0</v>
      </c>
      <c r="Q854" t="n">
        <v>0</v>
      </c>
      <c r="R854" s="2" t="inlineStr"/>
    </row>
    <row r="855" ht="15" customHeight="1">
      <c r="A855" t="inlineStr">
        <is>
          <t>A 62765-2025</t>
        </is>
      </c>
      <c r="B855" s="1" t="n">
        <v>46008.59494212963</v>
      </c>
      <c r="C855" s="1" t="n">
        <v>46159</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62752-2025</t>
        </is>
      </c>
      <c r="B856" s="1" t="n">
        <v>46008.58653935185</v>
      </c>
      <c r="C856" s="1" t="n">
        <v>46159</v>
      </c>
      <c r="D856" t="inlineStr">
        <is>
          <t>KALMAR LÄN</t>
        </is>
      </c>
      <c r="E856" t="inlineStr">
        <is>
          <t>VÄSTERVIK</t>
        </is>
      </c>
      <c r="G856" t="n">
        <v>9.4</v>
      </c>
      <c r="H856" t="n">
        <v>0</v>
      </c>
      <c r="I856" t="n">
        <v>0</v>
      </c>
      <c r="J856" t="n">
        <v>0</v>
      </c>
      <c r="K856" t="n">
        <v>0</v>
      </c>
      <c r="L856" t="n">
        <v>0</v>
      </c>
      <c r="M856" t="n">
        <v>0</v>
      </c>
      <c r="N856" t="n">
        <v>0</v>
      </c>
      <c r="O856" t="n">
        <v>0</v>
      </c>
      <c r="P856" t="n">
        <v>0</v>
      </c>
      <c r="Q856" t="n">
        <v>0</v>
      </c>
      <c r="R856" s="2" t="inlineStr"/>
    </row>
    <row r="857" ht="15" customHeight="1">
      <c r="A857" t="inlineStr">
        <is>
          <t>A 62815-2025</t>
        </is>
      </c>
      <c r="B857" s="1" t="n">
        <v>46008.654375</v>
      </c>
      <c r="C857" s="1" t="n">
        <v>46159</v>
      </c>
      <c r="D857" t="inlineStr">
        <is>
          <t>KALMAR LÄN</t>
        </is>
      </c>
      <c r="E857" t="inlineStr">
        <is>
          <t>VÄSTERVIK</t>
        </is>
      </c>
      <c r="G857" t="n">
        <v>2.3</v>
      </c>
      <c r="H857" t="n">
        <v>0</v>
      </c>
      <c r="I857" t="n">
        <v>0</v>
      </c>
      <c r="J857" t="n">
        <v>0</v>
      </c>
      <c r="K857" t="n">
        <v>0</v>
      </c>
      <c r="L857" t="n">
        <v>0</v>
      </c>
      <c r="M857" t="n">
        <v>0</v>
      </c>
      <c r="N857" t="n">
        <v>0</v>
      </c>
      <c r="O857" t="n">
        <v>0</v>
      </c>
      <c r="P857" t="n">
        <v>0</v>
      </c>
      <c r="Q857" t="n">
        <v>0</v>
      </c>
      <c r="R857" s="2" t="inlineStr"/>
    </row>
    <row r="858" ht="15" customHeight="1">
      <c r="A858" t="inlineStr">
        <is>
          <t>A 62756-2025</t>
        </is>
      </c>
      <c r="B858" s="1" t="n">
        <v>46008.59005787037</v>
      </c>
      <c r="C858" s="1" t="n">
        <v>46159</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62789-2025</t>
        </is>
      </c>
      <c r="B859" s="1" t="n">
        <v>46008</v>
      </c>
      <c r="C859" s="1" t="n">
        <v>46159</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4583-2023</t>
        </is>
      </c>
      <c r="B860" s="1" t="n">
        <v>44956</v>
      </c>
      <c r="C860" s="1" t="n">
        <v>46159</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11848-2024</t>
        </is>
      </c>
      <c r="B861" s="1" t="n">
        <v>45376.41653935185</v>
      </c>
      <c r="C861" s="1" t="n">
        <v>46159</v>
      </c>
      <c r="D861" t="inlineStr">
        <is>
          <t>KALMAR LÄN</t>
        </is>
      </c>
      <c r="E861" t="inlineStr">
        <is>
          <t>VÄSTERVIK</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62782-2025</t>
        </is>
      </c>
      <c r="B862" s="1" t="n">
        <v>46008</v>
      </c>
      <c r="C862" s="1" t="n">
        <v>46159</v>
      </c>
      <c r="D862" t="inlineStr">
        <is>
          <t>KALMAR LÄN</t>
        </is>
      </c>
      <c r="E862" t="inlineStr">
        <is>
          <t>VÄSTERVIK</t>
        </is>
      </c>
      <c r="G862" t="n">
        <v>0.6</v>
      </c>
      <c r="H862" t="n">
        <v>0</v>
      </c>
      <c r="I862" t="n">
        <v>0</v>
      </c>
      <c r="J862" t="n">
        <v>0</v>
      </c>
      <c r="K862" t="n">
        <v>0</v>
      </c>
      <c r="L862" t="n">
        <v>0</v>
      </c>
      <c r="M862" t="n">
        <v>0</v>
      </c>
      <c r="N862" t="n">
        <v>0</v>
      </c>
      <c r="O862" t="n">
        <v>0</v>
      </c>
      <c r="P862" t="n">
        <v>0</v>
      </c>
      <c r="Q862" t="n">
        <v>0</v>
      </c>
      <c r="R862" s="2" t="inlineStr"/>
    </row>
    <row r="863" ht="15" customHeight="1">
      <c r="A863" t="inlineStr">
        <is>
          <t>A 62817-2025</t>
        </is>
      </c>
      <c r="B863" s="1" t="n">
        <v>46008.6546875</v>
      </c>
      <c r="C863" s="1" t="n">
        <v>46159</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62770-2025</t>
        </is>
      </c>
      <c r="B864" s="1" t="n">
        <v>46008.60042824074</v>
      </c>
      <c r="C864" s="1" t="n">
        <v>46159</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47120-2023</t>
        </is>
      </c>
      <c r="B865" s="1" t="n">
        <v>45201</v>
      </c>
      <c r="C865" s="1" t="n">
        <v>46159</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47123-2023</t>
        </is>
      </c>
      <c r="B866" s="1" t="n">
        <v>45201.68075231482</v>
      </c>
      <c r="C866" s="1" t="n">
        <v>46159</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46718-2023</t>
        </is>
      </c>
      <c r="B867" s="1" t="n">
        <v>45198</v>
      </c>
      <c r="C867" s="1" t="n">
        <v>46159</v>
      </c>
      <c r="D867" t="inlineStr">
        <is>
          <t>KALMAR LÄN</t>
        </is>
      </c>
      <c r="E867" t="inlineStr">
        <is>
          <t>VÄSTERVIK</t>
        </is>
      </c>
      <c r="G867" t="n">
        <v>0.4</v>
      </c>
      <c r="H867" t="n">
        <v>0</v>
      </c>
      <c r="I867" t="n">
        <v>0</v>
      </c>
      <c r="J867" t="n">
        <v>0</v>
      </c>
      <c r="K867" t="n">
        <v>0</v>
      </c>
      <c r="L867" t="n">
        <v>0</v>
      </c>
      <c r="M867" t="n">
        <v>0</v>
      </c>
      <c r="N867" t="n">
        <v>0</v>
      </c>
      <c r="O867" t="n">
        <v>0</v>
      </c>
      <c r="P867" t="n">
        <v>0</v>
      </c>
      <c r="Q867" t="n">
        <v>0</v>
      </c>
      <c r="R867" s="2" t="inlineStr"/>
    </row>
    <row r="868" ht="15" customHeight="1">
      <c r="A868" t="inlineStr">
        <is>
          <t>A 60263-2022</t>
        </is>
      </c>
      <c r="B868" s="1" t="n">
        <v>44910.48520833333</v>
      </c>
      <c r="C868" s="1" t="n">
        <v>46159</v>
      </c>
      <c r="D868" t="inlineStr">
        <is>
          <t>KALMAR LÄN</t>
        </is>
      </c>
      <c r="E868" t="inlineStr">
        <is>
          <t>VÄSTERVIK</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1798-2023</t>
        </is>
      </c>
      <c r="B869" s="1" t="n">
        <v>44938</v>
      </c>
      <c r="C869" s="1" t="n">
        <v>46159</v>
      </c>
      <c r="D869" t="inlineStr">
        <is>
          <t>KALMAR LÄN</t>
        </is>
      </c>
      <c r="E869" t="inlineStr">
        <is>
          <t>VÄSTERVIK</t>
        </is>
      </c>
      <c r="G869" t="n">
        <v>3.9</v>
      </c>
      <c r="H869" t="n">
        <v>0</v>
      </c>
      <c r="I869" t="n">
        <v>0</v>
      </c>
      <c r="J869" t="n">
        <v>0</v>
      </c>
      <c r="K869" t="n">
        <v>0</v>
      </c>
      <c r="L869" t="n">
        <v>0</v>
      </c>
      <c r="M869" t="n">
        <v>0</v>
      </c>
      <c r="N869" t="n">
        <v>0</v>
      </c>
      <c r="O869" t="n">
        <v>0</v>
      </c>
      <c r="P869" t="n">
        <v>0</v>
      </c>
      <c r="Q869" t="n">
        <v>0</v>
      </c>
      <c r="R869" s="2" t="inlineStr"/>
    </row>
    <row r="870" ht="15" customHeight="1">
      <c r="A870" t="inlineStr">
        <is>
          <t>A 26776-2023</t>
        </is>
      </c>
      <c r="B870" s="1" t="n">
        <v>45093</v>
      </c>
      <c r="C870" s="1" t="n">
        <v>46159</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18237-2026</t>
        </is>
      </c>
      <c r="B871" s="1" t="n">
        <v>46126.34361111111</v>
      </c>
      <c r="C871" s="1" t="n">
        <v>46159</v>
      </c>
      <c r="D871" t="inlineStr">
        <is>
          <t>KALMAR LÄN</t>
        </is>
      </c>
      <c r="E871" t="inlineStr">
        <is>
          <t>VÄSTERVIK</t>
        </is>
      </c>
      <c r="G871" t="n">
        <v>1.2</v>
      </c>
      <c r="H871" t="n">
        <v>0</v>
      </c>
      <c r="I871" t="n">
        <v>0</v>
      </c>
      <c r="J871" t="n">
        <v>0</v>
      </c>
      <c r="K871" t="n">
        <v>0</v>
      </c>
      <c r="L871" t="n">
        <v>0</v>
      </c>
      <c r="M871" t="n">
        <v>0</v>
      </c>
      <c r="N871" t="n">
        <v>0</v>
      </c>
      <c r="O871" t="n">
        <v>0</v>
      </c>
      <c r="P871" t="n">
        <v>0</v>
      </c>
      <c r="Q871" t="n">
        <v>0</v>
      </c>
      <c r="R871" s="2" t="inlineStr"/>
    </row>
    <row r="872" ht="15" customHeight="1">
      <c r="A872" t="inlineStr">
        <is>
          <t>A 73640-2021</t>
        </is>
      </c>
      <c r="B872" s="1" t="n">
        <v>44552.43644675926</v>
      </c>
      <c r="C872" s="1" t="n">
        <v>46159</v>
      </c>
      <c r="D872" t="inlineStr">
        <is>
          <t>KALMAR LÄN</t>
        </is>
      </c>
      <c r="E872" t="inlineStr">
        <is>
          <t>VÄSTERVIK</t>
        </is>
      </c>
      <c r="G872" t="n">
        <v>1.9</v>
      </c>
      <c r="H872" t="n">
        <v>0</v>
      </c>
      <c r="I872" t="n">
        <v>0</v>
      </c>
      <c r="J872" t="n">
        <v>0</v>
      </c>
      <c r="K872" t="n">
        <v>0</v>
      </c>
      <c r="L872" t="n">
        <v>0</v>
      </c>
      <c r="M872" t="n">
        <v>0</v>
      </c>
      <c r="N872" t="n">
        <v>0</v>
      </c>
      <c r="O872" t="n">
        <v>0</v>
      </c>
      <c r="P872" t="n">
        <v>0</v>
      </c>
      <c r="Q872" t="n">
        <v>0</v>
      </c>
      <c r="R872" s="2" t="inlineStr"/>
    </row>
    <row r="873" ht="15" customHeight="1">
      <c r="A873" t="inlineStr">
        <is>
          <t>A 40050-2022</t>
        </is>
      </c>
      <c r="B873" s="1" t="n">
        <v>44820.44106481481</v>
      </c>
      <c r="C873" s="1" t="n">
        <v>46159</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12200-2026</t>
        </is>
      </c>
      <c r="B874" s="1" t="n">
        <v>46086.97097222223</v>
      </c>
      <c r="C874" s="1" t="n">
        <v>46159</v>
      </c>
      <c r="D874" t="inlineStr">
        <is>
          <t>KALMAR LÄN</t>
        </is>
      </c>
      <c r="E874" t="inlineStr">
        <is>
          <t>VÄSTERVIK</t>
        </is>
      </c>
      <c r="F874" t="inlineStr">
        <is>
          <t>Övriga Aktiebolag</t>
        </is>
      </c>
      <c r="G874" t="n">
        <v>2.8</v>
      </c>
      <c r="H874" t="n">
        <v>0</v>
      </c>
      <c r="I874" t="n">
        <v>0</v>
      </c>
      <c r="J874" t="n">
        <v>0</v>
      </c>
      <c r="K874" t="n">
        <v>0</v>
      </c>
      <c r="L874" t="n">
        <v>0</v>
      </c>
      <c r="M874" t="n">
        <v>0</v>
      </c>
      <c r="N874" t="n">
        <v>0</v>
      </c>
      <c r="O874" t="n">
        <v>0</v>
      </c>
      <c r="P874" t="n">
        <v>0</v>
      </c>
      <c r="Q874" t="n">
        <v>0</v>
      </c>
      <c r="R874" s="2" t="inlineStr"/>
    </row>
    <row r="875" ht="15" customHeight="1">
      <c r="A875" t="inlineStr">
        <is>
          <t>A 12281-2026</t>
        </is>
      </c>
      <c r="B875" s="1" t="n">
        <v>46087.54634259259</v>
      </c>
      <c r="C875" s="1" t="n">
        <v>46159</v>
      </c>
      <c r="D875" t="inlineStr">
        <is>
          <t>KALMAR LÄN</t>
        </is>
      </c>
      <c r="E875" t="inlineStr">
        <is>
          <t>VÄSTERVIK</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39980-2024</t>
        </is>
      </c>
      <c r="B876" s="1" t="n">
        <v>45553.61098379629</v>
      </c>
      <c r="C876" s="1" t="n">
        <v>46159</v>
      </c>
      <c r="D876" t="inlineStr">
        <is>
          <t>KALMAR LÄN</t>
        </is>
      </c>
      <c r="E876" t="inlineStr">
        <is>
          <t>VÄSTERVIK</t>
        </is>
      </c>
      <c r="G876" t="n">
        <v>2.3</v>
      </c>
      <c r="H876" t="n">
        <v>0</v>
      </c>
      <c r="I876" t="n">
        <v>0</v>
      </c>
      <c r="J876" t="n">
        <v>0</v>
      </c>
      <c r="K876" t="n">
        <v>0</v>
      </c>
      <c r="L876" t="n">
        <v>0</v>
      </c>
      <c r="M876" t="n">
        <v>0</v>
      </c>
      <c r="N876" t="n">
        <v>0</v>
      </c>
      <c r="O876" t="n">
        <v>0</v>
      </c>
      <c r="P876" t="n">
        <v>0</v>
      </c>
      <c r="Q876" t="n">
        <v>0</v>
      </c>
      <c r="R876" s="2" t="inlineStr"/>
    </row>
    <row r="877" ht="15" customHeight="1">
      <c r="A877" t="inlineStr">
        <is>
          <t>A 39982-2024</t>
        </is>
      </c>
      <c r="B877" s="1" t="n">
        <v>45553.61355324074</v>
      </c>
      <c r="C877" s="1" t="n">
        <v>46159</v>
      </c>
      <c r="D877" t="inlineStr">
        <is>
          <t>KALMAR LÄN</t>
        </is>
      </c>
      <c r="E877" t="inlineStr">
        <is>
          <t>VÄSTERVIK</t>
        </is>
      </c>
      <c r="G877" t="n">
        <v>2.1</v>
      </c>
      <c r="H877" t="n">
        <v>0</v>
      </c>
      <c r="I877" t="n">
        <v>0</v>
      </c>
      <c r="J877" t="n">
        <v>0</v>
      </c>
      <c r="K877" t="n">
        <v>0</v>
      </c>
      <c r="L877" t="n">
        <v>0</v>
      </c>
      <c r="M877" t="n">
        <v>0</v>
      </c>
      <c r="N877" t="n">
        <v>0</v>
      </c>
      <c r="O877" t="n">
        <v>0</v>
      </c>
      <c r="P877" t="n">
        <v>0</v>
      </c>
      <c r="Q877" t="n">
        <v>0</v>
      </c>
      <c r="R877" s="2" t="inlineStr"/>
    </row>
    <row r="878" ht="15" customHeight="1">
      <c r="A878" t="inlineStr">
        <is>
          <t>A 1568-2024</t>
        </is>
      </c>
      <c r="B878" s="1" t="n">
        <v>45306.53221064815</v>
      </c>
      <c r="C878" s="1" t="n">
        <v>46159</v>
      </c>
      <c r="D878" t="inlineStr">
        <is>
          <t>KALMAR LÄN</t>
        </is>
      </c>
      <c r="E878" t="inlineStr">
        <is>
          <t>VÄSTERVIK</t>
        </is>
      </c>
      <c r="G878" t="n">
        <v>3.4</v>
      </c>
      <c r="H878" t="n">
        <v>0</v>
      </c>
      <c r="I878" t="n">
        <v>0</v>
      </c>
      <c r="J878" t="n">
        <v>0</v>
      </c>
      <c r="K878" t="n">
        <v>0</v>
      </c>
      <c r="L878" t="n">
        <v>0</v>
      </c>
      <c r="M878" t="n">
        <v>0</v>
      </c>
      <c r="N878" t="n">
        <v>0</v>
      </c>
      <c r="O878" t="n">
        <v>0</v>
      </c>
      <c r="P878" t="n">
        <v>0</v>
      </c>
      <c r="Q878" t="n">
        <v>0</v>
      </c>
      <c r="R878" s="2" t="inlineStr"/>
    </row>
    <row r="879" ht="15" customHeight="1">
      <c r="A879" t="inlineStr">
        <is>
          <t>A 1572-2024</t>
        </is>
      </c>
      <c r="B879" s="1" t="n">
        <v>45306</v>
      </c>
      <c r="C879" s="1" t="n">
        <v>46159</v>
      </c>
      <c r="D879" t="inlineStr">
        <is>
          <t>KALMAR LÄN</t>
        </is>
      </c>
      <c r="E879" t="inlineStr">
        <is>
          <t>VÄSTERVIK</t>
        </is>
      </c>
      <c r="G879" t="n">
        <v>4.4</v>
      </c>
      <c r="H879" t="n">
        <v>0</v>
      </c>
      <c r="I879" t="n">
        <v>0</v>
      </c>
      <c r="J879" t="n">
        <v>0</v>
      </c>
      <c r="K879" t="n">
        <v>0</v>
      </c>
      <c r="L879" t="n">
        <v>0</v>
      </c>
      <c r="M879" t="n">
        <v>0</v>
      </c>
      <c r="N879" t="n">
        <v>0</v>
      </c>
      <c r="O879" t="n">
        <v>0</v>
      </c>
      <c r="P879" t="n">
        <v>0</v>
      </c>
      <c r="Q879" t="n">
        <v>0</v>
      </c>
      <c r="R879" s="2" t="inlineStr"/>
    </row>
    <row r="880" ht="15" customHeight="1">
      <c r="A880" t="inlineStr">
        <is>
          <t>A 12197-2026</t>
        </is>
      </c>
      <c r="B880" s="1" t="n">
        <v>46086.95311342592</v>
      </c>
      <c r="C880" s="1" t="n">
        <v>46159</v>
      </c>
      <c r="D880" t="inlineStr">
        <is>
          <t>KALMAR LÄN</t>
        </is>
      </c>
      <c r="E880" t="inlineStr">
        <is>
          <t>VÄSTERVIK</t>
        </is>
      </c>
      <c r="F880" t="inlineStr">
        <is>
          <t>Övriga Aktiebolag</t>
        </is>
      </c>
      <c r="G880" t="n">
        <v>4.7</v>
      </c>
      <c r="H880" t="n">
        <v>0</v>
      </c>
      <c r="I880" t="n">
        <v>0</v>
      </c>
      <c r="J880" t="n">
        <v>0</v>
      </c>
      <c r="K880" t="n">
        <v>0</v>
      </c>
      <c r="L880" t="n">
        <v>0</v>
      </c>
      <c r="M880" t="n">
        <v>0</v>
      </c>
      <c r="N880" t="n">
        <v>0</v>
      </c>
      <c r="O880" t="n">
        <v>0</v>
      </c>
      <c r="P880" t="n">
        <v>0</v>
      </c>
      <c r="Q880" t="n">
        <v>0</v>
      </c>
      <c r="R880" s="2" t="inlineStr"/>
    </row>
    <row r="881" ht="15" customHeight="1">
      <c r="A881" t="inlineStr">
        <is>
          <t>A 7934-2023</t>
        </is>
      </c>
      <c r="B881" s="1" t="n">
        <v>44973.65422453704</v>
      </c>
      <c r="C881" s="1" t="n">
        <v>46159</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18701-2026</t>
        </is>
      </c>
      <c r="B882" s="1" t="n">
        <v>46128</v>
      </c>
      <c r="C882" s="1" t="n">
        <v>46159</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17314-2023</t>
        </is>
      </c>
      <c r="B883" s="1" t="n">
        <v>45035</v>
      </c>
      <c r="C883" s="1" t="n">
        <v>46159</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8594-2023</t>
        </is>
      </c>
      <c r="B884" s="1" t="n">
        <v>44977</v>
      </c>
      <c r="C884" s="1" t="n">
        <v>46159</v>
      </c>
      <c r="D884" t="inlineStr">
        <is>
          <t>KALMAR LÄN</t>
        </is>
      </c>
      <c r="E884" t="inlineStr">
        <is>
          <t>VÄSTERVIK</t>
        </is>
      </c>
      <c r="G884" t="n">
        <v>0.7</v>
      </c>
      <c r="H884" t="n">
        <v>0</v>
      </c>
      <c r="I884" t="n">
        <v>0</v>
      </c>
      <c r="J884" t="n">
        <v>0</v>
      </c>
      <c r="K884" t="n">
        <v>0</v>
      </c>
      <c r="L884" t="n">
        <v>0</v>
      </c>
      <c r="M884" t="n">
        <v>0</v>
      </c>
      <c r="N884" t="n">
        <v>0</v>
      </c>
      <c r="O884" t="n">
        <v>0</v>
      </c>
      <c r="P884" t="n">
        <v>0</v>
      </c>
      <c r="Q884" t="n">
        <v>0</v>
      </c>
      <c r="R884" s="2" t="inlineStr"/>
    </row>
    <row r="885" ht="15" customHeight="1">
      <c r="A885" t="inlineStr">
        <is>
          <t>A 28344-2024</t>
        </is>
      </c>
      <c r="B885" s="1" t="n">
        <v>45477.55280092593</v>
      </c>
      <c r="C885" s="1" t="n">
        <v>46159</v>
      </c>
      <c r="D885" t="inlineStr">
        <is>
          <t>KALMAR LÄN</t>
        </is>
      </c>
      <c r="E885" t="inlineStr">
        <is>
          <t>VÄSTERVIK</t>
        </is>
      </c>
      <c r="G885" t="n">
        <v>1.4</v>
      </c>
      <c r="H885" t="n">
        <v>0</v>
      </c>
      <c r="I885" t="n">
        <v>0</v>
      </c>
      <c r="J885" t="n">
        <v>0</v>
      </c>
      <c r="K885" t="n">
        <v>0</v>
      </c>
      <c r="L885" t="n">
        <v>0</v>
      </c>
      <c r="M885" t="n">
        <v>0</v>
      </c>
      <c r="N885" t="n">
        <v>0</v>
      </c>
      <c r="O885" t="n">
        <v>0</v>
      </c>
      <c r="P885" t="n">
        <v>0</v>
      </c>
      <c r="Q885" t="n">
        <v>0</v>
      </c>
      <c r="R885" s="2" t="inlineStr"/>
    </row>
    <row r="886" ht="15" customHeight="1">
      <c r="A886" t="inlineStr">
        <is>
          <t>A 42746-2024</t>
        </is>
      </c>
      <c r="B886" s="1" t="n">
        <v>45566.48361111111</v>
      </c>
      <c r="C886" s="1" t="n">
        <v>46159</v>
      </c>
      <c r="D886" t="inlineStr">
        <is>
          <t>KALMAR LÄN</t>
        </is>
      </c>
      <c r="E886" t="inlineStr">
        <is>
          <t>VÄSTERVIK</t>
        </is>
      </c>
      <c r="G886" t="n">
        <v>2</v>
      </c>
      <c r="H886" t="n">
        <v>0</v>
      </c>
      <c r="I886" t="n">
        <v>0</v>
      </c>
      <c r="J886" t="n">
        <v>0</v>
      </c>
      <c r="K886" t="n">
        <v>0</v>
      </c>
      <c r="L886" t="n">
        <v>0</v>
      </c>
      <c r="M886" t="n">
        <v>0</v>
      </c>
      <c r="N886" t="n">
        <v>0</v>
      </c>
      <c r="O886" t="n">
        <v>0</v>
      </c>
      <c r="P886" t="n">
        <v>0</v>
      </c>
      <c r="Q886" t="n">
        <v>0</v>
      </c>
      <c r="R886" s="2" t="inlineStr"/>
    </row>
    <row r="887" ht="15" customHeight="1">
      <c r="A887" t="inlineStr">
        <is>
          <t>A 61529-2022</t>
        </is>
      </c>
      <c r="B887" s="1" t="n">
        <v>44910</v>
      </c>
      <c r="C887" s="1" t="n">
        <v>46159</v>
      </c>
      <c r="D887" t="inlineStr">
        <is>
          <t>KALMAR LÄN</t>
        </is>
      </c>
      <c r="E887" t="inlineStr">
        <is>
          <t>VÄSTERVIK</t>
        </is>
      </c>
      <c r="G887" t="n">
        <v>6.5</v>
      </c>
      <c r="H887" t="n">
        <v>0</v>
      </c>
      <c r="I887" t="n">
        <v>0</v>
      </c>
      <c r="J887" t="n">
        <v>0</v>
      </c>
      <c r="K887" t="n">
        <v>0</v>
      </c>
      <c r="L887" t="n">
        <v>0</v>
      </c>
      <c r="M887" t="n">
        <v>0</v>
      </c>
      <c r="N887" t="n">
        <v>0</v>
      </c>
      <c r="O887" t="n">
        <v>0</v>
      </c>
      <c r="P887" t="n">
        <v>0</v>
      </c>
      <c r="Q887" t="n">
        <v>0</v>
      </c>
      <c r="R887" s="2" t="inlineStr"/>
    </row>
    <row r="888" ht="15" customHeight="1">
      <c r="A888" t="inlineStr">
        <is>
          <t>A 53259-2021</t>
        </is>
      </c>
      <c r="B888" s="1" t="n">
        <v>44468.47153935185</v>
      </c>
      <c r="C888" s="1" t="n">
        <v>46159</v>
      </c>
      <c r="D888" t="inlineStr">
        <is>
          <t>KALMAR LÄN</t>
        </is>
      </c>
      <c r="E888" t="inlineStr">
        <is>
          <t>VÄSTERVIK</t>
        </is>
      </c>
      <c r="G888" t="n">
        <v>2.8</v>
      </c>
      <c r="H888" t="n">
        <v>0</v>
      </c>
      <c r="I888" t="n">
        <v>0</v>
      </c>
      <c r="J888" t="n">
        <v>0</v>
      </c>
      <c r="K888" t="n">
        <v>0</v>
      </c>
      <c r="L888" t="n">
        <v>0</v>
      </c>
      <c r="M888" t="n">
        <v>0</v>
      </c>
      <c r="N888" t="n">
        <v>0</v>
      </c>
      <c r="O888" t="n">
        <v>0</v>
      </c>
      <c r="P888" t="n">
        <v>0</v>
      </c>
      <c r="Q888" t="n">
        <v>0</v>
      </c>
      <c r="R888" s="2" t="inlineStr"/>
    </row>
    <row r="889" ht="15" customHeight="1">
      <c r="A889" t="inlineStr">
        <is>
          <t>A 10116-2022</t>
        </is>
      </c>
      <c r="B889" s="1" t="n">
        <v>44621</v>
      </c>
      <c r="C889" s="1" t="n">
        <v>46159</v>
      </c>
      <c r="D889" t="inlineStr">
        <is>
          <t>KALMAR LÄN</t>
        </is>
      </c>
      <c r="E889" t="inlineStr">
        <is>
          <t>VÄSTERVIK</t>
        </is>
      </c>
      <c r="G889" t="n">
        <v>1.6</v>
      </c>
      <c r="H889" t="n">
        <v>0</v>
      </c>
      <c r="I889" t="n">
        <v>0</v>
      </c>
      <c r="J889" t="n">
        <v>0</v>
      </c>
      <c r="K889" t="n">
        <v>0</v>
      </c>
      <c r="L889" t="n">
        <v>0</v>
      </c>
      <c r="M889" t="n">
        <v>0</v>
      </c>
      <c r="N889" t="n">
        <v>0</v>
      </c>
      <c r="O889" t="n">
        <v>0</v>
      </c>
      <c r="P889" t="n">
        <v>0</v>
      </c>
      <c r="Q889" t="n">
        <v>0</v>
      </c>
      <c r="R889" s="2" t="inlineStr"/>
    </row>
    <row r="890" ht="15" customHeight="1">
      <c r="A890" t="inlineStr">
        <is>
          <t>A 19067-2026</t>
        </is>
      </c>
      <c r="B890" s="1" t="n">
        <v>46132.36905092592</v>
      </c>
      <c r="C890" s="1" t="n">
        <v>46159</v>
      </c>
      <c r="D890" t="inlineStr">
        <is>
          <t>KALMAR LÄN</t>
        </is>
      </c>
      <c r="E890" t="inlineStr">
        <is>
          <t>VÄSTERVIK</t>
        </is>
      </c>
      <c r="F890" t="inlineStr">
        <is>
          <t>Sveaskog</t>
        </is>
      </c>
      <c r="G890" t="n">
        <v>2.4</v>
      </c>
      <c r="H890" t="n">
        <v>0</v>
      </c>
      <c r="I890" t="n">
        <v>0</v>
      </c>
      <c r="J890" t="n">
        <v>0</v>
      </c>
      <c r="K890" t="n">
        <v>0</v>
      </c>
      <c r="L890" t="n">
        <v>0</v>
      </c>
      <c r="M890" t="n">
        <v>0</v>
      </c>
      <c r="N890" t="n">
        <v>0</v>
      </c>
      <c r="O890" t="n">
        <v>0</v>
      </c>
      <c r="P890" t="n">
        <v>0</v>
      </c>
      <c r="Q890" t="n">
        <v>0</v>
      </c>
      <c r="R890" s="2" t="inlineStr"/>
    </row>
    <row r="891" ht="15" customHeight="1">
      <c r="A891" t="inlineStr">
        <is>
          <t>A 19065-2026</t>
        </is>
      </c>
      <c r="B891" s="1" t="n">
        <v>46132.36826388889</v>
      </c>
      <c r="C891" s="1" t="n">
        <v>46159</v>
      </c>
      <c r="D891" t="inlineStr">
        <is>
          <t>KALMAR LÄN</t>
        </is>
      </c>
      <c r="E891" t="inlineStr">
        <is>
          <t>VÄSTERVIK</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54629-2024</t>
        </is>
      </c>
      <c r="B892" s="1" t="n">
        <v>45617.85399305556</v>
      </c>
      <c r="C892" s="1" t="n">
        <v>46159</v>
      </c>
      <c r="D892" t="inlineStr">
        <is>
          <t>KALMAR LÄN</t>
        </is>
      </c>
      <c r="E892" t="inlineStr">
        <is>
          <t>VÄSTERVIK</t>
        </is>
      </c>
      <c r="F892" t="inlineStr">
        <is>
          <t>Sveaskog</t>
        </is>
      </c>
      <c r="G892" t="n">
        <v>6.7</v>
      </c>
      <c r="H892" t="n">
        <v>0</v>
      </c>
      <c r="I892" t="n">
        <v>0</v>
      </c>
      <c r="J892" t="n">
        <v>0</v>
      </c>
      <c r="K892" t="n">
        <v>0</v>
      </c>
      <c r="L892" t="n">
        <v>0</v>
      </c>
      <c r="M892" t="n">
        <v>0</v>
      </c>
      <c r="N892" t="n">
        <v>0</v>
      </c>
      <c r="O892" t="n">
        <v>0</v>
      </c>
      <c r="P892" t="n">
        <v>0</v>
      </c>
      <c r="Q892" t="n">
        <v>0</v>
      </c>
      <c r="R892" s="2" t="inlineStr"/>
    </row>
    <row r="893" ht="15" customHeight="1">
      <c r="A893" t="inlineStr">
        <is>
          <t>A 29557-2024</t>
        </is>
      </c>
      <c r="B893" s="1" t="n">
        <v>45484.52023148148</v>
      </c>
      <c r="C893" s="1" t="n">
        <v>46159</v>
      </c>
      <c r="D893" t="inlineStr">
        <is>
          <t>KALMAR LÄN</t>
        </is>
      </c>
      <c r="E893" t="inlineStr">
        <is>
          <t>VÄSTERVIK</t>
        </is>
      </c>
      <c r="G893" t="n">
        <v>5.9</v>
      </c>
      <c r="H893" t="n">
        <v>0</v>
      </c>
      <c r="I893" t="n">
        <v>0</v>
      </c>
      <c r="J893" t="n">
        <v>0</v>
      </c>
      <c r="K893" t="n">
        <v>0</v>
      </c>
      <c r="L893" t="n">
        <v>0</v>
      </c>
      <c r="M893" t="n">
        <v>0</v>
      </c>
      <c r="N893" t="n">
        <v>0</v>
      </c>
      <c r="O893" t="n">
        <v>0</v>
      </c>
      <c r="P893" t="n">
        <v>0</v>
      </c>
      <c r="Q893" t="n">
        <v>0</v>
      </c>
      <c r="R893" s="2" t="inlineStr"/>
    </row>
    <row r="894" ht="15" customHeight="1">
      <c r="A894" t="inlineStr">
        <is>
          <t>A 8382-2023</t>
        </is>
      </c>
      <c r="B894" s="1" t="n">
        <v>44977.40112268519</v>
      </c>
      <c r="C894" s="1" t="n">
        <v>46159</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35959-2023</t>
        </is>
      </c>
      <c r="B895" s="1" t="n">
        <v>45148.84875</v>
      </c>
      <c r="C895" s="1" t="n">
        <v>46159</v>
      </c>
      <c r="D895" t="inlineStr">
        <is>
          <t>KALMAR LÄN</t>
        </is>
      </c>
      <c r="E895" t="inlineStr">
        <is>
          <t>VÄSTERVIK</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60685-2024</t>
        </is>
      </c>
      <c r="B896" s="1" t="n">
        <v>45644.46804398148</v>
      </c>
      <c r="C896" s="1" t="n">
        <v>46159</v>
      </c>
      <c r="D896" t="inlineStr">
        <is>
          <t>KALMAR LÄN</t>
        </is>
      </c>
      <c r="E896" t="inlineStr">
        <is>
          <t>VÄSTERVIK</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33814-2023</t>
        </is>
      </c>
      <c r="B897" s="1" t="n">
        <v>45133.59230324074</v>
      </c>
      <c r="C897" s="1" t="n">
        <v>46159</v>
      </c>
      <c r="D897" t="inlineStr">
        <is>
          <t>KALMAR LÄN</t>
        </is>
      </c>
      <c r="E897" t="inlineStr">
        <is>
          <t>VÄSTERVIK</t>
        </is>
      </c>
      <c r="G897" t="n">
        <v>3.9</v>
      </c>
      <c r="H897" t="n">
        <v>0</v>
      </c>
      <c r="I897" t="n">
        <v>0</v>
      </c>
      <c r="J897" t="n">
        <v>0</v>
      </c>
      <c r="K897" t="n">
        <v>0</v>
      </c>
      <c r="L897" t="n">
        <v>0</v>
      </c>
      <c r="M897" t="n">
        <v>0</v>
      </c>
      <c r="N897" t="n">
        <v>0</v>
      </c>
      <c r="O897" t="n">
        <v>0</v>
      </c>
      <c r="P897" t="n">
        <v>0</v>
      </c>
      <c r="Q897" t="n">
        <v>0</v>
      </c>
      <c r="R897" s="2" t="inlineStr"/>
    </row>
    <row r="898" ht="15" customHeight="1">
      <c r="A898" t="inlineStr">
        <is>
          <t>A 1787-2025</t>
        </is>
      </c>
      <c r="B898" s="1" t="n">
        <v>45671.45357638889</v>
      </c>
      <c r="C898" s="1" t="n">
        <v>46159</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40674-2023</t>
        </is>
      </c>
      <c r="B899" s="1" t="n">
        <v>45170.59288194445</v>
      </c>
      <c r="C899" s="1" t="n">
        <v>46159</v>
      </c>
      <c r="D899" t="inlineStr">
        <is>
          <t>KALMAR LÄN</t>
        </is>
      </c>
      <c r="E899" t="inlineStr">
        <is>
          <t>VÄSTERVIK</t>
        </is>
      </c>
      <c r="G899" t="n">
        <v>4.2</v>
      </c>
      <c r="H899" t="n">
        <v>0</v>
      </c>
      <c r="I899" t="n">
        <v>0</v>
      </c>
      <c r="J899" t="n">
        <v>0</v>
      </c>
      <c r="K899" t="n">
        <v>0</v>
      </c>
      <c r="L899" t="n">
        <v>0</v>
      </c>
      <c r="M899" t="n">
        <v>0</v>
      </c>
      <c r="N899" t="n">
        <v>0</v>
      </c>
      <c r="O899" t="n">
        <v>0</v>
      </c>
      <c r="P899" t="n">
        <v>0</v>
      </c>
      <c r="Q899" t="n">
        <v>0</v>
      </c>
      <c r="R899" s="2" t="inlineStr"/>
    </row>
    <row r="900" ht="15" customHeight="1">
      <c r="A900" t="inlineStr">
        <is>
          <t>A 40677-2023</t>
        </is>
      </c>
      <c r="B900" s="1" t="n">
        <v>45170.59443287037</v>
      </c>
      <c r="C900" s="1" t="n">
        <v>46159</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28390-2024</t>
        </is>
      </c>
      <c r="B901" s="1" t="n">
        <v>45477</v>
      </c>
      <c r="C901" s="1" t="n">
        <v>46159</v>
      </c>
      <c r="D901" t="inlineStr">
        <is>
          <t>KALMAR LÄN</t>
        </is>
      </c>
      <c r="E901" t="inlineStr">
        <is>
          <t>VÄSTERVIK</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57688-2024</t>
        </is>
      </c>
      <c r="B902" s="1" t="n">
        <v>45630.65180555556</v>
      </c>
      <c r="C902" s="1" t="n">
        <v>46159</v>
      </c>
      <c r="D902" t="inlineStr">
        <is>
          <t>KALMAR LÄN</t>
        </is>
      </c>
      <c r="E902" t="inlineStr">
        <is>
          <t>VÄSTERVIK</t>
        </is>
      </c>
      <c r="G902" t="n">
        <v>3.1</v>
      </c>
      <c r="H902" t="n">
        <v>0</v>
      </c>
      <c r="I902" t="n">
        <v>0</v>
      </c>
      <c r="J902" t="n">
        <v>0</v>
      </c>
      <c r="K902" t="n">
        <v>0</v>
      </c>
      <c r="L902" t="n">
        <v>0</v>
      </c>
      <c r="M902" t="n">
        <v>0</v>
      </c>
      <c r="N902" t="n">
        <v>0</v>
      </c>
      <c r="O902" t="n">
        <v>0</v>
      </c>
      <c r="P902" t="n">
        <v>0</v>
      </c>
      <c r="Q902" t="n">
        <v>0</v>
      </c>
      <c r="R902" s="2" t="inlineStr"/>
    </row>
    <row r="903" ht="15" customHeight="1">
      <c r="A903" t="inlineStr">
        <is>
          <t>A 5923-2024</t>
        </is>
      </c>
      <c r="B903" s="1" t="n">
        <v>45335</v>
      </c>
      <c r="C903" s="1" t="n">
        <v>46159</v>
      </c>
      <c r="D903" t="inlineStr">
        <is>
          <t>KALMAR LÄN</t>
        </is>
      </c>
      <c r="E903" t="inlineStr">
        <is>
          <t>VÄSTERVIK</t>
        </is>
      </c>
      <c r="F903" t="inlineStr">
        <is>
          <t>Holmen skog AB</t>
        </is>
      </c>
      <c r="G903" t="n">
        <v>2.7</v>
      </c>
      <c r="H903" t="n">
        <v>0</v>
      </c>
      <c r="I903" t="n">
        <v>0</v>
      </c>
      <c r="J903" t="n">
        <v>0</v>
      </c>
      <c r="K903" t="n">
        <v>0</v>
      </c>
      <c r="L903" t="n">
        <v>0</v>
      </c>
      <c r="M903" t="n">
        <v>0</v>
      </c>
      <c r="N903" t="n">
        <v>0</v>
      </c>
      <c r="O903" t="n">
        <v>0</v>
      </c>
      <c r="P903" t="n">
        <v>0</v>
      </c>
      <c r="Q903" t="n">
        <v>0</v>
      </c>
      <c r="R903" s="2" t="inlineStr"/>
    </row>
    <row r="904" ht="15" customHeight="1">
      <c r="A904" t="inlineStr">
        <is>
          <t>A 55359-2024</t>
        </is>
      </c>
      <c r="B904" s="1" t="n">
        <v>45621.82230324074</v>
      </c>
      <c r="C904" s="1" t="n">
        <v>46159</v>
      </c>
      <c r="D904" t="inlineStr">
        <is>
          <t>KALMAR LÄN</t>
        </is>
      </c>
      <c r="E904" t="inlineStr">
        <is>
          <t>VÄSTERVIK</t>
        </is>
      </c>
      <c r="F904" t="inlineStr">
        <is>
          <t>Sveaskog</t>
        </is>
      </c>
      <c r="G904" t="n">
        <v>6.8</v>
      </c>
      <c r="H904" t="n">
        <v>0</v>
      </c>
      <c r="I904" t="n">
        <v>0</v>
      </c>
      <c r="J904" t="n">
        <v>0</v>
      </c>
      <c r="K904" t="n">
        <v>0</v>
      </c>
      <c r="L904" t="n">
        <v>0</v>
      </c>
      <c r="M904" t="n">
        <v>0</v>
      </c>
      <c r="N904" t="n">
        <v>0</v>
      </c>
      <c r="O904" t="n">
        <v>0</v>
      </c>
      <c r="P904" t="n">
        <v>0</v>
      </c>
      <c r="Q904" t="n">
        <v>0</v>
      </c>
      <c r="R904" s="2" t="inlineStr"/>
    </row>
    <row r="905" ht="15" customHeight="1">
      <c r="A905" t="inlineStr">
        <is>
          <t>A 9263-2025</t>
        </is>
      </c>
      <c r="B905" s="1" t="n">
        <v>45714.60927083333</v>
      </c>
      <c r="C905" s="1" t="n">
        <v>46159</v>
      </c>
      <c r="D905" t="inlineStr">
        <is>
          <t>KALMAR LÄN</t>
        </is>
      </c>
      <c r="E905" t="inlineStr">
        <is>
          <t>VÄSTERVIK</t>
        </is>
      </c>
      <c r="F905" t="inlineStr">
        <is>
          <t>Sveaskog</t>
        </is>
      </c>
      <c r="G905" t="n">
        <v>5.2</v>
      </c>
      <c r="H905" t="n">
        <v>0</v>
      </c>
      <c r="I905" t="n">
        <v>0</v>
      </c>
      <c r="J905" t="n">
        <v>0</v>
      </c>
      <c r="K905" t="n">
        <v>0</v>
      </c>
      <c r="L905" t="n">
        <v>0</v>
      </c>
      <c r="M905" t="n">
        <v>0</v>
      </c>
      <c r="N905" t="n">
        <v>0</v>
      </c>
      <c r="O905" t="n">
        <v>0</v>
      </c>
      <c r="P905" t="n">
        <v>0</v>
      </c>
      <c r="Q905" t="n">
        <v>0</v>
      </c>
      <c r="R905" s="2" t="inlineStr"/>
    </row>
    <row r="906" ht="15" customHeight="1">
      <c r="A906" t="inlineStr">
        <is>
          <t>A 38045-2023</t>
        </is>
      </c>
      <c r="B906" s="1" t="n">
        <v>45160.67251157408</v>
      </c>
      <c r="C906" s="1" t="n">
        <v>46159</v>
      </c>
      <c r="D906" t="inlineStr">
        <is>
          <t>KALMAR LÄN</t>
        </is>
      </c>
      <c r="E906" t="inlineStr">
        <is>
          <t>VÄSTERVIK</t>
        </is>
      </c>
      <c r="F906" t="inlineStr">
        <is>
          <t>Sveaskog</t>
        </is>
      </c>
      <c r="G906" t="n">
        <v>7.9</v>
      </c>
      <c r="H906" t="n">
        <v>0</v>
      </c>
      <c r="I906" t="n">
        <v>0</v>
      </c>
      <c r="J906" t="n">
        <v>0</v>
      </c>
      <c r="K906" t="n">
        <v>0</v>
      </c>
      <c r="L906" t="n">
        <v>0</v>
      </c>
      <c r="M906" t="n">
        <v>0</v>
      </c>
      <c r="N906" t="n">
        <v>0</v>
      </c>
      <c r="O906" t="n">
        <v>0</v>
      </c>
      <c r="P906" t="n">
        <v>0</v>
      </c>
      <c r="Q906" t="n">
        <v>0</v>
      </c>
      <c r="R906" s="2" t="inlineStr"/>
    </row>
    <row r="907" ht="15" customHeight="1">
      <c r="A907" t="inlineStr">
        <is>
          <t>A 36555-2024</t>
        </is>
      </c>
      <c r="B907" s="1" t="n">
        <v>45537</v>
      </c>
      <c r="C907" s="1" t="n">
        <v>46159</v>
      </c>
      <c r="D907" t="inlineStr">
        <is>
          <t>KALMAR LÄN</t>
        </is>
      </c>
      <c r="E907" t="inlineStr">
        <is>
          <t>VÄSTERVIK</t>
        </is>
      </c>
      <c r="F907" t="inlineStr">
        <is>
          <t>Kommuner</t>
        </is>
      </c>
      <c r="G907" t="n">
        <v>0.8</v>
      </c>
      <c r="H907" t="n">
        <v>0</v>
      </c>
      <c r="I907" t="n">
        <v>0</v>
      </c>
      <c r="J907" t="n">
        <v>0</v>
      </c>
      <c r="K907" t="n">
        <v>0</v>
      </c>
      <c r="L907" t="n">
        <v>0</v>
      </c>
      <c r="M907" t="n">
        <v>0</v>
      </c>
      <c r="N907" t="n">
        <v>0</v>
      </c>
      <c r="O907" t="n">
        <v>0</v>
      </c>
      <c r="P907" t="n">
        <v>0</v>
      </c>
      <c r="Q907" t="n">
        <v>0</v>
      </c>
      <c r="R907" s="2" t="inlineStr"/>
    </row>
    <row r="908" ht="15" customHeight="1">
      <c r="A908" t="inlineStr">
        <is>
          <t>A 55361-2024</t>
        </is>
      </c>
      <c r="B908" s="1" t="n">
        <v>45621.83300925926</v>
      </c>
      <c r="C908" s="1" t="n">
        <v>46159</v>
      </c>
      <c r="D908" t="inlineStr">
        <is>
          <t>KALMAR LÄN</t>
        </is>
      </c>
      <c r="E908" t="inlineStr">
        <is>
          <t>VÄSTERVIK</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55362-2024</t>
        </is>
      </c>
      <c r="B909" s="1" t="n">
        <v>45621.83461805555</v>
      </c>
      <c r="C909" s="1" t="n">
        <v>46159</v>
      </c>
      <c r="D909" t="inlineStr">
        <is>
          <t>KALMAR LÄN</t>
        </is>
      </c>
      <c r="E909" t="inlineStr">
        <is>
          <t>VÄSTERVIK</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3041-2025</t>
        </is>
      </c>
      <c r="B910" s="1" t="n">
        <v>45678.60493055556</v>
      </c>
      <c r="C910" s="1" t="n">
        <v>46159</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c r="U910">
        <f>HYPERLINK("https://klasma.github.io/Logging_0883/knärot/A 3041-2025 karta knärot.png", "A 3041-2025")</f>
        <v/>
      </c>
      <c r="V910">
        <f>HYPERLINK("https://klasma.github.io/Logging_0883/klagomål/A 3041-2025 FSC-klagomål.docx", "A 3041-2025")</f>
        <v/>
      </c>
      <c r="W910">
        <f>HYPERLINK("https://klasma.github.io/Logging_0883/klagomålsmail/A 3041-2025 FSC-klagomål mail.docx", "A 3041-2025")</f>
        <v/>
      </c>
      <c r="X910">
        <f>HYPERLINK("https://klasma.github.io/Logging_0883/tillsyn/A 3041-2025 tillsynsbegäran.docx", "A 3041-2025")</f>
        <v/>
      </c>
      <c r="Y910">
        <f>HYPERLINK("https://klasma.github.io/Logging_0883/tillsynsmail/A 3041-2025 tillsynsbegäran mail.docx", "A 3041-2025")</f>
        <v/>
      </c>
    </row>
    <row r="911" ht="15" customHeight="1">
      <c r="A911" t="inlineStr">
        <is>
          <t>A 2360-2025</t>
        </is>
      </c>
      <c r="B911" s="1" t="n">
        <v>45673.69037037037</v>
      </c>
      <c r="C911" s="1" t="n">
        <v>46159</v>
      </c>
      <c r="D911" t="inlineStr">
        <is>
          <t>KALMAR LÄN</t>
        </is>
      </c>
      <c r="E911" t="inlineStr">
        <is>
          <t>VÄSTERVIK</t>
        </is>
      </c>
      <c r="G911" t="n">
        <v>3</v>
      </c>
      <c r="H911" t="n">
        <v>0</v>
      </c>
      <c r="I911" t="n">
        <v>0</v>
      </c>
      <c r="J911" t="n">
        <v>0</v>
      </c>
      <c r="K911" t="n">
        <v>0</v>
      </c>
      <c r="L911" t="n">
        <v>0</v>
      </c>
      <c r="M911" t="n">
        <v>0</v>
      </c>
      <c r="N911" t="n">
        <v>0</v>
      </c>
      <c r="O911" t="n">
        <v>0</v>
      </c>
      <c r="P911" t="n">
        <v>0</v>
      </c>
      <c r="Q911" t="n">
        <v>0</v>
      </c>
      <c r="R911" s="2" t="inlineStr"/>
    </row>
    <row r="912" ht="15" customHeight="1">
      <c r="A912" t="inlineStr">
        <is>
          <t>A 20810-2026</t>
        </is>
      </c>
      <c r="B912" s="1" t="n">
        <v>46141.71180555555</v>
      </c>
      <c r="C912" s="1" t="n">
        <v>46159</v>
      </c>
      <c r="D912" t="inlineStr">
        <is>
          <t>KALMAR LÄN</t>
        </is>
      </c>
      <c r="E912" t="inlineStr">
        <is>
          <t>VÄSTERVIK</t>
        </is>
      </c>
      <c r="F912" t="inlineStr">
        <is>
          <t>Sveaskog</t>
        </is>
      </c>
      <c r="G912" t="n">
        <v>4.4</v>
      </c>
      <c r="H912" t="n">
        <v>0</v>
      </c>
      <c r="I912" t="n">
        <v>0</v>
      </c>
      <c r="J912" t="n">
        <v>0</v>
      </c>
      <c r="K912" t="n">
        <v>0</v>
      </c>
      <c r="L912" t="n">
        <v>0</v>
      </c>
      <c r="M912" t="n">
        <v>0</v>
      </c>
      <c r="N912" t="n">
        <v>0</v>
      </c>
      <c r="O912" t="n">
        <v>0</v>
      </c>
      <c r="P912" t="n">
        <v>0</v>
      </c>
      <c r="Q912" t="n">
        <v>0</v>
      </c>
      <c r="R912" s="2" t="inlineStr"/>
    </row>
    <row r="913" ht="15" customHeight="1">
      <c r="A913" t="inlineStr">
        <is>
          <t>A 21824-2023</t>
        </is>
      </c>
      <c r="B913" s="1" t="n">
        <v>45068</v>
      </c>
      <c r="C913" s="1" t="n">
        <v>46159</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14224-2026</t>
        </is>
      </c>
      <c r="B914" s="1" t="n">
        <v>46099.57502314815</v>
      </c>
      <c r="C914" s="1" t="n">
        <v>46159</v>
      </c>
      <c r="D914" t="inlineStr">
        <is>
          <t>KALMAR LÄN</t>
        </is>
      </c>
      <c r="E914" t="inlineStr">
        <is>
          <t>VÄSTERVIK</t>
        </is>
      </c>
      <c r="G914" t="n">
        <v>1.9</v>
      </c>
      <c r="H914" t="n">
        <v>0</v>
      </c>
      <c r="I914" t="n">
        <v>0</v>
      </c>
      <c r="J914" t="n">
        <v>0</v>
      </c>
      <c r="K914" t="n">
        <v>0</v>
      </c>
      <c r="L914" t="n">
        <v>0</v>
      </c>
      <c r="M914" t="n">
        <v>0</v>
      </c>
      <c r="N914" t="n">
        <v>0</v>
      </c>
      <c r="O914" t="n">
        <v>0</v>
      </c>
      <c r="P914" t="n">
        <v>0</v>
      </c>
      <c r="Q914" t="n">
        <v>0</v>
      </c>
      <c r="R914" s="2" t="inlineStr"/>
    </row>
    <row r="915" ht="15" customHeight="1">
      <c r="A915" t="inlineStr">
        <is>
          <t>A 1788-2025</t>
        </is>
      </c>
      <c r="B915" s="1" t="n">
        <v>45671.45521990741</v>
      </c>
      <c r="C915" s="1" t="n">
        <v>46159</v>
      </c>
      <c r="D915" t="inlineStr">
        <is>
          <t>KALMAR LÄN</t>
        </is>
      </c>
      <c r="E915" t="inlineStr">
        <is>
          <t>VÄSTERVIK</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55565-2024</t>
        </is>
      </c>
      <c r="B916" s="1" t="n">
        <v>45622.54515046296</v>
      </c>
      <c r="C916" s="1" t="n">
        <v>46159</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10771-2025</t>
        </is>
      </c>
      <c r="B917" s="1" t="n">
        <v>45722.46953703704</v>
      </c>
      <c r="C917" s="1" t="n">
        <v>46159</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28657-2024</t>
        </is>
      </c>
      <c r="B918" s="1" t="n">
        <v>45478</v>
      </c>
      <c r="C918" s="1" t="n">
        <v>46159</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26061-2024</t>
        </is>
      </c>
      <c r="B919" s="1" t="n">
        <v>45468.35030092593</v>
      </c>
      <c r="C919" s="1" t="n">
        <v>46159</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26066-2024</t>
        </is>
      </c>
      <c r="B920" s="1" t="n">
        <v>45468.35390046296</v>
      </c>
      <c r="C920" s="1" t="n">
        <v>46159</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58764-2024</t>
        </is>
      </c>
      <c r="B921" s="1" t="n">
        <v>45635.72293981481</v>
      </c>
      <c r="C921" s="1" t="n">
        <v>46159</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13489-2022</t>
        </is>
      </c>
      <c r="B922" s="1" t="n">
        <v>44646</v>
      </c>
      <c r="C922" s="1" t="n">
        <v>46159</v>
      </c>
      <c r="D922" t="inlineStr">
        <is>
          <t>KALMAR LÄN</t>
        </is>
      </c>
      <c r="E922" t="inlineStr">
        <is>
          <t>VÄSTERVIK</t>
        </is>
      </c>
      <c r="G922" t="n">
        <v>2.5</v>
      </c>
      <c r="H922" t="n">
        <v>0</v>
      </c>
      <c r="I922" t="n">
        <v>0</v>
      </c>
      <c r="J922" t="n">
        <v>0</v>
      </c>
      <c r="K922" t="n">
        <v>0</v>
      </c>
      <c r="L922" t="n">
        <v>0</v>
      </c>
      <c r="M922" t="n">
        <v>0</v>
      </c>
      <c r="N922" t="n">
        <v>0</v>
      </c>
      <c r="O922" t="n">
        <v>0</v>
      </c>
      <c r="P922" t="n">
        <v>0</v>
      </c>
      <c r="Q922" t="n">
        <v>0</v>
      </c>
      <c r="R922" s="2" t="inlineStr"/>
    </row>
    <row r="923" ht="15" customHeight="1">
      <c r="A923" t="inlineStr">
        <is>
          <t>A 7883-2025</t>
        </is>
      </c>
      <c r="B923" s="1" t="n">
        <v>45706.8156712963</v>
      </c>
      <c r="C923" s="1" t="n">
        <v>46159</v>
      </c>
      <c r="D923" t="inlineStr">
        <is>
          <t>KALMAR LÄN</t>
        </is>
      </c>
      <c r="E923" t="inlineStr">
        <is>
          <t>VÄSTERVIK</t>
        </is>
      </c>
      <c r="G923" t="n">
        <v>0.2</v>
      </c>
      <c r="H923" t="n">
        <v>0</v>
      </c>
      <c r="I923" t="n">
        <v>0</v>
      </c>
      <c r="J923" t="n">
        <v>0</v>
      </c>
      <c r="K923" t="n">
        <v>0</v>
      </c>
      <c r="L923" t="n">
        <v>0</v>
      </c>
      <c r="M923" t="n">
        <v>0</v>
      </c>
      <c r="N923" t="n">
        <v>0</v>
      </c>
      <c r="O923" t="n">
        <v>0</v>
      </c>
      <c r="P923" t="n">
        <v>0</v>
      </c>
      <c r="Q923" t="n">
        <v>0</v>
      </c>
      <c r="R923" s="2" t="inlineStr"/>
    </row>
    <row r="924" ht="15" customHeight="1">
      <c r="A924" t="inlineStr">
        <is>
          <t>A 20965-2026</t>
        </is>
      </c>
      <c r="B924" s="1" t="n">
        <v>46142.55155092593</v>
      </c>
      <c r="C924" s="1" t="n">
        <v>46159</v>
      </c>
      <c r="D924" t="inlineStr">
        <is>
          <t>KALMAR LÄN</t>
        </is>
      </c>
      <c r="E924" t="inlineStr">
        <is>
          <t>VÄSTERVIK</t>
        </is>
      </c>
      <c r="F924" t="inlineStr">
        <is>
          <t>Sveaskog</t>
        </is>
      </c>
      <c r="G924" t="n">
        <v>13.5</v>
      </c>
      <c r="H924" t="n">
        <v>0</v>
      </c>
      <c r="I924" t="n">
        <v>0</v>
      </c>
      <c r="J924" t="n">
        <v>0</v>
      </c>
      <c r="K924" t="n">
        <v>0</v>
      </c>
      <c r="L924" t="n">
        <v>0</v>
      </c>
      <c r="M924" t="n">
        <v>0</v>
      </c>
      <c r="N924" t="n">
        <v>0</v>
      </c>
      <c r="O924" t="n">
        <v>0</v>
      </c>
      <c r="P924" t="n">
        <v>0</v>
      </c>
      <c r="Q924" t="n">
        <v>0</v>
      </c>
      <c r="R924" s="2" t="inlineStr"/>
    </row>
    <row r="925" ht="15" customHeight="1">
      <c r="A925" t="inlineStr">
        <is>
          <t>A 2859-2025</t>
        </is>
      </c>
      <c r="B925" s="1" t="n">
        <v>45677.67003472222</v>
      </c>
      <c r="C925" s="1" t="n">
        <v>46159</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2870-2025</t>
        </is>
      </c>
      <c r="B926" s="1" t="n">
        <v>45677.68149305556</v>
      </c>
      <c r="C926" s="1" t="n">
        <v>46159</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15183-2026</t>
        </is>
      </c>
      <c r="B927" s="1" t="n">
        <v>46105.4558912037</v>
      </c>
      <c r="C927" s="1" t="n">
        <v>46159</v>
      </c>
      <c r="D927" t="inlineStr">
        <is>
          <t>KALMAR LÄN</t>
        </is>
      </c>
      <c r="E927" t="inlineStr">
        <is>
          <t>VÄSTERVIK</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15338-2026</t>
        </is>
      </c>
      <c r="B928" s="1" t="n">
        <v>46105.66498842592</v>
      </c>
      <c r="C928" s="1" t="n">
        <v>46159</v>
      </c>
      <c r="D928" t="inlineStr">
        <is>
          <t>KALMAR LÄN</t>
        </is>
      </c>
      <c r="E928" t="inlineStr">
        <is>
          <t>VÄSTERVIK</t>
        </is>
      </c>
      <c r="F928" t="inlineStr">
        <is>
          <t>Holmen skog AB</t>
        </is>
      </c>
      <c r="G928" t="n">
        <v>0.4</v>
      </c>
      <c r="H928" t="n">
        <v>0</v>
      </c>
      <c r="I928" t="n">
        <v>0</v>
      </c>
      <c r="J928" t="n">
        <v>0</v>
      </c>
      <c r="K928" t="n">
        <v>0</v>
      </c>
      <c r="L928" t="n">
        <v>0</v>
      </c>
      <c r="M928" t="n">
        <v>0</v>
      </c>
      <c r="N928" t="n">
        <v>0</v>
      </c>
      <c r="O928" t="n">
        <v>0</v>
      </c>
      <c r="P928" t="n">
        <v>0</v>
      </c>
      <c r="Q928" t="n">
        <v>0</v>
      </c>
      <c r="R928" s="2" t="inlineStr"/>
    </row>
    <row r="929" ht="15" customHeight="1">
      <c r="A929" t="inlineStr">
        <is>
          <t>A 21319-2026</t>
        </is>
      </c>
      <c r="B929" s="1" t="n">
        <v>46147.55478009259</v>
      </c>
      <c r="C929" s="1" t="n">
        <v>46159</v>
      </c>
      <c r="D929" t="inlineStr">
        <is>
          <t>KALMAR LÄN</t>
        </is>
      </c>
      <c r="E929" t="inlineStr">
        <is>
          <t>VÄSTERVIK</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21330-2026</t>
        </is>
      </c>
      <c r="B930" s="1" t="n">
        <v>46147.57118055555</v>
      </c>
      <c r="C930" s="1" t="n">
        <v>46159</v>
      </c>
      <c r="D930" t="inlineStr">
        <is>
          <t>KALMAR LÄN</t>
        </is>
      </c>
      <c r="E930" t="inlineStr">
        <is>
          <t>VÄSTERVIK</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15277-2026</t>
        </is>
      </c>
      <c r="B931" s="1" t="n">
        <v>46105.60828703704</v>
      </c>
      <c r="C931" s="1" t="n">
        <v>46159</v>
      </c>
      <c r="D931" t="inlineStr">
        <is>
          <t>KALMAR LÄN</t>
        </is>
      </c>
      <c r="E931" t="inlineStr">
        <is>
          <t>VÄSTERVIK</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21325-2026</t>
        </is>
      </c>
      <c r="B932" s="1" t="n">
        <v>46147.56699074074</v>
      </c>
      <c r="C932" s="1" t="n">
        <v>46159</v>
      </c>
      <c r="D932" t="inlineStr">
        <is>
          <t>KALMAR LÄN</t>
        </is>
      </c>
      <c r="E932" t="inlineStr">
        <is>
          <t>VÄSTERVIK</t>
        </is>
      </c>
      <c r="F932" t="inlineStr">
        <is>
          <t>Sveaskog</t>
        </is>
      </c>
      <c r="G932" t="n">
        <v>5.2</v>
      </c>
      <c r="H932" t="n">
        <v>0</v>
      </c>
      <c r="I932" t="n">
        <v>0</v>
      </c>
      <c r="J932" t="n">
        <v>0</v>
      </c>
      <c r="K932" t="n">
        <v>0</v>
      </c>
      <c r="L932" t="n">
        <v>0</v>
      </c>
      <c r="M932" t="n">
        <v>0</v>
      </c>
      <c r="N932" t="n">
        <v>0</v>
      </c>
      <c r="O932" t="n">
        <v>0</v>
      </c>
      <c r="P932" t="n">
        <v>0</v>
      </c>
      <c r="Q932" t="n">
        <v>0</v>
      </c>
      <c r="R932" s="2" t="inlineStr"/>
    </row>
    <row r="933" ht="15" customHeight="1">
      <c r="A933" t="inlineStr">
        <is>
          <t>A 15297-2026</t>
        </is>
      </c>
      <c r="B933" s="1" t="n">
        <v>46105.629375</v>
      </c>
      <c r="C933" s="1" t="n">
        <v>46159</v>
      </c>
      <c r="D933" t="inlineStr">
        <is>
          <t>KALMAR LÄN</t>
        </is>
      </c>
      <c r="E933" t="inlineStr">
        <is>
          <t>VÄSTERVIK</t>
        </is>
      </c>
      <c r="F933" t="inlineStr">
        <is>
          <t>Holmen skog AB</t>
        </is>
      </c>
      <c r="G933" t="n">
        <v>4.8</v>
      </c>
      <c r="H933" t="n">
        <v>0</v>
      </c>
      <c r="I933" t="n">
        <v>0</v>
      </c>
      <c r="J933" t="n">
        <v>0</v>
      </c>
      <c r="K933" t="n">
        <v>0</v>
      </c>
      <c r="L933" t="n">
        <v>0</v>
      </c>
      <c r="M933" t="n">
        <v>0</v>
      </c>
      <c r="N933" t="n">
        <v>0</v>
      </c>
      <c r="O933" t="n">
        <v>0</v>
      </c>
      <c r="P933" t="n">
        <v>0</v>
      </c>
      <c r="Q933" t="n">
        <v>0</v>
      </c>
      <c r="R933" s="2" t="inlineStr"/>
    </row>
    <row r="934" ht="15" customHeight="1">
      <c r="A934" t="inlineStr">
        <is>
          <t>A 21331-2026</t>
        </is>
      </c>
      <c r="B934" s="1" t="n">
        <v>46147.57258101852</v>
      </c>
      <c r="C934" s="1" t="n">
        <v>46159</v>
      </c>
      <c r="D934" t="inlineStr">
        <is>
          <t>KALMAR LÄN</t>
        </is>
      </c>
      <c r="E934" t="inlineStr">
        <is>
          <t>VÄSTERVIK</t>
        </is>
      </c>
      <c r="F934" t="inlineStr">
        <is>
          <t>Sveaskog</t>
        </is>
      </c>
      <c r="G934" t="n">
        <v>3.5</v>
      </c>
      <c r="H934" t="n">
        <v>0</v>
      </c>
      <c r="I934" t="n">
        <v>0</v>
      </c>
      <c r="J934" t="n">
        <v>0</v>
      </c>
      <c r="K934" t="n">
        <v>0</v>
      </c>
      <c r="L934" t="n">
        <v>0</v>
      </c>
      <c r="M934" t="n">
        <v>0</v>
      </c>
      <c r="N934" t="n">
        <v>0</v>
      </c>
      <c r="O934" t="n">
        <v>0</v>
      </c>
      <c r="P934" t="n">
        <v>0</v>
      </c>
      <c r="Q934" t="n">
        <v>0</v>
      </c>
      <c r="R934" s="2" t="inlineStr"/>
    </row>
    <row r="935" ht="15" customHeight="1">
      <c r="A935" t="inlineStr">
        <is>
          <t>A 42816-2024</t>
        </is>
      </c>
      <c r="B935" s="1" t="n">
        <v>45566</v>
      </c>
      <c r="C935" s="1" t="n">
        <v>46159</v>
      </c>
      <c r="D935" t="inlineStr">
        <is>
          <t>KALMAR LÄN</t>
        </is>
      </c>
      <c r="E935" t="inlineStr">
        <is>
          <t>VÄSTERVIK</t>
        </is>
      </c>
      <c r="G935" t="n">
        <v>0.1</v>
      </c>
      <c r="H935" t="n">
        <v>0</v>
      </c>
      <c r="I935" t="n">
        <v>0</v>
      </c>
      <c r="J935" t="n">
        <v>0</v>
      </c>
      <c r="K935" t="n">
        <v>0</v>
      </c>
      <c r="L935" t="n">
        <v>0</v>
      </c>
      <c r="M935" t="n">
        <v>0</v>
      </c>
      <c r="N935" t="n">
        <v>0</v>
      </c>
      <c r="O935" t="n">
        <v>0</v>
      </c>
      <c r="P935" t="n">
        <v>0</v>
      </c>
      <c r="Q935" t="n">
        <v>0</v>
      </c>
      <c r="R935" s="2" t="inlineStr"/>
    </row>
    <row r="936" ht="15" customHeight="1">
      <c r="A936" t="inlineStr">
        <is>
          <t>A 15173-2026</t>
        </is>
      </c>
      <c r="B936" s="1" t="n">
        <v>46105.44638888889</v>
      </c>
      <c r="C936" s="1" t="n">
        <v>46159</v>
      </c>
      <c r="D936" t="inlineStr">
        <is>
          <t>KALMAR LÄN</t>
        </is>
      </c>
      <c r="E936" t="inlineStr">
        <is>
          <t>VÄSTERVIK</t>
        </is>
      </c>
      <c r="F936" t="inlineStr">
        <is>
          <t>Sveaskog</t>
        </is>
      </c>
      <c r="G936" t="n">
        <v>11.7</v>
      </c>
      <c r="H936" t="n">
        <v>0</v>
      </c>
      <c r="I936" t="n">
        <v>0</v>
      </c>
      <c r="J936" t="n">
        <v>0</v>
      </c>
      <c r="K936" t="n">
        <v>0</v>
      </c>
      <c r="L936" t="n">
        <v>0</v>
      </c>
      <c r="M936" t="n">
        <v>0</v>
      </c>
      <c r="N936" t="n">
        <v>0</v>
      </c>
      <c r="O936" t="n">
        <v>0</v>
      </c>
      <c r="P936" t="n">
        <v>0</v>
      </c>
      <c r="Q936" t="n">
        <v>0</v>
      </c>
      <c r="R936" s="2" t="inlineStr"/>
    </row>
    <row r="937" ht="15" customHeight="1">
      <c r="A937" t="inlineStr">
        <is>
          <t>A 15307-2026</t>
        </is>
      </c>
      <c r="B937" s="1" t="n">
        <v>46105.63892361111</v>
      </c>
      <c r="C937" s="1" t="n">
        <v>46159</v>
      </c>
      <c r="D937" t="inlineStr">
        <is>
          <t>KALMAR LÄN</t>
        </is>
      </c>
      <c r="E937" t="inlineStr">
        <is>
          <t>VÄSTERVIK</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15309-2026</t>
        </is>
      </c>
      <c r="B938" s="1" t="n">
        <v>46105.64400462963</v>
      </c>
      <c r="C938" s="1" t="n">
        <v>46159</v>
      </c>
      <c r="D938" t="inlineStr">
        <is>
          <t>KALMAR LÄN</t>
        </is>
      </c>
      <c r="E938" t="inlineStr">
        <is>
          <t>VÄSTERVIK</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55032-2024</t>
        </is>
      </c>
      <c r="B939" s="1" t="n">
        <v>45621.38190972222</v>
      </c>
      <c r="C939" s="1" t="n">
        <v>46159</v>
      </c>
      <c r="D939" t="inlineStr">
        <is>
          <t>KALMAR LÄN</t>
        </is>
      </c>
      <c r="E939" t="inlineStr">
        <is>
          <t>VÄSTERVIK</t>
        </is>
      </c>
      <c r="F939" t="inlineStr">
        <is>
          <t>Sveaskog</t>
        </is>
      </c>
      <c r="G939" t="n">
        <v>2.9</v>
      </c>
      <c r="H939" t="n">
        <v>0</v>
      </c>
      <c r="I939" t="n">
        <v>0</v>
      </c>
      <c r="J939" t="n">
        <v>0</v>
      </c>
      <c r="K939" t="n">
        <v>0</v>
      </c>
      <c r="L939" t="n">
        <v>0</v>
      </c>
      <c r="M939" t="n">
        <v>0</v>
      </c>
      <c r="N939" t="n">
        <v>0</v>
      </c>
      <c r="O939" t="n">
        <v>0</v>
      </c>
      <c r="P939" t="n">
        <v>0</v>
      </c>
      <c r="Q939" t="n">
        <v>0</v>
      </c>
      <c r="R939" s="2" t="inlineStr"/>
    </row>
    <row r="940" ht="15" customHeight="1">
      <c r="A940" t="inlineStr">
        <is>
          <t>A 15313-2026</t>
        </is>
      </c>
      <c r="B940" s="1" t="n">
        <v>46105.64837962963</v>
      </c>
      <c r="C940" s="1" t="n">
        <v>46159</v>
      </c>
      <c r="D940" t="inlineStr">
        <is>
          <t>KALMAR LÄN</t>
        </is>
      </c>
      <c r="E940" t="inlineStr">
        <is>
          <t>VÄSTERVIK</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55037-2024</t>
        </is>
      </c>
      <c r="B941" s="1" t="n">
        <v>45621.38459490741</v>
      </c>
      <c r="C941" s="1" t="n">
        <v>46159</v>
      </c>
      <c r="D941" t="inlineStr">
        <is>
          <t>KALMAR LÄN</t>
        </is>
      </c>
      <c r="E941" t="inlineStr">
        <is>
          <t>VÄSTERVIK</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21329-2026</t>
        </is>
      </c>
      <c r="B942" s="1" t="n">
        <v>46147.57009259259</v>
      </c>
      <c r="C942" s="1" t="n">
        <v>46159</v>
      </c>
      <c r="D942" t="inlineStr">
        <is>
          <t>KALMAR LÄN</t>
        </is>
      </c>
      <c r="E942" t="inlineStr">
        <is>
          <t>VÄSTERVIK</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21354-2026</t>
        </is>
      </c>
      <c r="B943" s="1" t="n">
        <v>46147.63327546296</v>
      </c>
      <c r="C943" s="1" t="n">
        <v>46159</v>
      </c>
      <c r="D943" t="inlineStr">
        <is>
          <t>KALMAR LÄN</t>
        </is>
      </c>
      <c r="E943" t="inlineStr">
        <is>
          <t>VÄSTERVIK</t>
        </is>
      </c>
      <c r="F943" t="inlineStr">
        <is>
          <t>Sveaskog</t>
        </is>
      </c>
      <c r="G943" t="n">
        <v>17.5</v>
      </c>
      <c r="H943" t="n">
        <v>0</v>
      </c>
      <c r="I943" t="n">
        <v>0</v>
      </c>
      <c r="J943" t="n">
        <v>0</v>
      </c>
      <c r="K943" t="n">
        <v>0</v>
      </c>
      <c r="L943" t="n">
        <v>0</v>
      </c>
      <c r="M943" t="n">
        <v>0</v>
      </c>
      <c r="N943" t="n">
        <v>0</v>
      </c>
      <c r="O943" t="n">
        <v>0</v>
      </c>
      <c r="P943" t="n">
        <v>0</v>
      </c>
      <c r="Q943" t="n">
        <v>0</v>
      </c>
      <c r="R943" s="2" t="inlineStr"/>
    </row>
    <row r="944" ht="15" customHeight="1">
      <c r="A944" t="inlineStr">
        <is>
          <t>A 55358-2024</t>
        </is>
      </c>
      <c r="B944" s="1" t="n">
        <v>45621.82039351852</v>
      </c>
      <c r="C944" s="1" t="n">
        <v>46159</v>
      </c>
      <c r="D944" t="inlineStr">
        <is>
          <t>KALMAR LÄN</t>
        </is>
      </c>
      <c r="E944" t="inlineStr">
        <is>
          <t>VÄSTERVIK</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19551-2023</t>
        </is>
      </c>
      <c r="B945" s="1" t="n">
        <v>45049</v>
      </c>
      <c r="C945" s="1" t="n">
        <v>46159</v>
      </c>
      <c r="D945" t="inlineStr">
        <is>
          <t>KALMAR LÄN</t>
        </is>
      </c>
      <c r="E945" t="inlineStr">
        <is>
          <t>VÄSTERVIK</t>
        </is>
      </c>
      <c r="G945" t="n">
        <v>3.2</v>
      </c>
      <c r="H945" t="n">
        <v>0</v>
      </c>
      <c r="I945" t="n">
        <v>0</v>
      </c>
      <c r="J945" t="n">
        <v>0</v>
      </c>
      <c r="K945" t="n">
        <v>0</v>
      </c>
      <c r="L945" t="n">
        <v>0</v>
      </c>
      <c r="M945" t="n">
        <v>0</v>
      </c>
      <c r="N945" t="n">
        <v>0</v>
      </c>
      <c r="O945" t="n">
        <v>0</v>
      </c>
      <c r="P945" t="n">
        <v>0</v>
      </c>
      <c r="Q945" t="n">
        <v>0</v>
      </c>
      <c r="R945" s="2" t="inlineStr"/>
    </row>
    <row r="946" ht="15" customHeight="1">
      <c r="A946" t="inlineStr">
        <is>
          <t>A 15161-2026</t>
        </is>
      </c>
      <c r="B946" s="1" t="n">
        <v>46105.43138888889</v>
      </c>
      <c r="C946" s="1" t="n">
        <v>46159</v>
      </c>
      <c r="D946" t="inlineStr">
        <is>
          <t>KALMAR LÄN</t>
        </is>
      </c>
      <c r="E946" t="inlineStr">
        <is>
          <t>VÄSTERVIK</t>
        </is>
      </c>
      <c r="F946" t="inlineStr">
        <is>
          <t>Sveaskog</t>
        </is>
      </c>
      <c r="G946" t="n">
        <v>6.2</v>
      </c>
      <c r="H946" t="n">
        <v>0</v>
      </c>
      <c r="I946" t="n">
        <v>0</v>
      </c>
      <c r="J946" t="n">
        <v>0</v>
      </c>
      <c r="K946" t="n">
        <v>0</v>
      </c>
      <c r="L946" t="n">
        <v>0</v>
      </c>
      <c r="M946" t="n">
        <v>0</v>
      </c>
      <c r="N946" t="n">
        <v>0</v>
      </c>
      <c r="O946" t="n">
        <v>0</v>
      </c>
      <c r="P946" t="n">
        <v>0</v>
      </c>
      <c r="Q946" t="n">
        <v>0</v>
      </c>
      <c r="R946" s="2" t="inlineStr"/>
    </row>
    <row r="947" ht="15" customHeight="1">
      <c r="A947" t="inlineStr">
        <is>
          <t>A 21322-2026</t>
        </is>
      </c>
      <c r="B947" s="1" t="n">
        <v>46147.56318287037</v>
      </c>
      <c r="C947" s="1" t="n">
        <v>46159</v>
      </c>
      <c r="D947" t="inlineStr">
        <is>
          <t>KALMAR LÄN</t>
        </is>
      </c>
      <c r="E947" t="inlineStr">
        <is>
          <t>VÄSTERVIK</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32394-2021</t>
        </is>
      </c>
      <c r="B948" s="1" t="n">
        <v>44371.63414351852</v>
      </c>
      <c r="C948" s="1" t="n">
        <v>46159</v>
      </c>
      <c r="D948" t="inlineStr">
        <is>
          <t>KALMAR LÄN</t>
        </is>
      </c>
      <c r="E948" t="inlineStr">
        <is>
          <t>VÄSTERVIK</t>
        </is>
      </c>
      <c r="G948" t="n">
        <v>2.2</v>
      </c>
      <c r="H948" t="n">
        <v>0</v>
      </c>
      <c r="I948" t="n">
        <v>0</v>
      </c>
      <c r="J948" t="n">
        <v>0</v>
      </c>
      <c r="K948" t="n">
        <v>0</v>
      </c>
      <c r="L948" t="n">
        <v>0</v>
      </c>
      <c r="M948" t="n">
        <v>0</v>
      </c>
      <c r="N948" t="n">
        <v>0</v>
      </c>
      <c r="O948" t="n">
        <v>0</v>
      </c>
      <c r="P948" t="n">
        <v>0</v>
      </c>
      <c r="Q948" t="n">
        <v>0</v>
      </c>
      <c r="R948" s="2" t="inlineStr"/>
    </row>
    <row r="949" ht="15" customHeight="1">
      <c r="A949" t="inlineStr">
        <is>
          <t>A 17052-2025</t>
        </is>
      </c>
      <c r="B949" s="1" t="n">
        <v>45755.60236111111</v>
      </c>
      <c r="C949" s="1" t="n">
        <v>46159</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17054-2025</t>
        </is>
      </c>
      <c r="B950" s="1" t="n">
        <v>45755.60278935185</v>
      </c>
      <c r="C950" s="1" t="n">
        <v>46159</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26770-2023</t>
        </is>
      </c>
      <c r="B951" s="1" t="n">
        <v>45093</v>
      </c>
      <c r="C951" s="1" t="n">
        <v>46159</v>
      </c>
      <c r="D951" t="inlineStr">
        <is>
          <t>KALMAR LÄN</t>
        </is>
      </c>
      <c r="E951" t="inlineStr">
        <is>
          <t>VÄSTERVIK</t>
        </is>
      </c>
      <c r="G951" t="n">
        <v>2.6</v>
      </c>
      <c r="H951" t="n">
        <v>0</v>
      </c>
      <c r="I951" t="n">
        <v>0</v>
      </c>
      <c r="J951" t="n">
        <v>0</v>
      </c>
      <c r="K951" t="n">
        <v>0</v>
      </c>
      <c r="L951" t="n">
        <v>0</v>
      </c>
      <c r="M951" t="n">
        <v>0</v>
      </c>
      <c r="N951" t="n">
        <v>0</v>
      </c>
      <c r="O951" t="n">
        <v>0</v>
      </c>
      <c r="P951" t="n">
        <v>0</v>
      </c>
      <c r="Q951" t="n">
        <v>0</v>
      </c>
      <c r="R951" s="2" t="inlineStr"/>
    </row>
    <row r="952" ht="15" customHeight="1">
      <c r="A952" t="inlineStr">
        <is>
          <t>A 26772-2023</t>
        </is>
      </c>
      <c r="B952" s="1" t="n">
        <v>45093</v>
      </c>
      <c r="C952" s="1" t="n">
        <v>46159</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26773-2023</t>
        </is>
      </c>
      <c r="B953" s="1" t="n">
        <v>45093</v>
      </c>
      <c r="C953" s="1" t="n">
        <v>46159</v>
      </c>
      <c r="D953" t="inlineStr">
        <is>
          <t>KALMAR LÄN</t>
        </is>
      </c>
      <c r="E953" t="inlineStr">
        <is>
          <t>VÄSTERVIK</t>
        </is>
      </c>
      <c r="G953" t="n">
        <v>2.2</v>
      </c>
      <c r="H953" t="n">
        <v>0</v>
      </c>
      <c r="I953" t="n">
        <v>0</v>
      </c>
      <c r="J953" t="n">
        <v>0</v>
      </c>
      <c r="K953" t="n">
        <v>0</v>
      </c>
      <c r="L953" t="n">
        <v>0</v>
      </c>
      <c r="M953" t="n">
        <v>0</v>
      </c>
      <c r="N953" t="n">
        <v>0</v>
      </c>
      <c r="O953" t="n">
        <v>0</v>
      </c>
      <c r="P953" t="n">
        <v>0</v>
      </c>
      <c r="Q953" t="n">
        <v>0</v>
      </c>
      <c r="R953" s="2" t="inlineStr"/>
    </row>
    <row r="954" ht="15" customHeight="1">
      <c r="A954" t="inlineStr">
        <is>
          <t>A 46130-2023</t>
        </is>
      </c>
      <c r="B954" s="1" t="n">
        <v>45196.55849537037</v>
      </c>
      <c r="C954" s="1" t="n">
        <v>46159</v>
      </c>
      <c r="D954" t="inlineStr">
        <is>
          <t>KALMAR LÄN</t>
        </is>
      </c>
      <c r="E954" t="inlineStr">
        <is>
          <t>VÄSTERVIK</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16207-2022</t>
        </is>
      </c>
      <c r="B955" s="1" t="n">
        <v>44669</v>
      </c>
      <c r="C955" s="1" t="n">
        <v>46159</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19694-2025</t>
        </is>
      </c>
      <c r="B956" s="1" t="n">
        <v>45771.30550925926</v>
      </c>
      <c r="C956" s="1" t="n">
        <v>46159</v>
      </c>
      <c r="D956" t="inlineStr">
        <is>
          <t>KALMAR LÄN</t>
        </is>
      </c>
      <c r="E956" t="inlineStr">
        <is>
          <t>VÄSTERVIK</t>
        </is>
      </c>
      <c r="G956" t="n">
        <v>1.4</v>
      </c>
      <c r="H956" t="n">
        <v>0</v>
      </c>
      <c r="I956" t="n">
        <v>0</v>
      </c>
      <c r="J956" t="n">
        <v>0</v>
      </c>
      <c r="K956" t="n">
        <v>0</v>
      </c>
      <c r="L956" t="n">
        <v>0</v>
      </c>
      <c r="M956" t="n">
        <v>0</v>
      </c>
      <c r="N956" t="n">
        <v>0</v>
      </c>
      <c r="O956" t="n">
        <v>0</v>
      </c>
      <c r="P956" t="n">
        <v>0</v>
      </c>
      <c r="Q956" t="n">
        <v>0</v>
      </c>
      <c r="R956" s="2" t="inlineStr"/>
    </row>
    <row r="957" ht="15" customHeight="1">
      <c r="A957" t="inlineStr">
        <is>
          <t>A 56042-2023</t>
        </is>
      </c>
      <c r="B957" s="1" t="n">
        <v>45240.44670138889</v>
      </c>
      <c r="C957" s="1" t="n">
        <v>46159</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35662-2023</t>
        </is>
      </c>
      <c r="B958" s="1" t="n">
        <v>45147</v>
      </c>
      <c r="C958" s="1" t="n">
        <v>46159</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7164-2025</t>
        </is>
      </c>
      <c r="B959" s="1" t="n">
        <v>45702.39331018519</v>
      </c>
      <c r="C959" s="1" t="n">
        <v>46159</v>
      </c>
      <c r="D959" t="inlineStr">
        <is>
          <t>KALMAR LÄN</t>
        </is>
      </c>
      <c r="E959" t="inlineStr">
        <is>
          <t>VÄSTERVIK</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1585-2022</t>
        </is>
      </c>
      <c r="B960" s="1" t="n">
        <v>44573</v>
      </c>
      <c r="C960" s="1" t="n">
        <v>46159</v>
      </c>
      <c r="D960" t="inlineStr">
        <is>
          <t>KALMAR LÄN</t>
        </is>
      </c>
      <c r="E960" t="inlineStr">
        <is>
          <t>VÄSTERVIK</t>
        </is>
      </c>
      <c r="F960" t="inlineStr">
        <is>
          <t>Holmen skog AB</t>
        </is>
      </c>
      <c r="G960" t="n">
        <v>2.4</v>
      </c>
      <c r="H960" t="n">
        <v>0</v>
      </c>
      <c r="I960" t="n">
        <v>0</v>
      </c>
      <c r="J960" t="n">
        <v>0</v>
      </c>
      <c r="K960" t="n">
        <v>0</v>
      </c>
      <c r="L960" t="n">
        <v>0</v>
      </c>
      <c r="M960" t="n">
        <v>0</v>
      </c>
      <c r="N960" t="n">
        <v>0</v>
      </c>
      <c r="O960" t="n">
        <v>0</v>
      </c>
      <c r="P960" t="n">
        <v>0</v>
      </c>
      <c r="Q960" t="n">
        <v>0</v>
      </c>
      <c r="R960" s="2" t="inlineStr"/>
    </row>
    <row r="961" ht="15" customHeight="1">
      <c r="A961" t="inlineStr">
        <is>
          <t>A 56077-2024</t>
        </is>
      </c>
      <c r="B961" s="1" t="n">
        <v>45624.38690972222</v>
      </c>
      <c r="C961" s="1" t="n">
        <v>46159</v>
      </c>
      <c r="D961" t="inlineStr">
        <is>
          <t>KALMAR LÄN</t>
        </is>
      </c>
      <c r="E961" t="inlineStr">
        <is>
          <t>VÄSTERVIK</t>
        </is>
      </c>
      <c r="G961" t="n">
        <v>0.7</v>
      </c>
      <c r="H961" t="n">
        <v>0</v>
      </c>
      <c r="I961" t="n">
        <v>0</v>
      </c>
      <c r="J961" t="n">
        <v>0</v>
      </c>
      <c r="K961" t="n">
        <v>0</v>
      </c>
      <c r="L961" t="n">
        <v>0</v>
      </c>
      <c r="M961" t="n">
        <v>0</v>
      </c>
      <c r="N961" t="n">
        <v>0</v>
      </c>
      <c r="O961" t="n">
        <v>0</v>
      </c>
      <c r="P961" t="n">
        <v>0</v>
      </c>
      <c r="Q961" t="n">
        <v>0</v>
      </c>
      <c r="R961" s="2" t="inlineStr"/>
    </row>
    <row r="962" ht="15" customHeight="1">
      <c r="A962" t="inlineStr">
        <is>
          <t>A 11856-2024</t>
        </is>
      </c>
      <c r="B962" s="1" t="n">
        <v>45376.43302083333</v>
      </c>
      <c r="C962" s="1" t="n">
        <v>46159</v>
      </c>
      <c r="D962" t="inlineStr">
        <is>
          <t>KALMAR LÄN</t>
        </is>
      </c>
      <c r="E962" t="inlineStr">
        <is>
          <t>VÄSTERVIK</t>
        </is>
      </c>
      <c r="F962" t="inlineStr">
        <is>
          <t>Sveaskog</t>
        </is>
      </c>
      <c r="G962" t="n">
        <v>3.4</v>
      </c>
      <c r="H962" t="n">
        <v>0</v>
      </c>
      <c r="I962" t="n">
        <v>0</v>
      </c>
      <c r="J962" t="n">
        <v>0</v>
      </c>
      <c r="K962" t="n">
        <v>0</v>
      </c>
      <c r="L962" t="n">
        <v>0</v>
      </c>
      <c r="M962" t="n">
        <v>0</v>
      </c>
      <c r="N962" t="n">
        <v>0</v>
      </c>
      <c r="O962" t="n">
        <v>0</v>
      </c>
      <c r="P962" t="n">
        <v>0</v>
      </c>
      <c r="Q962" t="n">
        <v>0</v>
      </c>
      <c r="R962" s="2" t="inlineStr"/>
    </row>
    <row r="963" ht="15" customHeight="1">
      <c r="A963" t="inlineStr">
        <is>
          <t>A 57367-2023</t>
        </is>
      </c>
      <c r="B963" s="1" t="n">
        <v>45245</v>
      </c>
      <c r="C963" s="1" t="n">
        <v>46159</v>
      </c>
      <c r="D963" t="inlineStr">
        <is>
          <t>KALMAR LÄN</t>
        </is>
      </c>
      <c r="E963" t="inlineStr">
        <is>
          <t>VÄSTERVIK</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21857-2026</t>
        </is>
      </c>
      <c r="B964" s="1" t="n">
        <v>46150.54304398148</v>
      </c>
      <c r="C964" s="1" t="n">
        <v>46159</v>
      </c>
      <c r="D964" t="inlineStr">
        <is>
          <t>KALMAR LÄN</t>
        </is>
      </c>
      <c r="E964" t="inlineStr">
        <is>
          <t>VÄSTERVIK</t>
        </is>
      </c>
      <c r="G964" t="n">
        <v>1.5</v>
      </c>
      <c r="H964" t="n">
        <v>0</v>
      </c>
      <c r="I964" t="n">
        <v>0</v>
      </c>
      <c r="J964" t="n">
        <v>0</v>
      </c>
      <c r="K964" t="n">
        <v>0</v>
      </c>
      <c r="L964" t="n">
        <v>0</v>
      </c>
      <c r="M964" t="n">
        <v>0</v>
      </c>
      <c r="N964" t="n">
        <v>0</v>
      </c>
      <c r="O964" t="n">
        <v>0</v>
      </c>
      <c r="P964" t="n">
        <v>0</v>
      </c>
      <c r="Q964" t="n">
        <v>0</v>
      </c>
      <c r="R964" s="2" t="inlineStr"/>
    </row>
    <row r="965" ht="15" customHeight="1">
      <c r="A965" t="inlineStr">
        <is>
          <t>A 35960-2023</t>
        </is>
      </c>
      <c r="B965" s="1" t="n">
        <v>45148.84990740741</v>
      </c>
      <c r="C965" s="1" t="n">
        <v>46159</v>
      </c>
      <c r="D965" t="inlineStr">
        <is>
          <t>KALMAR LÄN</t>
        </is>
      </c>
      <c r="E965" t="inlineStr">
        <is>
          <t>VÄSTERVIK</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35962-2023</t>
        </is>
      </c>
      <c r="B966" s="1" t="n">
        <v>45148</v>
      </c>
      <c r="C966" s="1" t="n">
        <v>46159</v>
      </c>
      <c r="D966" t="inlineStr">
        <is>
          <t>KALMAR LÄN</t>
        </is>
      </c>
      <c r="E966" t="inlineStr">
        <is>
          <t>VÄSTERVIK</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10441-2022</t>
        </is>
      </c>
      <c r="B967" s="1" t="n">
        <v>44623</v>
      </c>
      <c r="C967" s="1" t="n">
        <v>46159</v>
      </c>
      <c r="D967" t="inlineStr">
        <is>
          <t>KALMAR LÄN</t>
        </is>
      </c>
      <c r="E967" t="inlineStr">
        <is>
          <t>VÄSTERVIK</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11988-2022</t>
        </is>
      </c>
      <c r="B968" s="1" t="n">
        <v>44635.68771990741</v>
      </c>
      <c r="C968" s="1" t="n">
        <v>46159</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row>
    <row r="969" ht="15" customHeight="1">
      <c r="A969" t="inlineStr">
        <is>
          <t>A 55866-2023</t>
        </is>
      </c>
      <c r="B969" s="1" t="n">
        <v>45239</v>
      </c>
      <c r="C969" s="1" t="n">
        <v>46159</v>
      </c>
      <c r="D969" t="inlineStr">
        <is>
          <t>KALMAR LÄN</t>
        </is>
      </c>
      <c r="E969" t="inlineStr">
        <is>
          <t>VÄSTERVIK</t>
        </is>
      </c>
      <c r="G969" t="n">
        <v>1.3</v>
      </c>
      <c r="H969" t="n">
        <v>0</v>
      </c>
      <c r="I969" t="n">
        <v>0</v>
      </c>
      <c r="J969" t="n">
        <v>0</v>
      </c>
      <c r="K969" t="n">
        <v>0</v>
      </c>
      <c r="L969" t="n">
        <v>0</v>
      </c>
      <c r="M969" t="n">
        <v>0</v>
      </c>
      <c r="N969" t="n">
        <v>0</v>
      </c>
      <c r="O969" t="n">
        <v>0</v>
      </c>
      <c r="P969" t="n">
        <v>0</v>
      </c>
      <c r="Q969" t="n">
        <v>0</v>
      </c>
      <c r="R969" s="2" t="inlineStr"/>
    </row>
    <row r="970" ht="15" customHeight="1">
      <c r="A970" t="inlineStr">
        <is>
          <t>A 27094-2024</t>
        </is>
      </c>
      <c r="B970" s="1" t="n">
        <v>45471</v>
      </c>
      <c r="C970" s="1" t="n">
        <v>46159</v>
      </c>
      <c r="D970" t="inlineStr">
        <is>
          <t>KALMAR LÄN</t>
        </is>
      </c>
      <c r="E970" t="inlineStr">
        <is>
          <t>VÄSTERVIK</t>
        </is>
      </c>
      <c r="F970" t="inlineStr">
        <is>
          <t>Holmen skog AB</t>
        </is>
      </c>
      <c r="G970" t="n">
        <v>2.4</v>
      </c>
      <c r="H970" t="n">
        <v>0</v>
      </c>
      <c r="I970" t="n">
        <v>0</v>
      </c>
      <c r="J970" t="n">
        <v>0</v>
      </c>
      <c r="K970" t="n">
        <v>0</v>
      </c>
      <c r="L970" t="n">
        <v>0</v>
      </c>
      <c r="M970" t="n">
        <v>0</v>
      </c>
      <c r="N970" t="n">
        <v>0</v>
      </c>
      <c r="O970" t="n">
        <v>0</v>
      </c>
      <c r="P970" t="n">
        <v>0</v>
      </c>
      <c r="Q970" t="n">
        <v>0</v>
      </c>
      <c r="R970" s="2" t="inlineStr"/>
      <c r="U970">
        <f>HYPERLINK("https://klasma.github.io/Logging_0883/knärot/A 27094-2024 karta knärot.png", "A 27094-2024")</f>
        <v/>
      </c>
      <c r="V970">
        <f>HYPERLINK("https://klasma.github.io/Logging_0883/klagomål/A 27094-2024 FSC-klagomål.docx", "A 27094-2024")</f>
        <v/>
      </c>
      <c r="W970">
        <f>HYPERLINK("https://klasma.github.io/Logging_0883/klagomålsmail/A 27094-2024 FSC-klagomål mail.docx", "A 27094-2024")</f>
        <v/>
      </c>
      <c r="X970">
        <f>HYPERLINK("https://klasma.github.io/Logging_0883/tillsyn/A 27094-2024 tillsynsbegäran.docx", "A 27094-2024")</f>
        <v/>
      </c>
      <c r="Y970">
        <f>HYPERLINK("https://klasma.github.io/Logging_0883/tillsynsmail/A 27094-2024 tillsynsbegäran mail.docx", "A 27094-2024")</f>
        <v/>
      </c>
    </row>
    <row r="971" ht="15" customHeight="1">
      <c r="A971" t="inlineStr">
        <is>
          <t>A 27568-2024</t>
        </is>
      </c>
      <c r="B971" s="1" t="n">
        <v>45474</v>
      </c>
      <c r="C971" s="1" t="n">
        <v>46159</v>
      </c>
      <c r="D971" t="inlineStr">
        <is>
          <t>KALMAR LÄN</t>
        </is>
      </c>
      <c r="E971" t="inlineStr">
        <is>
          <t>VÄSTERVIK</t>
        </is>
      </c>
      <c r="G971" t="n">
        <v>7.7</v>
      </c>
      <c r="H971" t="n">
        <v>0</v>
      </c>
      <c r="I971" t="n">
        <v>0</v>
      </c>
      <c r="J971" t="n">
        <v>0</v>
      </c>
      <c r="K971" t="n">
        <v>0</v>
      </c>
      <c r="L971" t="n">
        <v>0</v>
      </c>
      <c r="M971" t="n">
        <v>0</v>
      </c>
      <c r="N971" t="n">
        <v>0</v>
      </c>
      <c r="O971" t="n">
        <v>0</v>
      </c>
      <c r="P971" t="n">
        <v>0</v>
      </c>
      <c r="Q971" t="n">
        <v>0</v>
      </c>
      <c r="R971" s="2" t="inlineStr"/>
    </row>
    <row r="972" ht="15" customHeight="1">
      <c r="A972" t="inlineStr">
        <is>
          <t>A 35770-2023</t>
        </is>
      </c>
      <c r="B972" s="1" t="n">
        <v>45147</v>
      </c>
      <c r="C972" s="1" t="n">
        <v>46159</v>
      </c>
      <c r="D972" t="inlineStr">
        <is>
          <t>KALMAR LÄN</t>
        </is>
      </c>
      <c r="E972" t="inlineStr">
        <is>
          <t>VÄSTERVIK</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36643-2023</t>
        </is>
      </c>
      <c r="B973" s="1" t="n">
        <v>45153</v>
      </c>
      <c r="C973" s="1" t="n">
        <v>46159</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54784-2023</t>
        </is>
      </c>
      <c r="B974" s="1" t="n">
        <v>45236.4803587963</v>
      </c>
      <c r="C974" s="1" t="n">
        <v>46159</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row>
    <row r="975" ht="15" customHeight="1">
      <c r="A975" t="inlineStr">
        <is>
          <t>A 16652-2026</t>
        </is>
      </c>
      <c r="B975" s="1" t="n">
        <v>46112.6438425926</v>
      </c>
      <c r="C975" s="1" t="n">
        <v>46159</v>
      </c>
      <c r="D975" t="inlineStr">
        <is>
          <t>KALMAR LÄN</t>
        </is>
      </c>
      <c r="E975" t="inlineStr">
        <is>
          <t>VÄSTERVIK</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17414-2026</t>
        </is>
      </c>
      <c r="B976" s="1" t="n">
        <v>46120</v>
      </c>
      <c r="C976" s="1" t="n">
        <v>46159</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16541-2026</t>
        </is>
      </c>
      <c r="B977" s="1" t="n">
        <v>46112.50100694445</v>
      </c>
      <c r="C977" s="1" t="n">
        <v>46159</v>
      </c>
      <c r="D977" t="inlineStr">
        <is>
          <t>KALMAR LÄN</t>
        </is>
      </c>
      <c r="E977" t="inlineStr">
        <is>
          <t>VÄSTERVIK</t>
        </is>
      </c>
      <c r="F977" t="inlineStr">
        <is>
          <t>Holmen skog AB</t>
        </is>
      </c>
      <c r="G977" t="n">
        <v>4.7</v>
      </c>
      <c r="H977" t="n">
        <v>0</v>
      </c>
      <c r="I977" t="n">
        <v>0</v>
      </c>
      <c r="J977" t="n">
        <v>0</v>
      </c>
      <c r="K977" t="n">
        <v>0</v>
      </c>
      <c r="L977" t="n">
        <v>0</v>
      </c>
      <c r="M977" t="n">
        <v>0</v>
      </c>
      <c r="N977" t="n">
        <v>0</v>
      </c>
      <c r="O977" t="n">
        <v>0</v>
      </c>
      <c r="P977" t="n">
        <v>0</v>
      </c>
      <c r="Q977" t="n">
        <v>0</v>
      </c>
      <c r="R977" s="2" t="inlineStr"/>
    </row>
    <row r="978" ht="15" customHeight="1">
      <c r="A978" t="inlineStr">
        <is>
          <t>A 49507-2023</t>
        </is>
      </c>
      <c r="B978" s="1" t="n">
        <v>45211.5790625</v>
      </c>
      <c r="C978" s="1" t="n">
        <v>46159</v>
      </c>
      <c r="D978" t="inlineStr">
        <is>
          <t>KALMAR LÄN</t>
        </is>
      </c>
      <c r="E978" t="inlineStr">
        <is>
          <t>VÄSTERVIK</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16856-2026</t>
        </is>
      </c>
      <c r="B979" s="1" t="n">
        <v>46113.5662037037</v>
      </c>
      <c r="C979" s="1" t="n">
        <v>46159</v>
      </c>
      <c r="D979" t="inlineStr">
        <is>
          <t>KALMAR LÄN</t>
        </is>
      </c>
      <c r="E979" t="inlineStr">
        <is>
          <t>VÄSTERVIK</t>
        </is>
      </c>
      <c r="F979" t="inlineStr">
        <is>
          <t>Kyrkan</t>
        </is>
      </c>
      <c r="G979" t="n">
        <v>3.9</v>
      </c>
      <c r="H979" t="n">
        <v>0</v>
      </c>
      <c r="I979" t="n">
        <v>0</v>
      </c>
      <c r="J979" t="n">
        <v>0</v>
      </c>
      <c r="K979" t="n">
        <v>0</v>
      </c>
      <c r="L979" t="n">
        <v>0</v>
      </c>
      <c r="M979" t="n">
        <v>0</v>
      </c>
      <c r="N979" t="n">
        <v>0</v>
      </c>
      <c r="O979" t="n">
        <v>0</v>
      </c>
      <c r="P979" t="n">
        <v>0</v>
      </c>
      <c r="Q979" t="n">
        <v>0</v>
      </c>
      <c r="R979" s="2" t="inlineStr"/>
    </row>
    <row r="980" ht="15" customHeight="1">
      <c r="A980" t="inlineStr">
        <is>
          <t>A 16912-2026</t>
        </is>
      </c>
      <c r="B980" s="1" t="n">
        <v>46113.64936342592</v>
      </c>
      <c r="C980" s="1" t="n">
        <v>46159</v>
      </c>
      <c r="D980" t="inlineStr">
        <is>
          <t>KALMAR LÄN</t>
        </is>
      </c>
      <c r="E980" t="inlineStr">
        <is>
          <t>VÄSTERVIK</t>
        </is>
      </c>
      <c r="G980" t="n">
        <v>3.1</v>
      </c>
      <c r="H980" t="n">
        <v>0</v>
      </c>
      <c r="I980" t="n">
        <v>0</v>
      </c>
      <c r="J980" t="n">
        <v>0</v>
      </c>
      <c r="K980" t="n">
        <v>0</v>
      </c>
      <c r="L980" t="n">
        <v>0</v>
      </c>
      <c r="M980" t="n">
        <v>0</v>
      </c>
      <c r="N980" t="n">
        <v>0</v>
      </c>
      <c r="O980" t="n">
        <v>0</v>
      </c>
      <c r="P980" t="n">
        <v>0</v>
      </c>
      <c r="Q980" t="n">
        <v>0</v>
      </c>
      <c r="R980" s="2" t="inlineStr"/>
    </row>
    <row r="981" ht="15" customHeight="1">
      <c r="A981" t="inlineStr">
        <is>
          <t>A 58703-2023</t>
        </is>
      </c>
      <c r="B981" s="1" t="n">
        <v>45251</v>
      </c>
      <c r="C981" s="1" t="n">
        <v>46159</v>
      </c>
      <c r="D981" t="inlineStr">
        <is>
          <t>KALMAR LÄN</t>
        </is>
      </c>
      <c r="E981" t="inlineStr">
        <is>
          <t>VÄSTERVIK</t>
        </is>
      </c>
      <c r="F981" t="inlineStr">
        <is>
          <t>Övriga Aktiebolag</t>
        </is>
      </c>
      <c r="G981" t="n">
        <v>2.7</v>
      </c>
      <c r="H981" t="n">
        <v>0</v>
      </c>
      <c r="I981" t="n">
        <v>0</v>
      </c>
      <c r="J981" t="n">
        <v>0</v>
      </c>
      <c r="K981" t="n">
        <v>0</v>
      </c>
      <c r="L981" t="n">
        <v>0</v>
      </c>
      <c r="M981" t="n">
        <v>0</v>
      </c>
      <c r="N981" t="n">
        <v>0</v>
      </c>
      <c r="O981" t="n">
        <v>0</v>
      </c>
      <c r="P981" t="n">
        <v>0</v>
      </c>
      <c r="Q981" t="n">
        <v>0</v>
      </c>
      <c r="R981" s="2" t="inlineStr"/>
    </row>
    <row r="982" ht="15" customHeight="1">
      <c r="A982" t="inlineStr">
        <is>
          <t>A 16395-2024</t>
        </is>
      </c>
      <c r="B982" s="1" t="n">
        <v>45407.62733796296</v>
      </c>
      <c r="C982" s="1" t="n">
        <v>46159</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c r="U982">
        <f>HYPERLINK("https://klasma.github.io/Logging_0883/knärot/A 16395-2024 karta knärot.png", "A 16395-2024")</f>
        <v/>
      </c>
      <c r="V982">
        <f>HYPERLINK("https://klasma.github.io/Logging_0883/klagomål/A 16395-2024 FSC-klagomål.docx", "A 16395-2024")</f>
        <v/>
      </c>
      <c r="W982">
        <f>HYPERLINK("https://klasma.github.io/Logging_0883/klagomålsmail/A 16395-2024 FSC-klagomål mail.docx", "A 16395-2024")</f>
        <v/>
      </c>
      <c r="X982">
        <f>HYPERLINK("https://klasma.github.io/Logging_0883/tillsyn/A 16395-2024 tillsynsbegäran.docx", "A 16395-2024")</f>
        <v/>
      </c>
      <c r="Y982">
        <f>HYPERLINK("https://klasma.github.io/Logging_0883/tillsynsmail/A 16395-2024 tillsynsbegäran mail.docx", "A 16395-2024")</f>
        <v/>
      </c>
    </row>
    <row r="983" ht="15" customHeight="1">
      <c r="A983" t="inlineStr">
        <is>
          <t>A 16913-2026</t>
        </is>
      </c>
      <c r="B983" s="1" t="n">
        <v>46113.65572916667</v>
      </c>
      <c r="C983" s="1" t="n">
        <v>46159</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16636-2026</t>
        </is>
      </c>
      <c r="B984" s="1" t="n">
        <v>46112.62778935185</v>
      </c>
      <c r="C984" s="1" t="n">
        <v>46159</v>
      </c>
      <c r="D984" t="inlineStr">
        <is>
          <t>KALMAR LÄN</t>
        </is>
      </c>
      <c r="E984" t="inlineStr">
        <is>
          <t>VÄSTERVIK</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10774-2025</t>
        </is>
      </c>
      <c r="B985" s="1" t="n">
        <v>45722.47424768518</v>
      </c>
      <c r="C985" s="1" t="n">
        <v>46159</v>
      </c>
      <c r="D985" t="inlineStr">
        <is>
          <t>KALMAR LÄN</t>
        </is>
      </c>
      <c r="E985" t="inlineStr">
        <is>
          <t>VÄSTERVIK</t>
        </is>
      </c>
      <c r="G985" t="n">
        <v>0.6</v>
      </c>
      <c r="H985" t="n">
        <v>0</v>
      </c>
      <c r="I985" t="n">
        <v>0</v>
      </c>
      <c r="J985" t="n">
        <v>0</v>
      </c>
      <c r="K985" t="n">
        <v>0</v>
      </c>
      <c r="L985" t="n">
        <v>0</v>
      </c>
      <c r="M985" t="n">
        <v>0</v>
      </c>
      <c r="N985" t="n">
        <v>0</v>
      </c>
      <c r="O985" t="n">
        <v>0</v>
      </c>
      <c r="P985" t="n">
        <v>0</v>
      </c>
      <c r="Q985" t="n">
        <v>0</v>
      </c>
      <c r="R985" s="2" t="inlineStr"/>
    </row>
    <row r="986" ht="15" customHeight="1">
      <c r="A986" t="inlineStr">
        <is>
          <t>A 40977-2023</t>
        </is>
      </c>
      <c r="B986" s="1" t="n">
        <v>45173</v>
      </c>
      <c r="C986" s="1" t="n">
        <v>46159</v>
      </c>
      <c r="D986" t="inlineStr">
        <is>
          <t>KALMAR LÄN</t>
        </is>
      </c>
      <c r="E986" t="inlineStr">
        <is>
          <t>VÄSTERVIK</t>
        </is>
      </c>
      <c r="F986" t="inlineStr">
        <is>
          <t>Holmen skog AB</t>
        </is>
      </c>
      <c r="G986" t="n">
        <v>1</v>
      </c>
      <c r="H986" t="n">
        <v>0</v>
      </c>
      <c r="I986" t="n">
        <v>0</v>
      </c>
      <c r="J986" t="n">
        <v>0</v>
      </c>
      <c r="K986" t="n">
        <v>0</v>
      </c>
      <c r="L986" t="n">
        <v>0</v>
      </c>
      <c r="M986" t="n">
        <v>0</v>
      </c>
      <c r="N986" t="n">
        <v>0</v>
      </c>
      <c r="O986" t="n">
        <v>0</v>
      </c>
      <c r="P986" t="n">
        <v>0</v>
      </c>
      <c r="Q986" t="n">
        <v>0</v>
      </c>
      <c r="R986" s="2" t="inlineStr"/>
    </row>
    <row r="987" ht="15" customHeight="1">
      <c r="A987" t="inlineStr">
        <is>
          <t>A 23743-2022</t>
        </is>
      </c>
      <c r="B987" s="1" t="n">
        <v>44722.35611111111</v>
      </c>
      <c r="C987" s="1" t="n">
        <v>46159</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949-2024</t>
        </is>
      </c>
      <c r="B988" s="1" t="n">
        <v>45301</v>
      </c>
      <c r="C988" s="1" t="n">
        <v>46159</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55958-2023</t>
        </is>
      </c>
      <c r="B989" s="1" t="n">
        <v>45240.34900462963</v>
      </c>
      <c r="C989" s="1" t="n">
        <v>46159</v>
      </c>
      <c r="D989" t="inlineStr">
        <is>
          <t>KALMAR LÄN</t>
        </is>
      </c>
      <c r="E989" t="inlineStr">
        <is>
          <t>VÄSTERVIK</t>
        </is>
      </c>
      <c r="G989" t="n">
        <v>1.6</v>
      </c>
      <c r="H989" t="n">
        <v>0</v>
      </c>
      <c r="I989" t="n">
        <v>0</v>
      </c>
      <c r="J989" t="n">
        <v>0</v>
      </c>
      <c r="K989" t="n">
        <v>0</v>
      </c>
      <c r="L989" t="n">
        <v>0</v>
      </c>
      <c r="M989" t="n">
        <v>0</v>
      </c>
      <c r="N989" t="n">
        <v>0</v>
      </c>
      <c r="O989" t="n">
        <v>0</v>
      </c>
      <c r="P989" t="n">
        <v>0</v>
      </c>
      <c r="Q989" t="n">
        <v>0</v>
      </c>
      <c r="R989" s="2" t="inlineStr"/>
    </row>
    <row r="990" ht="15" customHeight="1">
      <c r="A990" t="inlineStr">
        <is>
          <t>A 37642-2023</t>
        </is>
      </c>
      <c r="B990" s="1" t="n">
        <v>45159.47940972223</v>
      </c>
      <c r="C990" s="1" t="n">
        <v>46159</v>
      </c>
      <c r="D990" t="inlineStr">
        <is>
          <t>KALMAR LÄN</t>
        </is>
      </c>
      <c r="E990" t="inlineStr">
        <is>
          <t>VÄSTERVIK</t>
        </is>
      </c>
      <c r="G990" t="n">
        <v>0.6</v>
      </c>
      <c r="H990" t="n">
        <v>0</v>
      </c>
      <c r="I990" t="n">
        <v>0</v>
      </c>
      <c r="J990" t="n">
        <v>0</v>
      </c>
      <c r="K990" t="n">
        <v>0</v>
      </c>
      <c r="L990" t="n">
        <v>0</v>
      </c>
      <c r="M990" t="n">
        <v>0</v>
      </c>
      <c r="N990" t="n">
        <v>0</v>
      </c>
      <c r="O990" t="n">
        <v>0</v>
      </c>
      <c r="P990" t="n">
        <v>0</v>
      </c>
      <c r="Q990" t="n">
        <v>0</v>
      </c>
      <c r="R990" s="2" t="inlineStr"/>
    </row>
    <row r="991" ht="15" customHeight="1">
      <c r="A991" t="inlineStr">
        <is>
          <t>A 54951-2023</t>
        </is>
      </c>
      <c r="B991" s="1" t="n">
        <v>45236.82902777778</v>
      </c>
      <c r="C991" s="1" t="n">
        <v>46159</v>
      </c>
      <c r="D991" t="inlineStr">
        <is>
          <t>KALMAR LÄN</t>
        </is>
      </c>
      <c r="E991" t="inlineStr">
        <is>
          <t>VÄSTERVIK</t>
        </is>
      </c>
      <c r="F991" t="inlineStr">
        <is>
          <t>Övriga Aktiebolag</t>
        </is>
      </c>
      <c r="G991" t="n">
        <v>0.9</v>
      </c>
      <c r="H991" t="n">
        <v>0</v>
      </c>
      <c r="I991" t="n">
        <v>0</v>
      </c>
      <c r="J991" t="n">
        <v>0</v>
      </c>
      <c r="K991" t="n">
        <v>0</v>
      </c>
      <c r="L991" t="n">
        <v>0</v>
      </c>
      <c r="M991" t="n">
        <v>0</v>
      </c>
      <c r="N991" t="n">
        <v>0</v>
      </c>
      <c r="O991" t="n">
        <v>0</v>
      </c>
      <c r="P991" t="n">
        <v>0</v>
      </c>
      <c r="Q991" t="n">
        <v>0</v>
      </c>
      <c r="R991" s="2" t="inlineStr"/>
    </row>
    <row r="992" ht="15" customHeight="1">
      <c r="A992" t="inlineStr">
        <is>
          <t>A 52049-2023</t>
        </is>
      </c>
      <c r="B992" s="1" t="n">
        <v>45216</v>
      </c>
      <c r="C992" s="1" t="n">
        <v>46159</v>
      </c>
      <c r="D992" t="inlineStr">
        <is>
          <t>KALMAR LÄN</t>
        </is>
      </c>
      <c r="E992" t="inlineStr">
        <is>
          <t>VÄSTERVIK</t>
        </is>
      </c>
      <c r="G992" t="n">
        <v>4.4</v>
      </c>
      <c r="H992" t="n">
        <v>0</v>
      </c>
      <c r="I992" t="n">
        <v>0</v>
      </c>
      <c r="J992" t="n">
        <v>0</v>
      </c>
      <c r="K992" t="n">
        <v>0</v>
      </c>
      <c r="L992" t="n">
        <v>0</v>
      </c>
      <c r="M992" t="n">
        <v>0</v>
      </c>
      <c r="N992" t="n">
        <v>0</v>
      </c>
      <c r="O992" t="n">
        <v>0</v>
      </c>
      <c r="P992" t="n">
        <v>0</v>
      </c>
      <c r="Q992" t="n">
        <v>0</v>
      </c>
      <c r="R992" s="2" t="inlineStr"/>
    </row>
    <row r="993" ht="15" customHeight="1">
      <c r="A993" t="inlineStr">
        <is>
          <t>A 30035-2023</t>
        </is>
      </c>
      <c r="B993" s="1" t="n">
        <v>45110</v>
      </c>
      <c r="C993" s="1" t="n">
        <v>46159</v>
      </c>
      <c r="D993" t="inlineStr">
        <is>
          <t>KALMAR LÄN</t>
        </is>
      </c>
      <c r="E993" t="inlineStr">
        <is>
          <t>VÄSTERVIK</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61556-2023</t>
        </is>
      </c>
      <c r="B994" s="1" t="n">
        <v>45261</v>
      </c>
      <c r="C994" s="1" t="n">
        <v>46159</v>
      </c>
      <c r="D994" t="inlineStr">
        <is>
          <t>KALMAR LÄN</t>
        </is>
      </c>
      <c r="E994" t="inlineStr">
        <is>
          <t>VÄSTERVIK</t>
        </is>
      </c>
      <c r="F994" t="inlineStr">
        <is>
          <t>Övriga Aktiebolag</t>
        </is>
      </c>
      <c r="G994" t="n">
        <v>13.9</v>
      </c>
      <c r="H994" t="n">
        <v>0</v>
      </c>
      <c r="I994" t="n">
        <v>0</v>
      </c>
      <c r="J994" t="n">
        <v>0</v>
      </c>
      <c r="K994" t="n">
        <v>0</v>
      </c>
      <c r="L994" t="n">
        <v>0</v>
      </c>
      <c r="M994" t="n">
        <v>0</v>
      </c>
      <c r="N994" t="n">
        <v>0</v>
      </c>
      <c r="O994" t="n">
        <v>0</v>
      </c>
      <c r="P994" t="n">
        <v>0</v>
      </c>
      <c r="Q994" t="n">
        <v>0</v>
      </c>
      <c r="R994" s="2" t="inlineStr"/>
    </row>
    <row r="995" ht="15" customHeight="1">
      <c r="A995" t="inlineStr">
        <is>
          <t>A 34420-2024</t>
        </is>
      </c>
      <c r="B995" s="1" t="n">
        <v>45525.49710648148</v>
      </c>
      <c r="C995" s="1" t="n">
        <v>46159</v>
      </c>
      <c r="D995" t="inlineStr">
        <is>
          <t>KALMAR LÄN</t>
        </is>
      </c>
      <c r="E995" t="inlineStr">
        <is>
          <t>VÄSTERVIK</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63018-2023</t>
        </is>
      </c>
      <c r="B996" s="1" t="n">
        <v>45272</v>
      </c>
      <c r="C996" s="1" t="n">
        <v>46159</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3467-2025</t>
        </is>
      </c>
      <c r="B997" s="1" t="n">
        <v>45680.50885416667</v>
      </c>
      <c r="C997" s="1" t="n">
        <v>46159</v>
      </c>
      <c r="D997" t="inlineStr">
        <is>
          <t>KALMAR LÄN</t>
        </is>
      </c>
      <c r="E997" t="inlineStr">
        <is>
          <t>VÄSTERVIK</t>
        </is>
      </c>
      <c r="G997" t="n">
        <v>2.7</v>
      </c>
      <c r="H997" t="n">
        <v>0</v>
      </c>
      <c r="I997" t="n">
        <v>0</v>
      </c>
      <c r="J997" t="n">
        <v>0</v>
      </c>
      <c r="K997" t="n">
        <v>0</v>
      </c>
      <c r="L997" t="n">
        <v>0</v>
      </c>
      <c r="M997" t="n">
        <v>0</v>
      </c>
      <c r="N997" t="n">
        <v>0</v>
      </c>
      <c r="O997" t="n">
        <v>0</v>
      </c>
      <c r="P997" t="n">
        <v>0</v>
      </c>
      <c r="Q997" t="n">
        <v>0</v>
      </c>
      <c r="R997" s="2" t="inlineStr"/>
    </row>
    <row r="998" ht="15" customHeight="1">
      <c r="A998" t="inlineStr">
        <is>
          <t>A 6021-2024</t>
        </is>
      </c>
      <c r="B998" s="1" t="n">
        <v>45336.62131944444</v>
      </c>
      <c r="C998" s="1" t="n">
        <v>46159</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55287-2023</t>
        </is>
      </c>
      <c r="B999" s="1" t="n">
        <v>45237.75578703704</v>
      </c>
      <c r="C999" s="1" t="n">
        <v>46159</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2168-2024</t>
        </is>
      </c>
      <c r="B1000" s="1" t="n">
        <v>45309.61756944445</v>
      </c>
      <c r="C1000" s="1" t="n">
        <v>46159</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10688-2024</t>
        </is>
      </c>
      <c r="B1001" s="1" t="n">
        <v>45369.39894675926</v>
      </c>
      <c r="C1001" s="1" t="n">
        <v>46159</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37936-2022</t>
        </is>
      </c>
      <c r="B1002" s="1" t="n">
        <v>44811.46958333333</v>
      </c>
      <c r="C1002" s="1" t="n">
        <v>46159</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55289-2023</t>
        </is>
      </c>
      <c r="B1003" s="1" t="n">
        <v>45237.76106481482</v>
      </c>
      <c r="C1003" s="1" t="n">
        <v>46159</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33207-2022</t>
        </is>
      </c>
      <c r="B1004" s="1" t="n">
        <v>44785.72373842593</v>
      </c>
      <c r="C1004" s="1" t="n">
        <v>46159</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33210-2022</t>
        </is>
      </c>
      <c r="B1005" s="1" t="n">
        <v>44785.74811342593</v>
      </c>
      <c r="C1005" s="1" t="n">
        <v>46159</v>
      </c>
      <c r="D1005" t="inlineStr">
        <is>
          <t>KALMAR LÄN</t>
        </is>
      </c>
      <c r="E1005" t="inlineStr">
        <is>
          <t>VÄSTERVIK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10515-2024</t>
        </is>
      </c>
      <c r="B1006" s="1" t="n">
        <v>45366</v>
      </c>
      <c r="C1006" s="1" t="n">
        <v>46159</v>
      </c>
      <c r="D1006" t="inlineStr">
        <is>
          <t>KALMAR LÄN</t>
        </is>
      </c>
      <c r="E1006" t="inlineStr">
        <is>
          <t>VÄSTERVIK</t>
        </is>
      </c>
      <c r="F1006" t="inlineStr">
        <is>
          <t>Kyrkan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46088-2023</t>
        </is>
      </c>
      <c r="B1007" s="1" t="n">
        <v>45196.50065972222</v>
      </c>
      <c r="C1007" s="1" t="n">
        <v>46159</v>
      </c>
      <c r="D1007" t="inlineStr">
        <is>
          <t>KALMAR LÄN</t>
        </is>
      </c>
      <c r="E1007" t="inlineStr">
        <is>
          <t>VÄSTERVIK</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46121-2023</t>
        </is>
      </c>
      <c r="B1008" s="1" t="n">
        <v>45196.55392361111</v>
      </c>
      <c r="C1008" s="1" t="n">
        <v>46159</v>
      </c>
      <c r="D1008" t="inlineStr">
        <is>
          <t>KALMAR LÄN</t>
        </is>
      </c>
      <c r="E1008" t="inlineStr">
        <is>
          <t>VÄSTERVIK</t>
        </is>
      </c>
      <c r="F1008" t="inlineStr">
        <is>
          <t>Sveaskog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61450-2023</t>
        </is>
      </c>
      <c r="B1009" s="1" t="n">
        <v>45264.8162037037</v>
      </c>
      <c r="C1009" s="1" t="n">
        <v>46159</v>
      </c>
      <c r="D1009" t="inlineStr">
        <is>
          <t>KALMAR LÄN</t>
        </is>
      </c>
      <c r="E1009" t="inlineStr">
        <is>
          <t>VÄSTERVIK</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56033-2023</t>
        </is>
      </c>
      <c r="B1010" s="1" t="n">
        <v>45240.43778935185</v>
      </c>
      <c r="C1010" s="1" t="n">
        <v>46159</v>
      </c>
      <c r="D1010" t="inlineStr">
        <is>
          <t>KALMAR LÄN</t>
        </is>
      </c>
      <c r="E1010" t="inlineStr">
        <is>
          <t>VÄSTERVIK</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28404-2024</t>
        </is>
      </c>
      <c r="B1011" s="1" t="n">
        <v>45477.61552083334</v>
      </c>
      <c r="C1011" s="1" t="n">
        <v>46159</v>
      </c>
      <c r="D1011" t="inlineStr">
        <is>
          <t>KALMAR LÄN</t>
        </is>
      </c>
      <c r="E1011" t="inlineStr">
        <is>
          <t>VÄSTERVIK</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28415-2024</t>
        </is>
      </c>
      <c r="B1012" s="1" t="n">
        <v>45477.62924768519</v>
      </c>
      <c r="C1012" s="1" t="n">
        <v>46159</v>
      </c>
      <c r="D1012" t="inlineStr">
        <is>
          <t>KALMAR LÄN</t>
        </is>
      </c>
      <c r="E1012" t="inlineStr">
        <is>
          <t>VÄSTERVIK</t>
        </is>
      </c>
      <c r="F1012" t="inlineStr">
        <is>
          <t>Holmen skog AB</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934-2024</t>
        </is>
      </c>
      <c r="B1013" s="1" t="n">
        <v>45301.51439814815</v>
      </c>
      <c r="C1013" s="1" t="n">
        <v>46159</v>
      </c>
      <c r="D1013" t="inlineStr">
        <is>
          <t>KALMAR LÄN</t>
        </is>
      </c>
      <c r="E1013" t="inlineStr">
        <is>
          <t>VÄSTERVIK</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936-2024</t>
        </is>
      </c>
      <c r="B1014" s="1" t="n">
        <v>45301.51950231481</v>
      </c>
      <c r="C1014" s="1" t="n">
        <v>46159</v>
      </c>
      <c r="D1014" t="inlineStr">
        <is>
          <t>KALMAR LÄN</t>
        </is>
      </c>
      <c r="E1014" t="inlineStr">
        <is>
          <t>VÄSTERVIK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25434-2023</t>
        </is>
      </c>
      <c r="B1015" s="1" t="n">
        <v>45089.41912037037</v>
      </c>
      <c r="C1015" s="1" t="n">
        <v>46159</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18068-2023</t>
        </is>
      </c>
      <c r="B1016" s="1" t="n">
        <v>45040</v>
      </c>
      <c r="C1016" s="1" t="n">
        <v>46159</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925-2024</t>
        </is>
      </c>
      <c r="B1017" s="1" t="n">
        <v>45301</v>
      </c>
      <c r="C1017" s="1" t="n">
        <v>46159</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33277-2023</t>
        </is>
      </c>
      <c r="B1018" s="1" t="n">
        <v>45114</v>
      </c>
      <c r="C1018" s="1" t="n">
        <v>46159</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63890-2023</t>
        </is>
      </c>
      <c r="B1019" s="1" t="n">
        <v>45278</v>
      </c>
      <c r="C1019" s="1" t="n">
        <v>46159</v>
      </c>
      <c r="D1019" t="inlineStr">
        <is>
          <t>KALMAR LÄN</t>
        </is>
      </c>
      <c r="E1019" t="inlineStr">
        <is>
          <t>VÄSTERVIK</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928-2024</t>
        </is>
      </c>
      <c r="B1020" s="1" t="n">
        <v>45301</v>
      </c>
      <c r="C1020" s="1" t="n">
        <v>46159</v>
      </c>
      <c r="D1020" t="inlineStr">
        <is>
          <t>KALMAR LÄN</t>
        </is>
      </c>
      <c r="E1020" t="inlineStr">
        <is>
          <t>VÄSTERVIK</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63812-2021</t>
        </is>
      </c>
      <c r="B1021" s="1" t="n">
        <v>44509.56346064815</v>
      </c>
      <c r="C1021" s="1" t="n">
        <v>46159</v>
      </c>
      <c r="D1021" t="inlineStr">
        <is>
          <t>KALMAR LÄN</t>
        </is>
      </c>
      <c r="E1021" t="inlineStr">
        <is>
          <t>VÄSTERVIK</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59196-2024</t>
        </is>
      </c>
      <c r="B1022" s="1" t="n">
        <v>45637.54589120371</v>
      </c>
      <c r="C1022" s="1" t="n">
        <v>46159</v>
      </c>
      <c r="D1022" t="inlineStr">
        <is>
          <t>KALMAR LÄN</t>
        </is>
      </c>
      <c r="E1022" t="inlineStr">
        <is>
          <t>VÄSTERVIK</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57924-2024</t>
        </is>
      </c>
      <c r="B1023" s="1" t="n">
        <v>45631.51325231481</v>
      </c>
      <c r="C1023" s="1" t="n">
        <v>46159</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1699-2023</t>
        </is>
      </c>
      <c r="B1024" s="1" t="n">
        <v>44935</v>
      </c>
      <c r="C1024" s="1" t="n">
        <v>46159</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31318-2021</t>
        </is>
      </c>
      <c r="B1025" s="1" t="n">
        <v>44368</v>
      </c>
      <c r="C1025" s="1" t="n">
        <v>46159</v>
      </c>
      <c r="D1025" t="inlineStr">
        <is>
          <t>KALMAR LÄN</t>
        </is>
      </c>
      <c r="E1025" t="inlineStr">
        <is>
          <t>VÄSTERVIK</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58217-2022</t>
        </is>
      </c>
      <c r="B1026" s="1" t="n">
        <v>44901.36453703704</v>
      </c>
      <c r="C1026" s="1" t="n">
        <v>46159</v>
      </c>
      <c r="D1026" t="inlineStr">
        <is>
          <t>KALMAR LÄN</t>
        </is>
      </c>
      <c r="E1026" t="inlineStr">
        <is>
          <t>VÄSTERVIK</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1874-2025</t>
        </is>
      </c>
      <c r="B1027" s="1" t="n">
        <v>45671.61953703704</v>
      </c>
      <c r="C1027" s="1" t="n">
        <v>46159</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59871-2022</t>
        </is>
      </c>
      <c r="B1028" s="1" t="n">
        <v>44908</v>
      </c>
      <c r="C1028" s="1" t="n">
        <v>46159</v>
      </c>
      <c r="D1028" t="inlineStr">
        <is>
          <t>KALMAR LÄN</t>
        </is>
      </c>
      <c r="E1028" t="inlineStr">
        <is>
          <t>VÄSTERVIK</t>
        </is>
      </c>
      <c r="F1028" t="inlineStr">
        <is>
          <t>Övriga Aktiebolag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16834-2023</t>
        </is>
      </c>
      <c r="B1029" s="1" t="n">
        <v>45033</v>
      </c>
      <c r="C1029" s="1" t="n">
        <v>46159</v>
      </c>
      <c r="D1029" t="inlineStr">
        <is>
          <t>KALMAR LÄN</t>
        </is>
      </c>
      <c r="E1029" t="inlineStr">
        <is>
          <t>VÄSTERVIK</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28291-2024</t>
        </is>
      </c>
      <c r="B1030" s="1" t="n">
        <v>45477</v>
      </c>
      <c r="C1030" s="1" t="n">
        <v>46159</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13840-2024</t>
        </is>
      </c>
      <c r="B1031" s="1" t="n">
        <v>45391.44885416667</v>
      </c>
      <c r="C1031" s="1" t="n">
        <v>46159</v>
      </c>
      <c r="D1031" t="inlineStr">
        <is>
          <t>KALMAR LÄN</t>
        </is>
      </c>
      <c r="E1031" t="inlineStr">
        <is>
          <t>VÄSTERVIK</t>
        </is>
      </c>
      <c r="F1031" t="inlineStr">
        <is>
          <t>Sveaskog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34471-2024</t>
        </is>
      </c>
      <c r="B1032" s="1" t="n">
        <v>45525.59111111111</v>
      </c>
      <c r="C1032" s="1" t="n">
        <v>46159</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61580-2022</t>
        </is>
      </c>
      <c r="B1033" s="1" t="n">
        <v>44916.62880787037</v>
      </c>
      <c r="C1033" s="1" t="n">
        <v>46159</v>
      </c>
      <c r="D1033" t="inlineStr">
        <is>
          <t>KALMAR LÄN</t>
        </is>
      </c>
      <c r="E1033" t="inlineStr">
        <is>
          <t>VÄSTERVIK</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56610-2022</t>
        </is>
      </c>
      <c r="B1034" s="1" t="n">
        <v>44893.5862037037</v>
      </c>
      <c r="C1034" s="1" t="n">
        <v>46159</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6312-2024</t>
        </is>
      </c>
      <c r="B1035" s="1" t="n">
        <v>45338</v>
      </c>
      <c r="C1035" s="1" t="n">
        <v>46159</v>
      </c>
      <c r="D1035" t="inlineStr">
        <is>
          <t>KALMAR LÄN</t>
        </is>
      </c>
      <c r="E1035" t="inlineStr">
        <is>
          <t>VÄSTERVIK</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46596-2022</t>
        </is>
      </c>
      <c r="B1036" s="1" t="n">
        <v>44848.8315625</v>
      </c>
      <c r="C1036" s="1" t="n">
        <v>46159</v>
      </c>
      <c r="D1036" t="inlineStr">
        <is>
          <t>KALMAR LÄN</t>
        </is>
      </c>
      <c r="E1036" t="inlineStr">
        <is>
          <t>VÄSTERVIK</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30148-2024</t>
        </is>
      </c>
      <c r="B1037" s="1" t="n">
        <v>45489.60528935185</v>
      </c>
      <c r="C1037" s="1" t="n">
        <v>46159</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59202-2022</t>
        </is>
      </c>
      <c r="B1038" s="1" t="n">
        <v>44904</v>
      </c>
      <c r="C1038" s="1" t="n">
        <v>46159</v>
      </c>
      <c r="D1038" t="inlineStr">
        <is>
          <t>KALMAR LÄN</t>
        </is>
      </c>
      <c r="E1038" t="inlineStr">
        <is>
          <t>VÄSTERVIK</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59210-2022</t>
        </is>
      </c>
      <c r="B1039" s="1" t="n">
        <v>44904.51767361111</v>
      </c>
      <c r="C1039" s="1" t="n">
        <v>46159</v>
      </c>
      <c r="D1039" t="inlineStr">
        <is>
          <t>KALMAR LÄN</t>
        </is>
      </c>
      <c r="E1039" t="inlineStr">
        <is>
          <t>VÄSTERVIK</t>
        </is>
      </c>
      <c r="G1039" t="n">
        <v>21.2</v>
      </c>
      <c r="H1039" t="n">
        <v>0</v>
      </c>
      <c r="I1039" t="n">
        <v>0</v>
      </c>
      <c r="J1039" t="n">
        <v>0</v>
      </c>
      <c r="K1039" t="n">
        <v>0</v>
      </c>
      <c r="L1039" t="n">
        <v>0</v>
      </c>
      <c r="M1039" t="n">
        <v>0</v>
      </c>
      <c r="N1039" t="n">
        <v>0</v>
      </c>
      <c r="O1039" t="n">
        <v>0</v>
      </c>
      <c r="P1039" t="n">
        <v>0</v>
      </c>
      <c r="Q1039" t="n">
        <v>0</v>
      </c>
      <c r="R1039" s="2" t="inlineStr"/>
    </row>
    <row r="1040" ht="15" customHeight="1">
      <c r="A1040" t="inlineStr">
        <is>
          <t>A 59220-2022</t>
        </is>
      </c>
      <c r="B1040" s="1" t="n">
        <v>44904.53423611111</v>
      </c>
      <c r="C1040" s="1" t="n">
        <v>46159</v>
      </c>
      <c r="D1040" t="inlineStr">
        <is>
          <t>KALMAR LÄN</t>
        </is>
      </c>
      <c r="E1040" t="inlineStr">
        <is>
          <t>VÄSTERVIK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41342-2023</t>
        </is>
      </c>
      <c r="B1041" s="1" t="n">
        <v>45174.72416666667</v>
      </c>
      <c r="C1041" s="1" t="n">
        <v>46159</v>
      </c>
      <c r="D1041" t="inlineStr">
        <is>
          <t>KALMAR LÄN</t>
        </is>
      </c>
      <c r="E1041" t="inlineStr">
        <is>
          <t>VÄSTERVIK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13490-2022</t>
        </is>
      </c>
      <c r="B1042" s="1" t="n">
        <v>44646</v>
      </c>
      <c r="C1042" s="1" t="n">
        <v>46159</v>
      </c>
      <c r="D1042" t="inlineStr">
        <is>
          <t>KALMAR LÄN</t>
        </is>
      </c>
      <c r="E1042" t="inlineStr">
        <is>
          <t>VÄSTERVIK</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5684-2023</t>
        </is>
      </c>
      <c r="B1043" s="1" t="n">
        <v>44960.73170138889</v>
      </c>
      <c r="C1043" s="1" t="n">
        <v>46159</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56617-2021</t>
        </is>
      </c>
      <c r="B1044" s="1" t="n">
        <v>44480</v>
      </c>
      <c r="C1044" s="1" t="n">
        <v>46159</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942-2024</t>
        </is>
      </c>
      <c r="B1045" s="1" t="n">
        <v>45301.53930555555</v>
      </c>
      <c r="C1045" s="1" t="n">
        <v>46159</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25403-2023</t>
        </is>
      </c>
      <c r="B1046" s="1" t="n">
        <v>45079</v>
      </c>
      <c r="C1046" s="1" t="n">
        <v>46159</v>
      </c>
      <c r="D1046" t="inlineStr">
        <is>
          <t>KALMAR LÄN</t>
        </is>
      </c>
      <c r="E1046" t="inlineStr">
        <is>
          <t>VÄSTERVIK</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34655-2023</t>
        </is>
      </c>
      <c r="B1047" s="1" t="n">
        <v>45140</v>
      </c>
      <c r="C1047" s="1" t="n">
        <v>46159</v>
      </c>
      <c r="D1047" t="inlineStr">
        <is>
          <t>KALMAR LÄN</t>
        </is>
      </c>
      <c r="E1047" t="inlineStr">
        <is>
          <t>VÄSTERVIK</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10419-2023</t>
        </is>
      </c>
      <c r="B1048" s="1" t="n">
        <v>44987</v>
      </c>
      <c r="C1048" s="1" t="n">
        <v>46159</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10406-2022</t>
        </is>
      </c>
      <c r="B1049" s="1" t="n">
        <v>44623</v>
      </c>
      <c r="C1049" s="1" t="n">
        <v>46159</v>
      </c>
      <c r="D1049" t="inlineStr">
        <is>
          <t>KALMAR LÄN</t>
        </is>
      </c>
      <c r="E1049" t="inlineStr">
        <is>
          <t>VÄSTERVIK</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61649-2022</t>
        </is>
      </c>
      <c r="B1050" s="1" t="n">
        <v>44916.90010416666</v>
      </c>
      <c r="C1050" s="1" t="n">
        <v>46159</v>
      </c>
      <c r="D1050" t="inlineStr">
        <is>
          <t>KALMAR LÄN</t>
        </is>
      </c>
      <c r="E1050" t="inlineStr">
        <is>
          <t>VÄSTERVIK</t>
        </is>
      </c>
      <c r="F1050" t="inlineStr">
        <is>
          <t>Holmen skog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5769-2023</t>
        </is>
      </c>
      <c r="B1051" s="1" t="n">
        <v>44963.37194444444</v>
      </c>
      <c r="C1051" s="1" t="n">
        <v>46159</v>
      </c>
      <c r="D1051" t="inlineStr">
        <is>
          <t>KALMAR LÄN</t>
        </is>
      </c>
      <c r="E1051" t="inlineStr">
        <is>
          <t>VÄSTERVIK</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59695-2023</t>
        </is>
      </c>
      <c r="B1052" s="1" t="n">
        <v>45256.85107638889</v>
      </c>
      <c r="C1052" s="1" t="n">
        <v>46159</v>
      </c>
      <c r="D1052" t="inlineStr">
        <is>
          <t>KALMAR LÄN</t>
        </is>
      </c>
      <c r="E1052" t="inlineStr">
        <is>
          <t>VÄSTERVIK</t>
        </is>
      </c>
      <c r="F1052" t="inlineStr">
        <is>
          <t>Sveaskog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7090-2024</t>
        </is>
      </c>
      <c r="B1053" s="1" t="n">
        <v>45343.80621527778</v>
      </c>
      <c r="C1053" s="1" t="n">
        <v>46159</v>
      </c>
      <c r="D1053" t="inlineStr">
        <is>
          <t>KALMAR LÄN</t>
        </is>
      </c>
      <c r="E1053" t="inlineStr">
        <is>
          <t>VÄSTERVIK</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47945-2023</t>
        </is>
      </c>
      <c r="B1054" s="1" t="n">
        <v>45204.5684837963</v>
      </c>
      <c r="C1054" s="1" t="n">
        <v>46159</v>
      </c>
      <c r="D1054" t="inlineStr">
        <is>
          <t>KALMAR LÄN</t>
        </is>
      </c>
      <c r="E1054" t="inlineStr">
        <is>
          <t>VÄSTERVIK</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46561-2022</t>
        </is>
      </c>
      <c r="B1055" s="1" t="n">
        <v>44848</v>
      </c>
      <c r="C1055" s="1" t="n">
        <v>46159</v>
      </c>
      <c r="D1055" t="inlineStr">
        <is>
          <t>KALMAR LÄN</t>
        </is>
      </c>
      <c r="E1055" t="inlineStr">
        <is>
          <t>VÄSTERVIK</t>
        </is>
      </c>
      <c r="F1055" t="inlineStr">
        <is>
          <t>Sveaskog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18884-2025</t>
        </is>
      </c>
      <c r="B1056" s="1" t="n">
        <v>45764.4417824074</v>
      </c>
      <c r="C1056" s="1" t="n">
        <v>46159</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55042-2024</t>
        </is>
      </c>
      <c r="B1057" s="1" t="n">
        <v>45621.39081018518</v>
      </c>
      <c r="C1057" s="1" t="n">
        <v>46159</v>
      </c>
      <c r="D1057" t="inlineStr">
        <is>
          <t>KALMAR LÄN</t>
        </is>
      </c>
      <c r="E1057" t="inlineStr">
        <is>
          <t>VÄSTERVIK</t>
        </is>
      </c>
      <c r="F1057" t="inlineStr">
        <is>
          <t>Sveaskog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2357-2025</t>
        </is>
      </c>
      <c r="B1058" s="1" t="n">
        <v>45673.68859953704</v>
      </c>
      <c r="C1058" s="1" t="n">
        <v>46159</v>
      </c>
      <c r="D1058" t="inlineStr">
        <is>
          <t>KALMAR LÄN</t>
        </is>
      </c>
      <c r="E1058" t="inlineStr">
        <is>
          <t>VÄSTERVIK</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18081-2023</t>
        </is>
      </c>
      <c r="B1059" s="1" t="n">
        <v>45040</v>
      </c>
      <c r="C1059" s="1" t="n">
        <v>46159</v>
      </c>
      <c r="D1059" t="inlineStr">
        <is>
          <t>KALMAR LÄN</t>
        </is>
      </c>
      <c r="E1059" t="inlineStr">
        <is>
          <t>VÄSTERVIK</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28895-2023</t>
        </is>
      </c>
      <c r="B1060" s="1" t="n">
        <v>45104</v>
      </c>
      <c r="C1060" s="1" t="n">
        <v>46159</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12386-2025</t>
        </is>
      </c>
      <c r="B1061" s="1" t="n">
        <v>45730</v>
      </c>
      <c r="C1061" s="1" t="n">
        <v>46159</v>
      </c>
      <c r="D1061" t="inlineStr">
        <is>
          <t>KALMAR LÄN</t>
        </is>
      </c>
      <c r="E1061" t="inlineStr">
        <is>
          <t>VÄSTERVIK</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53266-2021</t>
        </is>
      </c>
      <c r="B1062" s="1" t="n">
        <v>44468.48255787037</v>
      </c>
      <c r="C1062" s="1" t="n">
        <v>46159</v>
      </c>
      <c r="D1062" t="inlineStr">
        <is>
          <t>KALMAR LÄN</t>
        </is>
      </c>
      <c r="E1062" t="inlineStr">
        <is>
          <t>VÄSTERVIK</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15765-2023</t>
        </is>
      </c>
      <c r="B1063" s="1" t="n">
        <v>45021</v>
      </c>
      <c r="C1063" s="1" t="n">
        <v>46159</v>
      </c>
      <c r="D1063" t="inlineStr">
        <is>
          <t>KALMAR LÄN</t>
        </is>
      </c>
      <c r="E1063" t="inlineStr">
        <is>
          <t>VÄSTERVIK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14055-2025</t>
        </is>
      </c>
      <c r="B1064" s="1" t="n">
        <v>45740.39541666667</v>
      </c>
      <c r="C1064" s="1" t="n">
        <v>46159</v>
      </c>
      <c r="D1064" t="inlineStr">
        <is>
          <t>KALMAR LÄN</t>
        </is>
      </c>
      <c r="E1064" t="inlineStr">
        <is>
          <t>VÄSTERVIK</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48121-2021</t>
        </is>
      </c>
      <c r="B1065" s="1" t="n">
        <v>44449.46614583334</v>
      </c>
      <c r="C1065" s="1" t="n">
        <v>46159</v>
      </c>
      <c r="D1065" t="inlineStr">
        <is>
          <t>KALMAR LÄN</t>
        </is>
      </c>
      <c r="E1065" t="inlineStr">
        <is>
          <t>VÄSTERVIK</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51645-2023</t>
        </is>
      </c>
      <c r="B1066" s="1" t="n">
        <v>45222.55333333334</v>
      </c>
      <c r="C1066" s="1" t="n">
        <v>46159</v>
      </c>
      <c r="D1066" t="inlineStr">
        <is>
          <t>KALMAR LÄN</t>
        </is>
      </c>
      <c r="E1066" t="inlineStr">
        <is>
          <t>VÄSTERVIK</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69702-2021</t>
        </is>
      </c>
      <c r="B1067" s="1" t="n">
        <v>44532.48237268518</v>
      </c>
      <c r="C1067" s="1" t="n">
        <v>46159</v>
      </c>
      <c r="D1067" t="inlineStr">
        <is>
          <t>KALMAR LÄN</t>
        </is>
      </c>
      <c r="E1067" t="inlineStr">
        <is>
          <t>VÄSTERVIK</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6126-2023</t>
        </is>
      </c>
      <c r="B1068" s="1" t="n">
        <v>44964.61592592593</v>
      </c>
      <c r="C1068" s="1" t="n">
        <v>46159</v>
      </c>
      <c r="D1068" t="inlineStr">
        <is>
          <t>KALMAR LÄN</t>
        </is>
      </c>
      <c r="E1068" t="inlineStr">
        <is>
          <t>VÄSTERVIK</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15099-2023</t>
        </is>
      </c>
      <c r="B1069" s="1" t="n">
        <v>45016.39048611111</v>
      </c>
      <c r="C1069" s="1" t="n">
        <v>46159</v>
      </c>
      <c r="D1069" t="inlineStr">
        <is>
          <t>KALMAR LÄN</t>
        </is>
      </c>
      <c r="E1069" t="inlineStr">
        <is>
          <t>VÄSTERVIK</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71114-2021</t>
        </is>
      </c>
      <c r="B1070" s="1" t="n">
        <v>44539.37123842593</v>
      </c>
      <c r="C1070" s="1" t="n">
        <v>46159</v>
      </c>
      <c r="D1070" t="inlineStr">
        <is>
          <t>KALMAR LÄN</t>
        </is>
      </c>
      <c r="E1070" t="inlineStr">
        <is>
          <t>VÄSTERVIK</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13838-2024</t>
        </is>
      </c>
      <c r="B1071" s="1" t="n">
        <v>45391.44646990741</v>
      </c>
      <c r="C1071" s="1" t="n">
        <v>46159</v>
      </c>
      <c r="D1071" t="inlineStr">
        <is>
          <t>KALMAR LÄN</t>
        </is>
      </c>
      <c r="E1071" t="inlineStr">
        <is>
          <t>VÄSTERVIK</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62422-2022</t>
        </is>
      </c>
      <c r="B1072" s="1" t="n">
        <v>44924</v>
      </c>
      <c r="C1072" s="1" t="n">
        <v>46159</v>
      </c>
      <c r="D1072" t="inlineStr">
        <is>
          <t>KALMAR LÄN</t>
        </is>
      </c>
      <c r="E1072" t="inlineStr">
        <is>
          <t>VÄSTERVIK</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16617-2023</t>
        </is>
      </c>
      <c r="B1073" s="1" t="n">
        <v>45030</v>
      </c>
      <c r="C1073" s="1" t="n">
        <v>46159</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64762-2023</t>
        </is>
      </c>
      <c r="B1074" s="1" t="n">
        <v>45282.27841435185</v>
      </c>
      <c r="C1074" s="1" t="n">
        <v>46159</v>
      </c>
      <c r="D1074" t="inlineStr">
        <is>
          <t>KALMAR LÄN</t>
        </is>
      </c>
      <c r="E1074" t="inlineStr">
        <is>
          <t>VÄSTERVIK</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64763-2023</t>
        </is>
      </c>
      <c r="B1075" s="1" t="n">
        <v>45282.28041666667</v>
      </c>
      <c r="C1075" s="1" t="n">
        <v>46159</v>
      </c>
      <c r="D1075" t="inlineStr">
        <is>
          <t>KALMAR LÄN</t>
        </is>
      </c>
      <c r="E1075" t="inlineStr">
        <is>
          <t>VÄSTERVIK</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37326-2024</t>
        </is>
      </c>
      <c r="B1076" s="1" t="n">
        <v>45540</v>
      </c>
      <c r="C1076" s="1" t="n">
        <v>46159</v>
      </c>
      <c r="D1076" t="inlineStr">
        <is>
          <t>KALMAR LÄN</t>
        </is>
      </c>
      <c r="E1076" t="inlineStr">
        <is>
          <t>VÄSTERVIK</t>
        </is>
      </c>
      <c r="F1076" t="inlineStr">
        <is>
          <t>Holmen skog AB</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2830-2025</t>
        </is>
      </c>
      <c r="B1077" s="1" t="n">
        <v>45677.62704861111</v>
      </c>
      <c r="C1077" s="1" t="n">
        <v>46159</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8440-2023</t>
        </is>
      </c>
      <c r="B1078" s="1" t="n">
        <v>44977.46979166667</v>
      </c>
      <c r="C1078" s="1" t="n">
        <v>46159</v>
      </c>
      <c r="D1078" t="inlineStr">
        <is>
          <t>KALMAR LÄN</t>
        </is>
      </c>
      <c r="E1078" t="inlineStr">
        <is>
          <t>VÄSTERVIK</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8513-2023</t>
        </is>
      </c>
      <c r="B1079" s="1" t="n">
        <v>44977.56759259259</v>
      </c>
      <c r="C1079" s="1" t="n">
        <v>46159</v>
      </c>
      <c r="D1079" t="inlineStr">
        <is>
          <t>KALMAR LÄN</t>
        </is>
      </c>
      <c r="E1079" t="inlineStr">
        <is>
          <t>VÄSTERVIK</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14685-2025</t>
        </is>
      </c>
      <c r="B1080" s="1" t="n">
        <v>45742.57653935185</v>
      </c>
      <c r="C1080" s="1" t="n">
        <v>46159</v>
      </c>
      <c r="D1080" t="inlineStr">
        <is>
          <t>KALMAR LÄN</t>
        </is>
      </c>
      <c r="E1080" t="inlineStr">
        <is>
          <t>VÄSTERVIK</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11791-2024</t>
        </is>
      </c>
      <c r="B1081" s="1" t="n">
        <v>45374.97038194445</v>
      </c>
      <c r="C1081" s="1" t="n">
        <v>46159</v>
      </c>
      <c r="D1081" t="inlineStr">
        <is>
          <t>KALMAR LÄN</t>
        </is>
      </c>
      <c r="E1081" t="inlineStr">
        <is>
          <t>VÄSTERVIK</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3679-2025</t>
        </is>
      </c>
      <c r="B1082" s="1" t="n">
        <v>45681.44637731482</v>
      </c>
      <c r="C1082" s="1" t="n">
        <v>46159</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16683-2025</t>
        </is>
      </c>
      <c r="B1083" s="1" t="n">
        <v>45754.45234953704</v>
      </c>
      <c r="C1083" s="1" t="n">
        <v>46159</v>
      </c>
      <c r="D1083" t="inlineStr">
        <is>
          <t>KALMAR LÄN</t>
        </is>
      </c>
      <c r="E1083" t="inlineStr">
        <is>
          <t>VÄSTERVIK</t>
        </is>
      </c>
      <c r="F1083" t="inlineStr">
        <is>
          <t>Sveaskog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16686-2025</t>
        </is>
      </c>
      <c r="B1084" s="1" t="n">
        <v>45754.45355324074</v>
      </c>
      <c r="C1084" s="1" t="n">
        <v>46159</v>
      </c>
      <c r="D1084" t="inlineStr">
        <is>
          <t>KALMAR LÄN</t>
        </is>
      </c>
      <c r="E1084" t="inlineStr">
        <is>
          <t>VÄSTERVIK</t>
        </is>
      </c>
      <c r="F1084" t="inlineStr">
        <is>
          <t>Sveaskog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29420-2024</t>
        </is>
      </c>
      <c r="B1085" s="1" t="n">
        <v>45483</v>
      </c>
      <c r="C1085" s="1" t="n">
        <v>46159</v>
      </c>
      <c r="D1085" t="inlineStr">
        <is>
          <t>KALMAR LÄN</t>
        </is>
      </c>
      <c r="E1085" t="inlineStr">
        <is>
          <t>VÄSTERVIK</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38048-2023</t>
        </is>
      </c>
      <c r="B1086" s="1" t="n">
        <v>45160.67677083334</v>
      </c>
      <c r="C1086" s="1" t="n">
        <v>46159</v>
      </c>
      <c r="D1086" t="inlineStr">
        <is>
          <t>KALMAR LÄN</t>
        </is>
      </c>
      <c r="E1086" t="inlineStr">
        <is>
          <t>VÄSTERVIK</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17648-2023</t>
        </is>
      </c>
      <c r="B1087" s="1" t="n">
        <v>45036</v>
      </c>
      <c r="C1087" s="1" t="n">
        <v>46159</v>
      </c>
      <c r="D1087" t="inlineStr">
        <is>
          <t>KALMAR LÄN</t>
        </is>
      </c>
      <c r="E1087" t="inlineStr">
        <is>
          <t>VÄSTERVIK</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28952-2023</t>
        </is>
      </c>
      <c r="B1088" s="1" t="n">
        <v>45104</v>
      </c>
      <c r="C1088" s="1" t="n">
        <v>46159</v>
      </c>
      <c r="D1088" t="inlineStr">
        <is>
          <t>KALMAR LÄN</t>
        </is>
      </c>
      <c r="E1088" t="inlineStr">
        <is>
          <t>VÄSTERVIK</t>
        </is>
      </c>
      <c r="F1088" t="inlineStr">
        <is>
          <t>Holmen skog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37986-2023</t>
        </is>
      </c>
      <c r="B1089" s="1" t="n">
        <v>45160.60331018519</v>
      </c>
      <c r="C1089" s="1" t="n">
        <v>46159</v>
      </c>
      <c r="D1089" t="inlineStr">
        <is>
          <t>KALMAR LÄN</t>
        </is>
      </c>
      <c r="E1089" t="inlineStr">
        <is>
          <t>VÄSTERVIK</t>
        </is>
      </c>
      <c r="F1089" t="inlineStr">
        <is>
          <t>Sveaskog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61448-2023</t>
        </is>
      </c>
      <c r="B1090" s="1" t="n">
        <v>45264.81439814815</v>
      </c>
      <c r="C1090" s="1" t="n">
        <v>46159</v>
      </c>
      <c r="D1090" t="inlineStr">
        <is>
          <t>KALMAR LÄN</t>
        </is>
      </c>
      <c r="E1090" t="inlineStr">
        <is>
          <t>VÄSTERVIK</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61449-2023</t>
        </is>
      </c>
      <c r="B1091" s="1" t="n">
        <v>45264.81490740741</v>
      </c>
      <c r="C1091" s="1" t="n">
        <v>46159</v>
      </c>
      <c r="D1091" t="inlineStr">
        <is>
          <t>KALMAR LÄN</t>
        </is>
      </c>
      <c r="E1091" t="inlineStr">
        <is>
          <t>VÄSTERVIK</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24877-2023</t>
        </is>
      </c>
      <c r="B1092" s="1" t="n">
        <v>45085.43271990741</v>
      </c>
      <c r="C1092" s="1" t="n">
        <v>46159</v>
      </c>
      <c r="D1092" t="inlineStr">
        <is>
          <t>KALMAR LÄN</t>
        </is>
      </c>
      <c r="E1092" t="inlineStr">
        <is>
          <t>VÄSTERVIK</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29789-2024</t>
        </is>
      </c>
      <c r="B1093" s="1" t="n">
        <v>45485.46721064814</v>
      </c>
      <c r="C1093" s="1" t="n">
        <v>46159</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52774-2024</t>
        </is>
      </c>
      <c r="B1094" s="1" t="n">
        <v>45610.53413194444</v>
      </c>
      <c r="C1094" s="1" t="n">
        <v>46159</v>
      </c>
      <c r="D1094" t="inlineStr">
        <is>
          <t>KALMAR LÄN</t>
        </is>
      </c>
      <c r="E1094" t="inlineStr">
        <is>
          <t>VÄSTERVIK</t>
        </is>
      </c>
      <c r="F1094" t="inlineStr">
        <is>
          <t>Holmen skog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352-2023</t>
        </is>
      </c>
      <c r="B1095" s="1" t="n">
        <v>44929.51619212963</v>
      </c>
      <c r="C1095" s="1" t="n">
        <v>46159</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13843-2024</t>
        </is>
      </c>
      <c r="B1096" s="1" t="n">
        <v>45391.45087962963</v>
      </c>
      <c r="C1096" s="1" t="n">
        <v>46159</v>
      </c>
      <c r="D1096" t="inlineStr">
        <is>
          <t>KALMAR LÄN</t>
        </is>
      </c>
      <c r="E1096" t="inlineStr">
        <is>
          <t>VÄSTERVIK</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57804-2021</t>
        </is>
      </c>
      <c r="B1097" s="1" t="n">
        <v>44484</v>
      </c>
      <c r="C1097" s="1" t="n">
        <v>46159</v>
      </c>
      <c r="D1097" t="inlineStr">
        <is>
          <t>KALMAR LÄN</t>
        </is>
      </c>
      <c r="E1097" t="inlineStr">
        <is>
          <t>VÄSTERVIK</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59675-2022</t>
        </is>
      </c>
      <c r="B1098" s="1" t="n">
        <v>44908</v>
      </c>
      <c r="C1098" s="1" t="n">
        <v>46159</v>
      </c>
      <c r="D1098" t="inlineStr">
        <is>
          <t>KALMAR LÄN</t>
        </is>
      </c>
      <c r="E1098" t="inlineStr">
        <is>
          <t>VÄSTERVIK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55050-2024</t>
        </is>
      </c>
      <c r="B1099" s="1" t="n">
        <v>45621.39759259259</v>
      </c>
      <c r="C1099" s="1" t="n">
        <v>46159</v>
      </c>
      <c r="D1099" t="inlineStr">
        <is>
          <t>KALMAR LÄN</t>
        </is>
      </c>
      <c r="E1099" t="inlineStr">
        <is>
          <t>VÄSTERVIK</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21942-2023</t>
        </is>
      </c>
      <c r="B1100" s="1" t="n">
        <v>45068</v>
      </c>
      <c r="C1100" s="1" t="n">
        <v>46159</v>
      </c>
      <c r="D1100" t="inlineStr">
        <is>
          <t>KALMAR LÄN</t>
        </is>
      </c>
      <c r="E1100" t="inlineStr">
        <is>
          <t>VÄSTERVIK</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2314-2023</t>
        </is>
      </c>
      <c r="B1101" s="1" t="n">
        <v>44942</v>
      </c>
      <c r="C1101" s="1" t="n">
        <v>46159</v>
      </c>
      <c r="D1101" t="inlineStr">
        <is>
          <t>KALMAR LÄN</t>
        </is>
      </c>
      <c r="E1101" t="inlineStr">
        <is>
          <t>VÄSTERVIK</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38040-2023</t>
        </is>
      </c>
      <c r="B1102" s="1" t="n">
        <v>45160.66336805555</v>
      </c>
      <c r="C1102" s="1" t="n">
        <v>46159</v>
      </c>
      <c r="D1102" t="inlineStr">
        <is>
          <t>KALMAR LÄN</t>
        </is>
      </c>
      <c r="E1102" t="inlineStr">
        <is>
          <t>VÄSTERVIK</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55609-2024</t>
        </is>
      </c>
      <c r="B1103" s="1" t="n">
        <v>45622.58350694444</v>
      </c>
      <c r="C1103" s="1" t="n">
        <v>46159</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33208-2022</t>
        </is>
      </c>
      <c r="B1104" s="1" t="n">
        <v>44785</v>
      </c>
      <c r="C1104" s="1" t="n">
        <v>46159</v>
      </c>
      <c r="D1104" t="inlineStr">
        <is>
          <t>KALMAR LÄN</t>
        </is>
      </c>
      <c r="E1104" t="inlineStr">
        <is>
          <t>VÄSTERVIK</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12652-2022</t>
        </is>
      </c>
      <c r="B1105" s="1" t="n">
        <v>44641</v>
      </c>
      <c r="C1105" s="1" t="n">
        <v>46159</v>
      </c>
      <c r="D1105" t="inlineStr">
        <is>
          <t>KALMAR LÄN</t>
        </is>
      </c>
      <c r="E1105" t="inlineStr">
        <is>
          <t>VÄSTERVIK</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17307-2023</t>
        </is>
      </c>
      <c r="B1106" s="1" t="n">
        <v>45035.53497685185</v>
      </c>
      <c r="C1106" s="1" t="n">
        <v>46159</v>
      </c>
      <c r="D1106" t="inlineStr">
        <is>
          <t>KALMAR LÄN</t>
        </is>
      </c>
      <c r="E1106" t="inlineStr">
        <is>
          <t>VÄSTERVIK</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23992-2021</t>
        </is>
      </c>
      <c r="B1107" s="1" t="n">
        <v>44335</v>
      </c>
      <c r="C1107" s="1" t="n">
        <v>46159</v>
      </c>
      <c r="D1107" t="inlineStr">
        <is>
          <t>KALMAR LÄN</t>
        </is>
      </c>
      <c r="E1107" t="inlineStr">
        <is>
          <t>VÄSTERVIK</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59331-2023</t>
        </is>
      </c>
      <c r="B1108" s="1" t="n">
        <v>45253</v>
      </c>
      <c r="C1108" s="1" t="n">
        <v>46159</v>
      </c>
      <c r="D1108" t="inlineStr">
        <is>
          <t>KALMAR LÄN</t>
        </is>
      </c>
      <c r="E1108" t="inlineStr">
        <is>
          <t>VÄSTERVIK</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35667-2023</t>
        </is>
      </c>
      <c r="B1109" s="1" t="n">
        <v>45147.60667824074</v>
      </c>
      <c r="C1109" s="1" t="n">
        <v>46159</v>
      </c>
      <c r="D1109" t="inlineStr">
        <is>
          <t>KALMAR LÄN</t>
        </is>
      </c>
      <c r="E1109" t="inlineStr">
        <is>
          <t>VÄSTERVIK</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15875-2023</t>
        </is>
      </c>
      <c r="B1110" s="1" t="n">
        <v>45022.41916666667</v>
      </c>
      <c r="C1110" s="1" t="n">
        <v>46159</v>
      </c>
      <c r="D1110" t="inlineStr">
        <is>
          <t>KALMAR LÄN</t>
        </is>
      </c>
      <c r="E1110" t="inlineStr">
        <is>
          <t>VÄSTERVIK</t>
        </is>
      </c>
      <c r="F1110" t="inlineStr">
        <is>
          <t>Kyrkan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60478-2024</t>
        </is>
      </c>
      <c r="B1111" s="1" t="n">
        <v>45643</v>
      </c>
      <c r="C1111" s="1" t="n">
        <v>46159</v>
      </c>
      <c r="D1111" t="inlineStr">
        <is>
          <t>KALMAR LÄN</t>
        </is>
      </c>
      <c r="E1111" t="inlineStr">
        <is>
          <t>VÄSTERVIK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14385-2023</t>
        </is>
      </c>
      <c r="B1112" s="1" t="n">
        <v>45012</v>
      </c>
      <c r="C1112" s="1" t="n">
        <v>46159</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48446-2024</t>
        </is>
      </c>
      <c r="B1113" s="1" t="n">
        <v>45590.69163194444</v>
      </c>
      <c r="C1113" s="1" t="n">
        <v>46159</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23873-2024</t>
        </is>
      </c>
      <c r="B1114" s="1" t="n">
        <v>45455</v>
      </c>
      <c r="C1114" s="1" t="n">
        <v>46159</v>
      </c>
      <c r="D1114" t="inlineStr">
        <is>
          <t>KALMAR LÄN</t>
        </is>
      </c>
      <c r="E1114" t="inlineStr">
        <is>
          <t>VÄSTERVIK</t>
        </is>
      </c>
      <c r="F1114" t="inlineStr">
        <is>
          <t>Övriga Aktiebolag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29784-2024</t>
        </is>
      </c>
      <c r="B1115" s="1" t="n">
        <v>45485.46129629629</v>
      </c>
      <c r="C1115" s="1" t="n">
        <v>46159</v>
      </c>
      <c r="D1115" t="inlineStr">
        <is>
          <t>KALMAR LÄN</t>
        </is>
      </c>
      <c r="E1115" t="inlineStr">
        <is>
          <t>VÄSTERVIK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24562-2024</t>
        </is>
      </c>
      <c r="B1116" s="1" t="n">
        <v>45460</v>
      </c>
      <c r="C1116" s="1" t="n">
        <v>46159</v>
      </c>
      <c r="D1116" t="inlineStr">
        <is>
          <t>KALMAR LÄN</t>
        </is>
      </c>
      <c r="E1116" t="inlineStr">
        <is>
          <t>VÄSTERVIK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10807-2023</t>
        </is>
      </c>
      <c r="B1117" s="1" t="n">
        <v>44989.64261574074</v>
      </c>
      <c r="C1117" s="1" t="n">
        <v>46159</v>
      </c>
      <c r="D1117" t="inlineStr">
        <is>
          <t>KALMAR LÄN</t>
        </is>
      </c>
      <c r="E1117" t="inlineStr">
        <is>
          <t>VÄSTERVIK</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9112-2023</t>
        </is>
      </c>
      <c r="B1118" s="1" t="n">
        <v>44979</v>
      </c>
      <c r="C1118" s="1" t="n">
        <v>46159</v>
      </c>
      <c r="D1118" t="inlineStr">
        <is>
          <t>KALMAR LÄN</t>
        </is>
      </c>
      <c r="E1118" t="inlineStr">
        <is>
          <t>VÄSTERVIK</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22740-2024</t>
        </is>
      </c>
      <c r="B1119" s="1" t="n">
        <v>45448.39869212963</v>
      </c>
      <c r="C1119" s="1" t="n">
        <v>46159</v>
      </c>
      <c r="D1119" t="inlineStr">
        <is>
          <t>KALMAR LÄN</t>
        </is>
      </c>
      <c r="E1119" t="inlineStr">
        <is>
          <t>VÄSTERVIK</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32763-2022</t>
        </is>
      </c>
      <c r="B1120" s="1" t="n">
        <v>44783</v>
      </c>
      <c r="C1120" s="1" t="n">
        <v>46159</v>
      </c>
      <c r="D1120" t="inlineStr">
        <is>
          <t>KALMAR LÄN</t>
        </is>
      </c>
      <c r="E1120" t="inlineStr">
        <is>
          <t>VÄSTERVIK</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24829-2022</t>
        </is>
      </c>
      <c r="B1121" s="1" t="n">
        <v>44728.45674768519</v>
      </c>
      <c r="C1121" s="1" t="n">
        <v>46159</v>
      </c>
      <c r="D1121" t="inlineStr">
        <is>
          <t>KALMAR LÄN</t>
        </is>
      </c>
      <c r="E1121" t="inlineStr">
        <is>
          <t>VÄSTERVIK</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57802-2024</t>
        </is>
      </c>
      <c r="B1122" s="1" t="n">
        <v>45631.34590277778</v>
      </c>
      <c r="C1122" s="1" t="n">
        <v>46159</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17214-2024</t>
        </is>
      </c>
      <c r="B1123" s="1" t="n">
        <v>45414</v>
      </c>
      <c r="C1123" s="1" t="n">
        <v>46159</v>
      </c>
      <c r="D1123" t="inlineStr">
        <is>
          <t>KALMAR LÄN</t>
        </is>
      </c>
      <c r="E1123" t="inlineStr">
        <is>
          <t>VÄSTERVIK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15021-2025</t>
        </is>
      </c>
      <c r="B1124" s="1" t="n">
        <v>45743.64482638889</v>
      </c>
      <c r="C1124" s="1" t="n">
        <v>46159</v>
      </c>
      <c r="D1124" t="inlineStr">
        <is>
          <t>KALMAR LÄN</t>
        </is>
      </c>
      <c r="E1124" t="inlineStr">
        <is>
          <t>VÄSTERVIK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35961-2023</t>
        </is>
      </c>
      <c r="B1125" s="1" t="n">
        <v>45148.85041666667</v>
      </c>
      <c r="C1125" s="1" t="n">
        <v>46159</v>
      </c>
      <c r="D1125" t="inlineStr">
        <is>
          <t>KALMAR LÄN</t>
        </is>
      </c>
      <c r="E1125" t="inlineStr">
        <is>
          <t>VÄSTERVIK</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10808-2025</t>
        </is>
      </c>
      <c r="B1126" s="1" t="n">
        <v>45722.53427083333</v>
      </c>
      <c r="C1126" s="1" t="n">
        <v>46159</v>
      </c>
      <c r="D1126" t="inlineStr">
        <is>
          <t>KALMAR LÄN</t>
        </is>
      </c>
      <c r="E1126" t="inlineStr">
        <is>
          <t>VÄSTERVIK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43199-2024</t>
        </is>
      </c>
      <c r="B1127" s="1" t="n">
        <v>45567.68774305555</v>
      </c>
      <c r="C1127" s="1" t="n">
        <v>46159</v>
      </c>
      <c r="D1127" t="inlineStr">
        <is>
          <t>KALMAR LÄN</t>
        </is>
      </c>
      <c r="E1127" t="inlineStr">
        <is>
          <t>VÄSTERVIK</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6346-2023</t>
        </is>
      </c>
      <c r="B1128" s="1" t="n">
        <v>44960</v>
      </c>
      <c r="C1128" s="1" t="n">
        <v>46159</v>
      </c>
      <c r="D1128" t="inlineStr">
        <is>
          <t>KALMAR LÄN</t>
        </is>
      </c>
      <c r="E1128" t="inlineStr">
        <is>
          <t>VÄSTERVIK</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26285-2024</t>
        </is>
      </c>
      <c r="B1129" s="1" t="n">
        <v>45468.70357638889</v>
      </c>
      <c r="C1129" s="1" t="n">
        <v>46159</v>
      </c>
      <c r="D1129" t="inlineStr">
        <is>
          <t>KALMAR LÄN</t>
        </is>
      </c>
      <c r="E1129" t="inlineStr">
        <is>
          <t>VÄSTERVIK</t>
        </is>
      </c>
      <c r="F1129" t="inlineStr">
        <is>
          <t>Holmen skog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9037-2023</t>
        </is>
      </c>
      <c r="B1130" s="1" t="n">
        <v>44979.65015046296</v>
      </c>
      <c r="C1130" s="1" t="n">
        <v>46159</v>
      </c>
      <c r="D1130" t="inlineStr">
        <is>
          <t>KALMAR LÄN</t>
        </is>
      </c>
      <c r="E1130" t="inlineStr">
        <is>
          <t>VÄSTERVIK</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50086-2023</t>
        </is>
      </c>
      <c r="B1131" s="1" t="n">
        <v>45215.59601851852</v>
      </c>
      <c r="C1131" s="1" t="n">
        <v>46159</v>
      </c>
      <c r="D1131" t="inlineStr">
        <is>
          <t>KALMAR LÄN</t>
        </is>
      </c>
      <c r="E1131" t="inlineStr">
        <is>
          <t>VÄSTERVIK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13275-2023</t>
        </is>
      </c>
      <c r="B1132" s="1" t="n">
        <v>45003</v>
      </c>
      <c r="C1132" s="1" t="n">
        <v>46159</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c r="U1132">
        <f>HYPERLINK("https://klasma.github.io/Logging_0883/knärot/A 13275-2023 karta knärot.png", "A 13275-2023")</f>
        <v/>
      </c>
      <c r="V1132">
        <f>HYPERLINK("https://klasma.github.io/Logging_0883/klagomål/A 13275-2023 FSC-klagomål.docx", "A 13275-2023")</f>
        <v/>
      </c>
      <c r="W1132">
        <f>HYPERLINK("https://klasma.github.io/Logging_0883/klagomålsmail/A 13275-2023 FSC-klagomål mail.docx", "A 13275-2023")</f>
        <v/>
      </c>
      <c r="X1132">
        <f>HYPERLINK("https://klasma.github.io/Logging_0883/tillsyn/A 13275-2023 tillsynsbegäran.docx", "A 13275-2023")</f>
        <v/>
      </c>
      <c r="Y1132">
        <f>HYPERLINK("https://klasma.github.io/Logging_0883/tillsynsmail/A 13275-2023 tillsynsbegäran mail.docx", "A 13275-2023")</f>
        <v/>
      </c>
    </row>
    <row r="1133" ht="15" customHeight="1">
      <c r="A1133" t="inlineStr">
        <is>
          <t>A 9042-2023</t>
        </is>
      </c>
      <c r="B1133" s="1" t="n">
        <v>44979</v>
      </c>
      <c r="C1133" s="1" t="n">
        <v>46159</v>
      </c>
      <c r="D1133" t="inlineStr">
        <is>
          <t>KALMAR LÄN</t>
        </is>
      </c>
      <c r="E1133" t="inlineStr">
        <is>
          <t>VÄSTERVIK</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782-2024</t>
        </is>
      </c>
      <c r="B1134" s="1" t="n">
        <v>45300.55188657407</v>
      </c>
      <c r="C1134" s="1" t="n">
        <v>46159</v>
      </c>
      <c r="D1134" t="inlineStr">
        <is>
          <t>KALMAR LÄN</t>
        </is>
      </c>
      <c r="E1134" t="inlineStr">
        <is>
          <t>VÄSTERVIK</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69753-2021</t>
        </is>
      </c>
      <c r="B1135" s="1" t="n">
        <v>44532.56175925926</v>
      </c>
      <c r="C1135" s="1" t="n">
        <v>46159</v>
      </c>
      <c r="D1135" t="inlineStr">
        <is>
          <t>KALMAR LÄN</t>
        </is>
      </c>
      <c r="E1135" t="inlineStr">
        <is>
          <t>VÄSTERVIK</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808-2023</t>
        </is>
      </c>
      <c r="B1136" s="1" t="n">
        <v>44931</v>
      </c>
      <c r="C1136" s="1" t="n">
        <v>46159</v>
      </c>
      <c r="D1136" t="inlineStr">
        <is>
          <t>KALMAR LÄN</t>
        </is>
      </c>
      <c r="E1136" t="inlineStr">
        <is>
          <t>VÄSTERVIK</t>
        </is>
      </c>
      <c r="F1136" t="inlineStr">
        <is>
          <t>Holmen skog AB</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33204-2022</t>
        </is>
      </c>
      <c r="B1137" s="1" t="n">
        <v>44785</v>
      </c>
      <c r="C1137" s="1" t="n">
        <v>46159</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39983-2024</t>
        </is>
      </c>
      <c r="B1138" s="1" t="n">
        <v>45553.61674768518</v>
      </c>
      <c r="C1138" s="1" t="n">
        <v>46159</v>
      </c>
      <c r="D1138" t="inlineStr">
        <is>
          <t>KALMAR LÄN</t>
        </is>
      </c>
      <c r="E1138" t="inlineStr">
        <is>
          <t>VÄSTERVIK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11167-2024</t>
        </is>
      </c>
      <c r="B1139" s="1" t="n">
        <v>45371.4966087963</v>
      </c>
      <c r="C1139" s="1" t="n">
        <v>46159</v>
      </c>
      <c r="D1139" t="inlineStr">
        <is>
          <t>KALMAR LÄN</t>
        </is>
      </c>
      <c r="E1139" t="inlineStr">
        <is>
          <t>VÄSTERVIK</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55828-2022</t>
        </is>
      </c>
      <c r="B1140" s="1" t="n">
        <v>44888</v>
      </c>
      <c r="C1140" s="1" t="n">
        <v>46159</v>
      </c>
      <c r="D1140" t="inlineStr">
        <is>
          <t>KALMAR LÄN</t>
        </is>
      </c>
      <c r="E1140" t="inlineStr">
        <is>
          <t>VÄSTERVIK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53077-2024</t>
        </is>
      </c>
      <c r="B1141" s="1" t="n">
        <v>45611.49178240741</v>
      </c>
      <c r="C1141" s="1" t="n">
        <v>46159</v>
      </c>
      <c r="D1141" t="inlineStr">
        <is>
          <t>KALMAR LÄN</t>
        </is>
      </c>
      <c r="E1141" t="inlineStr">
        <is>
          <t>VÄSTERVIK</t>
        </is>
      </c>
      <c r="F1141" t="inlineStr">
        <is>
          <t>Holmen skog AB</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28222-2024</t>
        </is>
      </c>
      <c r="B1142" s="1" t="n">
        <v>45477.36993055556</v>
      </c>
      <c r="C1142" s="1" t="n">
        <v>46159</v>
      </c>
      <c r="D1142" t="inlineStr">
        <is>
          <t>KALMAR LÄN</t>
        </is>
      </c>
      <c r="E1142" t="inlineStr">
        <is>
          <t>VÄSTERVIK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29952-2022</t>
        </is>
      </c>
      <c r="B1143" s="1" t="n">
        <v>44756.62649305556</v>
      </c>
      <c r="C1143" s="1" t="n">
        <v>46159</v>
      </c>
      <c r="D1143" t="inlineStr">
        <is>
          <t>KALMAR LÄN</t>
        </is>
      </c>
      <c r="E1143" t="inlineStr">
        <is>
          <t>VÄSTERVIK</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63361-2023</t>
        </is>
      </c>
      <c r="B1144" s="1" t="n">
        <v>45274.46324074074</v>
      </c>
      <c r="C1144" s="1" t="n">
        <v>46159</v>
      </c>
      <c r="D1144" t="inlineStr">
        <is>
          <t>KALMAR LÄN</t>
        </is>
      </c>
      <c r="E1144" t="inlineStr">
        <is>
          <t>VÄSTERVIK</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9267-2025</t>
        </is>
      </c>
      <c r="B1145" s="1" t="n">
        <v>45714.61418981481</v>
      </c>
      <c r="C1145" s="1" t="n">
        <v>46159</v>
      </c>
      <c r="D1145" t="inlineStr">
        <is>
          <t>KALMAR LÄN</t>
        </is>
      </c>
      <c r="E1145" t="inlineStr">
        <is>
          <t>VÄSTERVIK</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18880-2025</t>
        </is>
      </c>
      <c r="B1146" s="1" t="n">
        <v>45764.43959490741</v>
      </c>
      <c r="C1146" s="1" t="n">
        <v>46159</v>
      </c>
      <c r="D1146" t="inlineStr">
        <is>
          <t>KALMAR LÄN</t>
        </is>
      </c>
      <c r="E1146" t="inlineStr">
        <is>
          <t>VÄSTERVIK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5691-2025</t>
        </is>
      </c>
      <c r="B1147" s="1" t="n">
        <v>45694.37447916667</v>
      </c>
      <c r="C1147" s="1" t="n">
        <v>46159</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17652-2023</t>
        </is>
      </c>
      <c r="B1148" s="1" t="n">
        <v>45036.70626157407</v>
      </c>
      <c r="C1148" s="1" t="n">
        <v>46159</v>
      </c>
      <c r="D1148" t="inlineStr">
        <is>
          <t>KALMAR LÄN</t>
        </is>
      </c>
      <c r="E1148" t="inlineStr">
        <is>
          <t>VÄSTERVIK</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49706-2024</t>
        </is>
      </c>
      <c r="B1149" s="1" t="n">
        <v>45596.69706018519</v>
      </c>
      <c r="C1149" s="1" t="n">
        <v>46159</v>
      </c>
      <c r="D1149" t="inlineStr">
        <is>
          <t>KALMAR LÄN</t>
        </is>
      </c>
      <c r="E1149" t="inlineStr">
        <is>
          <t>VÄSTERVIK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5060-2025</t>
        </is>
      </c>
      <c r="B1150" s="1" t="n">
        <v>45691.47354166667</v>
      </c>
      <c r="C1150" s="1" t="n">
        <v>46159</v>
      </c>
      <c r="D1150" t="inlineStr">
        <is>
          <t>KALMAR LÄN</t>
        </is>
      </c>
      <c r="E1150" t="inlineStr">
        <is>
          <t>VÄSTERVIK</t>
        </is>
      </c>
      <c r="F1150" t="inlineStr">
        <is>
          <t>Holmen skog AB</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57019-2023</t>
        </is>
      </c>
      <c r="B1151" s="1" t="n">
        <v>45244</v>
      </c>
      <c r="C1151" s="1" t="n">
        <v>46159</v>
      </c>
      <c r="D1151" t="inlineStr">
        <is>
          <t>KALMAR LÄN</t>
        </is>
      </c>
      <c r="E1151" t="inlineStr">
        <is>
          <t>VÄSTERVIK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37858-2023</t>
        </is>
      </c>
      <c r="B1152" s="1" t="n">
        <v>45160.40577546296</v>
      </c>
      <c r="C1152" s="1" t="n">
        <v>46159</v>
      </c>
      <c r="D1152" t="inlineStr">
        <is>
          <t>KALMAR LÄN</t>
        </is>
      </c>
      <c r="E1152" t="inlineStr">
        <is>
          <t>VÄSTERVIK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14092-2025</t>
        </is>
      </c>
      <c r="B1153" s="1" t="n">
        <v>45740.44686342592</v>
      </c>
      <c r="C1153" s="1" t="n">
        <v>46159</v>
      </c>
      <c r="D1153" t="inlineStr">
        <is>
          <t>KALMAR LÄN</t>
        </is>
      </c>
      <c r="E1153" t="inlineStr">
        <is>
          <t>VÄSTERVIK</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14072-2025</t>
        </is>
      </c>
      <c r="B1154" s="1" t="n">
        <v>45740.42978009259</v>
      </c>
      <c r="C1154" s="1" t="n">
        <v>46159</v>
      </c>
      <c r="D1154" t="inlineStr">
        <is>
          <t>KALMAR LÄN</t>
        </is>
      </c>
      <c r="E1154" t="inlineStr">
        <is>
          <t>VÄSTERVIK</t>
        </is>
      </c>
      <c r="F1154" t="inlineStr">
        <is>
          <t>Sveaskog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14075-2025</t>
        </is>
      </c>
      <c r="B1155" s="1" t="n">
        <v>45740.43222222223</v>
      </c>
      <c r="C1155" s="1" t="n">
        <v>46159</v>
      </c>
      <c r="D1155" t="inlineStr">
        <is>
          <t>KALMAR LÄN</t>
        </is>
      </c>
      <c r="E1155" t="inlineStr">
        <is>
          <t>VÄSTERVIK</t>
        </is>
      </c>
      <c r="F1155" t="inlineStr">
        <is>
          <t>Sveaskog</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29786-2024</t>
        </is>
      </c>
      <c r="B1156" s="1" t="n">
        <v>45485.46388888889</v>
      </c>
      <c r="C1156" s="1" t="n">
        <v>46159</v>
      </c>
      <c r="D1156" t="inlineStr">
        <is>
          <t>KALMAR LÄN</t>
        </is>
      </c>
      <c r="E1156" t="inlineStr">
        <is>
          <t>VÄSTERVIK</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39278-2024</t>
        </is>
      </c>
      <c r="B1157" s="1" t="n">
        <v>45551.35216435185</v>
      </c>
      <c r="C1157" s="1" t="n">
        <v>46159</v>
      </c>
      <c r="D1157" t="inlineStr">
        <is>
          <t>KALMAR LÄN</t>
        </is>
      </c>
      <c r="E1157" t="inlineStr">
        <is>
          <t>VÄSTERVIK</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21015-2025</t>
        </is>
      </c>
      <c r="B1158" s="1" t="n">
        <v>45777.50200231482</v>
      </c>
      <c r="C1158" s="1" t="n">
        <v>46159</v>
      </c>
      <c r="D1158" t="inlineStr">
        <is>
          <t>KALMAR LÄN</t>
        </is>
      </c>
      <c r="E1158" t="inlineStr">
        <is>
          <t>VÄSTERVIK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21503-2025</t>
        </is>
      </c>
      <c r="B1159" s="1" t="n">
        <v>45782.61456018518</v>
      </c>
      <c r="C1159" s="1" t="n">
        <v>46159</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21657-2025</t>
        </is>
      </c>
      <c r="B1160" s="1" t="n">
        <v>45783.45325231482</v>
      </c>
      <c r="C1160" s="1" t="n">
        <v>46159</v>
      </c>
      <c r="D1160" t="inlineStr">
        <is>
          <t>KALMAR LÄN</t>
        </is>
      </c>
      <c r="E1160" t="inlineStr">
        <is>
          <t>VÄSTERVIK</t>
        </is>
      </c>
      <c r="F1160" t="inlineStr">
        <is>
          <t>Sveaskog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21991-2025</t>
        </is>
      </c>
      <c r="B1161" s="1" t="n">
        <v>45784.6615625</v>
      </c>
      <c r="C1161" s="1" t="n">
        <v>46159</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8402-2025</t>
        </is>
      </c>
      <c r="B1162" s="1" t="n">
        <v>45709.38065972222</v>
      </c>
      <c r="C1162" s="1" t="n">
        <v>46159</v>
      </c>
      <c r="D1162" t="inlineStr">
        <is>
          <t>KALMAR LÄN</t>
        </is>
      </c>
      <c r="E1162" t="inlineStr">
        <is>
          <t>VÄSTERVIK</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28037-2024</t>
        </is>
      </c>
      <c r="B1163" s="1" t="n">
        <v>45476</v>
      </c>
      <c r="C1163" s="1" t="n">
        <v>46159</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6731-2024</t>
        </is>
      </c>
      <c r="B1164" s="1" t="n">
        <v>45342.38787037037</v>
      </c>
      <c r="C1164" s="1" t="n">
        <v>46159</v>
      </c>
      <c r="D1164" t="inlineStr">
        <is>
          <t>KALMAR LÄN</t>
        </is>
      </c>
      <c r="E1164" t="inlineStr">
        <is>
          <t>VÄSTERVIK</t>
        </is>
      </c>
      <c r="F1164" t="inlineStr">
        <is>
          <t>Holmen skog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56377-2024</t>
        </is>
      </c>
      <c r="B1165" s="1" t="n">
        <v>45625.33342592593</v>
      </c>
      <c r="C1165" s="1" t="n">
        <v>46159</v>
      </c>
      <c r="D1165" t="inlineStr">
        <is>
          <t>KALMAR LÄN</t>
        </is>
      </c>
      <c r="E1165" t="inlineStr">
        <is>
          <t>VÄSTERVIK</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51496-2024</t>
        </is>
      </c>
      <c r="B1166" s="1" t="n">
        <v>45604.54060185186</v>
      </c>
      <c r="C1166" s="1" t="n">
        <v>46159</v>
      </c>
      <c r="D1166" t="inlineStr">
        <is>
          <t>KALMAR LÄN</t>
        </is>
      </c>
      <c r="E1166" t="inlineStr">
        <is>
          <t>VÄSTERVIK</t>
        </is>
      </c>
      <c r="F1166" t="inlineStr">
        <is>
          <t>Övriga Aktiebolag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6406-2024</t>
        </is>
      </c>
      <c r="B1167" s="1" t="n">
        <v>45338</v>
      </c>
      <c r="C1167" s="1" t="n">
        <v>46159</v>
      </c>
      <c r="D1167" t="inlineStr">
        <is>
          <t>KALMAR LÄN</t>
        </is>
      </c>
      <c r="E1167" t="inlineStr">
        <is>
          <t>VÄSTERVIK</t>
        </is>
      </c>
      <c r="G1167" t="n">
        <v>5.5</v>
      </c>
      <c r="H1167" t="n">
        <v>0</v>
      </c>
      <c r="I1167" t="n">
        <v>0</v>
      </c>
      <c r="J1167" t="n">
        <v>0</v>
      </c>
      <c r="K1167" t="n">
        <v>0</v>
      </c>
      <c r="L1167" t="n">
        <v>0</v>
      </c>
      <c r="M1167" t="n">
        <v>0</v>
      </c>
      <c r="N1167" t="n">
        <v>0</v>
      </c>
      <c r="O1167" t="n">
        <v>0</v>
      </c>
      <c r="P1167" t="n">
        <v>0</v>
      </c>
      <c r="Q1167" t="n">
        <v>0</v>
      </c>
      <c r="R1167" s="2" t="inlineStr"/>
      <c r="U1167">
        <f>HYPERLINK("https://klasma.github.io/Logging_0883/knärot/A 6406-2024 karta knärot.png", "A 6406-2024")</f>
        <v/>
      </c>
      <c r="V1167">
        <f>HYPERLINK("https://klasma.github.io/Logging_0883/klagomål/A 6406-2024 FSC-klagomål.docx", "A 6406-2024")</f>
        <v/>
      </c>
      <c r="W1167">
        <f>HYPERLINK("https://klasma.github.io/Logging_0883/klagomålsmail/A 6406-2024 FSC-klagomål mail.docx", "A 6406-2024")</f>
        <v/>
      </c>
      <c r="X1167">
        <f>HYPERLINK("https://klasma.github.io/Logging_0883/tillsyn/A 6406-2024 tillsynsbegäran.docx", "A 6406-2024")</f>
        <v/>
      </c>
      <c r="Y1167">
        <f>HYPERLINK("https://klasma.github.io/Logging_0883/tillsynsmail/A 6406-2024 tillsynsbegäran mail.docx", "A 6406-2024")</f>
        <v/>
      </c>
    </row>
    <row r="1168">
      <c r="A1168" t="inlineStr">
        <is>
          <t>A 23042-2025</t>
        </is>
      </c>
      <c r="B1168" s="1" t="n">
        <v>45790.67273148148</v>
      </c>
      <c r="C1168" s="1" t="n">
        <v>46159</v>
      </c>
      <c r="D1168" t="inlineStr">
        <is>
          <t>KALMAR LÄN</t>
        </is>
      </c>
      <c r="E1168" t="inlineStr">
        <is>
          <t>VÄSTERVIK</t>
        </is>
      </c>
      <c r="G1168" t="n">
        <v>0.6</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2026-05-17T14:06:24Z</dcterms:created>
  <dcterms:modified xmlns:dcterms="http://purl.org/dc/terms/" xmlns:xsi="http://www.w3.org/2001/XMLSchema-instance" xsi:type="dcterms:W3CDTF">2026-05-17T14:06:25Z</dcterms:modified>
</cp:coreProperties>
</file>