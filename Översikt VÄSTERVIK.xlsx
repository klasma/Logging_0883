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45725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45725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45725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45725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45725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45725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45725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45725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45725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45725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45725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45725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45725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45725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45725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45725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45725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45725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45725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45725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45725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45725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45725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45725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45725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45725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45725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45725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45725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45725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45725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45725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45725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45725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45725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45725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45725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45725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45725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45725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45725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45725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45725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45725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45725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45725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45725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45725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45725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45725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45725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45725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45725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45725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45725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45725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45725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45725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45725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45725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45725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45725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45725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45725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45725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45725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45725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45725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45725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45725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45725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45725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45725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45725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45725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45725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45725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45725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45725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45725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45725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45725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45725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45725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45725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45725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45725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45725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45725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45725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45725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45725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45725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45725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45725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45725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45725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45725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45725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45725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45725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45725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45725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45725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45725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45725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45725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45725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45725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45725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45725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45725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45725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45725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45725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45725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45725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45725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45725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45725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45725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45725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45725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45725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45725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45725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45725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45725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45725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45725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45725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45725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45725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45725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45725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45725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45725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45725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45725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45725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45725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45725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45725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45725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45725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45725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45725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45725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45725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45725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45725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45725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45725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45725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45725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45725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45725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45725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45725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45725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45725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45725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45725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45725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45725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45725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45725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45725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45725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45725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45725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45725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45725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45725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45725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45725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45725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45725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45725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45725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45725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45725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45725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45725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45725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45725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45725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45725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45725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45725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45725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45725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45725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45725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45725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45725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45725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45725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45725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45725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45725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45725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45725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45725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45725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45725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45725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45725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45725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45725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45725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45725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45725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45725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45725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45725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45725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45725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45725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45725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45725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45725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45725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45725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45725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45725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45725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45725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45725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45725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45725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45725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45725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45725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45725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45725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45725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45725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45725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45725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45725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45725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45725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45725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45725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45725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45725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45725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45725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45725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45725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45725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45725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45725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45725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45725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45725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45725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45725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45725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45725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45725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45725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45725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45725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45725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45725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45725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45725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45725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45725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45725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45725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45725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45725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45725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45725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45725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45725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45725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45725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45725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45725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45725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45725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45725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45725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45725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45725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45725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45725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45725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45725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45725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45725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45725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45725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45725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45725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45725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45725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45725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45725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45725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45725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45725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45725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45725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45725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45725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6605-2025</t>
        </is>
      </c>
      <c r="B333" s="1" t="n">
        <v>45700</v>
      </c>
      <c r="C333" s="1" t="n">
        <v>45725</v>
      </c>
      <c r="D333" t="inlineStr">
        <is>
          <t>KALMAR LÄN</t>
        </is>
      </c>
      <c r="E333" t="inlineStr">
        <is>
          <t>VÄSTERVIK</t>
        </is>
      </c>
      <c r="G333" t="n">
        <v>4.5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Dropptaggsvamp</t>
        </is>
      </c>
      <c r="S333">
        <f>HYPERLINK("https://klasma.github.io/Logging_0883/artfynd/A 6605-2025 artfynd.xlsx", "A 6605-2025")</f>
        <v/>
      </c>
      <c r="T333">
        <f>HYPERLINK("https://klasma.github.io/Logging_0883/kartor/A 6605-2025 karta.png", "A 6605-2025")</f>
        <v/>
      </c>
      <c r="V333">
        <f>HYPERLINK("https://klasma.github.io/Logging_0883/klagomål/A 6605-2025 FSC-klagomål.docx", "A 6605-2025")</f>
        <v/>
      </c>
      <c r="W333">
        <f>HYPERLINK("https://klasma.github.io/Logging_0883/klagomålsmail/A 6605-2025 FSC-klagomål mail.docx", "A 6605-2025")</f>
        <v/>
      </c>
      <c r="X333">
        <f>HYPERLINK("https://klasma.github.io/Logging_0883/tillsyn/A 6605-2025 tillsynsbegäran.docx", "A 6605-2025")</f>
        <v/>
      </c>
      <c r="Y333">
        <f>HYPERLINK("https://klasma.github.io/Logging_0883/tillsynsmail/A 6605-2025 tillsynsbegäran mail.docx", "A 6605-2025")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45725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45725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45725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45725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45725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45725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45725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45725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45725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45725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45725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45725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45725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45725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45725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45725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45725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45725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45725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45725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45725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45725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45725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45725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45725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45725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45725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45725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45725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45725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45725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45725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45725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45725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45725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45725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45725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45725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45725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45725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45725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45725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45725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45725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45725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45725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45725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45725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45725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45725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45725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45725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45725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45725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45725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45725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45725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45725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45725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45725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45725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45725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45725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45725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45725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45725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45725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45725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45725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45725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45725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45725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45725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45725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45725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45725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45725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45725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45725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45725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45725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45725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45725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45725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45725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45725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45725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45725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45725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45725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45725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45725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45725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45725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45725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45725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45725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45725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45725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45725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45725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45725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45725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45725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45725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45725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45725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45725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45725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45725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45725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45725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45725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45725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45725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45725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45725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45725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45725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45725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45725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45725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45725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45725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45725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45725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45725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45725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45725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45725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45725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45725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45725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45725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45725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45725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45725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45725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45725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45725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45725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45725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45725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45725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45725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45725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45725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45725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45725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45725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45725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45725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45725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45725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45725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45725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45725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45725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45725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45725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45725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45725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45725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45725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45725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45725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45725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45725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45725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45725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45725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45725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45725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45725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45725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45725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45725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45725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45725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45725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45725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45725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45725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45725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45725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45725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45725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45725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45725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45725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45725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45725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45725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45725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45725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45725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45725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45725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45725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45725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45725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45725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45725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45725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45725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45725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45725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45725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45725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45725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45725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45725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45725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45725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45725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45725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45725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45725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45725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45725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45725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45725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45725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45725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45725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45725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45725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45725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45725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45725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45725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45725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45725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45725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45725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45725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45725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45725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45725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45725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45725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45725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45725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45725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45725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45725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45725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45725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45725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45725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45725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45725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45725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45725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45725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45725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45725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45725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45725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45725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45725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45725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45725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45725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45725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45725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45725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45725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45725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45725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45725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45725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45725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45725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45725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45725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45725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45725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45725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45725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45725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45725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45725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45725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45725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45725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45725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45725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45725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45725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45725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45725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45725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45725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45725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45725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45725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45725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45725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45725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45725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45725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45725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45725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45725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45725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45725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45725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45725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45725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45725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45725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45725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45725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45725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45725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45725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45725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45725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45725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45725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45725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45725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45725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45725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45725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45725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45725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45725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45725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45725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45725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45725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45725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45725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45725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45725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45725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45725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45725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45725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45725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45725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45725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45725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45725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45725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45725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45725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45725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45725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45725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45725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45725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45725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45725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45725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45725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45725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45725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45725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45725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45725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45725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45725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45725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45725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45725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45725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45725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45725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45725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45725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45725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45725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45725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45725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45725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45725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45725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45725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45725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45725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45725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45725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45725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45725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45725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45725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45725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45725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45725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45725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45725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45725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45725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45725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45725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45725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45725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45725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45725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45725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45725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45725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45725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45725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45725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45725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45725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45725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45725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45725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45725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45725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45725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45725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45725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45725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45725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45725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45725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45725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45725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45725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45725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45725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45725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45725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45725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45725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45725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45725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45725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45725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45725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45725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45725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45725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45725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45725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45725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45725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45725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45725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45725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45725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45725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45725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45725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45725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45725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45725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45725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45725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45725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45725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45725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45725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45725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45725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45725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45725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45725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45725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45725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45725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45725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45725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45725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45725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45725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45725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45725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45725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45725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45725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45725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45725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45725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45725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45725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45725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45725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45725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45725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45725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45725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45725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45725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45725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45725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45725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45725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45725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45725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45725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45725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45725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45725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45725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45725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45725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45725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45725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45725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45725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45725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45725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45725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45725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45725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45725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45725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45725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45725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45725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45725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45725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45725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45725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45725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45725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45725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45725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45725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45725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45725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45725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45725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45725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45725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45725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45725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45725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45725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45725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45725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45725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45725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45725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45725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45725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45725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45725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45725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45725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45725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45725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45725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45725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45725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45725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45725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45725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45725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45725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45725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45725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45725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45725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45725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45725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45725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45725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45725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45725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45725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45725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45725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45725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45725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45725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45725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45725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45725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45725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45725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45725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45725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45725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45725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45725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45725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45725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45725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45725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45725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45725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45725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45725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45725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45725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45725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45725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45725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45725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45725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45725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45725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45725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45725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45725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45725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45725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45725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45725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45725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45725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45725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45725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45725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45725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45725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45725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45725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45725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45725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45725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45725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45725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45725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45725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45725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45725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45725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45725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45725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45725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45725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45725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45725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45725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45725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45725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45725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45725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45725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45725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45725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45725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45725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45725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45725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45725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45725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45725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45725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45725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45725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45725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45725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45725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45725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45725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45725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45725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45725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45725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45725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45725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45725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45725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45725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45725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45725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45725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45725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45725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45725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45725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45725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45725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45725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45725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45725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45725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45725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45725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45725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45725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45725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45725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45725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45725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45725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45725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45725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45725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45725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45725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45725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45725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45725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45725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45725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45725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45725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45725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45725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45725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45725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45725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45725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45725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45725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45725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45725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45725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45725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45725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45725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45725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45725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45725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45725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45725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45725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45725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45725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45725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45725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45725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45725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45725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45725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45725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45725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45725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45725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45725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45725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45725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45725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45725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45725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45725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45725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45725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45725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45725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45725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45725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45725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45725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45725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45725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45725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45725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45725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45725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45725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45725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45725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45725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45725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45725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45725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45725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45725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45725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45725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45725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45725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45725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45725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45725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45725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45725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45725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45725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45725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45725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45725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45725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45725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45725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45725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45725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45725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45725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45725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45725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45725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45725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45725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45725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45725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45725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45725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45725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45725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45725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45725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45725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45725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45725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45725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45725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45725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45725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45725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45725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45725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45725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45725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45725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45725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45725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45725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45725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45725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45725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45725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45725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45725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45725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45725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45725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45725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45725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45725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45725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45725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45725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45725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45725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45725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45725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45725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45725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45725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45725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45725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45725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45725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45725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45725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45725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45725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45725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45725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45725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45725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45725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45725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45725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45725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45725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45725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45725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45725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45725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45725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45725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45725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45725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45725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45725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45725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45725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45725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45725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45725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45725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45725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45725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45725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45725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45725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45725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45725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45725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45725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45725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45725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45725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45725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45725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45725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45725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45725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45725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45725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45725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45725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45725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45725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45725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45725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45725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45725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45725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45725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45725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45725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45725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45725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45725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45725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45725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45725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45725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45725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45725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45725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45725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45725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45725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45725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45725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45725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45725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45725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45725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45725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45725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45725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45725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45725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45725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45725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45725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45725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45725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45725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45725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45725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45725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45725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45725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45725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45725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45725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45725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45725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45725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45725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45725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45725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45725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45725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45725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45725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45725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45725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45725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45725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45725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45725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45725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45725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45725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45725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45725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45725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45725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45725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45725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45725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45725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45725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45725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45725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45725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45725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45725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45725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45725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45725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45725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45725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45725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45725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45725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45725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45725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45725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45725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45725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45725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45725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45725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45725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45725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45725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45725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45725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45725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45725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45725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45725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45725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45725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45725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45725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45725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45725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45725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45725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45725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45725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45725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45725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45725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45725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45725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45725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45725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45725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45725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45725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45725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45725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45725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45725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45725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45725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45725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45725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45725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45725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45725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45725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45725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45725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45725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45725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45725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45725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45725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45725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45725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45725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45725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45725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45725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45725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45725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45725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45725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45725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45725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45725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45725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45725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45725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45725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45725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45725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45725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45725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45725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45725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45725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45725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45725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45725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45725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45725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45725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45725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45725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45725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45725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45725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45725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45725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45725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45725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45725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45725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45725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45725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45725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45725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45725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45725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45725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45725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45725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45725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45725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45725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45725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45725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45725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45725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45725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45725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45725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45725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45725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45725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45725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45725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45725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45725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45725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45725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45725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45725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45725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45725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45725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45725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45725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45725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45725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45725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45725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45725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45725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45725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45725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45725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45725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45725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45725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45725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45725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45725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45725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45725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45725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45725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45725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45725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45725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45725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45725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45725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45725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45725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45725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45725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45725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45725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45725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45725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45725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45725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45725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45725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45725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45725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45725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45725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45725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45725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45725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45725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45725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45725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45725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45725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45725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45725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45725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45725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45725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45725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45725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45725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45725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45725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45725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45725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45725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45725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45725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45725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45725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45725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45725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45725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45725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45725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45725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45725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45725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45725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45725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45725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45725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45725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45725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45725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45725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45725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45725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45725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45725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45725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45725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45725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45725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45725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45725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45725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45725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45725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45725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45725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45725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45725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45725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45725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45725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45725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45725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45725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45725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45725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45725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45725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45725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45725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45725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45725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45725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45725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45725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45725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45725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45725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45725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45725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45725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45725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45725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45725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45725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45725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45725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45725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45725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45725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45725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45725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45725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45725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45725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45725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45725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45725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45725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45725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45725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45725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45725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45725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45725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45725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45725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45725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45725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45725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45725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45725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45725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45725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45725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45725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45725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45725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45725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45725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45725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45725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45725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45725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45725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45725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45725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45725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45725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45725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45725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45725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45725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45725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45725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45725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45725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45725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45725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45725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45725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45725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45725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45725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45725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45725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45725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45725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45725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45725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45725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45725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45725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45725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45725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45725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45725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45725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45725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45725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45725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45725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45725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45725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45725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45725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45725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45725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45725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45725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45725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45725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45725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45725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45725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45725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45725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45725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45725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45725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45725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45725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45725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45725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45725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45725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45725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45725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45725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45725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45725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45725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45725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45725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45725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45725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45725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45725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45725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45725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45725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45725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45725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45725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45725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45725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45725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45725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45725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45725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45725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45725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45725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45725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45725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45725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45725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45725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45725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45725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45725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45725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45725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45725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45725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45725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45725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45725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45725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45725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45725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45725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45725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45725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45725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45725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45725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45725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45725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45725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45725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45725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45725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45725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45725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45725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45725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45725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45725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45725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45725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45725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45725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45725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45725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45725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45725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45725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45725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45725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45725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45725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45725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45725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45725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45725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45725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45725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45725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45725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45725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45725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45725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45725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45725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45725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45725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45725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45725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45725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45725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45725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45725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45725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45725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45725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45725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45725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45725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45725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45725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45725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45725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45725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45725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45725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45725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45725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45725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45725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45725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45725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45725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45725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45725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45725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45725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45725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45725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45725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45725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45725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45725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45725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45725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45725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6469-2025</t>
        </is>
      </c>
      <c r="B1798" s="1" t="n">
        <v>45699</v>
      </c>
      <c r="C1798" s="1" t="n">
        <v>45725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6393-2025</t>
        </is>
      </c>
      <c r="B1799" s="1" t="n">
        <v>45699</v>
      </c>
      <c r="C1799" s="1" t="n">
        <v>45725</v>
      </c>
      <c r="D1799" t="inlineStr">
        <is>
          <t>KALMAR LÄN</t>
        </is>
      </c>
      <c r="E1799" t="inlineStr">
        <is>
          <t>VÄSTERVIK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45725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6847-2025</t>
        </is>
      </c>
      <c r="B1801" s="1" t="n">
        <v>45700</v>
      </c>
      <c r="C1801" s="1" t="n">
        <v>45725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45725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45725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45725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6941-2025</t>
        </is>
      </c>
      <c r="B1805" s="1" t="n">
        <v>45701</v>
      </c>
      <c r="C1805" s="1" t="n">
        <v>45725</v>
      </c>
      <c r="D1805" t="inlineStr">
        <is>
          <t>KALMAR LÄN</t>
        </is>
      </c>
      <c r="E1805" t="inlineStr">
        <is>
          <t>VÄSTERVIK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6938-2025</t>
        </is>
      </c>
      <c r="B1806" s="1" t="n">
        <v>45701</v>
      </c>
      <c r="C1806" s="1" t="n">
        <v>45725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6940-2025</t>
        </is>
      </c>
      <c r="B1807" s="1" t="n">
        <v>45701</v>
      </c>
      <c r="C1807" s="1" t="n">
        <v>45725</v>
      </c>
      <c r="D1807" t="inlineStr">
        <is>
          <t>KALMAR LÄN</t>
        </is>
      </c>
      <c r="E1807" t="inlineStr">
        <is>
          <t>VÄSTERVIK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7165-2025</t>
        </is>
      </c>
      <c r="B1808" s="1" t="n">
        <v>45702</v>
      </c>
      <c r="C1808" s="1" t="n">
        <v>45725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7163-2025</t>
        </is>
      </c>
      <c r="B1809" s="1" t="n">
        <v>45702</v>
      </c>
      <c r="C1809" s="1" t="n">
        <v>45725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7164-2025</t>
        </is>
      </c>
      <c r="B1810" s="1" t="n">
        <v>45702</v>
      </c>
      <c r="C1810" s="1" t="n">
        <v>45725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45725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45725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7843-2025</t>
        </is>
      </c>
      <c r="B1813" s="1" t="n">
        <v>45706</v>
      </c>
      <c r="C1813" s="1" t="n">
        <v>45725</v>
      </c>
      <c r="D1813" t="inlineStr">
        <is>
          <t>KALMAR LÄN</t>
        </is>
      </c>
      <c r="E1813" t="inlineStr">
        <is>
          <t>VÄSTERVIK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7885-2025</t>
        </is>
      </c>
      <c r="B1814" s="1" t="n">
        <v>45706</v>
      </c>
      <c r="C1814" s="1" t="n">
        <v>45725</v>
      </c>
      <c r="D1814" t="inlineStr">
        <is>
          <t>KALMAR LÄN</t>
        </is>
      </c>
      <c r="E1814" t="inlineStr">
        <is>
          <t>VÄSTERVIK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7840-2025</t>
        </is>
      </c>
      <c r="B1815" s="1" t="n">
        <v>45706</v>
      </c>
      <c r="C1815" s="1" t="n">
        <v>45725</v>
      </c>
      <c r="D1815" t="inlineStr">
        <is>
          <t>KALMAR LÄN</t>
        </is>
      </c>
      <c r="E1815" t="inlineStr">
        <is>
          <t>VÄSTERVIK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7882-2025</t>
        </is>
      </c>
      <c r="B1816" s="1" t="n">
        <v>45706</v>
      </c>
      <c r="C1816" s="1" t="n">
        <v>45725</v>
      </c>
      <c r="D1816" t="inlineStr">
        <is>
          <t>KALMAR LÄN</t>
        </is>
      </c>
      <c r="E1816" t="inlineStr">
        <is>
          <t>VÄSTERVIK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7884-2025</t>
        </is>
      </c>
      <c r="B1817" s="1" t="n">
        <v>45706</v>
      </c>
      <c r="C1817" s="1" t="n">
        <v>45725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7883-2025</t>
        </is>
      </c>
      <c r="B1818" s="1" t="n">
        <v>45706</v>
      </c>
      <c r="C1818" s="1" t="n">
        <v>45725</v>
      </c>
      <c r="D1818" t="inlineStr">
        <is>
          <t>KALMAR LÄN</t>
        </is>
      </c>
      <c r="E1818" t="inlineStr">
        <is>
          <t>VÄSTERVIK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45725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45725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45725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9269-2025</t>
        </is>
      </c>
      <c r="B1822" s="1" t="n">
        <v>45714</v>
      </c>
      <c r="C1822" s="1" t="n">
        <v>45725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45725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45725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9451-2025</t>
        </is>
      </c>
      <c r="B1825" s="1" t="n">
        <v>45715</v>
      </c>
      <c r="C1825" s="1" t="n">
        <v>45725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45725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10012-2025</t>
        </is>
      </c>
      <c r="B1827" s="1" t="n">
        <v>45719</v>
      </c>
      <c r="C1827" s="1" t="n">
        <v>45725</v>
      </c>
      <c r="D1827" t="inlineStr">
        <is>
          <t>KALMAR LÄN</t>
        </is>
      </c>
      <c r="E1827" t="inlineStr">
        <is>
          <t>VÄSTERVIK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9973-2025</t>
        </is>
      </c>
      <c r="B1828" s="1" t="n">
        <v>45719</v>
      </c>
      <c r="C1828" s="1" t="n">
        <v>45725</v>
      </c>
      <c r="D1828" t="inlineStr">
        <is>
          <t>KALMAR LÄN</t>
        </is>
      </c>
      <c r="E1828" t="inlineStr">
        <is>
          <t>VÄSTERVIK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10399-2025</t>
        </is>
      </c>
      <c r="B1829" s="1" t="n">
        <v>45720</v>
      </c>
      <c r="C1829" s="1" t="n">
        <v>45725</v>
      </c>
      <c r="D1829" t="inlineStr">
        <is>
          <t>KALMAR LÄN</t>
        </is>
      </c>
      <c r="E1829" t="inlineStr">
        <is>
          <t>VÄSTERVIK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10412-2025</t>
        </is>
      </c>
      <c r="B1830" s="1" t="n">
        <v>45720</v>
      </c>
      <c r="C1830" s="1" t="n">
        <v>45725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10420-2025</t>
        </is>
      </c>
      <c r="B1831" s="1" t="n">
        <v>45720</v>
      </c>
      <c r="C1831" s="1" t="n">
        <v>45725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10390-2025</t>
        </is>
      </c>
      <c r="B1832" s="1" t="n">
        <v>45720</v>
      </c>
      <c r="C1832" s="1" t="n">
        <v>45725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45725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10766-2025</t>
        </is>
      </c>
      <c r="B1834" s="1" t="n">
        <v>45722</v>
      </c>
      <c r="C1834" s="1" t="n">
        <v>45725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10774-2025</t>
        </is>
      </c>
      <c r="B1835" s="1" t="n">
        <v>45722</v>
      </c>
      <c r="C1835" s="1" t="n">
        <v>45725</v>
      </c>
      <c r="D1835" t="inlineStr">
        <is>
          <t>KALMAR LÄN</t>
        </is>
      </c>
      <c r="E1835" t="inlineStr">
        <is>
          <t>VÄSTERVIK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10800-2025</t>
        </is>
      </c>
      <c r="B1836" s="1" t="n">
        <v>45722</v>
      </c>
      <c r="C1836" s="1" t="n">
        <v>45725</v>
      </c>
      <c r="D1836" t="inlineStr">
        <is>
          <t>KALMAR LÄN</t>
        </is>
      </c>
      <c r="E1836" t="inlineStr">
        <is>
          <t>VÄSTERVIK</t>
        </is>
      </c>
      <c r="F1836" t="inlineStr">
        <is>
          <t>Övriga Aktiebolag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10808-2025</t>
        </is>
      </c>
      <c r="B1837" s="1" t="n">
        <v>45722</v>
      </c>
      <c r="C1837" s="1" t="n">
        <v>45725</v>
      </c>
      <c r="D1837" t="inlineStr">
        <is>
          <t>KALMAR LÄN</t>
        </is>
      </c>
      <c r="E1837" t="inlineStr">
        <is>
          <t>VÄSTERVIK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10778-2025</t>
        </is>
      </c>
      <c r="B1838" s="1" t="n">
        <v>45722</v>
      </c>
      <c r="C1838" s="1" t="n">
        <v>45725</v>
      </c>
      <c r="D1838" t="inlineStr">
        <is>
          <t>KALMAR LÄN</t>
        </is>
      </c>
      <c r="E1838" t="inlineStr">
        <is>
          <t>VÄSTERVIK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10803-2025</t>
        </is>
      </c>
      <c r="B1839" s="1" t="n">
        <v>45722</v>
      </c>
      <c r="C1839" s="1" t="n">
        <v>45725</v>
      </c>
      <c r="D1839" t="inlineStr">
        <is>
          <t>KALMAR LÄN</t>
        </is>
      </c>
      <c r="E1839" t="inlineStr">
        <is>
          <t>VÄSTERVIK</t>
        </is>
      </c>
      <c r="F1839" t="inlineStr">
        <is>
          <t>Övriga Aktiebolag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10771-2025</t>
        </is>
      </c>
      <c r="B1840" s="1" t="n">
        <v>45722</v>
      </c>
      <c r="C1840" s="1" t="n">
        <v>45725</v>
      </c>
      <c r="D1840" t="inlineStr">
        <is>
          <t>KALMAR LÄN</t>
        </is>
      </c>
      <c r="E1840" t="inlineStr">
        <is>
          <t>VÄSTERVIK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10784-2025</t>
        </is>
      </c>
      <c r="B1841" s="1" t="n">
        <v>45722</v>
      </c>
      <c r="C1841" s="1" t="n">
        <v>45725</v>
      </c>
      <c r="D1841" t="inlineStr">
        <is>
          <t>KALMAR LÄN</t>
        </is>
      </c>
      <c r="E1841" t="inlineStr">
        <is>
          <t>VÄSTERVIK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45725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10781-2025</t>
        </is>
      </c>
      <c r="B1843" s="1" t="n">
        <v>45722</v>
      </c>
      <c r="C1843" s="1" t="n">
        <v>45725</v>
      </c>
      <c r="D1843" t="inlineStr">
        <is>
          <t>KALMAR LÄN</t>
        </is>
      </c>
      <c r="E1843" t="inlineStr">
        <is>
          <t>VÄSTERVIK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10806-2025</t>
        </is>
      </c>
      <c r="B1844" s="1" t="n">
        <v>45722</v>
      </c>
      <c r="C1844" s="1" t="n">
        <v>45725</v>
      </c>
      <c r="D1844" t="inlineStr">
        <is>
          <t>KALMAR LÄN</t>
        </is>
      </c>
      <c r="E1844" t="inlineStr">
        <is>
          <t>VÄSTERVIK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11122-2025</t>
        </is>
      </c>
      <c r="B1845" s="1" t="n">
        <v>45723</v>
      </c>
      <c r="C1845" s="1" t="n">
        <v>45725</v>
      </c>
      <c r="D1845" t="inlineStr">
        <is>
          <t>KALMAR LÄN</t>
        </is>
      </c>
      <c r="E1845" t="inlineStr">
        <is>
          <t>VÄSTERVIK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11120-2025</t>
        </is>
      </c>
      <c r="B1846" s="1" t="n">
        <v>45723</v>
      </c>
      <c r="C1846" s="1" t="n">
        <v>45725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2025-03-09T17:27:22Z</dcterms:created>
  <dcterms:modified xmlns:dcterms="http://purl.org/dc/terms/" xmlns:xsi="http://www.w3.org/2001/XMLSchema-instance" xsi:type="dcterms:W3CDTF">2025-03-09T17:27:24Z</dcterms:modified>
</cp:coreProperties>
</file>