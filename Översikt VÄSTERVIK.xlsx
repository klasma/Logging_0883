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45827</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45827</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45827</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45827</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45827</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45827</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45827</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45827</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45827</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45827</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45827</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45827</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45827</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45827</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45827</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45827</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45827</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45827</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45827</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45827</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45827</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45827</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45827</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45827</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45827</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45827</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45827</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45827</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45827</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45827</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45827</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45827</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45827</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45827</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45827</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45827</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45827</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45827</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45827</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45827</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45827</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45827</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45827</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45827</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45827</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45827</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45827</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45827</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45827</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45827</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45827</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45827</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45827</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13353-2025</t>
        </is>
      </c>
      <c r="B62" s="1" t="n">
        <v>45735</v>
      </c>
      <c r="C62" s="1" t="n">
        <v>45827</v>
      </c>
      <c r="D62" t="inlineStr">
        <is>
          <t>KALMAR LÄN</t>
        </is>
      </c>
      <c r="E62" t="inlineStr">
        <is>
          <t>VÄSTERVIK</t>
        </is>
      </c>
      <c r="G62" t="n">
        <v>1.9</v>
      </c>
      <c r="H62" t="n">
        <v>5</v>
      </c>
      <c r="I62" t="n">
        <v>1</v>
      </c>
      <c r="J62" t="n">
        <v>2</v>
      </c>
      <c r="K62" t="n">
        <v>1</v>
      </c>
      <c r="L62" t="n">
        <v>0</v>
      </c>
      <c r="M62" t="n">
        <v>0</v>
      </c>
      <c r="N62" t="n">
        <v>0</v>
      </c>
      <c r="O62" t="n">
        <v>3</v>
      </c>
      <c r="P62" t="n">
        <v>1</v>
      </c>
      <c r="Q62" t="n">
        <v>6</v>
      </c>
      <c r="R62" s="2" t="inlineStr">
        <is>
          <t>Knärot
Spillkråka
Talltita
Dropptaggsvamp
Järnsparv
Kungsfågel</t>
        </is>
      </c>
      <c r="S62">
        <f>HYPERLINK("https://klasma.github.io/Logging_080883/artfynd/A 13353-2025 artfynd.xlsx", "A 13353-2025")</f>
        <v/>
      </c>
      <c r="T62">
        <f>HYPERLINK("https://klasma.github.io/Logging_080883/kartor/A 13353-2025 karta.png", "A 13353-2025")</f>
        <v/>
      </c>
      <c r="U62">
        <f>HYPERLINK("https://klasma.github.io/Logging_080883/knärot/A 13353-2025 karta knärot.png", "A 13353-2025")</f>
        <v/>
      </c>
      <c r="V62">
        <f>HYPERLINK("https://klasma.github.io/Logging_080883/klagomål/A 13353-2025 FSC-klagomål.docx", "A 13353-2025")</f>
        <v/>
      </c>
      <c r="W62">
        <f>HYPERLINK("https://klasma.github.io/Logging_080883/klagomålsmail/A 13353-2025 FSC-klagomål mail.docx", "A 13353-2025")</f>
        <v/>
      </c>
      <c r="X62">
        <f>HYPERLINK("https://klasma.github.io/Logging_080883/tillsyn/A 13353-2025 tillsynsbegäran.docx", "A 13353-2025")</f>
        <v/>
      </c>
      <c r="Y62">
        <f>HYPERLINK("https://klasma.github.io/Logging_080883/tillsynsmail/A 13353-2025 tillsynsbegäran mail.docx", "A 13353-2025")</f>
        <v/>
      </c>
      <c r="Z62">
        <f>HYPERLINK("https://klasma.github.io/Logging_080883/fåglar/A 13353-2025 prioriterade fågelarter.docx", "A 13353-2025")</f>
        <v/>
      </c>
    </row>
    <row r="63" ht="15" customHeight="1">
      <c r="A63" t="inlineStr">
        <is>
          <t>A 15280-2025</t>
        </is>
      </c>
      <c r="B63" s="1" t="n">
        <v>45744</v>
      </c>
      <c r="C63" s="1" t="n">
        <v>45827</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45827</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45827</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45827</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45827</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45827</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45827</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45827</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45827</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45827</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45827</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45827</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45827</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45827</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45827</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45827</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45827</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45827</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45827</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45827</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45827</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45827</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45827</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45827</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45827</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45827</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45827</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45827</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45827</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45827</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45827</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45827</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45827</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45827</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45827</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45827</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45827</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45827</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45827</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45827</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45827</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45827</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45827</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45827</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45827</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45827</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45827</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45827</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45827</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45827</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45827</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45827</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45827</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45827</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45827</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45827</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45827</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45827</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45827</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45827</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45827</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45827</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45827</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45827</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45827</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45827</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45827</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45827</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45827</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45827</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45827</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45827</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45827</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45827</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45827</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45827</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45827</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45827</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45827</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45827</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45827</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45827</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45827</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45827</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45827</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45827</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45827</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45827</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45827</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45827</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45827</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45827</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45827</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45827</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45827</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45827</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45827</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45827</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45827</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45827</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45827</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45827</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45827</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45827</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45827</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45827</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45827</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45827</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45827</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45827</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45827</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45827</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45827</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45827</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45827</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45827</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45827</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45827</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45827</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45827</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45827</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45827</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45827</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45827</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45827</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45827</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45827</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45827</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45827</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45827</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45827</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45827</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45827</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45827</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45827</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45827</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45827</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45827</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45827</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45827</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45827</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45827</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45827</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45827</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45827</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45827</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45827</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45827</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45827</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45827</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45827</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45827</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45827</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45827</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45827</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45827</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45827</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45827</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45827</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45827</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45827</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45827</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45827</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45827</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45827</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45827</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45827</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45827</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45827</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45827</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45827</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45827</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45827</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45827</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45827</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45827</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45827</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45827</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45827</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45827</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45827</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45827</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45827</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45827</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45827</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45827</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45827</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45827</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45827</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45827</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45827</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45827</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45827</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45827</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45827</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45827</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45827</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45827</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45827</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45827</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45827</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45827</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45827</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45827</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45827</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45827</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45827</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45827</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45827</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45827</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45827</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45827</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45827</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45827</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45827</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45827</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45827</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45827</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45827</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45827</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45827</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45827</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45827</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45827</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45827</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45827</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45827</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45827</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45827</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45827</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45827</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45827</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45827</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45827</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45827</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45827</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45827</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45827</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45827</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45827</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45827</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45827</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45827</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45827</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45827</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45827</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45827</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45827</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45827</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45827</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45827</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45827</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45827</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45827</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45827</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45827</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45827</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45827</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45827</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45827</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45827</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45827</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45827</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45827</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45827</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45827</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45827</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45827</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45827</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45827</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45827</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45827</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45827</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45827</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45827</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45827</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45827</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45827</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45827</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45827</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45827</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45827</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45827</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45827</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45827</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45827</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45827</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45827</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45827</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45827</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45827</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45827</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45827</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45827</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45827</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45827</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45827</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45827</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45827</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45827</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45827</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45827</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45827</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45827</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45827</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45827</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45827</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45827</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45827</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45827</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45827</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45827</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45827</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45827</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45827</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45827</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45827</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45827</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45827</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45827</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45827</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45827</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45827</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45827</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45827</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45827</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45827</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45827</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45827</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45827</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45827</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45827</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45827</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45827</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45827</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45827</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45827</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45827</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45827</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45827</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45827</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45827</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45827</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45827</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45827</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45827</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45827</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45827</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45827</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45827</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45827</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45827</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45827</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45827</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45827</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45827</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45827</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45827</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45827</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45827</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45827</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45827</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45827</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45827</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45827</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45827</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45827</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45827</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45827</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45827</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45827</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45827</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45827</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45827</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45827</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45827</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45827</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45827</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45827</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45827</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45827</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45827</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45827</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45827</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45827</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45827</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45827</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45827</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45827</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45827</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45827</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45827</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45827</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45827</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45827</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45827</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45827</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45827</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45827</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45827</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45827</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45827</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45827</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45827</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45827</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45827</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45827</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45827</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45827</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45827</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45827</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45827</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45827</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45827</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45827</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45827</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45827</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45827</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45827</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45827</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45827</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45827</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45827</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45827</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45827</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45827</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45827</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45827</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45827</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45827</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45827</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45827</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45827</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45827</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45827</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45827</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45827</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45827</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45827</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45827</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45827</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45827</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45827</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45827</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45827</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45827</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45827</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45827</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45827</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45827</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45827</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45827</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45827</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45827</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45827</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45827</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45827</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45827</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45827</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45827</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45827</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45827</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45827</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45827</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45827</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45827</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45827</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45827</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45827</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45827</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45827</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45827</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45827</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45827</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45827</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45827</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45827</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45827</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45827</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45827</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45827</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45827</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45827</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45827</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45827</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45827</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45827</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45827</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45827</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45827</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45827</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45827</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45827</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45827</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45827</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45827</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45827</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45827</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45827</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45827</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45827</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45827</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45827</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45827</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45827</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45827</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45827</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45827</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45827</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45827</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45827</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45827</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45827</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45827</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45827</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45827</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45827</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45827</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45827</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45827</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45827</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45827</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45827</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45827</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45827</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45827</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45827</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45827</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45827</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45827</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45827</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45827</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45827</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45827</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45827</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45827</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45827</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45827</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45827</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45827</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45827</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45827</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45827</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45827</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45827</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45827</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45827</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45827</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45827</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45827</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45827</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45827</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45827</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45827</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45827</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45827</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45827</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45827</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45827</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45827</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45827</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45827</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45827</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45827</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45827</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45827</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45827</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45827</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45827</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45827</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45827</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45827</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45827</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45827</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45827</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45827</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45827</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45827</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45827</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45827</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45827</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45827</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45827</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45827</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45827</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45827</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45827</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45827</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45827</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45827</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45827</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45827</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45827</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45827</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45827</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45827</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45827</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45827</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45827</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45827</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45827</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45827</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45827</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45827</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45827</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45827</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45827</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45827</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45827</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45827</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45827</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45827</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45827</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45827</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45827</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45827</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45827</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45827</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45827</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45827</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45827</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45827</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45827</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45827</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45827</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45827</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45827</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45827</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45827</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45827</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45827</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45827</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45827</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45827</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45827</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45827</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45827</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45827</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45827</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45827</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45827</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45827</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45827</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45827</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45827</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45827</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45827</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45827</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45827</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45827</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45827</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45827</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45827</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45827</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45827</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45827</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45827</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45827</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45827</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45827</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45827</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45827</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45827</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45827</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45827</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45827</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45827</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45827</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45827</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45827</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45827</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45827</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45827</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45827</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45827</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45827</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45827</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45827</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45827</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45827</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45827</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45827</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45827</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45827</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45827</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45827</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45827</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45827</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45827</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45827</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45827</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45827</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45827</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45827</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45827</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45827</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45827</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45827</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45827</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45827</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45827</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45827</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45827</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45827</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45827</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45827</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45827</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45827</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45827</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45827</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45827</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45827</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45827</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45827</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45827</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45827</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45827</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45827</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45827</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45827</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45827</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45827</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45827</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45827</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45827</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45827</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45827</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45827</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45827</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45827</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45827</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45827</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45827</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45827</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45827</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45827</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45827</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45827</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45827</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45827</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45827</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45827</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45827</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45827</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45827</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45827</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45827</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45827</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45827</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45827</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45827</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45827</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45827</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45827</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45827</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45827</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45827</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45827</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45827</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45827</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45827</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45827</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45827</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45827</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45827</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45827</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45827</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45827</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45827</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45827</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45827</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45827</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45827</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45827</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45827</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45827</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45827</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45827</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45827</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45827</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45827</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45827</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45827</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45827</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45827</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45827</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45827</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45827</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45827</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45827</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45827</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45827</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45827</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45827</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45827</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45827</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45827</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45827</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45827</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45827</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45827</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45827</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45827</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45827</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45827</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45827</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45827</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45827</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45827</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45827</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45827</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45827</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45827</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45827</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45827</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45827</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45827</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45827</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45827</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45827</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45827</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45827</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45827</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45827</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45827</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45827</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45827</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45827</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45827</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45827</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45827</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45827</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45827</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45827</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45827</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45827</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45827</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45827</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45827</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45827</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45827</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45827</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45827</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45827</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45827</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45827</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45827</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45827</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45827</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45827</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45827</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45827</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45827</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45827</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45827</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45827</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45827</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45827</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45827</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45827</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45827</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45827</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45827</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45827</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45827</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45827</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45827</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45827</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45827</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45827</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45827</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45827</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45827</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45827</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45827</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45827</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45827</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45827</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45827</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45827</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45827</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45827</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45827</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45827</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45827</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45827</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45827</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45827</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45827</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45827</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45827</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45827</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45827</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45827</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45827</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45827</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45827</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45827</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45827</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45827</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45827</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45827</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45827</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45827</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45827</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45827</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45827</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45827</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45827</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45827</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45827</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45827</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45827</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45827</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45827</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45827</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45827</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45827</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45827</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45827</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45827</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45827</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45827</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45827</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45827</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45827</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45827</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45827</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45827</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45827</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45827</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45827</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45827</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45827</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45827</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45827</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45827</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45827</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45827</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45827</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45827</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45827</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45827</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45827</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45827</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45827</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45827</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45827</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45827</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45827</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45827</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45827</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45827</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45827</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45827</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45827</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45827</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45827</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45827</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45827</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45827</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45827</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45827</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45827</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45827</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45827</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45827</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45827</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45827</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45827</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45827</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45827</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45827</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45827</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45827</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45827</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45827</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45827</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45827</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45827</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45827</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45827</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45827</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45827</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45827</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45827</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45827</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45827</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45827</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45827</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45827</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45827</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45827</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45827</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45827</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45827</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45827</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45827</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45827</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45827</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45827</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45827</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45827</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45827</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45827</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45827</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45827</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45827</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45827</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45827</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45827</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45827</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45827</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45827</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45827</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45827</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45827</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45827</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45827</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45827</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45827</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45827</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45827</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45827</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45827</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45827</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45827</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45827</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45827</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45827</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45827</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45827</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45827</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45827</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45827</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45827</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45827</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45827</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45827</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45827</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45827</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45827</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45827</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45827</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45827</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45827</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45827</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45827</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45827</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45827</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45827</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45827</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45827</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45827</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45827</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45827</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45827</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45827</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45827</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45827</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45827</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45827</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45827</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45827</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45827</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45827</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45827</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45827</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45827</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45827</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45827</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45827</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45827</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45827</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45827</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45827</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45827</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45827</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45827</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45827</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45827</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45827</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45827</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45827</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45827</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45827</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45827</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45827</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45827</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45827</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45827</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45827</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45827</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45827</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45827</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45827</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45827</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45827</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45827</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45827</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45827</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45827</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45827</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45827</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45827</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45827</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45827</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45827</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45827</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45827</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45827</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45827</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45827</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45827</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45827</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45827</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45827</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45827</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45827</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45827</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45827</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45827</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45827</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45827</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45827</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45827</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45827</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45827</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45827</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45827</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45827</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45827</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45827</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45827</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45827</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45827</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45827</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45827</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45827</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45827</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45827</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45827</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45827</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45827</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45827</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45827</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45827</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45827</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45827</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45827</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45827</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45827</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45827</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45827</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45827</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45827</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45827</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45827</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45827</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45827</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45827</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45827</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45827</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45827</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45827</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45827</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45827</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45827</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45827</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45827</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45827</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45827</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45827</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45827</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45827</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45827</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45827</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45827</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45827</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45827</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45827</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45827</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45827</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45827</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45827</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45827</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45827</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45827</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45827</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45827</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45827</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45827</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45827</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45827</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45827</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45827</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45827</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45827</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45827</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45827</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45827</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45827</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45827</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45827</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45827</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45827</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45827</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45827</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45827</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45827</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45827</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45827</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45827</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45827</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45827</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45827</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45827</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45827</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45827</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45827</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45827</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45827</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45827</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45827</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45827</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45827</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45827</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45827</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45827</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45827</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45827</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45827</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45827</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45827</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45827</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45827</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45827</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45827</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45827</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45827</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45827</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45827</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45827</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45827</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45827</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45827</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45827</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45827</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45827</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45827</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45827</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45827</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45827</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45827</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45827</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45827</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45827</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45827</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45827</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45827</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45827</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45827</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45827</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45827</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45827</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45827</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45827</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45827</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45827</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45827</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45827</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45827</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45827</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45827</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45827</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45827</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45827</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45827</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45827</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45827</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45827</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45827</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45827</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45827</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45827</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45827</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45827</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45827</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45827</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45827</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45827</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45827</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45827</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45827</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45827</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45827</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45827</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45827</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45827</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45827</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45827</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45827</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45827</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45827</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45827</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45827</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45827</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45827</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45827</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45827</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45827</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45827</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45827</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45827</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45827</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45827</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45827</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45827</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45827</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45827</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45827</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45827</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45827</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45827</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45827</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45827</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45827</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45827</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45827</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45827</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45827</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45827</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45827</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45827</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45827</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45827</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45827</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45827</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45827</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45827</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45827</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45827</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45827</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45827</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45827</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45827</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45827</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45827</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45827</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45827</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45827</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45827</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45827</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45827</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45827</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45827</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45827</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45827</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45827</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45827</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45827</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45827</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45827</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45827</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45827</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45827</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45827</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45827</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45827</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45827</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45827</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45827</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45827</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45827</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45827</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45827</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45827</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45827</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45827</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45827</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45827</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45827</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45827</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45827</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45827</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45827</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45827</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45827</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45827</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45827</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45827</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45827</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45827</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45827</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45827</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45827</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45827</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45827</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45827</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45827</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45827</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45827</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45827</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45827</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45827</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45827</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45827</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45827</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45827</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45827</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45827</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45827</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45827</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45827</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45827</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45827</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45827</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45827</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45827</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45827</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45827</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45827</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45827</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45827</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45827</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45827</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45827</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45827</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45827</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45827</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45827</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45827</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45827</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45827</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45827</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45827</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45827</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45827</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45827</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45827</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45827</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45827</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45827</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45827</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45827</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45827</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45827</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45827</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45827</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45827</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45827</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45827</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45827</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45827</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45827</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45827</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45827</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45827</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45827</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45827</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45827</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45827</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45827</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45827</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45827</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45827</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45827</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45827</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45827</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45827</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45827</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45827</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45827</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45827</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45827</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45827</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45827</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45827</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45827</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45827</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45827</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45827</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45827</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45827</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45827</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45827</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45827</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45827</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45827</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45827</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45827</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45827</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45827</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45827</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45827</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45827</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45827</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45827</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45827</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45827</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45827</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45827</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45827</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45827</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45827</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45827</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45827</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45827</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45827</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45827</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45827</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45827</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45827</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45827</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45827</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45827</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45827</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45827</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45827</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45827</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45827</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45827</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45827</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45827</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45827</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45827</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45827</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45827</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45827</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45827</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45827</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45827</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45827</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45827</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45827</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45827</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45827</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45827</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45827</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45827</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45827</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45827</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45827</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45827</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45827</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45827</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45827</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45827</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45827</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45827</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45827</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45827</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45827</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45827</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45827</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45827</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45827</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45827</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45827</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45827</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45827</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45827</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45827</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45827</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45827</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45827</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45827</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45827</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45827</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45827</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45827</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45827</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45827</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45827</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45827</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45827</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45827</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45827</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45827</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45827</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45827</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45827</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45827</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45827</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45827</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45827</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45827</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45827</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45827</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45827</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45827</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45827</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45827</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45827</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45827</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45827</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45827</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45827</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45827</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45827</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45827</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45827</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45827</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45827</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45827</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45827</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45827</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45827</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45827</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45827</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45827</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45827</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45827</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45827</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45827</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45827</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45827</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45827</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45827</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45827</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45827</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45827</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45827</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45827</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45827</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45827</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45827</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45827</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45827</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45827</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45827</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45827</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45827</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45827</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45827</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45827</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45827</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45827</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45827</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45827</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45827</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45827</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45827</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45827</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45827</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45827</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45827</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45827</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45827</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45827</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45827</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45827</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45827</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45827</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45827</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45827</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45827</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45827</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45827</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45827</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45827</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45827</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45827</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45827</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45827</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45827</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45827</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45827</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45827</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45827</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45827</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45827</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45827</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45827</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45827</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45827</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45827</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45827</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45827</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45827</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45827</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45827</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45827</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45827</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45827</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45827</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45827</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45827</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45827</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45827</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45827</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45827</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45827</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45827</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45827</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45827</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45827</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45827</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45827</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45827</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45827</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45827</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45827</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45827</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45827</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45827</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45827</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45827</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45827</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45827</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45827</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45827</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45827</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45827</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45827</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45827</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45827</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45827</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45827</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45827</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45827</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45827</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45827</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45827</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45827</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45827</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45827</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45827</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45827</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45827</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45827</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45827</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45827</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45827</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45827</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45827</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45827</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45827</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45827</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45827</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45827</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45827</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45827</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45827</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45827</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45827</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45827</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45827</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45827</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45827</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45827</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45827</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45827</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45827</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45827</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45827</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45827</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45827</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45827</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45827</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45827</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45827</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45827</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45827</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45827</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45827</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45827</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45827</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45827</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45827</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45827</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45827</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45827</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45827</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45827</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45827</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45827</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45827</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45827</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45827</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45827</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45827</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45827</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45827</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45827</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45827</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45827</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45827</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45827</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45827</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45827</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45827</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45827</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45827</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45827</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45827</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45827</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45827</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45827</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45827</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45827</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45827</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45827</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45827</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45827</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45827</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45827</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45827</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45827</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45827</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45827</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45827</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45827</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45827</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45827</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45827</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45827</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45827</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45827</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45827</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45827</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45827</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45827</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45827</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45827</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45827</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45827</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45827</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45827</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45827</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45827</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45827</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45827</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45827</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45827</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45827</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45827</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45827</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45827</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45827</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45827</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45827</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45827</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45827</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45827</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45827</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45827</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45827</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45827</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45827</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45827</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45827</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45827</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45827</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45827</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45827</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45827</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45827</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45827</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45827</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45827</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45827</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45827</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45827</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45827</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45827</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45827</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45827</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45827</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45827</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45827</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45827</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45827</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45827</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45827</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45827</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45827</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45827</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45827</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45827</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45827</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45827</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45827</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45827</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45827</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45827</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45827</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45827</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45827</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45827</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45827</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45827</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45827</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45827</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45827</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45827</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45827</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45827</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45827</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45827</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45827</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25819-2025</t>
        </is>
      </c>
      <c r="B1965" s="1" t="n">
        <v>45804</v>
      </c>
      <c r="C1965" s="1" t="n">
        <v>45827</v>
      </c>
      <c r="D1965" t="inlineStr">
        <is>
          <t>KALMAR LÄN</t>
        </is>
      </c>
      <c r="E1965" t="inlineStr">
        <is>
          <t>VÄSTERVIK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45827</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45827</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45827</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45827</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26566-2025</t>
        </is>
      </c>
      <c r="B1970" s="1" t="n">
        <v>45807</v>
      </c>
      <c r="C1970" s="1" t="n">
        <v>45827</v>
      </c>
      <c r="D1970" t="inlineStr">
        <is>
          <t>KALMAR LÄN</t>
        </is>
      </c>
      <c r="E1970" t="inlineStr">
        <is>
          <t>VÄSTERVIK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45827</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45827</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45827</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27991-2025</t>
        </is>
      </c>
      <c r="B1974" s="1" t="n">
        <v>45817</v>
      </c>
      <c r="C1974" s="1" t="n">
        <v>45827</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27974-2025</t>
        </is>
      </c>
      <c r="B1975" s="1" t="n">
        <v>45817</v>
      </c>
      <c r="C1975" s="1" t="n">
        <v>45827</v>
      </c>
      <c r="D1975" t="inlineStr">
        <is>
          <t>KALMAR LÄN</t>
        </is>
      </c>
      <c r="E1975" t="inlineStr">
        <is>
          <t>VÄSTERVIK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45827</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45827</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45827</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45827</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45827</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28260-2025</t>
        </is>
      </c>
      <c r="B1981" s="1" t="n">
        <v>45818</v>
      </c>
      <c r="C1981" s="1" t="n">
        <v>45827</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45827</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45827</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29678-2025</t>
        </is>
      </c>
      <c r="B1984" s="1" t="n">
        <v>45825</v>
      </c>
      <c r="C1984" s="1" t="n">
        <v>45827</v>
      </c>
      <c r="D1984" t="inlineStr">
        <is>
          <t>KALMAR LÄN</t>
        </is>
      </c>
      <c r="E1984" t="inlineStr">
        <is>
          <t>VÄSTERVIK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45827</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c r="A1986" t="inlineStr">
        <is>
          <t>A 29722-2025</t>
        </is>
      </c>
      <c r="B1986" s="1" t="n">
        <v>45825</v>
      </c>
      <c r="C1986" s="1" t="n">
        <v>45827</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2025-06-19T19:13:23Z</dcterms:created>
  <dcterms:modified xmlns:dcterms="http://purl.org/dc/terms/" xmlns:xsi="http://www.w3.org/2001/XMLSchema-instance" xsi:type="dcterms:W3CDTF">2025-06-19T19:13:25Z</dcterms:modified>
</cp:coreProperties>
</file>